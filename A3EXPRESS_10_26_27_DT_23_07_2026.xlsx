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My Drive\DeepiUncleWorks\ExcelSheets\Shipments\InProgress\"/>
    </mc:Choice>
  </mc:AlternateContent>
  <xr:revisionPtr revIDLastSave="0" documentId="13_ncr:1_{91DC36AC-2A44-416D-8EE6-C9C8101326BC}" xr6:coauthVersionLast="47" xr6:coauthVersionMax="47" xr10:uidLastSave="{00000000-0000-0000-0000-000000000000}"/>
  <bookViews>
    <workbookView xWindow="-120" yWindow="-120" windowWidth="29040" windowHeight="15720" tabRatio="620" activeTab="4" xr2:uid="{9C6A9552-AF44-4888-B14B-F60469E2316A}"/>
  </bookViews>
  <sheets>
    <sheet name="DUTY_2025" sheetId="16" r:id="rId1"/>
    <sheet name="SI" sheetId="23" r:id="rId2"/>
    <sheet name="InvoiceGen" sheetId="28" r:id="rId3"/>
    <sheet name="ProductList" sheetId="15" r:id="rId4"/>
    <sheet name="P_1" sheetId="1" r:id="rId5"/>
    <sheet name="P_2" sheetId="24" r:id="rId6"/>
    <sheet name="Invoice_India" sheetId="22" r:id="rId7"/>
    <sheet name="Sheet2" sheetId="27" r:id="rId8"/>
    <sheet name="Sheet1" sheetId="26" r:id="rId9"/>
    <sheet name="Invoice_Colombo" sheetId="25" r:id="rId10"/>
    <sheet name="COOTemplate" sheetId="21" r:id="rId11"/>
  </sheets>
  <definedNames>
    <definedName name="_xlnm._FilterDatabase" localSheetId="10" hidden="1">COOTemplate!#REF!</definedName>
    <definedName name="_xlnm._FilterDatabase" localSheetId="0" hidden="1">DUTY_2025!$A$1:$AZ$1</definedName>
    <definedName name="_xlnm._FilterDatabase" localSheetId="4" hidden="1">P_1!$D$3:$L$3</definedName>
    <definedName name="_xlnm._FilterDatabase" localSheetId="3" hidden="1">ProductList!$B$3:$Y$3</definedName>
    <definedName name="_xlnm.Print_Area" localSheetId="10">COOTemplate!#REF!</definedName>
    <definedName name="_xlnm.Print_Area" localSheetId="4">P_1!$D$2:$L$80</definedName>
    <definedName name="_xlnm.Print_Area" localSheetId="1">SI!$A$1:$O$51</definedName>
    <definedName name="_xlnm.Print_Titles" localSheetId="4">P_1!$1:$3</definedName>
  </definedNames>
  <calcPr calcId="191029"/>
  <pivotCaches>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5" i="16" l="1"/>
  <c r="L74" i="16"/>
  <c r="L45" i="15"/>
  <c r="P37" i="15"/>
  <c r="P36" i="15"/>
  <c r="P34" i="15"/>
  <c r="P33" i="15"/>
  <c r="P32" i="15"/>
  <c r="P31" i="15"/>
  <c r="P30" i="15"/>
  <c r="P25" i="15"/>
  <c r="P24" i="15"/>
  <c r="P23" i="15"/>
  <c r="P22" i="15"/>
  <c r="P21" i="15"/>
  <c r="P20" i="15"/>
  <c r="P19" i="15"/>
  <c r="P18" i="15"/>
  <c r="F28" i="23" l="1"/>
  <c r="K71" i="22" l="1"/>
  <c r="K72" i="22"/>
  <c r="K73" i="22"/>
  <c r="K74" i="22"/>
  <c r="K75" i="22"/>
  <c r="K76" i="22"/>
  <c r="K77" i="22"/>
  <c r="K78" i="22"/>
  <c r="K79" i="22"/>
  <c r="K80" i="22"/>
  <c r="K81" i="22"/>
  <c r="K82" i="22"/>
  <c r="K83" i="22"/>
  <c r="K84" i="22"/>
  <c r="K85" i="22"/>
  <c r="K86" i="22"/>
  <c r="K87" i="22"/>
  <c r="K88" i="22"/>
  <c r="K89" i="22"/>
  <c r="K90" i="22"/>
  <c r="K91" i="22"/>
  <c r="K92" i="22"/>
  <c r="K93" i="22"/>
  <c r="K94" i="22"/>
  <c r="K95" i="22"/>
  <c r="K96" i="22"/>
  <c r="K97" i="22"/>
  <c r="K98" i="22"/>
  <c r="K99" i="22"/>
  <c r="K100" i="22"/>
  <c r="K101" i="22"/>
  <c r="K102" i="22"/>
  <c r="K103" i="22"/>
  <c r="K104" i="22"/>
  <c r="K105" i="22"/>
  <c r="K106" i="22"/>
  <c r="K107" i="22"/>
  <c r="K108" i="22"/>
  <c r="K109" i="22"/>
  <c r="K110" i="22"/>
  <c r="K111" i="22"/>
  <c r="K112" i="22"/>
  <c r="K113" i="22"/>
  <c r="K114" i="22"/>
  <c r="K115" i="22"/>
  <c r="K116" i="22"/>
  <c r="K117" i="22"/>
  <c r="K118" i="22"/>
  <c r="K119" i="22"/>
  <c r="K120" i="22"/>
  <c r="K121" i="22"/>
  <c r="K122" i="22"/>
  <c r="K123" i="22"/>
  <c r="K124" i="22"/>
  <c r="K125" i="22"/>
  <c r="K126" i="22"/>
  <c r="K127" i="22"/>
  <c r="K128" i="22"/>
  <c r="K129" i="22"/>
  <c r="K130" i="22"/>
  <c r="K131" i="22"/>
  <c r="K132" i="22"/>
  <c r="K133" i="22"/>
  <c r="K134" i="22"/>
  <c r="K135" i="22"/>
  <c r="K136" i="22"/>
  <c r="K137" i="22"/>
  <c r="K138" i="22"/>
  <c r="K139" i="22"/>
  <c r="K140" i="22"/>
  <c r="K141" i="22"/>
  <c r="K142" i="22"/>
  <c r="K143" i="22"/>
  <c r="K144" i="22"/>
  <c r="K145" i="22"/>
  <c r="K146" i="22"/>
  <c r="K147" i="22"/>
  <c r="K148" i="22"/>
  <c r="K149" i="22"/>
  <c r="K150" i="22"/>
  <c r="K151" i="22"/>
  <c r="K152" i="22"/>
  <c r="K153" i="22"/>
  <c r="K154" i="22"/>
  <c r="K155" i="22"/>
  <c r="K156" i="22"/>
  <c r="K157" i="22"/>
  <c r="K158" i="22"/>
  <c r="K159" i="22"/>
  <c r="K160" i="22"/>
  <c r="K161" i="22"/>
  <c r="K162" i="22"/>
  <c r="K163" i="22"/>
  <c r="K164" i="22"/>
  <c r="K165" i="22"/>
  <c r="K166" i="22"/>
  <c r="K167" i="22"/>
  <c r="K168" i="22"/>
  <c r="K169" i="22"/>
  <c r="K170" i="22"/>
  <c r="K171" i="22"/>
  <c r="K172" i="22"/>
  <c r="K173" i="22"/>
  <c r="K174" i="22"/>
  <c r="K175" i="22"/>
  <c r="K176" i="22"/>
  <c r="K177" i="22"/>
  <c r="K178" i="22"/>
  <c r="K179" i="22"/>
  <c r="K180" i="22"/>
  <c r="K181" i="22"/>
  <c r="K182" i="22"/>
  <c r="K183" i="22"/>
  <c r="K184" i="22"/>
  <c r="K185" i="22"/>
  <c r="K186" i="22"/>
  <c r="K187" i="22"/>
  <c r="K188" i="22"/>
  <c r="K189" i="22"/>
  <c r="K190" i="22"/>
  <c r="K191" i="22"/>
  <c r="K192" i="22"/>
  <c r="K193" i="22"/>
  <c r="K194" i="22"/>
  <c r="K195" i="22"/>
  <c r="K196" i="22"/>
  <c r="K197" i="22"/>
  <c r="K198" i="22"/>
  <c r="K199" i="22"/>
  <c r="K200" i="22"/>
  <c r="K201" i="22"/>
  <c r="K202" i="22"/>
  <c r="K203" i="22"/>
  <c r="K204" i="22"/>
  <c r="K205" i="22"/>
  <c r="K206" i="22"/>
  <c r="K207" i="22"/>
  <c r="K208" i="22"/>
  <c r="K209" i="22"/>
  <c r="K210" i="22"/>
  <c r="K211" i="22"/>
  <c r="K212" i="22"/>
  <c r="K213" i="22"/>
  <c r="K214" i="22"/>
  <c r="K215" i="22"/>
  <c r="K216" i="22"/>
  <c r="K217" i="22"/>
  <c r="K218" i="22"/>
  <c r="K219" i="22"/>
  <c r="K220" i="22"/>
  <c r="K221" i="22"/>
  <c r="K222" i="22"/>
  <c r="K223" i="22"/>
  <c r="K224" i="22"/>
  <c r="K225" i="22"/>
  <c r="K226" i="22"/>
  <c r="K227" i="22"/>
  <c r="K228" i="22"/>
  <c r="K229" i="22"/>
  <c r="K230" i="22"/>
  <c r="K231" i="22"/>
  <c r="K232" i="22"/>
  <c r="K233" i="22"/>
  <c r="K234" i="22"/>
  <c r="K235" i="22"/>
  <c r="K236" i="22"/>
  <c r="K237" i="22"/>
  <c r="K238" i="22"/>
  <c r="K239" i="22"/>
  <c r="K240" i="22"/>
  <c r="K241" i="22"/>
  <c r="K242" i="22"/>
  <c r="K243" i="22"/>
  <c r="K244" i="22"/>
  <c r="K245" i="22"/>
  <c r="K246" i="22"/>
  <c r="K247" i="22"/>
  <c r="K248" i="22"/>
  <c r="K249" i="22"/>
  <c r="K250" i="22"/>
  <c r="K251" i="22"/>
  <c r="K252" i="22"/>
  <c r="K253" i="22"/>
  <c r="K254" i="22"/>
  <c r="K255" i="22"/>
  <c r="K256" i="22"/>
  <c r="K257" i="22"/>
  <c r="K258" i="22"/>
  <c r="K259" i="22"/>
  <c r="K260" i="22"/>
  <c r="K261" i="22"/>
  <c r="K262" i="22"/>
  <c r="K263" i="22"/>
  <c r="K264" i="22"/>
  <c r="K265" i="22"/>
  <c r="K266" i="22"/>
  <c r="K267" i="22"/>
  <c r="K268" i="22"/>
  <c r="K269" i="22"/>
  <c r="K270" i="22"/>
  <c r="K271" i="22"/>
  <c r="K272" i="22"/>
  <c r="K273" i="22"/>
  <c r="K274" i="22"/>
  <c r="K275" i="22"/>
  <c r="K276" i="22"/>
  <c r="K277" i="22"/>
  <c r="K278" i="22"/>
  <c r="K279" i="22"/>
  <c r="K280" i="22"/>
  <c r="K281" i="22"/>
  <c r="K282" i="22"/>
  <c r="K283" i="22"/>
  <c r="K284" i="22"/>
  <c r="K285" i="22"/>
  <c r="K286" i="22"/>
  <c r="K287" i="22"/>
  <c r="K288" i="22"/>
  <c r="K289" i="22"/>
  <c r="K290" i="22"/>
  <c r="K291" i="22"/>
  <c r="K292" i="22"/>
  <c r="K293" i="22"/>
  <c r="K294" i="22"/>
  <c r="K295" i="22"/>
  <c r="K296" i="22"/>
  <c r="K297" i="22"/>
  <c r="K298" i="22"/>
  <c r="K299" i="22"/>
  <c r="K300" i="22"/>
  <c r="K301" i="22"/>
  <c r="K302" i="22"/>
  <c r="K303" i="22"/>
  <c r="K304" i="22"/>
  <c r="K305" i="22"/>
  <c r="K306" i="22"/>
  <c r="K307" i="22"/>
  <c r="K308" i="22"/>
  <c r="K309" i="22"/>
  <c r="K310" i="22"/>
  <c r="K311" i="22"/>
  <c r="K312" i="22"/>
  <c r="K313" i="22"/>
  <c r="K314" i="22"/>
  <c r="K315" i="22"/>
  <c r="K316" i="22"/>
  <c r="K317" i="22"/>
  <c r="K318" i="22"/>
  <c r="K319" i="22"/>
  <c r="K320" i="22"/>
  <c r="K321" i="22"/>
  <c r="K322" i="22"/>
  <c r="K323" i="22"/>
  <c r="K324" i="22"/>
  <c r="K325" i="22"/>
  <c r="K326" i="22"/>
  <c r="K327" i="22"/>
  <c r="K328" i="22"/>
  <c r="K329" i="22"/>
  <c r="K330" i="22"/>
  <c r="K331" i="22"/>
  <c r="K332" i="22"/>
  <c r="K333" i="22"/>
  <c r="K334" i="22"/>
  <c r="K335" i="22"/>
  <c r="K336" i="22"/>
  <c r="K337" i="22"/>
  <c r="K338" i="22"/>
  <c r="K339" i="22"/>
  <c r="K340" i="22"/>
  <c r="K341" i="22"/>
  <c r="K342" i="22"/>
  <c r="K343" i="22"/>
  <c r="K344" i="22"/>
  <c r="K345" i="22"/>
  <c r="K346" i="22"/>
  <c r="K347" i="22"/>
  <c r="K348" i="22"/>
  <c r="K349" i="22"/>
  <c r="K350" i="22"/>
  <c r="K351" i="22"/>
  <c r="K352" i="22"/>
  <c r="K353" i="22"/>
  <c r="K354" i="22"/>
  <c r="K355" i="22"/>
  <c r="K356" i="22"/>
  <c r="K357" i="22"/>
  <c r="K358" i="22"/>
  <c r="K359" i="22"/>
  <c r="K360" i="22"/>
  <c r="K361" i="22"/>
  <c r="K362" i="22"/>
  <c r="K363" i="22"/>
  <c r="K364" i="22"/>
  <c r="K365" i="22"/>
  <c r="K366" i="22"/>
  <c r="K367" i="22"/>
  <c r="K368" i="22"/>
  <c r="K369" i="22"/>
  <c r="K370" i="22"/>
  <c r="K371" i="22"/>
  <c r="K372" i="22"/>
  <c r="K373" i="22"/>
  <c r="K374" i="22"/>
  <c r="K375" i="22"/>
  <c r="K376" i="22"/>
  <c r="K377" i="22"/>
  <c r="K378" i="22"/>
  <c r="K379" i="22"/>
  <c r="K380" i="22"/>
  <c r="K381" i="22"/>
  <c r="K382" i="22"/>
  <c r="K383" i="22"/>
  <c r="K384" i="22"/>
  <c r="K385" i="22"/>
  <c r="K386" i="22"/>
  <c r="K387" i="22"/>
  <c r="K388" i="22"/>
  <c r="K389" i="22"/>
  <c r="K390" i="22"/>
  <c r="K391" i="22"/>
  <c r="K392" i="22"/>
  <c r="K393" i="22"/>
  <c r="K394" i="22"/>
  <c r="K395" i="22"/>
  <c r="K396" i="22"/>
  <c r="K397" i="22"/>
  <c r="K398" i="22"/>
  <c r="K399" i="22"/>
  <c r="K400" i="22"/>
  <c r="K401" i="22"/>
  <c r="K402" i="22"/>
  <c r="K403" i="22"/>
  <c r="K404" i="22"/>
  <c r="K405" i="22"/>
  <c r="K406" i="22"/>
  <c r="K407" i="22"/>
  <c r="K408" i="22"/>
  <c r="K409" i="22"/>
  <c r="K410" i="22"/>
  <c r="K411" i="22"/>
  <c r="K412" i="22"/>
  <c r="K413" i="22"/>
  <c r="K414" i="22"/>
  <c r="K415" i="22"/>
  <c r="K416" i="22"/>
  <c r="K417" i="22"/>
  <c r="K418" i="22"/>
  <c r="K419" i="22"/>
  <c r="K420" i="22"/>
  <c r="K421" i="22"/>
  <c r="K422" i="22"/>
  <c r="K423" i="22"/>
  <c r="K424" i="22"/>
  <c r="K425" i="22"/>
  <c r="K426" i="22"/>
  <c r="K427" i="22"/>
  <c r="K428" i="22"/>
  <c r="K429" i="22"/>
  <c r="K430" i="22"/>
  <c r="K431" i="22"/>
  <c r="K432" i="22"/>
  <c r="K433" i="22"/>
  <c r="K434" i="22"/>
  <c r="K435" i="22"/>
  <c r="K436" i="22"/>
  <c r="K437" i="22"/>
  <c r="K438" i="22"/>
  <c r="K439" i="22"/>
  <c r="K440" i="22"/>
  <c r="K441" i="22"/>
  <c r="K442" i="22"/>
  <c r="K443" i="22"/>
  <c r="K444" i="22"/>
  <c r="K445" i="22"/>
  <c r="K446" i="22"/>
  <c r="K447" i="22"/>
  <c r="K448" i="22"/>
  <c r="K449" i="22"/>
  <c r="K450" i="22"/>
  <c r="K451" i="22"/>
  <c r="K452" i="22"/>
  <c r="K453" i="22"/>
  <c r="K454" i="22"/>
  <c r="K455" i="22"/>
  <c r="K456" i="22"/>
  <c r="K457" i="22"/>
  <c r="K458" i="22"/>
  <c r="K459" i="22"/>
  <c r="K460" i="22"/>
  <c r="K461" i="22"/>
  <c r="K462" i="22"/>
  <c r="K463" i="22"/>
  <c r="K464" i="22"/>
  <c r="K465" i="22"/>
  <c r="K466" i="22"/>
  <c r="K467" i="22"/>
  <c r="K468" i="22"/>
  <c r="K469" i="22"/>
  <c r="K470" i="22"/>
  <c r="K471" i="22"/>
  <c r="K472" i="22"/>
  <c r="K473" i="22"/>
  <c r="K474" i="22"/>
  <c r="K475" i="22"/>
  <c r="K476" i="22"/>
  <c r="K477" i="22"/>
  <c r="K478" i="22"/>
  <c r="K479" i="22"/>
  <c r="K480" i="22"/>
  <c r="K481" i="22"/>
  <c r="K482" i="22"/>
  <c r="K483" i="22"/>
  <c r="K484" i="22"/>
  <c r="K485" i="22"/>
  <c r="K486" i="22"/>
  <c r="K487" i="22"/>
  <c r="K488" i="22"/>
  <c r="K489" i="22"/>
  <c r="K490" i="22"/>
  <c r="K491" i="22"/>
  <c r="K492" i="22"/>
  <c r="K493" i="22"/>
  <c r="K494" i="22"/>
  <c r="K495" i="22"/>
  <c r="K496" i="22"/>
  <c r="K497" i="22"/>
  <c r="K498"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H106" i="22"/>
  <c r="H107" i="22"/>
  <c r="H108" i="22"/>
  <c r="H109" i="22"/>
  <c r="H110" i="22"/>
  <c r="H111" i="22"/>
  <c r="H112" i="22"/>
  <c r="H113" i="22"/>
  <c r="H114" i="22"/>
  <c r="H115" i="22"/>
  <c r="H116" i="22"/>
  <c r="H117" i="22"/>
  <c r="H118" i="22"/>
  <c r="H119" i="22"/>
  <c r="H120" i="22"/>
  <c r="H121" i="22"/>
  <c r="H122" i="22"/>
  <c r="H123" i="22"/>
  <c r="H124" i="22"/>
  <c r="H125" i="22"/>
  <c r="H126" i="22"/>
  <c r="H127" i="22"/>
  <c r="H128" i="22"/>
  <c r="H129" i="22"/>
  <c r="H130" i="22"/>
  <c r="H131" i="22"/>
  <c r="H132"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161" i="22"/>
  <c r="H162" i="22"/>
  <c r="H163" i="22"/>
  <c r="H164" i="22"/>
  <c r="H165" i="22"/>
  <c r="H166" i="22"/>
  <c r="H167" i="22"/>
  <c r="H168" i="22"/>
  <c r="H169" i="22"/>
  <c r="H170" i="22"/>
  <c r="H171" i="22"/>
  <c r="H172" i="22"/>
  <c r="H173" i="22"/>
  <c r="H174" i="22"/>
  <c r="H175" i="22"/>
  <c r="H176" i="22"/>
  <c r="H177" i="22"/>
  <c r="H178" i="22"/>
  <c r="H179" i="22"/>
  <c r="H180" i="22"/>
  <c r="H181" i="22"/>
  <c r="H182" i="22"/>
  <c r="H183" i="22"/>
  <c r="H184" i="22"/>
  <c r="H185" i="22"/>
  <c r="H186"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H212" i="22"/>
  <c r="H213" i="22"/>
  <c r="H214" i="22"/>
  <c r="H215" i="22"/>
  <c r="H216" i="22"/>
  <c r="H217" i="22"/>
  <c r="H218" i="22"/>
  <c r="H219" i="22"/>
  <c r="H220" i="22"/>
  <c r="H221" i="22"/>
  <c r="H222" i="22"/>
  <c r="H223" i="22"/>
  <c r="H224" i="22"/>
  <c r="H225" i="22"/>
  <c r="H226" i="22"/>
  <c r="H227" i="22"/>
  <c r="H228" i="22"/>
  <c r="H229" i="22"/>
  <c r="H230" i="22"/>
  <c r="H231" i="22"/>
  <c r="H232" i="22"/>
  <c r="H233" i="22"/>
  <c r="H234" i="22"/>
  <c r="H235" i="22"/>
  <c r="H236" i="22"/>
  <c r="H237" i="22"/>
  <c r="H238" i="22"/>
  <c r="H239" i="22"/>
  <c r="H240"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H266" i="22"/>
  <c r="H267" i="22"/>
  <c r="H268" i="22"/>
  <c r="H269" i="22"/>
  <c r="H270" i="22"/>
  <c r="H271" i="22"/>
  <c r="H272" i="22"/>
  <c r="H273" i="22"/>
  <c r="H274" i="22"/>
  <c r="H275" i="22"/>
  <c r="H276" i="22"/>
  <c r="H277" i="22"/>
  <c r="H278" i="22"/>
  <c r="H279" i="22"/>
  <c r="H280" i="22"/>
  <c r="H281" i="22"/>
  <c r="H282" i="22"/>
  <c r="H283" i="22"/>
  <c r="H284" i="22"/>
  <c r="H285" i="22"/>
  <c r="H286" i="22"/>
  <c r="H287" i="22"/>
  <c r="H288" i="22"/>
  <c r="H289" i="22"/>
  <c r="H290" i="22"/>
  <c r="H291" i="22"/>
  <c r="H292" i="22"/>
  <c r="H293" i="22"/>
  <c r="H294" i="22"/>
  <c r="H295" i="22"/>
  <c r="H296" i="22"/>
  <c r="H297" i="22"/>
  <c r="H298" i="22"/>
  <c r="H299" i="22"/>
  <c r="H300" i="22"/>
  <c r="H301" i="22"/>
  <c r="H302" i="22"/>
  <c r="H303" i="22"/>
  <c r="H304" i="22"/>
  <c r="H305" i="22"/>
  <c r="H306" i="22"/>
  <c r="H307" i="22"/>
  <c r="H308" i="22"/>
  <c r="H309" i="22"/>
  <c r="H310" i="22"/>
  <c r="H311" i="22"/>
  <c r="H312" i="22"/>
  <c r="H313" i="22"/>
  <c r="H314" i="22"/>
  <c r="H315" i="22"/>
  <c r="H316" i="22"/>
  <c r="H317" i="22"/>
  <c r="H318" i="22"/>
  <c r="H319" i="22"/>
  <c r="H320" i="22"/>
  <c r="H321" i="22"/>
  <c r="H322" i="22"/>
  <c r="H323" i="22"/>
  <c r="H324" i="22"/>
  <c r="H325" i="22"/>
  <c r="H326" i="22"/>
  <c r="H327" i="22"/>
  <c r="H328" i="22"/>
  <c r="H329" i="22"/>
  <c r="H330" i="22"/>
  <c r="H331" i="22"/>
  <c r="H332" i="22"/>
  <c r="H333" i="22"/>
  <c r="H334" i="22"/>
  <c r="H335" i="22"/>
  <c r="H336" i="22"/>
  <c r="H337" i="22"/>
  <c r="H338" i="22"/>
  <c r="H339" i="22"/>
  <c r="H340" i="22"/>
  <c r="H341" i="22"/>
  <c r="H342" i="22"/>
  <c r="H343" i="22"/>
  <c r="H344" i="22"/>
  <c r="H345" i="22"/>
  <c r="H346" i="22"/>
  <c r="H347" i="22"/>
  <c r="H348" i="22"/>
  <c r="H349" i="22"/>
  <c r="H350" i="22"/>
  <c r="H351" i="22"/>
  <c r="H352" i="22"/>
  <c r="H353" i="22"/>
  <c r="H354" i="22"/>
  <c r="H355" i="22"/>
  <c r="H356" i="22"/>
  <c r="H357" i="22"/>
  <c r="H358" i="22"/>
  <c r="H359" i="22"/>
  <c r="H360" i="22"/>
  <c r="H361" i="22"/>
  <c r="H362" i="22"/>
  <c r="H363" i="22"/>
  <c r="H364" i="22"/>
  <c r="H365" i="22"/>
  <c r="H366" i="22"/>
  <c r="H367" i="22"/>
  <c r="H368" i="22"/>
  <c r="H369" i="22"/>
  <c r="H370" i="22"/>
  <c r="H371" i="22"/>
  <c r="H372" i="22"/>
  <c r="H373" i="22"/>
  <c r="H374" i="22"/>
  <c r="H375" i="22"/>
  <c r="H376" i="22"/>
  <c r="H377" i="22"/>
  <c r="H378" i="22"/>
  <c r="H379" i="22"/>
  <c r="H380" i="22"/>
  <c r="H381" i="22"/>
  <c r="H382" i="22"/>
  <c r="H383" i="22"/>
  <c r="H384" i="22"/>
  <c r="H385" i="22"/>
  <c r="H386" i="22"/>
  <c r="H387" i="22"/>
  <c r="H388" i="22"/>
  <c r="H389" i="22"/>
  <c r="H390" i="22"/>
  <c r="H391" i="22"/>
  <c r="H392" i="22"/>
  <c r="H393" i="22"/>
  <c r="H394" i="22"/>
  <c r="H395" i="22"/>
  <c r="H396" i="22"/>
  <c r="H397" i="22"/>
  <c r="H398" i="22"/>
  <c r="H399" i="22"/>
  <c r="H400" i="22"/>
  <c r="H401" i="22"/>
  <c r="H402" i="22"/>
  <c r="H403" i="22"/>
  <c r="H404" i="22"/>
  <c r="H405" i="22"/>
  <c r="H406" i="22"/>
  <c r="H407" i="22"/>
  <c r="H408" i="22"/>
  <c r="H409" i="22"/>
  <c r="H410" i="22"/>
  <c r="H411" i="22"/>
  <c r="H412" i="22"/>
  <c r="H413" i="22"/>
  <c r="H414" i="22"/>
  <c r="H415" i="22"/>
  <c r="H416" i="22"/>
  <c r="H417" i="22"/>
  <c r="H418" i="22"/>
  <c r="H419" i="22"/>
  <c r="H420" i="22"/>
  <c r="H421" i="22"/>
  <c r="H422" i="22"/>
  <c r="H423" i="22"/>
  <c r="H424" i="22"/>
  <c r="H425" i="22"/>
  <c r="H426" i="22"/>
  <c r="H427" i="22"/>
  <c r="H428" i="22"/>
  <c r="H429" i="22"/>
  <c r="H430" i="22"/>
  <c r="H431" i="22"/>
  <c r="H432" i="22"/>
  <c r="H433" i="22"/>
  <c r="H434" i="22"/>
  <c r="H435" i="22"/>
  <c r="H436" i="22"/>
  <c r="H437" i="22"/>
  <c r="H438" i="22"/>
  <c r="H439" i="22"/>
  <c r="H440" i="22"/>
  <c r="H441" i="22"/>
  <c r="H442" i="22"/>
  <c r="H443" i="22"/>
  <c r="H444" i="22"/>
  <c r="H445" i="22"/>
  <c r="H446" i="22"/>
  <c r="H447" i="22"/>
  <c r="H448" i="22"/>
  <c r="H449" i="22"/>
  <c r="H450" i="22"/>
  <c r="H451" i="22"/>
  <c r="H452" i="22"/>
  <c r="H453" i="22"/>
  <c r="H454" i="22"/>
  <c r="H455" i="22"/>
  <c r="H456" i="22"/>
  <c r="H457" i="22"/>
  <c r="H458" i="22"/>
  <c r="H459" i="22"/>
  <c r="H460" i="22"/>
  <c r="H461" i="22"/>
  <c r="H462" i="22"/>
  <c r="H463" i="22"/>
  <c r="H464" i="22"/>
  <c r="H465" i="22"/>
  <c r="H466" i="22"/>
  <c r="H467" i="22"/>
  <c r="H468" i="22"/>
  <c r="H469" i="22"/>
  <c r="H470" i="22"/>
  <c r="H471" i="22"/>
  <c r="H472" i="22"/>
  <c r="H473" i="22"/>
  <c r="H474" i="22"/>
  <c r="H475" i="22"/>
  <c r="H476" i="22"/>
  <c r="H477" i="22"/>
  <c r="H478" i="22"/>
  <c r="H479" i="22"/>
  <c r="H480" i="22"/>
  <c r="H481" i="22"/>
  <c r="H482" i="22"/>
  <c r="H483" i="22"/>
  <c r="H484" i="22"/>
  <c r="H485" i="22"/>
  <c r="H486" i="22"/>
  <c r="H487" i="22"/>
  <c r="H488" i="22"/>
  <c r="H489" i="22"/>
  <c r="H490" i="22"/>
  <c r="H491" i="22"/>
  <c r="H492" i="22"/>
  <c r="H493" i="22"/>
  <c r="H494" i="22"/>
  <c r="H495" i="22"/>
  <c r="H496" i="22"/>
  <c r="H497" i="22"/>
  <c r="H498" i="22"/>
  <c r="F71" i="22"/>
  <c r="F72" i="22"/>
  <c r="F73" i="22"/>
  <c r="F74" i="22"/>
  <c r="F75" i="22"/>
  <c r="F76" i="22"/>
  <c r="F77" i="22"/>
  <c r="F78" i="22"/>
  <c r="F79" i="22"/>
  <c r="F80" i="22"/>
  <c r="F81" i="22"/>
  <c r="F82" i="22"/>
  <c r="F83" i="22"/>
  <c r="F84" i="22"/>
  <c r="F85" i="22"/>
  <c r="F86" i="22"/>
  <c r="F87" i="22"/>
  <c r="F88" i="22"/>
  <c r="F89" i="22"/>
  <c r="F90" i="22"/>
  <c r="F91" i="22"/>
  <c r="F92" i="22"/>
  <c r="F93" i="22"/>
  <c r="F94" i="22"/>
  <c r="F95" i="22"/>
  <c r="F96" i="22"/>
  <c r="F97" i="22"/>
  <c r="F98" i="22"/>
  <c r="F99" i="22"/>
  <c r="F100" i="22"/>
  <c r="F101" i="22"/>
  <c r="F102" i="22"/>
  <c r="F103" i="22"/>
  <c r="F104" i="22"/>
  <c r="F105" i="22"/>
  <c r="F106" i="22"/>
  <c r="F107" i="22"/>
  <c r="F108" i="22"/>
  <c r="F109" i="22"/>
  <c r="F110" i="22"/>
  <c r="F111" i="22"/>
  <c r="F112" i="22"/>
  <c r="F113" i="22"/>
  <c r="F114" i="22"/>
  <c r="F115" i="22"/>
  <c r="F116" i="22"/>
  <c r="F117" i="22"/>
  <c r="F118" i="22"/>
  <c r="F119" i="22"/>
  <c r="F120" i="22"/>
  <c r="F121" i="22"/>
  <c r="F122" i="22"/>
  <c r="F123" i="22"/>
  <c r="F124" i="22"/>
  <c r="F125" i="22"/>
  <c r="F126" i="22"/>
  <c r="F127" i="22"/>
  <c r="F128" i="22"/>
  <c r="F129" i="22"/>
  <c r="F130" i="22"/>
  <c r="F131" i="22"/>
  <c r="F132" i="22"/>
  <c r="F133" i="22"/>
  <c r="F134" i="22"/>
  <c r="F135" i="22"/>
  <c r="F136" i="22"/>
  <c r="F137" i="22"/>
  <c r="F138" i="22"/>
  <c r="F139" i="22"/>
  <c r="F140" i="22"/>
  <c r="F141" i="22"/>
  <c r="F142" i="22"/>
  <c r="F143" i="22"/>
  <c r="F144" i="22"/>
  <c r="F145" i="22"/>
  <c r="F146" i="22"/>
  <c r="F147" i="22"/>
  <c r="F148" i="22"/>
  <c r="F149" i="22"/>
  <c r="F150" i="22"/>
  <c r="F151" i="22"/>
  <c r="F152" i="22"/>
  <c r="F153" i="22"/>
  <c r="F154" i="22"/>
  <c r="F155" i="22"/>
  <c r="F156" i="22"/>
  <c r="F157" i="22"/>
  <c r="F158" i="22"/>
  <c r="F159" i="22"/>
  <c r="F160" i="22"/>
  <c r="F161" i="22"/>
  <c r="F162" i="22"/>
  <c r="F163" i="22"/>
  <c r="F164" i="22"/>
  <c r="F165" i="22"/>
  <c r="F166" i="22"/>
  <c r="F167" i="22"/>
  <c r="F168" i="22"/>
  <c r="F169" i="22"/>
  <c r="F170" i="22"/>
  <c r="F171" i="22"/>
  <c r="F172" i="22"/>
  <c r="F173" i="22"/>
  <c r="F174" i="22"/>
  <c r="F175" i="22"/>
  <c r="F176" i="22"/>
  <c r="F177" i="22"/>
  <c r="F178" i="22"/>
  <c r="F179" i="22"/>
  <c r="F180" i="22"/>
  <c r="F181" i="22"/>
  <c r="F182" i="22"/>
  <c r="F183" i="22"/>
  <c r="F184" i="22"/>
  <c r="F185" i="22"/>
  <c r="F186" i="22"/>
  <c r="F187" i="22"/>
  <c r="F188" i="22"/>
  <c r="F189" i="22"/>
  <c r="F190" i="22"/>
  <c r="F191" i="22"/>
  <c r="F192" i="22"/>
  <c r="F193" i="22"/>
  <c r="F194" i="22"/>
  <c r="F195" i="22"/>
  <c r="F196" i="22"/>
  <c r="F197" i="22"/>
  <c r="F198" i="22"/>
  <c r="F199" i="22"/>
  <c r="F200" i="22"/>
  <c r="F201" i="22"/>
  <c r="F202" i="22"/>
  <c r="F203" i="22"/>
  <c r="F204" i="22"/>
  <c r="F205" i="22"/>
  <c r="F206" i="22"/>
  <c r="F207" i="22"/>
  <c r="F208" i="22"/>
  <c r="F209" i="22"/>
  <c r="F210" i="22"/>
  <c r="F211" i="22"/>
  <c r="F212" i="22"/>
  <c r="F213" i="22"/>
  <c r="F214" i="22"/>
  <c r="F215" i="22"/>
  <c r="F216" i="22"/>
  <c r="F217" i="22"/>
  <c r="F218" i="22"/>
  <c r="F219" i="22"/>
  <c r="F220" i="22"/>
  <c r="F221" i="22"/>
  <c r="F222" i="22"/>
  <c r="F223" i="22"/>
  <c r="F224" i="22"/>
  <c r="F225" i="22"/>
  <c r="F226" i="22"/>
  <c r="F227" i="22"/>
  <c r="F228" i="22"/>
  <c r="F229" i="22"/>
  <c r="F230" i="22"/>
  <c r="F231" i="22"/>
  <c r="F232" i="22"/>
  <c r="F233" i="22"/>
  <c r="F234" i="22"/>
  <c r="F235" i="22"/>
  <c r="F236" i="22"/>
  <c r="F237" i="22"/>
  <c r="F238" i="22"/>
  <c r="F239" i="22"/>
  <c r="F240" i="22"/>
  <c r="F241" i="22"/>
  <c r="F242" i="22"/>
  <c r="F243" i="22"/>
  <c r="F244" i="22"/>
  <c r="F245" i="22"/>
  <c r="F246" i="22"/>
  <c r="F247" i="22"/>
  <c r="F248" i="22"/>
  <c r="F249" i="22"/>
  <c r="F250" i="22"/>
  <c r="F251" i="22"/>
  <c r="F252" i="22"/>
  <c r="F253" i="22"/>
  <c r="F254" i="22"/>
  <c r="F255" i="22"/>
  <c r="F256" i="22"/>
  <c r="F257" i="22"/>
  <c r="F258" i="22"/>
  <c r="F259" i="22"/>
  <c r="F260" i="22"/>
  <c r="F261" i="22"/>
  <c r="F262" i="22"/>
  <c r="F263" i="22"/>
  <c r="F264" i="22"/>
  <c r="F265" i="22"/>
  <c r="F266" i="22"/>
  <c r="F267" i="22"/>
  <c r="F268" i="22"/>
  <c r="F269" i="22"/>
  <c r="F270" i="22"/>
  <c r="F271" i="22"/>
  <c r="F272" i="22"/>
  <c r="F273" i="22"/>
  <c r="F274" i="22"/>
  <c r="F275" i="22"/>
  <c r="F276" i="22"/>
  <c r="F277" i="22"/>
  <c r="F278" i="22"/>
  <c r="F279" i="22"/>
  <c r="F280" i="22"/>
  <c r="F281" i="22"/>
  <c r="F282" i="22"/>
  <c r="F283" i="22"/>
  <c r="F284" i="22"/>
  <c r="F285" i="22"/>
  <c r="F286" i="22"/>
  <c r="F287" i="22"/>
  <c r="F288" i="22"/>
  <c r="F289" i="22"/>
  <c r="F290" i="22"/>
  <c r="F291" i="22"/>
  <c r="F292" i="22"/>
  <c r="F293" i="22"/>
  <c r="F294" i="22"/>
  <c r="F295" i="22"/>
  <c r="F296" i="22"/>
  <c r="F297" i="22"/>
  <c r="F298" i="22"/>
  <c r="F299" i="22"/>
  <c r="F300" i="22"/>
  <c r="F301" i="22"/>
  <c r="F302" i="22"/>
  <c r="F303" i="22"/>
  <c r="F304" i="22"/>
  <c r="F305" i="22"/>
  <c r="F306" i="22"/>
  <c r="F307" i="22"/>
  <c r="F308" i="22"/>
  <c r="F309" i="22"/>
  <c r="F310" i="22"/>
  <c r="F311" i="22"/>
  <c r="F312" i="22"/>
  <c r="F313" i="22"/>
  <c r="F314" i="22"/>
  <c r="F315" i="22"/>
  <c r="F316" i="22"/>
  <c r="F317" i="22"/>
  <c r="F318" i="22"/>
  <c r="F319" i="22"/>
  <c r="F320" i="22"/>
  <c r="F321" i="22"/>
  <c r="F322" i="22"/>
  <c r="F323" i="22"/>
  <c r="F324" i="22"/>
  <c r="F325" i="22"/>
  <c r="F326" i="22"/>
  <c r="F327" i="22"/>
  <c r="F328" i="22"/>
  <c r="F329" i="22"/>
  <c r="F330" i="22"/>
  <c r="F331" i="22"/>
  <c r="F332" i="22"/>
  <c r="F333" i="22"/>
  <c r="F334" i="22"/>
  <c r="F335" i="22"/>
  <c r="F336" i="22"/>
  <c r="F337" i="22"/>
  <c r="F338" i="22"/>
  <c r="F339" i="22"/>
  <c r="F340" i="22"/>
  <c r="F341" i="22"/>
  <c r="F342" i="22"/>
  <c r="F343" i="22"/>
  <c r="F344" i="22"/>
  <c r="F345" i="22"/>
  <c r="F346" i="22"/>
  <c r="F347" i="22"/>
  <c r="F348" i="22"/>
  <c r="F349" i="22"/>
  <c r="F350" i="22"/>
  <c r="F351" i="22"/>
  <c r="F352" i="22"/>
  <c r="F353" i="22"/>
  <c r="F354" i="22"/>
  <c r="F355" i="22"/>
  <c r="F356" i="22"/>
  <c r="F357" i="22"/>
  <c r="F358" i="22"/>
  <c r="F359" i="22"/>
  <c r="F360" i="22"/>
  <c r="F361" i="22"/>
  <c r="F362" i="22"/>
  <c r="F363" i="22"/>
  <c r="F364" i="22"/>
  <c r="F365" i="22"/>
  <c r="F366" i="22"/>
  <c r="F367" i="22"/>
  <c r="F368" i="22"/>
  <c r="F369" i="22"/>
  <c r="F370" i="22"/>
  <c r="F371" i="22"/>
  <c r="F372" i="22"/>
  <c r="F373" i="22"/>
  <c r="F374" i="22"/>
  <c r="F375" i="22"/>
  <c r="F376" i="22"/>
  <c r="F377" i="22"/>
  <c r="F378" i="22"/>
  <c r="F379" i="22"/>
  <c r="F380" i="22"/>
  <c r="F381" i="22"/>
  <c r="F382" i="22"/>
  <c r="F383" i="22"/>
  <c r="F384" i="22"/>
  <c r="F385" i="22"/>
  <c r="F386" i="22"/>
  <c r="F387" i="22"/>
  <c r="F388" i="22"/>
  <c r="F389" i="22"/>
  <c r="F390" i="22"/>
  <c r="F391" i="22"/>
  <c r="F392" i="22"/>
  <c r="F393" i="22"/>
  <c r="F394" i="22"/>
  <c r="F395" i="22"/>
  <c r="F396" i="22"/>
  <c r="F397" i="22"/>
  <c r="F398" i="22"/>
  <c r="F399" i="22"/>
  <c r="F400" i="22"/>
  <c r="F401" i="22"/>
  <c r="F402" i="22"/>
  <c r="F403" i="22"/>
  <c r="F404" i="22"/>
  <c r="F405" i="22"/>
  <c r="F406" i="22"/>
  <c r="F407" i="22"/>
  <c r="F408" i="22"/>
  <c r="F409" i="22"/>
  <c r="F410" i="22"/>
  <c r="F411" i="22"/>
  <c r="F412" i="22"/>
  <c r="F413" i="22"/>
  <c r="F414" i="22"/>
  <c r="F415" i="22"/>
  <c r="F416" i="22"/>
  <c r="F417" i="22"/>
  <c r="F418" i="22"/>
  <c r="F419" i="22"/>
  <c r="F420" i="22"/>
  <c r="F421" i="22"/>
  <c r="F422" i="22"/>
  <c r="F423" i="22"/>
  <c r="F424" i="22"/>
  <c r="F425" i="22"/>
  <c r="F426" i="22"/>
  <c r="F427" i="22"/>
  <c r="F428" i="22"/>
  <c r="F429" i="22"/>
  <c r="F430" i="22"/>
  <c r="F431" i="22"/>
  <c r="F432" i="22"/>
  <c r="F433" i="22"/>
  <c r="F434" i="22"/>
  <c r="F435" i="22"/>
  <c r="F436" i="22"/>
  <c r="F437" i="22"/>
  <c r="F438" i="22"/>
  <c r="F439" i="22"/>
  <c r="F440" i="22"/>
  <c r="F441" i="22"/>
  <c r="F442" i="22"/>
  <c r="F443" i="22"/>
  <c r="F444" i="22"/>
  <c r="F445" i="22"/>
  <c r="F446" i="22"/>
  <c r="F447" i="22"/>
  <c r="F448" i="22"/>
  <c r="F449" i="22"/>
  <c r="F450" i="22"/>
  <c r="F451" i="22"/>
  <c r="F452" i="22"/>
  <c r="F453" i="22"/>
  <c r="F454" i="22"/>
  <c r="F455" i="22"/>
  <c r="F456" i="22"/>
  <c r="F457" i="22"/>
  <c r="F458" i="22"/>
  <c r="F459" i="22"/>
  <c r="F460" i="22"/>
  <c r="F461" i="22"/>
  <c r="F462" i="22"/>
  <c r="F463" i="22"/>
  <c r="F464" i="22"/>
  <c r="F465" i="22"/>
  <c r="F466" i="22"/>
  <c r="F467" i="22"/>
  <c r="F468" i="22"/>
  <c r="F469" i="22"/>
  <c r="F470" i="22"/>
  <c r="F471" i="22"/>
  <c r="F472" i="22"/>
  <c r="F473" i="22"/>
  <c r="F474" i="22"/>
  <c r="F475" i="22"/>
  <c r="F476" i="22"/>
  <c r="F477" i="22"/>
  <c r="F478" i="22"/>
  <c r="F479" i="22"/>
  <c r="F480" i="22"/>
  <c r="F481" i="22"/>
  <c r="F482" i="22"/>
  <c r="F483" i="22"/>
  <c r="F484" i="22"/>
  <c r="F485" i="22"/>
  <c r="F486" i="22"/>
  <c r="F487" i="22"/>
  <c r="F488" i="22"/>
  <c r="F489" i="22"/>
  <c r="F490" i="22"/>
  <c r="F491" i="22"/>
  <c r="F492" i="22"/>
  <c r="F493" i="22"/>
  <c r="F494" i="22"/>
  <c r="F495" i="22"/>
  <c r="F496" i="22"/>
  <c r="F497" i="22"/>
  <c r="F498" i="22"/>
  <c r="C71" i="1" l="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M71" i="16"/>
  <c r="L71" i="16"/>
  <c r="M70" i="16"/>
  <c r="L70" i="16"/>
  <c r="I70" i="16" s="1"/>
  <c r="H70" i="16" s="1"/>
  <c r="E70" i="16" s="1"/>
  <c r="K70" i="16"/>
  <c r="M69" i="16"/>
  <c r="L69" i="16"/>
  <c r="I69" i="16" s="1"/>
  <c r="H69" i="16" s="1"/>
  <c r="E69" i="16" s="1"/>
  <c r="K69" i="16"/>
  <c r="M68" i="16"/>
  <c r="L68" i="16"/>
  <c r="I68" i="16" s="1"/>
  <c r="H68" i="16" s="1"/>
  <c r="E68" i="16" s="1"/>
  <c r="K68" i="16"/>
  <c r="M67" i="16"/>
  <c r="M66" i="16"/>
  <c r="M65" i="16"/>
  <c r="L65" i="16"/>
  <c r="I65" i="16" s="1"/>
  <c r="H65" i="16" s="1"/>
  <c r="E65" i="16" s="1"/>
  <c r="K65" i="16"/>
  <c r="M64" i="16"/>
  <c r="L64" i="16"/>
  <c r="I64" i="16" s="1"/>
  <c r="H64" i="16" s="1"/>
  <c r="E64" i="16" s="1"/>
  <c r="K64" i="16"/>
  <c r="M63" i="16"/>
  <c r="L63" i="16"/>
  <c r="I63" i="16" s="1"/>
  <c r="H63" i="16" s="1"/>
  <c r="E63" i="16" s="1"/>
  <c r="K63" i="16"/>
  <c r="M62" i="16"/>
  <c r="L62" i="16"/>
  <c r="I62" i="16" s="1"/>
  <c r="H62" i="16" s="1"/>
  <c r="E62" i="16" s="1"/>
  <c r="K62" i="16"/>
  <c r="M61" i="16"/>
  <c r="M60" i="16"/>
  <c r="L60" i="16"/>
  <c r="I60" i="16" s="1"/>
  <c r="H60" i="16" s="1"/>
  <c r="E60" i="16" s="1"/>
  <c r="K60" i="16"/>
  <c r="M59" i="16"/>
  <c r="L59" i="16"/>
  <c r="I59" i="16" s="1"/>
  <c r="H59" i="16" s="1"/>
  <c r="E59" i="16" s="1"/>
  <c r="K59" i="16"/>
  <c r="M58" i="16"/>
  <c r="L58" i="16"/>
  <c r="I58" i="16" s="1"/>
  <c r="H58" i="16" s="1"/>
  <c r="E58" i="16" s="1"/>
  <c r="K58" i="16"/>
  <c r="M57" i="16"/>
  <c r="L57" i="16"/>
  <c r="I57" i="16" s="1"/>
  <c r="H57" i="16" s="1"/>
  <c r="E57" i="16" s="1"/>
  <c r="K57" i="16"/>
  <c r="M56" i="16"/>
  <c r="L56" i="16"/>
  <c r="I56" i="16" s="1"/>
  <c r="H56" i="16" s="1"/>
  <c r="E56" i="16" s="1"/>
  <c r="K56" i="16"/>
  <c r="M55" i="16"/>
  <c r="L55" i="16"/>
  <c r="I55" i="16" s="1"/>
  <c r="H55" i="16" s="1"/>
  <c r="E55" i="16" s="1"/>
  <c r="K55" i="16"/>
  <c r="M54" i="16"/>
  <c r="L54" i="16"/>
  <c r="I54" i="16" s="1"/>
  <c r="H54" i="16" s="1"/>
  <c r="E54" i="16" s="1"/>
  <c r="K54" i="16"/>
  <c r="M53" i="16"/>
  <c r="L53" i="16"/>
  <c r="I53" i="16" s="1"/>
  <c r="H53" i="16" s="1"/>
  <c r="E53" i="16" s="1"/>
  <c r="K53" i="16"/>
  <c r="M52" i="16"/>
  <c r="L52" i="16"/>
  <c r="I52" i="16" s="1"/>
  <c r="H52" i="16" s="1"/>
  <c r="E52" i="16" s="1"/>
  <c r="K52" i="16"/>
  <c r="M51" i="16"/>
  <c r="L51" i="16"/>
  <c r="I51" i="16" s="1"/>
  <c r="H51" i="16" s="1"/>
  <c r="E51" i="16" s="1"/>
  <c r="K51" i="16"/>
  <c r="M50" i="16"/>
  <c r="M49" i="16"/>
  <c r="M48" i="16"/>
  <c r="L48" i="16"/>
  <c r="I48" i="16" s="1"/>
  <c r="H48" i="16" s="1"/>
  <c r="E48" i="16" s="1"/>
  <c r="K48" i="16"/>
  <c r="M47" i="16"/>
  <c r="L47" i="16"/>
  <c r="I47" i="16" s="1"/>
  <c r="H47" i="16" s="1"/>
  <c r="E47" i="16" s="1"/>
  <c r="K47" i="16"/>
  <c r="M46" i="16"/>
  <c r="L46" i="16"/>
  <c r="I46" i="16" s="1"/>
  <c r="H46" i="16" s="1"/>
  <c r="E46" i="16" s="1"/>
  <c r="K46" i="16"/>
  <c r="M45" i="16"/>
  <c r="L45" i="16"/>
  <c r="I45" i="16" s="1"/>
  <c r="H45" i="16" s="1"/>
  <c r="E45" i="16" s="1"/>
  <c r="K45" i="16"/>
  <c r="M44" i="16"/>
  <c r="L44" i="16"/>
  <c r="I44" i="16" s="1"/>
  <c r="H44" i="16" s="1"/>
  <c r="E44" i="16" s="1"/>
  <c r="K44" i="16"/>
  <c r="M43" i="16"/>
  <c r="M42" i="16"/>
  <c r="L42" i="16"/>
  <c r="I42" i="16" s="1"/>
  <c r="H42" i="16" s="1"/>
  <c r="E42" i="16" s="1"/>
  <c r="K42" i="16"/>
  <c r="M41" i="16"/>
  <c r="M40" i="16"/>
  <c r="M39" i="16"/>
  <c r="L39" i="16"/>
  <c r="I39" i="16" s="1"/>
  <c r="H39" i="16" s="1"/>
  <c r="E39" i="16" s="1"/>
  <c r="K39" i="16"/>
  <c r="M38" i="16"/>
  <c r="L38" i="16"/>
  <c r="I38" i="16" s="1"/>
  <c r="H38" i="16" s="1"/>
  <c r="E38" i="16" s="1"/>
  <c r="K38" i="16"/>
  <c r="M37" i="16"/>
  <c r="L37" i="16"/>
  <c r="I37" i="16" s="1"/>
  <c r="H37" i="16" s="1"/>
  <c r="E37" i="16" s="1"/>
  <c r="K37" i="16"/>
  <c r="M36" i="16"/>
  <c r="L36" i="16"/>
  <c r="I36" i="16" s="1"/>
  <c r="H36" i="16" s="1"/>
  <c r="E36" i="16" s="1"/>
  <c r="K36" i="16"/>
  <c r="M35" i="16"/>
  <c r="L35" i="16"/>
  <c r="I35" i="16" s="1"/>
  <c r="H35" i="16" s="1"/>
  <c r="E35" i="16" s="1"/>
  <c r="K35" i="16"/>
  <c r="M34" i="16"/>
  <c r="L34" i="16"/>
  <c r="I34" i="16" s="1"/>
  <c r="H34" i="16" s="1"/>
  <c r="E34" i="16" s="1"/>
  <c r="K34" i="16"/>
  <c r="M33" i="16"/>
  <c r="L33" i="16"/>
  <c r="I33" i="16" s="1"/>
  <c r="H33" i="16" s="1"/>
  <c r="E33" i="16" s="1"/>
  <c r="K33" i="16"/>
  <c r="M32" i="16"/>
  <c r="L32" i="16"/>
  <c r="I32" i="16" s="1"/>
  <c r="H32" i="16" s="1"/>
  <c r="K32" i="16"/>
  <c r="M31" i="16"/>
  <c r="L31" i="16"/>
  <c r="I31" i="16" s="1"/>
  <c r="H31" i="16" s="1"/>
  <c r="E31" i="16" s="1"/>
  <c r="K31" i="16"/>
  <c r="M30" i="16"/>
  <c r="L30" i="16"/>
  <c r="I30" i="16" s="1"/>
  <c r="H30" i="16" s="1"/>
  <c r="E30" i="16" s="1"/>
  <c r="K30" i="16"/>
  <c r="M29" i="16"/>
  <c r="L29" i="16"/>
  <c r="I29" i="16" s="1"/>
  <c r="H29" i="16" s="1"/>
  <c r="E29" i="16" s="1"/>
  <c r="K29" i="16"/>
  <c r="M28" i="16"/>
  <c r="L28" i="16"/>
  <c r="I28" i="16" s="1"/>
  <c r="H28" i="16" s="1"/>
  <c r="E28" i="16" s="1"/>
  <c r="K28" i="16"/>
  <c r="M27" i="16"/>
  <c r="L27" i="16"/>
  <c r="M26" i="16"/>
  <c r="L26" i="16"/>
  <c r="I26" i="16" s="1"/>
  <c r="H26" i="16" s="1"/>
  <c r="E26" i="16" s="1"/>
  <c r="K26" i="16"/>
  <c r="M25" i="16"/>
  <c r="L25" i="16"/>
  <c r="I25" i="16" s="1"/>
  <c r="H25" i="16" s="1"/>
  <c r="E25" i="16" s="1"/>
  <c r="K25" i="16"/>
  <c r="M24" i="16"/>
  <c r="L24" i="16"/>
  <c r="I24" i="16" s="1"/>
  <c r="H24" i="16" s="1"/>
  <c r="E24" i="16" s="1"/>
  <c r="K24" i="16"/>
  <c r="M23" i="16"/>
  <c r="L23" i="16"/>
  <c r="I23" i="16" s="1"/>
  <c r="H23" i="16" s="1"/>
  <c r="E23" i="16" s="1"/>
  <c r="K23" i="16"/>
  <c r="M22" i="16"/>
  <c r="L22" i="16"/>
  <c r="I22" i="16" s="1"/>
  <c r="H22" i="16" s="1"/>
  <c r="E22" i="16" s="1"/>
  <c r="K22" i="16"/>
  <c r="M21" i="16"/>
  <c r="L21" i="16"/>
  <c r="I21" i="16" s="1"/>
  <c r="H21" i="16" s="1"/>
  <c r="E21" i="16" s="1"/>
  <c r="K21" i="16"/>
  <c r="M20" i="16"/>
  <c r="L20" i="16"/>
  <c r="I20" i="16" s="1"/>
  <c r="H20" i="16" s="1"/>
  <c r="K20" i="16"/>
  <c r="M19" i="16"/>
  <c r="L19" i="16"/>
  <c r="I19" i="16" s="1"/>
  <c r="H19" i="16" s="1"/>
  <c r="K19" i="16"/>
  <c r="M18" i="16"/>
  <c r="M17" i="16"/>
  <c r="L17" i="16"/>
  <c r="I17" i="16" s="1"/>
  <c r="H17" i="16" s="1"/>
  <c r="K17" i="16"/>
  <c r="M16" i="16"/>
  <c r="L16" i="16"/>
  <c r="I16" i="16" s="1"/>
  <c r="H16" i="16" s="1"/>
  <c r="E16" i="16" s="1"/>
  <c r="K16" i="16"/>
  <c r="M15" i="16"/>
  <c r="L15" i="16"/>
  <c r="I15" i="16" s="1"/>
  <c r="H15" i="16" s="1"/>
  <c r="E15" i="16" s="1"/>
  <c r="K15" i="16"/>
  <c r="M14" i="16"/>
  <c r="L14" i="16"/>
  <c r="I14" i="16" s="1"/>
  <c r="H14" i="16" s="1"/>
  <c r="E14" i="16" s="1"/>
  <c r="K14" i="16"/>
  <c r="M13" i="16"/>
  <c r="M12" i="16"/>
  <c r="L12" i="16"/>
  <c r="I12" i="16" s="1"/>
  <c r="H12" i="16" s="1"/>
  <c r="K12" i="16"/>
  <c r="M11" i="16"/>
  <c r="L11" i="16"/>
  <c r="I11" i="16" s="1"/>
  <c r="H11" i="16" s="1"/>
  <c r="K11" i="16"/>
  <c r="M10" i="16"/>
  <c r="L10" i="16"/>
  <c r="M9" i="16"/>
  <c r="L9" i="16"/>
  <c r="I9" i="16" s="1"/>
  <c r="H9" i="16" s="1"/>
  <c r="E9" i="16" s="1"/>
  <c r="K9" i="16"/>
  <c r="M8" i="16"/>
  <c r="L8" i="16"/>
  <c r="I8" i="16" s="1"/>
  <c r="H8" i="16" s="1"/>
  <c r="E8" i="16" s="1"/>
  <c r="K8" i="16"/>
  <c r="M7" i="16"/>
  <c r="L7" i="16"/>
  <c r="I7" i="16" s="1"/>
  <c r="H7" i="16" s="1"/>
  <c r="E7" i="16" s="1"/>
  <c r="K7" i="16"/>
  <c r="M6" i="16"/>
  <c r="L6" i="16"/>
  <c r="I6" i="16" s="1"/>
  <c r="H6" i="16" s="1"/>
  <c r="E6" i="16" s="1"/>
  <c r="K6" i="16"/>
  <c r="M5" i="16"/>
  <c r="L5" i="16"/>
  <c r="I5" i="16" s="1"/>
  <c r="H5" i="16" s="1"/>
  <c r="K5" i="16"/>
  <c r="M4" i="16"/>
  <c r="L4" i="16"/>
  <c r="I4" i="16" s="1"/>
  <c r="H4" i="16" s="1"/>
  <c r="K4" i="16"/>
  <c r="M3" i="16"/>
  <c r="L3" i="16"/>
  <c r="I3" i="16" s="1"/>
  <c r="H3" i="16" s="1"/>
  <c r="E3" i="16" s="1"/>
  <c r="K3" i="16"/>
  <c r="M2" i="16"/>
  <c r="E32" i="16"/>
  <c r="E20" i="16"/>
  <c r="E19" i="16"/>
  <c r="E17" i="16"/>
  <c r="E13" i="16"/>
  <c r="E12" i="16"/>
  <c r="E11" i="16"/>
  <c r="E5" i="16"/>
  <c r="E4" i="16"/>
  <c r="E2" i="16"/>
  <c r="BH71" i="15"/>
  <c r="BH72" i="15"/>
  <c r="BH73" i="15"/>
  <c r="BH74" i="15"/>
  <c r="BH75" i="15"/>
  <c r="BH76" i="15"/>
  <c r="BH77" i="15"/>
  <c r="BH78" i="15"/>
  <c r="BH79" i="15"/>
  <c r="BH80" i="15"/>
  <c r="BH81" i="15"/>
  <c r="BH82" i="15"/>
  <c r="BH83" i="15"/>
  <c r="BH84" i="15"/>
  <c r="BH85" i="15"/>
  <c r="BH86" i="15"/>
  <c r="BH87" i="15"/>
  <c r="BH88" i="15"/>
  <c r="BH89" i="15"/>
  <c r="BH90" i="15"/>
  <c r="BH91" i="15"/>
  <c r="BH92" i="15"/>
  <c r="BH93" i="15"/>
  <c r="BH94" i="15"/>
  <c r="BH95" i="15"/>
  <c r="BH96" i="15"/>
  <c r="BH97" i="15"/>
  <c r="BH98" i="15"/>
  <c r="BH99" i="15"/>
  <c r="BH100" i="15"/>
  <c r="BH101" i="15"/>
  <c r="BH102" i="15"/>
  <c r="BH103" i="15"/>
  <c r="BH104" i="15"/>
  <c r="BH105" i="15"/>
  <c r="BH106" i="15"/>
  <c r="BH107" i="15"/>
  <c r="BH108" i="15"/>
  <c r="BH109" i="15"/>
  <c r="BH110" i="15"/>
  <c r="BH111" i="15"/>
  <c r="BH112" i="15"/>
  <c r="BH113" i="15"/>
  <c r="BH114" i="15"/>
  <c r="BH115" i="15"/>
  <c r="BH116" i="15"/>
  <c r="BH117" i="15"/>
  <c r="BH118" i="15"/>
  <c r="BH119" i="15"/>
  <c r="BH120" i="15"/>
  <c r="BH121" i="15"/>
  <c r="BH122" i="15"/>
  <c r="BH123" i="15"/>
  <c r="BH124" i="15"/>
  <c r="BH125" i="15"/>
  <c r="BH126" i="15"/>
  <c r="BH127" i="15"/>
  <c r="BH128" i="15"/>
  <c r="BH129" i="15"/>
  <c r="BH130" i="15"/>
  <c r="BH131" i="15"/>
  <c r="BH132" i="15"/>
  <c r="BH133" i="15"/>
  <c r="BH134" i="15"/>
  <c r="BH135" i="15"/>
  <c r="BH136" i="15"/>
  <c r="BH137" i="15"/>
  <c r="BH138" i="15"/>
  <c r="BH139" i="15"/>
  <c r="BH140" i="15"/>
  <c r="BH141" i="15"/>
  <c r="BH142" i="15"/>
  <c r="BH143" i="15"/>
  <c r="BH144" i="15"/>
  <c r="BH145" i="15"/>
  <c r="BH146" i="15"/>
  <c r="BH147" i="15"/>
  <c r="BH148" i="15"/>
  <c r="BH149" i="15"/>
  <c r="BH150" i="15"/>
  <c r="BH151" i="15"/>
  <c r="BH152" i="15"/>
  <c r="BH153" i="15"/>
  <c r="BH154" i="15"/>
  <c r="BH155" i="15"/>
  <c r="BH156" i="15"/>
  <c r="BH157" i="15"/>
  <c r="BH158" i="15"/>
  <c r="BH159" i="15"/>
  <c r="BH160" i="15"/>
  <c r="BH161" i="15"/>
  <c r="BH162" i="15"/>
  <c r="BH163" i="15"/>
  <c r="BH164" i="15"/>
  <c r="BH165" i="15"/>
  <c r="BH166" i="15"/>
  <c r="BH167" i="15"/>
  <c r="BH168" i="15"/>
  <c r="BH169" i="15"/>
  <c r="BH170" i="15"/>
  <c r="BH171" i="15"/>
  <c r="BH172" i="15"/>
  <c r="BH173" i="15"/>
  <c r="BH174" i="15"/>
  <c r="BH175" i="15"/>
  <c r="BH176" i="15"/>
  <c r="BH177" i="15"/>
  <c r="BH178" i="15"/>
  <c r="BH179" i="15"/>
  <c r="BH180" i="15"/>
  <c r="BH181" i="15"/>
  <c r="BH182" i="15"/>
  <c r="BH183" i="15"/>
  <c r="BH184" i="15"/>
  <c r="BH185" i="15"/>
  <c r="BH186" i="15"/>
  <c r="BH187" i="15"/>
  <c r="BH188" i="15"/>
  <c r="BH189" i="15"/>
  <c r="BH190" i="15"/>
  <c r="BH191" i="15"/>
  <c r="BH192" i="15"/>
  <c r="BH193" i="15"/>
  <c r="BH194" i="15"/>
  <c r="BH195" i="15"/>
  <c r="BH196" i="15"/>
  <c r="BH197" i="15"/>
  <c r="BH198" i="15"/>
  <c r="BH199" i="15"/>
  <c r="BH200" i="15"/>
  <c r="BH201" i="15"/>
  <c r="BH202" i="15"/>
  <c r="BH203" i="15"/>
  <c r="BH204" i="15"/>
  <c r="BH205" i="15"/>
  <c r="BH206" i="15"/>
  <c r="BH207" i="15"/>
  <c r="BH208" i="15"/>
  <c r="BH209" i="15"/>
  <c r="BH210" i="15"/>
  <c r="BH211" i="15"/>
  <c r="BH212" i="15"/>
  <c r="BH213" i="15"/>
  <c r="BH214" i="15"/>
  <c r="BH215" i="15"/>
  <c r="BH216" i="15"/>
  <c r="BH217" i="15"/>
  <c r="BH218" i="15"/>
  <c r="BH219" i="15"/>
  <c r="BH220" i="15"/>
  <c r="BH221" i="15"/>
  <c r="BH222" i="15"/>
  <c r="BH223" i="15"/>
  <c r="BH224" i="15"/>
  <c r="BH225" i="15"/>
  <c r="BH226" i="15"/>
  <c r="BH227" i="15"/>
  <c r="BH228" i="15"/>
  <c r="BH229" i="15"/>
  <c r="BH230" i="15"/>
  <c r="BH231" i="15"/>
  <c r="BH232" i="15"/>
  <c r="BH233" i="15"/>
  <c r="BH234" i="15"/>
  <c r="BH235" i="15"/>
  <c r="BH236" i="15"/>
  <c r="BH237" i="15"/>
  <c r="BH238" i="15"/>
  <c r="BH239" i="15"/>
  <c r="BH240" i="15"/>
  <c r="BH241" i="15"/>
  <c r="BH242" i="15"/>
  <c r="BH243" i="15"/>
  <c r="BH244" i="15"/>
  <c r="BH245" i="15"/>
  <c r="BH246" i="15"/>
  <c r="BH247" i="15"/>
  <c r="BH248" i="15"/>
  <c r="BH249" i="15"/>
  <c r="BH250" i="15"/>
  <c r="BH251" i="15"/>
  <c r="BH252" i="15"/>
  <c r="BH253" i="15"/>
  <c r="BH254" i="15"/>
  <c r="BH255" i="15"/>
  <c r="BH256" i="15"/>
  <c r="BH257" i="15"/>
  <c r="BH258" i="15"/>
  <c r="BH259" i="15"/>
  <c r="BH260" i="15"/>
  <c r="BH261" i="15"/>
  <c r="BH262" i="15"/>
  <c r="BH263" i="15"/>
  <c r="BH264" i="15"/>
  <c r="BH265" i="15"/>
  <c r="BH266" i="15"/>
  <c r="BH267" i="15"/>
  <c r="BH268" i="15"/>
  <c r="BH269" i="15"/>
  <c r="BH270" i="15"/>
  <c r="BH271" i="15"/>
  <c r="BH272" i="15"/>
  <c r="BH273" i="15"/>
  <c r="BH274" i="15"/>
  <c r="BH275" i="15"/>
  <c r="BH276" i="15"/>
  <c r="BH277" i="15"/>
  <c r="BH278" i="15"/>
  <c r="BH279" i="15"/>
  <c r="BH280" i="15"/>
  <c r="BH281" i="15"/>
  <c r="BH282" i="15"/>
  <c r="BH283" i="15"/>
  <c r="BH284" i="15"/>
  <c r="BH285" i="15"/>
  <c r="BH286" i="15"/>
  <c r="BH287" i="15"/>
  <c r="BH288" i="15"/>
  <c r="BH289" i="15"/>
  <c r="BH290" i="15"/>
  <c r="BH291" i="15"/>
  <c r="BH292" i="15"/>
  <c r="BH293" i="15"/>
  <c r="BH294" i="15"/>
  <c r="BH295" i="15"/>
  <c r="BH296" i="15"/>
  <c r="BH297" i="15"/>
  <c r="BH298" i="15"/>
  <c r="BH299" i="15"/>
  <c r="BH300" i="15"/>
  <c r="BH301" i="15"/>
  <c r="BH302" i="15"/>
  <c r="BH303" i="15"/>
  <c r="BH304" i="15"/>
  <c r="BH305" i="15"/>
  <c r="BH306" i="15"/>
  <c r="BH307" i="15"/>
  <c r="BH308" i="15"/>
  <c r="BH309" i="15"/>
  <c r="BH310" i="15"/>
  <c r="BH311" i="15"/>
  <c r="BH312" i="15"/>
  <c r="BH313" i="15"/>
  <c r="BH314" i="15"/>
  <c r="BH315" i="15"/>
  <c r="BH316" i="15"/>
  <c r="BH317" i="15"/>
  <c r="BH318" i="15"/>
  <c r="BH319" i="15"/>
  <c r="BH320" i="15"/>
  <c r="BH321" i="15"/>
  <c r="BH322" i="15"/>
  <c r="BH323" i="15"/>
  <c r="BH324" i="15"/>
  <c r="BH325" i="15"/>
  <c r="BH326" i="15"/>
  <c r="BH327" i="15"/>
  <c r="BH328" i="15"/>
  <c r="BH329" i="15"/>
  <c r="BH330" i="15"/>
  <c r="BH331" i="15"/>
  <c r="BH332" i="15"/>
  <c r="BH333" i="15"/>
  <c r="BH334" i="15"/>
  <c r="BH335" i="15"/>
  <c r="BH336" i="15"/>
  <c r="BH337" i="15"/>
  <c r="BH338" i="15"/>
  <c r="BH339" i="15"/>
  <c r="BH340" i="15"/>
  <c r="BH341" i="15"/>
  <c r="BH342" i="15"/>
  <c r="BH343" i="15"/>
  <c r="BH344" i="15"/>
  <c r="BH345" i="15"/>
  <c r="BH346" i="15"/>
  <c r="BH347" i="15"/>
  <c r="BH348" i="15"/>
  <c r="BH349" i="15"/>
  <c r="BH350" i="15"/>
  <c r="BH351" i="15"/>
  <c r="BH352" i="15"/>
  <c r="BH353" i="15"/>
  <c r="BH354" i="15"/>
  <c r="BH355" i="15"/>
  <c r="BH356" i="15"/>
  <c r="BH357" i="15"/>
  <c r="BH358" i="15"/>
  <c r="BH359" i="15"/>
  <c r="BH360" i="15"/>
  <c r="BH361" i="15"/>
  <c r="BH362" i="15"/>
  <c r="BH363" i="15"/>
  <c r="BH364" i="15"/>
  <c r="BH365" i="15"/>
  <c r="BH366" i="15"/>
  <c r="BH367" i="15"/>
  <c r="BH368" i="15"/>
  <c r="BH369" i="15"/>
  <c r="BH370" i="15"/>
  <c r="BH371" i="15"/>
  <c r="BH372" i="15"/>
  <c r="BH373" i="15"/>
  <c r="BH374" i="15"/>
  <c r="BH375" i="15"/>
  <c r="BH376" i="15"/>
  <c r="BH377" i="15"/>
  <c r="BH378" i="15"/>
  <c r="BH379" i="15"/>
  <c r="BH380" i="15"/>
  <c r="BH381" i="15"/>
  <c r="BH382" i="15"/>
  <c r="BH383" i="15"/>
  <c r="BH384" i="15"/>
  <c r="BH385" i="15"/>
  <c r="BH386" i="15"/>
  <c r="BH387" i="15"/>
  <c r="BH388" i="15"/>
  <c r="BH389" i="15"/>
  <c r="BH390" i="15"/>
  <c r="BH391" i="15"/>
  <c r="BH392" i="15"/>
  <c r="BH393" i="15"/>
  <c r="BH394" i="15"/>
  <c r="BH395" i="15"/>
  <c r="BH396" i="15"/>
  <c r="BH397" i="15"/>
  <c r="BH398" i="15"/>
  <c r="BH399" i="15"/>
  <c r="BH400" i="15"/>
  <c r="BH401" i="15"/>
  <c r="BH402" i="15"/>
  <c r="BH403" i="15"/>
  <c r="BH404" i="15"/>
  <c r="BH405" i="15"/>
  <c r="BH406" i="15"/>
  <c r="BH407" i="15"/>
  <c r="BH408" i="15"/>
  <c r="BH409" i="15"/>
  <c r="BH410" i="15"/>
  <c r="BH411" i="15"/>
  <c r="BH412" i="15"/>
  <c r="BH413" i="15"/>
  <c r="BH414" i="15"/>
  <c r="BH415" i="15"/>
  <c r="BH416" i="15"/>
  <c r="BH417" i="15"/>
  <c r="BH418" i="15"/>
  <c r="BH419" i="15"/>
  <c r="BH420" i="15"/>
  <c r="BH421" i="15"/>
  <c r="BH422" i="15"/>
  <c r="BH423" i="15"/>
  <c r="BH424" i="15"/>
  <c r="BH425" i="15"/>
  <c r="BH426" i="15"/>
  <c r="BH427" i="15"/>
  <c r="BH428" i="15"/>
  <c r="BH429" i="15"/>
  <c r="BH430" i="15"/>
  <c r="BH431" i="15"/>
  <c r="BH432" i="15"/>
  <c r="BH433" i="15"/>
  <c r="BH434" i="15"/>
  <c r="BH435" i="15"/>
  <c r="BH436" i="15"/>
  <c r="BH437" i="15"/>
  <c r="BH438" i="15"/>
  <c r="BH439" i="15"/>
  <c r="BH440" i="15"/>
  <c r="BH441" i="15"/>
  <c r="BH442" i="15"/>
  <c r="BH443" i="15"/>
  <c r="BH444" i="15"/>
  <c r="BH445" i="15"/>
  <c r="BH446" i="15"/>
  <c r="BH447" i="15"/>
  <c r="BH448" i="15"/>
  <c r="BH449" i="15"/>
  <c r="BH450" i="15"/>
  <c r="BH451" i="15"/>
  <c r="BH452" i="15"/>
  <c r="BH453" i="15"/>
  <c r="BH454" i="15"/>
  <c r="BH455" i="15"/>
  <c r="BH456" i="15"/>
  <c r="BH457" i="15"/>
  <c r="BH458" i="15"/>
  <c r="BH459" i="15"/>
  <c r="BH460" i="15"/>
  <c r="BH461" i="15"/>
  <c r="BH462" i="15"/>
  <c r="BH463" i="15"/>
  <c r="BH464" i="15"/>
  <c r="BH465" i="15"/>
  <c r="BH466" i="15"/>
  <c r="BH467" i="15"/>
  <c r="BH468" i="15"/>
  <c r="BH469" i="15"/>
  <c r="BH470" i="15"/>
  <c r="BH471" i="15"/>
  <c r="BH472" i="15"/>
  <c r="BH473" i="15"/>
  <c r="BH474" i="15"/>
  <c r="BH475" i="15"/>
  <c r="BH476" i="15"/>
  <c r="BH477" i="15"/>
  <c r="BH478" i="15"/>
  <c r="BH479" i="15"/>
  <c r="BH480" i="15"/>
  <c r="BH481" i="15"/>
  <c r="BH482" i="15"/>
  <c r="BH483" i="15"/>
  <c r="BH484" i="15"/>
  <c r="BH485" i="15"/>
  <c r="BH486" i="15"/>
  <c r="BH487" i="15"/>
  <c r="BH488" i="15"/>
  <c r="BH489" i="15"/>
  <c r="BH490" i="15"/>
  <c r="BH491" i="15"/>
  <c r="BH492" i="15"/>
  <c r="BH493" i="15"/>
  <c r="I50" i="15" l="1"/>
  <c r="I51" i="15"/>
  <c r="I52" i="15"/>
  <c r="I53" i="15"/>
  <c r="I54" i="15"/>
  <c r="I55" i="15"/>
  <c r="I36" i="15" l="1"/>
  <c r="G36" i="15"/>
  <c r="O72" i="16"/>
  <c r="I35" i="15"/>
  <c r="G35" i="15"/>
  <c r="I34" i="15"/>
  <c r="G34" i="15"/>
  <c r="I33" i="15"/>
  <c r="G33" i="15"/>
  <c r="I32" i="15"/>
  <c r="G32" i="15"/>
  <c r="I31" i="15"/>
  <c r="G31" i="15"/>
  <c r="I30" i="15"/>
  <c r="G30" i="15"/>
  <c r="I29" i="15"/>
  <c r="G29" i="15"/>
  <c r="I28" i="15"/>
  <c r="G28" i="15"/>
  <c r="I27" i="15"/>
  <c r="G27" i="15"/>
  <c r="I26" i="15"/>
  <c r="G26" i="15"/>
  <c r="I25" i="15"/>
  <c r="G25" i="15"/>
  <c r="I24" i="15"/>
  <c r="G24" i="15"/>
  <c r="I23" i="15"/>
  <c r="G23" i="15"/>
  <c r="O498" i="24"/>
  <c r="N498" i="24"/>
  <c r="L498" i="24"/>
  <c r="D498" i="24"/>
  <c r="C498" i="24"/>
  <c r="B498" i="24"/>
  <c r="O497" i="24"/>
  <c r="N497" i="24"/>
  <c r="L497" i="24"/>
  <c r="B497" i="24" s="1"/>
  <c r="D497" i="24"/>
  <c r="C497" i="24"/>
  <c r="O496" i="24"/>
  <c r="N496" i="24"/>
  <c r="L496" i="24"/>
  <c r="D496" i="24"/>
  <c r="C496" i="24"/>
  <c r="B496" i="24"/>
  <c r="O495" i="24"/>
  <c r="N495" i="24"/>
  <c r="L495" i="24"/>
  <c r="D495" i="24"/>
  <c r="C495" i="24"/>
  <c r="B495" i="24"/>
  <c r="O494" i="24"/>
  <c r="N494" i="24"/>
  <c r="L494" i="24"/>
  <c r="D494" i="24"/>
  <c r="C494" i="24"/>
  <c r="B494" i="24"/>
  <c r="O493" i="24"/>
  <c r="N493" i="24"/>
  <c r="L493" i="24"/>
  <c r="B493" i="24" s="1"/>
  <c r="D493" i="24"/>
  <c r="C493" i="24"/>
  <c r="O492" i="24"/>
  <c r="N492" i="24"/>
  <c r="L492" i="24"/>
  <c r="D492" i="24"/>
  <c r="C492" i="24"/>
  <c r="B492" i="24"/>
  <c r="O491" i="24"/>
  <c r="N491" i="24"/>
  <c r="L491" i="24"/>
  <c r="D491" i="24"/>
  <c r="C491" i="24"/>
  <c r="B491" i="24"/>
  <c r="O490" i="24"/>
  <c r="N490" i="24"/>
  <c r="L490" i="24"/>
  <c r="B490" i="24" s="1"/>
  <c r="D490" i="24"/>
  <c r="C490" i="24"/>
  <c r="O489" i="24"/>
  <c r="N489" i="24"/>
  <c r="L489" i="24"/>
  <c r="B489" i="24" s="1"/>
  <c r="D489" i="24"/>
  <c r="C489" i="24"/>
  <c r="O488" i="24"/>
  <c r="N488" i="24"/>
  <c r="L488" i="24"/>
  <c r="D488" i="24"/>
  <c r="C488" i="24"/>
  <c r="B488" i="24"/>
  <c r="O487" i="24"/>
  <c r="N487" i="24"/>
  <c r="L487" i="24"/>
  <c r="D487" i="24"/>
  <c r="C487" i="24"/>
  <c r="B487" i="24"/>
  <c r="O486" i="24"/>
  <c r="N486" i="24"/>
  <c r="L486" i="24"/>
  <c r="B486" i="24" s="1"/>
  <c r="D486" i="24"/>
  <c r="C486" i="24"/>
  <c r="O485" i="24"/>
  <c r="N485" i="24"/>
  <c r="L485" i="24"/>
  <c r="B485" i="24" s="1"/>
  <c r="D485" i="24"/>
  <c r="C485" i="24"/>
  <c r="O484" i="24"/>
  <c r="N484" i="24"/>
  <c r="L484" i="24"/>
  <c r="B484" i="24" s="1"/>
  <c r="D484" i="24"/>
  <c r="C484" i="24"/>
  <c r="O483" i="24"/>
  <c r="N483" i="24"/>
  <c r="L483" i="24"/>
  <c r="B483" i="24" s="1"/>
  <c r="D483" i="24"/>
  <c r="C483" i="24"/>
  <c r="O482" i="24"/>
  <c r="N482" i="24"/>
  <c r="L482" i="24"/>
  <c r="D482" i="24"/>
  <c r="C482" i="24"/>
  <c r="B482" i="24"/>
  <c r="O481" i="24"/>
  <c r="N481" i="24"/>
  <c r="L481" i="24"/>
  <c r="B481" i="24" s="1"/>
  <c r="D481" i="24"/>
  <c r="C481" i="24"/>
  <c r="O480" i="24"/>
  <c r="N480" i="24"/>
  <c r="L480" i="24"/>
  <c r="D480" i="24"/>
  <c r="C480" i="24"/>
  <c r="B480" i="24"/>
  <c r="O479" i="24"/>
  <c r="N479" i="24"/>
  <c r="L479" i="24"/>
  <c r="B479" i="24" s="1"/>
  <c r="D479" i="24"/>
  <c r="C479" i="24"/>
  <c r="O478" i="24"/>
  <c r="N478" i="24"/>
  <c r="L478" i="24"/>
  <c r="B478" i="24" s="1"/>
  <c r="D478" i="24"/>
  <c r="C478" i="24"/>
  <c r="O477" i="24"/>
  <c r="N477" i="24"/>
  <c r="L477" i="24"/>
  <c r="B477" i="24" s="1"/>
  <c r="D477" i="24"/>
  <c r="C477" i="24"/>
  <c r="O476" i="24"/>
  <c r="N476" i="24"/>
  <c r="L476" i="24"/>
  <c r="D476" i="24"/>
  <c r="C476" i="24"/>
  <c r="B476" i="24"/>
  <c r="O475" i="24"/>
  <c r="N475" i="24"/>
  <c r="L475" i="24"/>
  <c r="B475" i="24" s="1"/>
  <c r="D475" i="24"/>
  <c r="C475" i="24"/>
  <c r="O474" i="24"/>
  <c r="N474" i="24"/>
  <c r="L474" i="24"/>
  <c r="D474" i="24"/>
  <c r="C474" i="24"/>
  <c r="B474" i="24"/>
  <c r="O473" i="24"/>
  <c r="N473" i="24"/>
  <c r="L473" i="24"/>
  <c r="B473" i="24" s="1"/>
  <c r="D473" i="24"/>
  <c r="C473" i="24"/>
  <c r="O472" i="24"/>
  <c r="N472" i="24"/>
  <c r="L472" i="24"/>
  <c r="B472" i="24" s="1"/>
  <c r="D472" i="24"/>
  <c r="C472" i="24"/>
  <c r="O471" i="24"/>
  <c r="N471" i="24"/>
  <c r="L471" i="24"/>
  <c r="D471" i="24"/>
  <c r="C471" i="24"/>
  <c r="B471" i="24"/>
  <c r="O470" i="24"/>
  <c r="N470" i="24"/>
  <c r="L470" i="24"/>
  <c r="D470" i="24"/>
  <c r="C470" i="24"/>
  <c r="B470" i="24"/>
  <c r="O469" i="24"/>
  <c r="N469" i="24"/>
  <c r="L469" i="24"/>
  <c r="B469" i="24" s="1"/>
  <c r="D469" i="24"/>
  <c r="C469" i="24"/>
  <c r="O468" i="24"/>
  <c r="N468" i="24"/>
  <c r="L468" i="24"/>
  <c r="D468" i="24"/>
  <c r="C468" i="24"/>
  <c r="B468" i="24"/>
  <c r="O467" i="24"/>
  <c r="N467" i="24"/>
  <c r="L467" i="24"/>
  <c r="B467" i="24" s="1"/>
  <c r="D467" i="24"/>
  <c r="C467" i="24"/>
  <c r="O466" i="24"/>
  <c r="N466" i="24"/>
  <c r="L466" i="24"/>
  <c r="B466" i="24" s="1"/>
  <c r="D466" i="24"/>
  <c r="C466" i="24"/>
  <c r="O465" i="24"/>
  <c r="N465" i="24"/>
  <c r="L465" i="24"/>
  <c r="B465" i="24" s="1"/>
  <c r="D465" i="24"/>
  <c r="C465" i="24"/>
  <c r="O464" i="24"/>
  <c r="N464" i="24"/>
  <c r="L464" i="24"/>
  <c r="B464" i="24" s="1"/>
  <c r="D464" i="24"/>
  <c r="C464" i="24"/>
  <c r="O463" i="24"/>
  <c r="N463" i="24"/>
  <c r="L463" i="24"/>
  <c r="D463" i="24"/>
  <c r="C463" i="24"/>
  <c r="B463" i="24"/>
  <c r="O462" i="24"/>
  <c r="N462" i="24"/>
  <c r="L462" i="24"/>
  <c r="B462" i="24" s="1"/>
  <c r="D462" i="24"/>
  <c r="C462" i="24"/>
  <c r="O461" i="24"/>
  <c r="N461" i="24"/>
  <c r="L461" i="24"/>
  <c r="B461" i="24" s="1"/>
  <c r="D461" i="24"/>
  <c r="C461" i="24"/>
  <c r="O460" i="24"/>
  <c r="N460" i="24"/>
  <c r="L460" i="24"/>
  <c r="D460" i="24"/>
  <c r="C460" i="24"/>
  <c r="B460" i="24"/>
  <c r="O459" i="24"/>
  <c r="N459" i="24"/>
  <c r="L459" i="24"/>
  <c r="D459" i="24"/>
  <c r="C459" i="24"/>
  <c r="B459" i="24"/>
  <c r="O458" i="24"/>
  <c r="N458" i="24"/>
  <c r="L458" i="24"/>
  <c r="B458" i="24" s="1"/>
  <c r="D458" i="24"/>
  <c r="C458" i="24"/>
  <c r="O457" i="24"/>
  <c r="N457" i="24"/>
  <c r="L457" i="24"/>
  <c r="B457" i="24" s="1"/>
  <c r="D457" i="24"/>
  <c r="C457" i="24"/>
  <c r="O456" i="24"/>
  <c r="N456" i="24"/>
  <c r="L456" i="24"/>
  <c r="D456" i="24"/>
  <c r="C456" i="24"/>
  <c r="B456" i="24"/>
  <c r="O455" i="24"/>
  <c r="N455" i="24"/>
  <c r="L455" i="24"/>
  <c r="B455" i="24" s="1"/>
  <c r="D455" i="24"/>
  <c r="C455" i="24"/>
  <c r="O454" i="24"/>
  <c r="N454" i="24"/>
  <c r="L454" i="24"/>
  <c r="B454" i="24" s="1"/>
  <c r="D454" i="24"/>
  <c r="C454" i="24"/>
  <c r="O453" i="24"/>
  <c r="N453" i="24"/>
  <c r="L453" i="24"/>
  <c r="B453" i="24" s="1"/>
  <c r="D453" i="24"/>
  <c r="C453" i="24"/>
  <c r="O452" i="24"/>
  <c r="N452" i="24"/>
  <c r="L452" i="24"/>
  <c r="D452" i="24"/>
  <c r="C452" i="24"/>
  <c r="B452" i="24"/>
  <c r="O451" i="24"/>
  <c r="N451" i="24"/>
  <c r="L451" i="24"/>
  <c r="D451" i="24"/>
  <c r="C451" i="24"/>
  <c r="B451" i="24"/>
  <c r="O450" i="24"/>
  <c r="N450" i="24"/>
  <c r="L450" i="24"/>
  <c r="B450" i="24" s="1"/>
  <c r="D450" i="24"/>
  <c r="C450" i="24"/>
  <c r="O449" i="24"/>
  <c r="N449" i="24"/>
  <c r="L449" i="24"/>
  <c r="D449" i="24"/>
  <c r="C449" i="24"/>
  <c r="B449" i="24"/>
  <c r="O448" i="24"/>
  <c r="N448" i="24"/>
  <c r="L448" i="24"/>
  <c r="D448" i="24"/>
  <c r="C448" i="24"/>
  <c r="B448" i="24"/>
  <c r="O447" i="24"/>
  <c r="N447" i="24"/>
  <c r="L447" i="24"/>
  <c r="D447" i="24"/>
  <c r="C447" i="24"/>
  <c r="B447" i="24"/>
  <c r="O446" i="24"/>
  <c r="N446" i="24"/>
  <c r="L446" i="24"/>
  <c r="B446" i="24" s="1"/>
  <c r="D446" i="24"/>
  <c r="C446" i="24"/>
  <c r="O445" i="24"/>
  <c r="N445" i="24"/>
  <c r="L445" i="24"/>
  <c r="B445" i="24" s="1"/>
  <c r="D445" i="24"/>
  <c r="C445" i="24"/>
  <c r="O444" i="24"/>
  <c r="N444" i="24"/>
  <c r="L444" i="24"/>
  <c r="D444" i="24"/>
  <c r="C444" i="24"/>
  <c r="B444" i="24"/>
  <c r="O443" i="24"/>
  <c r="N443" i="24"/>
  <c r="L443" i="24"/>
  <c r="D443" i="24"/>
  <c r="C443" i="24"/>
  <c r="B443" i="24"/>
  <c r="O442" i="24"/>
  <c r="N442" i="24"/>
  <c r="L442" i="24"/>
  <c r="B442" i="24" s="1"/>
  <c r="D442" i="24"/>
  <c r="C442" i="24"/>
  <c r="O441" i="24"/>
  <c r="N441" i="24"/>
  <c r="L441" i="24"/>
  <c r="B441" i="24" s="1"/>
  <c r="D441" i="24"/>
  <c r="C441" i="24"/>
  <c r="O440" i="24"/>
  <c r="N440" i="24"/>
  <c r="L440" i="24"/>
  <c r="B440" i="24" s="1"/>
  <c r="D440" i="24"/>
  <c r="C440" i="24"/>
  <c r="O439" i="24"/>
  <c r="N439" i="24"/>
  <c r="L439" i="24"/>
  <c r="B439" i="24" s="1"/>
  <c r="D439" i="24"/>
  <c r="C439" i="24"/>
  <c r="O438" i="24"/>
  <c r="N438" i="24"/>
  <c r="L438" i="24"/>
  <c r="B438" i="24" s="1"/>
  <c r="D438" i="24"/>
  <c r="C438" i="24"/>
  <c r="O437" i="24"/>
  <c r="N437" i="24"/>
  <c r="L437" i="24"/>
  <c r="D437" i="24"/>
  <c r="C437" i="24"/>
  <c r="B437" i="24"/>
  <c r="O436" i="24"/>
  <c r="N436" i="24"/>
  <c r="L436" i="24"/>
  <c r="D436" i="24"/>
  <c r="C436" i="24"/>
  <c r="B436" i="24"/>
  <c r="O435" i="24"/>
  <c r="N435" i="24"/>
  <c r="L435" i="24"/>
  <c r="B435" i="24" s="1"/>
  <c r="D435" i="24"/>
  <c r="C435" i="24"/>
  <c r="O434" i="24"/>
  <c r="N434" i="24"/>
  <c r="L434" i="24"/>
  <c r="B434" i="24" s="1"/>
  <c r="D434" i="24"/>
  <c r="C434" i="24"/>
  <c r="O433" i="24"/>
  <c r="N433" i="24"/>
  <c r="L433" i="24"/>
  <c r="B433" i="24" s="1"/>
  <c r="D433" i="24"/>
  <c r="C433" i="24"/>
  <c r="O432" i="24"/>
  <c r="N432" i="24"/>
  <c r="L432" i="24"/>
  <c r="D432" i="24"/>
  <c r="C432" i="24"/>
  <c r="B432" i="24"/>
  <c r="O431" i="24"/>
  <c r="N431" i="24"/>
  <c r="L431" i="24"/>
  <c r="B431" i="24" s="1"/>
  <c r="D431" i="24"/>
  <c r="C431" i="24"/>
  <c r="O430" i="24"/>
  <c r="N430" i="24"/>
  <c r="L430" i="24"/>
  <c r="B430" i="24" s="1"/>
  <c r="D430" i="24"/>
  <c r="C430" i="24"/>
  <c r="O429" i="24"/>
  <c r="N429" i="24"/>
  <c r="L429" i="24"/>
  <c r="D429" i="24"/>
  <c r="C429" i="24"/>
  <c r="B429" i="24"/>
  <c r="O428" i="24"/>
  <c r="N428" i="24"/>
  <c r="L428" i="24"/>
  <c r="D428" i="24"/>
  <c r="C428" i="24"/>
  <c r="B428" i="24"/>
  <c r="O427" i="24"/>
  <c r="N427" i="24"/>
  <c r="L427" i="24"/>
  <c r="D427" i="24"/>
  <c r="C427" i="24"/>
  <c r="B427" i="24"/>
  <c r="O426" i="24"/>
  <c r="N426" i="24"/>
  <c r="L426" i="24"/>
  <c r="B426" i="24" s="1"/>
  <c r="D426" i="24"/>
  <c r="C426" i="24"/>
  <c r="O425" i="24"/>
  <c r="N425" i="24"/>
  <c r="L425" i="24"/>
  <c r="D425" i="24"/>
  <c r="C425" i="24"/>
  <c r="B425" i="24"/>
  <c r="O424" i="24"/>
  <c r="N424" i="24"/>
  <c r="L424" i="24"/>
  <c r="D424" i="24"/>
  <c r="C424" i="24"/>
  <c r="B424" i="24"/>
  <c r="O423" i="24"/>
  <c r="N423" i="24"/>
  <c r="L423" i="24"/>
  <c r="B423" i="24" s="1"/>
  <c r="D423" i="24"/>
  <c r="C423" i="24"/>
  <c r="O422" i="24"/>
  <c r="N422" i="24"/>
  <c r="L422" i="24"/>
  <c r="B422" i="24" s="1"/>
  <c r="D422" i="24"/>
  <c r="C422" i="24"/>
  <c r="O421" i="24"/>
  <c r="N421" i="24"/>
  <c r="L421" i="24"/>
  <c r="B421" i="24" s="1"/>
  <c r="D421" i="24"/>
  <c r="C421" i="24"/>
  <c r="O420" i="24"/>
  <c r="N420" i="24"/>
  <c r="L420" i="24"/>
  <c r="B420" i="24" s="1"/>
  <c r="D420" i="24"/>
  <c r="C420" i="24"/>
  <c r="O419" i="24"/>
  <c r="N419" i="24"/>
  <c r="L419" i="24"/>
  <c r="D419" i="24"/>
  <c r="C419" i="24"/>
  <c r="B419" i="24"/>
  <c r="O418" i="24"/>
  <c r="N418" i="24"/>
  <c r="L418" i="24"/>
  <c r="B418" i="24" s="1"/>
  <c r="D418" i="24"/>
  <c r="C418" i="24"/>
  <c r="O417" i="24"/>
  <c r="N417" i="24"/>
  <c r="L417" i="24"/>
  <c r="B417" i="24" s="1"/>
  <c r="D417" i="24"/>
  <c r="C417" i="24"/>
  <c r="O416" i="24"/>
  <c r="N416" i="24"/>
  <c r="L416" i="24"/>
  <c r="D416" i="24"/>
  <c r="C416" i="24"/>
  <c r="B416" i="24"/>
  <c r="O415" i="24"/>
  <c r="N415" i="24"/>
  <c r="L415" i="24"/>
  <c r="D415" i="24"/>
  <c r="C415" i="24"/>
  <c r="B415" i="24"/>
  <c r="O414" i="24"/>
  <c r="N414" i="24"/>
  <c r="L414" i="24"/>
  <c r="B414" i="24" s="1"/>
  <c r="D414" i="24"/>
  <c r="C414" i="24"/>
  <c r="O413" i="24"/>
  <c r="N413" i="24"/>
  <c r="L413" i="24"/>
  <c r="B413" i="24" s="1"/>
  <c r="D413" i="24"/>
  <c r="C413" i="24"/>
  <c r="O412" i="24"/>
  <c r="N412" i="24"/>
  <c r="L412" i="24"/>
  <c r="D412" i="24"/>
  <c r="C412" i="24"/>
  <c r="B412" i="24"/>
  <c r="O411" i="24"/>
  <c r="N411" i="24"/>
  <c r="L411" i="24"/>
  <c r="D411" i="24"/>
  <c r="C411" i="24"/>
  <c r="B411" i="24"/>
  <c r="O410" i="24"/>
  <c r="N410" i="24"/>
  <c r="L410" i="24"/>
  <c r="B410" i="24" s="1"/>
  <c r="D410" i="24"/>
  <c r="C410" i="24"/>
  <c r="O409" i="24"/>
  <c r="N409" i="24"/>
  <c r="L409" i="24"/>
  <c r="D409" i="24"/>
  <c r="C409" i="24"/>
  <c r="B409" i="24"/>
  <c r="O408" i="24"/>
  <c r="N408" i="24"/>
  <c r="L408" i="24"/>
  <c r="D408" i="24"/>
  <c r="C408" i="24"/>
  <c r="B408" i="24"/>
  <c r="O407" i="24"/>
  <c r="N407" i="24"/>
  <c r="L407" i="24"/>
  <c r="B407" i="24" s="1"/>
  <c r="D407" i="24"/>
  <c r="C407" i="24"/>
  <c r="O406" i="24"/>
  <c r="N406" i="24"/>
  <c r="L406" i="24"/>
  <c r="B406" i="24" s="1"/>
  <c r="D406" i="24"/>
  <c r="C406" i="24"/>
  <c r="O405" i="24"/>
  <c r="N405" i="24"/>
  <c r="L405" i="24"/>
  <c r="D405" i="24"/>
  <c r="C405" i="24"/>
  <c r="B405" i="24"/>
  <c r="O404" i="24"/>
  <c r="N404" i="24"/>
  <c r="L404" i="24"/>
  <c r="D404" i="24"/>
  <c r="C404" i="24"/>
  <c r="B404" i="24"/>
  <c r="O403" i="24"/>
  <c r="N403" i="24"/>
  <c r="L403" i="24"/>
  <c r="D403" i="24"/>
  <c r="C403" i="24"/>
  <c r="B403" i="24"/>
  <c r="O402" i="24"/>
  <c r="N402" i="24"/>
  <c r="L402" i="24"/>
  <c r="B402" i="24" s="1"/>
  <c r="D402" i="24"/>
  <c r="C402" i="24"/>
  <c r="O401" i="24"/>
  <c r="N401" i="24"/>
  <c r="L401" i="24"/>
  <c r="B401" i="24" s="1"/>
  <c r="D401" i="24"/>
  <c r="C401" i="24"/>
  <c r="O400" i="24"/>
  <c r="N400" i="24"/>
  <c r="L400" i="24"/>
  <c r="D400" i="24"/>
  <c r="C400" i="24"/>
  <c r="B400" i="24"/>
  <c r="O399" i="24"/>
  <c r="N399" i="24"/>
  <c r="L399" i="24"/>
  <c r="D399" i="24"/>
  <c r="C399" i="24"/>
  <c r="B399" i="24"/>
  <c r="O398" i="24"/>
  <c r="N398" i="24"/>
  <c r="L398" i="24"/>
  <c r="B398" i="24" s="1"/>
  <c r="D398" i="24"/>
  <c r="C398" i="24"/>
  <c r="O397" i="24"/>
  <c r="N397" i="24"/>
  <c r="L397" i="24"/>
  <c r="B397" i="24" s="1"/>
  <c r="D397" i="24"/>
  <c r="C397" i="24"/>
  <c r="O396" i="24"/>
  <c r="N396" i="24"/>
  <c r="L396" i="24"/>
  <c r="B396" i="24" s="1"/>
  <c r="D396" i="24"/>
  <c r="C396" i="24"/>
  <c r="O395" i="24"/>
  <c r="N395" i="24"/>
  <c r="L395" i="24"/>
  <c r="B395" i="24" s="1"/>
  <c r="D395" i="24"/>
  <c r="C395" i="24"/>
  <c r="O394" i="24"/>
  <c r="N394" i="24"/>
  <c r="L394" i="24"/>
  <c r="B394" i="24" s="1"/>
  <c r="D394" i="24"/>
  <c r="C394" i="24"/>
  <c r="O393" i="24"/>
  <c r="N393" i="24"/>
  <c r="L393" i="24"/>
  <c r="D393" i="24"/>
  <c r="C393" i="24"/>
  <c r="B393" i="24"/>
  <c r="O392" i="24"/>
  <c r="N392" i="24"/>
  <c r="L392" i="24"/>
  <c r="D392" i="24"/>
  <c r="C392" i="24"/>
  <c r="B392" i="24"/>
  <c r="O391" i="24"/>
  <c r="N391" i="24"/>
  <c r="L391" i="24"/>
  <c r="B391" i="24" s="1"/>
  <c r="D391" i="24"/>
  <c r="C391" i="24"/>
  <c r="O390" i="24"/>
  <c r="N390" i="24"/>
  <c r="L390" i="24"/>
  <c r="B390" i="24" s="1"/>
  <c r="D390" i="24"/>
  <c r="C390" i="24"/>
  <c r="O389" i="24"/>
  <c r="N389" i="24"/>
  <c r="L389" i="24"/>
  <c r="B389" i="24" s="1"/>
  <c r="D389" i="24"/>
  <c r="C389" i="24"/>
  <c r="O388" i="24"/>
  <c r="N388" i="24"/>
  <c r="L388" i="24"/>
  <c r="D388" i="24"/>
  <c r="C388" i="24"/>
  <c r="B388" i="24"/>
  <c r="O387" i="24"/>
  <c r="N387" i="24"/>
  <c r="L387" i="24"/>
  <c r="B387" i="24" s="1"/>
  <c r="D387" i="24"/>
  <c r="C387" i="24"/>
  <c r="O386" i="24"/>
  <c r="N386" i="24"/>
  <c r="L386" i="24"/>
  <c r="B386" i="24" s="1"/>
  <c r="D386" i="24"/>
  <c r="C386" i="24"/>
  <c r="O385" i="24"/>
  <c r="N385" i="24"/>
  <c r="L385" i="24"/>
  <c r="D385" i="24"/>
  <c r="C385" i="24"/>
  <c r="B385" i="24"/>
  <c r="O384" i="24"/>
  <c r="N384" i="24"/>
  <c r="L384" i="24"/>
  <c r="B384" i="24" s="1"/>
  <c r="D384" i="24"/>
  <c r="C384" i="24"/>
  <c r="O383" i="24"/>
  <c r="N383" i="24"/>
  <c r="L383" i="24"/>
  <c r="B383" i="24" s="1"/>
  <c r="D383" i="24"/>
  <c r="C383" i="24"/>
  <c r="O382" i="24"/>
  <c r="N382" i="24"/>
  <c r="L382" i="24"/>
  <c r="D382" i="24"/>
  <c r="C382" i="24"/>
  <c r="B382" i="24"/>
  <c r="O381" i="24"/>
  <c r="N381" i="24"/>
  <c r="L381" i="24"/>
  <c r="B381" i="24" s="1"/>
  <c r="D381" i="24"/>
  <c r="C381" i="24"/>
  <c r="O380" i="24"/>
  <c r="N380" i="24"/>
  <c r="L380" i="24"/>
  <c r="D380" i="24"/>
  <c r="C380" i="24"/>
  <c r="B380" i="24"/>
  <c r="O379" i="24"/>
  <c r="N379" i="24"/>
  <c r="L379" i="24"/>
  <c r="B379" i="24" s="1"/>
  <c r="D379" i="24"/>
  <c r="C379" i="24"/>
  <c r="O378" i="24"/>
  <c r="N378" i="24"/>
  <c r="L378" i="24"/>
  <c r="D378" i="24"/>
  <c r="C378" i="24"/>
  <c r="B378" i="24"/>
  <c r="O377" i="24"/>
  <c r="N377" i="24"/>
  <c r="L377" i="24"/>
  <c r="B377" i="24" s="1"/>
  <c r="D377" i="24"/>
  <c r="C377" i="24"/>
  <c r="O376" i="24"/>
  <c r="N376" i="24"/>
  <c r="L376" i="24"/>
  <c r="B376" i="24" s="1"/>
  <c r="D376" i="24"/>
  <c r="C376" i="24"/>
  <c r="O375" i="24"/>
  <c r="N375" i="24"/>
  <c r="L375" i="24"/>
  <c r="B375" i="24" s="1"/>
  <c r="D375" i="24"/>
  <c r="C375" i="24"/>
  <c r="O374" i="24"/>
  <c r="N374" i="24"/>
  <c r="L374" i="24"/>
  <c r="B374" i="24" s="1"/>
  <c r="D374" i="24"/>
  <c r="C374" i="24"/>
  <c r="O373" i="24"/>
  <c r="N373" i="24"/>
  <c r="L373" i="24"/>
  <c r="B373" i="24" s="1"/>
  <c r="D373" i="24"/>
  <c r="C373" i="24"/>
  <c r="O372" i="24"/>
  <c r="N372" i="24"/>
  <c r="L372" i="24"/>
  <c r="D372" i="24"/>
  <c r="C372" i="24"/>
  <c r="B372" i="24"/>
  <c r="O371" i="24"/>
  <c r="N371" i="24"/>
  <c r="L371" i="24"/>
  <c r="B371" i="24" s="1"/>
  <c r="D371" i="24"/>
  <c r="C371" i="24"/>
  <c r="O370" i="24"/>
  <c r="N370" i="24"/>
  <c r="L370" i="24"/>
  <c r="B370" i="24" s="1"/>
  <c r="D370" i="24"/>
  <c r="C370" i="24"/>
  <c r="O369" i="24"/>
  <c r="N369" i="24"/>
  <c r="L369" i="24"/>
  <c r="B369" i="24" s="1"/>
  <c r="D369" i="24"/>
  <c r="C369" i="24"/>
  <c r="O368" i="24"/>
  <c r="N368" i="24"/>
  <c r="L368" i="24"/>
  <c r="B368" i="24" s="1"/>
  <c r="D368" i="24"/>
  <c r="C368" i="24"/>
  <c r="O367" i="24"/>
  <c r="N367" i="24"/>
  <c r="L367" i="24"/>
  <c r="B367" i="24" s="1"/>
  <c r="D367" i="24"/>
  <c r="C367" i="24"/>
  <c r="O366" i="24"/>
  <c r="N366" i="24"/>
  <c r="L366" i="24"/>
  <c r="B366" i="24" s="1"/>
  <c r="D366" i="24"/>
  <c r="C366" i="24"/>
  <c r="O365" i="24"/>
  <c r="N365" i="24"/>
  <c r="L365" i="24"/>
  <c r="D365" i="24"/>
  <c r="C365" i="24"/>
  <c r="B365" i="24"/>
  <c r="O364" i="24"/>
  <c r="N364" i="24"/>
  <c r="L364" i="24"/>
  <c r="D364" i="24"/>
  <c r="C364" i="24"/>
  <c r="B364" i="24"/>
  <c r="O363" i="24"/>
  <c r="N363" i="24"/>
  <c r="L363" i="24"/>
  <c r="D363" i="24"/>
  <c r="C363" i="24"/>
  <c r="B363" i="24"/>
  <c r="O362" i="24"/>
  <c r="N362" i="24"/>
  <c r="L362" i="24"/>
  <c r="D362" i="24"/>
  <c r="C362" i="24"/>
  <c r="B362" i="24"/>
  <c r="O361" i="24"/>
  <c r="N361" i="24"/>
  <c r="L361" i="24"/>
  <c r="D361" i="24"/>
  <c r="C361" i="24"/>
  <c r="B361" i="24"/>
  <c r="O360" i="24"/>
  <c r="N360" i="24"/>
  <c r="L360" i="24"/>
  <c r="D360" i="24"/>
  <c r="C360" i="24"/>
  <c r="B360" i="24"/>
  <c r="O359" i="24"/>
  <c r="N359" i="24"/>
  <c r="L359" i="24"/>
  <c r="B359" i="24" s="1"/>
  <c r="D359" i="24"/>
  <c r="C359" i="24"/>
  <c r="O358" i="24"/>
  <c r="N358" i="24"/>
  <c r="L358" i="24"/>
  <c r="D358" i="24"/>
  <c r="C358" i="24"/>
  <c r="B358" i="24"/>
  <c r="O357" i="24"/>
  <c r="N357" i="24"/>
  <c r="L357" i="24"/>
  <c r="B357" i="24" s="1"/>
  <c r="D357" i="24"/>
  <c r="C357" i="24"/>
  <c r="O356" i="24"/>
  <c r="N356" i="24"/>
  <c r="L356" i="24"/>
  <c r="D356" i="24"/>
  <c r="C356" i="24"/>
  <c r="B356" i="24"/>
  <c r="O355" i="24"/>
  <c r="N355" i="24"/>
  <c r="L355" i="24"/>
  <c r="B355" i="24" s="1"/>
  <c r="D355" i="24"/>
  <c r="C355" i="24"/>
  <c r="O354" i="24"/>
  <c r="N354" i="24"/>
  <c r="L354" i="24"/>
  <c r="B354" i="24" s="1"/>
  <c r="D354" i="24"/>
  <c r="C354" i="24"/>
  <c r="O353" i="24"/>
  <c r="N353" i="24"/>
  <c r="L353" i="24"/>
  <c r="D353" i="24"/>
  <c r="C353" i="24"/>
  <c r="B353" i="24"/>
  <c r="O352" i="24"/>
  <c r="N352" i="24"/>
  <c r="L352" i="24"/>
  <c r="B352" i="24" s="1"/>
  <c r="D352" i="24"/>
  <c r="C352" i="24"/>
  <c r="O351" i="24"/>
  <c r="N351" i="24"/>
  <c r="L351" i="24"/>
  <c r="B351" i="24" s="1"/>
  <c r="D351" i="24"/>
  <c r="C351" i="24"/>
  <c r="O350" i="24"/>
  <c r="N350" i="24"/>
  <c r="L350" i="24"/>
  <c r="D350" i="24"/>
  <c r="C350" i="24"/>
  <c r="B350" i="24"/>
  <c r="O349" i="24"/>
  <c r="N349" i="24"/>
  <c r="L349" i="24"/>
  <c r="D349" i="24"/>
  <c r="C349" i="24"/>
  <c r="B349" i="24"/>
  <c r="O348" i="24"/>
  <c r="N348" i="24"/>
  <c r="L348" i="24"/>
  <c r="B348" i="24" s="1"/>
  <c r="D348" i="24"/>
  <c r="C348" i="24"/>
  <c r="O347" i="24"/>
  <c r="N347" i="24"/>
  <c r="L347" i="24"/>
  <c r="B347" i="24" s="1"/>
  <c r="D347" i="24"/>
  <c r="C347" i="24"/>
  <c r="O346" i="24"/>
  <c r="N346" i="24"/>
  <c r="L346" i="24"/>
  <c r="D346" i="24"/>
  <c r="C346" i="24"/>
  <c r="B346" i="24"/>
  <c r="O345" i="24"/>
  <c r="N345" i="24"/>
  <c r="L345" i="24"/>
  <c r="D345" i="24"/>
  <c r="C345" i="24"/>
  <c r="B345" i="24"/>
  <c r="O344" i="24"/>
  <c r="N344" i="24"/>
  <c r="L344" i="24"/>
  <c r="B344" i="24" s="1"/>
  <c r="D344" i="24"/>
  <c r="C344" i="24"/>
  <c r="O343" i="24"/>
  <c r="N343" i="24"/>
  <c r="L343" i="24"/>
  <c r="B343" i="24" s="1"/>
  <c r="D343" i="24"/>
  <c r="C343" i="24"/>
  <c r="O342" i="24"/>
  <c r="N342" i="24"/>
  <c r="L342" i="24"/>
  <c r="B342" i="24" s="1"/>
  <c r="D342" i="24"/>
  <c r="C342" i="24"/>
  <c r="O341" i="24"/>
  <c r="N341" i="24"/>
  <c r="L341" i="24"/>
  <c r="D341" i="24"/>
  <c r="C341" i="24"/>
  <c r="B341" i="24"/>
  <c r="O340" i="24"/>
  <c r="N340" i="24"/>
  <c r="L340" i="24"/>
  <c r="B340" i="24" s="1"/>
  <c r="D340" i="24"/>
  <c r="C340" i="24"/>
  <c r="O339" i="24"/>
  <c r="N339" i="24"/>
  <c r="L339" i="24"/>
  <c r="B339" i="24" s="1"/>
  <c r="D339" i="24"/>
  <c r="C339" i="24"/>
  <c r="O338" i="24"/>
  <c r="N338" i="24"/>
  <c r="L338" i="24"/>
  <c r="D338" i="24"/>
  <c r="C338" i="24"/>
  <c r="B338" i="24"/>
  <c r="O337" i="24"/>
  <c r="N337" i="24"/>
  <c r="L337" i="24"/>
  <c r="D337" i="24"/>
  <c r="C337" i="24"/>
  <c r="B337" i="24"/>
  <c r="O336" i="24"/>
  <c r="N336" i="24"/>
  <c r="L336" i="24"/>
  <c r="B336" i="24" s="1"/>
  <c r="D336" i="24"/>
  <c r="C336" i="24"/>
  <c r="O335" i="24"/>
  <c r="N335" i="24"/>
  <c r="L335" i="24"/>
  <c r="B335" i="24" s="1"/>
  <c r="D335" i="24"/>
  <c r="C335" i="24"/>
  <c r="O334" i="24"/>
  <c r="N334" i="24"/>
  <c r="L334" i="24"/>
  <c r="D334" i="24"/>
  <c r="C334" i="24"/>
  <c r="B334" i="24"/>
  <c r="O333" i="24"/>
  <c r="N333" i="24"/>
  <c r="L333" i="24"/>
  <c r="D333" i="24"/>
  <c r="C333" i="24"/>
  <c r="B333" i="24"/>
  <c r="O332" i="24"/>
  <c r="N332" i="24"/>
  <c r="L332" i="24"/>
  <c r="B332" i="24" s="1"/>
  <c r="D332" i="24"/>
  <c r="C332" i="24"/>
  <c r="O331" i="24"/>
  <c r="N331" i="24"/>
  <c r="L331" i="24"/>
  <c r="B331" i="24" s="1"/>
  <c r="D331" i="24"/>
  <c r="C331" i="24"/>
  <c r="O330" i="24"/>
  <c r="N330" i="24"/>
  <c r="L330" i="24"/>
  <c r="B330" i="24" s="1"/>
  <c r="D330" i="24"/>
  <c r="C330" i="24"/>
  <c r="O329" i="24"/>
  <c r="N329" i="24"/>
  <c r="L329" i="24"/>
  <c r="B329" i="24" s="1"/>
  <c r="D329" i="24"/>
  <c r="C329" i="24"/>
  <c r="O328" i="24"/>
  <c r="N328" i="24"/>
  <c r="L328" i="24"/>
  <c r="B328" i="24" s="1"/>
  <c r="D328" i="24"/>
  <c r="C328" i="24"/>
  <c r="O327" i="24"/>
  <c r="N327" i="24"/>
  <c r="L327" i="24"/>
  <c r="B327" i="24" s="1"/>
  <c r="D327" i="24"/>
  <c r="C327" i="24"/>
  <c r="O326" i="24"/>
  <c r="N326" i="24"/>
  <c r="L326" i="24"/>
  <c r="D326" i="24"/>
  <c r="C326" i="24"/>
  <c r="B326" i="24"/>
  <c r="O325" i="24"/>
  <c r="N325" i="24"/>
  <c r="L325" i="24"/>
  <c r="B325" i="24" s="1"/>
  <c r="D325" i="24"/>
  <c r="C325" i="24"/>
  <c r="O324" i="24"/>
  <c r="N324" i="24"/>
  <c r="L324" i="24"/>
  <c r="B324" i="24" s="1"/>
  <c r="D324" i="24"/>
  <c r="C324" i="24"/>
  <c r="O323" i="24"/>
  <c r="N323" i="24"/>
  <c r="L323" i="24"/>
  <c r="B323" i="24" s="1"/>
  <c r="D323" i="24"/>
  <c r="C323" i="24"/>
  <c r="O322" i="24"/>
  <c r="N322" i="24"/>
  <c r="L322" i="24"/>
  <c r="D322" i="24"/>
  <c r="C322" i="24"/>
  <c r="B322" i="24"/>
  <c r="O321" i="24"/>
  <c r="N321" i="24"/>
  <c r="L321" i="24"/>
  <c r="B321" i="24" s="1"/>
  <c r="D321" i="24"/>
  <c r="C321" i="24"/>
  <c r="O320" i="24"/>
  <c r="N320" i="24"/>
  <c r="L320" i="24"/>
  <c r="B320" i="24" s="1"/>
  <c r="D320" i="24"/>
  <c r="C320" i="24"/>
  <c r="O319" i="24"/>
  <c r="N319" i="24"/>
  <c r="L319" i="24"/>
  <c r="B319" i="24" s="1"/>
  <c r="D319" i="24"/>
  <c r="C319" i="24"/>
  <c r="O318" i="24"/>
  <c r="N318" i="24"/>
  <c r="L318" i="24"/>
  <c r="D318" i="24"/>
  <c r="C318" i="24"/>
  <c r="B318" i="24"/>
  <c r="O317" i="24"/>
  <c r="N317" i="24"/>
  <c r="L317" i="24"/>
  <c r="D317" i="24"/>
  <c r="C317" i="24"/>
  <c r="B317" i="24"/>
  <c r="O316" i="24"/>
  <c r="N316" i="24"/>
  <c r="L316" i="24"/>
  <c r="D316" i="24"/>
  <c r="C316" i="24"/>
  <c r="B316" i="24"/>
  <c r="O315" i="24"/>
  <c r="N315" i="24"/>
  <c r="L315" i="24"/>
  <c r="D315" i="24"/>
  <c r="C315" i="24"/>
  <c r="B315" i="24"/>
  <c r="O314" i="24"/>
  <c r="N314" i="24"/>
  <c r="L314" i="24"/>
  <c r="D314" i="24"/>
  <c r="C314" i="24"/>
  <c r="B314" i="24"/>
  <c r="O313" i="24"/>
  <c r="N313" i="24"/>
  <c r="L313" i="24"/>
  <c r="B313" i="24" s="1"/>
  <c r="D313" i="24"/>
  <c r="C313" i="24"/>
  <c r="O312" i="24"/>
  <c r="N312" i="24"/>
  <c r="L312" i="24"/>
  <c r="B312" i="24" s="1"/>
  <c r="D312" i="24"/>
  <c r="C312" i="24"/>
  <c r="O311" i="24"/>
  <c r="N311" i="24"/>
  <c r="L311" i="24"/>
  <c r="B311" i="24" s="1"/>
  <c r="D311" i="24"/>
  <c r="C311" i="24"/>
  <c r="O310" i="24"/>
  <c r="N310" i="24"/>
  <c r="L310" i="24"/>
  <c r="B310" i="24" s="1"/>
  <c r="D310" i="24"/>
  <c r="C310" i="24"/>
  <c r="O309" i="24"/>
  <c r="N309" i="24"/>
  <c r="L309" i="24"/>
  <c r="D309" i="24"/>
  <c r="C309" i="24"/>
  <c r="B309" i="24"/>
  <c r="O308" i="24"/>
  <c r="N308" i="24"/>
  <c r="L308" i="24"/>
  <c r="B308" i="24" s="1"/>
  <c r="D308" i="24"/>
  <c r="C308" i="24"/>
  <c r="O307" i="24"/>
  <c r="N307" i="24"/>
  <c r="L307" i="24"/>
  <c r="B307" i="24" s="1"/>
  <c r="D307" i="24"/>
  <c r="C307" i="24"/>
  <c r="O306" i="24"/>
  <c r="N306" i="24"/>
  <c r="L306" i="24"/>
  <c r="D306" i="24"/>
  <c r="C306" i="24"/>
  <c r="B306" i="24"/>
  <c r="O305" i="24"/>
  <c r="N305" i="24"/>
  <c r="L305" i="24"/>
  <c r="B305" i="24" s="1"/>
  <c r="D305" i="24"/>
  <c r="C305" i="24"/>
  <c r="O304" i="24"/>
  <c r="N304" i="24"/>
  <c r="L304" i="24"/>
  <c r="B304" i="24" s="1"/>
  <c r="D304" i="24"/>
  <c r="C304" i="24"/>
  <c r="O303" i="24"/>
  <c r="N303" i="24"/>
  <c r="L303" i="24"/>
  <c r="B303" i="24" s="1"/>
  <c r="D303" i="24"/>
  <c r="C303" i="24"/>
  <c r="O302" i="24"/>
  <c r="N302" i="24"/>
  <c r="L302" i="24"/>
  <c r="D302" i="24"/>
  <c r="C302" i="24"/>
  <c r="B302" i="24"/>
  <c r="O301" i="24"/>
  <c r="N301" i="24"/>
  <c r="L301" i="24"/>
  <c r="D301" i="24"/>
  <c r="C301" i="24"/>
  <c r="B301" i="24"/>
  <c r="O300" i="24"/>
  <c r="N300" i="24"/>
  <c r="L300" i="24"/>
  <c r="B300" i="24" s="1"/>
  <c r="D300" i="24"/>
  <c r="C300" i="24"/>
  <c r="O299" i="24"/>
  <c r="N299" i="24"/>
  <c r="L299" i="24"/>
  <c r="D299" i="24"/>
  <c r="C299" i="24"/>
  <c r="B299" i="24"/>
  <c r="O298" i="24"/>
  <c r="N298" i="24"/>
  <c r="L298" i="24"/>
  <c r="D298" i="24"/>
  <c r="C298" i="24"/>
  <c r="B298" i="24"/>
  <c r="O297" i="24"/>
  <c r="N297" i="24"/>
  <c r="L297" i="24"/>
  <c r="B297" i="24" s="1"/>
  <c r="D297" i="24"/>
  <c r="C297" i="24"/>
  <c r="O296" i="24"/>
  <c r="N296" i="24"/>
  <c r="L296" i="24"/>
  <c r="B296" i="24" s="1"/>
  <c r="D296" i="24"/>
  <c r="C296" i="24"/>
  <c r="O295" i="24"/>
  <c r="N295" i="24"/>
  <c r="L295" i="24"/>
  <c r="D295" i="24"/>
  <c r="C295" i="24"/>
  <c r="B295" i="24"/>
  <c r="O294" i="24"/>
  <c r="N294" i="24"/>
  <c r="L294" i="24"/>
  <c r="D294" i="24"/>
  <c r="C294" i="24"/>
  <c r="B294" i="24"/>
  <c r="O293" i="24"/>
  <c r="N293" i="24"/>
  <c r="L293" i="24"/>
  <c r="B293" i="24" s="1"/>
  <c r="D293" i="24"/>
  <c r="C293" i="24"/>
  <c r="O292" i="24"/>
  <c r="N292" i="24"/>
  <c r="L292" i="24"/>
  <c r="D292" i="24"/>
  <c r="C292" i="24"/>
  <c r="B292" i="24"/>
  <c r="O291" i="24"/>
  <c r="N291" i="24"/>
  <c r="L291" i="24"/>
  <c r="B291" i="24" s="1"/>
  <c r="D291" i="24"/>
  <c r="C291" i="24"/>
  <c r="O290" i="24"/>
  <c r="N290" i="24"/>
  <c r="L290" i="24"/>
  <c r="D290" i="24"/>
  <c r="C290" i="24"/>
  <c r="B290" i="24"/>
  <c r="O289" i="24"/>
  <c r="N289" i="24"/>
  <c r="L289" i="24"/>
  <c r="D289" i="24"/>
  <c r="C289" i="24"/>
  <c r="B289" i="24"/>
  <c r="O288" i="24"/>
  <c r="N288" i="24"/>
  <c r="L288" i="24"/>
  <c r="B288" i="24" s="1"/>
  <c r="D288" i="24"/>
  <c r="C288" i="24"/>
  <c r="O287" i="24"/>
  <c r="N287" i="24"/>
  <c r="L287" i="24"/>
  <c r="D287" i="24"/>
  <c r="C287" i="24"/>
  <c r="B287" i="24"/>
  <c r="O286" i="24"/>
  <c r="N286" i="24"/>
  <c r="L286" i="24"/>
  <c r="B286" i="24" s="1"/>
  <c r="D286" i="24"/>
  <c r="C286" i="24"/>
  <c r="O285" i="24"/>
  <c r="N285" i="24"/>
  <c r="L285" i="24"/>
  <c r="B285" i="24" s="1"/>
  <c r="D285" i="24"/>
  <c r="C285" i="24"/>
  <c r="O284" i="24"/>
  <c r="N284" i="24"/>
  <c r="L284" i="24"/>
  <c r="D284" i="24"/>
  <c r="C284" i="24"/>
  <c r="B284" i="24"/>
  <c r="O283" i="24"/>
  <c r="N283" i="24"/>
  <c r="L283" i="24"/>
  <c r="B283" i="24" s="1"/>
  <c r="D283" i="24"/>
  <c r="C283" i="24"/>
  <c r="O282" i="24"/>
  <c r="N282" i="24"/>
  <c r="L282" i="24"/>
  <c r="D282" i="24"/>
  <c r="C282" i="24"/>
  <c r="B282" i="24"/>
  <c r="O281" i="24"/>
  <c r="N281" i="24"/>
  <c r="L281" i="24"/>
  <c r="B281" i="24" s="1"/>
  <c r="D281" i="24"/>
  <c r="C281" i="24"/>
  <c r="O280" i="24"/>
  <c r="N280" i="24"/>
  <c r="L280" i="24"/>
  <c r="D280" i="24"/>
  <c r="C280" i="24"/>
  <c r="B280" i="24"/>
  <c r="O279" i="24"/>
  <c r="N279" i="24"/>
  <c r="L279" i="24"/>
  <c r="D279" i="24"/>
  <c r="C279" i="24"/>
  <c r="B279" i="24"/>
  <c r="O278" i="24"/>
  <c r="N278" i="24"/>
  <c r="L278" i="24"/>
  <c r="D278" i="24"/>
  <c r="C278" i="24"/>
  <c r="B278" i="24"/>
  <c r="O277" i="24"/>
  <c r="N277" i="24"/>
  <c r="L277" i="24"/>
  <c r="B277" i="24" s="1"/>
  <c r="D277" i="24"/>
  <c r="C277" i="24"/>
  <c r="O276" i="24"/>
  <c r="N276" i="24"/>
  <c r="L276" i="24"/>
  <c r="B276" i="24" s="1"/>
  <c r="D276" i="24"/>
  <c r="C276" i="24"/>
  <c r="O275" i="24"/>
  <c r="N275" i="24"/>
  <c r="L275" i="24"/>
  <c r="D275" i="24"/>
  <c r="C275" i="24"/>
  <c r="B275" i="24"/>
  <c r="O274" i="24"/>
  <c r="N274" i="24"/>
  <c r="L274" i="24"/>
  <c r="B274" i="24" s="1"/>
  <c r="D274" i="24"/>
  <c r="C274" i="24"/>
  <c r="O273" i="24"/>
  <c r="N273" i="24"/>
  <c r="L273" i="24"/>
  <c r="B273" i="24" s="1"/>
  <c r="D273" i="24"/>
  <c r="C273" i="24"/>
  <c r="O272" i="24"/>
  <c r="N272" i="24"/>
  <c r="L272" i="24"/>
  <c r="D272" i="24"/>
  <c r="C272" i="24"/>
  <c r="B272" i="24"/>
  <c r="O271" i="24"/>
  <c r="N271" i="24"/>
  <c r="L271" i="24"/>
  <c r="B271" i="24" s="1"/>
  <c r="D271" i="24"/>
  <c r="C271" i="24"/>
  <c r="O270" i="24"/>
  <c r="N270" i="24"/>
  <c r="L270" i="24"/>
  <c r="D270" i="24"/>
  <c r="C270" i="24"/>
  <c r="B270" i="24"/>
  <c r="O269" i="24"/>
  <c r="N269" i="24"/>
  <c r="L269" i="24"/>
  <c r="B269" i="24" s="1"/>
  <c r="D269" i="24"/>
  <c r="C269" i="24"/>
  <c r="O268" i="24"/>
  <c r="N268" i="24"/>
  <c r="L268" i="24"/>
  <c r="D268" i="24"/>
  <c r="C268" i="24"/>
  <c r="B268" i="24"/>
  <c r="O267" i="24"/>
  <c r="N267" i="24"/>
  <c r="L267" i="24"/>
  <c r="D267" i="24"/>
  <c r="C267" i="24"/>
  <c r="B267" i="24"/>
  <c r="O266" i="24"/>
  <c r="N266" i="24"/>
  <c r="L266" i="24"/>
  <c r="B266" i="24" s="1"/>
  <c r="D266" i="24"/>
  <c r="C266" i="24"/>
  <c r="O265" i="24"/>
  <c r="N265" i="24"/>
  <c r="L265" i="24"/>
  <c r="B265" i="24" s="1"/>
  <c r="D265" i="24"/>
  <c r="C265" i="24"/>
  <c r="O264" i="24"/>
  <c r="N264" i="24"/>
  <c r="L264" i="24"/>
  <c r="B264" i="24" s="1"/>
  <c r="D264" i="24"/>
  <c r="C264" i="24"/>
  <c r="O263" i="24"/>
  <c r="N263" i="24"/>
  <c r="L263" i="24"/>
  <c r="B263" i="24" s="1"/>
  <c r="D263" i="24"/>
  <c r="C263" i="24"/>
  <c r="O262" i="24"/>
  <c r="N262" i="24"/>
  <c r="L262" i="24"/>
  <c r="D262" i="24"/>
  <c r="C262" i="24"/>
  <c r="B262" i="24"/>
  <c r="O261" i="24"/>
  <c r="N261" i="24"/>
  <c r="L261" i="24"/>
  <c r="B261" i="24" s="1"/>
  <c r="D261" i="24"/>
  <c r="C261" i="24"/>
  <c r="O260" i="24"/>
  <c r="N260" i="24"/>
  <c r="L260" i="24"/>
  <c r="B260" i="24" s="1"/>
  <c r="D260" i="24"/>
  <c r="C260" i="24"/>
  <c r="O259" i="24"/>
  <c r="N259" i="24"/>
  <c r="L259" i="24"/>
  <c r="B259" i="24" s="1"/>
  <c r="D259" i="24"/>
  <c r="C259" i="24"/>
  <c r="O258" i="24"/>
  <c r="N258" i="24"/>
  <c r="L258" i="24"/>
  <c r="B258" i="24" s="1"/>
  <c r="D258" i="24"/>
  <c r="C258" i="24"/>
  <c r="O257" i="24"/>
  <c r="N257" i="24"/>
  <c r="L257" i="24"/>
  <c r="D257" i="24"/>
  <c r="C257" i="24"/>
  <c r="B257" i="24"/>
  <c r="O256" i="24"/>
  <c r="N256" i="24"/>
  <c r="L256" i="24"/>
  <c r="D256" i="24"/>
  <c r="C256" i="24"/>
  <c r="B256" i="24"/>
  <c r="O255" i="24"/>
  <c r="N255" i="24"/>
  <c r="L255" i="24"/>
  <c r="D255" i="24"/>
  <c r="C255" i="24"/>
  <c r="B255" i="24"/>
  <c r="O254" i="24"/>
  <c r="N254" i="24"/>
  <c r="L254" i="24"/>
  <c r="B254" i="24" s="1"/>
  <c r="D254" i="24"/>
  <c r="C254" i="24"/>
  <c r="O253" i="24"/>
  <c r="N253" i="24"/>
  <c r="L253" i="24"/>
  <c r="B253" i="24" s="1"/>
  <c r="D253" i="24"/>
  <c r="C253" i="24"/>
  <c r="O252" i="24"/>
  <c r="N252" i="24"/>
  <c r="L252" i="24"/>
  <c r="D252" i="24"/>
  <c r="C252" i="24"/>
  <c r="B252" i="24"/>
  <c r="O251" i="24"/>
  <c r="N251" i="24"/>
  <c r="L251" i="24"/>
  <c r="D251" i="24"/>
  <c r="C251" i="24"/>
  <c r="B251" i="24"/>
  <c r="O250" i="24"/>
  <c r="N250" i="24"/>
  <c r="L250" i="24"/>
  <c r="B250" i="24" s="1"/>
  <c r="D250" i="24"/>
  <c r="C250" i="24"/>
  <c r="O249" i="24"/>
  <c r="N249" i="24"/>
  <c r="L249" i="24"/>
  <c r="B249" i="24" s="1"/>
  <c r="D249" i="24"/>
  <c r="C249" i="24"/>
  <c r="O248" i="24"/>
  <c r="N248" i="24"/>
  <c r="L248" i="24"/>
  <c r="D248" i="24"/>
  <c r="C248" i="24"/>
  <c r="B248" i="24"/>
  <c r="O247" i="24"/>
  <c r="N247" i="24"/>
  <c r="L247" i="24"/>
  <c r="B247" i="24" s="1"/>
  <c r="D247" i="24"/>
  <c r="C247" i="24"/>
  <c r="O246" i="24"/>
  <c r="N246" i="24"/>
  <c r="L246" i="24"/>
  <c r="B246" i="24" s="1"/>
  <c r="D246" i="24"/>
  <c r="C246" i="24"/>
  <c r="O245" i="24"/>
  <c r="N245" i="24"/>
  <c r="L245" i="24"/>
  <c r="B245" i="24" s="1"/>
  <c r="D245" i="24"/>
  <c r="C245" i="24"/>
  <c r="O244" i="24"/>
  <c r="N244" i="24"/>
  <c r="L244" i="24"/>
  <c r="B244" i="24" s="1"/>
  <c r="D244" i="24"/>
  <c r="C244" i="24"/>
  <c r="O243" i="24"/>
  <c r="N243" i="24"/>
  <c r="L243" i="24"/>
  <c r="B243" i="24" s="1"/>
  <c r="D243" i="24"/>
  <c r="C243" i="24"/>
  <c r="O242" i="24"/>
  <c r="N242" i="24"/>
  <c r="L242" i="24"/>
  <c r="B242" i="24" s="1"/>
  <c r="D242" i="24"/>
  <c r="C242" i="24"/>
  <c r="O241" i="24"/>
  <c r="N241" i="24"/>
  <c r="L241" i="24"/>
  <c r="B241" i="24" s="1"/>
  <c r="D241" i="24"/>
  <c r="C241" i="24"/>
  <c r="O240" i="24"/>
  <c r="N240" i="24"/>
  <c r="L240" i="24"/>
  <c r="D240" i="24"/>
  <c r="C240" i="24"/>
  <c r="B240" i="24"/>
  <c r="O239" i="24"/>
  <c r="N239" i="24"/>
  <c r="L239" i="24"/>
  <c r="D239" i="24"/>
  <c r="C239" i="24"/>
  <c r="B239" i="24"/>
  <c r="O238" i="24"/>
  <c r="N238" i="24"/>
  <c r="L238" i="24"/>
  <c r="B238" i="24" s="1"/>
  <c r="D238" i="24"/>
  <c r="C238" i="24"/>
  <c r="O237" i="24"/>
  <c r="N237" i="24"/>
  <c r="L237" i="24"/>
  <c r="B237" i="24" s="1"/>
  <c r="D237" i="24"/>
  <c r="C237" i="24"/>
  <c r="O236" i="24"/>
  <c r="N236" i="24"/>
  <c r="L236" i="24"/>
  <c r="B236" i="24" s="1"/>
  <c r="D236" i="24"/>
  <c r="C236" i="24"/>
  <c r="O235" i="24"/>
  <c r="N235" i="24"/>
  <c r="L235" i="24"/>
  <c r="D235" i="24"/>
  <c r="C235" i="24"/>
  <c r="B235" i="24"/>
  <c r="O234" i="24"/>
  <c r="N234" i="24"/>
  <c r="L234" i="24"/>
  <c r="B234" i="24" s="1"/>
  <c r="D234" i="24"/>
  <c r="C234" i="24"/>
  <c r="O233" i="24"/>
  <c r="N233" i="24"/>
  <c r="L233" i="24"/>
  <c r="B233" i="24" s="1"/>
  <c r="D233" i="24"/>
  <c r="C233" i="24"/>
  <c r="O232" i="24"/>
  <c r="N232" i="24"/>
  <c r="L232" i="24"/>
  <c r="D232" i="24"/>
  <c r="C232" i="24"/>
  <c r="B232" i="24"/>
  <c r="O231" i="24"/>
  <c r="N231" i="24"/>
  <c r="L231" i="24"/>
  <c r="D231" i="24"/>
  <c r="C231" i="24"/>
  <c r="B231" i="24"/>
  <c r="O230" i="24"/>
  <c r="N230" i="24"/>
  <c r="L230" i="24"/>
  <c r="B230" i="24" s="1"/>
  <c r="D230" i="24"/>
  <c r="C230" i="24"/>
  <c r="O229" i="24"/>
  <c r="N229" i="24"/>
  <c r="L229" i="24"/>
  <c r="D229" i="24"/>
  <c r="C229" i="24"/>
  <c r="B229" i="24"/>
  <c r="O228" i="24"/>
  <c r="N228" i="24"/>
  <c r="L228" i="24"/>
  <c r="D228" i="24"/>
  <c r="C228" i="24"/>
  <c r="B228" i="24"/>
  <c r="O227" i="24"/>
  <c r="N227" i="24"/>
  <c r="L227" i="24"/>
  <c r="D227" i="24"/>
  <c r="C227" i="24"/>
  <c r="B227" i="24"/>
  <c r="O226" i="24"/>
  <c r="N226" i="24"/>
  <c r="L226" i="24"/>
  <c r="B226" i="24" s="1"/>
  <c r="D226" i="24"/>
  <c r="C226" i="24"/>
  <c r="O225" i="24"/>
  <c r="N225" i="24"/>
  <c r="L225" i="24"/>
  <c r="B225" i="24" s="1"/>
  <c r="D225" i="24"/>
  <c r="C225" i="24"/>
  <c r="O224" i="24"/>
  <c r="N224" i="24"/>
  <c r="L224" i="24"/>
  <c r="D224" i="24"/>
  <c r="C224" i="24"/>
  <c r="B224" i="24"/>
  <c r="O223" i="24"/>
  <c r="N223" i="24"/>
  <c r="L223" i="24"/>
  <c r="B223" i="24" s="1"/>
  <c r="D223" i="24"/>
  <c r="C223" i="24"/>
  <c r="O222" i="24"/>
  <c r="N222" i="24"/>
  <c r="L222" i="24"/>
  <c r="B222" i="24" s="1"/>
  <c r="D222" i="24"/>
  <c r="C222" i="24"/>
  <c r="O221" i="24"/>
  <c r="N221" i="24"/>
  <c r="L221" i="24"/>
  <c r="D221" i="24"/>
  <c r="C221" i="24"/>
  <c r="B221" i="24"/>
  <c r="O220" i="24"/>
  <c r="N220" i="24"/>
  <c r="L220" i="24"/>
  <c r="D220" i="24"/>
  <c r="C220" i="24"/>
  <c r="B220" i="24"/>
  <c r="O219" i="24"/>
  <c r="N219" i="24"/>
  <c r="L219" i="24"/>
  <c r="B219" i="24" s="1"/>
  <c r="D219" i="24"/>
  <c r="C219" i="24"/>
  <c r="O218" i="24"/>
  <c r="N218" i="24"/>
  <c r="L218" i="24"/>
  <c r="B218" i="24" s="1"/>
  <c r="D218" i="24"/>
  <c r="C218" i="24"/>
  <c r="O217" i="24"/>
  <c r="N217" i="24"/>
  <c r="L217" i="24"/>
  <c r="D217" i="24"/>
  <c r="C217" i="24"/>
  <c r="B217" i="24"/>
  <c r="O216" i="24"/>
  <c r="N216" i="24"/>
  <c r="L216" i="24"/>
  <c r="B216" i="24" s="1"/>
  <c r="D216" i="24"/>
  <c r="C216" i="24"/>
  <c r="O215" i="24"/>
  <c r="N215" i="24"/>
  <c r="L215" i="24"/>
  <c r="B215" i="24" s="1"/>
  <c r="D215" i="24"/>
  <c r="C215" i="24"/>
  <c r="O214" i="24"/>
  <c r="N214" i="24"/>
  <c r="L214" i="24"/>
  <c r="D214" i="24"/>
  <c r="C214" i="24"/>
  <c r="B214" i="24"/>
  <c r="O213" i="24"/>
  <c r="N213" i="24"/>
  <c r="L213" i="24"/>
  <c r="B213" i="24" s="1"/>
  <c r="D213" i="24"/>
  <c r="C213" i="24"/>
  <c r="O212" i="24"/>
  <c r="N212" i="24"/>
  <c r="L212" i="24"/>
  <c r="D212" i="24"/>
  <c r="C212" i="24"/>
  <c r="B212" i="24"/>
  <c r="O211" i="24"/>
  <c r="N211" i="24"/>
  <c r="L211" i="24"/>
  <c r="D211" i="24"/>
  <c r="C211" i="24"/>
  <c r="B211" i="24"/>
  <c r="O210" i="24"/>
  <c r="N210" i="24"/>
  <c r="L210" i="24"/>
  <c r="B210" i="24" s="1"/>
  <c r="D210" i="24"/>
  <c r="C210" i="24"/>
  <c r="O209" i="24"/>
  <c r="N209" i="24"/>
  <c r="L209" i="24"/>
  <c r="D209" i="24"/>
  <c r="C209" i="24"/>
  <c r="B209" i="24"/>
  <c r="O208" i="24"/>
  <c r="N208" i="24"/>
  <c r="L208" i="24"/>
  <c r="D208" i="24"/>
  <c r="C208" i="24"/>
  <c r="B208" i="24"/>
  <c r="O207" i="24"/>
  <c r="N207" i="24"/>
  <c r="L207" i="24"/>
  <c r="B207" i="24" s="1"/>
  <c r="D207" i="24"/>
  <c r="C207" i="24"/>
  <c r="O206" i="24"/>
  <c r="N206" i="24"/>
  <c r="L206" i="24"/>
  <c r="B206" i="24" s="1"/>
  <c r="D206" i="24"/>
  <c r="C206" i="24"/>
  <c r="O205" i="24"/>
  <c r="N205" i="24"/>
  <c r="L205" i="24"/>
  <c r="B205" i="24" s="1"/>
  <c r="D205" i="24"/>
  <c r="C205" i="24"/>
  <c r="O204" i="24"/>
  <c r="N204" i="24"/>
  <c r="L204" i="24"/>
  <c r="B204" i="24" s="1"/>
  <c r="D204" i="24"/>
  <c r="C204" i="24"/>
  <c r="O203" i="24"/>
  <c r="N203" i="24"/>
  <c r="L203" i="24"/>
  <c r="B203" i="24" s="1"/>
  <c r="D203" i="24"/>
  <c r="C203" i="24"/>
  <c r="O202" i="24"/>
  <c r="N202" i="24"/>
  <c r="L202" i="24"/>
  <c r="B202" i="24" s="1"/>
  <c r="D202" i="24"/>
  <c r="C202" i="24"/>
  <c r="O201" i="24"/>
  <c r="N201" i="24"/>
  <c r="L201" i="24"/>
  <c r="D201" i="24"/>
  <c r="C201" i="24"/>
  <c r="B201" i="24"/>
  <c r="O200" i="24"/>
  <c r="N200" i="24"/>
  <c r="L200" i="24"/>
  <c r="B200" i="24" s="1"/>
  <c r="D200" i="24"/>
  <c r="C200" i="24"/>
  <c r="O199" i="24"/>
  <c r="N199" i="24"/>
  <c r="L199" i="24"/>
  <c r="B199" i="24" s="1"/>
  <c r="D199" i="24"/>
  <c r="C199" i="24"/>
  <c r="O198" i="24"/>
  <c r="N198" i="24"/>
  <c r="L198" i="24"/>
  <c r="B198" i="24" s="1"/>
  <c r="D198" i="24"/>
  <c r="C198" i="24"/>
  <c r="O197" i="24"/>
  <c r="N197" i="24"/>
  <c r="L197" i="24"/>
  <c r="B197" i="24" s="1"/>
  <c r="D197" i="24"/>
  <c r="C197" i="24"/>
  <c r="O196" i="24"/>
  <c r="N196" i="24"/>
  <c r="L196" i="24"/>
  <c r="B196" i="24" s="1"/>
  <c r="D196" i="24"/>
  <c r="C196" i="24"/>
  <c r="O195" i="24"/>
  <c r="N195" i="24"/>
  <c r="L195" i="24"/>
  <c r="B195" i="24" s="1"/>
  <c r="D195" i="24"/>
  <c r="C195" i="24"/>
  <c r="O194" i="24"/>
  <c r="N194" i="24"/>
  <c r="L194" i="24"/>
  <c r="B194" i="24" s="1"/>
  <c r="D194" i="24"/>
  <c r="C194" i="24"/>
  <c r="O193" i="24"/>
  <c r="N193" i="24"/>
  <c r="L193" i="24"/>
  <c r="B193" i="24" s="1"/>
  <c r="D193" i="24"/>
  <c r="C193" i="24"/>
  <c r="O192" i="24"/>
  <c r="N192" i="24"/>
  <c r="L192" i="24"/>
  <c r="D192" i="24"/>
  <c r="C192" i="24"/>
  <c r="B192" i="24"/>
  <c r="O191" i="24"/>
  <c r="N191" i="24"/>
  <c r="L191" i="24"/>
  <c r="B191" i="24" s="1"/>
  <c r="D191" i="24"/>
  <c r="C191" i="24"/>
  <c r="O190" i="24"/>
  <c r="N190" i="24"/>
  <c r="L190" i="24"/>
  <c r="B190" i="24" s="1"/>
  <c r="D190" i="24"/>
  <c r="C190" i="24"/>
  <c r="O189" i="24"/>
  <c r="N189" i="24"/>
  <c r="L189" i="24"/>
  <c r="B189" i="24" s="1"/>
  <c r="D189" i="24"/>
  <c r="C189" i="24"/>
  <c r="O188" i="24"/>
  <c r="N188" i="24"/>
  <c r="L188" i="24"/>
  <c r="B188" i="24" s="1"/>
  <c r="D188" i="24"/>
  <c r="C188" i="24"/>
  <c r="O187" i="24"/>
  <c r="N187" i="24"/>
  <c r="L187" i="24"/>
  <c r="B187" i="24" s="1"/>
  <c r="D187" i="24"/>
  <c r="C187" i="24"/>
  <c r="O186" i="24"/>
  <c r="N186" i="24"/>
  <c r="L186" i="24"/>
  <c r="B186" i="24" s="1"/>
  <c r="D186" i="24"/>
  <c r="C186" i="24"/>
  <c r="O185" i="24"/>
  <c r="N185" i="24"/>
  <c r="L185" i="24"/>
  <c r="D185" i="24"/>
  <c r="C185" i="24"/>
  <c r="B185" i="24"/>
  <c r="O184" i="24"/>
  <c r="N184" i="24"/>
  <c r="L184" i="24"/>
  <c r="D184" i="24"/>
  <c r="C184" i="24"/>
  <c r="B184" i="24"/>
  <c r="O183" i="24"/>
  <c r="N183" i="24"/>
  <c r="L183" i="24"/>
  <c r="B183" i="24" s="1"/>
  <c r="D183" i="24"/>
  <c r="C183" i="24"/>
  <c r="O182" i="24"/>
  <c r="N182" i="24"/>
  <c r="L182" i="24"/>
  <c r="B182" i="24" s="1"/>
  <c r="D182" i="24"/>
  <c r="C182" i="24"/>
  <c r="O181" i="24"/>
  <c r="N181" i="24"/>
  <c r="L181" i="24"/>
  <c r="B181" i="24" s="1"/>
  <c r="D181" i="24"/>
  <c r="C181" i="24"/>
  <c r="O180" i="24"/>
  <c r="N180" i="24"/>
  <c r="L180" i="24"/>
  <c r="D180" i="24"/>
  <c r="C180" i="24"/>
  <c r="B180" i="24"/>
  <c r="O179" i="24"/>
  <c r="N179" i="24"/>
  <c r="L179" i="24"/>
  <c r="B179" i="24" s="1"/>
  <c r="D179" i="24"/>
  <c r="C179" i="24"/>
  <c r="O178" i="24"/>
  <c r="N178" i="24"/>
  <c r="L178" i="24"/>
  <c r="B178" i="24" s="1"/>
  <c r="D178" i="24"/>
  <c r="C178" i="24"/>
  <c r="O177" i="24"/>
  <c r="N177" i="24"/>
  <c r="L177" i="24"/>
  <c r="B177" i="24" s="1"/>
  <c r="D177" i="24"/>
  <c r="C177" i="24"/>
  <c r="O176" i="24"/>
  <c r="N176" i="24"/>
  <c r="L176" i="24"/>
  <c r="B176" i="24" s="1"/>
  <c r="D176" i="24"/>
  <c r="C176" i="24"/>
  <c r="O175" i="24"/>
  <c r="N175" i="24"/>
  <c r="L175" i="24"/>
  <c r="B175" i="24" s="1"/>
  <c r="D175" i="24"/>
  <c r="C175" i="24"/>
  <c r="O174" i="24"/>
  <c r="N174" i="24"/>
  <c r="L174" i="24"/>
  <c r="B174" i="24" s="1"/>
  <c r="D174" i="24"/>
  <c r="C174" i="24"/>
  <c r="O173" i="24"/>
  <c r="N173" i="24"/>
  <c r="L173" i="24"/>
  <c r="D173" i="24"/>
  <c r="C173" i="24"/>
  <c r="B173" i="24"/>
  <c r="O172" i="24"/>
  <c r="N172" i="24"/>
  <c r="L172" i="24"/>
  <c r="D172" i="24"/>
  <c r="C172" i="24"/>
  <c r="B172" i="24"/>
  <c r="O171" i="24"/>
  <c r="N171" i="24"/>
  <c r="L171" i="24"/>
  <c r="B171" i="24" s="1"/>
  <c r="D171" i="24"/>
  <c r="C171" i="24"/>
  <c r="O170" i="24"/>
  <c r="N170" i="24"/>
  <c r="L170" i="24"/>
  <c r="B170" i="24" s="1"/>
  <c r="D170" i="24"/>
  <c r="C170" i="24"/>
  <c r="O169" i="24"/>
  <c r="N169" i="24"/>
  <c r="L169" i="24"/>
  <c r="B169" i="24" s="1"/>
  <c r="D169" i="24"/>
  <c r="C169" i="24"/>
  <c r="O168" i="24"/>
  <c r="N168" i="24"/>
  <c r="L168" i="24"/>
  <c r="D168" i="24"/>
  <c r="C168" i="24"/>
  <c r="B168" i="24"/>
  <c r="O167" i="24"/>
  <c r="N167" i="24"/>
  <c r="L167" i="24"/>
  <c r="B167" i="24" s="1"/>
  <c r="D167" i="24"/>
  <c r="C167" i="24"/>
  <c r="O166" i="24"/>
  <c r="N166" i="24"/>
  <c r="L166" i="24"/>
  <c r="B166" i="24" s="1"/>
  <c r="D166" i="24"/>
  <c r="C166" i="24"/>
  <c r="O165" i="24"/>
  <c r="N165" i="24"/>
  <c r="L165" i="24"/>
  <c r="D165" i="24"/>
  <c r="C165" i="24"/>
  <c r="B165" i="24"/>
  <c r="O164" i="24"/>
  <c r="N164" i="24"/>
  <c r="L164" i="24"/>
  <c r="B164" i="24" s="1"/>
  <c r="D164" i="24"/>
  <c r="C164" i="24"/>
  <c r="O163" i="24"/>
  <c r="N163" i="24"/>
  <c r="L163" i="24"/>
  <c r="B163" i="24" s="1"/>
  <c r="D163" i="24"/>
  <c r="C163" i="24"/>
  <c r="O162" i="24"/>
  <c r="N162" i="24"/>
  <c r="L162" i="24"/>
  <c r="B162" i="24" s="1"/>
  <c r="D162" i="24"/>
  <c r="C162" i="24"/>
  <c r="O161" i="24"/>
  <c r="N161" i="24"/>
  <c r="L161" i="24"/>
  <c r="D161" i="24"/>
  <c r="C161" i="24"/>
  <c r="B161" i="24"/>
  <c r="O160" i="24"/>
  <c r="N160" i="24"/>
  <c r="L160" i="24"/>
  <c r="D160" i="24"/>
  <c r="C160" i="24"/>
  <c r="B160" i="24"/>
  <c r="O159" i="24"/>
  <c r="N159" i="24"/>
  <c r="L159" i="24"/>
  <c r="B159" i="24" s="1"/>
  <c r="D159" i="24"/>
  <c r="C159" i="24"/>
  <c r="O158" i="24"/>
  <c r="N158" i="24"/>
  <c r="L158" i="24"/>
  <c r="B158" i="24" s="1"/>
  <c r="D158" i="24"/>
  <c r="C158" i="24"/>
  <c r="O157" i="24"/>
  <c r="N157" i="24"/>
  <c r="L157" i="24"/>
  <c r="D157" i="24"/>
  <c r="C157" i="24"/>
  <c r="B157" i="24"/>
  <c r="O156" i="24"/>
  <c r="N156" i="24"/>
  <c r="L156" i="24"/>
  <c r="B156" i="24" s="1"/>
  <c r="D156" i="24"/>
  <c r="C156" i="24"/>
  <c r="O155" i="24"/>
  <c r="N155" i="24"/>
  <c r="L155" i="24"/>
  <c r="B155" i="24" s="1"/>
  <c r="D155" i="24"/>
  <c r="C155" i="24"/>
  <c r="O154" i="24"/>
  <c r="N154" i="24"/>
  <c r="L154" i="24"/>
  <c r="B154" i="24" s="1"/>
  <c r="D154" i="24"/>
  <c r="C154" i="24"/>
  <c r="O153" i="24"/>
  <c r="N153" i="24"/>
  <c r="L153" i="24"/>
  <c r="B153" i="24" s="1"/>
  <c r="D153" i="24"/>
  <c r="C153" i="24"/>
  <c r="O152" i="24"/>
  <c r="N152" i="24"/>
  <c r="L152" i="24"/>
  <c r="D152" i="24"/>
  <c r="C152" i="24"/>
  <c r="B152" i="24"/>
  <c r="O151" i="24"/>
  <c r="N151" i="24"/>
  <c r="L151" i="24"/>
  <c r="B151" i="24" s="1"/>
  <c r="D151" i="24"/>
  <c r="C151" i="24"/>
  <c r="O150" i="24"/>
  <c r="N150" i="24"/>
  <c r="L150" i="24"/>
  <c r="D150" i="24"/>
  <c r="C150" i="24"/>
  <c r="B150" i="24"/>
  <c r="O149" i="24"/>
  <c r="N149" i="24"/>
  <c r="L149" i="24"/>
  <c r="B149" i="24" s="1"/>
  <c r="D149" i="24"/>
  <c r="C149" i="24"/>
  <c r="O148" i="24"/>
  <c r="N148" i="24"/>
  <c r="L148" i="24"/>
  <c r="D148" i="24"/>
  <c r="C148" i="24"/>
  <c r="B148" i="24"/>
  <c r="O147" i="24"/>
  <c r="N147" i="24"/>
  <c r="L147" i="24"/>
  <c r="B147" i="24" s="1"/>
  <c r="D147" i="24"/>
  <c r="C147" i="24"/>
  <c r="O146" i="24"/>
  <c r="N146" i="24"/>
  <c r="L146" i="24"/>
  <c r="D146" i="24"/>
  <c r="C146" i="24"/>
  <c r="B146" i="24"/>
  <c r="O145" i="24"/>
  <c r="N145" i="24"/>
  <c r="L145" i="24"/>
  <c r="D145" i="24"/>
  <c r="C145" i="24"/>
  <c r="B145" i="24"/>
  <c r="O144" i="24"/>
  <c r="N144" i="24"/>
  <c r="L144" i="24"/>
  <c r="D144" i="24"/>
  <c r="C144" i="24"/>
  <c r="B144" i="24"/>
  <c r="O143" i="24"/>
  <c r="N143" i="24"/>
  <c r="L143" i="24"/>
  <c r="B143" i="24" s="1"/>
  <c r="D143" i="24"/>
  <c r="C143" i="24"/>
  <c r="O142" i="24"/>
  <c r="N142" i="24"/>
  <c r="L142" i="24"/>
  <c r="D142" i="24"/>
  <c r="C142" i="24"/>
  <c r="B142" i="24"/>
  <c r="O141" i="24"/>
  <c r="N141" i="24"/>
  <c r="L141" i="24"/>
  <c r="D141" i="24"/>
  <c r="C141" i="24"/>
  <c r="B141" i="24"/>
  <c r="O140" i="24"/>
  <c r="N140" i="24"/>
  <c r="L140" i="24"/>
  <c r="B140" i="24" s="1"/>
  <c r="D140" i="24"/>
  <c r="C140" i="24"/>
  <c r="O139" i="24"/>
  <c r="N139" i="24"/>
  <c r="L139" i="24"/>
  <c r="B139" i="24" s="1"/>
  <c r="D139" i="24"/>
  <c r="C139" i="24"/>
  <c r="O138" i="24"/>
  <c r="N138" i="24"/>
  <c r="L138" i="24"/>
  <c r="D138" i="24"/>
  <c r="C138" i="24"/>
  <c r="B138" i="24"/>
  <c r="O137" i="24"/>
  <c r="N137" i="24"/>
  <c r="L137" i="24"/>
  <c r="B137" i="24" s="1"/>
  <c r="D137" i="24"/>
  <c r="C137" i="24"/>
  <c r="O136" i="24"/>
  <c r="N136" i="24"/>
  <c r="L136" i="24"/>
  <c r="B136" i="24" s="1"/>
  <c r="D136" i="24"/>
  <c r="C136" i="24"/>
  <c r="O135" i="24"/>
  <c r="N135" i="24"/>
  <c r="L135" i="24"/>
  <c r="B135" i="24" s="1"/>
  <c r="D135" i="24"/>
  <c r="C135" i="24"/>
  <c r="O134" i="24"/>
  <c r="N134" i="24"/>
  <c r="L134" i="24"/>
  <c r="B134" i="24" s="1"/>
  <c r="D134" i="24"/>
  <c r="C134" i="24"/>
  <c r="O133" i="24"/>
  <c r="N133" i="24"/>
  <c r="L133" i="24"/>
  <c r="D133" i="24"/>
  <c r="C133" i="24"/>
  <c r="B133" i="24"/>
  <c r="O132" i="24"/>
  <c r="N132" i="24"/>
  <c r="L132" i="24"/>
  <c r="B132" i="24" s="1"/>
  <c r="D132" i="24"/>
  <c r="C132" i="24"/>
  <c r="O131" i="24"/>
  <c r="N131" i="24"/>
  <c r="L131" i="24"/>
  <c r="B131" i="24" s="1"/>
  <c r="D131" i="24"/>
  <c r="C131" i="24"/>
  <c r="O130" i="24"/>
  <c r="N130" i="24"/>
  <c r="L130" i="24"/>
  <c r="B130" i="24" s="1"/>
  <c r="D130" i="24"/>
  <c r="C130" i="24"/>
  <c r="O129" i="24"/>
  <c r="N129" i="24"/>
  <c r="L129" i="24"/>
  <c r="B129" i="24" s="1"/>
  <c r="C129" i="24"/>
  <c r="O128" i="24"/>
  <c r="N128" i="24"/>
  <c r="L128" i="24"/>
  <c r="B128" i="24" s="1"/>
  <c r="C128" i="24"/>
  <c r="O127" i="24"/>
  <c r="C127" i="24"/>
  <c r="O126" i="24"/>
  <c r="N126" i="24"/>
  <c r="L126" i="24"/>
  <c r="B126" i="24" s="1"/>
  <c r="C126" i="24"/>
  <c r="O125" i="24"/>
  <c r="N125" i="24"/>
  <c r="L125" i="24"/>
  <c r="B125" i="24" s="1"/>
  <c r="C125" i="24"/>
  <c r="O124" i="24"/>
  <c r="C124" i="24"/>
  <c r="O123" i="24"/>
  <c r="N123" i="24"/>
  <c r="L123" i="24"/>
  <c r="B123" i="24" s="1"/>
  <c r="C123" i="24"/>
  <c r="O122" i="24"/>
  <c r="N122" i="24"/>
  <c r="L122" i="24"/>
  <c r="B122" i="24" s="1"/>
  <c r="C122" i="24"/>
  <c r="O121" i="24"/>
  <c r="O120" i="24"/>
  <c r="N120" i="24"/>
  <c r="L120" i="24"/>
  <c r="B120" i="24" s="1"/>
  <c r="C120" i="24"/>
  <c r="O119" i="24"/>
  <c r="N119" i="24"/>
  <c r="L119" i="24"/>
  <c r="B119" i="24" s="1"/>
  <c r="C119" i="24"/>
  <c r="O118" i="24"/>
  <c r="N118" i="24"/>
  <c r="O117" i="24"/>
  <c r="L117" i="24"/>
  <c r="B117" i="24" s="1"/>
  <c r="C117" i="24"/>
  <c r="O116" i="24"/>
  <c r="N116" i="24"/>
  <c r="L116" i="24"/>
  <c r="C116" i="24"/>
  <c r="B116" i="24"/>
  <c r="O115" i="24"/>
  <c r="N115" i="24"/>
  <c r="L115" i="24"/>
  <c r="B115" i="24" s="1"/>
  <c r="O114" i="24"/>
  <c r="N114" i="24"/>
  <c r="C114" i="24"/>
  <c r="O113" i="24"/>
  <c r="N113" i="24"/>
  <c r="L113" i="24"/>
  <c r="B113" i="24" s="1"/>
  <c r="C113" i="24"/>
  <c r="O112" i="24"/>
  <c r="N112" i="24"/>
  <c r="L112" i="24"/>
  <c r="B112" i="24" s="1"/>
  <c r="O111" i="24"/>
  <c r="N111" i="24"/>
  <c r="L111" i="24"/>
  <c r="B111" i="24" s="1"/>
  <c r="C111" i="24"/>
  <c r="O110" i="24"/>
  <c r="N110" i="24"/>
  <c r="L110" i="24"/>
  <c r="B110" i="24" s="1"/>
  <c r="C110" i="24"/>
  <c r="O109" i="24"/>
  <c r="N109" i="24"/>
  <c r="L109" i="24"/>
  <c r="B109" i="24" s="1"/>
  <c r="C109" i="24"/>
  <c r="O108" i="24"/>
  <c r="L108" i="24"/>
  <c r="B108" i="24" s="1"/>
  <c r="O107" i="24"/>
  <c r="N107" i="24"/>
  <c r="L107" i="24"/>
  <c r="B107" i="24" s="1"/>
  <c r="C107" i="24"/>
  <c r="O106" i="24"/>
  <c r="N106" i="24"/>
  <c r="L106" i="24"/>
  <c r="B106" i="24" s="1"/>
  <c r="C106" i="24"/>
  <c r="O105" i="24"/>
  <c r="C105" i="24"/>
  <c r="O104" i="24"/>
  <c r="N104" i="24"/>
  <c r="L104" i="24"/>
  <c r="C104" i="24"/>
  <c r="B104" i="24"/>
  <c r="O103" i="24"/>
  <c r="N103" i="24"/>
  <c r="L103" i="24"/>
  <c r="C103" i="24"/>
  <c r="B103" i="24"/>
  <c r="O102" i="24"/>
  <c r="C102" i="24"/>
  <c r="O101" i="24"/>
  <c r="N101" i="24"/>
  <c r="L101" i="24"/>
  <c r="B101" i="24" s="1"/>
  <c r="C101" i="24"/>
  <c r="O100" i="24"/>
  <c r="N100" i="24"/>
  <c r="L100" i="24"/>
  <c r="B100" i="24" s="1"/>
  <c r="C100" i="24"/>
  <c r="O99" i="24"/>
  <c r="O98" i="24"/>
  <c r="N98" i="24"/>
  <c r="L98" i="24"/>
  <c r="B98" i="24" s="1"/>
  <c r="C98" i="24"/>
  <c r="O97" i="24"/>
  <c r="N97" i="24"/>
  <c r="L97" i="24"/>
  <c r="C97" i="24"/>
  <c r="B97" i="24"/>
  <c r="O96" i="24"/>
  <c r="N96" i="24"/>
  <c r="O95" i="24"/>
  <c r="L95" i="24"/>
  <c r="B95" i="24" s="1"/>
  <c r="C95" i="24"/>
  <c r="O94" i="24"/>
  <c r="N94" i="24"/>
  <c r="L94" i="24"/>
  <c r="C94" i="24"/>
  <c r="B94" i="24"/>
  <c r="O93" i="24"/>
  <c r="N93" i="24"/>
  <c r="L93" i="24"/>
  <c r="B93" i="24" s="1"/>
  <c r="O92" i="24"/>
  <c r="N92" i="24"/>
  <c r="C92" i="24"/>
  <c r="O91" i="24"/>
  <c r="N91" i="24"/>
  <c r="L91" i="24"/>
  <c r="C91" i="24"/>
  <c r="B91" i="24"/>
  <c r="O90" i="24"/>
  <c r="N90" i="24"/>
  <c r="L90" i="24"/>
  <c r="B90" i="24" s="1"/>
  <c r="O89" i="24"/>
  <c r="N89" i="24"/>
  <c r="L89" i="24"/>
  <c r="B89" i="24" s="1"/>
  <c r="C89" i="24"/>
  <c r="O88" i="24"/>
  <c r="N88" i="24"/>
  <c r="L88" i="24"/>
  <c r="B88" i="24" s="1"/>
  <c r="C88" i="24"/>
  <c r="O87" i="24"/>
  <c r="N87" i="24"/>
  <c r="L87" i="24"/>
  <c r="B87" i="24" s="1"/>
  <c r="C87" i="24"/>
  <c r="O86" i="24"/>
  <c r="N86" i="24"/>
  <c r="L86" i="24"/>
  <c r="B86" i="24" s="1"/>
  <c r="O85" i="24"/>
  <c r="N85" i="24"/>
  <c r="L85" i="24"/>
  <c r="B85" i="24" s="1"/>
  <c r="C85" i="24"/>
  <c r="O84" i="24"/>
  <c r="N84" i="24"/>
  <c r="L84" i="24"/>
  <c r="B84" i="24" s="1"/>
  <c r="C84" i="24"/>
  <c r="O83" i="24"/>
  <c r="L83" i="24"/>
  <c r="B83" i="24" s="1"/>
  <c r="C83" i="24"/>
  <c r="O82" i="24"/>
  <c r="N82" i="24"/>
  <c r="L82" i="24"/>
  <c r="B82" i="24" s="1"/>
  <c r="C82" i="24"/>
  <c r="O81" i="24"/>
  <c r="N81" i="24"/>
  <c r="L81" i="24"/>
  <c r="B81" i="24" s="1"/>
  <c r="C81" i="24"/>
  <c r="O80" i="24"/>
  <c r="C80" i="24"/>
  <c r="O79" i="24"/>
  <c r="N79" i="24"/>
  <c r="L79" i="24"/>
  <c r="B79" i="24" s="1"/>
  <c r="C79" i="24"/>
  <c r="O78" i="24"/>
  <c r="N78" i="24"/>
  <c r="L78" i="24"/>
  <c r="B78" i="24" s="1"/>
  <c r="C78" i="24"/>
  <c r="O77" i="24"/>
  <c r="C77" i="24"/>
  <c r="O76" i="24"/>
  <c r="P76" i="24" s="1"/>
  <c r="N76" i="24"/>
  <c r="L76" i="24"/>
  <c r="B76" i="24" s="1"/>
  <c r="C76" i="24"/>
  <c r="O75" i="24"/>
  <c r="P75" i="24" s="1"/>
  <c r="N75" i="24"/>
  <c r="L75" i="24"/>
  <c r="B75" i="24" s="1"/>
  <c r="O74" i="24"/>
  <c r="P74" i="24" s="1"/>
  <c r="N74" i="24"/>
  <c r="L74" i="24"/>
  <c r="C74" i="24"/>
  <c r="B74" i="24"/>
  <c r="O73" i="24"/>
  <c r="R73" i="24" s="1"/>
  <c r="N73" i="24"/>
  <c r="L73" i="24"/>
  <c r="B73" i="24" s="1"/>
  <c r="C73" i="24"/>
  <c r="O72" i="24"/>
  <c r="P72" i="24" s="1"/>
  <c r="L72" i="24"/>
  <c r="B72" i="24" s="1"/>
  <c r="C72" i="24"/>
  <c r="O71" i="24"/>
  <c r="N71" i="24"/>
  <c r="L71" i="24"/>
  <c r="B71" i="24" s="1"/>
  <c r="C71" i="24"/>
  <c r="O70" i="24"/>
  <c r="N70" i="24"/>
  <c r="L70" i="24"/>
  <c r="C70" i="24"/>
  <c r="B70" i="24"/>
  <c r="O69" i="24"/>
  <c r="R69" i="24" s="1"/>
  <c r="N69" i="24"/>
  <c r="L69" i="24"/>
  <c r="B69" i="24" s="1"/>
  <c r="C69" i="24"/>
  <c r="O68" i="24"/>
  <c r="P68" i="24" s="1"/>
  <c r="L68" i="24"/>
  <c r="B68" i="24" s="1"/>
  <c r="C68" i="24"/>
  <c r="O67" i="24"/>
  <c r="R67" i="24" s="1"/>
  <c r="N67" i="24"/>
  <c r="L67" i="24"/>
  <c r="B67" i="24" s="1"/>
  <c r="C67" i="24"/>
  <c r="O66" i="24"/>
  <c r="P66" i="24" s="1"/>
  <c r="C66" i="24"/>
  <c r="O65" i="24"/>
  <c r="P65" i="24" s="1"/>
  <c r="N65" i="24"/>
  <c r="L65" i="24"/>
  <c r="B65" i="24" s="1"/>
  <c r="C65" i="24"/>
  <c r="O64" i="24"/>
  <c r="R64" i="24" s="1"/>
  <c r="N64" i="24"/>
  <c r="L64" i="24"/>
  <c r="B64" i="24" s="1"/>
  <c r="O63" i="24"/>
  <c r="P63" i="24" s="1"/>
  <c r="N63" i="24"/>
  <c r="L63" i="24"/>
  <c r="B63" i="24" s="1"/>
  <c r="C63" i="24"/>
  <c r="O62" i="24"/>
  <c r="R62" i="24" s="1"/>
  <c r="N62" i="24"/>
  <c r="L62" i="24"/>
  <c r="B62" i="24" s="1"/>
  <c r="C62" i="24"/>
  <c r="O61" i="24"/>
  <c r="R61" i="24" s="1"/>
  <c r="L61" i="24"/>
  <c r="B61" i="24" s="1"/>
  <c r="C61" i="24"/>
  <c r="O60" i="24"/>
  <c r="R60" i="24" s="1"/>
  <c r="N60" i="24"/>
  <c r="L60" i="24"/>
  <c r="B60" i="24" s="1"/>
  <c r="C60" i="24"/>
  <c r="O59" i="24"/>
  <c r="N59" i="24"/>
  <c r="L59" i="24"/>
  <c r="C59" i="24"/>
  <c r="B59" i="24"/>
  <c r="O58" i="24"/>
  <c r="R58" i="24" s="1"/>
  <c r="N58" i="24"/>
  <c r="L58" i="24"/>
  <c r="C58" i="24"/>
  <c r="B58" i="24"/>
  <c r="O57" i="24"/>
  <c r="P57" i="24" s="1"/>
  <c r="L57" i="24"/>
  <c r="B57" i="24" s="1"/>
  <c r="C57" i="24"/>
  <c r="O56" i="24"/>
  <c r="R56" i="24" s="1"/>
  <c r="N56" i="24"/>
  <c r="L56" i="24"/>
  <c r="B56" i="24" s="1"/>
  <c r="C56" i="24"/>
  <c r="O55" i="24"/>
  <c r="R55" i="24" s="1"/>
  <c r="C55" i="24"/>
  <c r="O54" i="24"/>
  <c r="R54" i="24" s="1"/>
  <c r="N54" i="24"/>
  <c r="L54" i="24"/>
  <c r="B54" i="24" s="1"/>
  <c r="C54" i="24"/>
  <c r="O53" i="24"/>
  <c r="R53" i="24" s="1"/>
  <c r="N53" i="24"/>
  <c r="L53" i="24"/>
  <c r="B53" i="24" s="1"/>
  <c r="O52" i="24"/>
  <c r="P52" i="24" s="1"/>
  <c r="N52" i="24"/>
  <c r="L52" i="24"/>
  <c r="B52" i="24" s="1"/>
  <c r="C52" i="24"/>
  <c r="O51" i="24"/>
  <c r="P51" i="24" s="1"/>
  <c r="N51" i="24"/>
  <c r="L51" i="24"/>
  <c r="B51" i="24" s="1"/>
  <c r="C51" i="24"/>
  <c r="O50" i="24"/>
  <c r="P50" i="24" s="1"/>
  <c r="L50" i="24"/>
  <c r="B50" i="24" s="1"/>
  <c r="C50" i="24"/>
  <c r="O49" i="24"/>
  <c r="P49" i="24" s="1"/>
  <c r="N49" i="24"/>
  <c r="L49" i="24"/>
  <c r="B49" i="24" s="1"/>
  <c r="C49" i="24"/>
  <c r="O48" i="24"/>
  <c r="N48" i="24"/>
  <c r="L48" i="24"/>
  <c r="C48" i="24"/>
  <c r="B48" i="24"/>
  <c r="O47" i="24"/>
  <c r="N47" i="24"/>
  <c r="L47" i="24"/>
  <c r="C47" i="24"/>
  <c r="B47" i="24"/>
  <c r="O46" i="24"/>
  <c r="P46" i="24" s="1"/>
  <c r="L46" i="24"/>
  <c r="B46" i="24" s="1"/>
  <c r="C46" i="24"/>
  <c r="O45" i="24"/>
  <c r="N45" i="24"/>
  <c r="L45" i="24"/>
  <c r="B45" i="24" s="1"/>
  <c r="C45" i="24"/>
  <c r="O44" i="24"/>
  <c r="R44" i="24" s="1"/>
  <c r="C44" i="24"/>
  <c r="O43" i="24"/>
  <c r="R43" i="24" s="1"/>
  <c r="N43" i="24"/>
  <c r="L43" i="24"/>
  <c r="C43" i="24"/>
  <c r="B43" i="24"/>
  <c r="O42" i="24"/>
  <c r="P42" i="24" s="1"/>
  <c r="N42" i="24"/>
  <c r="L42" i="24"/>
  <c r="B42" i="24" s="1"/>
  <c r="O41" i="24"/>
  <c r="P41" i="24" s="1"/>
  <c r="N41" i="24"/>
  <c r="L41" i="24"/>
  <c r="B41" i="24" s="1"/>
  <c r="C41" i="24"/>
  <c r="O40" i="24"/>
  <c r="R40" i="24" s="1"/>
  <c r="N40" i="24"/>
  <c r="L40" i="24"/>
  <c r="B40" i="24" s="1"/>
  <c r="C40" i="24"/>
  <c r="O39" i="24"/>
  <c r="L39" i="24"/>
  <c r="B39" i="24" s="1"/>
  <c r="C39" i="24"/>
  <c r="O38" i="24"/>
  <c r="R38" i="24" s="1"/>
  <c r="N38" i="24"/>
  <c r="L38" i="24"/>
  <c r="B38" i="24" s="1"/>
  <c r="C38" i="24"/>
  <c r="O37" i="24"/>
  <c r="N37" i="24"/>
  <c r="L37" i="24"/>
  <c r="B37" i="24" s="1"/>
  <c r="C37" i="24"/>
  <c r="O36" i="24"/>
  <c r="R36" i="24" s="1"/>
  <c r="N36" i="24"/>
  <c r="L36" i="24"/>
  <c r="B36" i="24" s="1"/>
  <c r="C36" i="24"/>
  <c r="O35" i="24"/>
  <c r="P35" i="24" s="1"/>
  <c r="L35" i="24"/>
  <c r="B35" i="24" s="1"/>
  <c r="C35" i="24"/>
  <c r="O34" i="24"/>
  <c r="R34" i="24" s="1"/>
  <c r="N34" i="24"/>
  <c r="L34" i="24"/>
  <c r="B34" i="24" s="1"/>
  <c r="C34" i="24"/>
  <c r="O33" i="24"/>
  <c r="R33" i="24" s="1"/>
  <c r="C33" i="24"/>
  <c r="O32" i="24"/>
  <c r="R32" i="24" s="1"/>
  <c r="N32" i="24"/>
  <c r="L32" i="24"/>
  <c r="B32" i="24" s="1"/>
  <c r="C32" i="24"/>
  <c r="O31" i="24"/>
  <c r="P31" i="24" s="1"/>
  <c r="S31" i="24" s="1"/>
  <c r="N31" i="24"/>
  <c r="L31" i="24"/>
  <c r="B31" i="24" s="1"/>
  <c r="O30" i="24"/>
  <c r="R30" i="24" s="1"/>
  <c r="N30" i="24"/>
  <c r="L30" i="24"/>
  <c r="C30" i="24"/>
  <c r="B30" i="24"/>
  <c r="O29" i="24"/>
  <c r="R29" i="24" s="1"/>
  <c r="N29" i="24"/>
  <c r="L29" i="24"/>
  <c r="C29" i="24"/>
  <c r="B29" i="24"/>
  <c r="O28" i="24"/>
  <c r="R28" i="24" s="1"/>
  <c r="N28" i="24"/>
  <c r="C28" i="24"/>
  <c r="O27" i="24"/>
  <c r="P27" i="24" s="1"/>
  <c r="N27" i="24"/>
  <c r="L27" i="24"/>
  <c r="B27" i="24" s="1"/>
  <c r="C27" i="24"/>
  <c r="O26" i="24"/>
  <c r="R26" i="24" s="1"/>
  <c r="N26" i="24"/>
  <c r="L26" i="24"/>
  <c r="B26" i="24" s="1"/>
  <c r="O25" i="24"/>
  <c r="P25" i="24" s="1"/>
  <c r="N25" i="24"/>
  <c r="L25" i="24"/>
  <c r="C25" i="24"/>
  <c r="B25" i="24"/>
  <c r="O24" i="24"/>
  <c r="R24" i="24" s="1"/>
  <c r="C24" i="24"/>
  <c r="O23" i="24"/>
  <c r="R23" i="24" s="1"/>
  <c r="N23" i="24"/>
  <c r="L23" i="24"/>
  <c r="B23" i="24" s="1"/>
  <c r="C23" i="24"/>
  <c r="O22" i="24"/>
  <c r="P22" i="24" s="1"/>
  <c r="L22" i="24"/>
  <c r="B22" i="24" s="1"/>
  <c r="C22" i="24"/>
  <c r="O21" i="24"/>
  <c r="R21" i="24" s="1"/>
  <c r="N21" i="24"/>
  <c r="L21" i="24"/>
  <c r="B21" i="24" s="1"/>
  <c r="C21" i="24"/>
  <c r="O20" i="24"/>
  <c r="R20" i="24" s="1"/>
  <c r="C20" i="24"/>
  <c r="O19" i="24"/>
  <c r="R19" i="24" s="1"/>
  <c r="N19" i="24"/>
  <c r="L19" i="24"/>
  <c r="C19" i="24"/>
  <c r="B19" i="24"/>
  <c r="O18" i="24"/>
  <c r="P18" i="24" s="1"/>
  <c r="L18" i="24"/>
  <c r="B18" i="24" s="1"/>
  <c r="C18" i="24"/>
  <c r="O17" i="24"/>
  <c r="R17" i="24" s="1"/>
  <c r="N17" i="24"/>
  <c r="L17" i="24"/>
  <c r="B17" i="24" s="1"/>
  <c r="C17" i="24"/>
  <c r="O16" i="24"/>
  <c r="R16" i="24" s="1"/>
  <c r="C16" i="24"/>
  <c r="O15" i="24"/>
  <c r="R15" i="24" s="1"/>
  <c r="N15" i="24"/>
  <c r="L15" i="24"/>
  <c r="B15" i="24" s="1"/>
  <c r="C15" i="24"/>
  <c r="O14" i="24"/>
  <c r="P14" i="24" s="1"/>
  <c r="N14" i="24"/>
  <c r="L14" i="24"/>
  <c r="B14" i="24" s="1"/>
  <c r="O13" i="24"/>
  <c r="P13" i="24" s="1"/>
  <c r="N13" i="24"/>
  <c r="L13" i="24"/>
  <c r="C13" i="24"/>
  <c r="B13" i="24"/>
  <c r="O12" i="24"/>
  <c r="R12" i="24" s="1"/>
  <c r="N12" i="24"/>
  <c r="L12" i="24"/>
  <c r="B12" i="24" s="1"/>
  <c r="C12" i="24"/>
  <c r="O11" i="24"/>
  <c r="R11" i="24" s="1"/>
  <c r="O10" i="24"/>
  <c r="R10" i="24" s="1"/>
  <c r="O9" i="24"/>
  <c r="O8" i="24"/>
  <c r="R8" i="24" s="1"/>
  <c r="O7" i="24"/>
  <c r="R7" i="24" s="1"/>
  <c r="O6" i="24"/>
  <c r="R6" i="24" s="1"/>
  <c r="O5" i="24"/>
  <c r="R5" i="24" s="1"/>
  <c r="L4" i="24"/>
  <c r="I4" i="24"/>
  <c r="C4" i="24"/>
  <c r="B4" i="24"/>
  <c r="B4" i="1"/>
  <c r="R35" i="24" l="1"/>
  <c r="R46" i="24"/>
  <c r="S46" i="24" s="1"/>
  <c r="R72" i="24"/>
  <c r="R18" i="24"/>
  <c r="R22" i="24"/>
  <c r="P62" i="24"/>
  <c r="R14" i="24"/>
  <c r="S14" i="24" s="1"/>
  <c r="P73" i="24"/>
  <c r="P19" i="24"/>
  <c r="S19" i="24" s="1"/>
  <c r="P24" i="24"/>
  <c r="S24" i="24" s="1"/>
  <c r="P34" i="24"/>
  <c r="S34" i="24" s="1"/>
  <c r="P20" i="24"/>
  <c r="S20" i="24" s="1"/>
  <c r="R49" i="24"/>
  <c r="S49" i="24" s="1"/>
  <c r="S22" i="24"/>
  <c r="P36" i="24"/>
  <c r="S36" i="24" s="1"/>
  <c r="R66" i="24"/>
  <c r="S66" i="24" s="1"/>
  <c r="R57" i="24"/>
  <c r="S57" i="24" s="1"/>
  <c r="P38" i="24"/>
  <c r="S38" i="24" s="1"/>
  <c r="P53" i="24"/>
  <c r="S53" i="24" s="1"/>
  <c r="P58" i="24"/>
  <c r="S58" i="24" s="1"/>
  <c r="P15" i="24"/>
  <c r="S15" i="24" s="1"/>
  <c r="P16" i="24"/>
  <c r="S16" i="24" s="1"/>
  <c r="P30" i="24"/>
  <c r="S30" i="24" s="1"/>
  <c r="R42" i="24"/>
  <c r="R68" i="24"/>
  <c r="S68" i="24" s="1"/>
  <c r="P64" i="24"/>
  <c r="S64" i="24" s="1"/>
  <c r="R25" i="24"/>
  <c r="S25" i="24" s="1"/>
  <c r="P40" i="24"/>
  <c r="S40" i="24" s="1"/>
  <c r="S42" i="24"/>
  <c r="S62" i="24"/>
  <c r="S73" i="24"/>
  <c r="S35" i="24"/>
  <c r="S18" i="24"/>
  <c r="P23" i="24"/>
  <c r="S23" i="24" s="1"/>
  <c r="P45" i="24"/>
  <c r="R45" i="24"/>
  <c r="S45" i="24" s="1"/>
  <c r="P60" i="24"/>
  <c r="S60" i="24" s="1"/>
  <c r="R71" i="24"/>
  <c r="P71" i="24"/>
  <c r="R74" i="24"/>
  <c r="S74" i="24" s="1"/>
  <c r="R13" i="24"/>
  <c r="S13" i="24" s="1"/>
  <c r="R47" i="24"/>
  <c r="P47" i="24"/>
  <c r="R50" i="24"/>
  <c r="S50" i="24" s="1"/>
  <c r="R76" i="24"/>
  <c r="S76" i="24" s="1"/>
  <c r="R39" i="24"/>
  <c r="P39" i="24"/>
  <c r="R41" i="24"/>
  <c r="S41" i="24" s="1"/>
  <c r="P21" i="24"/>
  <c r="R65" i="24"/>
  <c r="S65" i="24" s="1"/>
  <c r="P55" i="24"/>
  <c r="S55" i="24" s="1"/>
  <c r="P44" i="24"/>
  <c r="S44" i="24" s="1"/>
  <c r="P29" i="24"/>
  <c r="S29" i="24" s="1"/>
  <c r="R52" i="24"/>
  <c r="S52" i="24" s="1"/>
  <c r="S21" i="24"/>
  <c r="P28" i="24"/>
  <c r="S28" i="24" s="1"/>
  <c r="R63" i="24"/>
  <c r="S63" i="24" s="1"/>
  <c r="R9" i="24"/>
  <c r="P17" i="24"/>
  <c r="S17" i="24" s="1"/>
  <c r="P61" i="24"/>
  <c r="S61" i="24" s="1"/>
  <c r="P69" i="24"/>
  <c r="S69" i="24" s="1"/>
  <c r="P12" i="24"/>
  <c r="S12" i="24" s="1"/>
  <c r="P32" i="24"/>
  <c r="S32" i="24" s="1"/>
  <c r="R48" i="24"/>
  <c r="P48" i="24"/>
  <c r="P56" i="24"/>
  <c r="S56" i="24" s="1"/>
  <c r="R27" i="24"/>
  <c r="S27" i="24" s="1"/>
  <c r="P43" i="24"/>
  <c r="S43" i="24" s="1"/>
  <c r="R51" i="24"/>
  <c r="S51" i="24" s="1"/>
  <c r="R59" i="24"/>
  <c r="P59" i="24"/>
  <c r="P67" i="24"/>
  <c r="S67" i="24" s="1"/>
  <c r="R75" i="24"/>
  <c r="S75" i="24" s="1"/>
  <c r="R37" i="24"/>
  <c r="P37" i="24"/>
  <c r="S72" i="24"/>
  <c r="P33" i="24"/>
  <c r="S33" i="24" s="1"/>
  <c r="P54" i="24"/>
  <c r="S54" i="24" s="1"/>
  <c r="R70" i="24"/>
  <c r="P70" i="24"/>
  <c r="C26" i="24"/>
  <c r="L28" i="24"/>
  <c r="B28" i="24" s="1"/>
  <c r="N39" i="24"/>
  <c r="N50" i="24"/>
  <c r="N61" i="24"/>
  <c r="N72" i="24"/>
  <c r="C86" i="24"/>
  <c r="L92" i="24"/>
  <c r="B92" i="24" s="1"/>
  <c r="N95" i="24"/>
  <c r="C108" i="24"/>
  <c r="L114" i="24"/>
  <c r="B114" i="24" s="1"/>
  <c r="N117" i="24"/>
  <c r="L105" i="24"/>
  <c r="B105" i="24" s="1"/>
  <c r="L127" i="24"/>
  <c r="B127" i="24" s="1"/>
  <c r="D16" i="24"/>
  <c r="D17" i="24" s="1"/>
  <c r="D18" i="24" s="1"/>
  <c r="D19" i="24" s="1"/>
  <c r="D20" i="24" s="1"/>
  <c r="D21" i="24" s="1"/>
  <c r="D22" i="24" s="1"/>
  <c r="D23" i="24" s="1"/>
  <c r="D24" i="24" s="1"/>
  <c r="D25" i="24" s="1"/>
  <c r="D26" i="24" s="1"/>
  <c r="D27" i="24" s="1"/>
  <c r="D28" i="24" s="1"/>
  <c r="D29" i="24" s="1"/>
  <c r="D30" i="24" s="1"/>
  <c r="D31" i="24" s="1"/>
  <c r="D32" i="24" s="1"/>
  <c r="N18" i="24"/>
  <c r="L20" i="24"/>
  <c r="B20" i="24" s="1"/>
  <c r="N22" i="24"/>
  <c r="L24" i="24"/>
  <c r="B24" i="24" s="1"/>
  <c r="D33" i="24"/>
  <c r="D34" i="24" s="1"/>
  <c r="D35" i="24" s="1"/>
  <c r="D36" i="24" s="1"/>
  <c r="D37" i="24" s="1"/>
  <c r="D38" i="24" s="1"/>
  <c r="D39" i="24" s="1"/>
  <c r="D40" i="24" s="1"/>
  <c r="D41" i="24" s="1"/>
  <c r="D42" i="24" s="1"/>
  <c r="D43" i="24" s="1"/>
  <c r="D44" i="24" s="1"/>
  <c r="D45" i="24" s="1"/>
  <c r="D46" i="24" s="1"/>
  <c r="D47" i="24" s="1"/>
  <c r="D48" i="24" s="1"/>
  <c r="D49" i="24" s="1"/>
  <c r="D50" i="24" s="1"/>
  <c r="D51" i="24" s="1"/>
  <c r="D52" i="24" s="1"/>
  <c r="D53" i="24" s="1"/>
  <c r="D54" i="24" s="1"/>
  <c r="D55" i="24" s="1"/>
  <c r="D56" i="24" s="1"/>
  <c r="D57" i="24" s="1"/>
  <c r="D58" i="24" s="1"/>
  <c r="D59" i="24" s="1"/>
  <c r="D60" i="24" s="1"/>
  <c r="D61" i="24" s="1"/>
  <c r="D62" i="24" s="1"/>
  <c r="D63" i="24" s="1"/>
  <c r="D64" i="24" s="1"/>
  <c r="D65" i="24" s="1"/>
  <c r="D66" i="24" s="1"/>
  <c r="D67" i="24" s="1"/>
  <c r="D68" i="24" s="1"/>
  <c r="D69" i="24" s="1"/>
  <c r="D70" i="24" s="1"/>
  <c r="D71" i="24" s="1"/>
  <c r="D72" i="24" s="1"/>
  <c r="D73" i="24" s="1"/>
  <c r="D74" i="24" s="1"/>
  <c r="D75" i="24" s="1"/>
  <c r="D76" i="24" s="1"/>
  <c r="D77" i="24" s="1"/>
  <c r="D78" i="24" s="1"/>
  <c r="D79" i="24" s="1"/>
  <c r="D80" i="24" s="1"/>
  <c r="D81" i="24" s="1"/>
  <c r="D82" i="24" s="1"/>
  <c r="D83" i="24" s="1"/>
  <c r="D84" i="24" s="1"/>
  <c r="D85" i="24" s="1"/>
  <c r="D86" i="24" s="1"/>
  <c r="D87" i="24" s="1"/>
  <c r="D88" i="24" s="1"/>
  <c r="D89" i="24" s="1"/>
  <c r="D90" i="24" s="1"/>
  <c r="D91" i="24" s="1"/>
  <c r="D92" i="24" s="1"/>
  <c r="D93" i="24" s="1"/>
  <c r="D94" i="24" s="1"/>
  <c r="D95" i="24" s="1"/>
  <c r="D96" i="24" s="1"/>
  <c r="D97" i="24" s="1"/>
  <c r="D98" i="24" s="1"/>
  <c r="D99" i="24" s="1"/>
  <c r="D100" i="24" s="1"/>
  <c r="D101" i="24" s="1"/>
  <c r="D102" i="24" s="1"/>
  <c r="D103" i="24" s="1"/>
  <c r="D104" i="24" s="1"/>
  <c r="D105" i="24" s="1"/>
  <c r="D106" i="24" s="1"/>
  <c r="D107" i="24" s="1"/>
  <c r="D108" i="24" s="1"/>
  <c r="D109" i="24" s="1"/>
  <c r="D110" i="24" s="1"/>
  <c r="D111" i="24" s="1"/>
  <c r="D112" i="24" s="1"/>
  <c r="D113" i="24" s="1"/>
  <c r="D114" i="24" s="1"/>
  <c r="D115" i="24" s="1"/>
  <c r="D116" i="24" s="1"/>
  <c r="D117" i="24" s="1"/>
  <c r="D118" i="24" s="1"/>
  <c r="D119" i="24" s="1"/>
  <c r="D120" i="24" s="1"/>
  <c r="D121" i="24" s="1"/>
  <c r="D122" i="24" s="1"/>
  <c r="D123" i="24" s="1"/>
  <c r="D124" i="24" s="1"/>
  <c r="D125" i="24" s="1"/>
  <c r="D126" i="24" s="1"/>
  <c r="D127" i="24" s="1"/>
  <c r="D128" i="24" s="1"/>
  <c r="D129" i="24" s="1"/>
  <c r="N35" i="24"/>
  <c r="N46" i="24"/>
  <c r="N57" i="24"/>
  <c r="N68" i="24"/>
  <c r="L80" i="24"/>
  <c r="B80" i="24" s="1"/>
  <c r="N83" i="24"/>
  <c r="C96" i="24"/>
  <c r="L102" i="24"/>
  <c r="B102" i="24" s="1"/>
  <c r="N105" i="24"/>
  <c r="C118" i="24"/>
  <c r="L124" i="24"/>
  <c r="B124" i="24" s="1"/>
  <c r="N127" i="24"/>
  <c r="C99" i="24"/>
  <c r="N108" i="24"/>
  <c r="C121" i="24"/>
  <c r="C14" i="24"/>
  <c r="L16" i="24"/>
  <c r="B16" i="24" s="1"/>
  <c r="N20" i="24"/>
  <c r="N24" i="24"/>
  <c r="P26" i="24"/>
  <c r="S26" i="24" s="1"/>
  <c r="L33" i="24"/>
  <c r="B33" i="24" s="1"/>
  <c r="C42" i="24"/>
  <c r="L44" i="24"/>
  <c r="B44" i="24" s="1"/>
  <c r="C53" i="24"/>
  <c r="L55" i="24"/>
  <c r="B55" i="24" s="1"/>
  <c r="C64" i="24"/>
  <c r="L66" i="24"/>
  <c r="B66" i="24" s="1"/>
  <c r="C75" i="24"/>
  <c r="L77" i="24"/>
  <c r="B77" i="24" s="1"/>
  <c r="N80" i="24"/>
  <c r="C93" i="24"/>
  <c r="L99" i="24"/>
  <c r="B99" i="24" s="1"/>
  <c r="N102" i="24"/>
  <c r="C115" i="24"/>
  <c r="L121" i="24"/>
  <c r="B121" i="24" s="1"/>
  <c r="N124" i="24"/>
  <c r="D14" i="24"/>
  <c r="D15" i="24" s="1"/>
  <c r="N16" i="24"/>
  <c r="C31" i="24"/>
  <c r="N33" i="24"/>
  <c r="N44" i="24"/>
  <c r="N55" i="24"/>
  <c r="N66" i="24"/>
  <c r="N77" i="24"/>
  <c r="C90" i="24"/>
  <c r="L96" i="24"/>
  <c r="B96" i="24" s="1"/>
  <c r="N99" i="24"/>
  <c r="C112" i="24"/>
  <c r="L118" i="24"/>
  <c r="B118" i="24" s="1"/>
  <c r="N121" i="24"/>
  <c r="S47" i="24" l="1"/>
  <c r="S71" i="24"/>
  <c r="S70" i="24"/>
  <c r="S39" i="24"/>
  <c r="S59" i="24"/>
  <c r="S48" i="24"/>
  <c r="S37" i="24"/>
  <c r="G6" i="25" l="1"/>
  <c r="G7" i="25"/>
  <c r="G8" i="25"/>
  <c r="G9" i="25"/>
  <c r="G10" i="25"/>
  <c r="G11"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F145" i="25"/>
  <c r="F146" i="25"/>
  <c r="F147" i="25"/>
  <c r="D144" i="21" s="1"/>
  <c r="F148" i="25"/>
  <c r="D145" i="21" s="1"/>
  <c r="H150" i="25"/>
  <c r="F170" i="25"/>
  <c r="H172" i="25"/>
  <c r="F173" i="25"/>
  <c r="D170" i="21" s="1"/>
  <c r="H174" i="25"/>
  <c r="H175" i="25"/>
  <c r="F176" i="25"/>
  <c r="F177" i="25"/>
  <c r="D174" i="21" s="1"/>
  <c r="F178" i="25"/>
  <c r="D175" i="21" s="1"/>
  <c r="F179" i="25"/>
  <c r="H180" i="25"/>
  <c r="H181" i="25"/>
  <c r="H195" i="25"/>
  <c r="F196" i="25"/>
  <c r="D193" i="21" s="1"/>
  <c r="H197" i="25"/>
  <c r="F198" i="25"/>
  <c r="D195" i="21" s="1"/>
  <c r="F199" i="25"/>
  <c r="D196" i="21" s="1"/>
  <c r="F200" i="25"/>
  <c r="D197" i="21" s="1"/>
  <c r="F201" i="25"/>
  <c r="D198" i="21" s="1"/>
  <c r="H202" i="25"/>
  <c r="H203" i="25"/>
  <c r="F217" i="25"/>
  <c r="H218" i="25"/>
  <c r="H219" i="25"/>
  <c r="F220" i="25"/>
  <c r="H221" i="25"/>
  <c r="F222" i="25"/>
  <c r="H223" i="25"/>
  <c r="H224" i="25"/>
  <c r="H225" i="25"/>
  <c r="F239" i="25"/>
  <c r="F240" i="25"/>
  <c r="H241" i="25"/>
  <c r="F242" i="25"/>
  <c r="F243" i="25"/>
  <c r="F244" i="25"/>
  <c r="H245" i="25"/>
  <c r="H246" i="25"/>
  <c r="H247" i="25"/>
  <c r="H262" i="25"/>
  <c r="H263" i="25"/>
  <c r="F264" i="25"/>
  <c r="H265" i="25"/>
  <c r="H266" i="25"/>
  <c r="F267" i="25"/>
  <c r="H268" i="25"/>
  <c r="F269" i="25"/>
  <c r="H284" i="25"/>
  <c r="H285" i="25"/>
  <c r="F286" i="25"/>
  <c r="F287" i="25"/>
  <c r="H288" i="25"/>
  <c r="F289" i="25"/>
  <c r="H290" i="25"/>
  <c r="H291" i="25"/>
  <c r="F306" i="25"/>
  <c r="H307" i="25"/>
  <c r="F308" i="25"/>
  <c r="H309" i="25"/>
  <c r="F310" i="25"/>
  <c r="F311" i="25"/>
  <c r="H312" i="25"/>
  <c r="H313" i="25"/>
  <c r="F316" i="25"/>
  <c r="F322" i="25"/>
  <c r="H328" i="25"/>
  <c r="H329" i="25"/>
  <c r="F330" i="25"/>
  <c r="F331" i="25"/>
  <c r="H332" i="25"/>
  <c r="F333" i="25"/>
  <c r="H334" i="25"/>
  <c r="H335" i="25"/>
  <c r="F338" i="25"/>
  <c r="H351" i="25"/>
  <c r="F352" i="25"/>
  <c r="F353" i="25"/>
  <c r="F354" i="25"/>
  <c r="F355" i="25"/>
  <c r="H356" i="25"/>
  <c r="H357" i="25"/>
  <c r="F360" i="25"/>
  <c r="H372" i="25"/>
  <c r="F374" i="25"/>
  <c r="F375" i="25"/>
  <c r="F376" i="25"/>
  <c r="F377" i="25"/>
  <c r="H378" i="25"/>
  <c r="H379" i="25"/>
  <c r="H395" i="25"/>
  <c r="F396" i="25"/>
  <c r="F397" i="25"/>
  <c r="F398" i="25"/>
  <c r="F399" i="25"/>
  <c r="H400" i="25"/>
  <c r="H401" i="25"/>
  <c r="H417" i="25"/>
  <c r="F418" i="25"/>
  <c r="F419" i="25"/>
  <c r="F420" i="25"/>
  <c r="H421" i="25"/>
  <c r="H422" i="25"/>
  <c r="H423" i="25"/>
  <c r="H439" i="25"/>
  <c r="F440" i="25"/>
  <c r="F441" i="25"/>
  <c r="F442" i="25"/>
  <c r="H443" i="25"/>
  <c r="H444" i="25"/>
  <c r="H445" i="25"/>
  <c r="H461" i="25"/>
  <c r="F462" i="25"/>
  <c r="F463" i="25"/>
  <c r="F464" i="25"/>
  <c r="F465" i="25"/>
  <c r="H466" i="25"/>
  <c r="H467" i="25"/>
  <c r="H483" i="25"/>
  <c r="F484" i="25"/>
  <c r="F485" i="25"/>
  <c r="H486" i="25"/>
  <c r="H487" i="25"/>
  <c r="H488" i="25"/>
  <c r="H489" i="25"/>
  <c r="G5" i="25"/>
  <c r="C141" i="21"/>
  <c r="C142" i="21"/>
  <c r="C143" i="21"/>
  <c r="C149" i="21"/>
  <c r="C150" i="21"/>
  <c r="C151" i="21"/>
  <c r="C152" i="21"/>
  <c r="C153" i="21"/>
  <c r="C154" i="21"/>
  <c r="F158" i="25"/>
  <c r="D155" i="21" s="1"/>
  <c r="C156" i="21"/>
  <c r="Z137" i="15"/>
  <c r="Z138" i="15"/>
  <c r="Z139" i="15"/>
  <c r="Z140" i="15"/>
  <c r="Z141" i="15"/>
  <c r="Z142" i="15"/>
  <c r="Z143" i="15"/>
  <c r="Z144" i="15"/>
  <c r="Z145" i="15"/>
  <c r="Z146" i="15"/>
  <c r="Z147" i="15"/>
  <c r="Z148" i="15"/>
  <c r="Z149" i="15"/>
  <c r="Z150" i="15"/>
  <c r="Z151" i="15"/>
  <c r="Z152" i="15"/>
  <c r="Z153" i="15"/>
  <c r="Z154" i="15"/>
  <c r="Z155" i="15"/>
  <c r="Z156" i="15"/>
  <c r="Z157" i="15"/>
  <c r="Z158" i="15"/>
  <c r="Z159" i="15"/>
  <c r="Z160" i="15"/>
  <c r="Z161" i="15"/>
  <c r="Z162" i="15"/>
  <c r="Z163" i="15"/>
  <c r="Z164" i="15"/>
  <c r="Z165" i="15"/>
  <c r="Z166" i="15"/>
  <c r="Z167" i="15"/>
  <c r="Z168" i="15"/>
  <c r="Z169" i="15"/>
  <c r="Z170" i="15"/>
  <c r="Z171" i="15"/>
  <c r="Z172" i="15"/>
  <c r="Z173" i="15"/>
  <c r="Z174" i="15"/>
  <c r="Z175" i="15"/>
  <c r="Z176" i="15"/>
  <c r="Z177" i="15"/>
  <c r="Z178" i="15"/>
  <c r="Z179" i="15"/>
  <c r="Z180" i="15"/>
  <c r="Z181" i="15"/>
  <c r="Z182" i="15"/>
  <c r="Z183" i="15"/>
  <c r="Z184" i="15"/>
  <c r="Z185" i="15"/>
  <c r="Z186" i="15"/>
  <c r="Z187" i="15"/>
  <c r="Z188" i="15"/>
  <c r="Z189" i="15"/>
  <c r="Z190" i="15"/>
  <c r="Z191" i="15"/>
  <c r="Z192" i="15"/>
  <c r="Z193" i="15"/>
  <c r="Z194" i="15"/>
  <c r="Z195" i="15"/>
  <c r="Z196" i="15"/>
  <c r="Z197" i="15"/>
  <c r="Z198" i="15"/>
  <c r="Z199" i="15"/>
  <c r="Z200" i="15"/>
  <c r="Z201" i="15"/>
  <c r="Z202" i="15"/>
  <c r="Z203" i="15"/>
  <c r="Z204" i="15"/>
  <c r="Z205" i="15"/>
  <c r="Z206" i="15"/>
  <c r="Z207" i="15"/>
  <c r="Z208" i="15"/>
  <c r="Z209" i="15"/>
  <c r="Z210" i="15"/>
  <c r="Z211" i="15"/>
  <c r="Z212" i="15"/>
  <c r="Z213" i="15"/>
  <c r="Z214" i="15"/>
  <c r="Z215" i="15"/>
  <c r="Z216" i="15"/>
  <c r="Z217" i="15"/>
  <c r="Z218" i="15"/>
  <c r="Z219" i="15"/>
  <c r="Z220" i="15"/>
  <c r="Z221" i="15"/>
  <c r="Z222" i="15"/>
  <c r="Z223" i="15"/>
  <c r="Z224" i="15"/>
  <c r="Z225" i="15"/>
  <c r="Z226" i="15"/>
  <c r="Z227" i="15"/>
  <c r="Z228" i="15"/>
  <c r="Z229" i="15"/>
  <c r="Z230" i="15"/>
  <c r="Z231" i="15"/>
  <c r="Z232" i="15"/>
  <c r="Z233" i="15"/>
  <c r="Z234" i="15"/>
  <c r="Z235" i="15"/>
  <c r="Z236" i="15"/>
  <c r="Z237" i="15"/>
  <c r="Z238" i="15"/>
  <c r="Z239" i="15"/>
  <c r="Z240" i="15"/>
  <c r="Z241" i="15"/>
  <c r="Z242" i="15"/>
  <c r="Z243" i="15"/>
  <c r="Z244" i="15"/>
  <c r="Z245" i="15"/>
  <c r="Z246" i="15"/>
  <c r="Z247" i="15"/>
  <c r="Z248" i="15"/>
  <c r="Z249" i="15"/>
  <c r="Z250" i="15"/>
  <c r="Z251" i="15"/>
  <c r="Z252" i="15"/>
  <c r="Z253" i="15"/>
  <c r="Z254" i="15"/>
  <c r="Z255" i="15"/>
  <c r="Z256" i="15"/>
  <c r="Z257" i="15"/>
  <c r="Z258" i="15"/>
  <c r="Z259" i="15"/>
  <c r="Z260" i="15"/>
  <c r="Z261" i="15"/>
  <c r="Z262" i="15"/>
  <c r="Z263" i="15"/>
  <c r="Z264" i="15"/>
  <c r="Z265" i="15"/>
  <c r="Z266" i="15"/>
  <c r="Z267" i="15"/>
  <c r="Z268" i="15"/>
  <c r="Z269" i="15"/>
  <c r="Z270" i="15"/>
  <c r="Z271" i="15"/>
  <c r="Z272" i="15"/>
  <c r="Z273" i="15"/>
  <c r="Z274" i="15"/>
  <c r="Z275" i="15"/>
  <c r="Z276" i="15"/>
  <c r="Z277" i="15"/>
  <c r="Z278" i="15"/>
  <c r="Z279" i="15"/>
  <c r="Z280" i="15"/>
  <c r="Z281" i="15"/>
  <c r="Z282" i="15"/>
  <c r="Z283" i="15"/>
  <c r="Z284" i="15"/>
  <c r="Z285" i="15"/>
  <c r="Z286" i="15"/>
  <c r="Z287" i="15"/>
  <c r="Z288" i="15"/>
  <c r="Z289" i="15"/>
  <c r="Z290" i="15"/>
  <c r="Z291" i="15"/>
  <c r="Z292" i="15"/>
  <c r="Z293" i="15"/>
  <c r="Z294" i="15"/>
  <c r="Z295" i="15"/>
  <c r="Z296" i="15"/>
  <c r="Z297" i="15"/>
  <c r="Z298" i="15"/>
  <c r="Z299" i="15"/>
  <c r="Z300" i="15"/>
  <c r="Z301" i="15"/>
  <c r="Z302" i="15"/>
  <c r="Z303" i="15"/>
  <c r="Z304" i="15"/>
  <c r="Z305" i="15"/>
  <c r="Z306" i="15"/>
  <c r="Z307" i="15"/>
  <c r="Z308" i="15"/>
  <c r="Z309" i="15"/>
  <c r="Z310" i="15"/>
  <c r="Z311" i="15"/>
  <c r="Z312" i="15"/>
  <c r="Z313" i="15"/>
  <c r="Z314" i="15"/>
  <c r="Z315" i="15"/>
  <c r="Z316" i="15"/>
  <c r="Z317" i="15"/>
  <c r="Z318" i="15"/>
  <c r="Z319" i="15"/>
  <c r="Z320" i="15"/>
  <c r="Z321" i="15"/>
  <c r="Z322" i="15"/>
  <c r="Z323" i="15"/>
  <c r="Z324" i="15"/>
  <c r="Z325" i="15"/>
  <c r="Z326" i="15"/>
  <c r="Z327" i="15"/>
  <c r="Z328" i="15"/>
  <c r="Z329" i="15"/>
  <c r="Z330" i="15"/>
  <c r="Z331" i="15"/>
  <c r="Z332" i="15"/>
  <c r="Z333" i="15"/>
  <c r="Z334" i="15"/>
  <c r="Z335" i="15"/>
  <c r="Z336" i="15"/>
  <c r="Z337" i="15"/>
  <c r="Z338" i="15"/>
  <c r="Z339" i="15"/>
  <c r="Z340" i="15"/>
  <c r="Z341" i="15"/>
  <c r="Z342" i="15"/>
  <c r="Z343" i="15"/>
  <c r="Z344" i="15"/>
  <c r="Z345" i="15"/>
  <c r="Z346" i="15"/>
  <c r="Z347" i="15"/>
  <c r="Z348" i="15"/>
  <c r="Z349" i="15"/>
  <c r="Z350" i="15"/>
  <c r="Z351" i="15"/>
  <c r="Z352" i="15"/>
  <c r="Z353" i="15"/>
  <c r="Z354" i="15"/>
  <c r="Z355" i="15"/>
  <c r="Z356" i="15"/>
  <c r="Z357" i="15"/>
  <c r="Z358" i="15"/>
  <c r="Z359" i="15"/>
  <c r="Z360" i="15"/>
  <c r="Z361" i="15"/>
  <c r="Z362" i="15"/>
  <c r="Z363" i="15"/>
  <c r="Z364" i="15"/>
  <c r="Z365" i="15"/>
  <c r="Z366" i="15"/>
  <c r="Z367" i="15"/>
  <c r="Z368" i="15"/>
  <c r="Z369" i="15"/>
  <c r="Z370" i="15"/>
  <c r="Z371" i="15"/>
  <c r="Z372" i="15"/>
  <c r="Z373" i="15"/>
  <c r="Z374" i="15"/>
  <c r="Z375" i="15"/>
  <c r="Z376" i="15"/>
  <c r="Z377" i="15"/>
  <c r="Z378" i="15"/>
  <c r="Z379" i="15"/>
  <c r="Z380" i="15"/>
  <c r="Z381" i="15"/>
  <c r="Z382" i="15"/>
  <c r="Z383" i="15"/>
  <c r="Z384" i="15"/>
  <c r="Z385" i="15"/>
  <c r="Z386" i="15"/>
  <c r="Z387" i="15"/>
  <c r="Z388" i="15"/>
  <c r="Z389" i="15"/>
  <c r="Z390" i="15"/>
  <c r="Z391" i="15"/>
  <c r="Z392" i="15"/>
  <c r="Z393" i="15"/>
  <c r="Z394" i="15"/>
  <c r="Z395" i="15"/>
  <c r="Z396" i="15"/>
  <c r="Z397" i="15"/>
  <c r="Z398" i="15"/>
  <c r="Z399" i="15"/>
  <c r="Z400" i="15"/>
  <c r="Z401" i="15"/>
  <c r="Z402" i="15"/>
  <c r="Z403" i="15"/>
  <c r="Z404" i="15"/>
  <c r="Z405" i="15"/>
  <c r="Z406" i="15"/>
  <c r="Z407" i="15"/>
  <c r="Z408" i="15"/>
  <c r="Z409" i="15"/>
  <c r="Z410" i="15"/>
  <c r="Z411" i="15"/>
  <c r="Z412" i="15"/>
  <c r="Z413" i="15"/>
  <c r="Z414" i="15"/>
  <c r="Z415" i="15"/>
  <c r="Z416" i="15"/>
  <c r="Z417" i="15"/>
  <c r="Z418" i="15"/>
  <c r="Z419" i="15"/>
  <c r="Z420" i="15"/>
  <c r="Z421" i="15"/>
  <c r="Z422" i="15"/>
  <c r="Z423" i="15"/>
  <c r="Z424" i="15"/>
  <c r="Z425" i="15"/>
  <c r="Z426" i="15"/>
  <c r="Z427" i="15"/>
  <c r="Z428" i="15"/>
  <c r="Z429" i="15"/>
  <c r="Z430" i="15"/>
  <c r="Z431" i="15"/>
  <c r="Z432" i="15"/>
  <c r="Z433" i="15"/>
  <c r="Z434" i="15"/>
  <c r="Z435" i="15"/>
  <c r="Z436" i="15"/>
  <c r="Z437" i="15"/>
  <c r="Z438" i="15"/>
  <c r="Z439" i="15"/>
  <c r="Z440" i="15"/>
  <c r="Z441" i="15"/>
  <c r="Z442" i="15"/>
  <c r="Z443" i="15"/>
  <c r="Z444" i="15"/>
  <c r="Z445" i="15"/>
  <c r="Z446" i="15"/>
  <c r="Z447" i="15"/>
  <c r="Z448" i="15"/>
  <c r="Z449" i="15"/>
  <c r="Z450" i="15"/>
  <c r="Z451" i="15"/>
  <c r="Z452" i="15"/>
  <c r="Z453" i="15"/>
  <c r="Z454" i="15"/>
  <c r="Z455" i="15"/>
  <c r="Z456" i="15"/>
  <c r="Z457" i="15"/>
  <c r="Z458" i="15"/>
  <c r="Z459" i="15"/>
  <c r="Z460" i="15"/>
  <c r="Z461" i="15"/>
  <c r="Z462" i="15"/>
  <c r="Z463" i="15"/>
  <c r="Z464" i="15"/>
  <c r="Z465" i="15"/>
  <c r="Z466" i="15"/>
  <c r="Z467" i="15"/>
  <c r="Z468" i="15"/>
  <c r="Z469" i="15"/>
  <c r="Z470" i="15"/>
  <c r="Z471" i="15"/>
  <c r="Z472" i="15"/>
  <c r="Z473" i="15"/>
  <c r="Z474" i="15"/>
  <c r="Z475" i="15"/>
  <c r="Z476" i="15"/>
  <c r="Z477" i="15"/>
  <c r="Z478" i="15"/>
  <c r="Z479" i="15"/>
  <c r="Z480" i="15"/>
  <c r="Z481" i="15"/>
  <c r="Z482" i="15"/>
  <c r="Z483" i="15"/>
  <c r="Z484" i="15"/>
  <c r="Z485" i="15"/>
  <c r="Z486" i="15"/>
  <c r="Z487" i="15"/>
  <c r="Z488" i="15"/>
  <c r="Z489" i="15"/>
  <c r="Z490" i="15"/>
  <c r="Z491" i="15"/>
  <c r="Z492" i="15"/>
  <c r="Z493" i="15"/>
  <c r="G7" i="15"/>
  <c r="G8" i="15"/>
  <c r="G9" i="15"/>
  <c r="G10" i="15"/>
  <c r="G11" i="15"/>
  <c r="G12" i="15"/>
  <c r="G13" i="15"/>
  <c r="G14" i="15"/>
  <c r="G15" i="15"/>
  <c r="G16" i="15"/>
  <c r="G17" i="15"/>
  <c r="G18" i="15"/>
  <c r="G19" i="15"/>
  <c r="G20" i="15"/>
  <c r="G21" i="15"/>
  <c r="G22"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 r="G371" i="15"/>
  <c r="G372" i="15"/>
  <c r="G373" i="15"/>
  <c r="G374" i="15"/>
  <c r="G375" i="15"/>
  <c r="G376" i="15"/>
  <c r="G377" i="15"/>
  <c r="G378" i="15"/>
  <c r="G379" i="15"/>
  <c r="G380" i="15"/>
  <c r="G381" i="15"/>
  <c r="G382" i="15"/>
  <c r="G383" i="15"/>
  <c r="G384" i="15"/>
  <c r="G385" i="15"/>
  <c r="G386" i="15"/>
  <c r="G387" i="15"/>
  <c r="G388" i="15"/>
  <c r="G389" i="15"/>
  <c r="G390" i="15"/>
  <c r="G391" i="15"/>
  <c r="G392" i="15"/>
  <c r="G393" i="15"/>
  <c r="G394" i="15"/>
  <c r="G395" i="15"/>
  <c r="G396" i="15"/>
  <c r="G397" i="15"/>
  <c r="G398" i="15"/>
  <c r="G399" i="15"/>
  <c r="G400" i="15"/>
  <c r="G401" i="15"/>
  <c r="G402" i="15"/>
  <c r="G403" i="15"/>
  <c r="G404" i="15"/>
  <c r="G405" i="15"/>
  <c r="G406" i="15"/>
  <c r="G407" i="15"/>
  <c r="G408" i="15"/>
  <c r="G409" i="15"/>
  <c r="G410" i="15"/>
  <c r="G411" i="15"/>
  <c r="G412" i="15"/>
  <c r="G413" i="15"/>
  <c r="G414" i="15"/>
  <c r="G415" i="15"/>
  <c r="G416" i="15"/>
  <c r="G417" i="15"/>
  <c r="G418" i="15"/>
  <c r="G419" i="15"/>
  <c r="G420" i="15"/>
  <c r="G421" i="15"/>
  <c r="G422" i="15"/>
  <c r="G423" i="15"/>
  <c r="G424" i="15"/>
  <c r="G425" i="15"/>
  <c r="G426" i="15"/>
  <c r="G427" i="15"/>
  <c r="G428" i="15"/>
  <c r="G429" i="15"/>
  <c r="G430" i="15"/>
  <c r="G431" i="15"/>
  <c r="G432" i="15"/>
  <c r="G433" i="15"/>
  <c r="G434" i="15"/>
  <c r="G435" i="15"/>
  <c r="G436" i="15"/>
  <c r="G437" i="15"/>
  <c r="G438" i="15"/>
  <c r="G439" i="15"/>
  <c r="G440" i="15"/>
  <c r="G441" i="15"/>
  <c r="G442" i="15"/>
  <c r="G443" i="15"/>
  <c r="G444" i="15"/>
  <c r="G445" i="15"/>
  <c r="G446" i="15"/>
  <c r="G447" i="15"/>
  <c r="G448" i="15"/>
  <c r="G449" i="15"/>
  <c r="G450" i="15"/>
  <c r="G451" i="15"/>
  <c r="G452" i="15"/>
  <c r="G453" i="15"/>
  <c r="G454" i="15"/>
  <c r="G455" i="15"/>
  <c r="G456" i="15"/>
  <c r="G457" i="15"/>
  <c r="G458" i="15"/>
  <c r="G459" i="15"/>
  <c r="G460" i="15"/>
  <c r="G461" i="15"/>
  <c r="G462" i="15"/>
  <c r="G463" i="15"/>
  <c r="G464" i="15"/>
  <c r="G465" i="15"/>
  <c r="G466" i="15"/>
  <c r="G467" i="15"/>
  <c r="G468" i="15"/>
  <c r="G469" i="15"/>
  <c r="G470" i="15"/>
  <c r="G471" i="15"/>
  <c r="G472" i="15"/>
  <c r="G473" i="15"/>
  <c r="G474" i="15"/>
  <c r="G475" i="15"/>
  <c r="G476" i="15"/>
  <c r="G477" i="15"/>
  <c r="G478" i="15"/>
  <c r="G479" i="15"/>
  <c r="G480" i="15"/>
  <c r="G481" i="15"/>
  <c r="G482" i="15"/>
  <c r="G483" i="15"/>
  <c r="G484" i="15"/>
  <c r="G485" i="15"/>
  <c r="G486" i="15"/>
  <c r="G487" i="15"/>
  <c r="G488" i="15"/>
  <c r="G489" i="15"/>
  <c r="G490" i="15"/>
  <c r="G491" i="15"/>
  <c r="G492" i="15"/>
  <c r="G493" i="15"/>
  <c r="L7" i="28"/>
  <c r="L10" i="28"/>
  <c r="L13" i="28"/>
  <c r="L16" i="28"/>
  <c r="L17" i="28"/>
  <c r="L49" i="28"/>
  <c r="L50" i="28"/>
  <c r="L51" i="28"/>
  <c r="L52" i="28"/>
  <c r="L53" i="28"/>
  <c r="L54" i="28"/>
  <c r="L55" i="28"/>
  <c r="L56" i="28"/>
  <c r="L57" i="28"/>
  <c r="L58" i="28"/>
  <c r="L59" i="28"/>
  <c r="L60" i="28"/>
  <c r="L61" i="28"/>
  <c r="L62" i="28"/>
  <c r="L63" i="28"/>
  <c r="L64" i="28"/>
  <c r="L65" i="28"/>
  <c r="L66" i="28"/>
  <c r="L67" i="28"/>
  <c r="L68" i="28"/>
  <c r="L69" i="28"/>
  <c r="L70" i="28"/>
  <c r="L73" i="28"/>
  <c r="L74" i="28"/>
  <c r="L75" i="28"/>
  <c r="L76" i="28"/>
  <c r="L77" i="28"/>
  <c r="L78" i="28"/>
  <c r="L79" i="28"/>
  <c r="L80" i="28"/>
  <c r="L81" i="28"/>
  <c r="L82" i="28"/>
  <c r="L83" i="28"/>
  <c r="L84" i="28"/>
  <c r="L85" i="28"/>
  <c r="L86" i="28"/>
  <c r="L87" i="28"/>
  <c r="L88" i="28"/>
  <c r="L89" i="28"/>
  <c r="L90" i="28"/>
  <c r="L91" i="28"/>
  <c r="L92" i="28"/>
  <c r="L93" i="28"/>
  <c r="L94" i="28"/>
  <c r="L95" i="28"/>
  <c r="L96" i="28"/>
  <c r="L97" i="28"/>
  <c r="L98" i="28"/>
  <c r="L99" i="28"/>
  <c r="L100" i="28"/>
  <c r="L101" i="28"/>
  <c r="L102" i="28"/>
  <c r="L103" i="28"/>
  <c r="L104" i="28"/>
  <c r="L105" i="28"/>
  <c r="L106" i="28"/>
  <c r="L107" i="28"/>
  <c r="L108" i="28"/>
  <c r="L109" i="28"/>
  <c r="L110" i="28"/>
  <c r="L111" i="28"/>
  <c r="L112" i="28"/>
  <c r="L113" i="28"/>
  <c r="L114" i="28"/>
  <c r="L115" i="28"/>
  <c r="L116" i="28"/>
  <c r="L117" i="28"/>
  <c r="L118" i="28"/>
  <c r="L119" i="28"/>
  <c r="L120" i="28"/>
  <c r="L121" i="28"/>
  <c r="L122" i="28"/>
  <c r="L123" i="28"/>
  <c r="L124" i="28"/>
  <c r="L125" i="28"/>
  <c r="L126" i="28"/>
  <c r="L127" i="28"/>
  <c r="L128" i="28"/>
  <c r="L129" i="28"/>
  <c r="L130" i="28"/>
  <c r="L131" i="28"/>
  <c r="L132" i="28"/>
  <c r="L133" i="28"/>
  <c r="L134" i="28"/>
  <c r="L71" i="28"/>
  <c r="L72" i="28"/>
  <c r="K4" i="28"/>
  <c r="L4" i="28" s="1"/>
  <c r="K5" i="28"/>
  <c r="L5" i="28" s="1"/>
  <c r="K6" i="28"/>
  <c r="L6" i="28" s="1"/>
  <c r="K7" i="28"/>
  <c r="K8" i="28"/>
  <c r="L8" i="28" s="1"/>
  <c r="K9" i="28"/>
  <c r="L9" i="28" s="1"/>
  <c r="K10" i="28"/>
  <c r="K11" i="28"/>
  <c r="L11" i="28" s="1"/>
  <c r="K12" i="28"/>
  <c r="L12" i="28" s="1"/>
  <c r="K13" i="28"/>
  <c r="K14" i="28"/>
  <c r="L14" i="28" s="1"/>
  <c r="K15" i="28"/>
  <c r="L15" i="28" s="1"/>
  <c r="K16" i="28"/>
  <c r="K17" i="28"/>
  <c r="K18" i="28"/>
  <c r="L18" i="28" s="1"/>
  <c r="K19" i="28"/>
  <c r="L19" i="28" s="1"/>
  <c r="K20" i="28"/>
  <c r="L20" i="28" s="1"/>
  <c r="K21" i="28"/>
  <c r="L21" i="28" s="1"/>
  <c r="K22" i="28"/>
  <c r="L22" i="28" s="1"/>
  <c r="K23" i="28"/>
  <c r="L23" i="28" s="1"/>
  <c r="K24" i="28"/>
  <c r="L24" i="28" s="1"/>
  <c r="K25" i="28"/>
  <c r="L25" i="28" s="1"/>
  <c r="K26" i="28"/>
  <c r="L26" i="28" s="1"/>
  <c r="K27" i="28"/>
  <c r="L27" i="28" s="1"/>
  <c r="K28" i="28"/>
  <c r="L28" i="28" s="1"/>
  <c r="K29" i="28"/>
  <c r="L29" i="28" s="1"/>
  <c r="K30" i="28"/>
  <c r="L30" i="28" s="1"/>
  <c r="K31" i="28"/>
  <c r="L31" i="28" s="1"/>
  <c r="K32" i="28"/>
  <c r="L32" i="28" s="1"/>
  <c r="K33" i="28"/>
  <c r="L33" i="28" s="1"/>
  <c r="K34" i="28"/>
  <c r="L34" i="28" s="1"/>
  <c r="K35" i="28"/>
  <c r="L35" i="28" s="1"/>
  <c r="K36" i="28"/>
  <c r="L36" i="28" s="1"/>
  <c r="K37" i="28"/>
  <c r="L37" i="28" s="1"/>
  <c r="K38" i="28"/>
  <c r="L38" i="28" s="1"/>
  <c r="K39" i="28"/>
  <c r="L39" i="28" s="1"/>
  <c r="K40" i="28"/>
  <c r="L40" i="28" s="1"/>
  <c r="K41" i="28"/>
  <c r="L41" i="28" s="1"/>
  <c r="K42" i="28"/>
  <c r="L42" i="28" s="1"/>
  <c r="K43" i="28"/>
  <c r="L43" i="28" s="1"/>
  <c r="K44" i="28"/>
  <c r="L44" i="28" s="1"/>
  <c r="K45" i="28"/>
  <c r="L45" i="28" s="1"/>
  <c r="K46" i="28"/>
  <c r="L46" i="28" s="1"/>
  <c r="K47" i="28"/>
  <c r="L47" i="28" s="1"/>
  <c r="K48" i="28"/>
  <c r="L48" i="28" s="1"/>
  <c r="K49" i="28"/>
  <c r="K50" i="28"/>
  <c r="K51" i="28"/>
  <c r="K52" i="28"/>
  <c r="K53" i="28"/>
  <c r="K54" i="28"/>
  <c r="K55" i="28"/>
  <c r="K56" i="28"/>
  <c r="K57" i="28"/>
  <c r="K58" i="28"/>
  <c r="K59" i="28"/>
  <c r="K60" i="28"/>
  <c r="K61" i="28"/>
  <c r="K62" i="28"/>
  <c r="K63" i="28"/>
  <c r="K64" i="28"/>
  <c r="K65" i="28"/>
  <c r="K66" i="28"/>
  <c r="K67" i="28"/>
  <c r="K68" i="28"/>
  <c r="K69" i="28"/>
  <c r="K70" i="28"/>
  <c r="K71" i="28"/>
  <c r="K72" i="28"/>
  <c r="K73" i="28"/>
  <c r="K74" i="28"/>
  <c r="K75" i="28"/>
  <c r="K76" i="28"/>
  <c r="K77" i="28"/>
  <c r="K78" i="28"/>
  <c r="K79" i="28"/>
  <c r="K80" i="28"/>
  <c r="K81" i="28"/>
  <c r="K82" i="28"/>
  <c r="K83" i="28"/>
  <c r="K84" i="28"/>
  <c r="K85" i="28"/>
  <c r="K86" i="28"/>
  <c r="K87" i="28"/>
  <c r="K88" i="28"/>
  <c r="K89" i="28"/>
  <c r="K90" i="28"/>
  <c r="K91" i="28"/>
  <c r="K92" i="28"/>
  <c r="K93" i="28"/>
  <c r="K94" i="28"/>
  <c r="K95" i="28"/>
  <c r="K96" i="28"/>
  <c r="K97" i="28"/>
  <c r="K98" i="28"/>
  <c r="K99" i="28"/>
  <c r="K100" i="28"/>
  <c r="K101" i="28"/>
  <c r="K102" i="28"/>
  <c r="K103" i="28"/>
  <c r="K104" i="28"/>
  <c r="K105" i="28"/>
  <c r="K106" i="28"/>
  <c r="K107" i="28"/>
  <c r="K108" i="28"/>
  <c r="K109" i="28"/>
  <c r="K110" i="28"/>
  <c r="K111" i="28"/>
  <c r="K112" i="28"/>
  <c r="K113" i="28"/>
  <c r="K114" i="28"/>
  <c r="K115" i="28"/>
  <c r="K116" i="28"/>
  <c r="K117" i="28"/>
  <c r="K118" i="28"/>
  <c r="K119" i="28"/>
  <c r="K120" i="28"/>
  <c r="K121" i="28"/>
  <c r="K122" i="28"/>
  <c r="K123" i="28"/>
  <c r="K124" i="28"/>
  <c r="K125" i="28"/>
  <c r="K126" i="28"/>
  <c r="K127" i="28"/>
  <c r="K128" i="28"/>
  <c r="K129" i="28"/>
  <c r="K130" i="28"/>
  <c r="K131" i="28"/>
  <c r="K132" i="28"/>
  <c r="K133" i="28"/>
  <c r="K134" i="28"/>
  <c r="K3" i="28"/>
  <c r="L3" i="28" s="1"/>
  <c r="I3" i="26"/>
  <c r="I4" i="26"/>
  <c r="I5"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2" i="26"/>
  <c r="AZ3" i="16"/>
  <c r="AZ4" i="16" s="1"/>
  <c r="AZ5" i="16" s="1"/>
  <c r="AZ6" i="16" s="1"/>
  <c r="AZ7" i="16" s="1"/>
  <c r="AZ8" i="16" s="1"/>
  <c r="AZ9" i="16" s="1"/>
  <c r="AZ10" i="16" s="1"/>
  <c r="AZ11" i="16" s="1"/>
  <c r="AZ12" i="16" s="1"/>
  <c r="AZ13" i="16" s="1"/>
  <c r="AZ14" i="16" s="1"/>
  <c r="AZ15" i="16" s="1"/>
  <c r="AZ16" i="16" s="1"/>
  <c r="AZ17" i="16" s="1"/>
  <c r="AZ18" i="16" s="1"/>
  <c r="AZ19" i="16" s="1"/>
  <c r="AZ20" i="16" s="1"/>
  <c r="AZ21" i="16" s="1"/>
  <c r="AZ22" i="16" s="1"/>
  <c r="AZ23" i="16" s="1"/>
  <c r="AZ24" i="16" s="1"/>
  <c r="AZ25" i="16" s="1"/>
  <c r="AZ26" i="16" s="1"/>
  <c r="AZ27" i="16" s="1"/>
  <c r="AZ28" i="16" s="1"/>
  <c r="AZ29" i="16" s="1"/>
  <c r="AZ30" i="16" s="1"/>
  <c r="AZ31" i="16" s="1"/>
  <c r="AZ32" i="16" s="1"/>
  <c r="AZ33" i="16" s="1"/>
  <c r="AZ34" i="16" s="1"/>
  <c r="AZ35" i="16" s="1"/>
  <c r="AZ36" i="16" s="1"/>
  <c r="AZ37" i="16" s="1"/>
  <c r="AZ38" i="16" s="1"/>
  <c r="AZ39" i="16" s="1"/>
  <c r="AZ40" i="16" s="1"/>
  <c r="H184" i="25"/>
  <c r="H250" i="25"/>
  <c r="H294" i="25"/>
  <c r="H296" i="25"/>
  <c r="H338" i="25"/>
  <c r="H340" i="25"/>
  <c r="H360" i="25"/>
  <c r="H382" i="25"/>
  <c r="H384" i="25"/>
  <c r="H448" i="25"/>
  <c r="H450" i="25"/>
  <c r="H492" i="25"/>
  <c r="H494" i="25"/>
  <c r="F143" i="25"/>
  <c r="F144" i="25"/>
  <c r="D141" i="21" s="1"/>
  <c r="H149" i="25"/>
  <c r="H151" i="25"/>
  <c r="H160" i="25"/>
  <c r="F161" i="25"/>
  <c r="D158" i="21" s="1"/>
  <c r="F162" i="25"/>
  <c r="D159" i="21" s="1"/>
  <c r="H163" i="25"/>
  <c r="F164" i="25"/>
  <c r="D161" i="21" s="1"/>
  <c r="F165" i="25"/>
  <c r="F166" i="25"/>
  <c r="D163" i="21" s="1"/>
  <c r="F167" i="25"/>
  <c r="D164" i="21" s="1"/>
  <c r="H168" i="25"/>
  <c r="H169" i="25"/>
  <c r="H171" i="25"/>
  <c r="H182" i="25"/>
  <c r="F183" i="25"/>
  <c r="D180" i="21" s="1"/>
  <c r="H185" i="25"/>
  <c r="F186" i="25"/>
  <c r="D183" i="21" s="1"/>
  <c r="F187" i="25"/>
  <c r="D184" i="21" s="1"/>
  <c r="F188" i="25"/>
  <c r="F189" i="25"/>
  <c r="D186" i="21" s="1"/>
  <c r="H190" i="25"/>
  <c r="H191" i="25"/>
  <c r="H192" i="25"/>
  <c r="H193" i="25"/>
  <c r="H194" i="25"/>
  <c r="H204" i="25"/>
  <c r="H205" i="25"/>
  <c r="H206" i="25"/>
  <c r="H207" i="25"/>
  <c r="F208" i="25"/>
  <c r="F209" i="25"/>
  <c r="F210" i="25"/>
  <c r="F211" i="25"/>
  <c r="F212" i="25"/>
  <c r="F213" i="25"/>
  <c r="F214" i="25"/>
  <c r="H215" i="25"/>
  <c r="H216" i="25"/>
  <c r="H226" i="25"/>
  <c r="H227" i="25"/>
  <c r="H228" i="25"/>
  <c r="H229" i="25"/>
  <c r="F230" i="25"/>
  <c r="F231" i="25"/>
  <c r="F232" i="25"/>
  <c r="F233" i="25"/>
  <c r="F234" i="25"/>
  <c r="H235" i="25"/>
  <c r="H236" i="25"/>
  <c r="H237" i="25"/>
  <c r="H238" i="25"/>
  <c r="H248" i="25"/>
  <c r="H249" i="25"/>
  <c r="H251" i="25"/>
  <c r="F252" i="25"/>
  <c r="F253" i="25"/>
  <c r="F254" i="25"/>
  <c r="F255" i="25"/>
  <c r="F256" i="25"/>
  <c r="F257" i="25"/>
  <c r="F258" i="25"/>
  <c r="H259" i="25"/>
  <c r="H260" i="25"/>
  <c r="F261" i="25"/>
  <c r="F270" i="25"/>
  <c r="H271" i="25"/>
  <c r="H272" i="25"/>
  <c r="H273" i="25"/>
  <c r="F274" i="25"/>
  <c r="F275" i="25"/>
  <c r="F276" i="25"/>
  <c r="F277" i="25"/>
  <c r="F278" i="25"/>
  <c r="F279" i="25"/>
  <c r="F280" i="25"/>
  <c r="H281" i="25"/>
  <c r="H282" i="25"/>
  <c r="H283" i="25"/>
  <c r="H292" i="25"/>
  <c r="H293" i="25"/>
  <c r="F294" i="25"/>
  <c r="H295" i="25"/>
  <c r="F296" i="25"/>
  <c r="F297" i="25"/>
  <c r="F298" i="25"/>
  <c r="F299" i="25"/>
  <c r="F300" i="25"/>
  <c r="H301" i="25"/>
  <c r="F302" i="25"/>
  <c r="H303" i="25"/>
  <c r="H304" i="25"/>
  <c r="H305" i="25"/>
  <c r="H314" i="25"/>
  <c r="H315" i="25"/>
  <c r="H316" i="25"/>
  <c r="H317" i="25"/>
  <c r="F318" i="25"/>
  <c r="F319" i="25"/>
  <c r="F320" i="25"/>
  <c r="F321" i="25"/>
  <c r="H322" i="25"/>
  <c r="H323" i="25"/>
  <c r="F324" i="25"/>
  <c r="H325" i="25"/>
  <c r="H326" i="25"/>
  <c r="H327" i="25"/>
  <c r="H336" i="25"/>
  <c r="H337" i="25"/>
  <c r="H339" i="25"/>
  <c r="F340" i="25"/>
  <c r="F341" i="25"/>
  <c r="F342" i="25"/>
  <c r="F343" i="25"/>
  <c r="F344" i="25"/>
  <c r="F345" i="25"/>
  <c r="F346" i="25"/>
  <c r="H347" i="25"/>
  <c r="H348" i="25"/>
  <c r="H349" i="25"/>
  <c r="F350" i="25"/>
  <c r="H358" i="25"/>
  <c r="F359" i="25"/>
  <c r="H361" i="25"/>
  <c r="F362" i="25"/>
  <c r="F363" i="25"/>
  <c r="F364" i="25"/>
  <c r="F365" i="25"/>
  <c r="H366" i="25"/>
  <c r="H367" i="25"/>
  <c r="F368" i="25"/>
  <c r="H369" i="25"/>
  <c r="H370" i="25"/>
  <c r="H371" i="25"/>
  <c r="H373" i="25"/>
  <c r="H380" i="25"/>
  <c r="F381" i="25"/>
  <c r="F383" i="25"/>
  <c r="F384" i="25"/>
  <c r="F385" i="25"/>
  <c r="F386" i="25"/>
  <c r="F387" i="25"/>
  <c r="H388" i="25"/>
  <c r="F389" i="25"/>
  <c r="F390" i="25"/>
  <c r="H391" i="25"/>
  <c r="H392" i="25"/>
  <c r="F393" i="25"/>
  <c r="H394" i="25"/>
  <c r="H402" i="25"/>
  <c r="H403" i="25"/>
  <c r="H404" i="25"/>
  <c r="H405" i="25"/>
  <c r="F406" i="25"/>
  <c r="F407" i="25"/>
  <c r="F408" i="25"/>
  <c r="F409" i="25"/>
  <c r="H410" i="25"/>
  <c r="F411" i="25"/>
  <c r="F412" i="25"/>
  <c r="H413" i="25"/>
  <c r="H414" i="25"/>
  <c r="H415" i="25"/>
  <c r="H416" i="25"/>
  <c r="H424" i="25"/>
  <c r="H425" i="25"/>
  <c r="H426" i="25"/>
  <c r="H427" i="25"/>
  <c r="F428" i="25"/>
  <c r="F429" i="25"/>
  <c r="F430" i="25"/>
  <c r="F431" i="25"/>
  <c r="H432" i="25"/>
  <c r="F433" i="25"/>
  <c r="H434" i="25"/>
  <c r="H435" i="25"/>
  <c r="H436" i="25"/>
  <c r="F437" i="25"/>
  <c r="F438" i="25"/>
  <c r="H446" i="25"/>
  <c r="H447" i="25"/>
  <c r="F448" i="25"/>
  <c r="H449" i="25"/>
  <c r="F450" i="25"/>
  <c r="F451" i="25"/>
  <c r="F452" i="25"/>
  <c r="F453" i="25"/>
  <c r="H454" i="25"/>
  <c r="F455" i="25"/>
  <c r="H456" i="25"/>
  <c r="H457" i="25"/>
  <c r="H458" i="25"/>
  <c r="H459" i="25"/>
  <c r="H460" i="25"/>
  <c r="H468" i="25"/>
  <c r="H469" i="25"/>
  <c r="H470" i="25"/>
  <c r="H471" i="25"/>
  <c r="F472" i="25"/>
  <c r="F473" i="25"/>
  <c r="F474" i="25"/>
  <c r="F475" i="25"/>
  <c r="F476" i="25"/>
  <c r="H477" i="25"/>
  <c r="H478" i="25"/>
  <c r="H479" i="25"/>
  <c r="H480" i="25"/>
  <c r="H481" i="25"/>
  <c r="F482" i="25"/>
  <c r="H490" i="25"/>
  <c r="H491" i="25"/>
  <c r="H493" i="25"/>
  <c r="F494" i="25"/>
  <c r="F495" i="25"/>
  <c r="F496" i="25"/>
  <c r="F497" i="25"/>
  <c r="F498" i="25"/>
  <c r="G5" i="15"/>
  <c r="G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H23" i="23"/>
  <c r="G23" i="23"/>
  <c r="V22" i="1"/>
  <c r="V21" i="1"/>
  <c r="U19" i="1"/>
  <c r="V19" i="1" s="1"/>
  <c r="C140" i="21"/>
  <c r="C144" i="21"/>
  <c r="C145" i="21"/>
  <c r="C146" i="21"/>
  <c r="C147" i="21"/>
  <c r="C148"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B140" i="21"/>
  <c r="B141" i="21"/>
  <c r="B147" i="21"/>
  <c r="B148" i="21"/>
  <c r="B149" i="21"/>
  <c r="B150" i="21"/>
  <c r="B156" i="21"/>
  <c r="B157" i="21"/>
  <c r="B158" i="21"/>
  <c r="B159" i="21"/>
  <c r="B160" i="21"/>
  <c r="B161" i="21"/>
  <c r="B162" i="21"/>
  <c r="B163" i="21"/>
  <c r="B169" i="21"/>
  <c r="B170" i="21"/>
  <c r="B171" i="21"/>
  <c r="B172" i="21"/>
  <c r="B178" i="21"/>
  <c r="B179" i="21"/>
  <c r="B180" i="21"/>
  <c r="B181" i="21"/>
  <c r="B182" i="21"/>
  <c r="B183" i="21"/>
  <c r="B184" i="21"/>
  <c r="B185" i="21"/>
  <c r="B191" i="21"/>
  <c r="B192" i="21"/>
  <c r="B193" i="21"/>
  <c r="B194" i="21"/>
  <c r="B200" i="21"/>
  <c r="A140" i="21"/>
  <c r="A141" i="21"/>
  <c r="A142" i="21"/>
  <c r="B142" i="21" s="1"/>
  <c r="A143" i="21"/>
  <c r="B143" i="21" s="1"/>
  <c r="A144" i="21"/>
  <c r="B144" i="21" s="1"/>
  <c r="A145" i="21"/>
  <c r="B145" i="21" s="1"/>
  <c r="A146" i="21"/>
  <c r="B146" i="21" s="1"/>
  <c r="A147" i="21"/>
  <c r="A148" i="21"/>
  <c r="A149" i="21"/>
  <c r="A150" i="21"/>
  <c r="A151" i="21"/>
  <c r="B151" i="21" s="1"/>
  <c r="A152" i="21"/>
  <c r="B152" i="21" s="1"/>
  <c r="A153" i="21"/>
  <c r="B153" i="21" s="1"/>
  <c r="A154" i="21"/>
  <c r="B154" i="21" s="1"/>
  <c r="A155" i="21"/>
  <c r="B155" i="21" s="1"/>
  <c r="A156" i="21"/>
  <c r="A157" i="21"/>
  <c r="A158" i="21"/>
  <c r="A159" i="21"/>
  <c r="A160" i="21"/>
  <c r="A161" i="21"/>
  <c r="A162" i="21"/>
  <c r="A163" i="21"/>
  <c r="A164" i="21"/>
  <c r="B164" i="21" s="1"/>
  <c r="A165" i="21"/>
  <c r="B165" i="21" s="1"/>
  <c r="A166" i="21"/>
  <c r="B166" i="21" s="1"/>
  <c r="A167" i="21"/>
  <c r="B167" i="21" s="1"/>
  <c r="A168" i="21"/>
  <c r="B168" i="21" s="1"/>
  <c r="A169" i="21"/>
  <c r="A170" i="21"/>
  <c r="A171" i="21"/>
  <c r="A172" i="21"/>
  <c r="A173" i="21"/>
  <c r="B173" i="21" s="1"/>
  <c r="A174" i="21"/>
  <c r="B174" i="21" s="1"/>
  <c r="A175" i="21"/>
  <c r="B175" i="21" s="1"/>
  <c r="A176" i="21"/>
  <c r="B176" i="21" s="1"/>
  <c r="A177" i="21"/>
  <c r="B177" i="21" s="1"/>
  <c r="A178" i="21"/>
  <c r="A179" i="21"/>
  <c r="A180" i="21"/>
  <c r="A181" i="21"/>
  <c r="A182" i="21"/>
  <c r="A183" i="21"/>
  <c r="A184" i="21"/>
  <c r="A185" i="21"/>
  <c r="A186" i="21"/>
  <c r="B186" i="21" s="1"/>
  <c r="A187" i="21"/>
  <c r="B187" i="21" s="1"/>
  <c r="A188" i="21"/>
  <c r="B188" i="21" s="1"/>
  <c r="A189" i="21"/>
  <c r="B189" i="21" s="1"/>
  <c r="A190" i="21"/>
  <c r="B190" i="21" s="1"/>
  <c r="A191" i="21"/>
  <c r="A192" i="21"/>
  <c r="A193" i="21"/>
  <c r="A194" i="21"/>
  <c r="A195" i="21"/>
  <c r="B195" i="21" s="1"/>
  <c r="A196" i="21"/>
  <c r="B196" i="21" s="1"/>
  <c r="A197" i="21"/>
  <c r="B197" i="21" s="1"/>
  <c r="A198" i="21"/>
  <c r="B198" i="21" s="1"/>
  <c r="A199" i="21"/>
  <c r="B199" i="21" s="1"/>
  <c r="A200" i="21"/>
  <c r="F492" i="25"/>
  <c r="F471" i="25"/>
  <c r="F470" i="25"/>
  <c r="F456" i="25"/>
  <c r="F454" i="25"/>
  <c r="F444" i="25"/>
  <c r="F426" i="25"/>
  <c r="F404" i="25"/>
  <c r="F400" i="25"/>
  <c r="F382" i="25"/>
  <c r="F378" i="25"/>
  <c r="F317" i="25"/>
  <c r="F315" i="25"/>
  <c r="F293" i="25"/>
  <c r="F272" i="25"/>
  <c r="F271" i="25"/>
  <c r="F250" i="25"/>
  <c r="F206" i="25"/>
  <c r="F202" i="25"/>
  <c r="D199" i="21" s="1"/>
  <c r="F185" i="25"/>
  <c r="F184" i="25"/>
  <c r="H4" i="25"/>
  <c r="I4" i="25" s="1"/>
  <c r="H4" i="22"/>
  <c r="I4" i="22" s="1"/>
  <c r="AZ41" i="16" l="1"/>
  <c r="AZ42" i="16" s="1"/>
  <c r="AZ43" i="16" s="1"/>
  <c r="AZ44" i="16" s="1"/>
  <c r="AZ45" i="16" s="1"/>
  <c r="AZ46" i="16" s="1"/>
  <c r="AZ47" i="16" s="1"/>
  <c r="AZ48" i="16" s="1"/>
  <c r="AZ49" i="16" s="1"/>
  <c r="AZ50" i="16" s="1"/>
  <c r="AZ51" i="16" s="1"/>
  <c r="AZ52" i="16" s="1"/>
  <c r="AZ53" i="16" s="1"/>
  <c r="AZ54" i="16" s="1"/>
  <c r="AZ55" i="16" s="1"/>
  <c r="AZ56" i="16" s="1"/>
  <c r="AZ57" i="16" s="1"/>
  <c r="AZ58" i="16" s="1"/>
  <c r="AZ59" i="16" s="1"/>
  <c r="AZ60" i="16" s="1"/>
  <c r="AZ61" i="16" s="1"/>
  <c r="AZ62" i="16" s="1"/>
  <c r="AZ63" i="16" s="1"/>
  <c r="AZ64" i="16" s="1"/>
  <c r="AZ65" i="16" s="1"/>
  <c r="AZ66" i="16" s="1"/>
  <c r="AZ67" i="16" s="1"/>
  <c r="AZ68" i="16" s="1"/>
  <c r="AZ69" i="16" s="1"/>
  <c r="AZ70" i="16" s="1"/>
  <c r="AZ71" i="16" s="1"/>
  <c r="AZ72" i="16" s="1"/>
  <c r="AZ73" i="16" s="1"/>
  <c r="AZ74" i="16" s="1"/>
  <c r="O40" i="16"/>
  <c r="F245" i="25"/>
  <c r="I245" i="25" s="1"/>
  <c r="F265" i="25"/>
  <c r="I265" i="25" s="1"/>
  <c r="F486" i="25"/>
  <c r="I486" i="25" s="1"/>
  <c r="F266" i="25"/>
  <c r="I266" i="25" s="1"/>
  <c r="H179" i="25"/>
  <c r="I179" i="25" s="1"/>
  <c r="F223" i="25"/>
  <c r="I223" i="25" s="1"/>
  <c r="H201" i="25"/>
  <c r="I201" i="25" s="1"/>
  <c r="F221" i="25"/>
  <c r="I221" i="25" s="1"/>
  <c r="H287" i="25"/>
  <c r="I287" i="25" s="1"/>
  <c r="F487" i="25"/>
  <c r="I487" i="25" s="1"/>
  <c r="C155" i="21"/>
  <c r="F156" i="25"/>
  <c r="D153" i="21" s="1"/>
  <c r="F155" i="25"/>
  <c r="D152" i="21" s="1"/>
  <c r="H159" i="25"/>
  <c r="H158" i="25"/>
  <c r="I158" i="25" s="1"/>
  <c r="F154" i="25"/>
  <c r="D151" i="21" s="1"/>
  <c r="H153" i="25"/>
  <c r="F157" i="25"/>
  <c r="D154" i="21" s="1"/>
  <c r="F152" i="25"/>
  <c r="D149" i="21" s="1"/>
  <c r="L490" i="22"/>
  <c r="L468" i="22"/>
  <c r="L446" i="22"/>
  <c r="L424" i="22"/>
  <c r="L402" i="22"/>
  <c r="L380" i="22"/>
  <c r="L358" i="22"/>
  <c r="L336" i="22"/>
  <c r="L314" i="22"/>
  <c r="L292" i="22"/>
  <c r="L270" i="22"/>
  <c r="L248" i="22"/>
  <c r="L226" i="22"/>
  <c r="L204" i="22"/>
  <c r="L182" i="22"/>
  <c r="L160" i="22"/>
  <c r="L488" i="22"/>
  <c r="L466" i="22"/>
  <c r="L444" i="22"/>
  <c r="L422" i="22"/>
  <c r="L400" i="22"/>
  <c r="L378" i="22"/>
  <c r="L356" i="22"/>
  <c r="L334" i="22"/>
  <c r="L312" i="22"/>
  <c r="L290" i="22"/>
  <c r="L268" i="22"/>
  <c r="L246" i="22"/>
  <c r="L224" i="22"/>
  <c r="L202" i="22"/>
  <c r="L180" i="22"/>
  <c r="L158" i="22"/>
  <c r="L492" i="22"/>
  <c r="L470" i="22"/>
  <c r="L448" i="22"/>
  <c r="L426" i="22"/>
  <c r="L404" i="22"/>
  <c r="L382" i="22"/>
  <c r="L360" i="22"/>
  <c r="L338" i="22"/>
  <c r="L316" i="22"/>
  <c r="L294" i="22"/>
  <c r="L272" i="22"/>
  <c r="L250" i="22"/>
  <c r="L228" i="22"/>
  <c r="L206" i="22"/>
  <c r="L184" i="22"/>
  <c r="L162" i="22"/>
  <c r="L491" i="22"/>
  <c r="L469" i="22"/>
  <c r="L447" i="22"/>
  <c r="L425" i="22"/>
  <c r="L403" i="22"/>
  <c r="L381" i="22"/>
  <c r="L359" i="22"/>
  <c r="L337" i="22"/>
  <c r="L315" i="22"/>
  <c r="L293" i="22"/>
  <c r="L271" i="22"/>
  <c r="L249" i="22"/>
  <c r="L227" i="22"/>
  <c r="L205" i="22"/>
  <c r="L183" i="22"/>
  <c r="L161" i="22"/>
  <c r="L489" i="22"/>
  <c r="L467" i="22"/>
  <c r="L445" i="22"/>
  <c r="L423" i="22"/>
  <c r="L401" i="22"/>
  <c r="L379" i="22"/>
  <c r="L357" i="22"/>
  <c r="L335" i="22"/>
  <c r="L313" i="22"/>
  <c r="L291" i="22"/>
  <c r="L269" i="22"/>
  <c r="L247" i="22"/>
  <c r="L225" i="22"/>
  <c r="L203" i="22"/>
  <c r="L181" i="22"/>
  <c r="L159" i="22"/>
  <c r="L497" i="22"/>
  <c r="L475" i="22"/>
  <c r="L453" i="22"/>
  <c r="L431" i="22"/>
  <c r="L409" i="22"/>
  <c r="L387" i="22"/>
  <c r="L365" i="22"/>
  <c r="L343" i="22"/>
  <c r="L321" i="22"/>
  <c r="L299" i="22"/>
  <c r="L277" i="22"/>
  <c r="L255" i="22"/>
  <c r="L233" i="22"/>
  <c r="L211" i="22"/>
  <c r="L189" i="22"/>
  <c r="L167" i="22"/>
  <c r="L145" i="22"/>
  <c r="L494" i="22"/>
  <c r="L472" i="22"/>
  <c r="L450" i="22"/>
  <c r="L428" i="22"/>
  <c r="L406" i="22"/>
  <c r="L384" i="22"/>
  <c r="L362" i="22"/>
  <c r="L340" i="22"/>
  <c r="L318" i="22"/>
  <c r="L296" i="22"/>
  <c r="L274" i="22"/>
  <c r="L252" i="22"/>
  <c r="L230" i="22"/>
  <c r="L208" i="22"/>
  <c r="L186" i="22"/>
  <c r="L164" i="22"/>
  <c r="L493" i="22"/>
  <c r="L471" i="22"/>
  <c r="L449" i="22"/>
  <c r="L427" i="22"/>
  <c r="L405" i="22"/>
  <c r="L383" i="22"/>
  <c r="L361" i="22"/>
  <c r="L339" i="22"/>
  <c r="L317" i="22"/>
  <c r="L295" i="22"/>
  <c r="L273" i="22"/>
  <c r="L251" i="22"/>
  <c r="L229" i="22"/>
  <c r="L207" i="22"/>
  <c r="L185" i="22"/>
  <c r="L163" i="22"/>
  <c r="L474" i="22"/>
  <c r="L452" i="22"/>
  <c r="L408" i="22"/>
  <c r="L386" i="22"/>
  <c r="L364" i="22"/>
  <c r="L320" i="22"/>
  <c r="L298" i="22"/>
  <c r="L276" i="22"/>
  <c r="L254" i="22"/>
  <c r="L232" i="22"/>
  <c r="L210" i="22"/>
  <c r="L188" i="22"/>
  <c r="L166" i="22"/>
  <c r="L144" i="22"/>
  <c r="L495" i="22"/>
  <c r="L429" i="22"/>
  <c r="L407" i="22"/>
  <c r="L385" i="22"/>
  <c r="L363" i="22"/>
  <c r="L341" i="22"/>
  <c r="L319" i="22"/>
  <c r="L297" i="22"/>
  <c r="L275" i="22"/>
  <c r="L253" i="22"/>
  <c r="L231" i="22"/>
  <c r="L209" i="22"/>
  <c r="L187" i="22"/>
  <c r="L165" i="22"/>
  <c r="L143" i="22"/>
  <c r="L156" i="22"/>
  <c r="L485" i="22"/>
  <c r="L463" i="22"/>
  <c r="L441" i="22"/>
  <c r="L419" i="22"/>
  <c r="L397" i="22"/>
  <c r="L375" i="22"/>
  <c r="L353" i="22"/>
  <c r="L331" i="22"/>
  <c r="L309" i="22"/>
  <c r="L287" i="22"/>
  <c r="L265" i="22"/>
  <c r="L243" i="22"/>
  <c r="L221" i="22"/>
  <c r="L199" i="22"/>
  <c r="L177" i="22"/>
  <c r="L155" i="22"/>
  <c r="L498" i="22"/>
  <c r="L476" i="22"/>
  <c r="L454" i="22"/>
  <c r="L432" i="22"/>
  <c r="L410" i="22"/>
  <c r="L388" i="22"/>
  <c r="L366" i="22"/>
  <c r="L344" i="22"/>
  <c r="L322" i="22"/>
  <c r="L300" i="22"/>
  <c r="L278" i="22"/>
  <c r="L256" i="22"/>
  <c r="L234" i="22"/>
  <c r="L212" i="22"/>
  <c r="L190" i="22"/>
  <c r="L168" i="22"/>
  <c r="L146" i="22"/>
  <c r="L487" i="22"/>
  <c r="L465" i="22"/>
  <c r="L443" i="22"/>
  <c r="L421" i="22"/>
  <c r="L399" i="22"/>
  <c r="L377" i="22"/>
  <c r="L355" i="22"/>
  <c r="L333" i="22"/>
  <c r="L311" i="22"/>
  <c r="L289" i="22"/>
  <c r="L267" i="22"/>
  <c r="L245" i="22"/>
  <c r="L223" i="22"/>
  <c r="L201" i="22"/>
  <c r="L179" i="22"/>
  <c r="L157" i="22"/>
  <c r="L486" i="22"/>
  <c r="L464" i="22"/>
  <c r="L442" i="22"/>
  <c r="L420" i="22"/>
  <c r="L398" i="22"/>
  <c r="L376" i="22"/>
  <c r="L354" i="22"/>
  <c r="L332" i="22"/>
  <c r="L310" i="22"/>
  <c r="L288" i="22"/>
  <c r="L266" i="22"/>
  <c r="L244" i="22"/>
  <c r="L222" i="22"/>
  <c r="L200" i="22"/>
  <c r="L178" i="22"/>
  <c r="L483" i="22"/>
  <c r="L461" i="22"/>
  <c r="L439" i="22"/>
  <c r="L417" i="22"/>
  <c r="L395" i="22"/>
  <c r="L373" i="22"/>
  <c r="L351" i="22"/>
  <c r="L329" i="22"/>
  <c r="L307" i="22"/>
  <c r="L285" i="22"/>
  <c r="L263" i="22"/>
  <c r="L241" i="22"/>
  <c r="L219" i="22"/>
  <c r="L197" i="22"/>
  <c r="L175" i="22"/>
  <c r="L153" i="22"/>
  <c r="L481" i="22"/>
  <c r="L459" i="22"/>
  <c r="L437" i="22"/>
  <c r="L415" i="22"/>
  <c r="L393" i="22"/>
  <c r="L371" i="22"/>
  <c r="L349" i="22"/>
  <c r="L327" i="22"/>
  <c r="L305" i="22"/>
  <c r="L283" i="22"/>
  <c r="L261" i="22"/>
  <c r="L239" i="22"/>
  <c r="L217" i="22"/>
  <c r="L195" i="22"/>
  <c r="L173" i="22"/>
  <c r="L151" i="22"/>
  <c r="L238" i="22"/>
  <c r="L413" i="22"/>
  <c r="L259" i="22"/>
  <c r="L430" i="22"/>
  <c r="L480" i="22"/>
  <c r="L458" i="22"/>
  <c r="L436" i="22"/>
  <c r="L414" i="22"/>
  <c r="L392" i="22"/>
  <c r="L370" i="22"/>
  <c r="L348" i="22"/>
  <c r="L326" i="22"/>
  <c r="L304" i="22"/>
  <c r="L282" i="22"/>
  <c r="L260" i="22"/>
  <c r="L216" i="22"/>
  <c r="L194" i="22"/>
  <c r="L172" i="22"/>
  <c r="L150" i="22"/>
  <c r="L479" i="22"/>
  <c r="L457" i="22"/>
  <c r="L435" i="22"/>
  <c r="L391" i="22"/>
  <c r="L369" i="22"/>
  <c r="L347" i="22"/>
  <c r="L325" i="22"/>
  <c r="L303" i="22"/>
  <c r="L281" i="22"/>
  <c r="L237" i="22"/>
  <c r="L215" i="22"/>
  <c r="L193" i="22"/>
  <c r="L171" i="22"/>
  <c r="L149" i="22"/>
  <c r="L496" i="22"/>
  <c r="L342" i="22"/>
  <c r="L473" i="22"/>
  <c r="L451" i="22"/>
  <c r="L462" i="22"/>
  <c r="L418" i="22"/>
  <c r="L374" i="22"/>
  <c r="L330" i="22"/>
  <c r="L286" i="22"/>
  <c r="L242" i="22"/>
  <c r="L198" i="22"/>
  <c r="L154" i="22"/>
  <c r="L484" i="22"/>
  <c r="L440" i="22"/>
  <c r="L396" i="22"/>
  <c r="L352" i="22"/>
  <c r="L308" i="22"/>
  <c r="L264" i="22"/>
  <c r="L220" i="22"/>
  <c r="L176" i="22"/>
  <c r="L482" i="22"/>
  <c r="L460" i="22"/>
  <c r="L438" i="22"/>
  <c r="L416" i="22"/>
  <c r="L394" i="22"/>
  <c r="L372" i="22"/>
  <c r="L350" i="22"/>
  <c r="L328" i="22"/>
  <c r="L306" i="22"/>
  <c r="L284" i="22"/>
  <c r="L262" i="22"/>
  <c r="L240" i="22"/>
  <c r="L218" i="22"/>
  <c r="L196" i="22"/>
  <c r="L174" i="22"/>
  <c r="L152" i="22"/>
  <c r="L478" i="22"/>
  <c r="L456" i="22"/>
  <c r="L434" i="22"/>
  <c r="L412" i="22"/>
  <c r="L390" i="22"/>
  <c r="L368" i="22"/>
  <c r="L346" i="22"/>
  <c r="L324" i="22"/>
  <c r="L302" i="22"/>
  <c r="L280" i="22"/>
  <c r="L258" i="22"/>
  <c r="L236" i="22"/>
  <c r="L214" i="22"/>
  <c r="L192" i="22"/>
  <c r="L170" i="22"/>
  <c r="L148" i="22"/>
  <c r="L477" i="22"/>
  <c r="L455" i="22"/>
  <c r="L433" i="22"/>
  <c r="L411" i="22"/>
  <c r="L389" i="22"/>
  <c r="L367" i="22"/>
  <c r="L345" i="22"/>
  <c r="L323" i="22"/>
  <c r="L301" i="22"/>
  <c r="L279" i="22"/>
  <c r="L257" i="22"/>
  <c r="L235" i="22"/>
  <c r="L213" i="22"/>
  <c r="L191" i="22"/>
  <c r="L169" i="22"/>
  <c r="L147" i="22"/>
  <c r="H183" i="25"/>
  <c r="I183" i="25" s="1"/>
  <c r="H377" i="25"/>
  <c r="I377" i="25" s="1"/>
  <c r="H178" i="25"/>
  <c r="I178" i="25" s="1"/>
  <c r="H375" i="25"/>
  <c r="I375" i="25" s="1"/>
  <c r="H177" i="25"/>
  <c r="I177" i="25" s="1"/>
  <c r="H161" i="25"/>
  <c r="I161" i="25" s="1"/>
  <c r="H359" i="25"/>
  <c r="I359" i="25" s="1"/>
  <c r="H381" i="25"/>
  <c r="I381" i="25" s="1"/>
  <c r="F335" i="25"/>
  <c r="I335" i="25" s="1"/>
  <c r="F337" i="25"/>
  <c r="I337" i="25" s="1"/>
  <c r="F491" i="25"/>
  <c r="I491" i="25" s="1"/>
  <c r="H300" i="25"/>
  <c r="I300" i="25" s="1"/>
  <c r="F357" i="25"/>
  <c r="I357" i="25" s="1"/>
  <c r="H289" i="25"/>
  <c r="I289" i="25" s="1"/>
  <c r="F403" i="25"/>
  <c r="I403" i="25" s="1"/>
  <c r="H465" i="25"/>
  <c r="I465" i="25" s="1"/>
  <c r="F469" i="25"/>
  <c r="I469" i="25" s="1"/>
  <c r="F249" i="25"/>
  <c r="I249" i="25" s="1"/>
  <c r="H464" i="25"/>
  <c r="I464" i="25" s="1"/>
  <c r="F205" i="25"/>
  <c r="I205" i="25" s="1"/>
  <c r="F227" i="25"/>
  <c r="I227" i="25" s="1"/>
  <c r="F405" i="25"/>
  <c r="I405" i="25" s="1"/>
  <c r="H463" i="25"/>
  <c r="I463" i="25" s="1"/>
  <c r="F425" i="25"/>
  <c r="I425" i="25" s="1"/>
  <c r="H222" i="25"/>
  <c r="I222" i="25" s="1"/>
  <c r="F447" i="25"/>
  <c r="I447" i="25" s="1"/>
  <c r="H399" i="25"/>
  <c r="I399" i="25" s="1"/>
  <c r="H186" i="25"/>
  <c r="I186" i="25" s="1"/>
  <c r="I477" i="22"/>
  <c r="I455" i="22"/>
  <c r="I433" i="22"/>
  <c r="I411" i="22"/>
  <c r="I367" i="22"/>
  <c r="I323" i="22"/>
  <c r="I301" i="22"/>
  <c r="I279" i="22"/>
  <c r="I257" i="22"/>
  <c r="I213" i="22"/>
  <c r="I191" i="22"/>
  <c r="I169" i="22"/>
  <c r="I147" i="22"/>
  <c r="I494" i="22"/>
  <c r="I472" i="22"/>
  <c r="I450" i="22"/>
  <c r="I428" i="22"/>
  <c r="I406" i="22"/>
  <c r="I384" i="22"/>
  <c r="I362" i="22"/>
  <c r="I340" i="22"/>
  <c r="I318" i="22"/>
  <c r="I296" i="22"/>
  <c r="I274" i="22"/>
  <c r="I252" i="22"/>
  <c r="I230" i="22"/>
  <c r="I208" i="22"/>
  <c r="I186" i="22"/>
  <c r="I164" i="22"/>
  <c r="I492" i="22"/>
  <c r="I470" i="22"/>
  <c r="I448" i="22"/>
  <c r="I426" i="22"/>
  <c r="I404" i="22"/>
  <c r="I382" i="22"/>
  <c r="I360" i="22"/>
  <c r="I338" i="22"/>
  <c r="I316" i="22"/>
  <c r="I294" i="22"/>
  <c r="I272" i="22"/>
  <c r="I250" i="22"/>
  <c r="I228" i="22"/>
  <c r="I206" i="22"/>
  <c r="I184" i="22"/>
  <c r="I162" i="22"/>
  <c r="I416" i="22"/>
  <c r="I306" i="22"/>
  <c r="I150" i="22"/>
  <c r="I489" i="22"/>
  <c r="I467" i="22"/>
  <c r="I445" i="22"/>
  <c r="I423" i="22"/>
  <c r="I401" i="22"/>
  <c r="I379" i="22"/>
  <c r="I357" i="22"/>
  <c r="I335" i="22"/>
  <c r="I313" i="22"/>
  <c r="I291" i="22"/>
  <c r="I269" i="22"/>
  <c r="I247" i="22"/>
  <c r="I225" i="22"/>
  <c r="I203" i="22"/>
  <c r="I181" i="22"/>
  <c r="I159" i="22"/>
  <c r="I484" i="22"/>
  <c r="I418" i="22"/>
  <c r="I374" i="22"/>
  <c r="I198" i="22"/>
  <c r="I154" i="22"/>
  <c r="I458" i="22"/>
  <c r="I414" i="22"/>
  <c r="I196" i="22"/>
  <c r="I194" i="22"/>
  <c r="I333" i="22"/>
  <c r="I421" i="22"/>
  <c r="I415" i="22"/>
  <c r="I283" i="22"/>
  <c r="I217" i="22"/>
  <c r="I151" i="22"/>
  <c r="I437" i="22"/>
  <c r="I349" i="22"/>
  <c r="I195" i="22"/>
  <c r="I480" i="22"/>
  <c r="I436" i="22"/>
  <c r="I392" i="22"/>
  <c r="I370" i="22"/>
  <c r="I348" i="22"/>
  <c r="I326" i="22"/>
  <c r="I304" i="22"/>
  <c r="I282" i="22"/>
  <c r="I260" i="22"/>
  <c r="I238" i="22"/>
  <c r="I216" i="22"/>
  <c r="I172" i="22"/>
  <c r="I459" i="22"/>
  <c r="I393" i="22"/>
  <c r="I327" i="22"/>
  <c r="I305" i="22"/>
  <c r="I261" i="22"/>
  <c r="I239" i="22"/>
  <c r="I173" i="22"/>
  <c r="I479" i="22"/>
  <c r="I457" i="22"/>
  <c r="I435" i="22"/>
  <c r="I413" i="22"/>
  <c r="I391" i="22"/>
  <c r="I369" i="22"/>
  <c r="I347" i="22"/>
  <c r="I325" i="22"/>
  <c r="I303" i="22"/>
  <c r="I281" i="22"/>
  <c r="I259" i="22"/>
  <c r="I237" i="22"/>
  <c r="I215" i="22"/>
  <c r="I193" i="22"/>
  <c r="I171" i="22"/>
  <c r="I149" i="22"/>
  <c r="I346" i="22"/>
  <c r="I481" i="22"/>
  <c r="I371" i="22"/>
  <c r="I486" i="22"/>
  <c r="I464" i="22"/>
  <c r="I442" i="22"/>
  <c r="I420" i="22"/>
  <c r="I398" i="22"/>
  <c r="I376" i="22"/>
  <c r="I354" i="22"/>
  <c r="I332" i="22"/>
  <c r="I310" i="22"/>
  <c r="I288" i="22"/>
  <c r="I266" i="22"/>
  <c r="I244" i="22"/>
  <c r="I222" i="22"/>
  <c r="I200" i="22"/>
  <c r="I178" i="22"/>
  <c r="I156" i="22"/>
  <c r="I487" i="22"/>
  <c r="I443" i="22"/>
  <c r="I399" i="22"/>
  <c r="I377" i="22"/>
  <c r="I355" i="22"/>
  <c r="I267" i="22"/>
  <c r="I245" i="22"/>
  <c r="I223" i="22"/>
  <c r="I157" i="22"/>
  <c r="I372" i="22"/>
  <c r="I350" i="22"/>
  <c r="I152" i="22"/>
  <c r="I345" i="22"/>
  <c r="I389" i="22"/>
  <c r="I235" i="22"/>
  <c r="I478" i="22"/>
  <c r="I456" i="22"/>
  <c r="I434" i="22"/>
  <c r="I412" i="22"/>
  <c r="I390" i="22"/>
  <c r="I368" i="22"/>
  <c r="I324" i="22"/>
  <c r="I302" i="22"/>
  <c r="I236" i="22"/>
  <c r="I214" i="22"/>
  <c r="I192" i="22"/>
  <c r="I170" i="22"/>
  <c r="I148" i="22"/>
  <c r="I465" i="22"/>
  <c r="I311" i="22"/>
  <c r="I289" i="22"/>
  <c r="I201" i="22"/>
  <c r="I179" i="22"/>
  <c r="I485" i="22"/>
  <c r="I463" i="22"/>
  <c r="I441" i="22"/>
  <c r="I419" i="22"/>
  <c r="I397" i="22"/>
  <c r="I375" i="22"/>
  <c r="I353" i="22"/>
  <c r="I331" i="22"/>
  <c r="I309" i="22"/>
  <c r="I287" i="22"/>
  <c r="I265" i="22"/>
  <c r="I243" i="22"/>
  <c r="I221" i="22"/>
  <c r="I199" i="22"/>
  <c r="I177" i="22"/>
  <c r="I155" i="22"/>
  <c r="I462" i="22"/>
  <c r="I440" i="22"/>
  <c r="I396" i="22"/>
  <c r="I352" i="22"/>
  <c r="I330" i="22"/>
  <c r="I308" i="22"/>
  <c r="I286" i="22"/>
  <c r="I264" i="22"/>
  <c r="I242" i="22"/>
  <c r="I220" i="22"/>
  <c r="I176" i="22"/>
  <c r="I280" i="22"/>
  <c r="I258" i="22"/>
  <c r="I460" i="22"/>
  <c r="I262" i="22"/>
  <c r="I488" i="22"/>
  <c r="I444" i="22"/>
  <c r="I378" i="22"/>
  <c r="I334" i="22"/>
  <c r="I158" i="22"/>
  <c r="I483" i="22"/>
  <c r="I461" i="22"/>
  <c r="I439" i="22"/>
  <c r="I417" i="22"/>
  <c r="I395" i="22"/>
  <c r="I373" i="22"/>
  <c r="I307" i="22"/>
  <c r="I285" i="22"/>
  <c r="I263" i="22"/>
  <c r="I197" i="22"/>
  <c r="I175" i="22"/>
  <c r="I153" i="22"/>
  <c r="I495" i="22"/>
  <c r="I473" i="22"/>
  <c r="I451" i="22"/>
  <c r="I429" i="22"/>
  <c r="I407" i="22"/>
  <c r="I385" i="22"/>
  <c r="I363" i="22"/>
  <c r="I341" i="22"/>
  <c r="I319" i="22"/>
  <c r="I297" i="22"/>
  <c r="I275" i="22"/>
  <c r="I253" i="22"/>
  <c r="I231" i="22"/>
  <c r="I209" i="22"/>
  <c r="I187" i="22"/>
  <c r="I165" i="22"/>
  <c r="I143" i="22"/>
  <c r="I351" i="22"/>
  <c r="I329" i="22"/>
  <c r="I241" i="22"/>
  <c r="I219" i="22"/>
  <c r="I482" i="22"/>
  <c r="I438" i="22"/>
  <c r="I394" i="22"/>
  <c r="I328" i="22"/>
  <c r="I284" i="22"/>
  <c r="I240" i="22"/>
  <c r="I218" i="22"/>
  <c r="I174" i="22"/>
  <c r="I466" i="22"/>
  <c r="I422" i="22"/>
  <c r="I400" i="22"/>
  <c r="I356" i="22"/>
  <c r="I312" i="22"/>
  <c r="I290" i="22"/>
  <c r="I268" i="22"/>
  <c r="I246" i="22"/>
  <c r="I224" i="22"/>
  <c r="I202" i="22"/>
  <c r="I180" i="22"/>
  <c r="I498" i="22"/>
  <c r="I476" i="22"/>
  <c r="I454" i="22"/>
  <c r="I432" i="22"/>
  <c r="I410" i="22"/>
  <c r="I388" i="22"/>
  <c r="I366" i="22"/>
  <c r="I344" i="22"/>
  <c r="I322" i="22"/>
  <c r="I300" i="22"/>
  <c r="I278" i="22"/>
  <c r="I256" i="22"/>
  <c r="I234" i="22"/>
  <c r="I212" i="22"/>
  <c r="I190" i="22"/>
  <c r="I168" i="22"/>
  <c r="I146" i="22"/>
  <c r="I497" i="22"/>
  <c r="I475" i="22"/>
  <c r="I453" i="22"/>
  <c r="I431" i="22"/>
  <c r="I409" i="22"/>
  <c r="I387" i="22"/>
  <c r="I365" i="22"/>
  <c r="I343" i="22"/>
  <c r="I321" i="22"/>
  <c r="I299" i="22"/>
  <c r="I277" i="22"/>
  <c r="I255" i="22"/>
  <c r="I233" i="22"/>
  <c r="I211" i="22"/>
  <c r="I189" i="22"/>
  <c r="I167" i="22"/>
  <c r="I145" i="22"/>
  <c r="I496" i="22"/>
  <c r="I474" i="22"/>
  <c r="I452" i="22"/>
  <c r="I430" i="22"/>
  <c r="I408" i="22"/>
  <c r="I386" i="22"/>
  <c r="I364" i="22"/>
  <c r="I342" i="22"/>
  <c r="I320" i="22"/>
  <c r="I298" i="22"/>
  <c r="I276" i="22"/>
  <c r="I254" i="22"/>
  <c r="I232" i="22"/>
  <c r="I210" i="22"/>
  <c r="I188" i="22"/>
  <c r="I166" i="22"/>
  <c r="I144" i="22"/>
  <c r="I493" i="22"/>
  <c r="I471" i="22"/>
  <c r="I449" i="22"/>
  <c r="I427" i="22"/>
  <c r="I405" i="22"/>
  <c r="I383" i="22"/>
  <c r="I361" i="22"/>
  <c r="I339" i="22"/>
  <c r="I317" i="22"/>
  <c r="I295" i="22"/>
  <c r="I273" i="22"/>
  <c r="I251" i="22"/>
  <c r="I229" i="22"/>
  <c r="I207" i="22"/>
  <c r="I185" i="22"/>
  <c r="I163" i="22"/>
  <c r="I491" i="22"/>
  <c r="I469" i="22"/>
  <c r="I447" i="22"/>
  <c r="I425" i="22"/>
  <c r="I403" i="22"/>
  <c r="I381" i="22"/>
  <c r="I359" i="22"/>
  <c r="I337" i="22"/>
  <c r="I315" i="22"/>
  <c r="I293" i="22"/>
  <c r="I271" i="22"/>
  <c r="I249" i="22"/>
  <c r="I227" i="22"/>
  <c r="I205" i="22"/>
  <c r="I183" i="22"/>
  <c r="I161" i="22"/>
  <c r="I490" i="22"/>
  <c r="I468" i="22"/>
  <c r="I446" i="22"/>
  <c r="I424" i="22"/>
  <c r="I402" i="22"/>
  <c r="I380" i="22"/>
  <c r="I358" i="22"/>
  <c r="I336" i="22"/>
  <c r="I314" i="22"/>
  <c r="I292" i="22"/>
  <c r="I270" i="22"/>
  <c r="I248" i="22"/>
  <c r="I226" i="22"/>
  <c r="I204" i="22"/>
  <c r="I182" i="22"/>
  <c r="I160" i="22"/>
  <c r="H498" i="25"/>
  <c r="I498" i="25" s="1"/>
  <c r="H389" i="25"/>
  <c r="I389" i="25" s="1"/>
  <c r="F235" i="25"/>
  <c r="I235" i="25" s="1"/>
  <c r="H258" i="25"/>
  <c r="I258" i="25" s="1"/>
  <c r="F236" i="25"/>
  <c r="I236" i="25" s="1"/>
  <c r="H376" i="25"/>
  <c r="I376" i="25" s="1"/>
  <c r="H257" i="25"/>
  <c r="I257" i="25" s="1"/>
  <c r="H157" i="25"/>
  <c r="F367" i="25"/>
  <c r="I367" i="25" s="1"/>
  <c r="H256" i="25"/>
  <c r="I256" i="25" s="1"/>
  <c r="F251" i="25"/>
  <c r="I251" i="25" s="1"/>
  <c r="F388" i="25"/>
  <c r="I388" i="25" s="1"/>
  <c r="F493" i="25"/>
  <c r="I493" i="25" s="1"/>
  <c r="H355" i="25"/>
  <c r="I355" i="25" s="1"/>
  <c r="H147" i="25"/>
  <c r="I147" i="25" s="1"/>
  <c r="H252" i="25"/>
  <c r="I252" i="25" s="1"/>
  <c r="H455" i="25"/>
  <c r="I455" i="25" s="1"/>
  <c r="H345" i="25"/>
  <c r="I345" i="25" s="1"/>
  <c r="F168" i="25"/>
  <c r="D165" i="21" s="1"/>
  <c r="F421" i="25"/>
  <c r="I421" i="25" s="1"/>
  <c r="H333" i="25"/>
  <c r="I333" i="25" s="1"/>
  <c r="H214" i="25"/>
  <c r="I214" i="25" s="1"/>
  <c r="F169" i="25"/>
  <c r="D166" i="21" s="1"/>
  <c r="H331" i="25"/>
  <c r="I331" i="25" s="1"/>
  <c r="H213" i="25"/>
  <c r="I213" i="25" s="1"/>
  <c r="F301" i="25"/>
  <c r="I301" i="25" s="1"/>
  <c r="H306" i="25"/>
  <c r="I306" i="25" s="1"/>
  <c r="H212" i="25"/>
  <c r="I212" i="25" s="1"/>
  <c r="H428" i="25"/>
  <c r="I428" i="25" s="1"/>
  <c r="F434" i="25"/>
  <c r="I434" i="25" s="1"/>
  <c r="H420" i="25"/>
  <c r="I420" i="25" s="1"/>
  <c r="H302" i="25"/>
  <c r="I302" i="25" s="1"/>
  <c r="H208" i="25"/>
  <c r="I208" i="25" s="1"/>
  <c r="H344" i="25"/>
  <c r="I344" i="25" s="1"/>
  <c r="F443" i="25"/>
  <c r="I443" i="25" s="1"/>
  <c r="H419" i="25"/>
  <c r="I419" i="25" s="1"/>
  <c r="H350" i="25"/>
  <c r="I350" i="25" s="1"/>
  <c r="H308" i="25"/>
  <c r="I308" i="25" s="1"/>
  <c r="F332" i="25"/>
  <c r="I332" i="25" s="1"/>
  <c r="F366" i="25"/>
  <c r="I366" i="25" s="1"/>
  <c r="H346" i="25"/>
  <c r="I346" i="25" s="1"/>
  <c r="H146" i="25"/>
  <c r="I146" i="25" s="1"/>
  <c r="H374" i="25"/>
  <c r="I374" i="25" s="1"/>
  <c r="F288" i="25"/>
  <c r="I288" i="25" s="1"/>
  <c r="H170" i="25"/>
  <c r="I170" i="25" s="1"/>
  <c r="F273" i="25"/>
  <c r="I273" i="25" s="1"/>
  <c r="F323" i="25"/>
  <c r="I323" i="25" s="1"/>
  <c r="F339" i="25"/>
  <c r="I339" i="25" s="1"/>
  <c r="H406" i="25"/>
  <c r="I406" i="25" s="1"/>
  <c r="H286" i="25"/>
  <c r="I286" i="25" s="1"/>
  <c r="H244" i="25"/>
  <c r="I244" i="25" s="1"/>
  <c r="H164" i="25"/>
  <c r="I164" i="25" s="1"/>
  <c r="F191" i="25"/>
  <c r="D188" i="21" s="1"/>
  <c r="F207" i="25"/>
  <c r="I207" i="25" s="1"/>
  <c r="F410" i="25"/>
  <c r="I410" i="25" s="1"/>
  <c r="F427" i="25"/>
  <c r="I427" i="25" s="1"/>
  <c r="F478" i="25"/>
  <c r="I478" i="25" s="1"/>
  <c r="H485" i="25"/>
  <c r="I485" i="25" s="1"/>
  <c r="H324" i="25"/>
  <c r="I324" i="25" s="1"/>
  <c r="H243" i="25"/>
  <c r="I243" i="25" s="1"/>
  <c r="H162" i="25"/>
  <c r="I162" i="25" s="1"/>
  <c r="H484" i="25"/>
  <c r="I484" i="25" s="1"/>
  <c r="H442" i="25"/>
  <c r="I442" i="25" s="1"/>
  <c r="H362" i="25"/>
  <c r="I362" i="25" s="1"/>
  <c r="H242" i="25"/>
  <c r="I242" i="25" s="1"/>
  <c r="H200" i="25"/>
  <c r="I200" i="25" s="1"/>
  <c r="H240" i="25"/>
  <c r="I240" i="25" s="1"/>
  <c r="H418" i="25"/>
  <c r="I418" i="25" s="1"/>
  <c r="H176" i="25"/>
  <c r="I176" i="25" s="1"/>
  <c r="H411" i="25"/>
  <c r="I411" i="25" s="1"/>
  <c r="H330" i="25"/>
  <c r="I330" i="25" s="1"/>
  <c r="F190" i="25"/>
  <c r="D187" i="21" s="1"/>
  <c r="F309" i="25"/>
  <c r="I309" i="25" s="1"/>
  <c r="F192" i="25"/>
  <c r="D189" i="21" s="1"/>
  <c r="H199" i="25"/>
  <c r="I199" i="25" s="1"/>
  <c r="H440" i="25"/>
  <c r="I440" i="25" s="1"/>
  <c r="H198" i="25"/>
  <c r="I198" i="25" s="1"/>
  <c r="F295" i="25"/>
  <c r="I295" i="25" s="1"/>
  <c r="F432" i="25"/>
  <c r="I432" i="25" s="1"/>
  <c r="H476" i="25"/>
  <c r="I476" i="25" s="1"/>
  <c r="H353" i="25"/>
  <c r="I353" i="25" s="1"/>
  <c r="H311" i="25"/>
  <c r="I311" i="25" s="1"/>
  <c r="H234" i="25"/>
  <c r="I234" i="25" s="1"/>
  <c r="H264" i="25"/>
  <c r="I264" i="25" s="1"/>
  <c r="F477" i="25"/>
  <c r="I477" i="25" s="1"/>
  <c r="H280" i="25"/>
  <c r="I280" i="25" s="1"/>
  <c r="H482" i="25"/>
  <c r="I482" i="25" s="1"/>
  <c r="H398" i="25"/>
  <c r="I398" i="25" s="1"/>
  <c r="H279" i="25"/>
  <c r="I279" i="25" s="1"/>
  <c r="H278" i="25"/>
  <c r="I278" i="25" s="1"/>
  <c r="H155" i="25"/>
  <c r="H438" i="25"/>
  <c r="I438" i="25" s="1"/>
  <c r="H396" i="25"/>
  <c r="I396" i="25" s="1"/>
  <c r="H154" i="25"/>
  <c r="F229" i="25"/>
  <c r="I229" i="25" s="1"/>
  <c r="F314" i="25"/>
  <c r="I314" i="25" s="1"/>
  <c r="F449" i="25"/>
  <c r="I449" i="25" s="1"/>
  <c r="H472" i="25"/>
  <c r="I472" i="25" s="1"/>
  <c r="H433" i="25"/>
  <c r="I433" i="25" s="1"/>
  <c r="H352" i="25"/>
  <c r="I352" i="25" s="1"/>
  <c r="H310" i="25"/>
  <c r="I310" i="25" s="1"/>
  <c r="H230" i="25"/>
  <c r="I230" i="25" s="1"/>
  <c r="H152" i="25"/>
  <c r="H462" i="25"/>
  <c r="I462" i="25" s="1"/>
  <c r="H220" i="25"/>
  <c r="I220" i="25" s="1"/>
  <c r="H412" i="25"/>
  <c r="I412" i="25" s="1"/>
  <c r="H368" i="25"/>
  <c r="I368" i="25" s="1"/>
  <c r="H441" i="25"/>
  <c r="I441" i="25" s="1"/>
  <c r="H318" i="25"/>
  <c r="I318" i="25" s="1"/>
  <c r="H156" i="25"/>
  <c r="H397" i="25"/>
  <c r="I397" i="25" s="1"/>
  <c r="F228" i="25"/>
  <c r="I228" i="25" s="1"/>
  <c r="H354" i="25"/>
  <c r="I354" i="25" s="1"/>
  <c r="H274" i="25"/>
  <c r="I274" i="25" s="1"/>
  <c r="H196" i="25"/>
  <c r="I196" i="25" s="1"/>
  <c r="F163" i="25"/>
  <c r="D160" i="21" s="1"/>
  <c r="H390" i="25"/>
  <c r="I390" i="25" s="1"/>
  <c r="H267" i="25"/>
  <c r="I267" i="25" s="1"/>
  <c r="H148" i="25"/>
  <c r="I148" i="25" s="1"/>
  <c r="F159" i="25"/>
  <c r="D156" i="21" s="1"/>
  <c r="F358" i="25"/>
  <c r="I358" i="25" s="1"/>
  <c r="F401" i="25"/>
  <c r="I401" i="25" s="1"/>
  <c r="F445" i="25"/>
  <c r="I445" i="25" s="1"/>
  <c r="F204" i="25"/>
  <c r="I204" i="25" s="1"/>
  <c r="F247" i="25"/>
  <c r="I247" i="25" s="1"/>
  <c r="F489" i="25"/>
  <c r="I489" i="25" s="1"/>
  <c r="F160" i="25"/>
  <c r="I160" i="25" s="1"/>
  <c r="F203" i="25"/>
  <c r="D200" i="21" s="1"/>
  <c r="F246" i="25"/>
  <c r="I246" i="25" s="1"/>
  <c r="F402" i="25"/>
  <c r="I402" i="25" s="1"/>
  <c r="F488" i="25"/>
  <c r="I488" i="25" s="1"/>
  <c r="F290" i="25"/>
  <c r="I290" i="25" s="1"/>
  <c r="F446" i="25"/>
  <c r="I446" i="25" s="1"/>
  <c r="H437" i="25"/>
  <c r="I437" i="25" s="1"/>
  <c r="H393" i="25"/>
  <c r="I393" i="25" s="1"/>
  <c r="H261" i="25"/>
  <c r="I261" i="25" s="1"/>
  <c r="H239" i="25"/>
  <c r="I239" i="25" s="1"/>
  <c r="H217" i="25"/>
  <c r="I217" i="25" s="1"/>
  <c r="H173" i="25"/>
  <c r="I173" i="25" s="1"/>
  <c r="F248" i="25"/>
  <c r="I248" i="25" s="1"/>
  <c r="F291" i="25"/>
  <c r="I291" i="25" s="1"/>
  <c r="F334" i="25"/>
  <c r="I334" i="25" s="1"/>
  <c r="F361" i="25"/>
  <c r="I361" i="25" s="1"/>
  <c r="F490" i="25"/>
  <c r="I490" i="25" s="1"/>
  <c r="F180" i="25"/>
  <c r="D177" i="21" s="1"/>
  <c r="F336" i="25"/>
  <c r="I336" i="25" s="1"/>
  <c r="F379" i="25"/>
  <c r="I379" i="25" s="1"/>
  <c r="F422" i="25"/>
  <c r="I422" i="25" s="1"/>
  <c r="H497" i="25"/>
  <c r="I497" i="25" s="1"/>
  <c r="H475" i="25"/>
  <c r="I475" i="25" s="1"/>
  <c r="H453" i="25"/>
  <c r="I453" i="25" s="1"/>
  <c r="H431" i="25"/>
  <c r="I431" i="25" s="1"/>
  <c r="H409" i="25"/>
  <c r="I409" i="25" s="1"/>
  <c r="H387" i="25"/>
  <c r="I387" i="25" s="1"/>
  <c r="H365" i="25"/>
  <c r="I365" i="25" s="1"/>
  <c r="H343" i="25"/>
  <c r="I343" i="25" s="1"/>
  <c r="H321" i="25"/>
  <c r="I321" i="25" s="1"/>
  <c r="H299" i="25"/>
  <c r="I299" i="25" s="1"/>
  <c r="H277" i="25"/>
  <c r="I277" i="25" s="1"/>
  <c r="H255" i="25"/>
  <c r="I255" i="25" s="1"/>
  <c r="H233" i="25"/>
  <c r="I233" i="25" s="1"/>
  <c r="H211" i="25"/>
  <c r="I211" i="25" s="1"/>
  <c r="H189" i="25"/>
  <c r="I189" i="25" s="1"/>
  <c r="H167" i="25"/>
  <c r="I167" i="25" s="1"/>
  <c r="H145" i="25"/>
  <c r="I145" i="25" s="1"/>
  <c r="H496" i="25"/>
  <c r="I496" i="25" s="1"/>
  <c r="H474" i="25"/>
  <c r="I474" i="25" s="1"/>
  <c r="H452" i="25"/>
  <c r="I452" i="25" s="1"/>
  <c r="H430" i="25"/>
  <c r="I430" i="25" s="1"/>
  <c r="H408" i="25"/>
  <c r="I408" i="25" s="1"/>
  <c r="H386" i="25"/>
  <c r="I386" i="25" s="1"/>
  <c r="H364" i="25"/>
  <c r="I364" i="25" s="1"/>
  <c r="H342" i="25"/>
  <c r="I342" i="25" s="1"/>
  <c r="H320" i="25"/>
  <c r="I320" i="25" s="1"/>
  <c r="H298" i="25"/>
  <c r="I298" i="25" s="1"/>
  <c r="H276" i="25"/>
  <c r="I276" i="25" s="1"/>
  <c r="H254" i="25"/>
  <c r="I254" i="25" s="1"/>
  <c r="H232" i="25"/>
  <c r="I232" i="25" s="1"/>
  <c r="H210" i="25"/>
  <c r="I210" i="25" s="1"/>
  <c r="H188" i="25"/>
  <c r="I188" i="25" s="1"/>
  <c r="H166" i="25"/>
  <c r="I166" i="25" s="1"/>
  <c r="H144" i="25"/>
  <c r="I144" i="25" s="1"/>
  <c r="F292" i="25"/>
  <c r="I292" i="25" s="1"/>
  <c r="F181" i="25"/>
  <c r="D178" i="21" s="1"/>
  <c r="F224" i="25"/>
  <c r="I224" i="25" s="1"/>
  <c r="F380" i="25"/>
  <c r="I380" i="25" s="1"/>
  <c r="F423" i="25"/>
  <c r="I423" i="25" s="1"/>
  <c r="F466" i="25"/>
  <c r="I466" i="25" s="1"/>
  <c r="H495" i="25"/>
  <c r="I495" i="25" s="1"/>
  <c r="H473" i="25"/>
  <c r="I473" i="25" s="1"/>
  <c r="H451" i="25"/>
  <c r="I451" i="25" s="1"/>
  <c r="H429" i="25"/>
  <c r="I429" i="25" s="1"/>
  <c r="H407" i="25"/>
  <c r="I407" i="25" s="1"/>
  <c r="H385" i="25"/>
  <c r="I385" i="25" s="1"/>
  <c r="H363" i="25"/>
  <c r="I363" i="25" s="1"/>
  <c r="H341" i="25"/>
  <c r="I341" i="25" s="1"/>
  <c r="H319" i="25"/>
  <c r="I319" i="25" s="1"/>
  <c r="H297" i="25"/>
  <c r="I297" i="25" s="1"/>
  <c r="H275" i="25"/>
  <c r="I275" i="25" s="1"/>
  <c r="H253" i="25"/>
  <c r="I253" i="25" s="1"/>
  <c r="H231" i="25"/>
  <c r="I231" i="25" s="1"/>
  <c r="H209" i="25"/>
  <c r="I209" i="25" s="1"/>
  <c r="H187" i="25"/>
  <c r="I187" i="25" s="1"/>
  <c r="H165" i="25"/>
  <c r="I165" i="25" s="1"/>
  <c r="H143" i="25"/>
  <c r="I143" i="25" s="1"/>
  <c r="F182" i="25"/>
  <c r="D179" i="21" s="1"/>
  <c r="F225" i="25"/>
  <c r="I225" i="25" s="1"/>
  <c r="F268" i="25"/>
  <c r="I268" i="25" s="1"/>
  <c r="F424" i="25"/>
  <c r="I424" i="25" s="1"/>
  <c r="F467" i="25"/>
  <c r="I467" i="25" s="1"/>
  <c r="H383" i="25"/>
  <c r="I383" i="25" s="1"/>
  <c r="F468" i="25"/>
  <c r="I468" i="25" s="1"/>
  <c r="F226" i="25"/>
  <c r="I226" i="25" s="1"/>
  <c r="F312" i="25"/>
  <c r="I312" i="25" s="1"/>
  <c r="H270" i="25"/>
  <c r="I270" i="25" s="1"/>
  <c r="F313" i="25"/>
  <c r="I313" i="25" s="1"/>
  <c r="F356" i="25"/>
  <c r="I356" i="25" s="1"/>
  <c r="H269" i="25"/>
  <c r="I269" i="25" s="1"/>
  <c r="F215" i="25"/>
  <c r="I215" i="25" s="1"/>
  <c r="F347" i="25"/>
  <c r="I347" i="25" s="1"/>
  <c r="F391" i="25"/>
  <c r="I391" i="25" s="1"/>
  <c r="F435" i="25"/>
  <c r="I435" i="25" s="1"/>
  <c r="F479" i="25"/>
  <c r="I479" i="25" s="1"/>
  <c r="F172" i="25"/>
  <c r="I172" i="25" s="1"/>
  <c r="F216" i="25"/>
  <c r="I216" i="25" s="1"/>
  <c r="F348" i="25"/>
  <c r="I348" i="25" s="1"/>
  <c r="F436" i="25"/>
  <c r="I436" i="25" s="1"/>
  <c r="F480" i="25"/>
  <c r="I480" i="25" s="1"/>
  <c r="F195" i="25"/>
  <c r="D192" i="21" s="1"/>
  <c r="F305" i="25"/>
  <c r="I305" i="25" s="1"/>
  <c r="F349" i="25"/>
  <c r="I349" i="25" s="1"/>
  <c r="F481" i="25"/>
  <c r="I481" i="25" s="1"/>
  <c r="F218" i="25"/>
  <c r="I218" i="25" s="1"/>
  <c r="F262" i="25"/>
  <c r="I262" i="25" s="1"/>
  <c r="F394" i="25"/>
  <c r="I394" i="25" s="1"/>
  <c r="F153" i="25"/>
  <c r="F175" i="25"/>
  <c r="D172" i="21" s="1"/>
  <c r="F197" i="25"/>
  <c r="I197" i="25" s="1"/>
  <c r="F219" i="25"/>
  <c r="I219" i="25" s="1"/>
  <c r="F241" i="25"/>
  <c r="I241" i="25" s="1"/>
  <c r="F263" i="25"/>
  <c r="I263" i="25" s="1"/>
  <c r="F285" i="25"/>
  <c r="I285" i="25" s="1"/>
  <c r="F307" i="25"/>
  <c r="I307" i="25" s="1"/>
  <c r="F329" i="25"/>
  <c r="I329" i="25" s="1"/>
  <c r="F351" i="25"/>
  <c r="I351" i="25" s="1"/>
  <c r="F373" i="25"/>
  <c r="I373" i="25" s="1"/>
  <c r="F395" i="25"/>
  <c r="I395" i="25" s="1"/>
  <c r="F417" i="25"/>
  <c r="I417" i="25" s="1"/>
  <c r="F439" i="25"/>
  <c r="I439" i="25" s="1"/>
  <c r="F461" i="25"/>
  <c r="I461" i="25" s="1"/>
  <c r="F483" i="25"/>
  <c r="I483" i="25" s="1"/>
  <c r="F149" i="25"/>
  <c r="D146" i="21" s="1"/>
  <c r="F171" i="25"/>
  <c r="D168" i="21" s="1"/>
  <c r="F193" i="25"/>
  <c r="D190" i="21" s="1"/>
  <c r="F281" i="25"/>
  <c r="I281" i="25" s="1"/>
  <c r="F413" i="25"/>
  <c r="I413" i="25" s="1"/>
  <c r="F150" i="25"/>
  <c r="D147" i="21" s="1"/>
  <c r="F194" i="25"/>
  <c r="D191" i="21" s="1"/>
  <c r="F392" i="25"/>
  <c r="I392" i="25" s="1"/>
  <c r="F458" i="25"/>
  <c r="I458" i="25" s="1"/>
  <c r="F151" i="25"/>
  <c r="D148" i="21" s="1"/>
  <c r="F283" i="25"/>
  <c r="I283" i="25" s="1"/>
  <c r="F327" i="25"/>
  <c r="I327" i="25" s="1"/>
  <c r="F459" i="25"/>
  <c r="I459" i="25" s="1"/>
  <c r="F174" i="25"/>
  <c r="D171" i="21" s="1"/>
  <c r="F284" i="25"/>
  <c r="I284" i="25" s="1"/>
  <c r="F328" i="25"/>
  <c r="I328" i="25" s="1"/>
  <c r="F372" i="25"/>
  <c r="I372" i="25" s="1"/>
  <c r="F416" i="25"/>
  <c r="I416" i="25" s="1"/>
  <c r="F460" i="25"/>
  <c r="I460" i="25" s="1"/>
  <c r="F237" i="25"/>
  <c r="I237" i="25" s="1"/>
  <c r="F303" i="25"/>
  <c r="I303" i="25" s="1"/>
  <c r="F369" i="25"/>
  <c r="I369" i="25" s="1"/>
  <c r="F238" i="25"/>
  <c r="I238" i="25" s="1"/>
  <c r="F370" i="25"/>
  <c r="I370" i="25" s="1"/>
  <c r="F371" i="25"/>
  <c r="I371" i="25" s="1"/>
  <c r="F415" i="25"/>
  <c r="I415" i="25" s="1"/>
  <c r="F259" i="25"/>
  <c r="I259" i="25" s="1"/>
  <c r="F325" i="25"/>
  <c r="I325" i="25" s="1"/>
  <c r="F457" i="25"/>
  <c r="I457" i="25" s="1"/>
  <c r="F260" i="25"/>
  <c r="I260" i="25" s="1"/>
  <c r="F282" i="25"/>
  <c r="I282" i="25" s="1"/>
  <c r="F304" i="25"/>
  <c r="I304" i="25" s="1"/>
  <c r="F326" i="25"/>
  <c r="I326" i="25" s="1"/>
  <c r="F414" i="25"/>
  <c r="I414" i="25" s="1"/>
  <c r="I271" i="25"/>
  <c r="I450" i="25"/>
  <c r="I202" i="25"/>
  <c r="I317" i="25"/>
  <c r="I471" i="25"/>
  <c r="I250" i="25"/>
  <c r="I360" i="25"/>
  <c r="I340" i="25"/>
  <c r="I296" i="25"/>
  <c r="I448" i="25"/>
  <c r="I444" i="25"/>
  <c r="I400" i="25"/>
  <c r="I378" i="25"/>
  <c r="I492" i="25"/>
  <c r="I322" i="25"/>
  <c r="D176" i="21"/>
  <c r="I384" i="25"/>
  <c r="I494" i="25"/>
  <c r="I184" i="25"/>
  <c r="D181" i="21"/>
  <c r="D167" i="21"/>
  <c r="D182" i="21"/>
  <c r="I185" i="25"/>
  <c r="D140" i="21"/>
  <c r="D162" i="21"/>
  <c r="D173" i="21"/>
  <c r="D142" i="21"/>
  <c r="D143" i="21"/>
  <c r="D185" i="21"/>
  <c r="I272" i="25"/>
  <c r="I293" i="25"/>
  <c r="I315" i="25"/>
  <c r="I382" i="25"/>
  <c r="I316" i="25"/>
  <c r="I338" i="25"/>
  <c r="I404" i="25"/>
  <c r="I470" i="25"/>
  <c r="I454" i="25"/>
  <c r="I206" i="25"/>
  <c r="I426" i="25"/>
  <c r="I294" i="25"/>
  <c r="I456" i="25"/>
  <c r="L28" i="23"/>
  <c r="L27" i="23"/>
  <c r="H28" i="23"/>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5" i="1"/>
  <c r="R5" i="1" s="1"/>
  <c r="O6" i="1"/>
  <c r="R6" i="1" s="1"/>
  <c r="O7" i="1"/>
  <c r="R7" i="1" s="1"/>
  <c r="O8" i="1"/>
  <c r="R8" i="1" s="1"/>
  <c r="O9" i="1"/>
  <c r="R9" i="1" s="1"/>
  <c r="O10" i="1"/>
  <c r="R10" i="1" s="1"/>
  <c r="O11" i="1"/>
  <c r="R11" i="1" s="1"/>
  <c r="O12" i="1"/>
  <c r="R12" i="1" s="1"/>
  <c r="O13" i="1"/>
  <c r="R13" i="1" s="1"/>
  <c r="O14" i="1"/>
  <c r="R14" i="1" s="1"/>
  <c r="O15" i="1"/>
  <c r="R15" i="1" s="1"/>
  <c r="O16" i="1"/>
  <c r="R16" i="1" s="1"/>
  <c r="O17" i="1"/>
  <c r="R17" i="1" s="1"/>
  <c r="O18" i="1"/>
  <c r="R18" i="1" s="1"/>
  <c r="O19" i="1"/>
  <c r="R19" i="1" s="1"/>
  <c r="O20" i="1"/>
  <c r="R20" i="1" s="1"/>
  <c r="O21" i="1"/>
  <c r="R21" i="1" s="1"/>
  <c r="O22" i="1"/>
  <c r="R22" i="1" s="1"/>
  <c r="O23" i="1"/>
  <c r="R23" i="1" s="1"/>
  <c r="O24" i="1"/>
  <c r="R24" i="1" s="1"/>
  <c r="O25" i="1"/>
  <c r="R25" i="1" s="1"/>
  <c r="O26" i="1"/>
  <c r="R26" i="1" s="1"/>
  <c r="O27" i="1"/>
  <c r="R27" i="1" s="1"/>
  <c r="O28" i="1"/>
  <c r="R28" i="1" s="1"/>
  <c r="O29" i="1"/>
  <c r="R29" i="1" s="1"/>
  <c r="O30" i="1"/>
  <c r="R30" i="1" s="1"/>
  <c r="O31" i="1"/>
  <c r="O32" i="1"/>
  <c r="R32" i="1" s="1"/>
  <c r="O33" i="1"/>
  <c r="R33" i="1" s="1"/>
  <c r="O34" i="1"/>
  <c r="R34" i="1" s="1"/>
  <c r="O35" i="1"/>
  <c r="R35" i="1" s="1"/>
  <c r="O36" i="1"/>
  <c r="R36" i="1" s="1"/>
  <c r="O37" i="1"/>
  <c r="R37" i="1" s="1"/>
  <c r="O38" i="1"/>
  <c r="R38" i="1" s="1"/>
  <c r="O39" i="1"/>
  <c r="R39" i="1" s="1"/>
  <c r="O40" i="1"/>
  <c r="R40" i="1" s="1"/>
  <c r="O41" i="1"/>
  <c r="R41" i="1" s="1"/>
  <c r="O42" i="1"/>
  <c r="R42" i="1" s="1"/>
  <c r="O43" i="1"/>
  <c r="R43" i="1" s="1"/>
  <c r="O44" i="1"/>
  <c r="R44" i="1" s="1"/>
  <c r="O45" i="1"/>
  <c r="R45" i="1" s="1"/>
  <c r="O46" i="1"/>
  <c r="R46" i="1" s="1"/>
  <c r="O47" i="1"/>
  <c r="R47" i="1" s="1"/>
  <c r="O48" i="1"/>
  <c r="R48" i="1" s="1"/>
  <c r="O49" i="1"/>
  <c r="R49" i="1" s="1"/>
  <c r="O50" i="1"/>
  <c r="R50" i="1" s="1"/>
  <c r="O51" i="1"/>
  <c r="R51" i="1" s="1"/>
  <c r="O52" i="1"/>
  <c r="R52" i="1" s="1"/>
  <c r="O53" i="1"/>
  <c r="R53" i="1" s="1"/>
  <c r="O54" i="1"/>
  <c r="R54" i="1" s="1"/>
  <c r="O55" i="1"/>
  <c r="R55" i="1" s="1"/>
  <c r="O56" i="1"/>
  <c r="R56" i="1" s="1"/>
  <c r="O57" i="1"/>
  <c r="R57" i="1" s="1"/>
  <c r="O58" i="1"/>
  <c r="R58" i="1" s="1"/>
  <c r="O59" i="1"/>
  <c r="R59" i="1" s="1"/>
  <c r="O60" i="1"/>
  <c r="R60" i="1" s="1"/>
  <c r="O61" i="1"/>
  <c r="R61" i="1" s="1"/>
  <c r="O62" i="1"/>
  <c r="R62" i="1" s="1"/>
  <c r="O63" i="1"/>
  <c r="R63" i="1" s="1"/>
  <c r="O64" i="1"/>
  <c r="R64" i="1" s="1"/>
  <c r="O65" i="1"/>
  <c r="R65" i="1" s="1"/>
  <c r="O66" i="1"/>
  <c r="R66" i="1" s="1"/>
  <c r="O67" i="1"/>
  <c r="R67" i="1" s="1"/>
  <c r="O68" i="1"/>
  <c r="R68" i="1" s="1"/>
  <c r="O69" i="1"/>
  <c r="R69" i="1" s="1"/>
  <c r="O70" i="1"/>
  <c r="R70" i="1" s="1"/>
  <c r="O71" i="1"/>
  <c r="R71" i="1" s="1"/>
  <c r="O72" i="1"/>
  <c r="R72" i="1" s="1"/>
  <c r="O73" i="1"/>
  <c r="R73" i="1" s="1"/>
  <c r="O74" i="1"/>
  <c r="R74" i="1" s="1"/>
  <c r="O75" i="1"/>
  <c r="R75" i="1" s="1"/>
  <c r="O76" i="1"/>
  <c r="R76" i="1" s="1"/>
  <c r="O77" i="1"/>
  <c r="H27" i="23"/>
  <c r="H39" i="23"/>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E40" i="23"/>
  <c r="C40" i="23"/>
  <c r="J29" i="23"/>
  <c r="N29" i="23"/>
  <c r="L29" i="23" s="1"/>
  <c r="C4" i="1"/>
  <c r="S6" i="15"/>
  <c r="T6" i="15" s="1"/>
  <c r="Y6" i="15"/>
  <c r="S7" i="15"/>
  <c r="V7" i="15" s="1"/>
  <c r="Y7" i="15"/>
  <c r="S8" i="15"/>
  <c r="T8" i="15" s="1"/>
  <c r="Y8" i="15"/>
  <c r="S9" i="15"/>
  <c r="U9" i="15" s="1" a="1"/>
  <c r="U9" i="15" s="1"/>
  <c r="X9" i="15" s="1"/>
  <c r="BE9" i="15" s="1"/>
  <c r="Y9" i="15"/>
  <c r="S10" i="15"/>
  <c r="V10" i="15" s="1"/>
  <c r="W10" i="15" s="1"/>
  <c r="Y10" i="15"/>
  <c r="S11" i="15"/>
  <c r="V11" i="15" s="1"/>
  <c r="W11" i="15" s="1"/>
  <c r="Y11" i="15"/>
  <c r="S12" i="15"/>
  <c r="Y12" i="15"/>
  <c r="S13" i="15"/>
  <c r="Y13" i="15"/>
  <c r="S14" i="15"/>
  <c r="T14" i="15" s="1"/>
  <c r="Y14" i="15"/>
  <c r="S15" i="15"/>
  <c r="T15" i="15" s="1"/>
  <c r="Y15" i="15"/>
  <c r="S16" i="15"/>
  <c r="Y16" i="15"/>
  <c r="S17" i="15"/>
  <c r="V17" i="15" s="1"/>
  <c r="W17" i="15" s="1"/>
  <c r="Y17" i="15"/>
  <c r="S18" i="15"/>
  <c r="Y18" i="15"/>
  <c r="S19" i="15"/>
  <c r="V19" i="15" s="1"/>
  <c r="W19" i="15" s="1"/>
  <c r="Y19" i="15"/>
  <c r="S20" i="15"/>
  <c r="T20" i="15" s="1"/>
  <c r="Y20" i="15"/>
  <c r="S21" i="15"/>
  <c r="Y21" i="15"/>
  <c r="S22" i="15"/>
  <c r="T22" i="15" s="1"/>
  <c r="Y22" i="15"/>
  <c r="S40" i="15"/>
  <c r="T40" i="15" s="1"/>
  <c r="Y40" i="15"/>
  <c r="S41" i="15"/>
  <c r="Y41" i="15"/>
  <c r="S42" i="15"/>
  <c r="T42" i="15" s="1"/>
  <c r="Y42" i="15"/>
  <c r="S67" i="15"/>
  <c r="V67" i="15" s="1"/>
  <c r="W67" i="15" s="1"/>
  <c r="Y67" i="15"/>
  <c r="S68" i="15"/>
  <c r="U68" i="15" s="1" a="1"/>
  <c r="U68" i="15" s="1"/>
  <c r="X68" i="15" s="1"/>
  <c r="BE68" i="15" s="1"/>
  <c r="Y68" i="15"/>
  <c r="S69" i="15"/>
  <c r="V69" i="15" s="1"/>
  <c r="Y69" i="15"/>
  <c r="S70" i="15"/>
  <c r="T70" i="15" s="1"/>
  <c r="Y70" i="15"/>
  <c r="S71" i="15"/>
  <c r="V71" i="15" s="1"/>
  <c r="W71" i="15" s="1"/>
  <c r="Y71" i="15"/>
  <c r="S72" i="15"/>
  <c r="V72" i="15" s="1"/>
  <c r="W72" i="15" s="1"/>
  <c r="Y72" i="15"/>
  <c r="S73" i="15"/>
  <c r="U73" i="15" s="1" a="1"/>
  <c r="U73" i="15" s="1"/>
  <c r="X73" i="15" s="1"/>
  <c r="BE73" i="15" s="1"/>
  <c r="Y73" i="15"/>
  <c r="S74" i="15"/>
  <c r="Y74" i="15"/>
  <c r="S75" i="15"/>
  <c r="T75" i="15" s="1"/>
  <c r="Y75" i="15"/>
  <c r="S76" i="15"/>
  <c r="U76" i="15" s="1" a="1"/>
  <c r="U76" i="15" s="1"/>
  <c r="X76" i="15" s="1"/>
  <c r="Y76" i="15"/>
  <c r="S77" i="15"/>
  <c r="U77" i="15" s="1" a="1"/>
  <c r="U77" i="15" s="1"/>
  <c r="X77" i="15" s="1"/>
  <c r="Y77" i="15"/>
  <c r="S78" i="15"/>
  <c r="V78" i="15" s="1"/>
  <c r="W78" i="15" s="1"/>
  <c r="Y78" i="15"/>
  <c r="S79" i="15"/>
  <c r="V79" i="15" s="1"/>
  <c r="W79" i="15" s="1"/>
  <c r="Y79" i="15"/>
  <c r="S80" i="15"/>
  <c r="T80" i="15" s="1"/>
  <c r="Y80" i="15"/>
  <c r="S81" i="15"/>
  <c r="U81" i="15" s="1" a="1"/>
  <c r="U81" i="15" s="1"/>
  <c r="X81" i="15" s="1"/>
  <c r="BE81" i="15" s="1"/>
  <c r="Y81" i="15"/>
  <c r="S82" i="15"/>
  <c r="T82" i="15" s="1"/>
  <c r="Y82" i="15"/>
  <c r="S83" i="15"/>
  <c r="T83" i="15" s="1"/>
  <c r="Y83" i="15"/>
  <c r="S84" i="15"/>
  <c r="T84" i="15" s="1"/>
  <c r="Y84" i="15"/>
  <c r="S85" i="15"/>
  <c r="V85" i="15" s="1"/>
  <c r="W85" i="15" s="1"/>
  <c r="Y85" i="15"/>
  <c r="S86" i="15"/>
  <c r="V86" i="15" s="1"/>
  <c r="W86" i="15" s="1"/>
  <c r="Y86" i="15"/>
  <c r="S87" i="15"/>
  <c r="T87" i="15" s="1"/>
  <c r="Y87" i="15"/>
  <c r="S88" i="15"/>
  <c r="V88" i="15" s="1"/>
  <c r="W88" i="15" s="1"/>
  <c r="Y88" i="15"/>
  <c r="S89" i="15"/>
  <c r="T89" i="15" s="1"/>
  <c r="Y89" i="15"/>
  <c r="S90" i="15"/>
  <c r="V90" i="15" s="1"/>
  <c r="W90" i="15" s="1"/>
  <c r="Y90" i="15"/>
  <c r="S91" i="15"/>
  <c r="V91" i="15" s="1"/>
  <c r="W91" i="15" s="1"/>
  <c r="Y91" i="15"/>
  <c r="S92" i="15"/>
  <c r="Y92" i="15"/>
  <c r="S93" i="15"/>
  <c r="T93" i="15" s="1"/>
  <c r="Y93" i="15"/>
  <c r="S94" i="15"/>
  <c r="V94" i="15" s="1"/>
  <c r="W94" i="15" s="1"/>
  <c r="Y94" i="15"/>
  <c r="S95" i="15"/>
  <c r="U95" i="15" s="1" a="1"/>
  <c r="U95" i="15" s="1"/>
  <c r="X95" i="15" s="1"/>
  <c r="BE95" i="15" s="1"/>
  <c r="Y95" i="15"/>
  <c r="S96" i="15"/>
  <c r="T96" i="15" s="1"/>
  <c r="Y96" i="15"/>
  <c r="S97" i="15"/>
  <c r="T97" i="15" s="1"/>
  <c r="Y97" i="15"/>
  <c r="S98" i="15"/>
  <c r="T98" i="15" s="1"/>
  <c r="Y98" i="15"/>
  <c r="S99" i="15"/>
  <c r="T99" i="15" s="1"/>
  <c r="Y99" i="15"/>
  <c r="S100" i="15"/>
  <c r="Y100" i="15"/>
  <c r="S101" i="15"/>
  <c r="V101" i="15" s="1"/>
  <c r="W101" i="15" s="1"/>
  <c r="Y101" i="15"/>
  <c r="S102" i="15"/>
  <c r="T102" i="15" s="1"/>
  <c r="Y102" i="15"/>
  <c r="S103" i="15"/>
  <c r="Y103" i="15"/>
  <c r="S104" i="15"/>
  <c r="T104" i="15" s="1"/>
  <c r="Y104" i="15"/>
  <c r="S105" i="15"/>
  <c r="V105" i="15" s="1"/>
  <c r="W105" i="15" s="1"/>
  <c r="Y105" i="15"/>
  <c r="S106" i="15"/>
  <c r="Y106" i="15"/>
  <c r="S107" i="15"/>
  <c r="T107" i="15" s="1"/>
  <c r="Y107" i="15"/>
  <c r="S108" i="15"/>
  <c r="T108" i="15" s="1"/>
  <c r="Y108" i="15"/>
  <c r="S109" i="15"/>
  <c r="V109" i="15" s="1"/>
  <c r="W109" i="15" s="1"/>
  <c r="Y109" i="15"/>
  <c r="S110" i="15"/>
  <c r="U110" i="15" s="1" a="1"/>
  <c r="U110" i="15" s="1"/>
  <c r="X110" i="15" s="1"/>
  <c r="BE110" i="15" s="1"/>
  <c r="Y110" i="15"/>
  <c r="S111" i="15"/>
  <c r="Y111" i="15"/>
  <c r="S112" i="15"/>
  <c r="T112" i="15" s="1"/>
  <c r="Y112" i="15"/>
  <c r="S113" i="15"/>
  <c r="Y113" i="15"/>
  <c r="S114" i="15"/>
  <c r="U114" i="15" s="1" a="1"/>
  <c r="U114" i="15" s="1"/>
  <c r="X114" i="15" s="1"/>
  <c r="BE114" i="15" s="1"/>
  <c r="Y114" i="15"/>
  <c r="S115" i="15"/>
  <c r="T115" i="15" s="1"/>
  <c r="Y115" i="15"/>
  <c r="S116" i="15"/>
  <c r="Y116" i="15"/>
  <c r="S117" i="15"/>
  <c r="U117" i="15" s="1" a="1"/>
  <c r="U117" i="15" s="1"/>
  <c r="X117" i="15" s="1"/>
  <c r="BE117" i="15" s="1"/>
  <c r="Y117" i="15"/>
  <c r="S118" i="15"/>
  <c r="Y118" i="15"/>
  <c r="S119" i="15"/>
  <c r="T119" i="15" s="1"/>
  <c r="Y119" i="15"/>
  <c r="S120" i="15"/>
  <c r="Y120" i="15"/>
  <c r="S121" i="15"/>
  <c r="U121" i="15" s="1" a="1"/>
  <c r="U121" i="15" s="1"/>
  <c r="X121" i="15" s="1"/>
  <c r="BE121" i="15" s="1"/>
  <c r="Y121" i="15"/>
  <c r="S122" i="15"/>
  <c r="T122" i="15" s="1"/>
  <c r="Y122" i="15"/>
  <c r="S123" i="15"/>
  <c r="U123" i="15" s="1" a="1"/>
  <c r="U123" i="15" s="1"/>
  <c r="X123" i="15" s="1"/>
  <c r="BE123" i="15" s="1"/>
  <c r="Y123" i="15"/>
  <c r="S124" i="15"/>
  <c r="T124" i="15" s="1"/>
  <c r="Y124" i="15"/>
  <c r="S125" i="15"/>
  <c r="V125" i="15" s="1"/>
  <c r="Y125" i="15"/>
  <c r="S126" i="15"/>
  <c r="V126" i="15" s="1"/>
  <c r="W126" i="15" s="1"/>
  <c r="Y126" i="15"/>
  <c r="S127" i="15"/>
  <c r="T127" i="15" s="1"/>
  <c r="Y127" i="15"/>
  <c r="S128" i="15"/>
  <c r="V128" i="15" s="1"/>
  <c r="W128" i="15" s="1"/>
  <c r="Y128" i="15"/>
  <c r="S129" i="15"/>
  <c r="T129" i="15" s="1"/>
  <c r="Y129" i="15"/>
  <c r="S130" i="15"/>
  <c r="T130" i="15" s="1"/>
  <c r="Y130" i="15"/>
  <c r="S131" i="15"/>
  <c r="U131" i="15" s="1" a="1"/>
  <c r="U131" i="15" s="1"/>
  <c r="X131" i="15" s="1"/>
  <c r="Y131" i="15"/>
  <c r="S132" i="15"/>
  <c r="T132" i="15" s="1"/>
  <c r="Y132" i="15"/>
  <c r="S133" i="15"/>
  <c r="U133" i="15" s="1" a="1"/>
  <c r="U133" i="15" s="1"/>
  <c r="X133" i="15" s="1"/>
  <c r="BE133" i="15" s="1"/>
  <c r="Y133" i="15"/>
  <c r="S134" i="15"/>
  <c r="V134" i="15" s="1"/>
  <c r="W134" i="15" s="1"/>
  <c r="Y134" i="15"/>
  <c r="S135" i="15"/>
  <c r="T135" i="15" s="1"/>
  <c r="Y135" i="15"/>
  <c r="S136" i="15"/>
  <c r="U136" i="15" s="1" a="1"/>
  <c r="U136" i="15" s="1"/>
  <c r="X136" i="15" s="1"/>
  <c r="BE136" i="15" s="1"/>
  <c r="Y136" i="15"/>
  <c r="S137" i="15"/>
  <c r="V137" i="15" s="1"/>
  <c r="W137" i="15" s="1"/>
  <c r="Y137" i="15"/>
  <c r="S138" i="15"/>
  <c r="U138" i="15" s="1" a="1"/>
  <c r="U138" i="15" s="1"/>
  <c r="X138" i="15" s="1"/>
  <c r="BE138" i="15" s="1"/>
  <c r="Y138" i="15"/>
  <c r="S139" i="15"/>
  <c r="U139" i="15" a="1"/>
  <c r="U139" i="15" s="1"/>
  <c r="X139" i="15" s="1"/>
  <c r="BE139" i="15" s="1"/>
  <c r="Y139" i="15"/>
  <c r="S140" i="15"/>
  <c r="U140" i="15" s="1" a="1"/>
  <c r="U140" i="15" s="1"/>
  <c r="X140" i="15" s="1"/>
  <c r="BE140" i="15" s="1"/>
  <c r="Y140" i="15"/>
  <c r="S141" i="15"/>
  <c r="V141" i="15" s="1"/>
  <c r="W141" i="15" s="1"/>
  <c r="Y141" i="15"/>
  <c r="S142" i="15"/>
  <c r="V142" i="15" s="1"/>
  <c r="W142" i="15" s="1"/>
  <c r="Y142" i="15"/>
  <c r="S143" i="15"/>
  <c r="U143" i="15" a="1"/>
  <c r="U143" i="15" s="1"/>
  <c r="X143" i="15" s="1"/>
  <c r="BE143" i="15" s="1"/>
  <c r="Y143" i="15"/>
  <c r="S144" i="15"/>
  <c r="U144" i="15" a="1"/>
  <c r="U144" i="15" s="1"/>
  <c r="X144" i="15" s="1"/>
  <c r="BE144" i="15" s="1"/>
  <c r="Y144" i="15"/>
  <c r="S145" i="15"/>
  <c r="T145" i="15" s="1"/>
  <c r="U145" i="15" a="1"/>
  <c r="U145" i="15" s="1"/>
  <c r="X145" i="15" s="1"/>
  <c r="BE145" i="15" s="1"/>
  <c r="Y145" i="15"/>
  <c r="S146" i="15"/>
  <c r="U146" i="15" a="1"/>
  <c r="U146" i="15" s="1"/>
  <c r="X146" i="15" s="1"/>
  <c r="BE146" i="15" s="1"/>
  <c r="Y146" i="15"/>
  <c r="AB146" i="15"/>
  <c r="S147" i="15"/>
  <c r="U147" i="15" a="1"/>
  <c r="U147" i="15" s="1"/>
  <c r="X147" i="15" s="1"/>
  <c r="BE147" i="15" s="1"/>
  <c r="Y147" i="15"/>
  <c r="AB147" i="15"/>
  <c r="S148" i="15"/>
  <c r="T148" i="15" s="1"/>
  <c r="U148" i="15" a="1"/>
  <c r="U148" i="15" s="1"/>
  <c r="X148" i="15" s="1"/>
  <c r="BE148" i="15" s="1"/>
  <c r="Y148" i="15"/>
  <c r="AB148" i="15"/>
  <c r="S149" i="15"/>
  <c r="U149" i="15" a="1"/>
  <c r="U149" i="15" s="1"/>
  <c r="X149" i="15" s="1"/>
  <c r="Y149" i="15"/>
  <c r="AB149" i="15"/>
  <c r="S150" i="15"/>
  <c r="V150" i="15" s="1"/>
  <c r="W150" i="15" s="1"/>
  <c r="U150" i="15" a="1"/>
  <c r="U150" i="15" s="1"/>
  <c r="X150" i="15" s="1"/>
  <c r="BE150" i="15" s="1"/>
  <c r="Y150" i="15"/>
  <c r="AB150" i="15"/>
  <c r="S151" i="15"/>
  <c r="U151" i="15" a="1"/>
  <c r="U151" i="15" s="1"/>
  <c r="X151" i="15" s="1"/>
  <c r="BE151" i="15" s="1"/>
  <c r="Y151" i="15"/>
  <c r="AB151" i="15"/>
  <c r="S152" i="15"/>
  <c r="V152" i="15" s="1"/>
  <c r="W152" i="15" s="1"/>
  <c r="U152" i="15" a="1"/>
  <c r="U152" i="15" s="1"/>
  <c r="X152" i="15" s="1"/>
  <c r="BE152" i="15" s="1"/>
  <c r="Y152" i="15"/>
  <c r="AB152" i="15"/>
  <c r="S153" i="15"/>
  <c r="V153" i="15" s="1"/>
  <c r="W153" i="15" s="1"/>
  <c r="U153" i="15" a="1"/>
  <c r="U153" i="15" s="1"/>
  <c r="X153" i="15" s="1"/>
  <c r="BE153" i="15" s="1"/>
  <c r="Y153" i="15"/>
  <c r="AB153" i="15"/>
  <c r="S154" i="15"/>
  <c r="V154" i="15" s="1"/>
  <c r="U154" i="15" a="1"/>
  <c r="U154" i="15" s="1"/>
  <c r="X154" i="15" s="1"/>
  <c r="BE154" i="15" s="1"/>
  <c r="Y154" i="15"/>
  <c r="AB154" i="15"/>
  <c r="S155" i="15"/>
  <c r="V155" i="15" s="1"/>
  <c r="W155" i="15" s="1"/>
  <c r="U155" i="15" a="1"/>
  <c r="U155" i="15" s="1"/>
  <c r="X155" i="15" s="1"/>
  <c r="BE155" i="15" s="1"/>
  <c r="Y155" i="15"/>
  <c r="AB155" i="15"/>
  <c r="S156" i="15"/>
  <c r="T156" i="15" s="1"/>
  <c r="U156" i="15" a="1"/>
  <c r="U156" i="15" s="1"/>
  <c r="X156" i="15" s="1"/>
  <c r="Y156" i="15"/>
  <c r="AB156" i="15"/>
  <c r="S157" i="15"/>
  <c r="V157" i="15" s="1"/>
  <c r="U157" i="15" a="1"/>
  <c r="U157" i="15" s="1"/>
  <c r="X157" i="15" s="1"/>
  <c r="BE157" i="15" s="1"/>
  <c r="Y157" i="15"/>
  <c r="AB157" i="15"/>
  <c r="S158" i="15"/>
  <c r="U158" i="15" a="1"/>
  <c r="U158" i="15" s="1"/>
  <c r="X158" i="15" s="1"/>
  <c r="Y158" i="15"/>
  <c r="AB158" i="15"/>
  <c r="S159" i="15"/>
  <c r="V159" i="15" s="1"/>
  <c r="W159" i="15" s="1"/>
  <c r="U159" i="15" a="1"/>
  <c r="U159" i="15" s="1"/>
  <c r="X159" i="15" s="1"/>
  <c r="BE159" i="15" s="1"/>
  <c r="Y159" i="15"/>
  <c r="AB159" i="15"/>
  <c r="S160" i="15"/>
  <c r="T160" i="15" s="1"/>
  <c r="U160" i="15" a="1"/>
  <c r="U160" i="15" s="1"/>
  <c r="X160" i="15" s="1"/>
  <c r="BE160" i="15" s="1"/>
  <c r="Y160" i="15"/>
  <c r="AB160" i="15"/>
  <c r="S161" i="15"/>
  <c r="U161" i="15" a="1"/>
  <c r="U161" i="15" s="1"/>
  <c r="X161" i="15" s="1"/>
  <c r="Y161" i="15"/>
  <c r="AB161" i="15"/>
  <c r="S162" i="15"/>
  <c r="U162" i="15" a="1"/>
  <c r="U162" i="15" s="1"/>
  <c r="X162" i="15" s="1"/>
  <c r="BE162" i="15" s="1"/>
  <c r="Y162" i="15"/>
  <c r="AB162" i="15"/>
  <c r="S163" i="15"/>
  <c r="V163" i="15" s="1"/>
  <c r="W163" i="15" s="1"/>
  <c r="U163" i="15" a="1"/>
  <c r="U163" i="15" s="1"/>
  <c r="X163" i="15" s="1"/>
  <c r="BE163" i="15" s="1"/>
  <c r="Y163" i="15"/>
  <c r="AB163" i="15"/>
  <c r="S164" i="15"/>
  <c r="U164" i="15" a="1"/>
  <c r="U164" i="15" s="1"/>
  <c r="X164" i="15" s="1"/>
  <c r="BE164" i="15" s="1"/>
  <c r="Y164" i="15"/>
  <c r="AB164" i="15"/>
  <c r="S165" i="15"/>
  <c r="V165" i="15" s="1"/>
  <c r="W165" i="15" s="1"/>
  <c r="U165" i="15" a="1"/>
  <c r="U165" i="15" s="1"/>
  <c r="X165" i="15" s="1"/>
  <c r="BE165" i="15" s="1"/>
  <c r="Y165" i="15"/>
  <c r="AB165" i="15"/>
  <c r="S166" i="15"/>
  <c r="V166" i="15" s="1"/>
  <c r="U166" i="15" a="1"/>
  <c r="U166" i="15" s="1"/>
  <c r="X166" i="15" s="1"/>
  <c r="BE166" i="15" s="1"/>
  <c r="Y166" i="15"/>
  <c r="AB166" i="15"/>
  <c r="S167" i="15"/>
  <c r="T167" i="15" s="1"/>
  <c r="U167" i="15" a="1"/>
  <c r="U167" i="15" s="1"/>
  <c r="X167" i="15" s="1"/>
  <c r="Y167" i="15"/>
  <c r="AB167" i="15"/>
  <c r="S168" i="15"/>
  <c r="U168" i="15" a="1"/>
  <c r="U168" i="15" s="1"/>
  <c r="X168" i="15" s="1"/>
  <c r="BE168" i="15" s="1"/>
  <c r="Y168" i="15"/>
  <c r="AB168" i="15"/>
  <c r="S169" i="15"/>
  <c r="V169" i="15" s="1"/>
  <c r="W169" i="15" s="1"/>
  <c r="U169" i="15" a="1"/>
  <c r="U169" i="15" s="1"/>
  <c r="X169" i="15" s="1"/>
  <c r="BE169" i="15" s="1"/>
  <c r="Y169" i="15"/>
  <c r="AB169" i="15"/>
  <c r="S170" i="15"/>
  <c r="V170" i="15" s="1"/>
  <c r="U170" i="15" a="1"/>
  <c r="U170" i="15" s="1"/>
  <c r="X170" i="15" s="1"/>
  <c r="BE170" i="15" s="1"/>
  <c r="Y170" i="15"/>
  <c r="AB170" i="15"/>
  <c r="S171" i="15"/>
  <c r="U171" i="15" a="1"/>
  <c r="U171" i="15" s="1"/>
  <c r="X171" i="15" s="1"/>
  <c r="BE171" i="15" s="1"/>
  <c r="Y171" i="15"/>
  <c r="AB171" i="15"/>
  <c r="S172" i="15"/>
  <c r="V172" i="15" s="1"/>
  <c r="U172" i="15" a="1"/>
  <c r="U172" i="15" s="1"/>
  <c r="X172" i="15" s="1"/>
  <c r="BE172" i="15" s="1"/>
  <c r="Y172" i="15"/>
  <c r="AB172" i="15"/>
  <c r="S173" i="15"/>
  <c r="V173" i="15" s="1"/>
  <c r="W173" i="15" s="1"/>
  <c r="U173" i="15" a="1"/>
  <c r="U173" i="15" s="1"/>
  <c r="X173" i="15" s="1"/>
  <c r="BE173" i="15" s="1"/>
  <c r="BG173" i="15" s="1"/>
  <c r="Y173" i="15"/>
  <c r="AB173" i="15"/>
  <c r="S174" i="15"/>
  <c r="V174" i="15" s="1"/>
  <c r="W174" i="15" s="1"/>
  <c r="U174" i="15" a="1"/>
  <c r="U174" i="15" s="1"/>
  <c r="X174" i="15" s="1"/>
  <c r="BE174" i="15" s="1"/>
  <c r="BG174" i="15" s="1"/>
  <c r="Y174" i="15"/>
  <c r="AB174" i="15"/>
  <c r="S175" i="15"/>
  <c r="U175" i="15" a="1"/>
  <c r="U175" i="15" s="1"/>
  <c r="X175" i="15" s="1"/>
  <c r="BE175" i="15" s="1"/>
  <c r="Y175" i="15"/>
  <c r="AB175" i="15"/>
  <c r="S176" i="15"/>
  <c r="T176" i="15" s="1"/>
  <c r="U176" i="15" a="1"/>
  <c r="U176" i="15" s="1"/>
  <c r="X176" i="15" s="1"/>
  <c r="BE176" i="15" s="1"/>
  <c r="Y176" i="15"/>
  <c r="AB176" i="15"/>
  <c r="S177" i="15"/>
  <c r="V177" i="15" s="1"/>
  <c r="W177" i="15" s="1"/>
  <c r="U177" i="15" a="1"/>
  <c r="U177" i="15" s="1"/>
  <c r="X177" i="15" s="1"/>
  <c r="Y177" i="15"/>
  <c r="AB177" i="15"/>
  <c r="S178" i="15"/>
  <c r="U178" i="15" a="1"/>
  <c r="U178" i="15" s="1"/>
  <c r="X178" i="15" s="1"/>
  <c r="BE178" i="15" s="1"/>
  <c r="Y178" i="15"/>
  <c r="AB178" i="15"/>
  <c r="S179" i="15"/>
  <c r="T179" i="15" s="1"/>
  <c r="U179" i="15" a="1"/>
  <c r="U179" i="15" s="1"/>
  <c r="X179" i="15" s="1"/>
  <c r="BE179" i="15" s="1"/>
  <c r="Y179" i="15"/>
  <c r="AB179" i="15"/>
  <c r="S180" i="15"/>
  <c r="V180" i="15" s="1"/>
  <c r="W180" i="15" s="1"/>
  <c r="U180" i="15" a="1"/>
  <c r="U180" i="15" s="1"/>
  <c r="X180" i="15" s="1"/>
  <c r="BE180" i="15" s="1"/>
  <c r="Y180" i="15"/>
  <c r="AB180" i="15"/>
  <c r="S181" i="15"/>
  <c r="T181" i="15" s="1"/>
  <c r="U181" i="15" a="1"/>
  <c r="U181" i="15" s="1"/>
  <c r="X181" i="15" s="1"/>
  <c r="Y181" i="15"/>
  <c r="AB181" i="15"/>
  <c r="S182" i="15"/>
  <c r="V182" i="15" s="1"/>
  <c r="W182" i="15" s="1"/>
  <c r="U182" i="15" a="1"/>
  <c r="U182" i="15" s="1"/>
  <c r="X182" i="15" s="1"/>
  <c r="Y182" i="15"/>
  <c r="AB182" i="15"/>
  <c r="S183" i="15"/>
  <c r="U183" i="15" a="1"/>
  <c r="U183" i="15" s="1"/>
  <c r="X183" i="15" s="1"/>
  <c r="Y183" i="15"/>
  <c r="AB183" i="15"/>
  <c r="S184" i="15"/>
  <c r="V184" i="15" s="1"/>
  <c r="U184" i="15" a="1"/>
  <c r="U184" i="15" s="1"/>
  <c r="X184" i="15" s="1"/>
  <c r="BE184" i="15" s="1"/>
  <c r="Y184" i="15"/>
  <c r="AB184" i="15"/>
  <c r="S185" i="15"/>
  <c r="U185" i="15" a="1"/>
  <c r="U185" i="15" s="1"/>
  <c r="X185" i="15" s="1"/>
  <c r="Y185" i="15"/>
  <c r="AB185" i="15"/>
  <c r="S186" i="15"/>
  <c r="T186" i="15" s="1"/>
  <c r="U186" i="15" a="1"/>
  <c r="U186" i="15" s="1"/>
  <c r="X186" i="15" s="1"/>
  <c r="BE186" i="15" s="1"/>
  <c r="Y186" i="15"/>
  <c r="AB186" i="15"/>
  <c r="S187" i="15"/>
  <c r="T187" i="15" s="1"/>
  <c r="U187" i="15" a="1"/>
  <c r="U187" i="15" s="1"/>
  <c r="X187" i="15" s="1"/>
  <c r="Y187" i="15"/>
  <c r="AB187" i="15"/>
  <c r="S188" i="15"/>
  <c r="U188" i="15" a="1"/>
  <c r="U188" i="15" s="1"/>
  <c r="X188" i="15" s="1"/>
  <c r="BE188" i="15" s="1"/>
  <c r="Y188" i="15"/>
  <c r="AB188" i="15"/>
  <c r="S189" i="15"/>
  <c r="U189" i="15" a="1"/>
  <c r="U189" i="15" s="1"/>
  <c r="X189" i="15" s="1"/>
  <c r="Y189" i="15"/>
  <c r="AB189" i="15"/>
  <c r="S190" i="15"/>
  <c r="U190" i="15" a="1"/>
  <c r="U190" i="15" s="1"/>
  <c r="X190" i="15" s="1"/>
  <c r="Y190" i="15"/>
  <c r="AB190" i="15"/>
  <c r="S191" i="15"/>
  <c r="V191" i="15" s="1"/>
  <c r="W191" i="15" s="1"/>
  <c r="U191" i="15" a="1"/>
  <c r="U191" i="15" s="1"/>
  <c r="X191" i="15" s="1"/>
  <c r="BE191" i="15" s="1"/>
  <c r="Y191" i="15"/>
  <c r="AB191" i="15"/>
  <c r="S192" i="15"/>
  <c r="T192" i="15" s="1"/>
  <c r="U192" i="15" a="1"/>
  <c r="U192" i="15" s="1"/>
  <c r="X192" i="15" s="1"/>
  <c r="BE192" i="15" s="1"/>
  <c r="Y192" i="15"/>
  <c r="AB192" i="15"/>
  <c r="S193" i="15"/>
  <c r="V193" i="15" s="1"/>
  <c r="W193" i="15" s="1"/>
  <c r="U193" i="15" a="1"/>
  <c r="U193" i="15" s="1"/>
  <c r="X193" i="15" s="1"/>
  <c r="Y193" i="15"/>
  <c r="AB193" i="15"/>
  <c r="S194" i="15"/>
  <c r="T194" i="15" s="1"/>
  <c r="U194" i="15" a="1"/>
  <c r="U194" i="15" s="1"/>
  <c r="X194" i="15" s="1"/>
  <c r="Y194" i="15"/>
  <c r="AB194" i="15"/>
  <c r="S195" i="15"/>
  <c r="V195" i="15" s="1"/>
  <c r="W195" i="15" s="1"/>
  <c r="U195" i="15" a="1"/>
  <c r="U195" i="15" s="1"/>
  <c r="X195" i="15" s="1"/>
  <c r="Y195" i="15"/>
  <c r="AB195" i="15"/>
  <c r="S196" i="15"/>
  <c r="U196" i="15" a="1"/>
  <c r="U196" i="15" s="1"/>
  <c r="X196" i="15" s="1"/>
  <c r="Y196" i="15"/>
  <c r="AB196" i="15"/>
  <c r="S197" i="15"/>
  <c r="U197" i="15" a="1"/>
  <c r="U197" i="15" s="1"/>
  <c r="X197" i="15" s="1"/>
  <c r="BE197" i="15" s="1"/>
  <c r="Y197" i="15"/>
  <c r="AB197" i="15"/>
  <c r="S198" i="15"/>
  <c r="V198" i="15" s="1"/>
  <c r="W198" i="15" s="1"/>
  <c r="U198" i="15" a="1"/>
  <c r="U198" i="15" s="1"/>
  <c r="X198" i="15" s="1"/>
  <c r="BE198" i="15" s="1"/>
  <c r="Y198" i="15"/>
  <c r="AB198" i="15"/>
  <c r="S199" i="15"/>
  <c r="T199" i="15" s="1"/>
  <c r="U199" i="15" a="1"/>
  <c r="U199" i="15" s="1"/>
  <c r="X199" i="15" s="1"/>
  <c r="Y199" i="15"/>
  <c r="AB199" i="15"/>
  <c r="S200" i="15"/>
  <c r="U200" i="15" a="1"/>
  <c r="U200" i="15" s="1"/>
  <c r="X200" i="15" s="1"/>
  <c r="BE200" i="15" s="1"/>
  <c r="Y200" i="15"/>
  <c r="AB200" i="15"/>
  <c r="S201" i="15"/>
  <c r="T201" i="15" s="1"/>
  <c r="U201" i="15" a="1"/>
  <c r="U201" i="15" s="1"/>
  <c r="X201" i="15" s="1"/>
  <c r="BE201" i="15" s="1"/>
  <c r="Y201" i="15"/>
  <c r="AB201" i="15"/>
  <c r="S202" i="15"/>
  <c r="U202" i="15" a="1"/>
  <c r="U202" i="15" s="1"/>
  <c r="X202" i="15" s="1"/>
  <c r="BE202" i="15" s="1"/>
  <c r="Y202" i="15"/>
  <c r="AB202" i="15"/>
  <c r="S203" i="15"/>
  <c r="V203" i="15" s="1"/>
  <c r="W203" i="15" s="1"/>
  <c r="U203" i="15" a="1"/>
  <c r="U203" i="15" s="1"/>
  <c r="X203" i="15" s="1"/>
  <c r="BE203" i="15" s="1"/>
  <c r="Y203" i="15"/>
  <c r="AB203" i="15"/>
  <c r="S204" i="15"/>
  <c r="V204" i="15" s="1"/>
  <c r="U204" i="15" a="1"/>
  <c r="U204" i="15" s="1"/>
  <c r="X204" i="15" s="1"/>
  <c r="BE204" i="15" s="1"/>
  <c r="Y204" i="15"/>
  <c r="AB204" i="15"/>
  <c r="S205" i="15"/>
  <c r="V205" i="15" s="1"/>
  <c r="W205" i="15" s="1"/>
  <c r="U205" i="15" a="1"/>
  <c r="U205" i="15" s="1"/>
  <c r="X205" i="15" s="1"/>
  <c r="BE205" i="15" s="1"/>
  <c r="Y205" i="15"/>
  <c r="AB205" i="15"/>
  <c r="S206" i="15"/>
  <c r="U206" i="15" a="1"/>
  <c r="U206" i="15" s="1"/>
  <c r="X206" i="15" s="1"/>
  <c r="BE206" i="15" s="1"/>
  <c r="Y206" i="15"/>
  <c r="AB206" i="15"/>
  <c r="S207" i="15"/>
  <c r="U207" i="15" a="1"/>
  <c r="U207" i="15" s="1"/>
  <c r="X207" i="15" s="1"/>
  <c r="BE207" i="15" s="1"/>
  <c r="Y207" i="15"/>
  <c r="AB207" i="15"/>
  <c r="S208" i="15"/>
  <c r="U208" i="15" a="1"/>
  <c r="U208" i="15" s="1"/>
  <c r="X208" i="15" s="1"/>
  <c r="BE208" i="15" s="1"/>
  <c r="Y208" i="15"/>
  <c r="AB208" i="15"/>
  <c r="S209" i="15"/>
  <c r="T209" i="15" s="1"/>
  <c r="U209" i="15" a="1"/>
  <c r="U209" i="15" s="1"/>
  <c r="X209" i="15" s="1"/>
  <c r="BE209" i="15" s="1"/>
  <c r="Y209" i="15"/>
  <c r="AB209" i="15"/>
  <c r="S210" i="15"/>
  <c r="V210" i="15" s="1"/>
  <c r="W210" i="15" s="1"/>
  <c r="U210" i="15" a="1"/>
  <c r="U210" i="15" s="1"/>
  <c r="X210" i="15" s="1"/>
  <c r="BE210" i="15" s="1"/>
  <c r="Y210" i="15"/>
  <c r="AB210" i="15"/>
  <c r="S211" i="15"/>
  <c r="T211" i="15" s="1"/>
  <c r="U211" i="15" a="1"/>
  <c r="U211" i="15" s="1"/>
  <c r="X211" i="15" s="1"/>
  <c r="BE211" i="15" s="1"/>
  <c r="Y211" i="15"/>
  <c r="AB211" i="15"/>
  <c r="S212" i="15"/>
  <c r="T212" i="15" s="1"/>
  <c r="U212" i="15" a="1"/>
  <c r="U212" i="15" s="1"/>
  <c r="X212" i="15" s="1"/>
  <c r="BE212" i="15" s="1"/>
  <c r="Y212" i="15"/>
  <c r="AB212" i="15"/>
  <c r="S213" i="15"/>
  <c r="U213" i="15" a="1"/>
  <c r="U213" i="15" s="1"/>
  <c r="X213" i="15" s="1"/>
  <c r="BE213" i="15" s="1"/>
  <c r="Y213" i="15"/>
  <c r="AB213" i="15"/>
  <c r="S214" i="15"/>
  <c r="V214" i="15" s="1"/>
  <c r="W214" i="15" s="1"/>
  <c r="U214" i="15" a="1"/>
  <c r="U214" i="15" s="1"/>
  <c r="X214" i="15" s="1"/>
  <c r="BE214" i="15" s="1"/>
  <c r="Y214" i="15"/>
  <c r="AB214" i="15"/>
  <c r="S215" i="15"/>
  <c r="V215" i="15" s="1"/>
  <c r="W215" i="15" s="1"/>
  <c r="U215" i="15" a="1"/>
  <c r="U215" i="15" s="1"/>
  <c r="X215" i="15" s="1"/>
  <c r="BE215" i="15" s="1"/>
  <c r="BG215" i="15" s="1"/>
  <c r="Y215" i="15"/>
  <c r="AB215" i="15"/>
  <c r="S216" i="15"/>
  <c r="U216" i="15" a="1"/>
  <c r="U216" i="15" s="1"/>
  <c r="X216" i="15" s="1"/>
  <c r="Y216" i="15"/>
  <c r="AB216" i="15"/>
  <c r="S217" i="15"/>
  <c r="V217" i="15" s="1"/>
  <c r="W217" i="15" s="1"/>
  <c r="U217" i="15" a="1"/>
  <c r="U217" i="15" s="1"/>
  <c r="X217" i="15" s="1"/>
  <c r="BE217" i="15" s="1"/>
  <c r="Y217" i="15"/>
  <c r="AB217" i="15"/>
  <c r="S218" i="15"/>
  <c r="V218" i="15" s="1"/>
  <c r="U218" i="15" a="1"/>
  <c r="U218" i="15" s="1"/>
  <c r="X218" i="15" s="1"/>
  <c r="BE218" i="15" s="1"/>
  <c r="BG218" i="15" s="1"/>
  <c r="Y218" i="15"/>
  <c r="AB218" i="15"/>
  <c r="S219" i="15"/>
  <c r="V219" i="15" s="1"/>
  <c r="U219" i="15" a="1"/>
  <c r="U219" i="15" s="1"/>
  <c r="X219" i="15" s="1"/>
  <c r="BE219" i="15" s="1"/>
  <c r="Y219" i="15"/>
  <c r="AB219" i="15"/>
  <c r="S220" i="15"/>
  <c r="V220" i="15" s="1"/>
  <c r="U220" i="15" a="1"/>
  <c r="U220" i="15" s="1"/>
  <c r="X220" i="15" s="1"/>
  <c r="BE220" i="15" s="1"/>
  <c r="Y220" i="15"/>
  <c r="AB220" i="15"/>
  <c r="S221" i="15"/>
  <c r="U221" i="15" a="1"/>
  <c r="U221" i="15" s="1"/>
  <c r="X221" i="15" s="1"/>
  <c r="BE221" i="15" s="1"/>
  <c r="Y221" i="15"/>
  <c r="AB221" i="15"/>
  <c r="S222" i="15"/>
  <c r="V222" i="15" s="1"/>
  <c r="W222" i="15" s="1"/>
  <c r="U222" i="15" a="1"/>
  <c r="U222" i="15" s="1"/>
  <c r="X222" i="15" s="1"/>
  <c r="BE222" i="15" s="1"/>
  <c r="Y222" i="15"/>
  <c r="AB222" i="15"/>
  <c r="S223" i="15"/>
  <c r="U223" i="15" a="1"/>
  <c r="U223" i="15" s="1"/>
  <c r="X223" i="15" s="1"/>
  <c r="BE223" i="15" s="1"/>
  <c r="Y223" i="15"/>
  <c r="AB223" i="15"/>
  <c r="S224" i="15"/>
  <c r="U224" i="15" a="1"/>
  <c r="U224" i="15" s="1"/>
  <c r="X224" i="15" s="1"/>
  <c r="BE224" i="15" s="1"/>
  <c r="Y224" i="15"/>
  <c r="AB224" i="15"/>
  <c r="S225" i="15"/>
  <c r="T225" i="15" s="1"/>
  <c r="U225" i="15" a="1"/>
  <c r="U225" i="15" s="1"/>
  <c r="X225" i="15" s="1"/>
  <c r="BE225" i="15" s="1"/>
  <c r="Y225" i="15"/>
  <c r="AB225" i="15"/>
  <c r="S226" i="15"/>
  <c r="V226" i="15" s="1"/>
  <c r="W226" i="15" s="1"/>
  <c r="U226" i="15" a="1"/>
  <c r="U226" i="15" s="1"/>
  <c r="X226" i="15" s="1"/>
  <c r="Y226" i="15"/>
  <c r="AB226" i="15"/>
  <c r="S227" i="15"/>
  <c r="T227" i="15" s="1"/>
  <c r="U227" i="15" a="1"/>
  <c r="U227" i="15" s="1"/>
  <c r="X227" i="15" s="1"/>
  <c r="Y227" i="15"/>
  <c r="AB227" i="15"/>
  <c r="S228" i="15"/>
  <c r="V228" i="15" s="1"/>
  <c r="U228" i="15" a="1"/>
  <c r="U228" i="15" s="1"/>
  <c r="X228" i="15" s="1"/>
  <c r="BE228" i="15" s="1"/>
  <c r="Y228" i="15"/>
  <c r="AB228" i="15"/>
  <c r="S229" i="15"/>
  <c r="U229" i="15" a="1"/>
  <c r="U229" i="15" s="1"/>
  <c r="X229" i="15" s="1"/>
  <c r="BE229" i="15" s="1"/>
  <c r="Y229" i="15"/>
  <c r="AB229" i="15"/>
  <c r="S230" i="15"/>
  <c r="T230" i="15" s="1"/>
  <c r="U230" i="15" a="1"/>
  <c r="U230" i="15" s="1"/>
  <c r="X230" i="15" s="1"/>
  <c r="Y230" i="15"/>
  <c r="AB230" i="15"/>
  <c r="S231" i="15"/>
  <c r="V231" i="15" s="1"/>
  <c r="W231" i="15" s="1"/>
  <c r="U231" i="15" a="1"/>
  <c r="U231" i="15" s="1"/>
  <c r="X231" i="15" s="1"/>
  <c r="BE231" i="15" s="1"/>
  <c r="Y231" i="15"/>
  <c r="AB231" i="15"/>
  <c r="S232" i="15"/>
  <c r="V232" i="15" s="1"/>
  <c r="W232" i="15" s="1"/>
  <c r="U232" i="15" a="1"/>
  <c r="U232" i="15" s="1"/>
  <c r="X232" i="15" s="1"/>
  <c r="BE232" i="15" s="1"/>
  <c r="Y232" i="15"/>
  <c r="AB232" i="15"/>
  <c r="S233" i="15"/>
  <c r="U233" i="15" a="1"/>
  <c r="U233" i="15" s="1"/>
  <c r="X233" i="15" s="1"/>
  <c r="BE233" i="15" s="1"/>
  <c r="Y233" i="15"/>
  <c r="AB233" i="15"/>
  <c r="S234" i="15"/>
  <c r="T234" i="15" s="1"/>
  <c r="U234" i="15" a="1"/>
  <c r="U234" i="15" s="1"/>
  <c r="X234" i="15" s="1"/>
  <c r="BE234" i="15" s="1"/>
  <c r="Y234" i="15"/>
  <c r="AB234" i="15"/>
  <c r="S235" i="15"/>
  <c r="U235" i="15" a="1"/>
  <c r="U235" i="15" s="1"/>
  <c r="X235" i="15" s="1"/>
  <c r="Y235" i="15"/>
  <c r="AB235" i="15"/>
  <c r="S236" i="15"/>
  <c r="V236" i="15" s="1"/>
  <c r="W236" i="15" s="1"/>
  <c r="U236" i="15" a="1"/>
  <c r="U236" i="15" s="1"/>
  <c r="X236" i="15" s="1"/>
  <c r="Y236" i="15"/>
  <c r="AB236" i="15"/>
  <c r="S237" i="15"/>
  <c r="T237" i="15" s="1"/>
  <c r="U237" i="15" a="1"/>
  <c r="U237" i="15" s="1"/>
  <c r="X237" i="15" s="1"/>
  <c r="Y237" i="15"/>
  <c r="AB237" i="15"/>
  <c r="S238" i="15"/>
  <c r="U238" i="15" a="1"/>
  <c r="U238" i="15" s="1"/>
  <c r="X238" i="15" s="1"/>
  <c r="BE238" i="15" s="1"/>
  <c r="Y238" i="15"/>
  <c r="AB238" i="15"/>
  <c r="S239" i="15"/>
  <c r="V239" i="15" s="1"/>
  <c r="W239" i="15" s="1"/>
  <c r="U239" i="15" a="1"/>
  <c r="U239" i="15" s="1"/>
  <c r="X239" i="15" s="1"/>
  <c r="Y239" i="15"/>
  <c r="AB239" i="15"/>
  <c r="S240" i="15"/>
  <c r="V240" i="15" s="1"/>
  <c r="W240" i="15" s="1"/>
  <c r="U240" i="15" a="1"/>
  <c r="U240" i="15" s="1"/>
  <c r="X240" i="15" s="1"/>
  <c r="BE240" i="15" s="1"/>
  <c r="BG240" i="15" s="1"/>
  <c r="Y240" i="15"/>
  <c r="AB240" i="15"/>
  <c r="S241" i="15"/>
  <c r="T241" i="15" s="1"/>
  <c r="U241" i="15" a="1"/>
  <c r="U241" i="15" s="1"/>
  <c r="X241" i="15" s="1"/>
  <c r="BE241" i="15" s="1"/>
  <c r="Y241" i="15"/>
  <c r="AB241" i="15"/>
  <c r="S242" i="15"/>
  <c r="U242" i="15" a="1"/>
  <c r="U242" i="15" s="1"/>
  <c r="X242" i="15" s="1"/>
  <c r="BE242" i="15" s="1"/>
  <c r="Y242" i="15"/>
  <c r="AB242" i="15"/>
  <c r="S243" i="15"/>
  <c r="V243" i="15" s="1"/>
  <c r="W243" i="15" s="1"/>
  <c r="U243" i="15" a="1"/>
  <c r="U243" i="15" s="1"/>
  <c r="X243" i="15" s="1"/>
  <c r="Y243" i="15"/>
  <c r="AB243" i="15"/>
  <c r="S244" i="15"/>
  <c r="V244" i="15" s="1"/>
  <c r="W244" i="15" s="1"/>
  <c r="U244" i="15" a="1"/>
  <c r="U244" i="15" s="1"/>
  <c r="X244" i="15" s="1"/>
  <c r="BE244" i="15" s="1"/>
  <c r="Y244" i="15"/>
  <c r="AB244" i="15"/>
  <c r="S245" i="15"/>
  <c r="T245" i="15" s="1"/>
  <c r="U245" i="15" a="1"/>
  <c r="U245" i="15" s="1"/>
  <c r="X245" i="15" s="1"/>
  <c r="Y245" i="15"/>
  <c r="AB245" i="15"/>
  <c r="S246" i="15"/>
  <c r="V246" i="15" s="1"/>
  <c r="U246" i="15" a="1"/>
  <c r="U246" i="15" s="1"/>
  <c r="X246" i="15" s="1"/>
  <c r="Y246" i="15"/>
  <c r="AB246" i="15"/>
  <c r="S247" i="15"/>
  <c r="V247" i="15" s="1"/>
  <c r="W247" i="15" s="1"/>
  <c r="U247" i="15" a="1"/>
  <c r="U247" i="15" s="1"/>
  <c r="X247" i="15" s="1"/>
  <c r="BE247" i="15" s="1"/>
  <c r="Y247" i="15"/>
  <c r="AB247" i="15"/>
  <c r="S248" i="15"/>
  <c r="V248" i="15" s="1"/>
  <c r="W248" i="15" s="1"/>
  <c r="U248" i="15" a="1"/>
  <c r="U248" i="15" s="1"/>
  <c r="X248" i="15" s="1"/>
  <c r="BE248" i="15" s="1"/>
  <c r="BG248" i="15" s="1"/>
  <c r="Y248" i="15"/>
  <c r="AB248" i="15"/>
  <c r="S249" i="15"/>
  <c r="V249" i="15" s="1"/>
  <c r="U249" i="15" a="1"/>
  <c r="U249" i="15" s="1"/>
  <c r="X249" i="15" s="1"/>
  <c r="BE249" i="15" s="1"/>
  <c r="Y249" i="15"/>
  <c r="AB249" i="15"/>
  <c r="S250" i="15"/>
  <c r="T250" i="15" s="1"/>
  <c r="U250" i="15" a="1"/>
  <c r="U250" i="15" s="1"/>
  <c r="X250" i="15" s="1"/>
  <c r="BE250" i="15" s="1"/>
  <c r="Y250" i="15"/>
  <c r="AB250" i="15"/>
  <c r="S251" i="15"/>
  <c r="T251" i="15" s="1"/>
  <c r="U251" i="15" a="1"/>
  <c r="U251" i="15" s="1"/>
  <c r="X251" i="15" s="1"/>
  <c r="BE251" i="15" s="1"/>
  <c r="Y251" i="15"/>
  <c r="AB251" i="15"/>
  <c r="S252" i="15"/>
  <c r="V252" i="15" s="1"/>
  <c r="W252" i="15" s="1"/>
  <c r="U252" i="15" a="1"/>
  <c r="U252" i="15" s="1"/>
  <c r="X252" i="15" s="1"/>
  <c r="BE252" i="15" s="1"/>
  <c r="Y252" i="15"/>
  <c r="AB252" i="15"/>
  <c r="S253" i="15"/>
  <c r="T253" i="15" s="1"/>
  <c r="U253" i="15" a="1"/>
  <c r="U253" i="15" s="1"/>
  <c r="X253" i="15" s="1"/>
  <c r="Y253" i="15"/>
  <c r="AB253" i="15"/>
  <c r="S254" i="15"/>
  <c r="V254" i="15" s="1"/>
  <c r="U254" i="15" a="1"/>
  <c r="U254" i="15" s="1"/>
  <c r="X254" i="15" s="1"/>
  <c r="BE254" i="15" s="1"/>
  <c r="Y254" i="15"/>
  <c r="AB254" i="15"/>
  <c r="S255" i="15"/>
  <c r="V255" i="15" s="1"/>
  <c r="W255" i="15" s="1"/>
  <c r="U255" i="15" a="1"/>
  <c r="U255" i="15" s="1"/>
  <c r="X255" i="15" s="1"/>
  <c r="BE255" i="15" s="1"/>
  <c r="BG255" i="15" s="1"/>
  <c r="Y255" i="15"/>
  <c r="AB255" i="15"/>
  <c r="S256" i="15"/>
  <c r="U256" i="15" a="1"/>
  <c r="U256" i="15" s="1"/>
  <c r="X256" i="15" s="1"/>
  <c r="BE256" i="15" s="1"/>
  <c r="Y256" i="15"/>
  <c r="AB256" i="15"/>
  <c r="S257" i="15"/>
  <c r="T257" i="15" s="1"/>
  <c r="U257" i="15" a="1"/>
  <c r="U257" i="15" s="1"/>
  <c r="X257" i="15" s="1"/>
  <c r="BE257" i="15" s="1"/>
  <c r="Y257" i="15"/>
  <c r="AB257" i="15"/>
  <c r="S258" i="15"/>
  <c r="U258" i="15" a="1"/>
  <c r="U258" i="15" s="1"/>
  <c r="X258" i="15" s="1"/>
  <c r="BE258" i="15" s="1"/>
  <c r="Y258" i="15"/>
  <c r="AB258" i="15"/>
  <c r="S259" i="15"/>
  <c r="U259" i="15" a="1"/>
  <c r="U259" i="15" s="1"/>
  <c r="X259" i="15" s="1"/>
  <c r="BE259" i="15" s="1"/>
  <c r="Y259" i="15"/>
  <c r="AB259" i="15"/>
  <c r="S260" i="15"/>
  <c r="T260" i="15" s="1"/>
  <c r="U260" i="15" a="1"/>
  <c r="U260" i="15" s="1"/>
  <c r="X260" i="15" s="1"/>
  <c r="BE260" i="15" s="1"/>
  <c r="Y260" i="15"/>
  <c r="AB260" i="15"/>
  <c r="S261" i="15"/>
  <c r="T261" i="15" s="1"/>
  <c r="U261" i="15" a="1"/>
  <c r="U261" i="15" s="1"/>
  <c r="X261" i="15" s="1"/>
  <c r="BE261" i="15" s="1"/>
  <c r="Y261" i="15"/>
  <c r="AB261" i="15"/>
  <c r="S262" i="15"/>
  <c r="U262" i="15" a="1"/>
  <c r="U262" i="15" s="1"/>
  <c r="X262" i="15" s="1"/>
  <c r="BE262" i="15" s="1"/>
  <c r="Y262" i="15"/>
  <c r="AB262" i="15"/>
  <c r="S263" i="15"/>
  <c r="U263" i="15" a="1"/>
  <c r="U263" i="15" s="1"/>
  <c r="X263" i="15" s="1"/>
  <c r="Y263" i="15"/>
  <c r="AB263" i="15"/>
  <c r="S264" i="15"/>
  <c r="U264" i="15" a="1"/>
  <c r="U264" i="15" s="1"/>
  <c r="X264" i="15" s="1"/>
  <c r="BE264" i="15" s="1"/>
  <c r="Y264" i="15"/>
  <c r="AB264" i="15"/>
  <c r="S265" i="15"/>
  <c r="U265" i="15" a="1"/>
  <c r="U265" i="15" s="1"/>
  <c r="X265" i="15" s="1"/>
  <c r="BE265" i="15" s="1"/>
  <c r="Y265" i="15"/>
  <c r="AB265" i="15"/>
  <c r="S266" i="15"/>
  <c r="V266" i="15" s="1"/>
  <c r="W266" i="15" s="1"/>
  <c r="U266" i="15" a="1"/>
  <c r="U266" i="15" s="1"/>
  <c r="X266" i="15" s="1"/>
  <c r="Y266" i="15"/>
  <c r="AB266" i="15"/>
  <c r="S267" i="15"/>
  <c r="T267" i="15" s="1"/>
  <c r="U267" i="15" a="1"/>
  <c r="U267" i="15" s="1"/>
  <c r="X267" i="15" s="1"/>
  <c r="BE267" i="15" s="1"/>
  <c r="Y267" i="15"/>
  <c r="AB267" i="15"/>
  <c r="S268" i="15"/>
  <c r="V268" i="15" s="1"/>
  <c r="W268" i="15" s="1"/>
  <c r="U268" i="15" a="1"/>
  <c r="U268" i="15" s="1"/>
  <c r="X268" i="15" s="1"/>
  <c r="BE268" i="15" s="1"/>
  <c r="Y268" i="15"/>
  <c r="AB268" i="15"/>
  <c r="S269" i="15"/>
  <c r="T269" i="15" s="1"/>
  <c r="U269" i="15" a="1"/>
  <c r="U269" i="15" s="1"/>
  <c r="X269" i="15" s="1"/>
  <c r="BE269" i="15" s="1"/>
  <c r="Y269" i="15"/>
  <c r="AB269" i="15"/>
  <c r="S270" i="15"/>
  <c r="V270" i="15" s="1"/>
  <c r="W270" i="15" s="1"/>
  <c r="U270" i="15" a="1"/>
  <c r="U270" i="15" s="1"/>
  <c r="X270" i="15" s="1"/>
  <c r="BE270" i="15" s="1"/>
  <c r="BG270" i="15" s="1"/>
  <c r="Y270" i="15"/>
  <c r="AB270" i="15"/>
  <c r="S271" i="15"/>
  <c r="V271" i="15" s="1"/>
  <c r="W271" i="15" s="1"/>
  <c r="U271" i="15" a="1"/>
  <c r="U271" i="15" s="1"/>
  <c r="X271" i="15" s="1"/>
  <c r="BE271" i="15" s="1"/>
  <c r="Y271" i="15"/>
  <c r="AB271" i="15"/>
  <c r="S272" i="15"/>
  <c r="T272" i="15" s="1"/>
  <c r="U272" i="15" a="1"/>
  <c r="U272" i="15" s="1"/>
  <c r="X272" i="15" s="1"/>
  <c r="Y272" i="15"/>
  <c r="AB272" i="15"/>
  <c r="S273" i="15"/>
  <c r="U273" i="15" a="1"/>
  <c r="U273" i="15" s="1"/>
  <c r="X273" i="15" s="1"/>
  <c r="BE273" i="15" s="1"/>
  <c r="Y273" i="15"/>
  <c r="AB273" i="15"/>
  <c r="S274" i="15"/>
  <c r="V274" i="15" s="1"/>
  <c r="U274" i="15" a="1"/>
  <c r="U274" i="15" s="1"/>
  <c r="X274" i="15" s="1"/>
  <c r="BE274" i="15" s="1"/>
  <c r="Y274" i="15"/>
  <c r="AB274" i="15"/>
  <c r="S275" i="15"/>
  <c r="U275" i="15" a="1"/>
  <c r="U275" i="15" s="1"/>
  <c r="X275" i="15" s="1"/>
  <c r="BE275" i="15" s="1"/>
  <c r="Y275" i="15"/>
  <c r="AB275" i="15"/>
  <c r="S276" i="15"/>
  <c r="T276" i="15" s="1"/>
  <c r="U276" i="15" a="1"/>
  <c r="U276" i="15" s="1"/>
  <c r="X276" i="15" s="1"/>
  <c r="Y276" i="15"/>
  <c r="AB276" i="15"/>
  <c r="S277" i="15"/>
  <c r="U277" i="15" a="1"/>
  <c r="U277" i="15" s="1"/>
  <c r="X277" i="15" s="1"/>
  <c r="BE277" i="15" s="1"/>
  <c r="Y277" i="15"/>
  <c r="AB277" i="15"/>
  <c r="S278" i="15"/>
  <c r="T278" i="15" s="1"/>
  <c r="U278" i="15" a="1"/>
  <c r="U278" i="15" s="1"/>
  <c r="X278" i="15" s="1"/>
  <c r="BE278" i="15" s="1"/>
  <c r="Y278" i="15"/>
  <c r="AB278" i="15"/>
  <c r="S279" i="15"/>
  <c r="U279" i="15" a="1"/>
  <c r="U279" i="15" s="1"/>
  <c r="X279" i="15" s="1"/>
  <c r="Y279" i="15"/>
  <c r="AB279" i="15"/>
  <c r="S280" i="15"/>
  <c r="V280" i="15" s="1"/>
  <c r="W280" i="15" s="1"/>
  <c r="U280" i="15" a="1"/>
  <c r="U280" i="15" s="1"/>
  <c r="X280" i="15" s="1"/>
  <c r="BE280" i="15" s="1"/>
  <c r="Y280" i="15"/>
  <c r="AB280" i="15"/>
  <c r="S281" i="15"/>
  <c r="U281" i="15" a="1"/>
  <c r="U281" i="15" s="1"/>
  <c r="X281" i="15" s="1"/>
  <c r="Y281" i="15"/>
  <c r="AB281" i="15"/>
  <c r="S282" i="15"/>
  <c r="T282" i="15" s="1"/>
  <c r="U282" i="15" a="1"/>
  <c r="U282" i="15" s="1"/>
  <c r="X282" i="15" s="1"/>
  <c r="BE282" i="15" s="1"/>
  <c r="Y282" i="15"/>
  <c r="AB282" i="15"/>
  <c r="S283" i="15"/>
  <c r="V283" i="15" s="1"/>
  <c r="U283" i="15" a="1"/>
  <c r="U283" i="15" s="1"/>
  <c r="X283" i="15" s="1"/>
  <c r="Y283" i="15"/>
  <c r="AB283" i="15"/>
  <c r="S284" i="15"/>
  <c r="U284" i="15" a="1"/>
  <c r="U284" i="15" s="1"/>
  <c r="X284" i="15" s="1"/>
  <c r="BE284" i="15" s="1"/>
  <c r="Y284" i="15"/>
  <c r="AB284" i="15"/>
  <c r="S285" i="15"/>
  <c r="U285" i="15" a="1"/>
  <c r="U285" i="15" s="1"/>
  <c r="X285" i="15" s="1"/>
  <c r="Y285" i="15"/>
  <c r="AB285" i="15"/>
  <c r="S286" i="15"/>
  <c r="T286" i="15" s="1"/>
  <c r="U286" i="15" a="1"/>
  <c r="U286" i="15" s="1"/>
  <c r="X286" i="15" s="1"/>
  <c r="BE286" i="15" s="1"/>
  <c r="Y286" i="15"/>
  <c r="AB286" i="15"/>
  <c r="S287" i="15"/>
  <c r="T287" i="15" s="1"/>
  <c r="U287" i="15" a="1"/>
  <c r="U287" i="15" s="1"/>
  <c r="X287" i="15" s="1"/>
  <c r="BE287" i="15" s="1"/>
  <c r="Y287" i="15"/>
  <c r="AB287" i="15"/>
  <c r="S288" i="15"/>
  <c r="U288" i="15" a="1"/>
  <c r="U288" i="15" s="1"/>
  <c r="X288" i="15" s="1"/>
  <c r="BE288" i="15" s="1"/>
  <c r="Y288" i="15"/>
  <c r="AB288" i="15"/>
  <c r="S289" i="15"/>
  <c r="T289" i="15" s="1"/>
  <c r="U289" i="15" a="1"/>
  <c r="U289" i="15" s="1"/>
  <c r="X289" i="15" s="1"/>
  <c r="BE289" i="15" s="1"/>
  <c r="Y289" i="15"/>
  <c r="AB289" i="15"/>
  <c r="S290" i="15"/>
  <c r="V290" i="15" s="1"/>
  <c r="W290" i="15" s="1"/>
  <c r="U290" i="15" a="1"/>
  <c r="U290" i="15" s="1"/>
  <c r="X290" i="15" s="1"/>
  <c r="Y290" i="15"/>
  <c r="AB290" i="15"/>
  <c r="S291" i="15"/>
  <c r="V291" i="15" s="1"/>
  <c r="W291" i="15" s="1"/>
  <c r="U291" i="15" a="1"/>
  <c r="U291" i="15" s="1"/>
  <c r="X291" i="15" s="1"/>
  <c r="BE291" i="15" s="1"/>
  <c r="Y291" i="15"/>
  <c r="AB291" i="15"/>
  <c r="S292" i="15"/>
  <c r="U292" i="15" a="1"/>
  <c r="U292" i="15" s="1"/>
  <c r="X292" i="15" s="1"/>
  <c r="BE292" i="15" s="1"/>
  <c r="Y292" i="15"/>
  <c r="AB292" i="15"/>
  <c r="S293" i="15"/>
  <c r="T293" i="15" s="1"/>
  <c r="U293" i="15" a="1"/>
  <c r="U293" i="15" s="1"/>
  <c r="X293" i="15" s="1"/>
  <c r="BE293" i="15" s="1"/>
  <c r="Y293" i="15"/>
  <c r="AB293" i="15"/>
  <c r="S294" i="15"/>
  <c r="U294" i="15" a="1"/>
  <c r="U294" i="15" s="1"/>
  <c r="X294" i="15" s="1"/>
  <c r="BE294" i="15" s="1"/>
  <c r="Y294" i="15"/>
  <c r="AB294" i="15"/>
  <c r="S295" i="15"/>
  <c r="U295" i="15" a="1"/>
  <c r="U295" i="15" s="1"/>
  <c r="X295" i="15" s="1"/>
  <c r="BE295" i="15" s="1"/>
  <c r="Y295" i="15"/>
  <c r="AB295" i="15"/>
  <c r="S296" i="15"/>
  <c r="U296" i="15" a="1"/>
  <c r="U296" i="15" s="1"/>
  <c r="X296" i="15" s="1"/>
  <c r="Y296" i="15"/>
  <c r="AB296" i="15"/>
  <c r="S297" i="15"/>
  <c r="V297" i="15" s="1"/>
  <c r="W297" i="15" s="1"/>
  <c r="U297" i="15" a="1"/>
  <c r="U297" i="15" s="1"/>
  <c r="X297" i="15" s="1"/>
  <c r="BE297" i="15" s="1"/>
  <c r="Y297" i="15"/>
  <c r="AB297" i="15"/>
  <c r="S298" i="15"/>
  <c r="V298" i="15" s="1"/>
  <c r="W298" i="15" s="1"/>
  <c r="U298" i="15" a="1"/>
  <c r="U298" i="15" s="1"/>
  <c r="X298" i="15" s="1"/>
  <c r="BE298" i="15" s="1"/>
  <c r="Y298" i="15"/>
  <c r="AB298" i="15"/>
  <c r="S299" i="15"/>
  <c r="U299" i="15" a="1"/>
  <c r="U299" i="15" s="1"/>
  <c r="X299" i="15" s="1"/>
  <c r="Y299" i="15"/>
  <c r="AB299" i="15"/>
  <c r="S300" i="15"/>
  <c r="T300" i="15" s="1"/>
  <c r="U300" i="15" a="1"/>
  <c r="U300" i="15" s="1"/>
  <c r="X300" i="15" s="1"/>
  <c r="BE300" i="15" s="1"/>
  <c r="Y300" i="15"/>
  <c r="AB300" i="15"/>
  <c r="S301" i="15"/>
  <c r="V301" i="15" s="1"/>
  <c r="W301" i="15" s="1"/>
  <c r="U301" i="15" a="1"/>
  <c r="U301" i="15" s="1"/>
  <c r="X301" i="15" s="1"/>
  <c r="BE301" i="15" s="1"/>
  <c r="Y301" i="15"/>
  <c r="AB301" i="15"/>
  <c r="S302" i="15"/>
  <c r="V302" i="15" s="1"/>
  <c r="W302" i="15" s="1"/>
  <c r="U302" i="15" a="1"/>
  <c r="U302" i="15" s="1"/>
  <c r="X302" i="15" s="1"/>
  <c r="BE302" i="15" s="1"/>
  <c r="Y302" i="15"/>
  <c r="AB302" i="15"/>
  <c r="S303" i="15"/>
  <c r="U303" i="15" a="1"/>
  <c r="U303" i="15" s="1"/>
  <c r="X303" i="15" s="1"/>
  <c r="Y303" i="15"/>
  <c r="AB303" i="15"/>
  <c r="S304" i="15"/>
  <c r="V304" i="15" s="1"/>
  <c r="W304" i="15" s="1"/>
  <c r="U304" i="15" a="1"/>
  <c r="U304" i="15" s="1"/>
  <c r="X304" i="15" s="1"/>
  <c r="BE304" i="15" s="1"/>
  <c r="Y304" i="15"/>
  <c r="AB304" i="15"/>
  <c r="S305" i="15"/>
  <c r="T305" i="15" s="1"/>
  <c r="U305" i="15" a="1"/>
  <c r="U305" i="15" s="1"/>
  <c r="X305" i="15" s="1"/>
  <c r="BE305" i="15" s="1"/>
  <c r="Y305" i="15"/>
  <c r="AB305" i="15"/>
  <c r="S306" i="15"/>
  <c r="U306" i="15" a="1"/>
  <c r="U306" i="15" s="1"/>
  <c r="X306" i="15" s="1"/>
  <c r="BE306" i="15" s="1"/>
  <c r="Y306" i="15"/>
  <c r="AB306" i="15"/>
  <c r="S307" i="15"/>
  <c r="U307" i="15" a="1"/>
  <c r="U307" i="15" s="1"/>
  <c r="X307" i="15" s="1"/>
  <c r="BE307" i="15" s="1"/>
  <c r="Y307" i="15"/>
  <c r="AB307" i="15"/>
  <c r="S308" i="15"/>
  <c r="T308" i="15" s="1"/>
  <c r="U308" i="15" a="1"/>
  <c r="U308" i="15" s="1"/>
  <c r="X308" i="15" s="1"/>
  <c r="BE308" i="15" s="1"/>
  <c r="Y308" i="15"/>
  <c r="AB308" i="15"/>
  <c r="S309" i="15"/>
  <c r="V309" i="15" s="1"/>
  <c r="U309" i="15" a="1"/>
  <c r="U309" i="15" s="1"/>
  <c r="X309" i="15" s="1"/>
  <c r="BE309" i="15" s="1"/>
  <c r="Y309" i="15"/>
  <c r="AB309" i="15"/>
  <c r="S310" i="15"/>
  <c r="V310" i="15" s="1"/>
  <c r="W310" i="15" s="1"/>
  <c r="U310" i="15" a="1"/>
  <c r="U310" i="15" s="1"/>
  <c r="X310" i="15" s="1"/>
  <c r="BE310" i="15" s="1"/>
  <c r="BG310" i="15" s="1"/>
  <c r="Y310" i="15"/>
  <c r="AB310" i="15"/>
  <c r="S311" i="15"/>
  <c r="T311" i="15" s="1"/>
  <c r="U311" i="15" a="1"/>
  <c r="U311" i="15" s="1"/>
  <c r="X311" i="15" s="1"/>
  <c r="BE311" i="15" s="1"/>
  <c r="Y311" i="15"/>
  <c r="AB311" i="15"/>
  <c r="S312" i="15"/>
  <c r="V312" i="15" s="1"/>
  <c r="U312" i="15" a="1"/>
  <c r="U312" i="15" s="1"/>
  <c r="X312" i="15" s="1"/>
  <c r="BE312" i="15" s="1"/>
  <c r="Y312" i="15"/>
  <c r="AB312" i="15"/>
  <c r="S313" i="15"/>
  <c r="V313" i="15" s="1"/>
  <c r="U313" i="15" a="1"/>
  <c r="U313" i="15" s="1"/>
  <c r="X313" i="15" s="1"/>
  <c r="BE313" i="15" s="1"/>
  <c r="Y313" i="15"/>
  <c r="AB313" i="15"/>
  <c r="S314" i="15"/>
  <c r="V314" i="15" s="1"/>
  <c r="W314" i="15" s="1"/>
  <c r="U314" i="15" a="1"/>
  <c r="U314" i="15" s="1"/>
  <c r="X314" i="15" s="1"/>
  <c r="Y314" i="15"/>
  <c r="AB314" i="15"/>
  <c r="S315" i="15"/>
  <c r="V315" i="15" s="1"/>
  <c r="W315" i="15" s="1"/>
  <c r="U315" i="15" a="1"/>
  <c r="U315" i="15" s="1"/>
  <c r="X315" i="15" s="1"/>
  <c r="Y315" i="15"/>
  <c r="AB315" i="15"/>
  <c r="S316" i="15"/>
  <c r="U316" i="15" a="1"/>
  <c r="U316" i="15" s="1"/>
  <c r="X316" i="15" s="1"/>
  <c r="BE316" i="15" s="1"/>
  <c r="Y316" i="15"/>
  <c r="AB316" i="15"/>
  <c r="S317" i="15"/>
  <c r="U317" i="15" a="1"/>
  <c r="U317" i="15" s="1"/>
  <c r="X317" i="15" s="1"/>
  <c r="BE317" i="15" s="1"/>
  <c r="Y317" i="15"/>
  <c r="AB317" i="15"/>
  <c r="S318" i="15"/>
  <c r="T318" i="15" s="1"/>
  <c r="U318" i="15" a="1"/>
  <c r="U318" i="15" s="1"/>
  <c r="X318" i="15" s="1"/>
  <c r="BE318" i="15" s="1"/>
  <c r="Y318" i="15"/>
  <c r="AB318" i="15"/>
  <c r="S319" i="15"/>
  <c r="V319" i="15" s="1"/>
  <c r="W319" i="15" s="1"/>
  <c r="U319" i="15" a="1"/>
  <c r="U319" i="15" s="1"/>
  <c r="X319" i="15" s="1"/>
  <c r="BE319" i="15" s="1"/>
  <c r="Y319" i="15"/>
  <c r="AB319" i="15"/>
  <c r="S320" i="15"/>
  <c r="T320" i="15" s="1"/>
  <c r="U320" i="15" a="1"/>
  <c r="U320" i="15" s="1"/>
  <c r="X320" i="15" s="1"/>
  <c r="Y320" i="15"/>
  <c r="AB320" i="15"/>
  <c r="S321" i="15"/>
  <c r="T321" i="15" s="1"/>
  <c r="U321" i="15" a="1"/>
  <c r="U321" i="15" s="1"/>
  <c r="X321" i="15" s="1"/>
  <c r="BE321" i="15" s="1"/>
  <c r="Y321" i="15"/>
  <c r="AB321" i="15"/>
  <c r="S322" i="15"/>
  <c r="U322" i="15" a="1"/>
  <c r="U322" i="15" s="1"/>
  <c r="X322" i="15" s="1"/>
  <c r="BE322" i="15" s="1"/>
  <c r="Y322" i="15"/>
  <c r="AB322" i="15"/>
  <c r="S323" i="15"/>
  <c r="U323" i="15" a="1"/>
  <c r="U323" i="15" s="1"/>
  <c r="X323" i="15" s="1"/>
  <c r="Y323" i="15"/>
  <c r="AB323" i="15"/>
  <c r="S324" i="15"/>
  <c r="T324" i="15" s="1"/>
  <c r="U324" i="15" a="1"/>
  <c r="U324" i="15" s="1"/>
  <c r="X324" i="15" s="1"/>
  <c r="BE324" i="15" s="1"/>
  <c r="Y324" i="15"/>
  <c r="AB324" i="15"/>
  <c r="S325" i="15"/>
  <c r="T325" i="15" s="1"/>
  <c r="U325" i="15" a="1"/>
  <c r="U325" i="15" s="1"/>
  <c r="X325" i="15" s="1"/>
  <c r="BE325" i="15" s="1"/>
  <c r="Y325" i="15"/>
  <c r="AB325" i="15"/>
  <c r="S326" i="15"/>
  <c r="T326" i="15" s="1"/>
  <c r="U326" i="15" a="1"/>
  <c r="U326" i="15" s="1"/>
  <c r="X326" i="15" s="1"/>
  <c r="BE326" i="15" s="1"/>
  <c r="Y326" i="15"/>
  <c r="AB326" i="15"/>
  <c r="S327" i="15"/>
  <c r="V327" i="15" s="1"/>
  <c r="W327" i="15" s="1"/>
  <c r="U327" i="15" a="1"/>
  <c r="U327" i="15" s="1"/>
  <c r="X327" i="15" s="1"/>
  <c r="BE327" i="15" s="1"/>
  <c r="Y327" i="15"/>
  <c r="AB327" i="15"/>
  <c r="S328" i="15"/>
  <c r="V328" i="15" s="1"/>
  <c r="W328" i="15" s="1"/>
  <c r="U328" i="15" a="1"/>
  <c r="U328" i="15" s="1"/>
  <c r="X328" i="15" s="1"/>
  <c r="BE328" i="15" s="1"/>
  <c r="BG328" i="15" s="1"/>
  <c r="Y328" i="15"/>
  <c r="AB328" i="15"/>
  <c r="S329" i="15"/>
  <c r="T329" i="15" s="1"/>
  <c r="U329" i="15" a="1"/>
  <c r="U329" i="15" s="1"/>
  <c r="X329" i="15" s="1"/>
  <c r="Y329" i="15"/>
  <c r="AB329" i="15"/>
  <c r="S330" i="15"/>
  <c r="V330" i="15" s="1"/>
  <c r="W330" i="15" s="1"/>
  <c r="U330" i="15" a="1"/>
  <c r="U330" i="15" s="1"/>
  <c r="X330" i="15" s="1"/>
  <c r="BE330" i="15" s="1"/>
  <c r="Y330" i="15"/>
  <c r="AB330" i="15"/>
  <c r="S331" i="15"/>
  <c r="T331" i="15" s="1"/>
  <c r="U331" i="15" a="1"/>
  <c r="U331" i="15" s="1"/>
  <c r="X331" i="15" s="1"/>
  <c r="BE331" i="15" s="1"/>
  <c r="Y331" i="15"/>
  <c r="AB331" i="15"/>
  <c r="S332" i="15"/>
  <c r="V332" i="15" s="1"/>
  <c r="U332" i="15" a="1"/>
  <c r="U332" i="15" s="1"/>
  <c r="X332" i="15" s="1"/>
  <c r="BE332" i="15" s="1"/>
  <c r="BG332" i="15" s="1"/>
  <c r="Y332" i="15"/>
  <c r="AB332" i="15"/>
  <c r="S333" i="15"/>
  <c r="U333" i="15" a="1"/>
  <c r="U333" i="15" s="1"/>
  <c r="X333" i="15" s="1"/>
  <c r="BE333" i="15" s="1"/>
  <c r="Y333" i="15"/>
  <c r="AB333" i="15"/>
  <c r="S334" i="15"/>
  <c r="V334" i="15" s="1"/>
  <c r="W334" i="15" s="1"/>
  <c r="U334" i="15" a="1"/>
  <c r="U334" i="15" s="1"/>
  <c r="X334" i="15" s="1"/>
  <c r="BE334" i="15" s="1"/>
  <c r="Y334" i="15"/>
  <c r="AB334" i="15"/>
  <c r="S335" i="15"/>
  <c r="V335" i="15" s="1"/>
  <c r="W335" i="15" s="1"/>
  <c r="U335" i="15" a="1"/>
  <c r="U335" i="15" s="1"/>
  <c r="X335" i="15" s="1"/>
  <c r="BE335" i="15" s="1"/>
  <c r="Y335" i="15"/>
  <c r="AB335" i="15"/>
  <c r="S336" i="15"/>
  <c r="U336" i="15" a="1"/>
  <c r="U336" i="15" s="1"/>
  <c r="X336" i="15" s="1"/>
  <c r="BE336" i="15" s="1"/>
  <c r="Y336" i="15"/>
  <c r="AB336" i="15"/>
  <c r="S337" i="15"/>
  <c r="V337" i="15" s="1"/>
  <c r="W337" i="15" s="1"/>
  <c r="U337" i="15" a="1"/>
  <c r="U337" i="15" s="1"/>
  <c r="X337" i="15" s="1"/>
  <c r="BE337" i="15" s="1"/>
  <c r="Y337" i="15"/>
  <c r="AB337" i="15"/>
  <c r="S338" i="15"/>
  <c r="V338" i="15" s="1"/>
  <c r="W338" i="15" s="1"/>
  <c r="U338" i="15" a="1"/>
  <c r="U338" i="15" s="1"/>
  <c r="X338" i="15" s="1"/>
  <c r="BE338" i="15" s="1"/>
  <c r="Y338" i="15"/>
  <c r="AB338" i="15"/>
  <c r="S339" i="15"/>
  <c r="T339" i="15" s="1"/>
  <c r="U339" i="15" a="1"/>
  <c r="U339" i="15" s="1"/>
  <c r="X339" i="15" s="1"/>
  <c r="BE339" i="15" s="1"/>
  <c r="Y339" i="15"/>
  <c r="AB339" i="15"/>
  <c r="S340" i="15"/>
  <c r="U340" i="15" a="1"/>
  <c r="U340" i="15" s="1"/>
  <c r="X340" i="15" s="1"/>
  <c r="BE340" i="15" s="1"/>
  <c r="Y340" i="15"/>
  <c r="AB340" i="15"/>
  <c r="S341" i="15"/>
  <c r="V341" i="15" s="1"/>
  <c r="W341" i="15" s="1"/>
  <c r="U341" i="15" a="1"/>
  <c r="U341" i="15" s="1"/>
  <c r="X341" i="15" s="1"/>
  <c r="BE341" i="15" s="1"/>
  <c r="Y341" i="15"/>
  <c r="AB341" i="15"/>
  <c r="S342" i="15"/>
  <c r="U342" i="15" a="1"/>
  <c r="U342" i="15" s="1"/>
  <c r="X342" i="15" s="1"/>
  <c r="Y342" i="15"/>
  <c r="AB342" i="15"/>
  <c r="S343" i="15"/>
  <c r="V343" i="15" s="1"/>
  <c r="W343" i="15" s="1"/>
  <c r="U343" i="15" a="1"/>
  <c r="U343" i="15" s="1"/>
  <c r="X343" i="15" s="1"/>
  <c r="BE343" i="15" s="1"/>
  <c r="BG343" i="15" s="1"/>
  <c r="Y343" i="15"/>
  <c r="AB343" i="15"/>
  <c r="S344" i="15"/>
  <c r="T344" i="15" s="1"/>
  <c r="U344" i="15" a="1"/>
  <c r="U344" i="15" s="1"/>
  <c r="X344" i="15" s="1"/>
  <c r="Y344" i="15"/>
  <c r="AB344" i="15"/>
  <c r="S345" i="15"/>
  <c r="T345" i="15" s="1"/>
  <c r="U345" i="15" a="1"/>
  <c r="U345" i="15" s="1"/>
  <c r="X345" i="15" s="1"/>
  <c r="BE345" i="15" s="1"/>
  <c r="Y345" i="15"/>
  <c r="AB345" i="15"/>
  <c r="S346" i="15"/>
  <c r="V346" i="15" s="1"/>
  <c r="W346" i="15" s="1"/>
  <c r="U346" i="15" a="1"/>
  <c r="U346" i="15" s="1"/>
  <c r="X346" i="15" s="1"/>
  <c r="BE346" i="15" s="1"/>
  <c r="BG346" i="15" s="1"/>
  <c r="Y346" i="15"/>
  <c r="AB346" i="15"/>
  <c r="S347" i="15"/>
  <c r="T347" i="15" s="1"/>
  <c r="U347" i="15" a="1"/>
  <c r="U347" i="15" s="1"/>
  <c r="X347" i="15" s="1"/>
  <c r="BE347" i="15" s="1"/>
  <c r="Y347" i="15"/>
  <c r="AB347" i="15"/>
  <c r="S348" i="15"/>
  <c r="V348" i="15" s="1"/>
  <c r="W348" i="15" s="1"/>
  <c r="U348" i="15" a="1"/>
  <c r="U348" i="15" s="1"/>
  <c r="X348" i="15" s="1"/>
  <c r="BE348" i="15" s="1"/>
  <c r="Y348" i="15"/>
  <c r="AB348" i="15"/>
  <c r="S349" i="15"/>
  <c r="T349" i="15" s="1"/>
  <c r="U349" i="15" a="1"/>
  <c r="U349" i="15" s="1"/>
  <c r="X349" i="15" s="1"/>
  <c r="BE349" i="15" s="1"/>
  <c r="Y349" i="15"/>
  <c r="AB349" i="15"/>
  <c r="S350" i="15"/>
  <c r="T350" i="15" s="1"/>
  <c r="U350" i="15" a="1"/>
  <c r="U350" i="15" s="1"/>
  <c r="X350" i="15" s="1"/>
  <c r="BE350" i="15" s="1"/>
  <c r="Y350" i="15"/>
  <c r="AB350" i="15"/>
  <c r="S351" i="15"/>
  <c r="V351" i="15" s="1"/>
  <c r="U351" i="15" a="1"/>
  <c r="U351" i="15" s="1"/>
  <c r="X351" i="15" s="1"/>
  <c r="BE351" i="15" s="1"/>
  <c r="Y351" i="15"/>
  <c r="AB351" i="15"/>
  <c r="S352" i="15"/>
  <c r="U352" i="15" a="1"/>
  <c r="U352" i="15" s="1"/>
  <c r="X352" i="15" s="1"/>
  <c r="Y352" i="15"/>
  <c r="AB352" i="15"/>
  <c r="S353" i="15"/>
  <c r="U353" i="15" a="1"/>
  <c r="U353" i="15" s="1"/>
  <c r="X353" i="15" s="1"/>
  <c r="Y353" i="15"/>
  <c r="AB353" i="15"/>
  <c r="S354" i="15"/>
  <c r="T354" i="15" s="1"/>
  <c r="U354" i="15" a="1"/>
  <c r="U354" i="15" s="1"/>
  <c r="X354" i="15" s="1"/>
  <c r="Y354" i="15"/>
  <c r="AB354" i="15"/>
  <c r="S355" i="15"/>
  <c r="V355" i="15" s="1"/>
  <c r="U355" i="15" a="1"/>
  <c r="U355" i="15" s="1"/>
  <c r="X355" i="15" s="1"/>
  <c r="BE355" i="15" s="1"/>
  <c r="Y355" i="15"/>
  <c r="AB355" i="15"/>
  <c r="S356" i="15"/>
  <c r="T356" i="15" s="1"/>
  <c r="U356" i="15" a="1"/>
  <c r="U356" i="15" s="1"/>
  <c r="X356" i="15" s="1"/>
  <c r="BE356" i="15" s="1"/>
  <c r="Y356" i="15"/>
  <c r="AB356" i="15"/>
  <c r="S357" i="15"/>
  <c r="T357" i="15" s="1"/>
  <c r="U357" i="15" a="1"/>
  <c r="U357" i="15" s="1"/>
  <c r="X357" i="15" s="1"/>
  <c r="BE357" i="15" s="1"/>
  <c r="Y357" i="15"/>
  <c r="AB357" i="15"/>
  <c r="S358" i="15"/>
  <c r="V358" i="15" s="1"/>
  <c r="W358" i="15" s="1"/>
  <c r="U358" i="15" a="1"/>
  <c r="U358" i="15" s="1"/>
  <c r="X358" i="15" s="1"/>
  <c r="BE358" i="15" s="1"/>
  <c r="Y358" i="15"/>
  <c r="AB358" i="15"/>
  <c r="S359" i="15"/>
  <c r="U359" i="15" a="1"/>
  <c r="U359" i="15" s="1"/>
  <c r="X359" i="15" s="1"/>
  <c r="BE359" i="15" s="1"/>
  <c r="Y359" i="15"/>
  <c r="AB359" i="15"/>
  <c r="S360" i="15"/>
  <c r="V360" i="15" s="1"/>
  <c r="W360" i="15" s="1"/>
  <c r="U360" i="15" a="1"/>
  <c r="U360" i="15" s="1"/>
  <c r="X360" i="15" s="1"/>
  <c r="BE360" i="15" s="1"/>
  <c r="Y360" i="15"/>
  <c r="AB360" i="15"/>
  <c r="S361" i="15"/>
  <c r="T361" i="15" s="1"/>
  <c r="U361" i="15" a="1"/>
  <c r="U361" i="15" s="1"/>
  <c r="X361" i="15" s="1"/>
  <c r="BE361" i="15" s="1"/>
  <c r="Y361" i="15"/>
  <c r="AB361" i="15"/>
  <c r="S362" i="15"/>
  <c r="V362" i="15" s="1"/>
  <c r="W362" i="15" s="1"/>
  <c r="U362" i="15" a="1"/>
  <c r="U362" i="15" s="1"/>
  <c r="X362" i="15" s="1"/>
  <c r="BE362" i="15" s="1"/>
  <c r="Y362" i="15"/>
  <c r="AB362" i="15"/>
  <c r="S363" i="15"/>
  <c r="T363" i="15" s="1"/>
  <c r="U363" i="15" a="1"/>
  <c r="U363" i="15" s="1"/>
  <c r="X363" i="15" s="1"/>
  <c r="BE363" i="15" s="1"/>
  <c r="Y363" i="15"/>
  <c r="AB363" i="15"/>
  <c r="S364" i="15"/>
  <c r="U364" i="15" a="1"/>
  <c r="U364" i="15" s="1"/>
  <c r="X364" i="15" s="1"/>
  <c r="BE364" i="15" s="1"/>
  <c r="Y364" i="15"/>
  <c r="AB364" i="15"/>
  <c r="S365" i="15"/>
  <c r="T365" i="15" s="1"/>
  <c r="U365" i="15" a="1"/>
  <c r="U365" i="15" s="1"/>
  <c r="X365" i="15" s="1"/>
  <c r="BE365" i="15" s="1"/>
  <c r="Y365" i="15"/>
  <c r="AB365" i="15"/>
  <c r="S366" i="15"/>
  <c r="V366" i="15" s="1"/>
  <c r="W366" i="15" s="1"/>
  <c r="U366" i="15" a="1"/>
  <c r="U366" i="15" s="1"/>
  <c r="X366" i="15" s="1"/>
  <c r="BE366" i="15" s="1"/>
  <c r="BG366" i="15" s="1"/>
  <c r="Y366" i="15"/>
  <c r="AB366" i="15"/>
  <c r="S367" i="15"/>
  <c r="T367" i="15" s="1"/>
  <c r="U367" i="15" a="1"/>
  <c r="U367" i="15" s="1"/>
  <c r="X367" i="15" s="1"/>
  <c r="BE367" i="15" s="1"/>
  <c r="Y367" i="15"/>
  <c r="AB367" i="15"/>
  <c r="S368" i="15"/>
  <c r="U368" i="15" a="1"/>
  <c r="U368" i="15" s="1"/>
  <c r="X368" i="15" s="1"/>
  <c r="BE368" i="15" s="1"/>
  <c r="Y368" i="15"/>
  <c r="AB368" i="15"/>
  <c r="S369" i="15"/>
  <c r="U369" i="15" a="1"/>
  <c r="U369" i="15" s="1"/>
  <c r="X369" i="15" s="1"/>
  <c r="BE369" i="15" s="1"/>
  <c r="Y369" i="15"/>
  <c r="AB369" i="15"/>
  <c r="S370" i="15"/>
  <c r="T370" i="15" s="1"/>
  <c r="U370" i="15" a="1"/>
  <c r="U370" i="15" s="1"/>
  <c r="X370" i="15" s="1"/>
  <c r="BE370" i="15" s="1"/>
  <c r="Y370" i="15"/>
  <c r="AB370" i="15"/>
  <c r="S371" i="15"/>
  <c r="U371" i="15" a="1"/>
  <c r="U371" i="15" s="1"/>
  <c r="X371" i="15" s="1"/>
  <c r="BE371" i="15" s="1"/>
  <c r="Y371" i="15"/>
  <c r="AB371" i="15"/>
  <c r="S372" i="15"/>
  <c r="T372" i="15" s="1"/>
  <c r="U372" i="15" a="1"/>
  <c r="U372" i="15" s="1"/>
  <c r="X372" i="15" s="1"/>
  <c r="BE372" i="15" s="1"/>
  <c r="Y372" i="15"/>
  <c r="AB372" i="15"/>
  <c r="S373" i="15"/>
  <c r="V373" i="15" s="1"/>
  <c r="W373" i="15" s="1"/>
  <c r="U373" i="15" a="1"/>
  <c r="U373" i="15" s="1"/>
  <c r="X373" i="15" s="1"/>
  <c r="BE373" i="15" s="1"/>
  <c r="Y373" i="15"/>
  <c r="AB373" i="15"/>
  <c r="S374" i="15"/>
  <c r="V374" i="15" s="1"/>
  <c r="U374" i="15" a="1"/>
  <c r="U374" i="15" s="1"/>
  <c r="X374" i="15" s="1"/>
  <c r="BE374" i="15" s="1"/>
  <c r="Y374" i="15"/>
  <c r="AB374" i="15"/>
  <c r="S375" i="15"/>
  <c r="T375" i="15" s="1"/>
  <c r="U375" i="15" a="1"/>
  <c r="U375" i="15" s="1"/>
  <c r="X375" i="15" s="1"/>
  <c r="BE375" i="15" s="1"/>
  <c r="Y375" i="15"/>
  <c r="AB375" i="15"/>
  <c r="S376" i="15"/>
  <c r="T376" i="15" s="1"/>
  <c r="U376" i="15" a="1"/>
  <c r="U376" i="15" s="1"/>
  <c r="X376" i="15" s="1"/>
  <c r="BE376" i="15" s="1"/>
  <c r="Y376" i="15"/>
  <c r="AB376" i="15"/>
  <c r="S377" i="15"/>
  <c r="U377" i="15" a="1"/>
  <c r="U377" i="15" s="1"/>
  <c r="X377" i="15" s="1"/>
  <c r="BE377" i="15" s="1"/>
  <c r="Y377" i="15"/>
  <c r="AB377" i="15"/>
  <c r="S378" i="15"/>
  <c r="U378" i="15" a="1"/>
  <c r="U378" i="15" s="1"/>
  <c r="X378" i="15" s="1"/>
  <c r="BE378" i="15" s="1"/>
  <c r="Y378" i="15"/>
  <c r="AB378" i="15"/>
  <c r="S379" i="15"/>
  <c r="U379" i="15" a="1"/>
  <c r="U379" i="15" s="1"/>
  <c r="X379" i="15" s="1"/>
  <c r="BE379" i="15" s="1"/>
  <c r="Y379" i="15"/>
  <c r="AB379" i="15"/>
  <c r="S380" i="15"/>
  <c r="U380" i="15" a="1"/>
  <c r="U380" i="15" s="1"/>
  <c r="X380" i="15" s="1"/>
  <c r="BE380" i="15" s="1"/>
  <c r="Y380" i="15"/>
  <c r="AB380" i="15"/>
  <c r="S381" i="15"/>
  <c r="V381" i="15" s="1"/>
  <c r="W381" i="15" s="1"/>
  <c r="U381" i="15" a="1"/>
  <c r="U381" i="15" s="1"/>
  <c r="X381" i="15" s="1"/>
  <c r="Y381" i="15"/>
  <c r="AB381" i="15"/>
  <c r="S382" i="15"/>
  <c r="T382" i="15" s="1"/>
  <c r="U382" i="15" a="1"/>
  <c r="U382" i="15" s="1"/>
  <c r="X382" i="15" s="1"/>
  <c r="BE382" i="15" s="1"/>
  <c r="Y382" i="15"/>
  <c r="AB382" i="15"/>
  <c r="S383" i="15"/>
  <c r="U383" i="15" a="1"/>
  <c r="U383" i="15" s="1"/>
  <c r="X383" i="15" s="1"/>
  <c r="BE383" i="15" s="1"/>
  <c r="Y383" i="15"/>
  <c r="AB383" i="15"/>
  <c r="S384" i="15"/>
  <c r="V384" i="15" s="1"/>
  <c r="U384" i="15" a="1"/>
  <c r="U384" i="15" s="1"/>
  <c r="X384" i="15" s="1"/>
  <c r="BE384" i="15" s="1"/>
  <c r="Y384" i="15"/>
  <c r="AB384" i="15"/>
  <c r="S385" i="15"/>
  <c r="U385" i="15" a="1"/>
  <c r="U385" i="15" s="1"/>
  <c r="X385" i="15" s="1"/>
  <c r="BE385" i="15" s="1"/>
  <c r="Y385" i="15"/>
  <c r="AB385" i="15"/>
  <c r="S386" i="15"/>
  <c r="T386" i="15" s="1"/>
  <c r="U386" i="15" a="1"/>
  <c r="U386" i="15" s="1"/>
  <c r="X386" i="15" s="1"/>
  <c r="BE386" i="15" s="1"/>
  <c r="Y386" i="15"/>
  <c r="AB386" i="15"/>
  <c r="S387" i="15"/>
  <c r="T387" i="15" s="1"/>
  <c r="U387" i="15" a="1"/>
  <c r="U387" i="15" s="1"/>
  <c r="X387" i="15" s="1"/>
  <c r="BE387" i="15" s="1"/>
  <c r="Y387" i="15"/>
  <c r="AB387" i="15"/>
  <c r="S388" i="15"/>
  <c r="V388" i="15" s="1"/>
  <c r="W388" i="15" s="1"/>
  <c r="U388" i="15" a="1"/>
  <c r="U388" i="15" s="1"/>
  <c r="X388" i="15" s="1"/>
  <c r="BE388" i="15" s="1"/>
  <c r="BG388" i="15" s="1"/>
  <c r="Y388" i="15"/>
  <c r="AB388" i="15"/>
  <c r="S389" i="15"/>
  <c r="V389" i="15" s="1"/>
  <c r="W389" i="15" s="1"/>
  <c r="U389" i="15" a="1"/>
  <c r="U389" i="15" s="1"/>
  <c r="X389" i="15" s="1"/>
  <c r="BE389" i="15" s="1"/>
  <c r="BG389" i="15" s="1"/>
  <c r="Y389" i="15"/>
  <c r="AB389" i="15"/>
  <c r="S390" i="15"/>
  <c r="V390" i="15" s="1"/>
  <c r="W390" i="15" s="1"/>
  <c r="U390" i="15" a="1"/>
  <c r="U390" i="15" s="1"/>
  <c r="X390" i="15" s="1"/>
  <c r="BE390" i="15" s="1"/>
  <c r="Y390" i="15"/>
  <c r="AB390" i="15"/>
  <c r="S391" i="15"/>
  <c r="V391" i="15" s="1"/>
  <c r="W391" i="15" s="1"/>
  <c r="U391" i="15" a="1"/>
  <c r="U391" i="15" s="1"/>
  <c r="X391" i="15" s="1"/>
  <c r="BE391" i="15" s="1"/>
  <c r="BG391" i="15" s="1"/>
  <c r="Y391" i="15"/>
  <c r="AB391" i="15"/>
  <c r="S392" i="15"/>
  <c r="V392" i="15" s="1"/>
  <c r="U392" i="15" a="1"/>
  <c r="U392" i="15" s="1"/>
  <c r="X392" i="15" s="1"/>
  <c r="Y392" i="15"/>
  <c r="AB392" i="15"/>
  <c r="S393" i="15"/>
  <c r="U393" i="15" a="1"/>
  <c r="U393" i="15" s="1"/>
  <c r="X393" i="15" s="1"/>
  <c r="BE393" i="15" s="1"/>
  <c r="Y393" i="15"/>
  <c r="AB393" i="15"/>
  <c r="S394" i="15"/>
  <c r="V394" i="15" s="1"/>
  <c r="W394" i="15" s="1"/>
  <c r="U394" i="15" a="1"/>
  <c r="U394" i="15" s="1"/>
  <c r="X394" i="15" s="1"/>
  <c r="BE394" i="15" s="1"/>
  <c r="BG394" i="15" s="1"/>
  <c r="Y394" i="15"/>
  <c r="AB394" i="15"/>
  <c r="S395" i="15"/>
  <c r="V395" i="15" s="1"/>
  <c r="U395" i="15" a="1"/>
  <c r="U395" i="15" s="1"/>
  <c r="X395" i="15" s="1"/>
  <c r="BE395" i="15" s="1"/>
  <c r="Y395" i="15"/>
  <c r="AB395" i="15"/>
  <c r="S396" i="15"/>
  <c r="V396" i="15" s="1"/>
  <c r="W396" i="15" s="1"/>
  <c r="U396" i="15" a="1"/>
  <c r="U396" i="15" s="1"/>
  <c r="X396" i="15" s="1"/>
  <c r="BE396" i="15" s="1"/>
  <c r="Y396" i="15"/>
  <c r="AB396" i="15"/>
  <c r="S397" i="15"/>
  <c r="V397" i="15" s="1"/>
  <c r="W397" i="15" s="1"/>
  <c r="U397" i="15" a="1"/>
  <c r="U397" i="15" s="1"/>
  <c r="X397" i="15" s="1"/>
  <c r="Y397" i="15"/>
  <c r="AB397" i="15"/>
  <c r="S398" i="15"/>
  <c r="V398" i="15" s="1"/>
  <c r="U398" i="15" a="1"/>
  <c r="U398" i="15" s="1"/>
  <c r="X398" i="15" s="1"/>
  <c r="BE398" i="15" s="1"/>
  <c r="Y398" i="15"/>
  <c r="AB398" i="15"/>
  <c r="S399" i="15"/>
  <c r="V399" i="15" s="1"/>
  <c r="W399" i="15" s="1"/>
  <c r="U399" i="15" a="1"/>
  <c r="U399" i="15" s="1"/>
  <c r="X399" i="15" s="1"/>
  <c r="BE399" i="15" s="1"/>
  <c r="BG399" i="15" s="1"/>
  <c r="Y399" i="15"/>
  <c r="AB399" i="15"/>
  <c r="S400" i="15"/>
  <c r="U400" i="15" a="1"/>
  <c r="U400" i="15" s="1"/>
  <c r="X400" i="15" s="1"/>
  <c r="BE400" i="15" s="1"/>
  <c r="Y400" i="15"/>
  <c r="AB400" i="15"/>
  <c r="S401" i="15"/>
  <c r="V401" i="15" s="1"/>
  <c r="W401" i="15" s="1"/>
  <c r="U401" i="15" a="1"/>
  <c r="U401" i="15" s="1"/>
  <c r="X401" i="15" s="1"/>
  <c r="Y401" i="15"/>
  <c r="AB401" i="15"/>
  <c r="S402" i="15"/>
  <c r="V402" i="15" s="1"/>
  <c r="W402" i="15" s="1"/>
  <c r="U402" i="15" a="1"/>
  <c r="U402" i="15" s="1"/>
  <c r="X402" i="15" s="1"/>
  <c r="Y402" i="15"/>
  <c r="AB402" i="15"/>
  <c r="S403" i="15"/>
  <c r="V403" i="15" s="1"/>
  <c r="U403" i="15" a="1"/>
  <c r="U403" i="15" s="1"/>
  <c r="X403" i="15" s="1"/>
  <c r="BE403" i="15" s="1"/>
  <c r="Y403" i="15"/>
  <c r="AB403" i="15"/>
  <c r="S404" i="15"/>
  <c r="V404" i="15" s="1"/>
  <c r="U404" i="15" a="1"/>
  <c r="U404" i="15" s="1"/>
  <c r="X404" i="15" s="1"/>
  <c r="BE404" i="15" s="1"/>
  <c r="Y404" i="15"/>
  <c r="AB404" i="15"/>
  <c r="S405" i="15"/>
  <c r="T405" i="15" s="1"/>
  <c r="U405" i="15" a="1"/>
  <c r="U405" i="15" s="1"/>
  <c r="X405" i="15" s="1"/>
  <c r="BE405" i="15" s="1"/>
  <c r="Y405" i="15"/>
  <c r="AB405" i="15"/>
  <c r="S406" i="15"/>
  <c r="U406" i="15" a="1"/>
  <c r="U406" i="15" s="1"/>
  <c r="X406" i="15" s="1"/>
  <c r="BE406" i="15" s="1"/>
  <c r="Y406" i="15"/>
  <c r="AB406" i="15"/>
  <c r="S407" i="15"/>
  <c r="V407" i="15" s="1"/>
  <c r="W407" i="15" s="1"/>
  <c r="U407" i="15" a="1"/>
  <c r="U407" i="15" s="1"/>
  <c r="X407" i="15" s="1"/>
  <c r="BE407" i="15" s="1"/>
  <c r="Y407" i="15"/>
  <c r="AB407" i="15"/>
  <c r="S408" i="15"/>
  <c r="T408" i="15" s="1"/>
  <c r="U408" i="15" a="1"/>
  <c r="U408" i="15" s="1"/>
  <c r="X408" i="15" s="1"/>
  <c r="Y408" i="15"/>
  <c r="AB408" i="15"/>
  <c r="S409" i="15"/>
  <c r="V409" i="15" s="1"/>
  <c r="U409" i="15" a="1"/>
  <c r="U409" i="15" s="1"/>
  <c r="X409" i="15" s="1"/>
  <c r="Y409" i="15"/>
  <c r="AB409" i="15"/>
  <c r="S410" i="15"/>
  <c r="T410" i="15" s="1"/>
  <c r="U410" i="15" a="1"/>
  <c r="U410" i="15" s="1"/>
  <c r="X410" i="15" s="1"/>
  <c r="BE410" i="15" s="1"/>
  <c r="Y410" i="15"/>
  <c r="AB410" i="15"/>
  <c r="S411" i="15"/>
  <c r="U411" i="15" a="1"/>
  <c r="U411" i="15" s="1"/>
  <c r="X411" i="15" s="1"/>
  <c r="BE411" i="15" s="1"/>
  <c r="Y411" i="15"/>
  <c r="AB411" i="15"/>
  <c r="S412" i="15"/>
  <c r="T412" i="15" s="1"/>
  <c r="U412" i="15" a="1"/>
  <c r="U412" i="15" s="1"/>
  <c r="X412" i="15" s="1"/>
  <c r="BE412" i="15" s="1"/>
  <c r="Y412" i="15"/>
  <c r="AB412" i="15"/>
  <c r="S413" i="15"/>
  <c r="T413" i="15" s="1"/>
  <c r="U413" i="15" a="1"/>
  <c r="U413" i="15" s="1"/>
  <c r="X413" i="15" s="1"/>
  <c r="BE413" i="15" s="1"/>
  <c r="Y413" i="15"/>
  <c r="AB413" i="15"/>
  <c r="S414" i="15"/>
  <c r="V414" i="15" s="1"/>
  <c r="W414" i="15" s="1"/>
  <c r="U414" i="15" a="1"/>
  <c r="U414" i="15" s="1"/>
  <c r="X414" i="15" s="1"/>
  <c r="BE414" i="15" s="1"/>
  <c r="BG414" i="15" s="1"/>
  <c r="Y414" i="15"/>
  <c r="AB414" i="15"/>
  <c r="S415" i="15"/>
  <c r="T415" i="15" s="1"/>
  <c r="U415" i="15" a="1"/>
  <c r="U415" i="15" s="1"/>
  <c r="X415" i="15" s="1"/>
  <c r="BE415" i="15" s="1"/>
  <c r="Y415" i="15"/>
  <c r="AB415" i="15"/>
  <c r="S416" i="15"/>
  <c r="V416" i="15" s="1"/>
  <c r="W416" i="15" s="1"/>
  <c r="U416" i="15" a="1"/>
  <c r="U416" i="15" s="1"/>
  <c r="X416" i="15" s="1"/>
  <c r="Y416" i="15"/>
  <c r="AB416" i="15"/>
  <c r="S417" i="15"/>
  <c r="U417" i="15" a="1"/>
  <c r="U417" i="15" s="1"/>
  <c r="X417" i="15" s="1"/>
  <c r="BE417" i="15" s="1"/>
  <c r="Y417" i="15"/>
  <c r="AB417" i="15"/>
  <c r="S418" i="15"/>
  <c r="U418" i="15" a="1"/>
  <c r="U418" i="15" s="1"/>
  <c r="X418" i="15" s="1"/>
  <c r="BE418" i="15" s="1"/>
  <c r="Y418" i="15"/>
  <c r="AB418" i="15"/>
  <c r="S419" i="15"/>
  <c r="T419" i="15" s="1"/>
  <c r="U419" i="15" a="1"/>
  <c r="U419" i="15" s="1"/>
  <c r="X419" i="15" s="1"/>
  <c r="BE419" i="15" s="1"/>
  <c r="Y419" i="15"/>
  <c r="AB419" i="15"/>
  <c r="S420" i="15"/>
  <c r="V420" i="15" s="1"/>
  <c r="W420" i="15" s="1"/>
  <c r="U420" i="15" a="1"/>
  <c r="U420" i="15" s="1"/>
  <c r="X420" i="15" s="1"/>
  <c r="Y420" i="15"/>
  <c r="AB420" i="15"/>
  <c r="S421" i="15"/>
  <c r="V421" i="15" s="1"/>
  <c r="W421" i="15" s="1"/>
  <c r="U421" i="15" a="1"/>
  <c r="U421" i="15" s="1"/>
  <c r="X421" i="15" s="1"/>
  <c r="BE421" i="15" s="1"/>
  <c r="BG421" i="15" s="1"/>
  <c r="Y421" i="15"/>
  <c r="AB421" i="15"/>
  <c r="S422" i="15"/>
  <c r="U422" i="15" a="1"/>
  <c r="U422" i="15" s="1"/>
  <c r="X422" i="15" s="1"/>
  <c r="BE422" i="15" s="1"/>
  <c r="Y422" i="15"/>
  <c r="AB422" i="15"/>
  <c r="S423" i="15"/>
  <c r="T423" i="15" s="1"/>
  <c r="U423" i="15" a="1"/>
  <c r="U423" i="15" s="1"/>
  <c r="X423" i="15" s="1"/>
  <c r="BE423" i="15" s="1"/>
  <c r="Y423" i="15"/>
  <c r="AB423" i="15"/>
  <c r="S424" i="15"/>
  <c r="V424" i="15" s="1"/>
  <c r="U424" i="15" a="1"/>
  <c r="U424" i="15" s="1"/>
  <c r="X424" i="15" s="1"/>
  <c r="BE424" i="15" s="1"/>
  <c r="BG424" i="15" s="1"/>
  <c r="Y424" i="15"/>
  <c r="AB424" i="15"/>
  <c r="S425" i="15"/>
  <c r="T425" i="15" s="1"/>
  <c r="U425" i="15" a="1"/>
  <c r="U425" i="15" s="1"/>
  <c r="X425" i="15" s="1"/>
  <c r="Y425" i="15"/>
  <c r="AB425" i="15"/>
  <c r="S426" i="15"/>
  <c r="V426" i="15" s="1"/>
  <c r="U426" i="15" a="1"/>
  <c r="U426" i="15" s="1"/>
  <c r="X426" i="15" s="1"/>
  <c r="BE426" i="15" s="1"/>
  <c r="Y426" i="15"/>
  <c r="AB426" i="15"/>
  <c r="S427" i="15"/>
  <c r="U427" i="15" a="1"/>
  <c r="U427" i="15" s="1"/>
  <c r="X427" i="15" s="1"/>
  <c r="BE427" i="15" s="1"/>
  <c r="Y427" i="15"/>
  <c r="AB427" i="15"/>
  <c r="S428" i="15"/>
  <c r="T428" i="15" s="1"/>
  <c r="U428" i="15" a="1"/>
  <c r="U428" i="15" s="1"/>
  <c r="X428" i="15" s="1"/>
  <c r="BE428" i="15" s="1"/>
  <c r="Y428" i="15"/>
  <c r="AB428" i="15"/>
  <c r="S429" i="15"/>
  <c r="U429" i="15" a="1"/>
  <c r="U429" i="15" s="1"/>
  <c r="X429" i="15" s="1"/>
  <c r="BE429" i="15" s="1"/>
  <c r="Y429" i="15"/>
  <c r="AB429" i="15"/>
  <c r="S430" i="15"/>
  <c r="V430" i="15" s="1"/>
  <c r="W430" i="15" s="1"/>
  <c r="U430" i="15" a="1"/>
  <c r="U430" i="15" s="1"/>
  <c r="X430" i="15" s="1"/>
  <c r="BE430" i="15" s="1"/>
  <c r="Y430" i="15"/>
  <c r="AB430" i="15"/>
  <c r="S431" i="15"/>
  <c r="U431" i="15" a="1"/>
  <c r="U431" i="15" s="1"/>
  <c r="X431" i="15" s="1"/>
  <c r="BE431" i="15" s="1"/>
  <c r="Y431" i="15"/>
  <c r="AB431" i="15"/>
  <c r="S432" i="15"/>
  <c r="T432" i="15" s="1"/>
  <c r="U432" i="15" a="1"/>
  <c r="U432" i="15" s="1"/>
  <c r="X432" i="15" s="1"/>
  <c r="BE432" i="15" s="1"/>
  <c r="Y432" i="15"/>
  <c r="AB432" i="15"/>
  <c r="S433" i="15"/>
  <c r="V433" i="15" s="1"/>
  <c r="W433" i="15" s="1"/>
  <c r="U433" i="15" a="1"/>
  <c r="U433" i="15" s="1"/>
  <c r="X433" i="15" s="1"/>
  <c r="Y433" i="15"/>
  <c r="AB433" i="15"/>
  <c r="S434" i="15"/>
  <c r="T434" i="15" s="1"/>
  <c r="U434" i="15" a="1"/>
  <c r="U434" i="15" s="1"/>
  <c r="X434" i="15" s="1"/>
  <c r="Y434" i="15"/>
  <c r="AB434" i="15"/>
  <c r="S435" i="15"/>
  <c r="U435" i="15" a="1"/>
  <c r="U435" i="15" s="1"/>
  <c r="X435" i="15" s="1"/>
  <c r="BE435" i="15" s="1"/>
  <c r="Y435" i="15"/>
  <c r="AB435" i="15"/>
  <c r="S436" i="15"/>
  <c r="U436" i="15" a="1"/>
  <c r="U436" i="15" s="1"/>
  <c r="X436" i="15" s="1"/>
  <c r="BE436" i="15" s="1"/>
  <c r="Y436" i="15"/>
  <c r="AB436" i="15"/>
  <c r="S437" i="15"/>
  <c r="T437" i="15" s="1"/>
  <c r="U437" i="15" a="1"/>
  <c r="U437" i="15" s="1"/>
  <c r="X437" i="15" s="1"/>
  <c r="Y437" i="15"/>
  <c r="AB437" i="15"/>
  <c r="S438" i="15"/>
  <c r="V438" i="15" s="1"/>
  <c r="U438" i="15" a="1"/>
  <c r="U438" i="15" s="1"/>
  <c r="X438" i="15" s="1"/>
  <c r="Y438" i="15"/>
  <c r="AB438" i="15"/>
  <c r="S439" i="15"/>
  <c r="T439" i="15" s="1"/>
  <c r="U439" i="15" a="1"/>
  <c r="U439" i="15" s="1"/>
  <c r="X439" i="15" s="1"/>
  <c r="BE439" i="15" s="1"/>
  <c r="Y439" i="15"/>
  <c r="AB439" i="15"/>
  <c r="S440" i="15"/>
  <c r="V440" i="15" s="1"/>
  <c r="W440" i="15" s="1"/>
  <c r="U440" i="15" a="1"/>
  <c r="U440" i="15" s="1"/>
  <c r="X440" i="15" s="1"/>
  <c r="Y440" i="15"/>
  <c r="AB440" i="15"/>
  <c r="S441" i="15"/>
  <c r="T441" i="15" s="1"/>
  <c r="U441" i="15" a="1"/>
  <c r="U441" i="15" s="1"/>
  <c r="X441" i="15" s="1"/>
  <c r="BE441" i="15" s="1"/>
  <c r="Y441" i="15"/>
  <c r="AB441" i="15"/>
  <c r="S442" i="15"/>
  <c r="T442" i="15" s="1"/>
  <c r="U442" i="15" a="1"/>
  <c r="U442" i="15" s="1"/>
  <c r="X442" i="15" s="1"/>
  <c r="BE442" i="15" s="1"/>
  <c r="Y442" i="15"/>
  <c r="AB442" i="15"/>
  <c r="S443" i="15"/>
  <c r="V443" i="15" s="1"/>
  <c r="W443" i="15" s="1"/>
  <c r="U443" i="15" a="1"/>
  <c r="U443" i="15" s="1"/>
  <c r="X443" i="15" s="1"/>
  <c r="BE443" i="15" s="1"/>
  <c r="Y443" i="15"/>
  <c r="AB443" i="15"/>
  <c r="S444" i="15"/>
  <c r="T444" i="15" s="1"/>
  <c r="U444" i="15" a="1"/>
  <c r="U444" i="15" s="1"/>
  <c r="X444" i="15" s="1"/>
  <c r="BE444" i="15" s="1"/>
  <c r="Y444" i="15"/>
  <c r="AB444" i="15"/>
  <c r="S445" i="15"/>
  <c r="U445" i="15" a="1"/>
  <c r="U445" i="15" s="1"/>
  <c r="X445" i="15" s="1"/>
  <c r="Y445" i="15"/>
  <c r="AB445" i="15"/>
  <c r="S446" i="15"/>
  <c r="V446" i="15" s="1"/>
  <c r="W446" i="15" s="1"/>
  <c r="U446" i="15" a="1"/>
  <c r="U446" i="15" s="1"/>
  <c r="X446" i="15" s="1"/>
  <c r="BE446" i="15" s="1"/>
  <c r="BG446" i="15" s="1"/>
  <c r="Y446" i="15"/>
  <c r="AB446" i="15"/>
  <c r="S447" i="15"/>
  <c r="V447" i="15" s="1"/>
  <c r="W447" i="15" s="1"/>
  <c r="U447" i="15" a="1"/>
  <c r="U447" i="15" s="1"/>
  <c r="X447" i="15" s="1"/>
  <c r="BE447" i="15" s="1"/>
  <c r="Y447" i="15"/>
  <c r="AB447" i="15"/>
  <c r="S448" i="15"/>
  <c r="V448" i="15" s="1"/>
  <c r="W448" i="15" s="1"/>
  <c r="U448" i="15" a="1"/>
  <c r="U448" i="15" s="1"/>
  <c r="X448" i="15" s="1"/>
  <c r="BE448" i="15" s="1"/>
  <c r="BG448" i="15" s="1"/>
  <c r="Y448" i="15"/>
  <c r="AB448" i="15"/>
  <c r="S449" i="15"/>
  <c r="T449" i="15" s="1"/>
  <c r="U449" i="15" a="1"/>
  <c r="U449" i="15" s="1"/>
  <c r="X449" i="15" s="1"/>
  <c r="BE449" i="15" s="1"/>
  <c r="Y449" i="15"/>
  <c r="AB449" i="15"/>
  <c r="S450" i="15"/>
  <c r="V450" i="15" s="1"/>
  <c r="U450" i="15" a="1"/>
  <c r="U450" i="15" s="1"/>
  <c r="X450" i="15" s="1"/>
  <c r="BE450" i="15" s="1"/>
  <c r="Y450" i="15"/>
  <c r="AB450" i="15"/>
  <c r="S451" i="15"/>
  <c r="U451" i="15" a="1"/>
  <c r="U451" i="15" s="1"/>
  <c r="X451" i="15" s="1"/>
  <c r="Y451" i="15"/>
  <c r="AB451" i="15"/>
  <c r="S452" i="15"/>
  <c r="T452" i="15" s="1"/>
  <c r="U452" i="15" a="1"/>
  <c r="U452" i="15" s="1"/>
  <c r="X452" i="15" s="1"/>
  <c r="BE452" i="15" s="1"/>
  <c r="Y452" i="15"/>
  <c r="AB452" i="15"/>
  <c r="S453" i="15"/>
  <c r="V453" i="15" s="1"/>
  <c r="W453" i="15" s="1"/>
  <c r="U453" i="15" a="1"/>
  <c r="U453" i="15" s="1"/>
  <c r="X453" i="15" s="1"/>
  <c r="Y453" i="15"/>
  <c r="AB453" i="15"/>
  <c r="S454" i="15"/>
  <c r="T454" i="15" s="1"/>
  <c r="U454" i="15" a="1"/>
  <c r="U454" i="15" s="1"/>
  <c r="X454" i="15" s="1"/>
  <c r="BE454" i="15" s="1"/>
  <c r="Y454" i="15"/>
  <c r="AB454" i="15"/>
  <c r="S455" i="15"/>
  <c r="U455" i="15" a="1"/>
  <c r="U455" i="15" s="1"/>
  <c r="X455" i="15" s="1"/>
  <c r="BE455" i="15" s="1"/>
  <c r="Y455" i="15"/>
  <c r="AB455" i="15"/>
  <c r="S456" i="15"/>
  <c r="V456" i="15" s="1"/>
  <c r="W456" i="15" s="1"/>
  <c r="U456" i="15" a="1"/>
  <c r="U456" i="15" s="1"/>
  <c r="X456" i="15" s="1"/>
  <c r="BE456" i="15" s="1"/>
  <c r="Y456" i="15"/>
  <c r="AB456" i="15"/>
  <c r="S457" i="15"/>
  <c r="U457" i="15" a="1"/>
  <c r="U457" i="15" s="1"/>
  <c r="X457" i="15" s="1"/>
  <c r="BE457" i="15" s="1"/>
  <c r="Y457" i="15"/>
  <c r="AB457" i="15"/>
  <c r="S458" i="15"/>
  <c r="V458" i="15" s="1"/>
  <c r="U458" i="15" a="1"/>
  <c r="U458" i="15" s="1"/>
  <c r="X458" i="15" s="1"/>
  <c r="BE458" i="15" s="1"/>
  <c r="BG458" i="15" s="1"/>
  <c r="Y458" i="15"/>
  <c r="AB458" i="15"/>
  <c r="S459" i="15"/>
  <c r="U459" i="15" a="1"/>
  <c r="U459" i="15" s="1"/>
  <c r="X459" i="15" s="1"/>
  <c r="BE459" i="15" s="1"/>
  <c r="Y459" i="15"/>
  <c r="AB459" i="15"/>
  <c r="S460" i="15"/>
  <c r="T460" i="15" s="1"/>
  <c r="U460" i="15" a="1"/>
  <c r="U460" i="15" s="1"/>
  <c r="X460" i="15" s="1"/>
  <c r="BE460" i="15" s="1"/>
  <c r="Y460" i="15"/>
  <c r="AB460" i="15"/>
  <c r="S461" i="15"/>
  <c r="V461" i="15" s="1"/>
  <c r="U461" i="15" a="1"/>
  <c r="U461" i="15" s="1"/>
  <c r="X461" i="15" s="1"/>
  <c r="BE461" i="15" s="1"/>
  <c r="Y461" i="15"/>
  <c r="AB461" i="15"/>
  <c r="S462" i="15"/>
  <c r="V462" i="15" s="1"/>
  <c r="W462" i="15" s="1"/>
  <c r="U462" i="15" a="1"/>
  <c r="U462" i="15" s="1"/>
  <c r="X462" i="15" s="1"/>
  <c r="Y462" i="15"/>
  <c r="AB462" i="15"/>
  <c r="S463" i="15"/>
  <c r="T463" i="15" s="1"/>
  <c r="U463" i="15" a="1"/>
  <c r="U463" i="15" s="1"/>
  <c r="X463" i="15" s="1"/>
  <c r="Y463" i="15"/>
  <c r="AB463" i="15"/>
  <c r="S464" i="15"/>
  <c r="V464" i="15" s="1"/>
  <c r="U464" i="15" a="1"/>
  <c r="U464" i="15" s="1"/>
  <c r="X464" i="15" s="1"/>
  <c r="BE464" i="15" s="1"/>
  <c r="Y464" i="15"/>
  <c r="AB464" i="15"/>
  <c r="S465" i="15"/>
  <c r="U465" i="15" a="1"/>
  <c r="U465" i="15" s="1"/>
  <c r="X465" i="15" s="1"/>
  <c r="Y465" i="15"/>
  <c r="AB465" i="15"/>
  <c r="S466" i="15"/>
  <c r="T466" i="15" s="1"/>
  <c r="U466" i="15" a="1"/>
  <c r="U466" i="15" s="1"/>
  <c r="X466" i="15" s="1"/>
  <c r="Y466" i="15"/>
  <c r="AB466" i="15"/>
  <c r="S467" i="15"/>
  <c r="V467" i="15" s="1"/>
  <c r="U467" i="15" a="1"/>
  <c r="U467" i="15" s="1"/>
  <c r="X467" i="15" s="1"/>
  <c r="BE467" i="15" s="1"/>
  <c r="Y467" i="15"/>
  <c r="AB467" i="15"/>
  <c r="S468" i="15"/>
  <c r="T468" i="15" s="1"/>
  <c r="U468" i="15" a="1"/>
  <c r="U468" i="15" s="1"/>
  <c r="X468" i="15" s="1"/>
  <c r="BE468" i="15" s="1"/>
  <c r="Y468" i="15"/>
  <c r="AB468" i="15"/>
  <c r="S469" i="15"/>
  <c r="V469" i="15" s="1"/>
  <c r="W469" i="15" s="1"/>
  <c r="U469" i="15" a="1"/>
  <c r="U469" i="15" s="1"/>
  <c r="X469" i="15" s="1"/>
  <c r="BE469" i="15" s="1"/>
  <c r="Y469" i="15"/>
  <c r="AB469" i="15"/>
  <c r="S470" i="15"/>
  <c r="U470" i="15" a="1"/>
  <c r="U470" i="15" s="1"/>
  <c r="X470" i="15" s="1"/>
  <c r="BE470" i="15" s="1"/>
  <c r="Y470" i="15"/>
  <c r="AB470" i="15"/>
  <c r="S471" i="15"/>
  <c r="T471" i="15" s="1"/>
  <c r="U471" i="15" a="1"/>
  <c r="U471" i="15" s="1"/>
  <c r="X471" i="15" s="1"/>
  <c r="Y471" i="15"/>
  <c r="AB471" i="15"/>
  <c r="S472" i="15"/>
  <c r="V472" i="15" s="1"/>
  <c r="U472" i="15" a="1"/>
  <c r="U472" i="15" s="1"/>
  <c r="X472" i="15" s="1"/>
  <c r="BE472" i="15" s="1"/>
  <c r="Y472" i="15"/>
  <c r="AB472" i="15"/>
  <c r="S473" i="15"/>
  <c r="T473" i="15" s="1"/>
  <c r="U473" i="15" a="1"/>
  <c r="U473" i="15" s="1"/>
  <c r="X473" i="15" s="1"/>
  <c r="Y473" i="15"/>
  <c r="AB473" i="15"/>
  <c r="S474" i="15"/>
  <c r="U474" i="15" a="1"/>
  <c r="U474" i="15" s="1"/>
  <c r="X474" i="15" s="1"/>
  <c r="BE474" i="15" s="1"/>
  <c r="Y474" i="15"/>
  <c r="AB474" i="15"/>
  <c r="S475" i="15"/>
  <c r="T475" i="15" s="1"/>
  <c r="U475" i="15" a="1"/>
  <c r="U475" i="15" s="1"/>
  <c r="X475" i="15" s="1"/>
  <c r="BE475" i="15" s="1"/>
  <c r="Y475" i="15"/>
  <c r="AB475" i="15"/>
  <c r="S476" i="15"/>
  <c r="U476" i="15" a="1"/>
  <c r="U476" i="15" s="1"/>
  <c r="X476" i="15" s="1"/>
  <c r="BE476" i="15" s="1"/>
  <c r="Y476" i="15"/>
  <c r="AB476" i="15"/>
  <c r="S477" i="15"/>
  <c r="V477" i="15" s="1"/>
  <c r="U477" i="15" a="1"/>
  <c r="U477" i="15" s="1"/>
  <c r="X477" i="15" s="1"/>
  <c r="BE477" i="15" s="1"/>
  <c r="Y477" i="15"/>
  <c r="AB477" i="15"/>
  <c r="S478" i="15"/>
  <c r="U478" i="15" a="1"/>
  <c r="U478" i="15" s="1"/>
  <c r="X478" i="15" s="1"/>
  <c r="BE478" i="15" s="1"/>
  <c r="Y478" i="15"/>
  <c r="AB478" i="15"/>
  <c r="S479" i="15"/>
  <c r="U479" i="15" a="1"/>
  <c r="U479" i="15" s="1"/>
  <c r="X479" i="15" s="1"/>
  <c r="BE479" i="15" s="1"/>
  <c r="Y479" i="15"/>
  <c r="AB479" i="15"/>
  <c r="S480" i="15"/>
  <c r="T480" i="15" s="1"/>
  <c r="U480" i="15" a="1"/>
  <c r="U480" i="15" s="1"/>
  <c r="X480" i="15" s="1"/>
  <c r="BE480" i="15" s="1"/>
  <c r="Y480" i="15"/>
  <c r="AB480" i="15"/>
  <c r="S481" i="15"/>
  <c r="V481" i="15" s="1"/>
  <c r="W481" i="15" s="1"/>
  <c r="U481" i="15" a="1"/>
  <c r="U481" i="15" s="1"/>
  <c r="X481" i="15" s="1"/>
  <c r="Y481" i="15"/>
  <c r="AB481" i="15"/>
  <c r="S482" i="15"/>
  <c r="V482" i="15" s="1"/>
  <c r="W482" i="15" s="1"/>
  <c r="U482" i="15" a="1"/>
  <c r="U482" i="15" s="1"/>
  <c r="X482" i="15" s="1"/>
  <c r="BE482" i="15" s="1"/>
  <c r="Y482" i="15"/>
  <c r="AB482" i="15"/>
  <c r="S483" i="15"/>
  <c r="T483" i="15" s="1"/>
  <c r="U483" i="15" a="1"/>
  <c r="U483" i="15" s="1"/>
  <c r="X483" i="15" s="1"/>
  <c r="Y483" i="15"/>
  <c r="AB483" i="15"/>
  <c r="S484" i="15"/>
  <c r="V484" i="15" s="1"/>
  <c r="W484" i="15" s="1"/>
  <c r="U484" i="15" a="1"/>
  <c r="U484" i="15" s="1"/>
  <c r="X484" i="15" s="1"/>
  <c r="BE484" i="15" s="1"/>
  <c r="Y484" i="15"/>
  <c r="AB484" i="15"/>
  <c r="S485" i="15"/>
  <c r="T485" i="15" s="1"/>
  <c r="U485" i="15" a="1"/>
  <c r="U485" i="15" s="1"/>
  <c r="X485" i="15" s="1"/>
  <c r="BE485" i="15" s="1"/>
  <c r="Y485" i="15"/>
  <c r="AB485" i="15"/>
  <c r="S486" i="15"/>
  <c r="V486" i="15" s="1"/>
  <c r="W486" i="15" s="1"/>
  <c r="U486" i="15" a="1"/>
  <c r="U486" i="15" s="1"/>
  <c r="X486" i="15" s="1"/>
  <c r="Y486" i="15"/>
  <c r="AB486" i="15"/>
  <c r="S487" i="15"/>
  <c r="V487" i="15" s="1"/>
  <c r="U487" i="15" a="1"/>
  <c r="U487" i="15" s="1"/>
  <c r="X487" i="15" s="1"/>
  <c r="BE487" i="15" s="1"/>
  <c r="Y487" i="15"/>
  <c r="AB487" i="15"/>
  <c r="S488" i="15"/>
  <c r="V488" i="15" s="1"/>
  <c r="W488" i="15" s="1"/>
  <c r="T488" i="15"/>
  <c r="U488" i="15" a="1"/>
  <c r="U488" i="15" s="1"/>
  <c r="X488" i="15" s="1"/>
  <c r="BE488" i="15" s="1"/>
  <c r="Y488" i="15"/>
  <c r="AB488" i="15"/>
  <c r="S489" i="15"/>
  <c r="V489" i="15" s="1"/>
  <c r="W489" i="15" s="1"/>
  <c r="U489" i="15" a="1"/>
  <c r="U489" i="15" s="1"/>
  <c r="X489" i="15" s="1"/>
  <c r="BE489" i="15" s="1"/>
  <c r="BG489" i="15" s="1"/>
  <c r="Y489" i="15"/>
  <c r="AB489" i="15"/>
  <c r="S490" i="15"/>
  <c r="V490" i="15" s="1"/>
  <c r="U490" i="15" a="1"/>
  <c r="U490" i="15" s="1"/>
  <c r="X490" i="15" s="1"/>
  <c r="Y490" i="15"/>
  <c r="AB490" i="15"/>
  <c r="S491" i="15"/>
  <c r="T491" i="15" s="1"/>
  <c r="U491" i="15" a="1"/>
  <c r="U491" i="15" s="1"/>
  <c r="X491" i="15" s="1"/>
  <c r="BE491" i="15" s="1"/>
  <c r="Y491" i="15"/>
  <c r="AB491" i="15"/>
  <c r="S492" i="15"/>
  <c r="V492" i="15" s="1"/>
  <c r="W492" i="15" s="1"/>
  <c r="U492" i="15" a="1"/>
  <c r="U492" i="15" s="1"/>
  <c r="X492" i="15" s="1"/>
  <c r="BE492" i="15" s="1"/>
  <c r="BG492" i="15" s="1"/>
  <c r="Y492" i="15"/>
  <c r="AB492" i="15"/>
  <c r="S493" i="15"/>
  <c r="T493" i="15" s="1"/>
  <c r="U493" i="15" a="1"/>
  <c r="U493" i="15" s="1"/>
  <c r="X493" i="15" s="1"/>
  <c r="BE493" i="15" s="1"/>
  <c r="Y493" i="15"/>
  <c r="AB493" i="15"/>
  <c r="O67" i="16" l="1"/>
  <c r="O74" i="16"/>
  <c r="AZ75" i="16"/>
  <c r="O75" i="16" s="1"/>
  <c r="BG309" i="15"/>
  <c r="BG254" i="15"/>
  <c r="BG396" i="15"/>
  <c r="BG374" i="15"/>
  <c r="BG341" i="15"/>
  <c r="BG330" i="15"/>
  <c r="BG319" i="15"/>
  <c r="BG297" i="15"/>
  <c r="BG154" i="15"/>
  <c r="BG472" i="15"/>
  <c r="BG450" i="15"/>
  <c r="BG274" i="15"/>
  <c r="BG252" i="15"/>
  <c r="BG153" i="15"/>
  <c r="BG180" i="15"/>
  <c r="BG338" i="15"/>
  <c r="BG327" i="15"/>
  <c r="BG217" i="15"/>
  <c r="BG348" i="15"/>
  <c r="BG304" i="15"/>
  <c r="BG271" i="15"/>
  <c r="BG249" i="15"/>
  <c r="BG205" i="15"/>
  <c r="BG232" i="15"/>
  <c r="BG155" i="15"/>
  <c r="BG467" i="15"/>
  <c r="BG456" i="15"/>
  <c r="BG231" i="15"/>
  <c r="BG198" i="15"/>
  <c r="BG395" i="15"/>
  <c r="BG384" i="15"/>
  <c r="BG362" i="15"/>
  <c r="BG335" i="15"/>
  <c r="BG313" i="15"/>
  <c r="BG291" i="15"/>
  <c r="BG247" i="15"/>
  <c r="T362" i="15"/>
  <c r="BG351" i="15"/>
  <c r="BG170" i="15"/>
  <c r="BG159" i="15"/>
  <c r="BG169" i="15"/>
  <c r="V437" i="15"/>
  <c r="W437" i="15" s="1"/>
  <c r="BG152" i="15"/>
  <c r="V179" i="15"/>
  <c r="W179" i="15" s="1"/>
  <c r="I155" i="25"/>
  <c r="I153" i="25"/>
  <c r="I152" i="25"/>
  <c r="I157" i="25"/>
  <c r="I154" i="25"/>
  <c r="I156" i="25"/>
  <c r="W69" i="15"/>
  <c r="BG358" i="15"/>
  <c r="BG301" i="15"/>
  <c r="BF244" i="15"/>
  <c r="BG244" i="15"/>
  <c r="BF222" i="15"/>
  <c r="BG222" i="15"/>
  <c r="V209" i="15"/>
  <c r="BG209" i="15" s="1"/>
  <c r="T205" i="15"/>
  <c r="BG166" i="15"/>
  <c r="BF257" i="15"/>
  <c r="BG157" i="15"/>
  <c r="BF423" i="15"/>
  <c r="BG191" i="15"/>
  <c r="BF201" i="15"/>
  <c r="BG484" i="15"/>
  <c r="BG204" i="15"/>
  <c r="T191" i="15"/>
  <c r="BG165" i="15"/>
  <c r="BF422" i="15"/>
  <c r="BG444" i="15"/>
  <c r="BG286" i="15"/>
  <c r="BF488" i="15"/>
  <c r="BG488" i="15"/>
  <c r="BF400" i="15"/>
  <c r="BG461" i="15"/>
  <c r="BG426" i="15"/>
  <c r="BG404" i="15"/>
  <c r="BG220" i="15"/>
  <c r="BG203" i="15"/>
  <c r="BF312" i="15"/>
  <c r="BG312" i="15"/>
  <c r="V211" i="15"/>
  <c r="W211" i="15" s="1"/>
  <c r="BF334" i="15"/>
  <c r="BG334" i="15"/>
  <c r="BF487" i="15"/>
  <c r="BG487" i="15"/>
  <c r="BG443" i="15"/>
  <c r="BG430" i="15"/>
  <c r="BG373" i="15"/>
  <c r="BG360" i="15"/>
  <c r="BF268" i="15"/>
  <c r="BG268" i="15"/>
  <c r="BG469" i="15"/>
  <c r="BG447" i="15"/>
  <c r="BG390" i="15"/>
  <c r="BF377" i="15"/>
  <c r="BG228" i="15"/>
  <c r="BG172" i="15"/>
  <c r="BG150" i="15"/>
  <c r="BG482" i="15"/>
  <c r="BG403" i="15"/>
  <c r="T390" i="15"/>
  <c r="BG355" i="15"/>
  <c r="BG298" i="15"/>
  <c r="BG219" i="15"/>
  <c r="AG210" i="15"/>
  <c r="AP210" i="15" s="1"/>
  <c r="V176" i="15"/>
  <c r="W176" i="15" s="1"/>
  <c r="BG163" i="15"/>
  <c r="BF411" i="15"/>
  <c r="BG176" i="15"/>
  <c r="BG464" i="15"/>
  <c r="BG407" i="15"/>
  <c r="BG302" i="15"/>
  <c r="BG280" i="15"/>
  <c r="BG210" i="15"/>
  <c r="BF477" i="15"/>
  <c r="BG477" i="15"/>
  <c r="BF455" i="15"/>
  <c r="BF398" i="15"/>
  <c r="BG398" i="15"/>
  <c r="BG337" i="15"/>
  <c r="T280" i="15"/>
  <c r="BG214" i="15"/>
  <c r="BG184" i="15"/>
  <c r="U70" i="15" a="1"/>
  <c r="U70" i="15" s="1"/>
  <c r="X70" i="15" s="1"/>
  <c r="BE70" i="15" s="1"/>
  <c r="BF70" i="15" s="1"/>
  <c r="I159" i="25"/>
  <c r="I203" i="25"/>
  <c r="I169" i="25"/>
  <c r="I192" i="25"/>
  <c r="I190" i="25"/>
  <c r="I168" i="25"/>
  <c r="I191" i="25"/>
  <c r="I163" i="25"/>
  <c r="I182" i="25"/>
  <c r="D157" i="21"/>
  <c r="I181" i="25"/>
  <c r="I180" i="25"/>
  <c r="O68" i="16"/>
  <c r="D169" i="21"/>
  <c r="I149" i="25"/>
  <c r="I171" i="25"/>
  <c r="I195" i="25"/>
  <c r="I193" i="25"/>
  <c r="I150" i="25"/>
  <c r="BE77" i="15"/>
  <c r="BF77" i="15" s="1"/>
  <c r="D150" i="21"/>
  <c r="D194" i="21"/>
  <c r="I174" i="25"/>
  <c r="I151" i="25"/>
  <c r="I194" i="25"/>
  <c r="I175" i="25"/>
  <c r="U67" i="15" a="1"/>
  <c r="U67" i="15" s="1"/>
  <c r="X67" i="15" s="1"/>
  <c r="BE67" i="15" s="1"/>
  <c r="BG67" i="15" s="1"/>
  <c r="U134" i="15" a="1"/>
  <c r="U134" i="15" s="1"/>
  <c r="X134" i="15" s="1"/>
  <c r="BE134" i="15" s="1"/>
  <c r="BG134" i="15" s="1"/>
  <c r="U142" i="15" a="1"/>
  <c r="U142" i="15" s="1"/>
  <c r="X142" i="15" s="1"/>
  <c r="BE142" i="15" s="1"/>
  <c r="BG142" i="15" s="1"/>
  <c r="U141" i="15" a="1"/>
  <c r="U141" i="15" s="1"/>
  <c r="X141" i="15" s="1"/>
  <c r="BE141" i="15" s="1"/>
  <c r="BG141" i="15" s="1"/>
  <c r="U132" i="15" a="1"/>
  <c r="U132" i="15" s="1"/>
  <c r="X132" i="15" s="1"/>
  <c r="BE132" i="15" s="1"/>
  <c r="U79" i="15" a="1"/>
  <c r="U79" i="15" s="1"/>
  <c r="X79" i="15" s="1"/>
  <c r="U127" i="15" a="1"/>
  <c r="U127" i="15" s="1"/>
  <c r="X127" i="15" s="1"/>
  <c r="BE127" i="15" s="1"/>
  <c r="U80" i="15" a="1"/>
  <c r="U80" i="15" s="1"/>
  <c r="X80" i="15" s="1"/>
  <c r="BE80" i="15" s="1"/>
  <c r="U126" i="15" a="1"/>
  <c r="U126" i="15" s="1"/>
  <c r="X126" i="15" s="1"/>
  <c r="U124" i="15" a="1"/>
  <c r="U124" i="15" s="1"/>
  <c r="X124" i="15" s="1"/>
  <c r="BE124" i="15" s="1"/>
  <c r="U137" i="15" a="1"/>
  <c r="U137" i="15" s="1"/>
  <c r="X137" i="15" s="1"/>
  <c r="U135" i="15" a="1"/>
  <c r="U135" i="15" s="1"/>
  <c r="X135" i="15" s="1"/>
  <c r="U130" i="15" a="1"/>
  <c r="U130" i="15" s="1"/>
  <c r="X130" i="15" s="1"/>
  <c r="U129" i="15" a="1"/>
  <c r="U129" i="15" s="1"/>
  <c r="X129" i="15" s="1"/>
  <c r="U128" i="15" a="1"/>
  <c r="U128" i="15" s="1"/>
  <c r="X128" i="15" s="1"/>
  <c r="U125" i="15" a="1"/>
  <c r="U125" i="15" s="1"/>
  <c r="X125" i="15" s="1"/>
  <c r="U122" i="15" a="1"/>
  <c r="U122" i="15" s="1"/>
  <c r="X122" i="15" s="1"/>
  <c r="U82" i="15" a="1"/>
  <c r="U82" i="15" s="1"/>
  <c r="X82" i="15" s="1"/>
  <c r="V80" i="15"/>
  <c r="W80" i="15" s="1"/>
  <c r="U78" i="15" a="1"/>
  <c r="U78" i="15" s="1"/>
  <c r="X78" i="15" s="1"/>
  <c r="U72" i="15" a="1"/>
  <c r="U72" i="15" s="1"/>
  <c r="X72" i="15" s="1"/>
  <c r="BE72" i="15" s="1"/>
  <c r="BG72" i="15" s="1"/>
  <c r="W7" i="15"/>
  <c r="U69" i="15" a="1"/>
  <c r="U69" i="15" s="1"/>
  <c r="X69" i="15" s="1"/>
  <c r="BE69" i="15" s="1"/>
  <c r="BG69" i="15" s="1"/>
  <c r="BF376" i="15"/>
  <c r="BF389" i="15"/>
  <c r="V423" i="15"/>
  <c r="W423" i="15" s="1"/>
  <c r="AG348" i="15"/>
  <c r="AP348" i="15" s="1"/>
  <c r="BF444" i="15"/>
  <c r="T217" i="15"/>
  <c r="T101" i="15"/>
  <c r="BF356" i="15"/>
  <c r="BF169" i="15"/>
  <c r="BF147" i="15"/>
  <c r="U40" i="15" a="1"/>
  <c r="U40" i="15" s="1"/>
  <c r="X40" i="15" s="1"/>
  <c r="BE40" i="15" s="1"/>
  <c r="T373" i="15"/>
  <c r="BF464" i="15"/>
  <c r="BF442" i="15"/>
  <c r="AG433" i="15"/>
  <c r="AP433" i="15" s="1"/>
  <c r="BF224" i="15"/>
  <c r="AG215" i="15"/>
  <c r="AP215" i="15" s="1"/>
  <c r="T203" i="15"/>
  <c r="T481" i="15"/>
  <c r="T407" i="15"/>
  <c r="T254" i="15"/>
  <c r="BF489" i="15"/>
  <c r="V480" i="15"/>
  <c r="BG480" i="15" s="1"/>
  <c r="BF467" i="15"/>
  <c r="V345" i="15"/>
  <c r="W345" i="15" s="1"/>
  <c r="BF138" i="15"/>
  <c r="BF139" i="15"/>
  <c r="BF68" i="15"/>
  <c r="BF136" i="15"/>
  <c r="BF448" i="15"/>
  <c r="AI462" i="15"/>
  <c r="AR462" i="15" s="1"/>
  <c r="BE462" i="15"/>
  <c r="BG462" i="15" s="1"/>
  <c r="AE440" i="15"/>
  <c r="BE440" i="15"/>
  <c r="BG440" i="15" s="1"/>
  <c r="BF427" i="15"/>
  <c r="BF414" i="15"/>
  <c r="AI401" i="15"/>
  <c r="AR401" i="15" s="1"/>
  <c r="BE401" i="15"/>
  <c r="BG401" i="15" s="1"/>
  <c r="BF492" i="15"/>
  <c r="BF475" i="15"/>
  <c r="AI453" i="15"/>
  <c r="AR453" i="15" s="1"/>
  <c r="BE453" i="15"/>
  <c r="BG453" i="15" s="1"/>
  <c r="AE392" i="15"/>
  <c r="BE392" i="15"/>
  <c r="BG392" i="15" s="1"/>
  <c r="BF418" i="15"/>
  <c r="AI483" i="15"/>
  <c r="AR483" i="15" s="1"/>
  <c r="BE483" i="15"/>
  <c r="BF426" i="15"/>
  <c r="BF413" i="15"/>
  <c r="BF491" i="15"/>
  <c r="BF430" i="15"/>
  <c r="BF482" i="15"/>
  <c r="BF478" i="15"/>
  <c r="BF456" i="15"/>
  <c r="AI408" i="15"/>
  <c r="AR408" i="15" s="1"/>
  <c r="BE408" i="15"/>
  <c r="BF395" i="15"/>
  <c r="BF391" i="15"/>
  <c r="AE465" i="15"/>
  <c r="BE465" i="15"/>
  <c r="BF417" i="15"/>
  <c r="BF447" i="15"/>
  <c r="BF421" i="15"/>
  <c r="BF461" i="15"/>
  <c r="BF439" i="15"/>
  <c r="BF474" i="15"/>
  <c r="BF452" i="15"/>
  <c r="BF443" i="15"/>
  <c r="BF404" i="15"/>
  <c r="BF469" i="15"/>
  <c r="AI434" i="15"/>
  <c r="AR434" i="15" s="1"/>
  <c r="BE434" i="15"/>
  <c r="AE486" i="15"/>
  <c r="BE486" i="15"/>
  <c r="BG486" i="15" s="1"/>
  <c r="BF460" i="15"/>
  <c r="AI438" i="15"/>
  <c r="AR438" i="15" s="1"/>
  <c r="BE438" i="15"/>
  <c r="BG438" i="15" s="1"/>
  <c r="AE425" i="15"/>
  <c r="BE425" i="15"/>
  <c r="BF412" i="15"/>
  <c r="BF399" i="15"/>
  <c r="BF457" i="15"/>
  <c r="BF424" i="15"/>
  <c r="AI437" i="15"/>
  <c r="AR437" i="15" s="1"/>
  <c r="BE437" i="15"/>
  <c r="BF428" i="15"/>
  <c r="BF435" i="15"/>
  <c r="AE402" i="15"/>
  <c r="BE402" i="15"/>
  <c r="BG402" i="15" s="1"/>
  <c r="BF493" i="15"/>
  <c r="BF476" i="15"/>
  <c r="BF454" i="15"/>
  <c r="BF393" i="15"/>
  <c r="AI466" i="15"/>
  <c r="AR466" i="15" s="1"/>
  <c r="BE466" i="15"/>
  <c r="BF431" i="15"/>
  <c r="BF396" i="15"/>
  <c r="AE490" i="15"/>
  <c r="BE490" i="15"/>
  <c r="BG490" i="15" s="1"/>
  <c r="AE473" i="15"/>
  <c r="BE473" i="15"/>
  <c r="AE451" i="15"/>
  <c r="BE451" i="15"/>
  <c r="BF390" i="15"/>
  <c r="BF403" i="15"/>
  <c r="AE420" i="15"/>
  <c r="BE420" i="15"/>
  <c r="BG420" i="15" s="1"/>
  <c r="BF485" i="15"/>
  <c r="AI463" i="15"/>
  <c r="AR463" i="15" s="1"/>
  <c r="BE463" i="15"/>
  <c r="BF432" i="15"/>
  <c r="BF406" i="15"/>
  <c r="BF458" i="15"/>
  <c r="BF410" i="15"/>
  <c r="AE397" i="15"/>
  <c r="BE397" i="15"/>
  <c r="BG397" i="15" s="1"/>
  <c r="BF405" i="15"/>
  <c r="BF479" i="15"/>
  <c r="AI409" i="15"/>
  <c r="AR409" i="15" s="1"/>
  <c r="BE409" i="15"/>
  <c r="BG409" i="15" s="1"/>
  <c r="BF470" i="15"/>
  <c r="BF429" i="15"/>
  <c r="AE416" i="15"/>
  <c r="BE416" i="15"/>
  <c r="BG416" i="15" s="1"/>
  <c r="AI481" i="15"/>
  <c r="AR481" i="15" s="1"/>
  <c r="BE481" i="15"/>
  <c r="BG481" i="15" s="1"/>
  <c r="BF407" i="15"/>
  <c r="BF394" i="15"/>
  <c r="BF468" i="15"/>
  <c r="BF446" i="15"/>
  <c r="AE433" i="15"/>
  <c r="BE433" i="15"/>
  <c r="BG433" i="15" s="1"/>
  <c r="BF459" i="15"/>
  <c r="BF472" i="15"/>
  <c r="BF450" i="15"/>
  <c r="BF441" i="15"/>
  <c r="BF415" i="15"/>
  <c r="AE445" i="15"/>
  <c r="BE445" i="15"/>
  <c r="BF419" i="15"/>
  <c r="BF484" i="15"/>
  <c r="BF480" i="15"/>
  <c r="AI471" i="15"/>
  <c r="AR471" i="15" s="1"/>
  <c r="BE471" i="15"/>
  <c r="BF449" i="15"/>
  <c r="BF436" i="15"/>
  <c r="BF140" i="15"/>
  <c r="BF114" i="15"/>
  <c r="D28" i="23"/>
  <c r="BF123" i="15"/>
  <c r="AE381" i="15"/>
  <c r="BE381" i="15"/>
  <c r="BG381" i="15" s="1"/>
  <c r="BF368" i="15"/>
  <c r="BF355" i="15"/>
  <c r="AE342" i="15"/>
  <c r="BE342" i="15"/>
  <c r="AI329" i="15"/>
  <c r="AR329" i="15" s="1"/>
  <c r="BE329" i="15"/>
  <c r="BF307" i="15"/>
  <c r="AI285" i="15"/>
  <c r="AR285" i="15" s="1"/>
  <c r="BE285" i="15"/>
  <c r="AE272" i="15"/>
  <c r="BE272" i="15"/>
  <c r="AI237" i="15"/>
  <c r="AR237" i="15" s="1"/>
  <c r="BE237" i="15"/>
  <c r="BF211" i="15"/>
  <c r="AI194" i="15"/>
  <c r="AR194" i="15" s="1"/>
  <c r="BE194" i="15"/>
  <c r="AI181" i="15"/>
  <c r="AR181" i="15" s="1"/>
  <c r="BE181" i="15"/>
  <c r="BF155" i="15"/>
  <c r="BF133" i="15"/>
  <c r="BE76" i="15"/>
  <c r="BF385" i="15"/>
  <c r="BF372" i="15"/>
  <c r="BF359" i="15"/>
  <c r="BF333" i="15"/>
  <c r="BF311" i="15"/>
  <c r="BF289" i="15"/>
  <c r="AI276" i="15"/>
  <c r="AR276" i="15" s="1"/>
  <c r="BE276" i="15"/>
  <c r="BF254" i="15"/>
  <c r="BF241" i="15"/>
  <c r="BF219" i="15"/>
  <c r="BF198" i="15"/>
  <c r="AE185" i="15"/>
  <c r="BE185" i="15"/>
  <c r="BF159" i="15"/>
  <c r="BF306" i="15"/>
  <c r="AE236" i="15"/>
  <c r="BE236" i="15"/>
  <c r="BG236" i="15" s="1"/>
  <c r="BF210" i="15"/>
  <c r="AE193" i="15"/>
  <c r="BE193" i="15"/>
  <c r="BG193" i="15" s="1"/>
  <c r="BF180" i="15"/>
  <c r="BF176" i="15"/>
  <c r="BF154" i="15"/>
  <c r="T141" i="15"/>
  <c r="BF262" i="15"/>
  <c r="BF145" i="15"/>
  <c r="BF259" i="15"/>
  <c r="BF346" i="15"/>
  <c r="BF298" i="15"/>
  <c r="BF232" i="15"/>
  <c r="BF258" i="15"/>
  <c r="AI189" i="15"/>
  <c r="AR189" i="15" s="1"/>
  <c r="BE189" i="15"/>
  <c r="BF271" i="15"/>
  <c r="AI227" i="15"/>
  <c r="AR227" i="15" s="1"/>
  <c r="BE227" i="15"/>
  <c r="AI167" i="15"/>
  <c r="AR167" i="15" s="1"/>
  <c r="BE167" i="15"/>
  <c r="BF384" i="15"/>
  <c r="BF371" i="15"/>
  <c r="BF358" i="15"/>
  <c r="BF345" i="15"/>
  <c r="BF332" i="15"/>
  <c r="BF310" i="15"/>
  <c r="BF288" i="15"/>
  <c r="BF275" i="15"/>
  <c r="BF240" i="15"/>
  <c r="BF218" i="15"/>
  <c r="BF197" i="15"/>
  <c r="BF184" i="15"/>
  <c r="AE158" i="15"/>
  <c r="BE158" i="15"/>
  <c r="BF388" i="15"/>
  <c r="BF375" i="15"/>
  <c r="BF362" i="15"/>
  <c r="BF349" i="15"/>
  <c r="AG327" i="15"/>
  <c r="AP327" i="15" s="1"/>
  <c r="AI323" i="15"/>
  <c r="AR323" i="15" s="1"/>
  <c r="BE323" i="15"/>
  <c r="BF301" i="15"/>
  <c r="AE266" i="15"/>
  <c r="BE266" i="15"/>
  <c r="BG266" i="15" s="1"/>
  <c r="AE253" i="15"/>
  <c r="BE253" i="15"/>
  <c r="BF231" i="15"/>
  <c r="BF171" i="15"/>
  <c r="AE149" i="15"/>
  <c r="BE149" i="15"/>
  <c r="BF73" i="15"/>
  <c r="AE353" i="15"/>
  <c r="BE353" i="15"/>
  <c r="AI183" i="15"/>
  <c r="AR183" i="15" s="1"/>
  <c r="BE183" i="15"/>
  <c r="BF256" i="15"/>
  <c r="BF200" i="15"/>
  <c r="AE161" i="15"/>
  <c r="BE161" i="15"/>
  <c r="BF338" i="15"/>
  <c r="BF350" i="15"/>
  <c r="BF280" i="15"/>
  <c r="AE315" i="15"/>
  <c r="BE315" i="15"/>
  <c r="BG315" i="15" s="1"/>
  <c r="BF206" i="15"/>
  <c r="BF284" i="15"/>
  <c r="BF341" i="15"/>
  <c r="AE314" i="15"/>
  <c r="BE314" i="15"/>
  <c r="BG314" i="15" s="1"/>
  <c r="AE279" i="15"/>
  <c r="BE279" i="15"/>
  <c r="BF188" i="15"/>
  <c r="BF192" i="15"/>
  <c r="BF261" i="15"/>
  <c r="BF213" i="15"/>
  <c r="BF370" i="15"/>
  <c r="BF348" i="15"/>
  <c r="BF265" i="15"/>
  <c r="AI230" i="15"/>
  <c r="AR230" i="15" s="1"/>
  <c r="BE230" i="15"/>
  <c r="BF148" i="15"/>
  <c r="BF313" i="15"/>
  <c r="AI187" i="15"/>
  <c r="AR187" i="15" s="1"/>
  <c r="BE187" i="15"/>
  <c r="BF326" i="15"/>
  <c r="BF304" i="15"/>
  <c r="BF282" i="15"/>
  <c r="BF269" i="15"/>
  <c r="BF234" i="15"/>
  <c r="BF204" i="15"/>
  <c r="BF191" i="15"/>
  <c r="BF174" i="15"/>
  <c r="BF152" i="15"/>
  <c r="BF292" i="15"/>
  <c r="BF305" i="15"/>
  <c r="BF175" i="15"/>
  <c r="BF340" i="15"/>
  <c r="BF217" i="15"/>
  <c r="BF157" i="15"/>
  <c r="BF361" i="15"/>
  <c r="AI352" i="15"/>
  <c r="AR352" i="15" s="1"/>
  <c r="BE352" i="15"/>
  <c r="BF339" i="15"/>
  <c r="BF317" i="15"/>
  <c r="BF295" i="15"/>
  <c r="BF260" i="15"/>
  <c r="BF247" i="15"/>
  <c r="BF225" i="15"/>
  <c r="BF212" i="15"/>
  <c r="BF208" i="15"/>
  <c r="BF178" i="15"/>
  <c r="BF165" i="15"/>
  <c r="BF143" i="15"/>
  <c r="BF121" i="15"/>
  <c r="AI246" i="15"/>
  <c r="AR246" i="15" s="1"/>
  <c r="BE246" i="15"/>
  <c r="BG246" i="15" s="1"/>
  <c r="AI263" i="15"/>
  <c r="AR263" i="15" s="1"/>
  <c r="BE263" i="15"/>
  <c r="BG263" i="15" s="1"/>
  <c r="BF172" i="15"/>
  <c r="BF337" i="15"/>
  <c r="BF163" i="15"/>
  <c r="BF380" i="15"/>
  <c r="BF328" i="15"/>
  <c r="BF319" i="15"/>
  <c r="BF366" i="15"/>
  <c r="BF270" i="15"/>
  <c r="BF153" i="15"/>
  <c r="AE296" i="15"/>
  <c r="BE296" i="15"/>
  <c r="BF179" i="15"/>
  <c r="BF383" i="15"/>
  <c r="AE344" i="15"/>
  <c r="BE344" i="15"/>
  <c r="BF287" i="15"/>
  <c r="BF387" i="15"/>
  <c r="BF322" i="15"/>
  <c r="BF252" i="15"/>
  <c r="BF278" i="15"/>
  <c r="BF382" i="15"/>
  <c r="BF369" i="15"/>
  <c r="BF343" i="15"/>
  <c r="BF330" i="15"/>
  <c r="BF308" i="15"/>
  <c r="BF286" i="15"/>
  <c r="BF273" i="15"/>
  <c r="BF238" i="15"/>
  <c r="AE195" i="15"/>
  <c r="BE195" i="15"/>
  <c r="BG195" i="15" s="1"/>
  <c r="AE182" i="15"/>
  <c r="BE182" i="15"/>
  <c r="BG182" i="15" s="1"/>
  <c r="AI156" i="15"/>
  <c r="AR156" i="15" s="1"/>
  <c r="BE156" i="15"/>
  <c r="BF81" i="15"/>
  <c r="U71" i="15" a="1"/>
  <c r="U71" i="15" s="1"/>
  <c r="X71" i="15" s="1"/>
  <c r="BE71" i="15" s="1"/>
  <c r="BG71" i="15" s="1"/>
  <c r="BF316" i="15"/>
  <c r="AE190" i="15"/>
  <c r="BE190" i="15"/>
  <c r="BF250" i="15"/>
  <c r="BF215" i="15"/>
  <c r="BF324" i="15"/>
  <c r="BF267" i="15"/>
  <c r="BF293" i="15"/>
  <c r="BF223" i="15"/>
  <c r="AI354" i="15"/>
  <c r="AR354" i="15" s="1"/>
  <c r="BE354" i="15"/>
  <c r="BF297" i="15"/>
  <c r="BF249" i="15"/>
  <c r="BF214" i="15"/>
  <c r="BF336" i="15"/>
  <c r="BF379" i="15"/>
  <c r="BF248" i="15"/>
  <c r="AI226" i="15"/>
  <c r="AR226" i="15" s="1"/>
  <c r="BE226" i="15"/>
  <c r="BG226" i="15" s="1"/>
  <c r="BF144" i="15"/>
  <c r="BF357" i="15"/>
  <c r="BF331" i="15"/>
  <c r="AE196" i="15"/>
  <c r="BE196" i="15"/>
  <c r="BF170" i="15"/>
  <c r="BF291" i="15"/>
  <c r="BF365" i="15"/>
  <c r="V386" i="15"/>
  <c r="W386" i="15" s="1"/>
  <c r="BF373" i="15"/>
  <c r="BF347" i="15"/>
  <c r="BF321" i="15"/>
  <c r="AE299" i="15"/>
  <c r="BE299" i="15"/>
  <c r="BF264" i="15"/>
  <c r="BF251" i="15"/>
  <c r="BF229" i="15"/>
  <c r="AE216" i="15"/>
  <c r="BE216" i="15"/>
  <c r="BF164" i="15"/>
  <c r="BF228" i="15"/>
  <c r="BF146" i="15"/>
  <c r="BF302" i="15"/>
  <c r="BF367" i="15"/>
  <c r="BF205" i="15"/>
  <c r="BF162" i="15"/>
  <c r="BF327" i="15"/>
  <c r="AE283" i="15"/>
  <c r="BE283" i="15"/>
  <c r="BG283" i="15" s="1"/>
  <c r="AE235" i="15"/>
  <c r="BE235" i="15"/>
  <c r="BF166" i="15"/>
  <c r="BF309" i="15"/>
  <c r="AI239" i="15"/>
  <c r="AR239" i="15" s="1"/>
  <c r="BE239" i="15"/>
  <c r="BG239" i="15" s="1"/>
  <c r="BF300" i="15"/>
  <c r="AE243" i="15"/>
  <c r="BE243" i="15"/>
  <c r="BG243" i="15" s="1"/>
  <c r="BF221" i="15"/>
  <c r="BF386" i="15"/>
  <c r="BF360" i="15"/>
  <c r="AI290" i="15"/>
  <c r="AR290" i="15" s="1"/>
  <c r="BE290" i="15"/>
  <c r="BG290" i="15" s="1"/>
  <c r="BF277" i="15"/>
  <c r="BF255" i="15"/>
  <c r="BF242" i="15"/>
  <c r="BF220" i="15"/>
  <c r="AE199" i="15"/>
  <c r="BE199" i="15"/>
  <c r="BF186" i="15"/>
  <c r="BF160" i="15"/>
  <c r="BF294" i="15"/>
  <c r="BF207" i="15"/>
  <c r="AI177" i="15"/>
  <c r="AR177" i="15" s="1"/>
  <c r="BE177" i="15"/>
  <c r="BG177" i="15" s="1"/>
  <c r="AI320" i="15"/>
  <c r="AR320" i="15" s="1"/>
  <c r="BE320" i="15"/>
  <c r="BF168" i="15"/>
  <c r="BF363" i="15"/>
  <c r="BF150" i="15"/>
  <c r="AI245" i="15"/>
  <c r="AR245" i="15" s="1"/>
  <c r="BE245" i="15"/>
  <c r="BF202" i="15"/>
  <c r="BF318" i="15"/>
  <c r="BF209" i="15"/>
  <c r="BE131" i="15"/>
  <c r="BF274" i="15"/>
  <c r="BF374" i="15"/>
  <c r="BF335" i="15"/>
  <c r="BF378" i="15"/>
  <c r="BF364" i="15"/>
  <c r="BF351" i="15"/>
  <c r="BF325" i="15"/>
  <c r="AE303" i="15"/>
  <c r="BE303" i="15"/>
  <c r="AE281" i="15"/>
  <c r="BE281" i="15"/>
  <c r="BF233" i="15"/>
  <c r="BF203" i="15"/>
  <c r="BF173" i="15"/>
  <c r="BF151" i="15"/>
  <c r="BF9" i="15"/>
  <c r="BF117" i="15"/>
  <c r="BF95" i="15"/>
  <c r="BF110" i="15"/>
  <c r="T226" i="15"/>
  <c r="V127" i="15"/>
  <c r="W127" i="15" s="1"/>
  <c r="T440" i="15"/>
  <c r="T298" i="15"/>
  <c r="V199" i="15"/>
  <c r="W199" i="15" s="1"/>
  <c r="V156" i="15"/>
  <c r="W156" i="15" s="1"/>
  <c r="T456" i="15"/>
  <c r="AG301" i="15"/>
  <c r="AP301" i="15" s="1"/>
  <c r="T90" i="15"/>
  <c r="T443" i="15"/>
  <c r="V439" i="15"/>
  <c r="W439" i="15" s="1"/>
  <c r="T271" i="15"/>
  <c r="V245" i="15"/>
  <c r="AG245" i="15" s="1"/>
  <c r="AG236" i="15"/>
  <c r="AP236" i="15" s="1"/>
  <c r="T142" i="15"/>
  <c r="AG446" i="15"/>
  <c r="AP446" i="15" s="1"/>
  <c r="T109" i="15"/>
  <c r="T71" i="15"/>
  <c r="V442" i="15"/>
  <c r="W442" i="15" s="1"/>
  <c r="V365" i="15"/>
  <c r="W365" i="15" s="1"/>
  <c r="T163" i="15"/>
  <c r="T446" i="15"/>
  <c r="T395" i="15"/>
  <c r="T399" i="15"/>
  <c r="T335" i="15"/>
  <c r="T248" i="15"/>
  <c r="V201" i="15"/>
  <c r="BG201" i="15" s="1"/>
  <c r="T464" i="15"/>
  <c r="T341" i="15"/>
  <c r="T337" i="15"/>
  <c r="T243" i="15"/>
  <c r="T110" i="15"/>
  <c r="T78" i="15"/>
  <c r="V234" i="15"/>
  <c r="W234" i="15" s="1"/>
  <c r="AG391" i="15"/>
  <c r="AP391" i="15" s="1"/>
  <c r="T472" i="15"/>
  <c r="T430" i="15"/>
  <c r="AG297" i="15"/>
  <c r="AP297" i="15" s="1"/>
  <c r="V293" i="15"/>
  <c r="BG293" i="15" s="1"/>
  <c r="T255" i="15"/>
  <c r="V145" i="15"/>
  <c r="W145" i="15" s="1"/>
  <c r="T137" i="15"/>
  <c r="U109" i="15" a="1"/>
  <c r="U109" i="15" s="1"/>
  <c r="X109" i="15" s="1"/>
  <c r="BE109" i="15" s="1"/>
  <c r="T169" i="15"/>
  <c r="U115" i="15" a="1"/>
  <c r="U115" i="15" s="1"/>
  <c r="X115" i="15" s="1"/>
  <c r="BE115" i="15" s="1"/>
  <c r="T360" i="15"/>
  <c r="T270" i="15"/>
  <c r="T266" i="15"/>
  <c r="V42" i="15"/>
  <c r="W42" i="15" s="1"/>
  <c r="V278" i="15"/>
  <c r="W278" i="15" s="1"/>
  <c r="V114" i="15"/>
  <c r="W114" i="15" s="1"/>
  <c r="T486" i="15"/>
  <c r="V367" i="15"/>
  <c r="W367" i="15" s="1"/>
  <c r="T338" i="15"/>
  <c r="T172" i="15"/>
  <c r="V473" i="15"/>
  <c r="W473" i="15" s="1"/>
  <c r="V269" i="15"/>
  <c r="AG269" i="15" s="1"/>
  <c r="T469" i="15"/>
  <c r="T155" i="15"/>
  <c r="V40" i="15"/>
  <c r="T403" i="15"/>
  <c r="AG390" i="15"/>
  <c r="AP390" i="15" s="1"/>
  <c r="V287" i="15"/>
  <c r="W287" i="15" s="1"/>
  <c r="AG180" i="15"/>
  <c r="AP180" i="15" s="1"/>
  <c r="V324" i="15"/>
  <c r="AG324" i="15" s="1"/>
  <c r="V15" i="15"/>
  <c r="W15" i="15" s="1"/>
  <c r="U15" i="15" a="1"/>
  <c r="U15" i="15" s="1"/>
  <c r="X15" i="15" s="1"/>
  <c r="BE15" i="15" s="1"/>
  <c r="V344" i="15"/>
  <c r="W344" i="15" s="1"/>
  <c r="AG302" i="15"/>
  <c r="AP302" i="15" s="1"/>
  <c r="V286" i="15"/>
  <c r="W286" i="15" s="1"/>
  <c r="AG163" i="15"/>
  <c r="AP163" i="15" s="1"/>
  <c r="V99" i="15"/>
  <c r="W99" i="15" s="1"/>
  <c r="T389" i="15"/>
  <c r="V471" i="15"/>
  <c r="W471" i="15" s="1"/>
  <c r="T125" i="15"/>
  <c r="V112" i="15"/>
  <c r="W112" i="15" s="1"/>
  <c r="V483" i="15"/>
  <c r="W483" i="15" s="1"/>
  <c r="T450" i="15"/>
  <c r="V425" i="15"/>
  <c r="W425" i="15" s="1"/>
  <c r="V375" i="15"/>
  <c r="W375" i="15" s="1"/>
  <c r="T355" i="15"/>
  <c r="V326" i="15"/>
  <c r="W326" i="15" s="1"/>
  <c r="T297" i="15"/>
  <c r="V272" i="15"/>
  <c r="W272" i="15" s="1"/>
  <c r="T232" i="15"/>
  <c r="T215" i="15"/>
  <c r="T182" i="15"/>
  <c r="U112" i="15" a="1"/>
  <c r="U112" i="15" s="1"/>
  <c r="X112" i="15" s="1"/>
  <c r="BE112" i="15" s="1"/>
  <c r="V104" i="15"/>
  <c r="W104" i="15" s="1"/>
  <c r="V20" i="15"/>
  <c r="T404" i="15"/>
  <c r="T396" i="15"/>
  <c r="V276" i="15"/>
  <c r="W276" i="15" s="1"/>
  <c r="T240" i="15"/>
  <c r="T174" i="15"/>
  <c r="T170" i="15"/>
  <c r="T166" i="15"/>
  <c r="U104" i="15" a="1"/>
  <c r="U104" i="15" s="1"/>
  <c r="X104" i="15" s="1"/>
  <c r="BE104" i="15" s="1"/>
  <c r="U20" i="15" a="1"/>
  <c r="U20" i="15" s="1"/>
  <c r="X20" i="15" s="1"/>
  <c r="BE20" i="15" s="1"/>
  <c r="T11" i="15"/>
  <c r="T330" i="15"/>
  <c r="AG268" i="15"/>
  <c r="AP268" i="15" s="1"/>
  <c r="AG362" i="15"/>
  <c r="AP362" i="15" s="1"/>
  <c r="AG255" i="15"/>
  <c r="AP255" i="15" s="1"/>
  <c r="T462" i="15"/>
  <c r="AG453" i="15"/>
  <c r="AP453" i="15" s="1"/>
  <c r="AG399" i="15"/>
  <c r="AP399" i="15" s="1"/>
  <c r="T313" i="15"/>
  <c r="V300" i="15"/>
  <c r="W300" i="15" s="1"/>
  <c r="AG173" i="15"/>
  <c r="AP173" i="15" s="1"/>
  <c r="V124" i="15"/>
  <c r="W124" i="15" s="1"/>
  <c r="T416" i="15"/>
  <c r="T366" i="15"/>
  <c r="AG341" i="15"/>
  <c r="AP341" i="15" s="1"/>
  <c r="T268" i="15"/>
  <c r="T198" i="15"/>
  <c r="T177" i="15"/>
  <c r="V110" i="15"/>
  <c r="W110" i="15" s="1"/>
  <c r="U102" i="15" a="1"/>
  <c r="U102" i="15" s="1"/>
  <c r="X102" i="15" s="1"/>
  <c r="BE102" i="15" s="1"/>
  <c r="T9" i="15"/>
  <c r="D27" i="23"/>
  <c r="AI296" i="15"/>
  <c r="AR296" i="15" s="1"/>
  <c r="AI425" i="15"/>
  <c r="AR425" i="15" s="1"/>
  <c r="AE230" i="15"/>
  <c r="AE412" i="15"/>
  <c r="AI412" i="15"/>
  <c r="AR412" i="15" s="1"/>
  <c r="AE189" i="15"/>
  <c r="N30" i="23"/>
  <c r="L30" i="23" s="1"/>
  <c r="AI236" i="15"/>
  <c r="AR236" i="15" s="1"/>
  <c r="AE323" i="15"/>
  <c r="H29" i="23"/>
  <c r="D29" i="23" s="1"/>
  <c r="AE263" i="15"/>
  <c r="AE239" i="15"/>
  <c r="AE290" i="15"/>
  <c r="AI190" i="15"/>
  <c r="AR190" i="15" s="1"/>
  <c r="AE481" i="15"/>
  <c r="AI473" i="15"/>
  <c r="AR473" i="15" s="1"/>
  <c r="AE356" i="15"/>
  <c r="AI356" i="15"/>
  <c r="AR356" i="15" s="1"/>
  <c r="AI442" i="15"/>
  <c r="AR442" i="15" s="1"/>
  <c r="AE442" i="15"/>
  <c r="AI451" i="15"/>
  <c r="AR451" i="15" s="1"/>
  <c r="AE369" i="15"/>
  <c r="AI369" i="15"/>
  <c r="AR369" i="15" s="1"/>
  <c r="AI486" i="15"/>
  <c r="AR486" i="15" s="1"/>
  <c r="AI465" i="15"/>
  <c r="AR465" i="15" s="1"/>
  <c r="AI281" i="15"/>
  <c r="AR281" i="15" s="1"/>
  <c r="AE187" i="15"/>
  <c r="AG472" i="15"/>
  <c r="AP472" i="15" s="1"/>
  <c r="AG176" i="15"/>
  <c r="AE322" i="15"/>
  <c r="AI322" i="15"/>
  <c r="AR322" i="15" s="1"/>
  <c r="W166" i="15"/>
  <c r="AG166" i="15"/>
  <c r="AP166" i="15" s="1"/>
  <c r="AI367" i="15"/>
  <c r="AR367" i="15" s="1"/>
  <c r="AE367" i="15"/>
  <c r="AE250" i="15"/>
  <c r="AI250" i="15"/>
  <c r="AR250" i="15" s="1"/>
  <c r="AE206" i="15"/>
  <c r="AI206" i="15"/>
  <c r="AR206" i="15" s="1"/>
  <c r="AE347" i="15"/>
  <c r="AI347" i="15"/>
  <c r="AR347" i="15" s="1"/>
  <c r="AE280" i="15"/>
  <c r="AI280" i="15"/>
  <c r="AR280" i="15" s="1"/>
  <c r="AE461" i="15"/>
  <c r="AI461" i="15"/>
  <c r="AR461" i="15" s="1"/>
  <c r="AI459" i="15"/>
  <c r="AR459" i="15" s="1"/>
  <c r="AE459" i="15"/>
  <c r="AI365" i="15"/>
  <c r="AR365" i="15" s="1"/>
  <c r="AE365" i="15"/>
  <c r="AE256" i="15"/>
  <c r="AI256" i="15"/>
  <c r="AR256" i="15" s="1"/>
  <c r="AI493" i="15"/>
  <c r="AR493" i="15" s="1"/>
  <c r="AE493" i="15"/>
  <c r="AE311" i="15"/>
  <c r="AI311" i="15"/>
  <c r="AR311" i="15" s="1"/>
  <c r="AI157" i="15"/>
  <c r="AR157" i="15" s="1"/>
  <c r="AE157" i="15"/>
  <c r="AI383" i="15"/>
  <c r="AR383" i="15" s="1"/>
  <c r="AE383" i="15"/>
  <c r="AI220" i="15"/>
  <c r="AR220" i="15" s="1"/>
  <c r="AE220" i="15"/>
  <c r="AE488" i="15"/>
  <c r="AI488" i="15"/>
  <c r="AR488" i="15" s="1"/>
  <c r="AE293" i="15"/>
  <c r="AI293" i="15"/>
  <c r="AR293" i="15" s="1"/>
  <c r="AE405" i="15"/>
  <c r="AI405" i="15"/>
  <c r="AR405" i="15" s="1"/>
  <c r="AI474" i="15"/>
  <c r="AR474" i="15" s="1"/>
  <c r="AE474" i="15"/>
  <c r="AI357" i="15"/>
  <c r="AR357" i="15" s="1"/>
  <c r="AE357" i="15"/>
  <c r="AE470" i="15"/>
  <c r="AI470" i="15"/>
  <c r="AR470" i="15" s="1"/>
  <c r="AI427" i="15"/>
  <c r="AR427" i="15" s="1"/>
  <c r="AE427" i="15"/>
  <c r="AI326" i="15"/>
  <c r="AR326" i="15" s="1"/>
  <c r="AE326" i="15"/>
  <c r="AI192" i="15"/>
  <c r="AR192" i="15" s="1"/>
  <c r="AE192" i="15"/>
  <c r="AE458" i="15"/>
  <c r="AI458" i="15"/>
  <c r="AR458" i="15" s="1"/>
  <c r="V485" i="15"/>
  <c r="W485" i="15" s="1"/>
  <c r="T447" i="15"/>
  <c r="T414" i="15"/>
  <c r="T381" i="15"/>
  <c r="V361" i="15"/>
  <c r="W361" i="15" s="1"/>
  <c r="T312" i="15"/>
  <c r="V257" i="15"/>
  <c r="W257" i="15" s="1"/>
  <c r="T220" i="15"/>
  <c r="AG177" i="15"/>
  <c r="V167" i="15"/>
  <c r="V132" i="15"/>
  <c r="W132" i="15" s="1"/>
  <c r="T79" i="15"/>
  <c r="V70" i="15"/>
  <c r="AE453" i="15"/>
  <c r="AG443" i="15"/>
  <c r="AI433" i="15"/>
  <c r="AR433" i="15" s="1"/>
  <c r="T424" i="15"/>
  <c r="T401" i="15"/>
  <c r="AG397" i="15"/>
  <c r="AP397" i="15" s="1"/>
  <c r="T394" i="15"/>
  <c r="T384" i="15"/>
  <c r="V325" i="15"/>
  <c r="W325" i="15" s="1"/>
  <c r="V308" i="15"/>
  <c r="W308" i="15" s="1"/>
  <c r="T283" i="15"/>
  <c r="V267" i="15"/>
  <c r="W267" i="15" s="1"/>
  <c r="AG244" i="15"/>
  <c r="T153" i="15"/>
  <c r="V102" i="15"/>
  <c r="W102" i="15" s="1"/>
  <c r="V410" i="15"/>
  <c r="W410" i="15" s="1"/>
  <c r="T315" i="15"/>
  <c r="V289" i="15"/>
  <c r="W289" i="15" s="1"/>
  <c r="AI272" i="15"/>
  <c r="AR272" i="15" s="1"/>
  <c r="T244" i="15"/>
  <c r="V237" i="15"/>
  <c r="W237" i="15" s="1"/>
  <c r="V212" i="15"/>
  <c r="W212" i="15" s="1"/>
  <c r="V186" i="15"/>
  <c r="BG186" i="15" s="1"/>
  <c r="AI182" i="15"/>
  <c r="AR182" i="15" s="1"/>
  <c r="AG152" i="15"/>
  <c r="V491" i="15"/>
  <c r="W491" i="15" s="1"/>
  <c r="AI416" i="15"/>
  <c r="AR416" i="15" s="1"/>
  <c r="V376" i="15"/>
  <c r="W376" i="15" s="1"/>
  <c r="AG360" i="15"/>
  <c r="AP360" i="15" s="1"/>
  <c r="V318" i="15"/>
  <c r="AG318" i="15" s="1"/>
  <c r="AP318" i="15" s="1"/>
  <c r="AE285" i="15"/>
  <c r="V250" i="15"/>
  <c r="W250" i="15" s="1"/>
  <c r="V192" i="15"/>
  <c r="W192" i="15" s="1"/>
  <c r="V363" i="15"/>
  <c r="W363" i="15" s="1"/>
  <c r="AE471" i="15"/>
  <c r="T433" i="15"/>
  <c r="T348" i="15"/>
  <c r="AI314" i="15"/>
  <c r="AR314" i="15" s="1"/>
  <c r="V282" i="15"/>
  <c r="W282" i="15" s="1"/>
  <c r="AG266" i="15"/>
  <c r="AI243" i="15"/>
  <c r="AR243" i="15" s="1"/>
  <c r="V230" i="15"/>
  <c r="W230" i="15" s="1"/>
  <c r="AG226" i="15"/>
  <c r="T173" i="15"/>
  <c r="U101" i="15" a="1"/>
  <c r="U101" i="15" s="1"/>
  <c r="X101" i="15" s="1"/>
  <c r="BE101" i="15" s="1"/>
  <c r="BG101" i="15" s="1"/>
  <c r="AG481" i="15"/>
  <c r="T484" i="15"/>
  <c r="V449" i="15"/>
  <c r="W449" i="15" s="1"/>
  <c r="T426" i="15"/>
  <c r="T420" i="15"/>
  <c r="AE409" i="15"/>
  <c r="V354" i="15"/>
  <c r="W354" i="15" s="1"/>
  <c r="T351" i="15"/>
  <c r="AG314" i="15"/>
  <c r="V253" i="15"/>
  <c r="AI185" i="15"/>
  <c r="AR185" i="15" s="1"/>
  <c r="T159" i="15"/>
  <c r="AG155" i="15"/>
  <c r="AP155" i="15" s="1"/>
  <c r="T152" i="15"/>
  <c r="T477" i="15"/>
  <c r="V412" i="15"/>
  <c r="AG412" i="15" s="1"/>
  <c r="T392" i="15"/>
  <c r="V350" i="15"/>
  <c r="AG350" i="15" s="1"/>
  <c r="T214" i="15"/>
  <c r="V194" i="15"/>
  <c r="W194" i="15" s="1"/>
  <c r="AE181" i="15"/>
  <c r="U105" i="15" a="1"/>
  <c r="U105" i="15" s="1"/>
  <c r="X105" i="15" s="1"/>
  <c r="BE105" i="15" s="1"/>
  <c r="V428" i="15"/>
  <c r="W428" i="15" s="1"/>
  <c r="V320" i="15"/>
  <c r="W320" i="15" s="1"/>
  <c r="T448" i="15"/>
  <c r="V415" i="15"/>
  <c r="W415" i="15" s="1"/>
  <c r="V329" i="15"/>
  <c r="W329" i="15" s="1"/>
  <c r="T252" i="15"/>
  <c r="T249" i="15"/>
  <c r="T204" i="15"/>
  <c r="U90" i="15" a="1"/>
  <c r="U90" i="15" s="1"/>
  <c r="X90" i="15" s="1"/>
  <c r="BE90" i="15" s="1"/>
  <c r="T67" i="15"/>
  <c r="AG492" i="15"/>
  <c r="V454" i="15"/>
  <c r="W454" i="15" s="1"/>
  <c r="AG447" i="15"/>
  <c r="V444" i="15"/>
  <c r="W444" i="15" s="1"/>
  <c r="V441" i="15"/>
  <c r="W441" i="15" s="1"/>
  <c r="T438" i="15"/>
  <c r="AG381" i="15"/>
  <c r="T374" i="15"/>
  <c r="V305" i="15"/>
  <c r="AG305" i="15" s="1"/>
  <c r="AG193" i="15"/>
  <c r="V187" i="15"/>
  <c r="W187" i="15" s="1"/>
  <c r="V129" i="15"/>
  <c r="W129" i="15" s="1"/>
  <c r="T126" i="15"/>
  <c r="V97" i="15"/>
  <c r="W97" i="15" s="1"/>
  <c r="V82" i="15"/>
  <c r="W82" i="15" s="1"/>
  <c r="V434" i="15"/>
  <c r="W434" i="15" s="1"/>
  <c r="AG421" i="15"/>
  <c r="AG414" i="15"/>
  <c r="T388" i="15"/>
  <c r="T332" i="15"/>
  <c r="AG328" i="15"/>
  <c r="AG280" i="15"/>
  <c r="T274" i="15"/>
  <c r="AI216" i="15"/>
  <c r="AR216" i="15" s="1"/>
  <c r="AI196" i="15"/>
  <c r="AR196" i="15" s="1"/>
  <c r="T184" i="15"/>
  <c r="V181" i="15"/>
  <c r="AG346" i="15"/>
  <c r="AE167" i="15"/>
  <c r="V475" i="15"/>
  <c r="W475" i="15" s="1"/>
  <c r="V466" i="15"/>
  <c r="W466" i="15" s="1"/>
  <c r="T398" i="15"/>
  <c r="T391" i="15"/>
  <c r="AG358" i="15"/>
  <c r="AI315" i="15"/>
  <c r="AR315" i="15" s="1"/>
  <c r="V261" i="15"/>
  <c r="W261" i="15" s="1"/>
  <c r="V251" i="15"/>
  <c r="W251" i="15" s="1"/>
  <c r="T228" i="15"/>
  <c r="T210" i="15"/>
  <c r="AI199" i="15"/>
  <c r="AR199" i="15" s="1"/>
  <c r="AG153" i="15"/>
  <c r="AP153" i="15" s="1"/>
  <c r="AI149" i="15"/>
  <c r="AR149" i="15" s="1"/>
  <c r="V122" i="15"/>
  <c r="W122" i="15" s="1"/>
  <c r="V14" i="15"/>
  <c r="V6" i="15"/>
  <c r="T492" i="15"/>
  <c r="AG488" i="15"/>
  <c r="V463" i="15"/>
  <c r="V460" i="15"/>
  <c r="W460" i="15" s="1"/>
  <c r="V370" i="15"/>
  <c r="BG370" i="15" s="1"/>
  <c r="V349" i="15"/>
  <c r="BG349" i="15" s="1"/>
  <c r="T346" i="15"/>
  <c r="T343" i="15"/>
  <c r="AG228" i="15"/>
  <c r="T193" i="15"/>
  <c r="T157" i="15"/>
  <c r="V115" i="15"/>
  <c r="W115" i="15" s="1"/>
  <c r="V75" i="15"/>
  <c r="AE300" i="15"/>
  <c r="AI300" i="15"/>
  <c r="AR300" i="15" s="1"/>
  <c r="AE242" i="15"/>
  <c r="AI242" i="15"/>
  <c r="AR242" i="15" s="1"/>
  <c r="AI289" i="15"/>
  <c r="AR289" i="15" s="1"/>
  <c r="AE289" i="15"/>
  <c r="AE233" i="15"/>
  <c r="AI233" i="15"/>
  <c r="AR233" i="15" s="1"/>
  <c r="AG398" i="15"/>
  <c r="AP398" i="15" s="1"/>
  <c r="W398" i="15"/>
  <c r="AI364" i="15"/>
  <c r="AR364" i="15" s="1"/>
  <c r="AE364" i="15"/>
  <c r="T474" i="15"/>
  <c r="V474" i="15"/>
  <c r="BG474" i="15" s="1"/>
  <c r="T364" i="15"/>
  <c r="V364" i="15"/>
  <c r="BG364" i="15" s="1"/>
  <c r="AE292" i="15"/>
  <c r="AI292" i="15"/>
  <c r="AR292" i="15" s="1"/>
  <c r="AE229" i="15"/>
  <c r="AI229" i="15"/>
  <c r="AR229" i="15" s="1"/>
  <c r="T150" i="15"/>
  <c r="AE441" i="15"/>
  <c r="AI441" i="15"/>
  <c r="AR441" i="15" s="1"/>
  <c r="AE462" i="15"/>
  <c r="AI406" i="15"/>
  <c r="AR406" i="15" s="1"/>
  <c r="AE406" i="15"/>
  <c r="T334" i="15"/>
  <c r="AG249" i="15"/>
  <c r="W249" i="15"/>
  <c r="V225" i="15"/>
  <c r="BG225" i="15" s="1"/>
  <c r="AE362" i="15"/>
  <c r="AI362" i="15"/>
  <c r="W404" i="15"/>
  <c r="AG404" i="15"/>
  <c r="AE443" i="15"/>
  <c r="AI443" i="15"/>
  <c r="AG424" i="15"/>
  <c r="W424" i="15"/>
  <c r="T490" i="15"/>
  <c r="T482" i="15"/>
  <c r="AI476" i="15"/>
  <c r="AR476" i="15" s="1"/>
  <c r="AE476" i="15"/>
  <c r="T427" i="15"/>
  <c r="V427" i="15"/>
  <c r="BG427" i="15" s="1"/>
  <c r="AE408" i="15"/>
  <c r="V406" i="15"/>
  <c r="BG406" i="15" s="1"/>
  <c r="T406" i="15"/>
  <c r="W355" i="15"/>
  <c r="AG355" i="15"/>
  <c r="T319" i="15"/>
  <c r="AE395" i="15"/>
  <c r="AI395" i="15"/>
  <c r="AR395" i="15" s="1"/>
  <c r="AI452" i="15"/>
  <c r="AR452" i="15" s="1"/>
  <c r="AE452" i="15"/>
  <c r="AE422" i="15"/>
  <c r="AI422" i="15"/>
  <c r="AR422" i="15" s="1"/>
  <c r="W490" i="15"/>
  <c r="AG490" i="15"/>
  <c r="AE305" i="15"/>
  <c r="AI305" i="15"/>
  <c r="AR305" i="15" s="1"/>
  <c r="AI284" i="15"/>
  <c r="AR284" i="15" s="1"/>
  <c r="AE284" i="15"/>
  <c r="AI479" i="15"/>
  <c r="AR479" i="15" s="1"/>
  <c r="AE479" i="15"/>
  <c r="V465" i="15"/>
  <c r="T465" i="15"/>
  <c r="T139" i="15"/>
  <c r="V139" i="15"/>
  <c r="BG139" i="15" s="1"/>
  <c r="V400" i="15"/>
  <c r="W400" i="15" s="1"/>
  <c r="T400" i="15"/>
  <c r="T342" i="15"/>
  <c r="V342" i="15"/>
  <c r="W342" i="15" s="1"/>
  <c r="AE308" i="15"/>
  <c r="AI308" i="15"/>
  <c r="AR308" i="15" s="1"/>
  <c r="AI467" i="15"/>
  <c r="AR467" i="15" s="1"/>
  <c r="AE467" i="15"/>
  <c r="T411" i="15"/>
  <c r="V411" i="15"/>
  <c r="BG411" i="15" s="1"/>
  <c r="AG384" i="15"/>
  <c r="AP384" i="15" s="1"/>
  <c r="W384" i="15"/>
  <c r="AE259" i="15"/>
  <c r="AI259" i="15"/>
  <c r="AR259" i="15" s="1"/>
  <c r="AE197" i="15"/>
  <c r="AI197" i="15"/>
  <c r="AR197" i="15" s="1"/>
  <c r="AE386" i="15"/>
  <c r="AI386" i="15"/>
  <c r="AR386" i="15" s="1"/>
  <c r="V353" i="15"/>
  <c r="W353" i="15" s="1"/>
  <c r="T353" i="15"/>
  <c r="AI429" i="15"/>
  <c r="AR429" i="15" s="1"/>
  <c r="AE429" i="15"/>
  <c r="V393" i="15"/>
  <c r="BG393" i="15" s="1"/>
  <c r="T393" i="15"/>
  <c r="W467" i="15"/>
  <c r="AG467" i="15"/>
  <c r="W450" i="15"/>
  <c r="AG450" i="15"/>
  <c r="AG351" i="15"/>
  <c r="W351" i="15"/>
  <c r="AE339" i="15"/>
  <c r="AI339" i="15"/>
  <c r="AR339" i="15" s="1"/>
  <c r="AG271" i="15"/>
  <c r="AE184" i="15"/>
  <c r="AI184" i="15"/>
  <c r="AR184" i="15" s="1"/>
  <c r="AI404" i="15"/>
  <c r="AR404" i="15" s="1"/>
  <c r="AE404" i="15"/>
  <c r="AE417" i="15"/>
  <c r="AI417" i="15"/>
  <c r="AR417" i="15" s="1"/>
  <c r="AE492" i="15"/>
  <c r="AI492" i="15"/>
  <c r="T371" i="15"/>
  <c r="V371" i="15"/>
  <c r="W371" i="15" s="1"/>
  <c r="AE483" i="15"/>
  <c r="AE348" i="15"/>
  <c r="AI348" i="15"/>
  <c r="AR348" i="15" s="1"/>
  <c r="V311" i="15"/>
  <c r="BG311" i="15" s="1"/>
  <c r="AE286" i="15"/>
  <c r="AI286" i="15"/>
  <c r="AR286" i="15" s="1"/>
  <c r="T246" i="15"/>
  <c r="U113" i="15" a="1"/>
  <c r="U113" i="15" s="1"/>
  <c r="X113" i="15" s="1"/>
  <c r="BE113" i="15" s="1"/>
  <c r="T113" i="15"/>
  <c r="V113" i="15"/>
  <c r="W113" i="15" s="1"/>
  <c r="AE162" i="15"/>
  <c r="AI162" i="15"/>
  <c r="AR162" i="15" s="1"/>
  <c r="AE354" i="15"/>
  <c r="V339" i="15"/>
  <c r="W339" i="15" s="1"/>
  <c r="AG313" i="15"/>
  <c r="W313" i="15"/>
  <c r="T294" i="15"/>
  <c r="V294" i="15"/>
  <c r="BG294" i="15" s="1"/>
  <c r="AI283" i="15"/>
  <c r="AR283" i="15" s="1"/>
  <c r="AI266" i="15"/>
  <c r="AR266" i="15" s="1"/>
  <c r="AG205" i="15"/>
  <c r="AI193" i="15"/>
  <c r="AR193" i="15" s="1"/>
  <c r="AI186" i="15"/>
  <c r="AR186" i="15" s="1"/>
  <c r="AE186" i="15"/>
  <c r="T76" i="15"/>
  <c r="V76" i="15"/>
  <c r="W76" i="15" s="1"/>
  <c r="T259" i="15"/>
  <c r="V259" i="15"/>
  <c r="W259" i="15" s="1"/>
  <c r="AG430" i="15"/>
  <c r="V408" i="15"/>
  <c r="AE401" i="15"/>
  <c r="AE352" i="15"/>
  <c r="AE320" i="15"/>
  <c r="AE310" i="15"/>
  <c r="AI310" i="15"/>
  <c r="AR310" i="15" s="1"/>
  <c r="T302" i="15"/>
  <c r="AG254" i="15"/>
  <c r="W254" i="15"/>
  <c r="AG239" i="15"/>
  <c r="AP239" i="15" s="1"/>
  <c r="AI161" i="15"/>
  <c r="AR161" i="15" s="1"/>
  <c r="V138" i="15"/>
  <c r="BG138" i="15" s="1"/>
  <c r="T138" i="15"/>
  <c r="T327" i="15"/>
  <c r="AE226" i="15"/>
  <c r="T213" i="15"/>
  <c r="V213" i="15"/>
  <c r="BG213" i="15" s="1"/>
  <c r="AI158" i="15"/>
  <c r="AR158" i="15" s="1"/>
  <c r="V419" i="15"/>
  <c r="BG419" i="15" s="1"/>
  <c r="AG401" i="15"/>
  <c r="V333" i="15"/>
  <c r="W333" i="15" s="1"/>
  <c r="T333" i="15"/>
  <c r="AG304" i="15"/>
  <c r="T281" i="15"/>
  <c r="V281" i="15"/>
  <c r="V221" i="15"/>
  <c r="BG221" i="15" s="1"/>
  <c r="T221" i="15"/>
  <c r="U99" i="15" a="1"/>
  <c r="U99" i="15" s="1"/>
  <c r="X99" i="15" s="1"/>
  <c r="BE99" i="15" s="1"/>
  <c r="V9" i="15"/>
  <c r="W9" i="15" s="1"/>
  <c r="AE359" i="15"/>
  <c r="AI359" i="15"/>
  <c r="AR359" i="15" s="1"/>
  <c r="AI333" i="15"/>
  <c r="AR333" i="15" s="1"/>
  <c r="AE333" i="15"/>
  <c r="AE258" i="15"/>
  <c r="AI258" i="15"/>
  <c r="AR258" i="15" s="1"/>
  <c r="V143" i="15"/>
  <c r="W143" i="15" s="1"/>
  <c r="T143" i="15"/>
  <c r="T68" i="15"/>
  <c r="V68" i="15"/>
  <c r="BG68" i="15" s="1"/>
  <c r="U22" i="15" a="1"/>
  <c r="U22" i="15" s="1"/>
  <c r="X22" i="15" s="1"/>
  <c r="BE22" i="15" s="1"/>
  <c r="V22" i="15"/>
  <c r="L72" i="16" s="1"/>
  <c r="T489" i="15"/>
  <c r="T487" i="15"/>
  <c r="AG477" i="15"/>
  <c r="W477" i="15"/>
  <c r="V378" i="15"/>
  <c r="W378" i="15" s="1"/>
  <c r="T378" i="15"/>
  <c r="AG335" i="15"/>
  <c r="AP335" i="15" s="1"/>
  <c r="AG243" i="15"/>
  <c r="V241" i="15"/>
  <c r="BG241" i="15" s="1"/>
  <c r="T218" i="15"/>
  <c r="AE215" i="15"/>
  <c r="AI215" i="15"/>
  <c r="AR215" i="15" s="1"/>
  <c r="T307" i="15"/>
  <c r="V307" i="15"/>
  <c r="BG307" i="15" s="1"/>
  <c r="AE210" i="15"/>
  <c r="AI210" i="15"/>
  <c r="AI164" i="15"/>
  <c r="AR164" i="15" s="1"/>
  <c r="AE164" i="15"/>
  <c r="U116" i="15" a="1"/>
  <c r="U116" i="15" s="1"/>
  <c r="X116" i="15" s="1"/>
  <c r="BE116" i="15" s="1"/>
  <c r="T116" i="15"/>
  <c r="V116" i="15"/>
  <c r="W116" i="15" s="1"/>
  <c r="U84" i="15" a="1"/>
  <c r="U84" i="15" s="1"/>
  <c r="X84" i="15" s="1"/>
  <c r="BE84" i="15" s="1"/>
  <c r="V84" i="15"/>
  <c r="W84" i="15" s="1"/>
  <c r="V288" i="15"/>
  <c r="W288" i="15" s="1"/>
  <c r="T288" i="15"/>
  <c r="AI343" i="15"/>
  <c r="AR343" i="15" s="1"/>
  <c r="AE343" i="15"/>
  <c r="AI303" i="15"/>
  <c r="AR303" i="15" s="1"/>
  <c r="V285" i="15"/>
  <c r="T285" i="15"/>
  <c r="V260" i="15"/>
  <c r="BG260" i="15" s="1"/>
  <c r="V148" i="15"/>
  <c r="W148" i="15" s="1"/>
  <c r="V299" i="15"/>
  <c r="W299" i="15" s="1"/>
  <c r="T299" i="15"/>
  <c r="AG231" i="15"/>
  <c r="AG486" i="15"/>
  <c r="V432" i="15"/>
  <c r="W432" i="15" s="1"/>
  <c r="AE317" i="15"/>
  <c r="AI317" i="15"/>
  <c r="AR317" i="15" s="1"/>
  <c r="AE446" i="15"/>
  <c r="AI446" i="15"/>
  <c r="AI234" i="15"/>
  <c r="AE234" i="15"/>
  <c r="T479" i="15"/>
  <c r="V479" i="15"/>
  <c r="BG479" i="15" s="1"/>
  <c r="V372" i="15"/>
  <c r="AG372" i="15" s="1"/>
  <c r="AI338" i="15"/>
  <c r="AR338" i="15" s="1"/>
  <c r="AE338" i="15"/>
  <c r="AG448" i="15"/>
  <c r="AI387" i="15"/>
  <c r="AR387" i="15" s="1"/>
  <c r="AE387" i="15"/>
  <c r="V380" i="15"/>
  <c r="W380" i="15" s="1"/>
  <c r="T380" i="15"/>
  <c r="V352" i="15"/>
  <c r="W352" i="15" s="1"/>
  <c r="T352" i="15"/>
  <c r="AG270" i="15"/>
  <c r="V207" i="15"/>
  <c r="BG207" i="15" s="1"/>
  <c r="T207" i="15"/>
  <c r="AI148" i="15"/>
  <c r="AR148" i="15" s="1"/>
  <c r="AE148" i="15"/>
  <c r="AI448" i="15"/>
  <c r="AR448" i="15" s="1"/>
  <c r="AE448" i="15"/>
  <c r="W409" i="15"/>
  <c r="AG409" i="15"/>
  <c r="T290" i="15"/>
  <c r="T231" i="15"/>
  <c r="V223" i="15"/>
  <c r="W223" i="15" s="1"/>
  <c r="T223" i="15"/>
  <c r="V151" i="15"/>
  <c r="W151" i="15" s="1"/>
  <c r="T151" i="15"/>
  <c r="V130" i="15"/>
  <c r="W130" i="15" s="1"/>
  <c r="V103" i="15"/>
  <c r="W103" i="15" s="1"/>
  <c r="T103" i="15"/>
  <c r="U103" i="15" a="1"/>
  <c r="U103" i="15" s="1"/>
  <c r="X103" i="15" s="1"/>
  <c r="BE103" i="15" s="1"/>
  <c r="V265" i="15"/>
  <c r="BG265" i="15" s="1"/>
  <c r="T265" i="15"/>
  <c r="AG403" i="15"/>
  <c r="AP403" i="15" s="1"/>
  <c r="W403" i="15"/>
  <c r="AE228" i="15"/>
  <c r="AI228" i="15"/>
  <c r="AR228" i="15" s="1"/>
  <c r="AI154" i="15"/>
  <c r="AR154" i="15" s="1"/>
  <c r="AE154" i="15"/>
  <c r="T340" i="15"/>
  <c r="V340" i="15"/>
  <c r="BG340" i="15" s="1"/>
  <c r="AE390" i="15"/>
  <c r="AI390" i="15"/>
  <c r="AI169" i="15"/>
  <c r="AR169" i="15" s="1"/>
  <c r="AE169" i="15"/>
  <c r="AE265" i="15"/>
  <c r="AI265" i="15"/>
  <c r="AR265" i="15" s="1"/>
  <c r="AE413" i="15"/>
  <c r="AI413" i="15"/>
  <c r="AR413" i="15" s="1"/>
  <c r="AI235" i="15"/>
  <c r="AR235" i="15" s="1"/>
  <c r="T459" i="15"/>
  <c r="V459" i="15"/>
  <c r="BG459" i="15" s="1"/>
  <c r="AG337" i="15"/>
  <c r="AP337" i="15" s="1"/>
  <c r="AG388" i="15"/>
  <c r="AP388" i="15" s="1"/>
  <c r="V303" i="15"/>
  <c r="T303" i="15"/>
  <c r="T262" i="15"/>
  <c r="V262" i="15"/>
  <c r="W262" i="15" s="1"/>
  <c r="T171" i="15"/>
  <c r="V171" i="15"/>
  <c r="W171" i="15" s="1"/>
  <c r="AG438" i="15"/>
  <c r="W438" i="15"/>
  <c r="V323" i="15"/>
  <c r="T323" i="15"/>
  <c r="T455" i="15"/>
  <c r="V455" i="15"/>
  <c r="BG455" i="15" s="1"/>
  <c r="AI166" i="15"/>
  <c r="AR166" i="15" s="1"/>
  <c r="AE166" i="15"/>
  <c r="T178" i="15"/>
  <c r="V178" i="15"/>
  <c r="W178" i="15" s="1"/>
  <c r="V190" i="15"/>
  <c r="AG190" i="15" s="1"/>
  <c r="T190" i="15"/>
  <c r="W154" i="15"/>
  <c r="AG154" i="15"/>
  <c r="AP154" i="15" s="1"/>
  <c r="V470" i="15"/>
  <c r="BG470" i="15" s="1"/>
  <c r="T470" i="15"/>
  <c r="AG174" i="15"/>
  <c r="AI445" i="15"/>
  <c r="AR445" i="15" s="1"/>
  <c r="AE438" i="15"/>
  <c r="AE227" i="15"/>
  <c r="AG203" i="15"/>
  <c r="T168" i="15"/>
  <c r="V168" i="15"/>
  <c r="AG168" i="15" s="1"/>
  <c r="W157" i="15"/>
  <c r="AG157" i="15"/>
  <c r="T77" i="15"/>
  <c r="V77" i="15"/>
  <c r="W77" i="15" s="1"/>
  <c r="AG484" i="15"/>
  <c r="AE321" i="15"/>
  <c r="AI321" i="15"/>
  <c r="AR321" i="15" s="1"/>
  <c r="AE178" i="15"/>
  <c r="AI178" i="15"/>
  <c r="AR178" i="15" s="1"/>
  <c r="U98" i="15" a="1"/>
  <c r="U98" i="15" s="1"/>
  <c r="X98" i="15" s="1"/>
  <c r="BE98" i="15" s="1"/>
  <c r="V98" i="15"/>
  <c r="W98" i="15" s="1"/>
  <c r="V13" i="15"/>
  <c r="T13" i="15"/>
  <c r="T316" i="15"/>
  <c r="V316" i="15"/>
  <c r="W316" i="15" s="1"/>
  <c r="T146" i="15"/>
  <c r="V146" i="15"/>
  <c r="W146" i="15" s="1"/>
  <c r="AI380" i="15"/>
  <c r="AR380" i="15" s="1"/>
  <c r="AE380" i="15"/>
  <c r="AG482" i="15"/>
  <c r="V451" i="15"/>
  <c r="T451" i="15"/>
  <c r="V418" i="15"/>
  <c r="W418" i="15" s="1"/>
  <c r="T418" i="15"/>
  <c r="AI238" i="15"/>
  <c r="AR238" i="15" s="1"/>
  <c r="AE238" i="15"/>
  <c r="T208" i="15"/>
  <c r="V208" i="15"/>
  <c r="W208" i="15" s="1"/>
  <c r="U87" i="15" a="1"/>
  <c r="U87" i="15" s="1"/>
  <c r="X87" i="15" s="1"/>
  <c r="BE87" i="15" s="1"/>
  <c r="V87" i="15"/>
  <c r="W87" i="15" s="1"/>
  <c r="AG315" i="15"/>
  <c r="T235" i="15"/>
  <c r="V235" i="15"/>
  <c r="AG170" i="15"/>
  <c r="W170" i="15"/>
  <c r="T144" i="15"/>
  <c r="V144" i="15"/>
  <c r="W144" i="15" s="1"/>
  <c r="AG402" i="15"/>
  <c r="AP402" i="15" s="1"/>
  <c r="AE244" i="15"/>
  <c r="AI244" i="15"/>
  <c r="AR244" i="15" s="1"/>
  <c r="AI254" i="15"/>
  <c r="AR254" i="15" s="1"/>
  <c r="AE254" i="15"/>
  <c r="AG217" i="15"/>
  <c r="AE180" i="15"/>
  <c r="AI180" i="15"/>
  <c r="AR180" i="15" s="1"/>
  <c r="AG420" i="15"/>
  <c r="AG191" i="15"/>
  <c r="AG195" i="15"/>
  <c r="T183" i="15"/>
  <c r="V183" i="15"/>
  <c r="W183" i="15" s="1"/>
  <c r="V185" i="15"/>
  <c r="W185" i="15" s="1"/>
  <c r="T185" i="15"/>
  <c r="AG182" i="15"/>
  <c r="AG416" i="15"/>
  <c r="AG343" i="15"/>
  <c r="U83" i="15" a="1"/>
  <c r="U83" i="15" s="1"/>
  <c r="X83" i="15" s="1"/>
  <c r="BE83" i="15" s="1"/>
  <c r="V83" i="15"/>
  <c r="W83" i="15" s="1"/>
  <c r="T236" i="15"/>
  <c r="U6" i="15" a="1"/>
  <c r="U6" i="15" s="1"/>
  <c r="X6" i="15" s="1"/>
  <c r="BE6" i="15" s="1"/>
  <c r="AG248" i="15"/>
  <c r="AP248" i="15" s="1"/>
  <c r="AG222" i="15"/>
  <c r="AG345" i="15"/>
  <c r="AP345" i="15" s="1"/>
  <c r="AE468" i="15"/>
  <c r="AI468" i="15"/>
  <c r="AR468" i="15" s="1"/>
  <c r="AG464" i="15"/>
  <c r="W464" i="15"/>
  <c r="AI456" i="15"/>
  <c r="AR456" i="15" s="1"/>
  <c r="AE456" i="15"/>
  <c r="AE482" i="15"/>
  <c r="AI482" i="15"/>
  <c r="AE472" i="15"/>
  <c r="AI472" i="15"/>
  <c r="AR472" i="15" s="1"/>
  <c r="AI475" i="15"/>
  <c r="AR475" i="15" s="1"/>
  <c r="AE475" i="15"/>
  <c r="AE487" i="15"/>
  <c r="AI487" i="15"/>
  <c r="AR487" i="15" s="1"/>
  <c r="AG487" i="15"/>
  <c r="W487" i="15"/>
  <c r="AE485" i="15"/>
  <c r="AI485" i="15"/>
  <c r="AR485" i="15" s="1"/>
  <c r="AE480" i="15"/>
  <c r="AI480" i="15"/>
  <c r="AI449" i="15"/>
  <c r="AR449" i="15" s="1"/>
  <c r="AE449" i="15"/>
  <c r="AI403" i="15"/>
  <c r="AR403" i="15" s="1"/>
  <c r="AE403" i="15"/>
  <c r="AI478" i="15"/>
  <c r="AR478" i="15" s="1"/>
  <c r="AE478" i="15"/>
  <c r="T445" i="15"/>
  <c r="V445" i="15"/>
  <c r="W445" i="15" s="1"/>
  <c r="W426" i="15"/>
  <c r="AG426" i="15"/>
  <c r="AI407" i="15"/>
  <c r="AR407" i="15" s="1"/>
  <c r="AE407" i="15"/>
  <c r="W274" i="15"/>
  <c r="AG274" i="15"/>
  <c r="AE477" i="15"/>
  <c r="AI477" i="15"/>
  <c r="AR477" i="15" s="1"/>
  <c r="AE400" i="15"/>
  <c r="AI400" i="15"/>
  <c r="AR400" i="15" s="1"/>
  <c r="AE396" i="15"/>
  <c r="AI396" i="15"/>
  <c r="AR396" i="15" s="1"/>
  <c r="AE302" i="15"/>
  <c r="AI302" i="15"/>
  <c r="AR302" i="15" s="1"/>
  <c r="AE463" i="15"/>
  <c r="AI370" i="15"/>
  <c r="AE370" i="15"/>
  <c r="AE268" i="15"/>
  <c r="AI268" i="15"/>
  <c r="AR268" i="15" s="1"/>
  <c r="AI432" i="15"/>
  <c r="AE432" i="15"/>
  <c r="AE430" i="15"/>
  <c r="AI430" i="15"/>
  <c r="AI398" i="15"/>
  <c r="AR398" i="15" s="1"/>
  <c r="AE398" i="15"/>
  <c r="AE376" i="15"/>
  <c r="AI376" i="15"/>
  <c r="AR376" i="15" s="1"/>
  <c r="V493" i="15"/>
  <c r="W493" i="15" s="1"/>
  <c r="T461" i="15"/>
  <c r="AI435" i="15"/>
  <c r="AR435" i="15" s="1"/>
  <c r="AE435" i="15"/>
  <c r="AE418" i="15"/>
  <c r="AI418" i="15"/>
  <c r="AR418" i="15" s="1"/>
  <c r="AE373" i="15"/>
  <c r="AI373" i="15"/>
  <c r="AR373" i="15" s="1"/>
  <c r="W461" i="15"/>
  <c r="AG461" i="15"/>
  <c r="AG392" i="15"/>
  <c r="W392" i="15"/>
  <c r="V369" i="15"/>
  <c r="W369" i="15" s="1"/>
  <c r="T369" i="15"/>
  <c r="AI247" i="15"/>
  <c r="AR247" i="15" s="1"/>
  <c r="AE247" i="15"/>
  <c r="AE469" i="15"/>
  <c r="AI469" i="15"/>
  <c r="AR469" i="15" s="1"/>
  <c r="AI426" i="15"/>
  <c r="AR426" i="15" s="1"/>
  <c r="AE426" i="15"/>
  <c r="AE491" i="15"/>
  <c r="AI491" i="15"/>
  <c r="AI457" i="15"/>
  <c r="AR457" i="15" s="1"/>
  <c r="AE457" i="15"/>
  <c r="V385" i="15"/>
  <c r="W385" i="15" s="1"/>
  <c r="T385" i="15"/>
  <c r="AE455" i="15"/>
  <c r="AI455" i="15"/>
  <c r="AE375" i="15"/>
  <c r="AI375" i="15"/>
  <c r="AR375" i="15" s="1"/>
  <c r="AE325" i="15"/>
  <c r="AI325" i="15"/>
  <c r="AR325" i="15" s="1"/>
  <c r="AE294" i="15"/>
  <c r="AI294" i="15"/>
  <c r="AR294" i="15" s="1"/>
  <c r="T478" i="15"/>
  <c r="V478" i="15"/>
  <c r="BG478" i="15" s="1"/>
  <c r="AI447" i="15"/>
  <c r="AE447" i="15"/>
  <c r="AE269" i="15"/>
  <c r="AI269" i="15"/>
  <c r="AR269" i="15" s="1"/>
  <c r="W472" i="15"/>
  <c r="AI450" i="15"/>
  <c r="AR450" i="15" s="1"/>
  <c r="AE450" i="15"/>
  <c r="AE411" i="15"/>
  <c r="AI411" i="15"/>
  <c r="AI490" i="15"/>
  <c r="AE484" i="15"/>
  <c r="AI484" i="15"/>
  <c r="AR484" i="15" s="1"/>
  <c r="AG469" i="15"/>
  <c r="AE454" i="15"/>
  <c r="AI454" i="15"/>
  <c r="AR454" i="15" s="1"/>
  <c r="AE444" i="15"/>
  <c r="AI444" i="15"/>
  <c r="AE434" i="15"/>
  <c r="AE428" i="15"/>
  <c r="AI428" i="15"/>
  <c r="AR428" i="15" s="1"/>
  <c r="T436" i="15"/>
  <c r="V436" i="15"/>
  <c r="BG436" i="15" s="1"/>
  <c r="AI410" i="15"/>
  <c r="AR410" i="15" s="1"/>
  <c r="AE410" i="15"/>
  <c r="AE270" i="15"/>
  <c r="AI270" i="15"/>
  <c r="AE423" i="15"/>
  <c r="AI423" i="15"/>
  <c r="AR423" i="15" s="1"/>
  <c r="AI439" i="15"/>
  <c r="AR439" i="15" s="1"/>
  <c r="AE439" i="15"/>
  <c r="V468" i="15"/>
  <c r="W468" i="15" s="1"/>
  <c r="AE466" i="15"/>
  <c r="AE419" i="15"/>
  <c r="AI419" i="15"/>
  <c r="AR419" i="15" s="1"/>
  <c r="T458" i="15"/>
  <c r="AE431" i="15"/>
  <c r="AI431" i="15"/>
  <c r="AR431" i="15" s="1"/>
  <c r="T417" i="15"/>
  <c r="V417" i="15"/>
  <c r="BG417" i="15" s="1"/>
  <c r="AG456" i="15"/>
  <c r="AG489" i="15"/>
  <c r="AI464" i="15"/>
  <c r="AR464" i="15" s="1"/>
  <c r="AE464" i="15"/>
  <c r="AE460" i="15"/>
  <c r="AI460" i="15"/>
  <c r="AR460" i="15" s="1"/>
  <c r="W458" i="15"/>
  <c r="AG458" i="15"/>
  <c r="AE437" i="15"/>
  <c r="AE436" i="15"/>
  <c r="AI436" i="15"/>
  <c r="AR436" i="15" s="1"/>
  <c r="AE421" i="15"/>
  <c r="AI421" i="15"/>
  <c r="AR421" i="15" s="1"/>
  <c r="AE414" i="15"/>
  <c r="AI414" i="15"/>
  <c r="AR414" i="15" s="1"/>
  <c r="AE391" i="15"/>
  <c r="AI391" i="15"/>
  <c r="AI384" i="15"/>
  <c r="AR384" i="15" s="1"/>
  <c r="AE384" i="15"/>
  <c r="AE489" i="15"/>
  <c r="AI489" i="15"/>
  <c r="AR489" i="15" s="1"/>
  <c r="T431" i="15"/>
  <c r="V431" i="15"/>
  <c r="BG431" i="15" s="1"/>
  <c r="AE393" i="15"/>
  <c r="AI393" i="15"/>
  <c r="AR393" i="15" s="1"/>
  <c r="AG395" i="15"/>
  <c r="W395" i="15"/>
  <c r="AG332" i="15"/>
  <c r="W332" i="15"/>
  <c r="AI319" i="15"/>
  <c r="AR319" i="15" s="1"/>
  <c r="AE319" i="15"/>
  <c r="AE424" i="15"/>
  <c r="AI424" i="15"/>
  <c r="AR424" i="15" s="1"/>
  <c r="AI349" i="15"/>
  <c r="AE349" i="15"/>
  <c r="AE346" i="15"/>
  <c r="AI346" i="15"/>
  <c r="AR346" i="15" s="1"/>
  <c r="AE277" i="15"/>
  <c r="AI277" i="15"/>
  <c r="AR277" i="15" s="1"/>
  <c r="AE257" i="15"/>
  <c r="AI257" i="15"/>
  <c r="AR257" i="15" s="1"/>
  <c r="AI385" i="15"/>
  <c r="AR385" i="15" s="1"/>
  <c r="AE385" i="15"/>
  <c r="T292" i="15"/>
  <c r="V292" i="15"/>
  <c r="BG292" i="15" s="1"/>
  <c r="AE251" i="15"/>
  <c r="AI251" i="15"/>
  <c r="AR251" i="15" s="1"/>
  <c r="AE377" i="15"/>
  <c r="AI377" i="15"/>
  <c r="AR377" i="15" s="1"/>
  <c r="AE374" i="15"/>
  <c r="AI374" i="15"/>
  <c r="AR374" i="15" s="1"/>
  <c r="AE351" i="15"/>
  <c r="AI351" i="15"/>
  <c r="AR351" i="15" s="1"/>
  <c r="V377" i="15"/>
  <c r="BG377" i="15" s="1"/>
  <c r="T377" i="15"/>
  <c r="W374" i="15"/>
  <c r="AG374" i="15"/>
  <c r="AE371" i="15"/>
  <c r="AI371" i="15"/>
  <c r="AR371" i="15" s="1"/>
  <c r="AE366" i="15"/>
  <c r="AI366" i="15"/>
  <c r="AR366" i="15" s="1"/>
  <c r="AI282" i="15"/>
  <c r="AR282" i="15" s="1"/>
  <c r="AE282" i="15"/>
  <c r="T467" i="15"/>
  <c r="T457" i="15"/>
  <c r="V457" i="15"/>
  <c r="W457" i="15" s="1"/>
  <c r="T453" i="15"/>
  <c r="T421" i="15"/>
  <c r="AE388" i="15"/>
  <c r="AI388" i="15"/>
  <c r="AR388" i="15" s="1"/>
  <c r="AI335" i="15"/>
  <c r="AR335" i="15" s="1"/>
  <c r="AE335" i="15"/>
  <c r="T435" i="15"/>
  <c r="V435" i="15"/>
  <c r="W435" i="15" s="1"/>
  <c r="V422" i="15"/>
  <c r="W422" i="15" s="1"/>
  <c r="T422" i="15"/>
  <c r="AI382" i="15"/>
  <c r="AR382" i="15" s="1"/>
  <c r="AE382" i="15"/>
  <c r="AE337" i="15"/>
  <c r="AI337" i="15"/>
  <c r="AR337" i="15" s="1"/>
  <c r="AI274" i="15"/>
  <c r="AR274" i="15" s="1"/>
  <c r="AE274" i="15"/>
  <c r="T429" i="15"/>
  <c r="V429" i="15"/>
  <c r="W429" i="15" s="1"/>
  <c r="AI378" i="15"/>
  <c r="AE378" i="15"/>
  <c r="AE287" i="15"/>
  <c r="AI287" i="15"/>
  <c r="AR287" i="15" s="1"/>
  <c r="AG462" i="15"/>
  <c r="V452" i="15"/>
  <c r="BG452" i="15" s="1"/>
  <c r="AG209" i="15"/>
  <c r="W209" i="15"/>
  <c r="AE372" i="15"/>
  <c r="AI372" i="15"/>
  <c r="AR372" i="15" s="1"/>
  <c r="AE328" i="15"/>
  <c r="AI328" i="15"/>
  <c r="AI316" i="15"/>
  <c r="AR316" i="15" s="1"/>
  <c r="AE316" i="15"/>
  <c r="AE297" i="15"/>
  <c r="AI297" i="15"/>
  <c r="AI402" i="15"/>
  <c r="AE350" i="15"/>
  <c r="AI350" i="15"/>
  <c r="AR350" i="15" s="1"/>
  <c r="AI440" i="15"/>
  <c r="AR440" i="15" s="1"/>
  <c r="AI420" i="15"/>
  <c r="AR420" i="15" s="1"/>
  <c r="AE394" i="15"/>
  <c r="AI394" i="15"/>
  <c r="AR394" i="15" s="1"/>
  <c r="AI340" i="15"/>
  <c r="AR340" i="15" s="1"/>
  <c r="AE340" i="15"/>
  <c r="AE399" i="15"/>
  <c r="AI399" i="15"/>
  <c r="AR399" i="15" s="1"/>
  <c r="AE389" i="15"/>
  <c r="AI389" i="15"/>
  <c r="AR389" i="15" s="1"/>
  <c r="AI381" i="15"/>
  <c r="W312" i="15"/>
  <c r="AG312" i="15"/>
  <c r="AE415" i="15"/>
  <c r="AI415" i="15"/>
  <c r="AR415" i="15" s="1"/>
  <c r="AI397" i="15"/>
  <c r="AR397" i="15" s="1"/>
  <c r="AI392" i="15"/>
  <c r="AR392" i="15" s="1"/>
  <c r="T476" i="15"/>
  <c r="V476" i="15"/>
  <c r="BG476" i="15" s="1"/>
  <c r="V379" i="15"/>
  <c r="W379" i="15" s="1"/>
  <c r="T379" i="15"/>
  <c r="AE368" i="15"/>
  <c r="AI368" i="15"/>
  <c r="AR368" i="15" s="1"/>
  <c r="AE329" i="15"/>
  <c r="AG440" i="15"/>
  <c r="T368" i="15"/>
  <c r="V368" i="15"/>
  <c r="BG368" i="15" s="1"/>
  <c r="AE355" i="15"/>
  <c r="AI355" i="15"/>
  <c r="AE332" i="15"/>
  <c r="AI332" i="15"/>
  <c r="AR332" i="15" s="1"/>
  <c r="AI313" i="15"/>
  <c r="AR313" i="15" s="1"/>
  <c r="AE313" i="15"/>
  <c r="AE214" i="15"/>
  <c r="AI214" i="15"/>
  <c r="AR214" i="15" s="1"/>
  <c r="AE334" i="15"/>
  <c r="AI334" i="15"/>
  <c r="AR334" i="15" s="1"/>
  <c r="T279" i="15"/>
  <c r="V279" i="15"/>
  <c r="W279" i="15" s="1"/>
  <c r="AE330" i="15"/>
  <c r="AI330" i="15"/>
  <c r="AR330" i="15" s="1"/>
  <c r="AE309" i="15"/>
  <c r="AI309" i="15"/>
  <c r="AR309" i="15" s="1"/>
  <c r="AI267" i="15"/>
  <c r="AE267" i="15"/>
  <c r="T162" i="15"/>
  <c r="V162" i="15"/>
  <c r="W162" i="15" s="1"/>
  <c r="T309" i="15"/>
  <c r="AG309" i="15"/>
  <c r="W309" i="15"/>
  <c r="AI221" i="15"/>
  <c r="AE221" i="15"/>
  <c r="AI217" i="15"/>
  <c r="AR217" i="15" s="1"/>
  <c r="AE217" i="15"/>
  <c r="AI223" i="15"/>
  <c r="AR223" i="15" s="1"/>
  <c r="AE223" i="15"/>
  <c r="AI171" i="15"/>
  <c r="AR171" i="15" s="1"/>
  <c r="AE171" i="15"/>
  <c r="AI345" i="15"/>
  <c r="AR345" i="15" s="1"/>
  <c r="AE345" i="15"/>
  <c r="V382" i="15"/>
  <c r="W382" i="15" s="1"/>
  <c r="AE331" i="15"/>
  <c r="AI331" i="15"/>
  <c r="AR331" i="15" s="1"/>
  <c r="T317" i="15"/>
  <c r="V317" i="15"/>
  <c r="BG317" i="15" s="1"/>
  <c r="AE273" i="15"/>
  <c r="AI273" i="15"/>
  <c r="AR273" i="15" s="1"/>
  <c r="AG246" i="15"/>
  <c r="W246" i="15"/>
  <c r="V413" i="15"/>
  <c r="W413" i="15" s="1"/>
  <c r="T397" i="15"/>
  <c r="T310" i="15"/>
  <c r="T273" i="15"/>
  <c r="V273" i="15"/>
  <c r="W273" i="15" s="1"/>
  <c r="AE232" i="15"/>
  <c r="AI232" i="15"/>
  <c r="AR232" i="15" s="1"/>
  <c r="V405" i="15"/>
  <c r="BG405" i="15" s="1"/>
  <c r="T402" i="15"/>
  <c r="V387" i="15"/>
  <c r="BG387" i="15" s="1"/>
  <c r="V331" i="15"/>
  <c r="BG331" i="15" s="1"/>
  <c r="AG298" i="15"/>
  <c r="AE291" i="15"/>
  <c r="AI291" i="15"/>
  <c r="AR291" i="15" s="1"/>
  <c r="T409" i="15"/>
  <c r="AI363" i="15"/>
  <c r="AR363" i="15" s="1"/>
  <c r="AE363" i="15"/>
  <c r="AI318" i="15"/>
  <c r="AE318" i="15"/>
  <c r="T306" i="15"/>
  <c r="V306" i="15"/>
  <c r="BG306" i="15" s="1"/>
  <c r="T295" i="15"/>
  <c r="V295" i="15"/>
  <c r="BG295" i="15" s="1"/>
  <c r="AG293" i="15"/>
  <c r="T291" i="15"/>
  <c r="AE358" i="15"/>
  <c r="AI358" i="15"/>
  <c r="AR358" i="15" s="1"/>
  <c r="AE276" i="15"/>
  <c r="AI360" i="15"/>
  <c r="AR360" i="15" s="1"/>
  <c r="AE360" i="15"/>
  <c r="AE336" i="15"/>
  <c r="AI336" i="15"/>
  <c r="AR336" i="15" s="1"/>
  <c r="AE298" i="15"/>
  <c r="AI298" i="15"/>
  <c r="AR298" i="15" s="1"/>
  <c r="AE262" i="15"/>
  <c r="AI262" i="15"/>
  <c r="AR262" i="15" s="1"/>
  <c r="AG394" i="15"/>
  <c r="AG389" i="15"/>
  <c r="AI379" i="15"/>
  <c r="AR379" i="15" s="1"/>
  <c r="AE379" i="15"/>
  <c r="AE361" i="15"/>
  <c r="AI361" i="15"/>
  <c r="AR361" i="15" s="1"/>
  <c r="AI353" i="15"/>
  <c r="AR353" i="15" s="1"/>
  <c r="AI342" i="15"/>
  <c r="AR342" i="15" s="1"/>
  <c r="AI341" i="15"/>
  <c r="AR341" i="15" s="1"/>
  <c r="AE341" i="15"/>
  <c r="AE324" i="15"/>
  <c r="AI324" i="15"/>
  <c r="AE301" i="15"/>
  <c r="AI301" i="15"/>
  <c r="AR301" i="15" s="1"/>
  <c r="AG283" i="15"/>
  <c r="W283" i="15"/>
  <c r="T238" i="15"/>
  <c r="V238" i="15"/>
  <c r="BG238" i="15" s="1"/>
  <c r="AI222" i="15"/>
  <c r="AR222" i="15" s="1"/>
  <c r="AE222" i="15"/>
  <c r="T358" i="15"/>
  <c r="AI279" i="15"/>
  <c r="AR279" i="15" s="1"/>
  <c r="AI207" i="15"/>
  <c r="AR207" i="15" s="1"/>
  <c r="AE207" i="15"/>
  <c r="AG373" i="15"/>
  <c r="V336" i="15"/>
  <c r="W336" i="15" s="1"/>
  <c r="T336" i="15"/>
  <c r="AG334" i="15"/>
  <c r="AI307" i="15"/>
  <c r="AR307" i="15" s="1"/>
  <c r="AE307" i="15"/>
  <c r="AI299" i="15"/>
  <c r="AR299" i="15" s="1"/>
  <c r="AI209" i="15"/>
  <c r="AR209" i="15" s="1"/>
  <c r="AE209" i="15"/>
  <c r="AI201" i="15"/>
  <c r="AR201" i="15" s="1"/>
  <c r="AE201" i="15"/>
  <c r="AG407" i="15"/>
  <c r="T359" i="15"/>
  <c r="V359" i="15"/>
  <c r="BG359" i="15" s="1"/>
  <c r="AI344" i="15"/>
  <c r="AR344" i="15" s="1"/>
  <c r="AG338" i="15"/>
  <c r="AI312" i="15"/>
  <c r="AR312" i="15" s="1"/>
  <c r="AE312" i="15"/>
  <c r="T296" i="15"/>
  <c r="V296" i="15"/>
  <c r="W296" i="15" s="1"/>
  <c r="W220" i="15"/>
  <c r="AG220" i="15"/>
  <c r="AI204" i="15"/>
  <c r="AR204" i="15" s="1"/>
  <c r="AE204" i="15"/>
  <c r="AI195" i="15"/>
  <c r="AE248" i="15"/>
  <c r="AI248" i="15"/>
  <c r="AR248" i="15" s="1"/>
  <c r="AE275" i="15"/>
  <c r="AI275" i="15"/>
  <c r="AR275" i="15" s="1"/>
  <c r="AI252" i="15"/>
  <c r="AR252" i="15" s="1"/>
  <c r="AE252" i="15"/>
  <c r="W204" i="15"/>
  <c r="AG204" i="15"/>
  <c r="T275" i="15"/>
  <c r="V275" i="15"/>
  <c r="W275" i="15" s="1"/>
  <c r="AI176" i="15"/>
  <c r="AR176" i="15" s="1"/>
  <c r="AE176" i="15"/>
  <c r="T301" i="15"/>
  <c r="T284" i="15"/>
  <c r="V284" i="15"/>
  <c r="W284" i="15" s="1"/>
  <c r="AE212" i="15"/>
  <c r="AI212" i="15"/>
  <c r="AR212" i="15" s="1"/>
  <c r="AI264" i="15"/>
  <c r="AR264" i="15" s="1"/>
  <c r="AE264" i="15"/>
  <c r="V197" i="15"/>
  <c r="W197" i="15" s="1"/>
  <c r="T197" i="15"/>
  <c r="T133" i="15"/>
  <c r="V133" i="15"/>
  <c r="BG133" i="15" s="1"/>
  <c r="V81" i="15"/>
  <c r="BG81" i="15" s="1"/>
  <c r="T81" i="15"/>
  <c r="AI208" i="15"/>
  <c r="AR208" i="15" s="1"/>
  <c r="AE208" i="15"/>
  <c r="AE205" i="15"/>
  <c r="AI205" i="15"/>
  <c r="V357" i="15"/>
  <c r="BG357" i="15" s="1"/>
  <c r="AI200" i="15"/>
  <c r="AR200" i="15" s="1"/>
  <c r="AE200" i="15"/>
  <c r="AE173" i="15"/>
  <c r="AI173" i="15"/>
  <c r="AE150" i="15"/>
  <c r="AI150" i="15"/>
  <c r="AR150" i="15" s="1"/>
  <c r="AG396" i="15"/>
  <c r="T328" i="15"/>
  <c r="AI271" i="15"/>
  <c r="AE271" i="15"/>
  <c r="AI260" i="15"/>
  <c r="AR260" i="15" s="1"/>
  <c r="AE260" i="15"/>
  <c r="AE327" i="15"/>
  <c r="AI327" i="15"/>
  <c r="AR327" i="15" s="1"/>
  <c r="AI304" i="15"/>
  <c r="AE304" i="15"/>
  <c r="AE278" i="15"/>
  <c r="AI278" i="15"/>
  <c r="AE249" i="15"/>
  <c r="AI249" i="15"/>
  <c r="T314" i="15"/>
  <c r="T304" i="15"/>
  <c r="V200" i="15"/>
  <c r="BG200" i="15" s="1"/>
  <c r="T200" i="15"/>
  <c r="AE175" i="15"/>
  <c r="AI175" i="15"/>
  <c r="AR175" i="15" s="1"/>
  <c r="V356" i="15"/>
  <c r="BG356" i="15" s="1"/>
  <c r="T322" i="15"/>
  <c r="V322" i="15"/>
  <c r="W322" i="15" s="1"/>
  <c r="V321" i="15"/>
  <c r="BG321" i="15" s="1"/>
  <c r="AI288" i="15"/>
  <c r="AR288" i="15" s="1"/>
  <c r="AE288" i="15"/>
  <c r="AE261" i="15"/>
  <c r="AI261" i="15"/>
  <c r="AR261" i="15" s="1"/>
  <c r="V347" i="15"/>
  <c r="BG347" i="15" s="1"/>
  <c r="AE295" i="15"/>
  <c r="AI295" i="15"/>
  <c r="AR295" i="15" s="1"/>
  <c r="AE245" i="15"/>
  <c r="AE237" i="15"/>
  <c r="T206" i="15"/>
  <c r="V206" i="15"/>
  <c r="W206" i="15" s="1"/>
  <c r="AG310" i="15"/>
  <c r="AE306" i="15"/>
  <c r="AI306" i="15"/>
  <c r="AR306" i="15" s="1"/>
  <c r="T219" i="15"/>
  <c r="T383" i="15"/>
  <c r="V383" i="15"/>
  <c r="W383" i="15" s="1"/>
  <c r="AG330" i="15"/>
  <c r="W219" i="15"/>
  <c r="AG219" i="15"/>
  <c r="T188" i="15"/>
  <c r="V188" i="15"/>
  <c r="BG188" i="15" s="1"/>
  <c r="AE183" i="15"/>
  <c r="AG290" i="15"/>
  <c r="AI253" i="15"/>
  <c r="AG252" i="15"/>
  <c r="AG214" i="15"/>
  <c r="AE172" i="15"/>
  <c r="AI172" i="15"/>
  <c r="AR172" i="15" s="1"/>
  <c r="AI170" i="15"/>
  <c r="AR170" i="15" s="1"/>
  <c r="AE170" i="15"/>
  <c r="U119" i="15" a="1"/>
  <c r="U119" i="15" s="1"/>
  <c r="X119" i="15" s="1"/>
  <c r="BE119" i="15" s="1"/>
  <c r="V119" i="15"/>
  <c r="W119" i="15" s="1"/>
  <c r="U111" i="15" a="1"/>
  <c r="U111" i="15" s="1"/>
  <c r="X111" i="15" s="1"/>
  <c r="BE111" i="15" s="1"/>
  <c r="V111" i="15"/>
  <c r="W111" i="15" s="1"/>
  <c r="T111" i="15"/>
  <c r="T106" i="15"/>
  <c r="U106" i="15" a="1"/>
  <c r="U106" i="15" s="1"/>
  <c r="X106" i="15" s="1"/>
  <c r="BE106" i="15" s="1"/>
  <c r="V106" i="15"/>
  <c r="W106" i="15" s="1"/>
  <c r="AE213" i="15"/>
  <c r="AI213" i="15"/>
  <c r="AR213" i="15" s="1"/>
  <c r="AG198" i="15"/>
  <c r="AI211" i="15"/>
  <c r="AR211" i="15" s="1"/>
  <c r="AE211" i="15"/>
  <c r="AE198" i="15"/>
  <c r="AI198" i="15"/>
  <c r="AR198" i="15" s="1"/>
  <c r="AI168" i="15"/>
  <c r="AR168" i="15" s="1"/>
  <c r="AE168" i="15"/>
  <c r="AI159" i="15"/>
  <c r="AR159" i="15" s="1"/>
  <c r="AE159" i="15"/>
  <c r="AE144" i="15"/>
  <c r="AI144" i="15"/>
  <c r="AR144" i="15" s="1"/>
  <c r="AE224" i="15"/>
  <c r="AI224" i="15"/>
  <c r="AR224" i="15" s="1"/>
  <c r="AE202" i="15"/>
  <c r="AI202" i="15"/>
  <c r="AR202" i="15" s="1"/>
  <c r="T175" i="15"/>
  <c r="V175" i="15"/>
  <c r="W175" i="15" s="1"/>
  <c r="AE151" i="15"/>
  <c r="AI151" i="15"/>
  <c r="AR151" i="15" s="1"/>
  <c r="AE146" i="15"/>
  <c r="AI146" i="15"/>
  <c r="AR146" i="15" s="1"/>
  <c r="V277" i="15"/>
  <c r="BG277" i="15" s="1"/>
  <c r="T277" i="15"/>
  <c r="T258" i="15"/>
  <c r="V258" i="15"/>
  <c r="W258" i="15" s="1"/>
  <c r="AG240" i="15"/>
  <c r="W228" i="15"/>
  <c r="V227" i="15"/>
  <c r="AI165" i="15"/>
  <c r="AR165" i="15" s="1"/>
  <c r="AE165" i="15"/>
  <c r="T195" i="15"/>
  <c r="T165" i="15"/>
  <c r="T229" i="15"/>
  <c r="V229" i="15"/>
  <c r="BG229" i="15" s="1"/>
  <c r="V224" i="15"/>
  <c r="W224" i="15" s="1"/>
  <c r="T224" i="15"/>
  <c r="AE191" i="15"/>
  <c r="AI191" i="15"/>
  <c r="AI255" i="15"/>
  <c r="AE255" i="15"/>
  <c r="AI241" i="15"/>
  <c r="AR241" i="15" s="1"/>
  <c r="AE241" i="15"/>
  <c r="AE240" i="15"/>
  <c r="AI240" i="15"/>
  <c r="AR240" i="15" s="1"/>
  <c r="AE218" i="15"/>
  <c r="AI218" i="15"/>
  <c r="AR218" i="15" s="1"/>
  <c r="T202" i="15"/>
  <c r="V202" i="15"/>
  <c r="BG202" i="15" s="1"/>
  <c r="AI155" i="15"/>
  <c r="AR155" i="15" s="1"/>
  <c r="AE155" i="15"/>
  <c r="AG319" i="15"/>
  <c r="T256" i="15"/>
  <c r="V256" i="15"/>
  <c r="BG256" i="15" s="1"/>
  <c r="AE231" i="15"/>
  <c r="AI231" i="15"/>
  <c r="AE225" i="15"/>
  <c r="AI225" i="15"/>
  <c r="AR225" i="15" s="1"/>
  <c r="AI203" i="15"/>
  <c r="AR203" i="15" s="1"/>
  <c r="AE203" i="15"/>
  <c r="AE179" i="15"/>
  <c r="AI179" i="15"/>
  <c r="AE153" i="15"/>
  <c r="AI153" i="15"/>
  <c r="T242" i="15"/>
  <c r="V242" i="15"/>
  <c r="BG242" i="15" s="1"/>
  <c r="W218" i="15"/>
  <c r="AG218" i="15"/>
  <c r="V140" i="15"/>
  <c r="BG140" i="15" s="1"/>
  <c r="T140" i="15"/>
  <c r="AG366" i="15"/>
  <c r="AG291" i="15"/>
  <c r="T263" i="15"/>
  <c r="V263" i="15"/>
  <c r="W263" i="15" s="1"/>
  <c r="AE194" i="15"/>
  <c r="AE246" i="15"/>
  <c r="AE219" i="15"/>
  <c r="AI219" i="15"/>
  <c r="AR219" i="15" s="1"/>
  <c r="V196" i="15"/>
  <c r="T196" i="15"/>
  <c r="AE177" i="15"/>
  <c r="AE174" i="15"/>
  <c r="AI174" i="15"/>
  <c r="AR174" i="15" s="1"/>
  <c r="AE156" i="15"/>
  <c r="V108" i="15"/>
  <c r="W108" i="15" s="1"/>
  <c r="U108" i="15" a="1"/>
  <c r="U108" i="15" s="1"/>
  <c r="X108" i="15" s="1"/>
  <c r="BE108" i="15" s="1"/>
  <c r="W172" i="15"/>
  <c r="AG172" i="15"/>
  <c r="T264" i="15"/>
  <c r="V264" i="15"/>
  <c r="W264" i="15" s="1"/>
  <c r="T222" i="15"/>
  <c r="AG247" i="15"/>
  <c r="T216" i="15"/>
  <c r="V216" i="15"/>
  <c r="AE145" i="15"/>
  <c r="AI145" i="15"/>
  <c r="AR145" i="15" s="1"/>
  <c r="T121" i="15"/>
  <c r="V121" i="15"/>
  <c r="BG121" i="15" s="1"/>
  <c r="U100" i="15" a="1"/>
  <c r="U100" i="15" s="1"/>
  <c r="X100" i="15" s="1"/>
  <c r="BE100" i="15" s="1"/>
  <c r="V100" i="15"/>
  <c r="W100" i="15" s="1"/>
  <c r="T100" i="15"/>
  <c r="T247" i="15"/>
  <c r="T239" i="15"/>
  <c r="V233" i="15"/>
  <c r="BG233" i="15" s="1"/>
  <c r="T233" i="15"/>
  <c r="AI163" i="15"/>
  <c r="AR163" i="15" s="1"/>
  <c r="AE163" i="15"/>
  <c r="AE152" i="15"/>
  <c r="AI152" i="15"/>
  <c r="AR152" i="15" s="1"/>
  <c r="AI143" i="15"/>
  <c r="AR143" i="15" s="1"/>
  <c r="AE143" i="15"/>
  <c r="AG232" i="15"/>
  <c r="AE188" i="15"/>
  <c r="AI188" i="15"/>
  <c r="AR188" i="15" s="1"/>
  <c r="W184" i="15"/>
  <c r="AG184" i="15"/>
  <c r="T105" i="15"/>
  <c r="T73" i="15"/>
  <c r="V73" i="15"/>
  <c r="BG73" i="15" s="1"/>
  <c r="T94" i="15"/>
  <c r="U94" i="15" a="1"/>
  <c r="U94" i="15" s="1"/>
  <c r="X94" i="15" s="1"/>
  <c r="BE94" i="15" s="1"/>
  <c r="AG159" i="15"/>
  <c r="T154" i="15"/>
  <c r="T134" i="15"/>
  <c r="T72" i="15"/>
  <c r="V158" i="15"/>
  <c r="W158" i="15" s="1"/>
  <c r="T158" i="15"/>
  <c r="AG165" i="15"/>
  <c r="AI160" i="15"/>
  <c r="AR160" i="15" s="1"/>
  <c r="AE160" i="15"/>
  <c r="AI147" i="15"/>
  <c r="AR147" i="15" s="1"/>
  <c r="AE147" i="15"/>
  <c r="V160" i="15"/>
  <c r="W160" i="15" s="1"/>
  <c r="AG150" i="15"/>
  <c r="V135" i="15"/>
  <c r="W135" i="15" s="1"/>
  <c r="T180" i="15"/>
  <c r="T147" i="15"/>
  <c r="V147" i="15"/>
  <c r="W147" i="15" s="1"/>
  <c r="V131" i="15"/>
  <c r="W131" i="15" s="1"/>
  <c r="T131" i="15"/>
  <c r="V161" i="15"/>
  <c r="W161" i="15" s="1"/>
  <c r="T161" i="15"/>
  <c r="T128" i="15"/>
  <c r="U92" i="15" a="1"/>
  <c r="U92" i="15" s="1"/>
  <c r="X92" i="15" s="1"/>
  <c r="BE92" i="15" s="1"/>
  <c r="V92" i="15"/>
  <c r="W92" i="15" s="1"/>
  <c r="T92" i="15"/>
  <c r="T189" i="15"/>
  <c r="V189" i="15"/>
  <c r="T164" i="15"/>
  <c r="V164" i="15"/>
  <c r="W164" i="15" s="1"/>
  <c r="T149" i="15"/>
  <c r="V149" i="15"/>
  <c r="W149" i="15" s="1"/>
  <c r="W125" i="15"/>
  <c r="T123" i="15"/>
  <c r="V123" i="15"/>
  <c r="W123" i="15" s="1"/>
  <c r="AG169" i="15"/>
  <c r="U107" i="15" a="1"/>
  <c r="U107" i="15" s="1"/>
  <c r="X107" i="15" s="1"/>
  <c r="BE107" i="15" s="1"/>
  <c r="V107" i="15"/>
  <c r="W107" i="15" s="1"/>
  <c r="T41" i="15"/>
  <c r="V41" i="15"/>
  <c r="V120" i="15"/>
  <c r="W120" i="15" s="1"/>
  <c r="T120" i="15"/>
  <c r="U120" i="15" a="1"/>
  <c r="U120" i="15" s="1"/>
  <c r="X120" i="15" s="1"/>
  <c r="BE120" i="15" s="1"/>
  <c r="T95" i="15"/>
  <c r="V95" i="15"/>
  <c r="W95" i="15" s="1"/>
  <c r="T88" i="15"/>
  <c r="U88" i="15" a="1"/>
  <c r="U88" i="15" s="1"/>
  <c r="X88" i="15" s="1"/>
  <c r="BE88" i="15" s="1"/>
  <c r="BG88" i="15" s="1"/>
  <c r="T85" i="15"/>
  <c r="U85" i="15" a="1"/>
  <c r="U85" i="15" s="1"/>
  <c r="X85" i="15" s="1"/>
  <c r="BE85" i="15" s="1"/>
  <c r="T118" i="15"/>
  <c r="U118" i="15" a="1"/>
  <c r="U118" i="15" s="1"/>
  <c r="X118" i="15" s="1"/>
  <c r="BE118" i="15" s="1"/>
  <c r="V118" i="15"/>
  <c r="W118" i="15" s="1"/>
  <c r="T117" i="15"/>
  <c r="V117" i="15"/>
  <c r="W117" i="15" s="1"/>
  <c r="T136" i="15"/>
  <c r="V136" i="15"/>
  <c r="BG136" i="15" s="1"/>
  <c r="V93" i="15"/>
  <c r="W93" i="15" s="1"/>
  <c r="U93" i="15" a="1"/>
  <c r="U93" i="15" s="1"/>
  <c r="X93" i="15" s="1"/>
  <c r="BE93" i="15" s="1"/>
  <c r="U8" i="15" a="1"/>
  <c r="U8" i="15" s="1"/>
  <c r="X8" i="15" s="1"/>
  <c r="BE8" i="15" s="1"/>
  <c r="V8" i="15"/>
  <c r="U96" i="15" a="1"/>
  <c r="U96" i="15" s="1"/>
  <c r="X96" i="15" s="1"/>
  <c r="BE96" i="15" s="1"/>
  <c r="V96" i="15"/>
  <c r="W96" i="15" s="1"/>
  <c r="T91" i="15"/>
  <c r="U91" i="15" a="1"/>
  <c r="U91" i="15" s="1"/>
  <c r="X91" i="15" s="1"/>
  <c r="BE91" i="15" s="1"/>
  <c r="BG91" i="15" s="1"/>
  <c r="U89" i="15" a="1"/>
  <c r="U89" i="15" s="1"/>
  <c r="X89" i="15" s="1"/>
  <c r="BE89" i="15" s="1"/>
  <c r="V89" i="15"/>
  <c r="W89" i="15" s="1"/>
  <c r="T69" i="15"/>
  <c r="U74" i="15" a="1"/>
  <c r="U74" i="15" s="1"/>
  <c r="X74" i="15" s="1"/>
  <c r="BE74" i="15" s="1"/>
  <c r="V74" i="15"/>
  <c r="W74" i="15" s="1"/>
  <c r="T74" i="15"/>
  <c r="T21" i="15"/>
  <c r="V21" i="15"/>
  <c r="U21" i="15" a="1"/>
  <c r="U21" i="15" s="1"/>
  <c r="X21" i="15" s="1"/>
  <c r="BE21" i="15" s="1"/>
  <c r="U97" i="15" a="1"/>
  <c r="U97" i="15" s="1"/>
  <c r="X97" i="15" s="1"/>
  <c r="BE97" i="15" s="1"/>
  <c r="U86" i="15" a="1"/>
  <c r="U86" i="15" s="1"/>
  <c r="X86" i="15" s="1"/>
  <c r="BE86" i="15" s="1"/>
  <c r="U75" i="15" a="1"/>
  <c r="U75" i="15" s="1"/>
  <c r="X75" i="15" s="1"/>
  <c r="BE75" i="15" s="1"/>
  <c r="T86" i="15"/>
  <c r="V16" i="15"/>
  <c r="W16" i="15" s="1"/>
  <c r="T16" i="15"/>
  <c r="T19" i="15"/>
  <c r="T17" i="15"/>
  <c r="T114" i="15"/>
  <c r="T12" i="15"/>
  <c r="V12" i="15"/>
  <c r="T10" i="15"/>
  <c r="T7" i="15"/>
  <c r="U7" i="15" a="1"/>
  <c r="U7" i="15" s="1"/>
  <c r="X7" i="15" s="1"/>
  <c r="BE7" i="15" s="1"/>
  <c r="V18" i="15"/>
  <c r="T18" i="15"/>
  <c r="N40" i="23"/>
  <c r="W12" i="15" l="1"/>
  <c r="BG143" i="15"/>
  <c r="W293" i="15"/>
  <c r="BG365" i="15"/>
  <c r="AG442" i="15"/>
  <c r="AP442" i="15" s="1"/>
  <c r="BG303" i="15"/>
  <c r="AG437" i="15"/>
  <c r="AP437" i="15" s="1"/>
  <c r="BG289" i="15"/>
  <c r="BG145" i="15"/>
  <c r="BG212" i="15"/>
  <c r="AG201" i="15"/>
  <c r="AP201" i="15" s="1"/>
  <c r="BG437" i="15"/>
  <c r="W201" i="15"/>
  <c r="BG199" i="15"/>
  <c r="BG181" i="15"/>
  <c r="AG179" i="15"/>
  <c r="AP179" i="15" s="1"/>
  <c r="W480" i="15"/>
  <c r="BG423" i="15"/>
  <c r="BG250" i="15"/>
  <c r="BG493" i="15"/>
  <c r="BG410" i="15"/>
  <c r="BG441" i="15"/>
  <c r="BG192" i="15"/>
  <c r="BG253" i="15"/>
  <c r="BG164" i="15"/>
  <c r="BG208" i="15"/>
  <c r="BG275" i="15"/>
  <c r="BG316" i="15"/>
  <c r="BG386" i="15"/>
  <c r="BG178" i="15"/>
  <c r="BG468" i="15"/>
  <c r="BG156" i="15"/>
  <c r="BG167" i="15"/>
  <c r="BG194" i="15"/>
  <c r="BG168" i="15"/>
  <c r="AG480" i="15"/>
  <c r="AP480" i="15" s="1"/>
  <c r="BG197" i="15"/>
  <c r="BG211" i="15"/>
  <c r="BG439" i="15"/>
  <c r="BG281" i="15"/>
  <c r="BG235" i="15"/>
  <c r="BG227" i="15"/>
  <c r="BG408" i="15"/>
  <c r="BG257" i="15"/>
  <c r="BG258" i="15"/>
  <c r="BG378" i="15"/>
  <c r="BG216" i="15"/>
  <c r="BG300" i="15"/>
  <c r="BG336" i="15"/>
  <c r="AG423" i="15"/>
  <c r="AP423" i="15" s="1"/>
  <c r="BG189" i="15"/>
  <c r="BG272" i="15"/>
  <c r="BG322" i="15"/>
  <c r="BG282" i="15"/>
  <c r="BG230" i="15"/>
  <c r="BG385" i="15"/>
  <c r="BG285" i="15"/>
  <c r="BG445" i="15"/>
  <c r="BG466" i="15"/>
  <c r="BG179" i="15"/>
  <c r="BG278" i="15"/>
  <c r="BG99" i="15"/>
  <c r="BG299" i="15"/>
  <c r="BG354" i="15"/>
  <c r="BG276" i="15"/>
  <c r="BG460" i="15"/>
  <c r="BG483" i="15"/>
  <c r="BG151" i="15"/>
  <c r="BG379" i="15"/>
  <c r="W18" i="15"/>
  <c r="W20" i="15"/>
  <c r="BG20" i="15"/>
  <c r="BG108" i="15"/>
  <c r="BG102" i="15"/>
  <c r="BG103" i="15"/>
  <c r="BG110" i="15"/>
  <c r="BG100" i="15"/>
  <c r="BG131" i="15"/>
  <c r="BG112" i="15"/>
  <c r="BG115" i="15"/>
  <c r="BG296" i="15"/>
  <c r="BG465" i="15"/>
  <c r="BG429" i="15"/>
  <c r="BG491" i="15"/>
  <c r="BG251" i="15"/>
  <c r="BG234" i="15"/>
  <c r="BG148" i="15"/>
  <c r="BF75" i="15"/>
  <c r="BG75" i="15"/>
  <c r="BF86" i="15"/>
  <c r="BG86" i="15"/>
  <c r="BG84" i="15"/>
  <c r="W22" i="15"/>
  <c r="BG451" i="15"/>
  <c r="BG442" i="15"/>
  <c r="BG475" i="15"/>
  <c r="BG273" i="15"/>
  <c r="BG287" i="15"/>
  <c r="BG106" i="15"/>
  <c r="BG80" i="15"/>
  <c r="BG367" i="15"/>
  <c r="BG371" i="15"/>
  <c r="BG369" i="15"/>
  <c r="BG97" i="15"/>
  <c r="AG160" i="15"/>
  <c r="AP160" i="15" s="1"/>
  <c r="BG187" i="15"/>
  <c r="BG323" i="15"/>
  <c r="BG473" i="15"/>
  <c r="BG425" i="15"/>
  <c r="BG127" i="15"/>
  <c r="BG308" i="15"/>
  <c r="BG118" i="15"/>
  <c r="BG245" i="15"/>
  <c r="BG471" i="15"/>
  <c r="BG350" i="15"/>
  <c r="BG206" i="15"/>
  <c r="BG95" i="15"/>
  <c r="BG382" i="15"/>
  <c r="BG413" i="15"/>
  <c r="BG428" i="15"/>
  <c r="BG185" i="15"/>
  <c r="BG237" i="15"/>
  <c r="BG363" i="15"/>
  <c r="BG326" i="15"/>
  <c r="BG117" i="15"/>
  <c r="BG435" i="15"/>
  <c r="BG339" i="15"/>
  <c r="BG449" i="15"/>
  <c r="BG372" i="15"/>
  <c r="BF85" i="15"/>
  <c r="BG85" i="15"/>
  <c r="BG111" i="15"/>
  <c r="BG352" i="15"/>
  <c r="BG161" i="15"/>
  <c r="BG418" i="15"/>
  <c r="BG146" i="15"/>
  <c r="BG457" i="15"/>
  <c r="BG261" i="15"/>
  <c r="BG485" i="15"/>
  <c r="BG333" i="15"/>
  <c r="BG284" i="15"/>
  <c r="BG160" i="15"/>
  <c r="BG269" i="15"/>
  <c r="BG224" i="15"/>
  <c r="BG320" i="15"/>
  <c r="BG361" i="15"/>
  <c r="BG288" i="15"/>
  <c r="BG183" i="15"/>
  <c r="BG158" i="15"/>
  <c r="BG434" i="15"/>
  <c r="BG380" i="15"/>
  <c r="BG383" i="15"/>
  <c r="BG305" i="15"/>
  <c r="BG353" i="15"/>
  <c r="BG329" i="15"/>
  <c r="BG325" i="15"/>
  <c r="BG400" i="15"/>
  <c r="BG454" i="15"/>
  <c r="BG376" i="15"/>
  <c r="BG223" i="15"/>
  <c r="BG144" i="15"/>
  <c r="BF83" i="15"/>
  <c r="BG83" i="15"/>
  <c r="BG190" i="15"/>
  <c r="BG279" i="15"/>
  <c r="BG149" i="15"/>
  <c r="BG463" i="15"/>
  <c r="BG77" i="15"/>
  <c r="BG412" i="15"/>
  <c r="BG175" i="15"/>
  <c r="BG119" i="15"/>
  <c r="BG196" i="15"/>
  <c r="BG114" i="15"/>
  <c r="BG264" i="15"/>
  <c r="BG147" i="15"/>
  <c r="BG432" i="15"/>
  <c r="BG375" i="15"/>
  <c r="BG345" i="15"/>
  <c r="AG326" i="15"/>
  <c r="AP326" i="15" s="1"/>
  <c r="BF67" i="15"/>
  <c r="BG267" i="15"/>
  <c r="W372" i="15"/>
  <c r="BG344" i="15"/>
  <c r="BG324" i="15"/>
  <c r="BG171" i="15"/>
  <c r="BG162" i="15"/>
  <c r="BG415" i="15"/>
  <c r="BF74" i="15"/>
  <c r="BG74" i="15"/>
  <c r="BG123" i="15"/>
  <c r="AG300" i="15"/>
  <c r="AP300" i="15" s="1"/>
  <c r="BG342" i="15"/>
  <c r="BG70" i="15"/>
  <c r="BG422" i="15"/>
  <c r="BG318" i="15"/>
  <c r="BG107" i="15"/>
  <c r="AG483" i="15"/>
  <c r="AP483" i="15" s="1"/>
  <c r="AG211" i="15"/>
  <c r="AP211" i="15" s="1"/>
  <c r="BF76" i="15"/>
  <c r="BG76" i="15"/>
  <c r="BG259" i="15"/>
  <c r="BG262" i="15"/>
  <c r="O69" i="16"/>
  <c r="BG15" i="15"/>
  <c r="BF6" i="15"/>
  <c r="BG6" i="15"/>
  <c r="BF7" i="15"/>
  <c r="BG7" i="15"/>
  <c r="BF8" i="15"/>
  <c r="BG8" i="15"/>
  <c r="BF40" i="15"/>
  <c r="BG40" i="15"/>
  <c r="BF22" i="15"/>
  <c r="BG22" i="15"/>
  <c r="BF21" i="15"/>
  <c r="BG21" i="15"/>
  <c r="BG9" i="15"/>
  <c r="BF132" i="15"/>
  <c r="BG132" i="15"/>
  <c r="BF142" i="15"/>
  <c r="BF141" i="15"/>
  <c r="BF134" i="15"/>
  <c r="BF124" i="15"/>
  <c r="BG124" i="15"/>
  <c r="BF92" i="15"/>
  <c r="BG92" i="15"/>
  <c r="BF105" i="15"/>
  <c r="BG105" i="15"/>
  <c r="BF96" i="15"/>
  <c r="BG96" i="15"/>
  <c r="BF104" i="15"/>
  <c r="BG104" i="15"/>
  <c r="BF113" i="15"/>
  <c r="BG113" i="15"/>
  <c r="BF94" i="15"/>
  <c r="BG94" i="15"/>
  <c r="BF90" i="15"/>
  <c r="BG90" i="15"/>
  <c r="BF89" i="15"/>
  <c r="BG89" i="15"/>
  <c r="BF109" i="15"/>
  <c r="BG109" i="15"/>
  <c r="BF120" i="15"/>
  <c r="BG120" i="15"/>
  <c r="BF87" i="15"/>
  <c r="BG87" i="15"/>
  <c r="BF116" i="15"/>
  <c r="BG116" i="15"/>
  <c r="BF98" i="15"/>
  <c r="BG98" i="15"/>
  <c r="BF93" i="15"/>
  <c r="BG93" i="15"/>
  <c r="BE82" i="15"/>
  <c r="BE79" i="15"/>
  <c r="BG79" i="15" s="1"/>
  <c r="BE78" i="15"/>
  <c r="W21" i="15"/>
  <c r="BF72" i="15"/>
  <c r="BE129" i="15"/>
  <c r="BE130" i="15"/>
  <c r="BE135" i="15"/>
  <c r="BE122" i="15"/>
  <c r="BE125" i="15"/>
  <c r="BE128" i="15"/>
  <c r="BG128" i="15" s="1"/>
  <c r="BE126" i="15"/>
  <c r="BG126" i="15" s="1"/>
  <c r="W139" i="15"/>
  <c r="BE137" i="15"/>
  <c r="BG137" i="15" s="1"/>
  <c r="W138" i="15"/>
  <c r="BF69" i="15"/>
  <c r="W75" i="15"/>
  <c r="W41" i="15"/>
  <c r="W14" i="15"/>
  <c r="W13" i="15"/>
  <c r="W6" i="15"/>
  <c r="W412" i="15"/>
  <c r="AG261" i="15"/>
  <c r="AP261" i="15" s="1"/>
  <c r="AG441" i="15"/>
  <c r="AP441" i="15" s="1"/>
  <c r="AG273" i="15"/>
  <c r="AP273" i="15" s="1"/>
  <c r="AG367" i="15"/>
  <c r="AP367" i="15" s="1"/>
  <c r="W350" i="15"/>
  <c r="W40" i="15"/>
  <c r="BF84" i="15"/>
  <c r="W8" i="15"/>
  <c r="BF80" i="15"/>
  <c r="BF463" i="15"/>
  <c r="BF408" i="15"/>
  <c r="BF392" i="15"/>
  <c r="BF409" i="15"/>
  <c r="BF451" i="15"/>
  <c r="BF402" i="15"/>
  <c r="BF401" i="15"/>
  <c r="BF438" i="15"/>
  <c r="BF453" i="15"/>
  <c r="BF471" i="15"/>
  <c r="BF445" i="15"/>
  <c r="BF397" i="15"/>
  <c r="BF473" i="15"/>
  <c r="BF486" i="15"/>
  <c r="BF490" i="15"/>
  <c r="BF481" i="15"/>
  <c r="BF465" i="15"/>
  <c r="BF440" i="15"/>
  <c r="BF437" i="15"/>
  <c r="BF434" i="15"/>
  <c r="BF483" i="15"/>
  <c r="BF433" i="15"/>
  <c r="BF420" i="15"/>
  <c r="BF425" i="15"/>
  <c r="BF115" i="15"/>
  <c r="BF462" i="15"/>
  <c r="BF416" i="15"/>
  <c r="BF466" i="15"/>
  <c r="BF20" i="15"/>
  <c r="BF101" i="15"/>
  <c r="BF97" i="15"/>
  <c r="AG289" i="15"/>
  <c r="AP289" i="15" s="1"/>
  <c r="BF100" i="15"/>
  <c r="BF235" i="15"/>
  <c r="BF353" i="15"/>
  <c r="AG208" i="15"/>
  <c r="AP208" i="15" s="1"/>
  <c r="BF315" i="15"/>
  <c r="BF127" i="15"/>
  <c r="BF329" i="15"/>
  <c r="BF283" i="15"/>
  <c r="BF149" i="15"/>
  <c r="BF108" i="15"/>
  <c r="BF99" i="15"/>
  <c r="BF290" i="15"/>
  <c r="BF193" i="15"/>
  <c r="W324" i="15"/>
  <c r="BF190" i="15"/>
  <c r="BF344" i="15"/>
  <c r="BF15" i="15"/>
  <c r="BF216" i="15"/>
  <c r="BF196" i="15"/>
  <c r="BF253" i="15"/>
  <c r="BF236" i="15"/>
  <c r="BF276" i="15"/>
  <c r="BF354" i="15"/>
  <c r="BF181" i="15"/>
  <c r="BF381" i="15"/>
  <c r="BF281" i="15"/>
  <c r="BF296" i="15"/>
  <c r="BF266" i="15"/>
  <c r="BF158" i="15"/>
  <c r="BF167" i="15"/>
  <c r="BF103" i="15"/>
  <c r="BF194" i="15"/>
  <c r="BF303" i="15"/>
  <c r="BF245" i="15"/>
  <c r="BF243" i="15"/>
  <c r="BF131" i="15"/>
  <c r="BF227" i="15"/>
  <c r="BF185" i="15"/>
  <c r="BF187" i="15"/>
  <c r="BF279" i="15"/>
  <c r="BF112" i="15"/>
  <c r="BF323" i="15"/>
  <c r="BF118" i="15"/>
  <c r="BF183" i="15"/>
  <c r="BF177" i="15"/>
  <c r="BF342" i="15"/>
  <c r="AG262" i="15"/>
  <c r="AP262" i="15" s="1"/>
  <c r="W245" i="15"/>
  <c r="AG342" i="15"/>
  <c r="AP342" i="15" s="1"/>
  <c r="BF119" i="15"/>
  <c r="BF246" i="15"/>
  <c r="BF161" i="15"/>
  <c r="BF88" i="15"/>
  <c r="BF299" i="15"/>
  <c r="BF314" i="15"/>
  <c r="BF237" i="15"/>
  <c r="BF106" i="15"/>
  <c r="BF199" i="15"/>
  <c r="BF239" i="15"/>
  <c r="BF226" i="15"/>
  <c r="BF156" i="15"/>
  <c r="BF91" i="15"/>
  <c r="BF189" i="15"/>
  <c r="BF320" i="15"/>
  <c r="BF102" i="15"/>
  <c r="BF107" i="15"/>
  <c r="BF71" i="15"/>
  <c r="BF272" i="15"/>
  <c r="BF263" i="15"/>
  <c r="BF111" i="15"/>
  <c r="BF182" i="15"/>
  <c r="BF352" i="15"/>
  <c r="BF195" i="15"/>
  <c r="AG386" i="15"/>
  <c r="AP386" i="15" s="1"/>
  <c r="BF230" i="15"/>
  <c r="BF285" i="15"/>
  <c r="AG143" i="15"/>
  <c r="AP143" i="15" s="1"/>
  <c r="AG439" i="15"/>
  <c r="AP439" i="15" s="1"/>
  <c r="AG278" i="15"/>
  <c r="AP278" i="15" s="1"/>
  <c r="W305" i="15"/>
  <c r="AG365" i="15"/>
  <c r="AP365" i="15" s="1"/>
  <c r="AG410" i="15"/>
  <c r="AP410" i="15" s="1"/>
  <c r="AG156" i="15"/>
  <c r="AP156" i="15" s="1"/>
  <c r="W269" i="15"/>
  <c r="AG199" i="15"/>
  <c r="AP199" i="15" s="1"/>
  <c r="AG344" i="15"/>
  <c r="AP344" i="15" s="1"/>
  <c r="AG375" i="15"/>
  <c r="AP375" i="15" s="1"/>
  <c r="AG418" i="15"/>
  <c r="AP418" i="15" s="1"/>
  <c r="AG145" i="15"/>
  <c r="AP145" i="15" s="1"/>
  <c r="AG287" i="15"/>
  <c r="AP287" i="15" s="1"/>
  <c r="AG251" i="15"/>
  <c r="AP251" i="15" s="1"/>
  <c r="AG473" i="15"/>
  <c r="AP473" i="15" s="1"/>
  <c r="AG329" i="15"/>
  <c r="AP329" i="15" s="1"/>
  <c r="AG425" i="15"/>
  <c r="AP425" i="15" s="1"/>
  <c r="AG444" i="15"/>
  <c r="AP444" i="15" s="1"/>
  <c r="AG224" i="15"/>
  <c r="AP224" i="15" s="1"/>
  <c r="AG234" i="15"/>
  <c r="AP234" i="15" s="1"/>
  <c r="AG185" i="15"/>
  <c r="AP185" i="15" s="1"/>
  <c r="AG460" i="15"/>
  <c r="AP460" i="15" s="1"/>
  <c r="AG259" i="15"/>
  <c r="AP259" i="15" s="1"/>
  <c r="AG336" i="15"/>
  <c r="AP336" i="15" s="1"/>
  <c r="AG194" i="15"/>
  <c r="AP194" i="15" s="1"/>
  <c r="AG183" i="15"/>
  <c r="AP183" i="15" s="1"/>
  <c r="AG333" i="15"/>
  <c r="AP333" i="15" s="1"/>
  <c r="AG325" i="15"/>
  <c r="AP325" i="15" s="1"/>
  <c r="AG230" i="15"/>
  <c r="AP230" i="15" s="1"/>
  <c r="AG382" i="15"/>
  <c r="AP382" i="15" s="1"/>
  <c r="AG434" i="15"/>
  <c r="AP434" i="15" s="1"/>
  <c r="W190" i="15"/>
  <c r="AG237" i="15"/>
  <c r="AP237" i="15" s="1"/>
  <c r="AG491" i="15"/>
  <c r="AP491" i="15" s="1"/>
  <c r="AG212" i="15"/>
  <c r="AP212" i="15" s="1"/>
  <c r="AG471" i="15"/>
  <c r="AP471" i="15" s="1"/>
  <c r="AG187" i="15"/>
  <c r="AP187" i="15" s="1"/>
  <c r="AG276" i="15"/>
  <c r="AP276" i="15" s="1"/>
  <c r="AG282" i="15"/>
  <c r="AP282" i="15" s="1"/>
  <c r="AG286" i="15"/>
  <c r="AP286" i="15" s="1"/>
  <c r="AG272" i="15"/>
  <c r="AP272" i="15" s="1"/>
  <c r="L40" i="23"/>
  <c r="AP304" i="15"/>
  <c r="AP314" i="15"/>
  <c r="AP182" i="15"/>
  <c r="AP270" i="15"/>
  <c r="AP486" i="15"/>
  <c r="AP477" i="15"/>
  <c r="AP226" i="15"/>
  <c r="AP266" i="15"/>
  <c r="AP324" i="15"/>
  <c r="AP231" i="15"/>
  <c r="AP328" i="15"/>
  <c r="AP157" i="15"/>
  <c r="AP430" i="15"/>
  <c r="AP492" i="15"/>
  <c r="AP195" i="15"/>
  <c r="AP271" i="15"/>
  <c r="AP447" i="15"/>
  <c r="AP191" i="15"/>
  <c r="AP490" i="15"/>
  <c r="AP203" i="15"/>
  <c r="AP412" i="15"/>
  <c r="AP420" i="15"/>
  <c r="AP421" i="15"/>
  <c r="AP152" i="15"/>
  <c r="AP351" i="15"/>
  <c r="AP280" i="15"/>
  <c r="AP217" i="15"/>
  <c r="AP358" i="15"/>
  <c r="AP228" i="15"/>
  <c r="AP174" i="15"/>
  <c r="AP409" i="15"/>
  <c r="AP305" i="15"/>
  <c r="AP450" i="15"/>
  <c r="AP414" i="15"/>
  <c r="AP372" i="15"/>
  <c r="AP404" i="15"/>
  <c r="AP176" i="15"/>
  <c r="AP482" i="15"/>
  <c r="AP177" i="15"/>
  <c r="AP254" i="15"/>
  <c r="AP346" i="15"/>
  <c r="AP193" i="15"/>
  <c r="AP205" i="15"/>
  <c r="AP481" i="15"/>
  <c r="AP443" i="15"/>
  <c r="AP467" i="15"/>
  <c r="AP424" i="15"/>
  <c r="AP243" i="15"/>
  <c r="AP355" i="15"/>
  <c r="AP448" i="15"/>
  <c r="AP484" i="15"/>
  <c r="AP313" i="15"/>
  <c r="AP249" i="15"/>
  <c r="AP244" i="15"/>
  <c r="AP488" i="15"/>
  <c r="AP381" i="15"/>
  <c r="AP222" i="15"/>
  <c r="AP416" i="15"/>
  <c r="AP170" i="15"/>
  <c r="W370" i="15"/>
  <c r="AG370" i="15"/>
  <c r="AG352" i="15"/>
  <c r="AG449" i="15"/>
  <c r="AG463" i="15"/>
  <c r="W463" i="15"/>
  <c r="AG181" i="15"/>
  <c r="W181" i="15"/>
  <c r="AG378" i="15"/>
  <c r="AG299" i="15"/>
  <c r="AG428" i="15"/>
  <c r="AG257" i="15"/>
  <c r="AG400" i="15"/>
  <c r="AG267" i="15"/>
  <c r="AG250" i="15"/>
  <c r="AG445" i="15"/>
  <c r="AG466" i="15"/>
  <c r="AG316" i="15"/>
  <c r="AG369" i="15"/>
  <c r="W318" i="15"/>
  <c r="AG308" i="15"/>
  <c r="AG151" i="15"/>
  <c r="W349" i="15"/>
  <c r="AG349" i="15"/>
  <c r="W70" i="15"/>
  <c r="AG454" i="15"/>
  <c r="AP454" i="15" s="1"/>
  <c r="AG178" i="15"/>
  <c r="W168" i="15"/>
  <c r="AG468" i="15"/>
  <c r="AG376" i="15"/>
  <c r="AG475" i="15"/>
  <c r="AG354" i="15"/>
  <c r="AG361" i="15"/>
  <c r="AG363" i="15"/>
  <c r="AG186" i="15"/>
  <c r="W186" i="15"/>
  <c r="AG432" i="15"/>
  <c r="AG288" i="15"/>
  <c r="AG192" i="15"/>
  <c r="AG415" i="15"/>
  <c r="W253" i="15"/>
  <c r="AG253" i="15"/>
  <c r="W167" i="15"/>
  <c r="AG167" i="15"/>
  <c r="AG485" i="15"/>
  <c r="AG144" i="15"/>
  <c r="AP144" i="15" s="1"/>
  <c r="AG320" i="15"/>
  <c r="AG323" i="15"/>
  <c r="W323" i="15"/>
  <c r="AG474" i="15"/>
  <c r="AP474" i="15" s="1"/>
  <c r="W474" i="15"/>
  <c r="W188" i="15"/>
  <c r="AG188" i="15"/>
  <c r="AR362" i="15"/>
  <c r="AR430" i="15"/>
  <c r="W260" i="15"/>
  <c r="AG260" i="15"/>
  <c r="W68" i="15"/>
  <c r="W213" i="15"/>
  <c r="AG213" i="15"/>
  <c r="W225" i="15"/>
  <c r="AG225" i="15"/>
  <c r="AR210" i="15"/>
  <c r="AR349" i="15"/>
  <c r="W285" i="15"/>
  <c r="AG285" i="15"/>
  <c r="W459" i="15"/>
  <c r="AG459" i="15"/>
  <c r="W307" i="15"/>
  <c r="AG307" i="15"/>
  <c r="AP307" i="15" s="1"/>
  <c r="AP315" i="15"/>
  <c r="AR318" i="15"/>
  <c r="W419" i="15"/>
  <c r="AG419" i="15"/>
  <c r="AP419" i="15" s="1"/>
  <c r="W364" i="15"/>
  <c r="AG364" i="15"/>
  <c r="W265" i="15"/>
  <c r="AG265" i="15"/>
  <c r="AR482" i="15"/>
  <c r="AG408" i="15"/>
  <c r="W408" i="15"/>
  <c r="AR231" i="15"/>
  <c r="AR491" i="15"/>
  <c r="AR234" i="15"/>
  <c r="AR446" i="15"/>
  <c r="W356" i="15"/>
  <c r="AG356" i="15"/>
  <c r="AP356" i="15" s="1"/>
  <c r="W207" i="15"/>
  <c r="AG207" i="15"/>
  <c r="W411" i="15"/>
  <c r="AG411" i="15"/>
  <c r="AR370" i="15"/>
  <c r="AP438" i="15"/>
  <c r="W241" i="15"/>
  <c r="AG241" i="15"/>
  <c r="W465" i="15"/>
  <c r="AG465" i="15"/>
  <c r="AG147" i="15"/>
  <c r="AG171" i="15"/>
  <c r="W347" i="15"/>
  <c r="AG347" i="15"/>
  <c r="AR390" i="15"/>
  <c r="AG406" i="15"/>
  <c r="W406" i="15"/>
  <c r="W311" i="15"/>
  <c r="AG311" i="15"/>
  <c r="AP343" i="15"/>
  <c r="W294" i="15"/>
  <c r="AG294" i="15"/>
  <c r="W478" i="15"/>
  <c r="AG478" i="15"/>
  <c r="AG371" i="15"/>
  <c r="W470" i="15"/>
  <c r="AG470" i="15"/>
  <c r="W393" i="15"/>
  <c r="AG393" i="15"/>
  <c r="AR297" i="15"/>
  <c r="AR492" i="15"/>
  <c r="AR402" i="15"/>
  <c r="W427" i="15"/>
  <c r="AG427" i="15"/>
  <c r="AG235" i="15"/>
  <c r="W235" i="15"/>
  <c r="W121" i="15"/>
  <c r="AR153" i="15"/>
  <c r="AG148" i="15"/>
  <c r="AP401" i="15"/>
  <c r="AR443" i="15"/>
  <c r="AG223" i="15"/>
  <c r="AP223" i="15" s="1"/>
  <c r="W303" i="15"/>
  <c r="AG303" i="15"/>
  <c r="AG457" i="15"/>
  <c r="AP457" i="15" s="1"/>
  <c r="AG340" i="15"/>
  <c r="W340" i="15"/>
  <c r="AG380" i="15"/>
  <c r="AG146" i="15"/>
  <c r="AG493" i="15"/>
  <c r="W455" i="15"/>
  <c r="AG455" i="15"/>
  <c r="AG451" i="15"/>
  <c r="W451" i="15"/>
  <c r="AG353" i="15"/>
  <c r="W221" i="15"/>
  <c r="AG221" i="15"/>
  <c r="AG339" i="15"/>
  <c r="W479" i="15"/>
  <c r="AG479" i="15"/>
  <c r="W281" i="15"/>
  <c r="AG281" i="15"/>
  <c r="AR304" i="15"/>
  <c r="AP392" i="15"/>
  <c r="AP159" i="15"/>
  <c r="W417" i="15"/>
  <c r="AG417" i="15"/>
  <c r="AP165" i="15"/>
  <c r="AG227" i="15"/>
  <c r="W227" i="15"/>
  <c r="AG385" i="15"/>
  <c r="W359" i="15"/>
  <c r="AG359" i="15"/>
  <c r="AR221" i="15"/>
  <c r="AR381" i="15"/>
  <c r="AP209" i="15"/>
  <c r="W229" i="15"/>
  <c r="AG229" i="15"/>
  <c r="AP310" i="15"/>
  <c r="AP168" i="15"/>
  <c r="W81" i="15"/>
  <c r="AP220" i="15"/>
  <c r="AP332" i="15"/>
  <c r="AR411" i="15"/>
  <c r="AP461" i="15"/>
  <c r="AG158" i="15"/>
  <c r="AP252" i="15"/>
  <c r="AR271" i="15"/>
  <c r="W133" i="15"/>
  <c r="AP407" i="15"/>
  <c r="AR455" i="15"/>
  <c r="W189" i="15"/>
  <c r="AG189" i="15"/>
  <c r="AR253" i="15"/>
  <c r="W387" i="15"/>
  <c r="AG387" i="15"/>
  <c r="W292" i="15"/>
  <c r="AG292" i="15"/>
  <c r="AG275" i="15"/>
  <c r="AG331" i="15"/>
  <c r="W331" i="15"/>
  <c r="AR195" i="15"/>
  <c r="AG368" i="15"/>
  <c r="W368" i="15"/>
  <c r="W377" i="15"/>
  <c r="AG377" i="15"/>
  <c r="AP426" i="15"/>
  <c r="W136" i="15"/>
  <c r="AP150" i="15"/>
  <c r="W140" i="15"/>
  <c r="AP218" i="15"/>
  <c r="AR328" i="15"/>
  <c r="AP458" i="15"/>
  <c r="AR444" i="15"/>
  <c r="AR480" i="15"/>
  <c r="AP240" i="15"/>
  <c r="AP290" i="15"/>
  <c r="AP334" i="15"/>
  <c r="AG238" i="15"/>
  <c r="W238" i="15"/>
  <c r="AP293" i="15"/>
  <c r="W405" i="15"/>
  <c r="AG405" i="15"/>
  <c r="AP184" i="15"/>
  <c r="W242" i="15"/>
  <c r="AG242" i="15"/>
  <c r="AP330" i="15"/>
  <c r="AG322" i="15"/>
  <c r="AP440" i="15"/>
  <c r="AP350" i="15"/>
  <c r="W73" i="15"/>
  <c r="AG284" i="15"/>
  <c r="W295" i="15"/>
  <c r="AG295" i="15"/>
  <c r="AG431" i="15"/>
  <c r="W431" i="15"/>
  <c r="AP456" i="15"/>
  <c r="AR378" i="15"/>
  <c r="AG206" i="15"/>
  <c r="W256" i="15"/>
  <c r="AG256" i="15"/>
  <c r="AG264" i="15"/>
  <c r="W357" i="15"/>
  <c r="AG357" i="15"/>
  <c r="AP389" i="15"/>
  <c r="AG306" i="15"/>
  <c r="W306" i="15"/>
  <c r="AG452" i="15"/>
  <c r="W452" i="15"/>
  <c r="AR447" i="15"/>
  <c r="AP487" i="15"/>
  <c r="AR179" i="15"/>
  <c r="AP198" i="15"/>
  <c r="AP396" i="15"/>
  <c r="AP247" i="15"/>
  <c r="AR255" i="15"/>
  <c r="AG175" i="15"/>
  <c r="AG197" i="15"/>
  <c r="AP373" i="15"/>
  <c r="AP394" i="15"/>
  <c r="AP246" i="15"/>
  <c r="AP309" i="15"/>
  <c r="AP462" i="15"/>
  <c r="AG202" i="15"/>
  <c r="W202" i="15"/>
  <c r="W233" i="15"/>
  <c r="AG233" i="15"/>
  <c r="AG164" i="15"/>
  <c r="AG263" i="15"/>
  <c r="AG277" i="15"/>
  <c r="W277" i="15"/>
  <c r="AG413" i="15"/>
  <c r="AP204" i="15"/>
  <c r="AP283" i="15"/>
  <c r="AG422" i="15"/>
  <c r="AP469" i="15"/>
  <c r="AG435" i="15"/>
  <c r="AP169" i="15"/>
  <c r="AP232" i="15"/>
  <c r="W216" i="15"/>
  <c r="AG216" i="15"/>
  <c r="AG279" i="15"/>
  <c r="AP319" i="15"/>
  <c r="AP298" i="15"/>
  <c r="AR270" i="15"/>
  <c r="AP274" i="15"/>
  <c r="AG162" i="15"/>
  <c r="W196" i="15"/>
  <c r="AG196" i="15"/>
  <c r="AR173" i="15"/>
  <c r="AR205" i="15"/>
  <c r="AR391" i="15"/>
  <c r="AG149" i="15"/>
  <c r="AP172" i="15"/>
  <c r="AP291" i="15"/>
  <c r="AP190" i="15"/>
  <c r="AG200" i="15"/>
  <c r="W200" i="15"/>
  <c r="AR249" i="15"/>
  <c r="AR267" i="15"/>
  <c r="AP395" i="15"/>
  <c r="AR490" i="15"/>
  <c r="AP366" i="15"/>
  <c r="W317" i="15"/>
  <c r="AG317" i="15"/>
  <c r="AP219" i="15"/>
  <c r="AP245" i="15"/>
  <c r="AG258" i="15"/>
  <c r="AG436" i="15"/>
  <c r="W436" i="15"/>
  <c r="AR432" i="15"/>
  <c r="AP464" i="15"/>
  <c r="AG161" i="15"/>
  <c r="AP338" i="15"/>
  <c r="AG379" i="15"/>
  <c r="W476" i="15"/>
  <c r="AG476" i="15"/>
  <c r="AP312" i="15"/>
  <c r="AG383" i="15"/>
  <c r="AP374" i="15"/>
  <c r="AP269" i="15"/>
  <c r="AR191" i="15"/>
  <c r="AP214" i="15"/>
  <c r="AG296" i="15"/>
  <c r="W321" i="15"/>
  <c r="AG321" i="15"/>
  <c r="AR278" i="15"/>
  <c r="AR324" i="15"/>
  <c r="AR355" i="15"/>
  <c r="AG429" i="15"/>
  <c r="AP489" i="15"/>
  <c r="BF79" i="15" l="1"/>
  <c r="BF78" i="15"/>
  <c r="BG78" i="15"/>
  <c r="BF82" i="15"/>
  <c r="BG82" i="15"/>
  <c r="O70" i="16"/>
  <c r="BF135" i="15"/>
  <c r="BG135" i="15"/>
  <c r="BF130" i="15"/>
  <c r="BG130" i="15"/>
  <c r="BF129" i="15"/>
  <c r="BG129" i="15"/>
  <c r="BF122" i="15"/>
  <c r="BG122" i="15"/>
  <c r="BF125" i="15"/>
  <c r="BG125" i="15"/>
  <c r="BF128" i="15"/>
  <c r="BF126" i="15"/>
  <c r="BF137" i="15"/>
  <c r="AP370" i="15"/>
  <c r="AP253" i="15"/>
  <c r="AP213" i="15"/>
  <c r="AP415" i="15"/>
  <c r="AP455" i="15"/>
  <c r="AP369" i="15"/>
  <c r="AP308" i="15"/>
  <c r="AP260" i="15"/>
  <c r="AP393" i="15"/>
  <c r="AP186" i="15"/>
  <c r="AP445" i="15"/>
  <c r="AP316" i="15"/>
  <c r="AP432" i="15"/>
  <c r="AP146" i="15"/>
  <c r="AP363" i="15"/>
  <c r="AP151" i="15"/>
  <c r="AP257" i="15"/>
  <c r="AP340" i="15"/>
  <c r="AP400" i="15"/>
  <c r="AP428" i="15"/>
  <c r="AP478" i="15"/>
  <c r="AP468" i="15"/>
  <c r="AP299" i="15"/>
  <c r="AP378" i="15"/>
  <c r="AP178" i="15"/>
  <c r="AP192" i="15"/>
  <c r="AP241" i="15"/>
  <c r="AP181" i="15"/>
  <c r="AP265" i="15"/>
  <c r="AP354" i="15"/>
  <c r="AP466" i="15"/>
  <c r="AP475" i="15"/>
  <c r="AP320" i="15"/>
  <c r="AP463" i="15"/>
  <c r="AP288" i="15"/>
  <c r="AP267" i="15"/>
  <c r="AP188" i="15"/>
  <c r="AP250" i="15"/>
  <c r="AP485" i="15"/>
  <c r="AP449" i="15"/>
  <c r="AP347" i="15"/>
  <c r="AP361" i="15"/>
  <c r="AP294" i="15"/>
  <c r="AP376" i="15"/>
  <c r="AP353" i="15"/>
  <c r="AP167" i="15"/>
  <c r="AP349" i="15"/>
  <c r="AP352" i="15"/>
  <c r="AP364" i="15"/>
  <c r="AP339" i="15"/>
  <c r="AP470" i="15"/>
  <c r="AP465" i="15"/>
  <c r="AP371" i="15"/>
  <c r="AP221" i="15"/>
  <c r="AP427" i="15"/>
  <c r="AP147" i="15"/>
  <c r="AP459" i="15"/>
  <c r="AP148" i="15"/>
  <c r="AP493" i="15"/>
  <c r="AP281" i="15"/>
  <c r="AP235" i="15"/>
  <c r="AP411" i="15"/>
  <c r="AP380" i="15"/>
  <c r="AP225" i="15"/>
  <c r="AP207" i="15"/>
  <c r="AP171" i="15"/>
  <c r="AP311" i="15"/>
  <c r="AP479" i="15"/>
  <c r="AP285" i="15"/>
  <c r="AP451" i="15"/>
  <c r="AP406" i="15"/>
  <c r="AP303" i="15"/>
  <c r="AP408" i="15"/>
  <c r="AP323" i="15"/>
  <c r="AP322" i="15"/>
  <c r="AP387" i="15"/>
  <c r="AP149" i="15"/>
  <c r="AP435" i="15"/>
  <c r="AP452" i="15"/>
  <c r="AP256" i="15"/>
  <c r="AP429" i="15"/>
  <c r="AP206" i="15"/>
  <c r="AP275" i="15"/>
  <c r="AP200" i="15"/>
  <c r="AP196" i="15"/>
  <c r="AP202" i="15"/>
  <c r="AP321" i="15"/>
  <c r="AP277" i="15"/>
  <c r="AP306" i="15"/>
  <c r="AP292" i="15"/>
  <c r="AP162" i="15"/>
  <c r="AP242" i="15"/>
  <c r="AP359" i="15"/>
  <c r="AP263" i="15"/>
  <c r="AP331" i="15"/>
  <c r="AP436" i="15"/>
  <c r="AP189" i="15"/>
  <c r="AP385" i="15"/>
  <c r="AP258" i="15"/>
  <c r="AP383" i="15"/>
  <c r="AP422" i="15"/>
  <c r="AP164" i="15"/>
  <c r="AP264" i="15"/>
  <c r="AP476" i="15"/>
  <c r="AP233" i="15"/>
  <c r="AP357" i="15"/>
  <c r="AP405" i="15"/>
  <c r="AP161" i="15"/>
  <c r="AP158" i="15"/>
  <c r="AP197" i="15"/>
  <c r="AP227" i="15"/>
  <c r="AP368" i="15"/>
  <c r="AP296" i="15"/>
  <c r="AP317" i="15"/>
  <c r="AP279" i="15"/>
  <c r="AP379" i="15"/>
  <c r="AP295" i="15"/>
  <c r="AP377" i="15"/>
  <c r="AP417" i="15"/>
  <c r="AP431" i="15"/>
  <c r="AP216" i="15"/>
  <c r="AP229" i="15"/>
  <c r="AP413" i="15"/>
  <c r="AP175" i="15"/>
  <c r="AP284" i="15"/>
  <c r="AP238" i="15"/>
  <c r="O71" i="16" l="1"/>
  <c r="O73" i="16"/>
  <c r="F39" i="23"/>
  <c r="BH4" i="15"/>
  <c r="Z4" i="15"/>
  <c r="AA4" i="15"/>
  <c r="AC4" i="15" s="1"/>
  <c r="AB4" i="15"/>
  <c r="BF4" i="15" s="1"/>
  <c r="AE4" i="15"/>
  <c r="U4" i="15" a="1"/>
  <c r="U4" i="15" s="1"/>
  <c r="I6" i="15"/>
  <c r="I7" i="15"/>
  <c r="I8" i="15"/>
  <c r="I9" i="15"/>
  <c r="I10" i="15"/>
  <c r="I11" i="15"/>
  <c r="I12" i="15"/>
  <c r="I13" i="15"/>
  <c r="I14" i="15"/>
  <c r="I15" i="15"/>
  <c r="I16" i="15"/>
  <c r="I17" i="15"/>
  <c r="I18" i="15"/>
  <c r="I19" i="15"/>
  <c r="I20" i="15"/>
  <c r="I21" i="15"/>
  <c r="I22" i="15"/>
  <c r="I37" i="15"/>
  <c r="I38" i="15"/>
  <c r="I39" i="15"/>
  <c r="I40" i="15"/>
  <c r="I41" i="15"/>
  <c r="I42" i="15"/>
  <c r="I43" i="15"/>
  <c r="I44" i="15"/>
  <c r="I45" i="15"/>
  <c r="I46" i="15"/>
  <c r="I47" i="15"/>
  <c r="I48" i="15"/>
  <c r="I49" i="15"/>
  <c r="I56" i="15"/>
  <c r="I57" i="15"/>
  <c r="I58" i="15"/>
  <c r="I59" i="15"/>
  <c r="I60" i="15"/>
  <c r="I61" i="15"/>
  <c r="I62" i="15"/>
  <c r="I63" i="15"/>
  <c r="I64" i="15"/>
  <c r="I65" i="15"/>
  <c r="I66" i="15"/>
  <c r="I4" i="15"/>
  <c r="I5" i="15"/>
  <c r="U42" i="15" a="1"/>
  <c r="U42" i="15" s="1"/>
  <c r="X42" i="15" s="1"/>
  <c r="BE42" i="15" s="1"/>
  <c r="BG42" i="15" s="1"/>
  <c r="U41" i="15" a="1"/>
  <c r="U41" i="15" s="1"/>
  <c r="X41" i="15" s="1"/>
  <c r="BE41" i="15" s="1"/>
  <c r="BG41" i="15" s="1"/>
  <c r="U19" i="15" a="1"/>
  <c r="U19" i="15" s="1"/>
  <c r="X19" i="15" s="1"/>
  <c r="BE19" i="15" s="1"/>
  <c r="BG19" i="15" s="1"/>
  <c r="U18" i="15" a="1"/>
  <c r="U18" i="15" s="1"/>
  <c r="X18" i="15" s="1"/>
  <c r="BE18" i="15" s="1"/>
  <c r="BG18" i="15" s="1"/>
  <c r="U17" i="15" a="1"/>
  <c r="U17" i="15" s="1"/>
  <c r="X17" i="15" s="1"/>
  <c r="BE17" i="15" s="1"/>
  <c r="BG17" i="15" s="1"/>
  <c r="U16" i="15" a="1"/>
  <c r="U16" i="15" s="1"/>
  <c r="X16" i="15" s="1"/>
  <c r="BE16" i="15" s="1"/>
  <c r="BG16" i="15" s="1"/>
  <c r="U14" i="15" a="1"/>
  <c r="U14" i="15" s="1"/>
  <c r="X14" i="15" s="1"/>
  <c r="BE14" i="15" s="1"/>
  <c r="BG14" i="15" s="1"/>
  <c r="U13" i="15" a="1"/>
  <c r="U13" i="15" s="1"/>
  <c r="X13" i="15" s="1"/>
  <c r="BE13" i="15" s="1"/>
  <c r="BG13" i="15" s="1"/>
  <c r="U12" i="15" a="1"/>
  <c r="U12" i="15" s="1"/>
  <c r="X12" i="15" s="1"/>
  <c r="BE12" i="15" s="1"/>
  <c r="BG12" i="15" s="1"/>
  <c r="U11" i="15" a="1"/>
  <c r="U11" i="15" s="1"/>
  <c r="X11" i="15" s="1"/>
  <c r="BE11" i="15" s="1"/>
  <c r="BG11" i="15" s="1"/>
  <c r="U10" i="15" a="1"/>
  <c r="U10" i="15" s="1"/>
  <c r="X10" i="15" s="1"/>
  <c r="S66" i="15" l="1"/>
  <c r="Y66" i="15"/>
  <c r="S58" i="15"/>
  <c r="Y58" i="15"/>
  <c r="S56" i="15"/>
  <c r="Y56" i="15"/>
  <c r="S57" i="15"/>
  <c r="Y57" i="15"/>
  <c r="S50" i="15"/>
  <c r="Y50" i="15"/>
  <c r="S49" i="15"/>
  <c r="Y49" i="15"/>
  <c r="S55" i="15"/>
  <c r="Y55" i="15"/>
  <c r="S53" i="15"/>
  <c r="Y53" i="15"/>
  <c r="S48" i="15"/>
  <c r="Y48" i="15"/>
  <c r="Y47" i="15"/>
  <c r="S47" i="15"/>
  <c r="S46" i="15"/>
  <c r="Y46" i="15"/>
  <c r="S64" i="15"/>
  <c r="Y64" i="15"/>
  <c r="S62" i="15"/>
  <c r="Y62" i="15"/>
  <c r="S51" i="15"/>
  <c r="Y51" i="15"/>
  <c r="S45" i="15"/>
  <c r="Y45" i="15"/>
  <c r="S43" i="15"/>
  <c r="Y43" i="15"/>
  <c r="Y61" i="15"/>
  <c r="S61" i="15"/>
  <c r="Y54" i="15"/>
  <c r="S54" i="15"/>
  <c r="Y52" i="15"/>
  <c r="S52" i="15"/>
  <c r="Y65" i="15"/>
  <c r="S65" i="15"/>
  <c r="Y63" i="15"/>
  <c r="S63" i="15"/>
  <c r="Y60" i="15"/>
  <c r="S60" i="15"/>
  <c r="Y44" i="15"/>
  <c r="S44" i="15"/>
  <c r="S59" i="15"/>
  <c r="Y59" i="15"/>
  <c r="S31" i="15"/>
  <c r="Y31" i="15"/>
  <c r="S30" i="15"/>
  <c r="Y30" i="15"/>
  <c r="S28" i="15"/>
  <c r="Y28" i="15"/>
  <c r="S27" i="15"/>
  <c r="Y27" i="15"/>
  <c r="S29" i="15"/>
  <c r="Y29" i="15"/>
  <c r="Y26" i="15"/>
  <c r="S26" i="15"/>
  <c r="Y36" i="15"/>
  <c r="S36" i="15"/>
  <c r="S35" i="15"/>
  <c r="Y35" i="15"/>
  <c r="Y34" i="15"/>
  <c r="S34" i="15"/>
  <c r="S32" i="15"/>
  <c r="Y32" i="15"/>
  <c r="S24" i="15"/>
  <c r="Y24" i="15"/>
  <c r="S23" i="15"/>
  <c r="Y23" i="15"/>
  <c r="S33" i="15"/>
  <c r="Y33" i="15"/>
  <c r="Y25" i="15"/>
  <c r="S25" i="15"/>
  <c r="S39" i="15"/>
  <c r="Y39" i="15"/>
  <c r="S38" i="15"/>
  <c r="Y38" i="15"/>
  <c r="Y37" i="15"/>
  <c r="S37" i="15"/>
  <c r="BF41" i="15"/>
  <c r="BE10" i="15"/>
  <c r="BG10" i="15" s="1"/>
  <c r="BF14" i="15"/>
  <c r="BF17" i="15"/>
  <c r="BF42" i="15"/>
  <c r="BF12" i="15"/>
  <c r="BF16" i="15"/>
  <c r="BF18" i="15"/>
  <c r="BF19" i="15"/>
  <c r="BF11" i="15"/>
  <c r="BF13" i="15"/>
  <c r="AD4" i="15"/>
  <c r="AH4" i="15" s="1"/>
  <c r="AQ4" i="15" s="1"/>
  <c r="AF4" i="15"/>
  <c r="V66" i="15" l="1"/>
  <c r="W66" i="15" s="1"/>
  <c r="U66" i="15" a="1"/>
  <c r="U66" i="15" s="1"/>
  <c r="X66" i="15" s="1"/>
  <c r="BE66" i="15" s="1"/>
  <c r="T66" i="15"/>
  <c r="T44" i="15"/>
  <c r="V44" i="15"/>
  <c r="U44" i="15" a="1"/>
  <c r="U44" i="15" s="1"/>
  <c r="X44" i="15" s="1"/>
  <c r="BE44" i="15" s="1"/>
  <c r="V48" i="15"/>
  <c r="W48" i="15" s="1"/>
  <c r="T48" i="15"/>
  <c r="U48" i="15" a="1"/>
  <c r="U48" i="15" s="1"/>
  <c r="X48" i="15" s="1"/>
  <c r="BE48" i="15" s="1"/>
  <c r="U53" i="15" a="1"/>
  <c r="U53" i="15" s="1"/>
  <c r="X53" i="15" s="1"/>
  <c r="BE53" i="15" s="1"/>
  <c r="V53" i="15"/>
  <c r="T53" i="15"/>
  <c r="V47" i="15"/>
  <c r="W47" i="15" s="1"/>
  <c r="T47" i="15"/>
  <c r="U47" i="15" a="1"/>
  <c r="U47" i="15" s="1"/>
  <c r="X47" i="15" s="1"/>
  <c r="BE47" i="15" s="1"/>
  <c r="V52" i="15"/>
  <c r="W52" i="15" s="1"/>
  <c r="U52" i="15" a="1"/>
  <c r="U52" i="15" s="1"/>
  <c r="X52" i="15" s="1"/>
  <c r="BE52" i="15" s="1"/>
  <c r="T52" i="15"/>
  <c r="V54" i="15"/>
  <c r="W54" i="15" s="1"/>
  <c r="T54" i="15"/>
  <c r="U54" i="15" a="1"/>
  <c r="U54" i="15" s="1"/>
  <c r="X54" i="15" s="1"/>
  <c r="BE54" i="15" s="1"/>
  <c r="V60" i="15"/>
  <c r="W60" i="15" s="1"/>
  <c r="T60" i="15"/>
  <c r="U60" i="15" a="1"/>
  <c r="U60" i="15" s="1"/>
  <c r="X60" i="15" s="1"/>
  <c r="BE60" i="15" s="1"/>
  <c r="U55" i="15" a="1"/>
  <c r="U55" i="15" s="1"/>
  <c r="X55" i="15" s="1"/>
  <c r="BE55" i="15" s="1"/>
  <c r="V55" i="15"/>
  <c r="T55" i="15"/>
  <c r="T50" i="15"/>
  <c r="U50" i="15" a="1"/>
  <c r="U50" i="15" s="1"/>
  <c r="X50" i="15" s="1"/>
  <c r="BE50" i="15" s="1"/>
  <c r="V50" i="15"/>
  <c r="U57" i="15" a="1"/>
  <c r="U57" i="15" s="1"/>
  <c r="X57" i="15" s="1"/>
  <c r="BE57" i="15" s="1"/>
  <c r="V57" i="15"/>
  <c r="W57" i="15" s="1"/>
  <c r="T57" i="15"/>
  <c r="V51" i="15"/>
  <c r="W51" i="15" s="1"/>
  <c r="U51" i="15" a="1"/>
  <c r="U51" i="15" s="1"/>
  <c r="X51" i="15" s="1"/>
  <c r="BE51" i="15" s="1"/>
  <c r="T51" i="15"/>
  <c r="U56" i="15" a="1"/>
  <c r="U56" i="15" s="1"/>
  <c r="X56" i="15" s="1"/>
  <c r="BE56" i="15" s="1"/>
  <c r="T56" i="15"/>
  <c r="V56" i="15"/>
  <c r="W56" i="15" s="1"/>
  <c r="T46" i="15"/>
  <c r="V46" i="15"/>
  <c r="U46" i="15" a="1"/>
  <c r="U46" i="15" s="1"/>
  <c r="X46" i="15" s="1"/>
  <c r="BE46" i="15" s="1"/>
  <c r="U65" i="15" a="1"/>
  <c r="U65" i="15" s="1"/>
  <c r="X65" i="15" s="1"/>
  <c r="BE65" i="15" s="1"/>
  <c r="V65" i="15"/>
  <c r="W65" i="15" s="1"/>
  <c r="T65" i="15"/>
  <c r="V49" i="15"/>
  <c r="W49" i="15" s="1"/>
  <c r="U49" i="15" a="1"/>
  <c r="U49" i="15" s="1"/>
  <c r="X49" i="15" s="1"/>
  <c r="BE49" i="15" s="1"/>
  <c r="T49" i="15"/>
  <c r="T43" i="15"/>
  <c r="V43" i="15"/>
  <c r="U43" i="15" a="1"/>
  <c r="U43" i="15" s="1"/>
  <c r="X43" i="15" s="1"/>
  <c r="BE43" i="15" s="1"/>
  <c r="T45" i="15"/>
  <c r="V45" i="15"/>
  <c r="U45" i="15" a="1"/>
  <c r="U45" i="15" s="1"/>
  <c r="X45" i="15" s="1"/>
  <c r="BE45" i="15" s="1"/>
  <c r="U64" i="15" a="1"/>
  <c r="U64" i="15" s="1"/>
  <c r="X64" i="15" s="1"/>
  <c r="BE64" i="15" s="1"/>
  <c r="T64" i="15"/>
  <c r="V64" i="15"/>
  <c r="W64" i="15" s="1"/>
  <c r="U63" i="15" a="1"/>
  <c r="U63" i="15" s="1"/>
  <c r="X63" i="15" s="1"/>
  <c r="BE63" i="15" s="1"/>
  <c r="T63" i="15"/>
  <c r="V63" i="15"/>
  <c r="W63" i="15" s="1"/>
  <c r="V61" i="15"/>
  <c r="W61" i="15" s="1"/>
  <c r="T61" i="15"/>
  <c r="U61" i="15" a="1"/>
  <c r="U61" i="15" s="1"/>
  <c r="X61" i="15" s="1"/>
  <c r="BE61" i="15" s="1"/>
  <c r="U59" i="15" a="1"/>
  <c r="U59" i="15" s="1"/>
  <c r="X59" i="15" s="1"/>
  <c r="BE59" i="15" s="1"/>
  <c r="T59" i="15"/>
  <c r="V59" i="15"/>
  <c r="W59" i="15" s="1"/>
  <c r="V62" i="15"/>
  <c r="T62" i="15"/>
  <c r="U62" i="15" a="1"/>
  <c r="U62" i="15" s="1"/>
  <c r="X62" i="15" s="1"/>
  <c r="BE62" i="15" s="1"/>
  <c r="T58" i="15"/>
  <c r="V58" i="15"/>
  <c r="W58" i="15" s="1"/>
  <c r="U58" i="15" a="1"/>
  <c r="U58" i="15" s="1"/>
  <c r="X58" i="15" s="1"/>
  <c r="BE58" i="15" s="1"/>
  <c r="T26" i="15"/>
  <c r="V26" i="15"/>
  <c r="U26" i="15" a="1"/>
  <c r="U26" i="15" s="1"/>
  <c r="X26" i="15" s="1"/>
  <c r="BE26" i="15" s="1"/>
  <c r="V24" i="15"/>
  <c r="T24" i="15"/>
  <c r="U24" i="15" a="1"/>
  <c r="U24" i="15" s="1"/>
  <c r="X24" i="15" s="1"/>
  <c r="BE24" i="15" s="1"/>
  <c r="T34" i="15"/>
  <c r="U34" i="15" a="1"/>
  <c r="U34" i="15" s="1"/>
  <c r="X34" i="15" s="1"/>
  <c r="BE34" i="15" s="1"/>
  <c r="V34" i="15"/>
  <c r="W34" i="15" s="1"/>
  <c r="V36" i="15"/>
  <c r="T36" i="15"/>
  <c r="U36" i="15" a="1"/>
  <c r="U36" i="15" s="1"/>
  <c r="X36" i="15" s="1"/>
  <c r="BE36" i="15" s="1"/>
  <c r="V37" i="15"/>
  <c r="T37" i="15"/>
  <c r="U37" i="15" a="1"/>
  <c r="U37" i="15" s="1"/>
  <c r="X37" i="15" s="1"/>
  <c r="BE37" i="15" s="1"/>
  <c r="U38" i="15" a="1"/>
  <c r="U38" i="15" s="1"/>
  <c r="X38" i="15" s="1"/>
  <c r="BE38" i="15" s="1"/>
  <c r="T38" i="15"/>
  <c r="V38" i="15"/>
  <c r="V27" i="15"/>
  <c r="L73" i="16" s="1"/>
  <c r="T27" i="15"/>
  <c r="U27" i="15" a="1"/>
  <c r="U27" i="15" s="1"/>
  <c r="X27" i="15" s="1"/>
  <c r="BE27" i="15" s="1"/>
  <c r="T25" i="15"/>
  <c r="V25" i="15"/>
  <c r="U25" i="15" a="1"/>
  <c r="U25" i="15" s="1"/>
  <c r="X25" i="15" s="1"/>
  <c r="BE25" i="15" s="1"/>
  <c r="V32" i="15"/>
  <c r="U32" i="15" a="1"/>
  <c r="U32" i="15" s="1"/>
  <c r="X32" i="15" s="1"/>
  <c r="BE32" i="15" s="1"/>
  <c r="T32" i="15"/>
  <c r="T35" i="15"/>
  <c r="U35" i="15" a="1"/>
  <c r="U35" i="15" s="1"/>
  <c r="X35" i="15" s="1"/>
  <c r="BE35" i="15" s="1"/>
  <c r="V35" i="15"/>
  <c r="L66" i="16" s="1"/>
  <c r="V29" i="15"/>
  <c r="L67" i="16" s="1"/>
  <c r="T29" i="15"/>
  <c r="U29" i="15" a="1"/>
  <c r="U29" i="15" s="1"/>
  <c r="X29" i="15" s="1"/>
  <c r="BE29" i="15" s="1"/>
  <c r="V39" i="15"/>
  <c r="W39" i="15" s="1"/>
  <c r="T39" i="15"/>
  <c r="U39" i="15" a="1"/>
  <c r="U39" i="15" s="1"/>
  <c r="X39" i="15" s="1"/>
  <c r="BE39" i="15" s="1"/>
  <c r="V28" i="15"/>
  <c r="T28" i="15"/>
  <c r="U28" i="15" a="1"/>
  <c r="U28" i="15" s="1"/>
  <c r="X28" i="15" s="1"/>
  <c r="BE28" i="15" s="1"/>
  <c r="T33" i="15"/>
  <c r="U33" i="15" a="1"/>
  <c r="U33" i="15" s="1"/>
  <c r="X33" i="15" s="1"/>
  <c r="BE33" i="15" s="1"/>
  <c r="V33" i="15"/>
  <c r="W33" i="15" s="1"/>
  <c r="T30" i="15"/>
  <c r="V30" i="15"/>
  <c r="U30" i="15" a="1"/>
  <c r="U30" i="15" s="1"/>
  <c r="X30" i="15" s="1"/>
  <c r="BE30" i="15" s="1"/>
  <c r="V23" i="15"/>
  <c r="L13" i="16" s="1"/>
  <c r="U23" i="15" a="1"/>
  <c r="U23" i="15" s="1"/>
  <c r="X23" i="15" s="1"/>
  <c r="BE23" i="15" s="1"/>
  <c r="T23" i="15"/>
  <c r="T31" i="15"/>
  <c r="U31" i="15" a="1"/>
  <c r="U31" i="15" s="1"/>
  <c r="X31" i="15" s="1"/>
  <c r="BE31" i="15" s="1"/>
  <c r="V31" i="15"/>
  <c r="BF10" i="15"/>
  <c r="E49" i="23"/>
  <c r="N13" i="23"/>
  <c r="M13" i="23"/>
  <c r="L13" i="23"/>
  <c r="K13" i="23"/>
  <c r="J13" i="23"/>
  <c r="L141" i="1"/>
  <c r="B141" i="1" s="1"/>
  <c r="L142" i="1"/>
  <c r="B142" i="1" s="1"/>
  <c r="L143" i="1"/>
  <c r="B143" i="1" s="1"/>
  <c r="L144" i="1"/>
  <c r="B144" i="1" s="1"/>
  <c r="L145" i="1"/>
  <c r="B145" i="1" s="1"/>
  <c r="L146" i="1"/>
  <c r="B146" i="1" s="1"/>
  <c r="L147" i="1"/>
  <c r="B147" i="1" s="1"/>
  <c r="L148" i="1"/>
  <c r="B148" i="1" s="1"/>
  <c r="L149" i="1"/>
  <c r="B149" i="1" s="1"/>
  <c r="L150" i="1"/>
  <c r="B150" i="1" s="1"/>
  <c r="L151" i="1"/>
  <c r="B151" i="1" s="1"/>
  <c r="L152" i="1"/>
  <c r="B152" i="1" s="1"/>
  <c r="L153" i="1"/>
  <c r="B153" i="1" s="1"/>
  <c r="L154" i="1"/>
  <c r="B154" i="1" s="1"/>
  <c r="L155" i="1"/>
  <c r="B155" i="1" s="1"/>
  <c r="L156" i="1"/>
  <c r="B156" i="1" s="1"/>
  <c r="L157" i="1"/>
  <c r="B157" i="1" s="1"/>
  <c r="L158" i="1"/>
  <c r="B158" i="1" s="1"/>
  <c r="L159" i="1"/>
  <c r="B159" i="1" s="1"/>
  <c r="L160" i="1"/>
  <c r="B160" i="1" s="1"/>
  <c r="L161" i="1"/>
  <c r="B161" i="1" s="1"/>
  <c r="L162" i="1"/>
  <c r="B162" i="1" s="1"/>
  <c r="L163" i="1"/>
  <c r="B163" i="1" s="1"/>
  <c r="L164" i="1"/>
  <c r="B164" i="1" s="1"/>
  <c r="L165" i="1"/>
  <c r="B165" i="1" s="1"/>
  <c r="L166" i="1"/>
  <c r="B166" i="1" s="1"/>
  <c r="L167" i="1"/>
  <c r="B167" i="1" s="1"/>
  <c r="L168" i="1"/>
  <c r="B168" i="1" s="1"/>
  <c r="L169" i="1"/>
  <c r="B169" i="1" s="1"/>
  <c r="L170" i="1"/>
  <c r="B170" i="1" s="1"/>
  <c r="L171" i="1"/>
  <c r="B171" i="1" s="1"/>
  <c r="L172" i="1"/>
  <c r="B172" i="1" s="1"/>
  <c r="L173" i="1"/>
  <c r="B173" i="1" s="1"/>
  <c r="L174" i="1"/>
  <c r="B174" i="1" s="1"/>
  <c r="L175" i="1"/>
  <c r="B175" i="1" s="1"/>
  <c r="L176" i="1"/>
  <c r="B176" i="1" s="1"/>
  <c r="L177" i="1"/>
  <c r="B177" i="1" s="1"/>
  <c r="L178" i="1"/>
  <c r="B178" i="1" s="1"/>
  <c r="L179" i="1"/>
  <c r="B179" i="1" s="1"/>
  <c r="L180" i="1"/>
  <c r="B180" i="1" s="1"/>
  <c r="L181" i="1"/>
  <c r="B181" i="1" s="1"/>
  <c r="L182" i="1"/>
  <c r="B182" i="1" s="1"/>
  <c r="L183" i="1"/>
  <c r="B183" i="1" s="1"/>
  <c r="L184" i="1"/>
  <c r="B184" i="1" s="1"/>
  <c r="L185" i="1"/>
  <c r="B185" i="1" s="1"/>
  <c r="L186" i="1"/>
  <c r="B186" i="1" s="1"/>
  <c r="L187" i="1"/>
  <c r="B187" i="1" s="1"/>
  <c r="L188" i="1"/>
  <c r="B188" i="1" s="1"/>
  <c r="L189" i="1"/>
  <c r="B189" i="1" s="1"/>
  <c r="L190" i="1"/>
  <c r="B190" i="1" s="1"/>
  <c r="L191" i="1"/>
  <c r="B191" i="1" s="1"/>
  <c r="L192" i="1"/>
  <c r="B192" i="1" s="1"/>
  <c r="L193" i="1"/>
  <c r="B193" i="1" s="1"/>
  <c r="L194" i="1"/>
  <c r="B194" i="1" s="1"/>
  <c r="L195" i="1"/>
  <c r="B195" i="1" s="1"/>
  <c r="L196" i="1"/>
  <c r="B196" i="1" s="1"/>
  <c r="L197" i="1"/>
  <c r="B197" i="1" s="1"/>
  <c r="L198" i="1"/>
  <c r="B198" i="1" s="1"/>
  <c r="L199" i="1"/>
  <c r="B199" i="1" s="1"/>
  <c r="L200" i="1"/>
  <c r="B200" i="1" s="1"/>
  <c r="L201" i="1"/>
  <c r="B201" i="1" s="1"/>
  <c r="L202" i="1"/>
  <c r="B202" i="1" s="1"/>
  <c r="L203" i="1"/>
  <c r="B203" i="1" s="1"/>
  <c r="L204" i="1"/>
  <c r="B204" i="1" s="1"/>
  <c r="L205" i="1"/>
  <c r="B205" i="1" s="1"/>
  <c r="L206" i="1"/>
  <c r="B206" i="1" s="1"/>
  <c r="L207" i="1"/>
  <c r="B207" i="1" s="1"/>
  <c r="L208" i="1"/>
  <c r="B208" i="1" s="1"/>
  <c r="L209" i="1"/>
  <c r="B209" i="1" s="1"/>
  <c r="L210" i="1"/>
  <c r="B210" i="1" s="1"/>
  <c r="L211" i="1"/>
  <c r="B211" i="1" s="1"/>
  <c r="L212" i="1"/>
  <c r="B212" i="1" s="1"/>
  <c r="L213" i="1"/>
  <c r="B213" i="1" s="1"/>
  <c r="L214" i="1"/>
  <c r="B214" i="1" s="1"/>
  <c r="L215" i="1"/>
  <c r="B215" i="1" s="1"/>
  <c r="L216" i="1"/>
  <c r="B216" i="1" s="1"/>
  <c r="L217" i="1"/>
  <c r="B217" i="1" s="1"/>
  <c r="L218" i="1"/>
  <c r="B218" i="1" s="1"/>
  <c r="L219" i="1"/>
  <c r="B219" i="1" s="1"/>
  <c r="L220" i="1"/>
  <c r="B220" i="1" s="1"/>
  <c r="L221" i="1"/>
  <c r="B221" i="1" s="1"/>
  <c r="L222" i="1"/>
  <c r="B222" i="1" s="1"/>
  <c r="L223" i="1"/>
  <c r="B223" i="1" s="1"/>
  <c r="L224" i="1"/>
  <c r="B224" i="1" s="1"/>
  <c r="L225" i="1"/>
  <c r="B225" i="1" s="1"/>
  <c r="L226" i="1"/>
  <c r="B226" i="1" s="1"/>
  <c r="L227" i="1"/>
  <c r="B227" i="1" s="1"/>
  <c r="L228" i="1"/>
  <c r="B228" i="1" s="1"/>
  <c r="L229" i="1"/>
  <c r="B229" i="1" s="1"/>
  <c r="L230" i="1"/>
  <c r="B230" i="1" s="1"/>
  <c r="L231" i="1"/>
  <c r="B231" i="1" s="1"/>
  <c r="L232" i="1"/>
  <c r="B232" i="1" s="1"/>
  <c r="L233" i="1"/>
  <c r="B233" i="1" s="1"/>
  <c r="L234" i="1"/>
  <c r="B234" i="1" s="1"/>
  <c r="L235" i="1"/>
  <c r="B235" i="1" s="1"/>
  <c r="L236" i="1"/>
  <c r="B236" i="1" s="1"/>
  <c r="L237" i="1"/>
  <c r="B237" i="1" s="1"/>
  <c r="L238" i="1"/>
  <c r="B238" i="1" s="1"/>
  <c r="L239" i="1"/>
  <c r="B239" i="1" s="1"/>
  <c r="L240" i="1"/>
  <c r="B240" i="1" s="1"/>
  <c r="L241" i="1"/>
  <c r="B241" i="1" s="1"/>
  <c r="L242" i="1"/>
  <c r="B242" i="1" s="1"/>
  <c r="L243" i="1"/>
  <c r="B243" i="1" s="1"/>
  <c r="L244" i="1"/>
  <c r="B244" i="1" s="1"/>
  <c r="L245" i="1"/>
  <c r="B245" i="1" s="1"/>
  <c r="L246" i="1"/>
  <c r="B246" i="1" s="1"/>
  <c r="L247" i="1"/>
  <c r="B247" i="1" s="1"/>
  <c r="L248" i="1"/>
  <c r="B248" i="1" s="1"/>
  <c r="L249" i="1"/>
  <c r="B249" i="1" s="1"/>
  <c r="L250" i="1"/>
  <c r="B250" i="1" s="1"/>
  <c r="L251" i="1"/>
  <c r="B251" i="1" s="1"/>
  <c r="L252" i="1"/>
  <c r="B252" i="1" s="1"/>
  <c r="L253" i="1"/>
  <c r="B253" i="1" s="1"/>
  <c r="L254" i="1"/>
  <c r="B254" i="1" s="1"/>
  <c r="L255" i="1"/>
  <c r="B255" i="1" s="1"/>
  <c r="L256" i="1"/>
  <c r="B256" i="1" s="1"/>
  <c r="L257" i="1"/>
  <c r="B257" i="1" s="1"/>
  <c r="L258" i="1"/>
  <c r="B258" i="1" s="1"/>
  <c r="L259" i="1"/>
  <c r="B259" i="1" s="1"/>
  <c r="L260" i="1"/>
  <c r="B260" i="1" s="1"/>
  <c r="L261" i="1"/>
  <c r="B261" i="1" s="1"/>
  <c r="L262" i="1"/>
  <c r="B262" i="1" s="1"/>
  <c r="L263" i="1"/>
  <c r="B263" i="1" s="1"/>
  <c r="L264" i="1"/>
  <c r="B264" i="1" s="1"/>
  <c r="L265" i="1"/>
  <c r="B265" i="1" s="1"/>
  <c r="L266" i="1"/>
  <c r="B266" i="1" s="1"/>
  <c r="L267" i="1"/>
  <c r="B267" i="1" s="1"/>
  <c r="L268" i="1"/>
  <c r="B268" i="1" s="1"/>
  <c r="L269" i="1"/>
  <c r="B269" i="1" s="1"/>
  <c r="L270" i="1"/>
  <c r="B270" i="1" s="1"/>
  <c r="L271" i="1"/>
  <c r="B271" i="1" s="1"/>
  <c r="L272" i="1"/>
  <c r="B272" i="1" s="1"/>
  <c r="L273" i="1"/>
  <c r="B273" i="1" s="1"/>
  <c r="L274" i="1"/>
  <c r="B274" i="1" s="1"/>
  <c r="L275" i="1"/>
  <c r="B275" i="1" s="1"/>
  <c r="L276" i="1"/>
  <c r="B276" i="1" s="1"/>
  <c r="L277" i="1"/>
  <c r="B277" i="1" s="1"/>
  <c r="L278" i="1"/>
  <c r="B278" i="1" s="1"/>
  <c r="L279" i="1"/>
  <c r="B279" i="1" s="1"/>
  <c r="L280" i="1"/>
  <c r="B280" i="1" s="1"/>
  <c r="L281" i="1"/>
  <c r="B281" i="1" s="1"/>
  <c r="L282" i="1"/>
  <c r="B282" i="1" s="1"/>
  <c r="L283" i="1"/>
  <c r="B283" i="1" s="1"/>
  <c r="L284" i="1"/>
  <c r="B284" i="1" s="1"/>
  <c r="L285" i="1"/>
  <c r="B285" i="1" s="1"/>
  <c r="L286" i="1"/>
  <c r="B286" i="1" s="1"/>
  <c r="L287" i="1"/>
  <c r="B287" i="1" s="1"/>
  <c r="L288" i="1"/>
  <c r="B288" i="1" s="1"/>
  <c r="L289" i="1"/>
  <c r="B289" i="1" s="1"/>
  <c r="L290" i="1"/>
  <c r="B290" i="1" s="1"/>
  <c r="L291" i="1"/>
  <c r="B291" i="1" s="1"/>
  <c r="L292" i="1"/>
  <c r="B292" i="1" s="1"/>
  <c r="L293" i="1"/>
  <c r="B293" i="1" s="1"/>
  <c r="L294" i="1"/>
  <c r="B294" i="1" s="1"/>
  <c r="L295" i="1"/>
  <c r="B295" i="1" s="1"/>
  <c r="L296" i="1"/>
  <c r="B296" i="1" s="1"/>
  <c r="L297" i="1"/>
  <c r="B297" i="1" s="1"/>
  <c r="L298" i="1"/>
  <c r="B298" i="1" s="1"/>
  <c r="L299" i="1"/>
  <c r="B299" i="1" s="1"/>
  <c r="L300" i="1"/>
  <c r="B300" i="1" s="1"/>
  <c r="L301" i="1"/>
  <c r="B301" i="1" s="1"/>
  <c r="L302" i="1"/>
  <c r="B302" i="1" s="1"/>
  <c r="L303" i="1"/>
  <c r="B303" i="1" s="1"/>
  <c r="L304" i="1"/>
  <c r="B304" i="1" s="1"/>
  <c r="L305" i="1"/>
  <c r="B305" i="1" s="1"/>
  <c r="L306" i="1"/>
  <c r="B306" i="1" s="1"/>
  <c r="L307" i="1"/>
  <c r="B307" i="1" s="1"/>
  <c r="L308" i="1"/>
  <c r="B308" i="1" s="1"/>
  <c r="L309" i="1"/>
  <c r="B309" i="1" s="1"/>
  <c r="L310" i="1"/>
  <c r="B310" i="1" s="1"/>
  <c r="L311" i="1"/>
  <c r="B311" i="1" s="1"/>
  <c r="L312" i="1"/>
  <c r="B312" i="1" s="1"/>
  <c r="L313" i="1"/>
  <c r="B313" i="1" s="1"/>
  <c r="L314" i="1"/>
  <c r="B314" i="1" s="1"/>
  <c r="L315" i="1"/>
  <c r="B315" i="1" s="1"/>
  <c r="L316" i="1"/>
  <c r="B316" i="1" s="1"/>
  <c r="L317" i="1"/>
  <c r="B317" i="1" s="1"/>
  <c r="L318" i="1"/>
  <c r="B318" i="1" s="1"/>
  <c r="L319" i="1"/>
  <c r="B319" i="1" s="1"/>
  <c r="L320" i="1"/>
  <c r="B320" i="1" s="1"/>
  <c r="L321" i="1"/>
  <c r="B321" i="1" s="1"/>
  <c r="L322" i="1"/>
  <c r="B322" i="1" s="1"/>
  <c r="L323" i="1"/>
  <c r="B323" i="1" s="1"/>
  <c r="L324" i="1"/>
  <c r="B324" i="1" s="1"/>
  <c r="L325" i="1"/>
  <c r="B325" i="1" s="1"/>
  <c r="L326" i="1"/>
  <c r="B326" i="1" s="1"/>
  <c r="L327" i="1"/>
  <c r="B327" i="1" s="1"/>
  <c r="L328" i="1"/>
  <c r="B328" i="1" s="1"/>
  <c r="L329" i="1"/>
  <c r="B329" i="1" s="1"/>
  <c r="L330" i="1"/>
  <c r="B330" i="1" s="1"/>
  <c r="L331" i="1"/>
  <c r="B331" i="1" s="1"/>
  <c r="L332" i="1"/>
  <c r="B332" i="1" s="1"/>
  <c r="L333" i="1"/>
  <c r="B333" i="1" s="1"/>
  <c r="L334" i="1"/>
  <c r="B334" i="1" s="1"/>
  <c r="L335" i="1"/>
  <c r="B335" i="1" s="1"/>
  <c r="L336" i="1"/>
  <c r="B336" i="1" s="1"/>
  <c r="L337" i="1"/>
  <c r="B337" i="1" s="1"/>
  <c r="L338" i="1"/>
  <c r="B338" i="1" s="1"/>
  <c r="L339" i="1"/>
  <c r="B339" i="1" s="1"/>
  <c r="L340" i="1"/>
  <c r="B340" i="1" s="1"/>
  <c r="L341" i="1"/>
  <c r="B341" i="1" s="1"/>
  <c r="L342" i="1"/>
  <c r="B342" i="1" s="1"/>
  <c r="L343" i="1"/>
  <c r="B343" i="1" s="1"/>
  <c r="L344" i="1"/>
  <c r="B344" i="1" s="1"/>
  <c r="L345" i="1"/>
  <c r="B345" i="1" s="1"/>
  <c r="L346" i="1"/>
  <c r="B346" i="1" s="1"/>
  <c r="L347" i="1"/>
  <c r="B347" i="1" s="1"/>
  <c r="L348" i="1"/>
  <c r="B348" i="1" s="1"/>
  <c r="L349" i="1"/>
  <c r="B349" i="1" s="1"/>
  <c r="L350" i="1"/>
  <c r="B350" i="1" s="1"/>
  <c r="L351" i="1"/>
  <c r="B351" i="1" s="1"/>
  <c r="L352" i="1"/>
  <c r="B352" i="1" s="1"/>
  <c r="L353" i="1"/>
  <c r="B353" i="1" s="1"/>
  <c r="L354" i="1"/>
  <c r="B354" i="1" s="1"/>
  <c r="L355" i="1"/>
  <c r="B355" i="1" s="1"/>
  <c r="L356" i="1"/>
  <c r="B356" i="1" s="1"/>
  <c r="L357" i="1"/>
  <c r="B357" i="1" s="1"/>
  <c r="L358" i="1"/>
  <c r="B358" i="1" s="1"/>
  <c r="L359" i="1"/>
  <c r="B359" i="1" s="1"/>
  <c r="L360" i="1"/>
  <c r="B360" i="1" s="1"/>
  <c r="L361" i="1"/>
  <c r="B361" i="1" s="1"/>
  <c r="L362" i="1"/>
  <c r="B362" i="1" s="1"/>
  <c r="L363" i="1"/>
  <c r="B363" i="1" s="1"/>
  <c r="L364" i="1"/>
  <c r="B364" i="1" s="1"/>
  <c r="L365" i="1"/>
  <c r="B365" i="1" s="1"/>
  <c r="L366" i="1"/>
  <c r="B366" i="1" s="1"/>
  <c r="L367" i="1"/>
  <c r="B367" i="1" s="1"/>
  <c r="L368" i="1"/>
  <c r="B368" i="1" s="1"/>
  <c r="L369" i="1"/>
  <c r="B369" i="1" s="1"/>
  <c r="L370" i="1"/>
  <c r="B370" i="1" s="1"/>
  <c r="L371" i="1"/>
  <c r="B371" i="1" s="1"/>
  <c r="L372" i="1"/>
  <c r="B372" i="1" s="1"/>
  <c r="L373" i="1"/>
  <c r="B373" i="1" s="1"/>
  <c r="L374" i="1"/>
  <c r="B374" i="1" s="1"/>
  <c r="L375" i="1"/>
  <c r="B375" i="1" s="1"/>
  <c r="L376" i="1"/>
  <c r="B376" i="1" s="1"/>
  <c r="L377" i="1"/>
  <c r="B377" i="1" s="1"/>
  <c r="L378" i="1"/>
  <c r="B378" i="1" s="1"/>
  <c r="L379" i="1"/>
  <c r="B379" i="1" s="1"/>
  <c r="L380" i="1"/>
  <c r="B380" i="1" s="1"/>
  <c r="L381" i="1"/>
  <c r="B381" i="1" s="1"/>
  <c r="L382" i="1"/>
  <c r="B382" i="1" s="1"/>
  <c r="L383" i="1"/>
  <c r="B383" i="1" s="1"/>
  <c r="L384" i="1"/>
  <c r="B384" i="1" s="1"/>
  <c r="L385" i="1"/>
  <c r="B385" i="1" s="1"/>
  <c r="L386" i="1"/>
  <c r="B386" i="1" s="1"/>
  <c r="L387" i="1"/>
  <c r="B387" i="1" s="1"/>
  <c r="L388" i="1"/>
  <c r="B388" i="1" s="1"/>
  <c r="L389" i="1"/>
  <c r="B389" i="1" s="1"/>
  <c r="L390" i="1"/>
  <c r="B390" i="1" s="1"/>
  <c r="L391" i="1"/>
  <c r="B391" i="1" s="1"/>
  <c r="L392" i="1"/>
  <c r="B392" i="1" s="1"/>
  <c r="L393" i="1"/>
  <c r="B393" i="1" s="1"/>
  <c r="L394" i="1"/>
  <c r="B394" i="1" s="1"/>
  <c r="L395" i="1"/>
  <c r="B395" i="1" s="1"/>
  <c r="L396" i="1"/>
  <c r="B396" i="1" s="1"/>
  <c r="L397" i="1"/>
  <c r="B397" i="1" s="1"/>
  <c r="L398" i="1"/>
  <c r="B398" i="1" s="1"/>
  <c r="L399" i="1"/>
  <c r="B399" i="1" s="1"/>
  <c r="L400" i="1"/>
  <c r="B400" i="1" s="1"/>
  <c r="L401" i="1"/>
  <c r="B401" i="1" s="1"/>
  <c r="L402" i="1"/>
  <c r="B402" i="1" s="1"/>
  <c r="L403" i="1"/>
  <c r="B403" i="1" s="1"/>
  <c r="L404" i="1"/>
  <c r="B404" i="1" s="1"/>
  <c r="L405" i="1"/>
  <c r="B405" i="1" s="1"/>
  <c r="L406" i="1"/>
  <c r="B406" i="1" s="1"/>
  <c r="L407" i="1"/>
  <c r="B407" i="1" s="1"/>
  <c r="L408" i="1"/>
  <c r="B408" i="1" s="1"/>
  <c r="L409" i="1"/>
  <c r="B409" i="1" s="1"/>
  <c r="L410" i="1"/>
  <c r="B410" i="1" s="1"/>
  <c r="L411" i="1"/>
  <c r="B411" i="1" s="1"/>
  <c r="L412" i="1"/>
  <c r="B412" i="1" s="1"/>
  <c r="L413" i="1"/>
  <c r="B413" i="1" s="1"/>
  <c r="L414" i="1"/>
  <c r="B414" i="1" s="1"/>
  <c r="L415" i="1"/>
  <c r="B415" i="1" s="1"/>
  <c r="L416" i="1"/>
  <c r="B416" i="1" s="1"/>
  <c r="L417" i="1"/>
  <c r="B417" i="1" s="1"/>
  <c r="L418" i="1"/>
  <c r="B418" i="1" s="1"/>
  <c r="L419" i="1"/>
  <c r="B419" i="1" s="1"/>
  <c r="L420" i="1"/>
  <c r="B420" i="1" s="1"/>
  <c r="L421" i="1"/>
  <c r="B421" i="1" s="1"/>
  <c r="L422" i="1"/>
  <c r="B422" i="1" s="1"/>
  <c r="L423" i="1"/>
  <c r="B423" i="1" s="1"/>
  <c r="L424" i="1"/>
  <c r="B424" i="1" s="1"/>
  <c r="L425" i="1"/>
  <c r="B425" i="1" s="1"/>
  <c r="L426" i="1"/>
  <c r="B426" i="1" s="1"/>
  <c r="L427" i="1"/>
  <c r="B427" i="1" s="1"/>
  <c r="L428" i="1"/>
  <c r="B428" i="1" s="1"/>
  <c r="L429" i="1"/>
  <c r="B429" i="1" s="1"/>
  <c r="L430" i="1"/>
  <c r="B430" i="1" s="1"/>
  <c r="L431" i="1"/>
  <c r="B431" i="1" s="1"/>
  <c r="L432" i="1"/>
  <c r="B432" i="1" s="1"/>
  <c r="L433" i="1"/>
  <c r="B433" i="1" s="1"/>
  <c r="L434" i="1"/>
  <c r="B434" i="1" s="1"/>
  <c r="L435" i="1"/>
  <c r="B435" i="1" s="1"/>
  <c r="L436" i="1"/>
  <c r="B436" i="1" s="1"/>
  <c r="L437" i="1"/>
  <c r="B437" i="1" s="1"/>
  <c r="L438" i="1"/>
  <c r="B438" i="1" s="1"/>
  <c r="L439" i="1"/>
  <c r="B439" i="1" s="1"/>
  <c r="L440" i="1"/>
  <c r="B440" i="1" s="1"/>
  <c r="L441" i="1"/>
  <c r="B441" i="1" s="1"/>
  <c r="L442" i="1"/>
  <c r="B442" i="1" s="1"/>
  <c r="L443" i="1"/>
  <c r="B443" i="1" s="1"/>
  <c r="L444" i="1"/>
  <c r="B444" i="1" s="1"/>
  <c r="L445" i="1"/>
  <c r="B445" i="1" s="1"/>
  <c r="L446" i="1"/>
  <c r="B446" i="1" s="1"/>
  <c r="L447" i="1"/>
  <c r="B447" i="1" s="1"/>
  <c r="L448" i="1"/>
  <c r="B448" i="1" s="1"/>
  <c r="L449" i="1"/>
  <c r="B449" i="1" s="1"/>
  <c r="L450" i="1"/>
  <c r="B450" i="1" s="1"/>
  <c r="L451" i="1"/>
  <c r="B451" i="1" s="1"/>
  <c r="L452" i="1"/>
  <c r="B452" i="1" s="1"/>
  <c r="L453" i="1"/>
  <c r="B453" i="1" s="1"/>
  <c r="L454" i="1"/>
  <c r="B454" i="1" s="1"/>
  <c r="L455" i="1"/>
  <c r="B455" i="1" s="1"/>
  <c r="L456" i="1"/>
  <c r="B456" i="1" s="1"/>
  <c r="L457" i="1"/>
  <c r="B457" i="1" s="1"/>
  <c r="L458" i="1"/>
  <c r="B458" i="1" s="1"/>
  <c r="L459" i="1"/>
  <c r="B459" i="1" s="1"/>
  <c r="L460" i="1"/>
  <c r="B460" i="1" s="1"/>
  <c r="L461" i="1"/>
  <c r="B461" i="1" s="1"/>
  <c r="L462" i="1"/>
  <c r="B462" i="1" s="1"/>
  <c r="L463" i="1"/>
  <c r="B463" i="1" s="1"/>
  <c r="L464" i="1"/>
  <c r="B464" i="1" s="1"/>
  <c r="L465" i="1"/>
  <c r="B465" i="1" s="1"/>
  <c r="L466" i="1"/>
  <c r="B466" i="1" s="1"/>
  <c r="L467" i="1"/>
  <c r="B467" i="1" s="1"/>
  <c r="L468" i="1"/>
  <c r="B468" i="1" s="1"/>
  <c r="L469" i="1"/>
  <c r="B469" i="1" s="1"/>
  <c r="L470" i="1"/>
  <c r="B470" i="1" s="1"/>
  <c r="L471" i="1"/>
  <c r="B471" i="1" s="1"/>
  <c r="L472" i="1"/>
  <c r="B472" i="1" s="1"/>
  <c r="L473" i="1"/>
  <c r="B473" i="1" s="1"/>
  <c r="L474" i="1"/>
  <c r="B474" i="1" s="1"/>
  <c r="L475" i="1"/>
  <c r="B475" i="1" s="1"/>
  <c r="L476" i="1"/>
  <c r="B476" i="1" s="1"/>
  <c r="L477" i="1"/>
  <c r="B477" i="1" s="1"/>
  <c r="L478" i="1"/>
  <c r="B478" i="1" s="1"/>
  <c r="L479" i="1"/>
  <c r="B479" i="1" s="1"/>
  <c r="L480" i="1"/>
  <c r="B480" i="1" s="1"/>
  <c r="L481" i="1"/>
  <c r="B481" i="1" s="1"/>
  <c r="L482" i="1"/>
  <c r="B482" i="1" s="1"/>
  <c r="L483" i="1"/>
  <c r="B483" i="1" s="1"/>
  <c r="L484" i="1"/>
  <c r="B484" i="1" s="1"/>
  <c r="L485" i="1"/>
  <c r="B485" i="1" s="1"/>
  <c r="L486" i="1"/>
  <c r="B486" i="1" s="1"/>
  <c r="L487" i="1"/>
  <c r="B487" i="1" s="1"/>
  <c r="L488" i="1"/>
  <c r="B488" i="1" s="1"/>
  <c r="L489" i="1"/>
  <c r="B489" i="1" s="1"/>
  <c r="L490" i="1"/>
  <c r="B490" i="1" s="1"/>
  <c r="L491" i="1"/>
  <c r="B491" i="1" s="1"/>
  <c r="L492" i="1"/>
  <c r="B492" i="1" s="1"/>
  <c r="L493" i="1"/>
  <c r="B493" i="1" s="1"/>
  <c r="L494" i="1"/>
  <c r="B494" i="1" s="1"/>
  <c r="L495" i="1"/>
  <c r="B495" i="1" s="1"/>
  <c r="L496" i="1"/>
  <c r="B496" i="1" s="1"/>
  <c r="L497" i="1"/>
  <c r="B497" i="1" s="1"/>
  <c r="L498" i="1"/>
  <c r="B498" i="1" s="1"/>
  <c r="L4" i="1"/>
  <c r="BG58" i="15" l="1"/>
  <c r="BF66" i="15"/>
  <c r="BG66" i="15"/>
  <c r="W36" i="15"/>
  <c r="L18" i="16"/>
  <c r="L2" i="16"/>
  <c r="L43" i="16"/>
  <c r="L49" i="16"/>
  <c r="L61" i="16"/>
  <c r="BG62" i="15"/>
  <c r="L50" i="16"/>
  <c r="W43" i="15"/>
  <c r="L41" i="16"/>
  <c r="W50" i="15"/>
  <c r="W53" i="15"/>
  <c r="BG44" i="15"/>
  <c r="W30" i="15"/>
  <c r="W25" i="15"/>
  <c r="W27" i="15"/>
  <c r="W28" i="15"/>
  <c r="W29" i="15"/>
  <c r="W46" i="15"/>
  <c r="BG49" i="15"/>
  <c r="BG60" i="15"/>
  <c r="BG54" i="15"/>
  <c r="BG46" i="15"/>
  <c r="BG61" i="15"/>
  <c r="BG47" i="15"/>
  <c r="BG33" i="15"/>
  <c r="BG23" i="15"/>
  <c r="BG26" i="15"/>
  <c r="BG48" i="15"/>
  <c r="BG45" i="15"/>
  <c r="W45" i="15"/>
  <c r="W44" i="15"/>
  <c r="BG28" i="15"/>
  <c r="BF65" i="15"/>
  <c r="BG65" i="15"/>
  <c r="BF59" i="15"/>
  <c r="BG59" i="15"/>
  <c r="BF56" i="15"/>
  <c r="BG56" i="15"/>
  <c r="BF55" i="15"/>
  <c r="BG55" i="15"/>
  <c r="BG36" i="15"/>
  <c r="BG29" i="15"/>
  <c r="BF52" i="15"/>
  <c r="BG52" i="15"/>
  <c r="BF51" i="15"/>
  <c r="BG51" i="15"/>
  <c r="BF63" i="15"/>
  <c r="BG63" i="15"/>
  <c r="BG25" i="15"/>
  <c r="BG30" i="15"/>
  <c r="BG43" i="15"/>
  <c r="BF50" i="15"/>
  <c r="BG50" i="15"/>
  <c r="BF57" i="15"/>
  <c r="BG57" i="15"/>
  <c r="BF64" i="15"/>
  <c r="BG64" i="15"/>
  <c r="BF53" i="15"/>
  <c r="BG53" i="15"/>
  <c r="BG37" i="15"/>
  <c r="BG39" i="15"/>
  <c r="BG24" i="15"/>
  <c r="BG35" i="15"/>
  <c r="BG31" i="15"/>
  <c r="BF32" i="15"/>
  <c r="BG32" i="15"/>
  <c r="BF38" i="15"/>
  <c r="BG38" i="15"/>
  <c r="BF34" i="15"/>
  <c r="BG34" i="15"/>
  <c r="BG27" i="15"/>
  <c r="BF60" i="15"/>
  <c r="BF49" i="15"/>
  <c r="BF54" i="15"/>
  <c r="BF61" i="15"/>
  <c r="BF45" i="15"/>
  <c r="BF46" i="15"/>
  <c r="BF62" i="15"/>
  <c r="BF47" i="15"/>
  <c r="W62" i="15"/>
  <c r="BF48" i="15"/>
  <c r="BF58" i="15"/>
  <c r="BF43" i="15"/>
  <c r="BF44" i="15"/>
  <c r="W55" i="15"/>
  <c r="BF29" i="15"/>
  <c r="BF35" i="15"/>
  <c r="BF27" i="15"/>
  <c r="BF28" i="15"/>
  <c r="BF37" i="15"/>
  <c r="W35" i="15"/>
  <c r="BF31" i="15"/>
  <c r="W24" i="15"/>
  <c r="BF33" i="15"/>
  <c r="W31" i="15"/>
  <c r="BF23" i="15"/>
  <c r="W32" i="15"/>
  <c r="BF26" i="15"/>
  <c r="W38" i="15"/>
  <c r="W37" i="15"/>
  <c r="W23" i="15"/>
  <c r="BF25" i="15"/>
  <c r="W26" i="15"/>
  <c r="BF39" i="15"/>
  <c r="BF36" i="15"/>
  <c r="BF24" i="15"/>
  <c r="BF30" i="15"/>
  <c r="C49" i="23"/>
  <c r="F29" i="23" l="1"/>
  <c r="C28" i="23"/>
  <c r="E28" i="23" s="1"/>
  <c r="Y4" i="15"/>
  <c r="AL4" i="15" s="1"/>
  <c r="Y5" i="15"/>
  <c r="S4" i="15"/>
  <c r="AG4" i="15" s="1"/>
  <c r="S5" i="15"/>
  <c r="A5" i="15"/>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A129" i="15" s="1"/>
  <c r="A130" i="15" s="1"/>
  <c r="A131" i="15" s="1"/>
  <c r="A132" i="15" s="1"/>
  <c r="A133" i="15" s="1"/>
  <c r="A134" i="15" s="1"/>
  <c r="A135" i="15" s="1"/>
  <c r="A136" i="15" s="1"/>
  <c r="A137" i="15" s="1"/>
  <c r="A138" i="15" s="1"/>
  <c r="A139" i="15" s="1"/>
  <c r="A140" i="15" s="1"/>
  <c r="A141" i="15" s="1"/>
  <c r="A142" i="15" s="1"/>
  <c r="A143" i="15" s="1"/>
  <c r="A144" i="15" s="1"/>
  <c r="A145" i="15" s="1"/>
  <c r="A146" i="15" s="1"/>
  <c r="A147" i="15" s="1"/>
  <c r="A148" i="15" s="1"/>
  <c r="A149" i="15" s="1"/>
  <c r="A150" i="15" s="1"/>
  <c r="A151" i="15" s="1"/>
  <c r="A152" i="15" s="1"/>
  <c r="A153" i="15" s="1"/>
  <c r="A154" i="15" s="1"/>
  <c r="A155" i="15" s="1"/>
  <c r="A156" i="15" s="1"/>
  <c r="A157" i="15" s="1"/>
  <c r="A158" i="15" s="1"/>
  <c r="A159" i="15" s="1"/>
  <c r="A160" i="15" s="1"/>
  <c r="A161" i="15" s="1"/>
  <c r="A162" i="15" s="1"/>
  <c r="A163" i="15" s="1"/>
  <c r="A164" i="15" s="1"/>
  <c r="A165" i="15" s="1"/>
  <c r="A166" i="15" s="1"/>
  <c r="A167" i="15" s="1"/>
  <c r="A168" i="15" s="1"/>
  <c r="A169" i="15" s="1"/>
  <c r="A170" i="15" s="1"/>
  <c r="A171" i="15" s="1"/>
  <c r="A172" i="15" s="1"/>
  <c r="A173" i="15" s="1"/>
  <c r="A174" i="15" s="1"/>
  <c r="A175" i="15" s="1"/>
  <c r="A176" i="15" s="1"/>
  <c r="A177" i="15" s="1"/>
  <c r="A178" i="15" s="1"/>
  <c r="A179" i="15" s="1"/>
  <c r="A180" i="15" s="1"/>
  <c r="A181" i="15" s="1"/>
  <c r="A182" i="15" s="1"/>
  <c r="A183" i="15" s="1"/>
  <c r="A184" i="15" s="1"/>
  <c r="A185" i="15" s="1"/>
  <c r="A186" i="15" s="1"/>
  <c r="A187" i="15" s="1"/>
  <c r="A188" i="15" s="1"/>
  <c r="A189" i="15" s="1"/>
  <c r="A190" i="15" s="1"/>
  <c r="A191" i="15" s="1"/>
  <c r="A192" i="15" s="1"/>
  <c r="A193" i="15" s="1"/>
  <c r="A194" i="15" s="1"/>
  <c r="A195" i="15" s="1"/>
  <c r="A196" i="15" s="1"/>
  <c r="A197" i="15" s="1"/>
  <c r="A198" i="15" s="1"/>
  <c r="A199" i="15" s="1"/>
  <c r="A200" i="15" s="1"/>
  <c r="A201" i="15" s="1"/>
  <c r="A202" i="15" s="1"/>
  <c r="A203" i="15" s="1"/>
  <c r="A204" i="15" s="1"/>
  <c r="A205" i="15" s="1"/>
  <c r="A206" i="15" s="1"/>
  <c r="A207" i="15" s="1"/>
  <c r="A208" i="15" s="1"/>
  <c r="A209" i="15" s="1"/>
  <c r="A210" i="15" s="1"/>
  <c r="A211" i="15" s="1"/>
  <c r="A212" i="15" s="1"/>
  <c r="A213" i="15" s="1"/>
  <c r="A214" i="15" s="1"/>
  <c r="A215" i="15" s="1"/>
  <c r="A216" i="15" s="1"/>
  <c r="A217" i="15" s="1"/>
  <c r="A218" i="15" s="1"/>
  <c r="A219" i="15" s="1"/>
  <c r="A220" i="15" s="1"/>
  <c r="A221" i="15" s="1"/>
  <c r="A222" i="15" s="1"/>
  <c r="A223" i="15" s="1"/>
  <c r="A224" i="15" s="1"/>
  <c r="A225" i="15" s="1"/>
  <c r="A226" i="15" s="1"/>
  <c r="A227" i="15" s="1"/>
  <c r="A228" i="15" s="1"/>
  <c r="A229" i="15" s="1"/>
  <c r="A230" i="15" s="1"/>
  <c r="A231" i="15" s="1"/>
  <c r="A232" i="15" s="1"/>
  <c r="A233" i="15" s="1"/>
  <c r="A234" i="15" s="1"/>
  <c r="A235" i="15" s="1"/>
  <c r="A236" i="15" s="1"/>
  <c r="A237" i="15" s="1"/>
  <c r="A238" i="15" s="1"/>
  <c r="A239" i="15" s="1"/>
  <c r="A240" i="15" s="1"/>
  <c r="A241" i="15" s="1"/>
  <c r="A242" i="15" s="1"/>
  <c r="A243" i="15" s="1"/>
  <c r="A244" i="15" s="1"/>
  <c r="A245" i="15" s="1"/>
  <c r="A246" i="15" s="1"/>
  <c r="A247" i="15" s="1"/>
  <c r="A248" i="15" s="1"/>
  <c r="A249" i="15" s="1"/>
  <c r="A250" i="15" s="1"/>
  <c r="A251" i="15" s="1"/>
  <c r="A252" i="15" s="1"/>
  <c r="A253" i="15" s="1"/>
  <c r="A254" i="15" s="1"/>
  <c r="A255" i="15" s="1"/>
  <c r="A256" i="15" s="1"/>
  <c r="A257" i="15" s="1"/>
  <c r="A258" i="15" s="1"/>
  <c r="A259" i="15" s="1"/>
  <c r="A260" i="15" s="1"/>
  <c r="A261" i="15" s="1"/>
  <c r="A262" i="15" s="1"/>
  <c r="A263" i="15" s="1"/>
  <c r="A264" i="15" s="1"/>
  <c r="A265" i="15" s="1"/>
  <c r="A266" i="15" s="1"/>
  <c r="A267" i="15" s="1"/>
  <c r="A268" i="15" s="1"/>
  <c r="A269" i="15" s="1"/>
  <c r="A270" i="15" s="1"/>
  <c r="A271" i="15" s="1"/>
  <c r="A272" i="15" s="1"/>
  <c r="A273" i="15" s="1"/>
  <c r="A274" i="15" s="1"/>
  <c r="A275" i="15" s="1"/>
  <c r="A276" i="15" s="1"/>
  <c r="A277" i="15" s="1"/>
  <c r="A278" i="15" s="1"/>
  <c r="A279" i="15" s="1"/>
  <c r="A280" i="15" s="1"/>
  <c r="A281" i="15" s="1"/>
  <c r="A282" i="15" s="1"/>
  <c r="A283" i="15" s="1"/>
  <c r="A284" i="15" s="1"/>
  <c r="A285" i="15" s="1"/>
  <c r="A286" i="15" s="1"/>
  <c r="A287" i="15" s="1"/>
  <c r="A288" i="15" s="1"/>
  <c r="A289" i="15" s="1"/>
  <c r="A290" i="15" s="1"/>
  <c r="A291" i="15" s="1"/>
  <c r="A292" i="15" s="1"/>
  <c r="A293" i="15" s="1"/>
  <c r="A294" i="15" s="1"/>
  <c r="A295" i="15" s="1"/>
  <c r="A296" i="15" s="1"/>
  <c r="A297" i="15" s="1"/>
  <c r="A298" i="15" s="1"/>
  <c r="A299" i="15" s="1"/>
  <c r="A300" i="15" s="1"/>
  <c r="A301" i="15" s="1"/>
  <c r="A302" i="15" s="1"/>
  <c r="A303" i="15" s="1"/>
  <c r="A304" i="15" s="1"/>
  <c r="A305" i="15" s="1"/>
  <c r="A306" i="15" s="1"/>
  <c r="A307" i="15" s="1"/>
  <c r="A308" i="15" s="1"/>
  <c r="A309" i="15" s="1"/>
  <c r="A310" i="15" s="1"/>
  <c r="A311" i="15" s="1"/>
  <c r="A312" i="15" s="1"/>
  <c r="A313" i="15" s="1"/>
  <c r="A314" i="15" s="1"/>
  <c r="A315" i="15" s="1"/>
  <c r="A316" i="15" s="1"/>
  <c r="A317" i="15" s="1"/>
  <c r="A318" i="15" s="1"/>
  <c r="A319" i="15" s="1"/>
  <c r="A320" i="15" s="1"/>
  <c r="A321" i="15" s="1"/>
  <c r="A322" i="15" s="1"/>
  <c r="A323" i="15" s="1"/>
  <c r="A324" i="15" s="1"/>
  <c r="A325" i="15" s="1"/>
  <c r="A326" i="15" s="1"/>
  <c r="A327" i="15" s="1"/>
  <c r="A328" i="15" s="1"/>
  <c r="A329" i="15" s="1"/>
  <c r="A330" i="15" s="1"/>
  <c r="A331" i="15" s="1"/>
  <c r="A332" i="15" s="1"/>
  <c r="A333" i="15" s="1"/>
  <c r="A334" i="15" s="1"/>
  <c r="A335" i="15" s="1"/>
  <c r="A336" i="15" s="1"/>
  <c r="A337" i="15" s="1"/>
  <c r="A338" i="15" s="1"/>
  <c r="A339" i="15" s="1"/>
  <c r="A340" i="15" s="1"/>
  <c r="A341" i="15" s="1"/>
  <c r="A342" i="15" s="1"/>
  <c r="A343" i="15" s="1"/>
  <c r="A344" i="15" s="1"/>
  <c r="A345" i="15" s="1"/>
  <c r="A346" i="15" s="1"/>
  <c r="A347" i="15" s="1"/>
  <c r="A348" i="15" s="1"/>
  <c r="A349" i="15" s="1"/>
  <c r="A350" i="15" s="1"/>
  <c r="A351" i="15" s="1"/>
  <c r="A352" i="15" s="1"/>
  <c r="A353" i="15" s="1"/>
  <c r="A354" i="15" s="1"/>
  <c r="A355" i="15" s="1"/>
  <c r="A356" i="15" s="1"/>
  <c r="A357" i="15" s="1"/>
  <c r="A358" i="15" s="1"/>
  <c r="A359" i="15" s="1"/>
  <c r="A360" i="15" s="1"/>
  <c r="A361" i="15" s="1"/>
  <c r="A362" i="15" s="1"/>
  <c r="A363" i="15" s="1"/>
  <c r="A364" i="15" s="1"/>
  <c r="A365" i="15" s="1"/>
  <c r="A366" i="15" s="1"/>
  <c r="A367" i="15" s="1"/>
  <c r="A368" i="15" s="1"/>
  <c r="A369" i="15" s="1"/>
  <c r="A370" i="15" s="1"/>
  <c r="A371" i="15" s="1"/>
  <c r="A372" i="15" s="1"/>
  <c r="A373" i="15" s="1"/>
  <c r="A374" i="15" s="1"/>
  <c r="A375" i="15" s="1"/>
  <c r="A376" i="15" s="1"/>
  <c r="A377" i="15" s="1"/>
  <c r="A378" i="15" s="1"/>
  <c r="A379" i="15" s="1"/>
  <c r="A380" i="15" s="1"/>
  <c r="A381" i="15" s="1"/>
  <c r="A382" i="15" s="1"/>
  <c r="A383" i="15" s="1"/>
  <c r="A384" i="15" s="1"/>
  <c r="A385" i="15" s="1"/>
  <c r="A386" i="15" s="1"/>
  <c r="A387" i="15" s="1"/>
  <c r="A388" i="15" s="1"/>
  <c r="A389" i="15" s="1"/>
  <c r="A390" i="15" s="1"/>
  <c r="A391" i="15" s="1"/>
  <c r="A392" i="15" s="1"/>
  <c r="A393" i="15" s="1"/>
  <c r="A394" i="15" s="1"/>
  <c r="A395" i="15" s="1"/>
  <c r="A396" i="15" s="1"/>
  <c r="A397" i="15" s="1"/>
  <c r="A398" i="15" s="1"/>
  <c r="A399" i="15" s="1"/>
  <c r="A400" i="15" s="1"/>
  <c r="A401" i="15" s="1"/>
  <c r="A402" i="15" s="1"/>
  <c r="A403" i="15" s="1"/>
  <c r="A404" i="15" s="1"/>
  <c r="A405" i="15" s="1"/>
  <c r="A406" i="15" s="1"/>
  <c r="A407" i="15" s="1"/>
  <c r="A408" i="15" s="1"/>
  <c r="A409" i="15" s="1"/>
  <c r="A410" i="15" s="1"/>
  <c r="A411" i="15" s="1"/>
  <c r="A412" i="15" s="1"/>
  <c r="A413" i="15" s="1"/>
  <c r="A414" i="15" s="1"/>
  <c r="A415" i="15" s="1"/>
  <c r="A416" i="15" s="1"/>
  <c r="A417" i="15" s="1"/>
  <c r="A418" i="15" s="1"/>
  <c r="A419" i="15" s="1"/>
  <c r="A420" i="15" s="1"/>
  <c r="A421" i="15" s="1"/>
  <c r="A422" i="15" s="1"/>
  <c r="A423" i="15" s="1"/>
  <c r="A424" i="15" s="1"/>
  <c r="A425" i="15" s="1"/>
  <c r="A426" i="15" s="1"/>
  <c r="A427" i="15" s="1"/>
  <c r="A428" i="15" s="1"/>
  <c r="A429" i="15" s="1"/>
  <c r="A430" i="15" s="1"/>
  <c r="A431" i="15" s="1"/>
  <c r="A432" i="15" s="1"/>
  <c r="A433" i="15" s="1"/>
  <c r="A434" i="15" s="1"/>
  <c r="A435" i="15" s="1"/>
  <c r="A436" i="15" s="1"/>
  <c r="A437" i="15" s="1"/>
  <c r="A438" i="15" s="1"/>
  <c r="A439" i="15" s="1"/>
  <c r="A440" i="15" s="1"/>
  <c r="A441" i="15" s="1"/>
  <c r="A442" i="15" s="1"/>
  <c r="A443" i="15" s="1"/>
  <c r="A444" i="15" s="1"/>
  <c r="A445" i="15" s="1"/>
  <c r="A446" i="15" s="1"/>
  <c r="A447" i="15" s="1"/>
  <c r="A448" i="15" s="1"/>
  <c r="A449" i="15" s="1"/>
  <c r="A450" i="15" s="1"/>
  <c r="A451" i="15" s="1"/>
  <c r="A452" i="15" s="1"/>
  <c r="A453" i="15" s="1"/>
  <c r="A454" i="15" s="1"/>
  <c r="A455" i="15" s="1"/>
  <c r="A456" i="15" s="1"/>
  <c r="A457" i="15" s="1"/>
  <c r="A458" i="15" s="1"/>
  <c r="A459" i="15" s="1"/>
  <c r="A460" i="15" s="1"/>
  <c r="A461" i="15" s="1"/>
  <c r="A462" i="15" s="1"/>
  <c r="A463" i="15" s="1"/>
  <c r="A464" i="15" s="1"/>
  <c r="A465" i="15" s="1"/>
  <c r="A466" i="15" s="1"/>
  <c r="A467" i="15" s="1"/>
  <c r="A468" i="15" s="1"/>
  <c r="A469" i="15" s="1"/>
  <c r="A470" i="15" s="1"/>
  <c r="A471" i="15" s="1"/>
  <c r="A472" i="15" s="1"/>
  <c r="A473" i="15" s="1"/>
  <c r="A474" i="15" s="1"/>
  <c r="A475" i="15" s="1"/>
  <c r="A476" i="15" s="1"/>
  <c r="A477" i="15" s="1"/>
  <c r="A478" i="15" s="1"/>
  <c r="A479" i="15" s="1"/>
  <c r="A480" i="15" s="1"/>
  <c r="A481" i="15" s="1"/>
  <c r="A482" i="15" s="1"/>
  <c r="A483" i="15" s="1"/>
  <c r="A484" i="15" s="1"/>
  <c r="A485" i="15" s="1"/>
  <c r="A486" i="15" s="1"/>
  <c r="A487" i="15" s="1"/>
  <c r="A488" i="15" s="1"/>
  <c r="A489" i="15" s="1"/>
  <c r="A490" i="15" s="1"/>
  <c r="A491" i="15" s="1"/>
  <c r="A492" i="15" s="1"/>
  <c r="A493" i="15" s="1"/>
  <c r="B143" i="15"/>
  <c r="AA143" i="15" s="1"/>
  <c r="B144" i="15"/>
  <c r="AA144" i="15" s="1"/>
  <c r="B145" i="15"/>
  <c r="AA145" i="15" s="1"/>
  <c r="B146" i="15"/>
  <c r="AA146" i="15" s="1"/>
  <c r="AC146" i="15" s="1"/>
  <c r="AL146" i="15" s="1"/>
  <c r="B147" i="15"/>
  <c r="AA147" i="15" s="1"/>
  <c r="AC147" i="15" s="1"/>
  <c r="AL147" i="15" s="1"/>
  <c r="B148" i="15"/>
  <c r="AA148" i="15" s="1"/>
  <c r="AC148" i="15" s="1"/>
  <c r="AL148" i="15" s="1"/>
  <c r="B149" i="15"/>
  <c r="AA149" i="15" s="1"/>
  <c r="AC149" i="15" s="1"/>
  <c r="AL149" i="15" s="1"/>
  <c r="B150" i="15"/>
  <c r="AA150" i="15" s="1"/>
  <c r="AC150" i="15" s="1"/>
  <c r="AL150" i="15" s="1"/>
  <c r="B151" i="15"/>
  <c r="AA151" i="15" s="1"/>
  <c r="AC151" i="15" s="1"/>
  <c r="AL151" i="15" s="1"/>
  <c r="B152" i="15"/>
  <c r="AA152" i="15" s="1"/>
  <c r="AC152" i="15" s="1"/>
  <c r="AL152" i="15" s="1"/>
  <c r="B153" i="15"/>
  <c r="AA153" i="15" s="1"/>
  <c r="AC153" i="15" s="1"/>
  <c r="AL153" i="15" s="1"/>
  <c r="B154" i="15"/>
  <c r="AA154" i="15" s="1"/>
  <c r="AC154" i="15" s="1"/>
  <c r="AL154" i="15" s="1"/>
  <c r="B155" i="15"/>
  <c r="AA155" i="15" s="1"/>
  <c r="AC155" i="15" s="1"/>
  <c r="AL155" i="15" s="1"/>
  <c r="B156" i="15"/>
  <c r="AA156" i="15" s="1"/>
  <c r="AC156" i="15" s="1"/>
  <c r="AL156" i="15" s="1"/>
  <c r="B157" i="15"/>
  <c r="AA157" i="15" s="1"/>
  <c r="AC157" i="15" s="1"/>
  <c r="AL157" i="15" s="1"/>
  <c r="B158" i="15"/>
  <c r="AA158" i="15" s="1"/>
  <c r="AC158" i="15" s="1"/>
  <c r="AL158" i="15" s="1"/>
  <c r="B159" i="15"/>
  <c r="AA159" i="15" s="1"/>
  <c r="AC159" i="15" s="1"/>
  <c r="AL159" i="15" s="1"/>
  <c r="B160" i="15"/>
  <c r="AA160" i="15" s="1"/>
  <c r="AC160" i="15" s="1"/>
  <c r="AL160" i="15" s="1"/>
  <c r="B161" i="15"/>
  <c r="AA161" i="15" s="1"/>
  <c r="AC161" i="15" s="1"/>
  <c r="AL161" i="15" s="1"/>
  <c r="B162" i="15"/>
  <c r="AA162" i="15" s="1"/>
  <c r="AC162" i="15" s="1"/>
  <c r="AL162" i="15" s="1"/>
  <c r="B163" i="15"/>
  <c r="AA163" i="15" s="1"/>
  <c r="AC163" i="15" s="1"/>
  <c r="AL163" i="15" s="1"/>
  <c r="B164" i="15"/>
  <c r="AA164" i="15" s="1"/>
  <c r="AC164" i="15" s="1"/>
  <c r="AL164" i="15" s="1"/>
  <c r="B165" i="15"/>
  <c r="AA165" i="15" s="1"/>
  <c r="AC165" i="15" s="1"/>
  <c r="AL165" i="15" s="1"/>
  <c r="B166" i="15"/>
  <c r="AA166" i="15" s="1"/>
  <c r="AC166" i="15" s="1"/>
  <c r="AL166" i="15" s="1"/>
  <c r="B167" i="15"/>
  <c r="AA167" i="15" s="1"/>
  <c r="AC167" i="15" s="1"/>
  <c r="AL167" i="15" s="1"/>
  <c r="B168" i="15"/>
  <c r="AA168" i="15" s="1"/>
  <c r="AC168" i="15" s="1"/>
  <c r="AL168" i="15" s="1"/>
  <c r="B169" i="15"/>
  <c r="AA169" i="15" s="1"/>
  <c r="AC169" i="15" s="1"/>
  <c r="AL169" i="15" s="1"/>
  <c r="B170" i="15"/>
  <c r="AA170" i="15" s="1"/>
  <c r="AC170" i="15" s="1"/>
  <c r="AL170" i="15" s="1"/>
  <c r="B171" i="15"/>
  <c r="AA171" i="15" s="1"/>
  <c r="AC171" i="15" s="1"/>
  <c r="AL171" i="15" s="1"/>
  <c r="B172" i="15"/>
  <c r="AA172" i="15" s="1"/>
  <c r="AC172" i="15" s="1"/>
  <c r="AL172" i="15" s="1"/>
  <c r="B173" i="15"/>
  <c r="AA173" i="15" s="1"/>
  <c r="AC173" i="15" s="1"/>
  <c r="AL173" i="15" s="1"/>
  <c r="B174" i="15"/>
  <c r="AA174" i="15" s="1"/>
  <c r="AC174" i="15" s="1"/>
  <c r="AL174" i="15" s="1"/>
  <c r="B175" i="15"/>
  <c r="AA175" i="15" s="1"/>
  <c r="AC175" i="15" s="1"/>
  <c r="AL175" i="15" s="1"/>
  <c r="B176" i="15"/>
  <c r="AA176" i="15" s="1"/>
  <c r="AC176" i="15" s="1"/>
  <c r="AL176" i="15" s="1"/>
  <c r="B177" i="15"/>
  <c r="AA177" i="15" s="1"/>
  <c r="AC177" i="15" s="1"/>
  <c r="AL177" i="15" s="1"/>
  <c r="B178" i="15"/>
  <c r="AA178" i="15" s="1"/>
  <c r="AC178" i="15" s="1"/>
  <c r="AL178" i="15" s="1"/>
  <c r="B179" i="15"/>
  <c r="AA179" i="15" s="1"/>
  <c r="AC179" i="15" s="1"/>
  <c r="AL179" i="15" s="1"/>
  <c r="B180" i="15"/>
  <c r="AA180" i="15" s="1"/>
  <c r="AC180" i="15" s="1"/>
  <c r="AL180" i="15" s="1"/>
  <c r="B181" i="15"/>
  <c r="AA181" i="15" s="1"/>
  <c r="AC181" i="15" s="1"/>
  <c r="AL181" i="15" s="1"/>
  <c r="B182" i="15"/>
  <c r="AA182" i="15" s="1"/>
  <c r="AC182" i="15" s="1"/>
  <c r="AL182" i="15" s="1"/>
  <c r="B183" i="15"/>
  <c r="AA183" i="15" s="1"/>
  <c r="AC183" i="15" s="1"/>
  <c r="AL183" i="15" s="1"/>
  <c r="B184" i="15"/>
  <c r="AA184" i="15" s="1"/>
  <c r="AC184" i="15" s="1"/>
  <c r="AL184" i="15" s="1"/>
  <c r="B185" i="15"/>
  <c r="AA185" i="15" s="1"/>
  <c r="AC185" i="15" s="1"/>
  <c r="AL185" i="15" s="1"/>
  <c r="B186" i="15"/>
  <c r="AA186" i="15" s="1"/>
  <c r="AC186" i="15" s="1"/>
  <c r="AL186" i="15" s="1"/>
  <c r="B187" i="15"/>
  <c r="AA187" i="15" s="1"/>
  <c r="AC187" i="15" s="1"/>
  <c r="AL187" i="15" s="1"/>
  <c r="B188" i="15"/>
  <c r="AA188" i="15" s="1"/>
  <c r="AC188" i="15" s="1"/>
  <c r="AL188" i="15" s="1"/>
  <c r="B189" i="15"/>
  <c r="AA189" i="15" s="1"/>
  <c r="AC189" i="15" s="1"/>
  <c r="AL189" i="15" s="1"/>
  <c r="B190" i="15"/>
  <c r="AA190" i="15" s="1"/>
  <c r="AC190" i="15" s="1"/>
  <c r="AL190" i="15" s="1"/>
  <c r="B191" i="15"/>
  <c r="AA191" i="15" s="1"/>
  <c r="AC191" i="15" s="1"/>
  <c r="AL191" i="15" s="1"/>
  <c r="B192" i="15"/>
  <c r="AA192" i="15" s="1"/>
  <c r="AC192" i="15" s="1"/>
  <c r="AL192" i="15" s="1"/>
  <c r="B193" i="15"/>
  <c r="AA193" i="15" s="1"/>
  <c r="AC193" i="15" s="1"/>
  <c r="AL193" i="15" s="1"/>
  <c r="B194" i="15"/>
  <c r="AA194" i="15" s="1"/>
  <c r="AC194" i="15" s="1"/>
  <c r="AL194" i="15" s="1"/>
  <c r="B195" i="15"/>
  <c r="AA195" i="15" s="1"/>
  <c r="AC195" i="15" s="1"/>
  <c r="AL195" i="15" s="1"/>
  <c r="B196" i="15"/>
  <c r="AA196" i="15" s="1"/>
  <c r="AC196" i="15" s="1"/>
  <c r="AL196" i="15" s="1"/>
  <c r="B197" i="15"/>
  <c r="AA197" i="15" s="1"/>
  <c r="AC197" i="15" s="1"/>
  <c r="AL197" i="15" s="1"/>
  <c r="B198" i="15"/>
  <c r="AA198" i="15" s="1"/>
  <c r="AC198" i="15" s="1"/>
  <c r="AL198" i="15" s="1"/>
  <c r="B199" i="15"/>
  <c r="AA199" i="15" s="1"/>
  <c r="AC199" i="15" s="1"/>
  <c r="AL199" i="15" s="1"/>
  <c r="B200" i="15"/>
  <c r="AA200" i="15" s="1"/>
  <c r="AC200" i="15" s="1"/>
  <c r="AL200" i="15" s="1"/>
  <c r="B201" i="15"/>
  <c r="AA201" i="15" s="1"/>
  <c r="AC201" i="15" s="1"/>
  <c r="AL201" i="15" s="1"/>
  <c r="B202" i="15"/>
  <c r="AA202" i="15" s="1"/>
  <c r="AC202" i="15" s="1"/>
  <c r="AL202" i="15" s="1"/>
  <c r="B203" i="15"/>
  <c r="AA203" i="15" s="1"/>
  <c r="AC203" i="15" s="1"/>
  <c r="AL203" i="15" s="1"/>
  <c r="B204" i="15"/>
  <c r="AA204" i="15" s="1"/>
  <c r="AC204" i="15" s="1"/>
  <c r="AL204" i="15" s="1"/>
  <c r="B205" i="15"/>
  <c r="AA205" i="15" s="1"/>
  <c r="AC205" i="15" s="1"/>
  <c r="AL205" i="15" s="1"/>
  <c r="B206" i="15"/>
  <c r="AA206" i="15" s="1"/>
  <c r="AC206" i="15" s="1"/>
  <c r="AL206" i="15" s="1"/>
  <c r="B207" i="15"/>
  <c r="AA207" i="15" s="1"/>
  <c r="AC207" i="15" s="1"/>
  <c r="AL207" i="15" s="1"/>
  <c r="B208" i="15"/>
  <c r="AA208" i="15" s="1"/>
  <c r="AC208" i="15" s="1"/>
  <c r="AL208" i="15" s="1"/>
  <c r="B209" i="15"/>
  <c r="AA209" i="15" s="1"/>
  <c r="AC209" i="15" s="1"/>
  <c r="AL209" i="15" s="1"/>
  <c r="B210" i="15"/>
  <c r="AA210" i="15" s="1"/>
  <c r="AC210" i="15" s="1"/>
  <c r="AL210" i="15" s="1"/>
  <c r="B211" i="15"/>
  <c r="AA211" i="15" s="1"/>
  <c r="AC211" i="15" s="1"/>
  <c r="AL211" i="15" s="1"/>
  <c r="B212" i="15"/>
  <c r="AA212" i="15" s="1"/>
  <c r="AC212" i="15" s="1"/>
  <c r="AL212" i="15" s="1"/>
  <c r="B213" i="15"/>
  <c r="AA213" i="15" s="1"/>
  <c r="AC213" i="15" s="1"/>
  <c r="AL213" i="15" s="1"/>
  <c r="B214" i="15"/>
  <c r="AA214" i="15" s="1"/>
  <c r="AC214" i="15" s="1"/>
  <c r="AL214" i="15" s="1"/>
  <c r="B215" i="15"/>
  <c r="AA215" i="15" s="1"/>
  <c r="AC215" i="15" s="1"/>
  <c r="AL215" i="15" s="1"/>
  <c r="B216" i="15"/>
  <c r="AA216" i="15" s="1"/>
  <c r="AC216" i="15" s="1"/>
  <c r="AL216" i="15" s="1"/>
  <c r="B217" i="15"/>
  <c r="AA217" i="15" s="1"/>
  <c r="AC217" i="15" s="1"/>
  <c r="AL217" i="15" s="1"/>
  <c r="B218" i="15"/>
  <c r="AA218" i="15" s="1"/>
  <c r="AC218" i="15" s="1"/>
  <c r="AL218" i="15" s="1"/>
  <c r="B219" i="15"/>
  <c r="AA219" i="15" s="1"/>
  <c r="AC219" i="15" s="1"/>
  <c r="AL219" i="15" s="1"/>
  <c r="B220" i="15"/>
  <c r="AA220" i="15" s="1"/>
  <c r="AC220" i="15" s="1"/>
  <c r="AL220" i="15" s="1"/>
  <c r="B221" i="15"/>
  <c r="AA221" i="15" s="1"/>
  <c r="AC221" i="15" s="1"/>
  <c r="AL221" i="15" s="1"/>
  <c r="B222" i="15"/>
  <c r="AA222" i="15" s="1"/>
  <c r="AC222" i="15" s="1"/>
  <c r="AL222" i="15" s="1"/>
  <c r="B223" i="15"/>
  <c r="AA223" i="15" s="1"/>
  <c r="AC223" i="15" s="1"/>
  <c r="AL223" i="15" s="1"/>
  <c r="B224" i="15"/>
  <c r="AA224" i="15" s="1"/>
  <c r="AC224" i="15" s="1"/>
  <c r="AL224" i="15" s="1"/>
  <c r="B225" i="15"/>
  <c r="AA225" i="15" s="1"/>
  <c r="AC225" i="15" s="1"/>
  <c r="AL225" i="15" s="1"/>
  <c r="B226" i="15"/>
  <c r="AA226" i="15" s="1"/>
  <c r="AC226" i="15" s="1"/>
  <c r="AL226" i="15" s="1"/>
  <c r="B227" i="15"/>
  <c r="AA227" i="15" s="1"/>
  <c r="AC227" i="15" s="1"/>
  <c r="AL227" i="15" s="1"/>
  <c r="B228" i="15"/>
  <c r="AA228" i="15" s="1"/>
  <c r="AC228" i="15" s="1"/>
  <c r="AL228" i="15" s="1"/>
  <c r="B229" i="15"/>
  <c r="AA229" i="15" s="1"/>
  <c r="AC229" i="15" s="1"/>
  <c r="AL229" i="15" s="1"/>
  <c r="B230" i="15"/>
  <c r="AA230" i="15" s="1"/>
  <c r="AC230" i="15" s="1"/>
  <c r="AL230" i="15" s="1"/>
  <c r="B231" i="15"/>
  <c r="AA231" i="15" s="1"/>
  <c r="AC231" i="15" s="1"/>
  <c r="AL231" i="15" s="1"/>
  <c r="B232" i="15"/>
  <c r="AA232" i="15" s="1"/>
  <c r="AC232" i="15" s="1"/>
  <c r="AL232" i="15" s="1"/>
  <c r="B233" i="15"/>
  <c r="AA233" i="15" s="1"/>
  <c r="AC233" i="15" s="1"/>
  <c r="AL233" i="15" s="1"/>
  <c r="B234" i="15"/>
  <c r="AA234" i="15" s="1"/>
  <c r="AC234" i="15" s="1"/>
  <c r="AL234" i="15" s="1"/>
  <c r="B235" i="15"/>
  <c r="AA235" i="15" s="1"/>
  <c r="AC235" i="15" s="1"/>
  <c r="AL235" i="15" s="1"/>
  <c r="B236" i="15"/>
  <c r="AA236" i="15" s="1"/>
  <c r="AC236" i="15" s="1"/>
  <c r="AL236" i="15" s="1"/>
  <c r="B237" i="15"/>
  <c r="AA237" i="15" s="1"/>
  <c r="AC237" i="15" s="1"/>
  <c r="AL237" i="15" s="1"/>
  <c r="B238" i="15"/>
  <c r="AA238" i="15" s="1"/>
  <c r="AC238" i="15" s="1"/>
  <c r="AL238" i="15" s="1"/>
  <c r="B239" i="15"/>
  <c r="AA239" i="15" s="1"/>
  <c r="AC239" i="15" s="1"/>
  <c r="AL239" i="15" s="1"/>
  <c r="B240" i="15"/>
  <c r="AA240" i="15" s="1"/>
  <c r="AC240" i="15" s="1"/>
  <c r="AL240" i="15" s="1"/>
  <c r="B241" i="15"/>
  <c r="AA241" i="15" s="1"/>
  <c r="AC241" i="15" s="1"/>
  <c r="AL241" i="15" s="1"/>
  <c r="B242" i="15"/>
  <c r="AA242" i="15" s="1"/>
  <c r="AC242" i="15" s="1"/>
  <c r="AL242" i="15" s="1"/>
  <c r="B243" i="15"/>
  <c r="AA243" i="15" s="1"/>
  <c r="AC243" i="15" s="1"/>
  <c r="AL243" i="15" s="1"/>
  <c r="B244" i="15"/>
  <c r="AA244" i="15" s="1"/>
  <c r="AC244" i="15" s="1"/>
  <c r="AL244" i="15" s="1"/>
  <c r="B245" i="15"/>
  <c r="AA245" i="15" s="1"/>
  <c r="AC245" i="15" s="1"/>
  <c r="AL245" i="15" s="1"/>
  <c r="B246" i="15"/>
  <c r="AA246" i="15" s="1"/>
  <c r="AC246" i="15" s="1"/>
  <c r="AL246" i="15" s="1"/>
  <c r="B247" i="15"/>
  <c r="AA247" i="15" s="1"/>
  <c r="AC247" i="15" s="1"/>
  <c r="AL247" i="15" s="1"/>
  <c r="B248" i="15"/>
  <c r="AA248" i="15" s="1"/>
  <c r="AC248" i="15" s="1"/>
  <c r="AL248" i="15" s="1"/>
  <c r="B249" i="15"/>
  <c r="AA249" i="15" s="1"/>
  <c r="AC249" i="15" s="1"/>
  <c r="AL249" i="15" s="1"/>
  <c r="B250" i="15"/>
  <c r="AA250" i="15" s="1"/>
  <c r="AC250" i="15" s="1"/>
  <c r="AL250" i="15" s="1"/>
  <c r="B251" i="15"/>
  <c r="AA251" i="15" s="1"/>
  <c r="AC251" i="15" s="1"/>
  <c r="AL251" i="15" s="1"/>
  <c r="B252" i="15"/>
  <c r="AA252" i="15" s="1"/>
  <c r="AC252" i="15" s="1"/>
  <c r="AL252" i="15" s="1"/>
  <c r="B253" i="15"/>
  <c r="AA253" i="15" s="1"/>
  <c r="AC253" i="15" s="1"/>
  <c r="AL253" i="15" s="1"/>
  <c r="B254" i="15"/>
  <c r="AA254" i="15" s="1"/>
  <c r="AC254" i="15" s="1"/>
  <c r="AL254" i="15" s="1"/>
  <c r="B255" i="15"/>
  <c r="AA255" i="15" s="1"/>
  <c r="AC255" i="15" s="1"/>
  <c r="AL255" i="15" s="1"/>
  <c r="B256" i="15"/>
  <c r="AA256" i="15" s="1"/>
  <c r="AC256" i="15" s="1"/>
  <c r="AL256" i="15" s="1"/>
  <c r="B257" i="15"/>
  <c r="AA257" i="15" s="1"/>
  <c r="AC257" i="15" s="1"/>
  <c r="AL257" i="15" s="1"/>
  <c r="B258" i="15"/>
  <c r="AA258" i="15" s="1"/>
  <c r="AC258" i="15" s="1"/>
  <c r="AL258" i="15" s="1"/>
  <c r="B259" i="15"/>
  <c r="AA259" i="15" s="1"/>
  <c r="AC259" i="15" s="1"/>
  <c r="AL259" i="15" s="1"/>
  <c r="B260" i="15"/>
  <c r="AA260" i="15" s="1"/>
  <c r="AC260" i="15" s="1"/>
  <c r="AL260" i="15" s="1"/>
  <c r="B261" i="15"/>
  <c r="AA261" i="15" s="1"/>
  <c r="AC261" i="15" s="1"/>
  <c r="AL261" i="15" s="1"/>
  <c r="B262" i="15"/>
  <c r="AA262" i="15" s="1"/>
  <c r="AC262" i="15" s="1"/>
  <c r="AL262" i="15" s="1"/>
  <c r="B263" i="15"/>
  <c r="AA263" i="15" s="1"/>
  <c r="AC263" i="15" s="1"/>
  <c r="AL263" i="15" s="1"/>
  <c r="B264" i="15"/>
  <c r="AA264" i="15" s="1"/>
  <c r="AC264" i="15" s="1"/>
  <c r="AL264" i="15" s="1"/>
  <c r="B265" i="15"/>
  <c r="AA265" i="15" s="1"/>
  <c r="AC265" i="15" s="1"/>
  <c r="AL265" i="15" s="1"/>
  <c r="B266" i="15"/>
  <c r="AA266" i="15" s="1"/>
  <c r="AC266" i="15" s="1"/>
  <c r="AL266" i="15" s="1"/>
  <c r="B267" i="15"/>
  <c r="AA267" i="15" s="1"/>
  <c r="AC267" i="15" s="1"/>
  <c r="AL267" i="15" s="1"/>
  <c r="B268" i="15"/>
  <c r="AA268" i="15" s="1"/>
  <c r="AC268" i="15" s="1"/>
  <c r="AL268" i="15" s="1"/>
  <c r="B269" i="15"/>
  <c r="AA269" i="15" s="1"/>
  <c r="AC269" i="15" s="1"/>
  <c r="AL269" i="15" s="1"/>
  <c r="B270" i="15"/>
  <c r="AA270" i="15" s="1"/>
  <c r="AC270" i="15" s="1"/>
  <c r="AL270" i="15" s="1"/>
  <c r="B271" i="15"/>
  <c r="AA271" i="15" s="1"/>
  <c r="AC271" i="15" s="1"/>
  <c r="AL271" i="15" s="1"/>
  <c r="B272" i="15"/>
  <c r="AA272" i="15" s="1"/>
  <c r="AC272" i="15" s="1"/>
  <c r="AL272" i="15" s="1"/>
  <c r="B273" i="15"/>
  <c r="AA273" i="15" s="1"/>
  <c r="AC273" i="15" s="1"/>
  <c r="AL273" i="15" s="1"/>
  <c r="B274" i="15"/>
  <c r="AA274" i="15" s="1"/>
  <c r="AC274" i="15" s="1"/>
  <c r="AL274" i="15" s="1"/>
  <c r="B275" i="15"/>
  <c r="AA275" i="15" s="1"/>
  <c r="AC275" i="15" s="1"/>
  <c r="AL275" i="15" s="1"/>
  <c r="B276" i="15"/>
  <c r="AA276" i="15" s="1"/>
  <c r="AC276" i="15" s="1"/>
  <c r="AL276" i="15" s="1"/>
  <c r="B277" i="15"/>
  <c r="AA277" i="15" s="1"/>
  <c r="AC277" i="15" s="1"/>
  <c r="AL277" i="15" s="1"/>
  <c r="B278" i="15"/>
  <c r="AA278" i="15" s="1"/>
  <c r="AC278" i="15" s="1"/>
  <c r="AL278" i="15" s="1"/>
  <c r="B279" i="15"/>
  <c r="AA279" i="15" s="1"/>
  <c r="AC279" i="15" s="1"/>
  <c r="AL279" i="15" s="1"/>
  <c r="B280" i="15"/>
  <c r="AA280" i="15" s="1"/>
  <c r="AC280" i="15" s="1"/>
  <c r="AL280" i="15" s="1"/>
  <c r="B281" i="15"/>
  <c r="AA281" i="15" s="1"/>
  <c r="AC281" i="15" s="1"/>
  <c r="AL281" i="15" s="1"/>
  <c r="B282" i="15"/>
  <c r="AA282" i="15" s="1"/>
  <c r="AC282" i="15" s="1"/>
  <c r="AL282" i="15" s="1"/>
  <c r="B283" i="15"/>
  <c r="AA283" i="15" s="1"/>
  <c r="AC283" i="15" s="1"/>
  <c r="AL283" i="15" s="1"/>
  <c r="B284" i="15"/>
  <c r="AA284" i="15" s="1"/>
  <c r="AC284" i="15" s="1"/>
  <c r="AL284" i="15" s="1"/>
  <c r="B285" i="15"/>
  <c r="AA285" i="15" s="1"/>
  <c r="AC285" i="15" s="1"/>
  <c r="AL285" i="15" s="1"/>
  <c r="B286" i="15"/>
  <c r="AA286" i="15" s="1"/>
  <c r="AC286" i="15" s="1"/>
  <c r="AL286" i="15" s="1"/>
  <c r="B287" i="15"/>
  <c r="AA287" i="15" s="1"/>
  <c r="AC287" i="15" s="1"/>
  <c r="AL287" i="15" s="1"/>
  <c r="B288" i="15"/>
  <c r="AA288" i="15" s="1"/>
  <c r="AC288" i="15" s="1"/>
  <c r="AL288" i="15" s="1"/>
  <c r="B289" i="15"/>
  <c r="AA289" i="15" s="1"/>
  <c r="AC289" i="15" s="1"/>
  <c r="AL289" i="15" s="1"/>
  <c r="B290" i="15"/>
  <c r="AA290" i="15" s="1"/>
  <c r="AC290" i="15" s="1"/>
  <c r="AL290" i="15" s="1"/>
  <c r="B291" i="15"/>
  <c r="AA291" i="15" s="1"/>
  <c r="AC291" i="15" s="1"/>
  <c r="AL291" i="15" s="1"/>
  <c r="B292" i="15"/>
  <c r="AA292" i="15" s="1"/>
  <c r="AC292" i="15" s="1"/>
  <c r="AL292" i="15" s="1"/>
  <c r="B293" i="15"/>
  <c r="AA293" i="15" s="1"/>
  <c r="AC293" i="15" s="1"/>
  <c r="AL293" i="15" s="1"/>
  <c r="B294" i="15"/>
  <c r="AA294" i="15" s="1"/>
  <c r="AC294" i="15" s="1"/>
  <c r="AL294" i="15" s="1"/>
  <c r="B295" i="15"/>
  <c r="AA295" i="15" s="1"/>
  <c r="AC295" i="15" s="1"/>
  <c r="AL295" i="15" s="1"/>
  <c r="B296" i="15"/>
  <c r="AA296" i="15" s="1"/>
  <c r="AC296" i="15" s="1"/>
  <c r="AL296" i="15" s="1"/>
  <c r="B297" i="15"/>
  <c r="AA297" i="15" s="1"/>
  <c r="AC297" i="15" s="1"/>
  <c r="AL297" i="15" s="1"/>
  <c r="B298" i="15"/>
  <c r="AA298" i="15" s="1"/>
  <c r="AC298" i="15" s="1"/>
  <c r="AL298" i="15" s="1"/>
  <c r="B299" i="15"/>
  <c r="AA299" i="15" s="1"/>
  <c r="AC299" i="15" s="1"/>
  <c r="AL299" i="15" s="1"/>
  <c r="B300" i="15"/>
  <c r="AA300" i="15" s="1"/>
  <c r="AC300" i="15" s="1"/>
  <c r="AL300" i="15" s="1"/>
  <c r="B301" i="15"/>
  <c r="AA301" i="15" s="1"/>
  <c r="AC301" i="15" s="1"/>
  <c r="AL301" i="15" s="1"/>
  <c r="B302" i="15"/>
  <c r="AA302" i="15" s="1"/>
  <c r="AC302" i="15" s="1"/>
  <c r="AL302" i="15" s="1"/>
  <c r="B303" i="15"/>
  <c r="AA303" i="15" s="1"/>
  <c r="AC303" i="15" s="1"/>
  <c r="AL303" i="15" s="1"/>
  <c r="B304" i="15"/>
  <c r="AA304" i="15" s="1"/>
  <c r="AC304" i="15" s="1"/>
  <c r="AL304" i="15" s="1"/>
  <c r="B305" i="15"/>
  <c r="AA305" i="15" s="1"/>
  <c r="AC305" i="15" s="1"/>
  <c r="AL305" i="15" s="1"/>
  <c r="B306" i="15"/>
  <c r="AA306" i="15" s="1"/>
  <c r="AC306" i="15" s="1"/>
  <c r="AL306" i="15" s="1"/>
  <c r="B307" i="15"/>
  <c r="AA307" i="15" s="1"/>
  <c r="AC307" i="15" s="1"/>
  <c r="AL307" i="15" s="1"/>
  <c r="B308" i="15"/>
  <c r="AA308" i="15" s="1"/>
  <c r="AC308" i="15" s="1"/>
  <c r="AL308" i="15" s="1"/>
  <c r="B309" i="15"/>
  <c r="AA309" i="15" s="1"/>
  <c r="AC309" i="15" s="1"/>
  <c r="AL309" i="15" s="1"/>
  <c r="B310" i="15"/>
  <c r="AA310" i="15" s="1"/>
  <c r="AC310" i="15" s="1"/>
  <c r="AL310" i="15" s="1"/>
  <c r="B311" i="15"/>
  <c r="AA311" i="15" s="1"/>
  <c r="AC311" i="15" s="1"/>
  <c r="AL311" i="15" s="1"/>
  <c r="B312" i="15"/>
  <c r="AA312" i="15" s="1"/>
  <c r="AC312" i="15" s="1"/>
  <c r="AL312" i="15" s="1"/>
  <c r="B313" i="15"/>
  <c r="AA313" i="15" s="1"/>
  <c r="AC313" i="15" s="1"/>
  <c r="AL313" i="15" s="1"/>
  <c r="B314" i="15"/>
  <c r="AA314" i="15" s="1"/>
  <c r="AC314" i="15" s="1"/>
  <c r="AL314" i="15" s="1"/>
  <c r="B315" i="15"/>
  <c r="AA315" i="15" s="1"/>
  <c r="AC315" i="15" s="1"/>
  <c r="AL315" i="15" s="1"/>
  <c r="B316" i="15"/>
  <c r="AA316" i="15" s="1"/>
  <c r="AC316" i="15" s="1"/>
  <c r="AL316" i="15" s="1"/>
  <c r="B317" i="15"/>
  <c r="AA317" i="15" s="1"/>
  <c r="AC317" i="15" s="1"/>
  <c r="AL317" i="15" s="1"/>
  <c r="B318" i="15"/>
  <c r="AA318" i="15" s="1"/>
  <c r="AC318" i="15" s="1"/>
  <c r="AL318" i="15" s="1"/>
  <c r="B319" i="15"/>
  <c r="AA319" i="15" s="1"/>
  <c r="AC319" i="15" s="1"/>
  <c r="AL319" i="15" s="1"/>
  <c r="B320" i="15"/>
  <c r="AA320" i="15" s="1"/>
  <c r="AC320" i="15" s="1"/>
  <c r="AL320" i="15" s="1"/>
  <c r="B321" i="15"/>
  <c r="AA321" i="15" s="1"/>
  <c r="AC321" i="15" s="1"/>
  <c r="AL321" i="15" s="1"/>
  <c r="B322" i="15"/>
  <c r="AA322" i="15" s="1"/>
  <c r="AC322" i="15" s="1"/>
  <c r="AL322" i="15" s="1"/>
  <c r="B323" i="15"/>
  <c r="AA323" i="15" s="1"/>
  <c r="AC323" i="15" s="1"/>
  <c r="AL323" i="15" s="1"/>
  <c r="B324" i="15"/>
  <c r="AA324" i="15" s="1"/>
  <c r="AC324" i="15" s="1"/>
  <c r="AL324" i="15" s="1"/>
  <c r="B325" i="15"/>
  <c r="AA325" i="15" s="1"/>
  <c r="AC325" i="15" s="1"/>
  <c r="AL325" i="15" s="1"/>
  <c r="B326" i="15"/>
  <c r="AA326" i="15" s="1"/>
  <c r="AC326" i="15" s="1"/>
  <c r="AL326" i="15" s="1"/>
  <c r="B327" i="15"/>
  <c r="AA327" i="15" s="1"/>
  <c r="AC327" i="15" s="1"/>
  <c r="AL327" i="15" s="1"/>
  <c r="B328" i="15"/>
  <c r="AA328" i="15" s="1"/>
  <c r="AC328" i="15" s="1"/>
  <c r="AL328" i="15" s="1"/>
  <c r="B329" i="15"/>
  <c r="AA329" i="15" s="1"/>
  <c r="AC329" i="15" s="1"/>
  <c r="AL329" i="15" s="1"/>
  <c r="B330" i="15"/>
  <c r="AA330" i="15" s="1"/>
  <c r="AC330" i="15" s="1"/>
  <c r="AL330" i="15" s="1"/>
  <c r="B331" i="15"/>
  <c r="AA331" i="15" s="1"/>
  <c r="AC331" i="15" s="1"/>
  <c r="AL331" i="15" s="1"/>
  <c r="B332" i="15"/>
  <c r="AA332" i="15" s="1"/>
  <c r="AC332" i="15" s="1"/>
  <c r="AL332" i="15" s="1"/>
  <c r="B333" i="15"/>
  <c r="AA333" i="15" s="1"/>
  <c r="AC333" i="15" s="1"/>
  <c r="AL333" i="15" s="1"/>
  <c r="B334" i="15"/>
  <c r="AA334" i="15" s="1"/>
  <c r="AC334" i="15" s="1"/>
  <c r="AL334" i="15" s="1"/>
  <c r="B335" i="15"/>
  <c r="AA335" i="15" s="1"/>
  <c r="AC335" i="15" s="1"/>
  <c r="AL335" i="15" s="1"/>
  <c r="B336" i="15"/>
  <c r="AA336" i="15" s="1"/>
  <c r="AC336" i="15" s="1"/>
  <c r="AL336" i="15" s="1"/>
  <c r="B337" i="15"/>
  <c r="AA337" i="15" s="1"/>
  <c r="AC337" i="15" s="1"/>
  <c r="AL337" i="15" s="1"/>
  <c r="B338" i="15"/>
  <c r="AA338" i="15" s="1"/>
  <c r="AC338" i="15" s="1"/>
  <c r="AL338" i="15" s="1"/>
  <c r="B339" i="15"/>
  <c r="AA339" i="15" s="1"/>
  <c r="AC339" i="15" s="1"/>
  <c r="AL339" i="15" s="1"/>
  <c r="B340" i="15"/>
  <c r="AA340" i="15" s="1"/>
  <c r="AC340" i="15" s="1"/>
  <c r="AL340" i="15" s="1"/>
  <c r="B341" i="15"/>
  <c r="AA341" i="15" s="1"/>
  <c r="AC341" i="15" s="1"/>
  <c r="AL341" i="15" s="1"/>
  <c r="B342" i="15"/>
  <c r="AA342" i="15" s="1"/>
  <c r="AC342" i="15" s="1"/>
  <c r="AL342" i="15" s="1"/>
  <c r="B343" i="15"/>
  <c r="AA343" i="15" s="1"/>
  <c r="AC343" i="15" s="1"/>
  <c r="AL343" i="15" s="1"/>
  <c r="B344" i="15"/>
  <c r="AA344" i="15" s="1"/>
  <c r="AC344" i="15" s="1"/>
  <c r="AL344" i="15" s="1"/>
  <c r="B345" i="15"/>
  <c r="AA345" i="15" s="1"/>
  <c r="AC345" i="15" s="1"/>
  <c r="AL345" i="15" s="1"/>
  <c r="B346" i="15"/>
  <c r="AA346" i="15" s="1"/>
  <c r="AC346" i="15" s="1"/>
  <c r="AL346" i="15" s="1"/>
  <c r="B347" i="15"/>
  <c r="AA347" i="15" s="1"/>
  <c r="AC347" i="15" s="1"/>
  <c r="AL347" i="15" s="1"/>
  <c r="B348" i="15"/>
  <c r="AA348" i="15" s="1"/>
  <c r="AC348" i="15" s="1"/>
  <c r="AL348" i="15" s="1"/>
  <c r="B349" i="15"/>
  <c r="AA349" i="15" s="1"/>
  <c r="AC349" i="15" s="1"/>
  <c r="AL349" i="15" s="1"/>
  <c r="B350" i="15"/>
  <c r="AA350" i="15" s="1"/>
  <c r="AC350" i="15" s="1"/>
  <c r="AL350" i="15" s="1"/>
  <c r="B351" i="15"/>
  <c r="AA351" i="15" s="1"/>
  <c r="AC351" i="15" s="1"/>
  <c r="AL351" i="15" s="1"/>
  <c r="B352" i="15"/>
  <c r="AA352" i="15" s="1"/>
  <c r="AC352" i="15" s="1"/>
  <c r="AL352" i="15" s="1"/>
  <c r="B353" i="15"/>
  <c r="AA353" i="15" s="1"/>
  <c r="AC353" i="15" s="1"/>
  <c r="AL353" i="15" s="1"/>
  <c r="B354" i="15"/>
  <c r="AA354" i="15" s="1"/>
  <c r="AC354" i="15" s="1"/>
  <c r="AL354" i="15" s="1"/>
  <c r="B355" i="15"/>
  <c r="AA355" i="15" s="1"/>
  <c r="AC355" i="15" s="1"/>
  <c r="AL355" i="15" s="1"/>
  <c r="B356" i="15"/>
  <c r="AA356" i="15" s="1"/>
  <c r="AC356" i="15" s="1"/>
  <c r="AL356" i="15" s="1"/>
  <c r="B357" i="15"/>
  <c r="AA357" i="15" s="1"/>
  <c r="AC357" i="15" s="1"/>
  <c r="AL357" i="15" s="1"/>
  <c r="B358" i="15"/>
  <c r="AA358" i="15" s="1"/>
  <c r="AC358" i="15" s="1"/>
  <c r="AL358" i="15" s="1"/>
  <c r="B359" i="15"/>
  <c r="AA359" i="15" s="1"/>
  <c r="AC359" i="15" s="1"/>
  <c r="AL359" i="15" s="1"/>
  <c r="B360" i="15"/>
  <c r="AA360" i="15" s="1"/>
  <c r="AC360" i="15" s="1"/>
  <c r="AL360" i="15" s="1"/>
  <c r="B361" i="15"/>
  <c r="AA361" i="15" s="1"/>
  <c r="AC361" i="15" s="1"/>
  <c r="AL361" i="15" s="1"/>
  <c r="B362" i="15"/>
  <c r="AA362" i="15" s="1"/>
  <c r="AC362" i="15" s="1"/>
  <c r="AL362" i="15" s="1"/>
  <c r="B363" i="15"/>
  <c r="AA363" i="15" s="1"/>
  <c r="AC363" i="15" s="1"/>
  <c r="AL363" i="15" s="1"/>
  <c r="B364" i="15"/>
  <c r="AA364" i="15" s="1"/>
  <c r="AC364" i="15" s="1"/>
  <c r="AL364" i="15" s="1"/>
  <c r="B365" i="15"/>
  <c r="AA365" i="15" s="1"/>
  <c r="AC365" i="15" s="1"/>
  <c r="AL365" i="15" s="1"/>
  <c r="B366" i="15"/>
  <c r="AA366" i="15" s="1"/>
  <c r="AC366" i="15" s="1"/>
  <c r="AL366" i="15" s="1"/>
  <c r="B367" i="15"/>
  <c r="AA367" i="15" s="1"/>
  <c r="AC367" i="15" s="1"/>
  <c r="AL367" i="15" s="1"/>
  <c r="B368" i="15"/>
  <c r="AA368" i="15" s="1"/>
  <c r="AC368" i="15" s="1"/>
  <c r="AL368" i="15" s="1"/>
  <c r="B369" i="15"/>
  <c r="AA369" i="15" s="1"/>
  <c r="AC369" i="15" s="1"/>
  <c r="AL369" i="15" s="1"/>
  <c r="B370" i="15"/>
  <c r="AA370" i="15" s="1"/>
  <c r="AC370" i="15" s="1"/>
  <c r="AL370" i="15" s="1"/>
  <c r="B371" i="15"/>
  <c r="AA371" i="15" s="1"/>
  <c r="AC371" i="15" s="1"/>
  <c r="AL371" i="15" s="1"/>
  <c r="B372" i="15"/>
  <c r="AA372" i="15" s="1"/>
  <c r="AC372" i="15" s="1"/>
  <c r="AL372" i="15" s="1"/>
  <c r="B373" i="15"/>
  <c r="AA373" i="15" s="1"/>
  <c r="AC373" i="15" s="1"/>
  <c r="AL373" i="15" s="1"/>
  <c r="B374" i="15"/>
  <c r="AA374" i="15" s="1"/>
  <c r="AC374" i="15" s="1"/>
  <c r="AL374" i="15" s="1"/>
  <c r="B375" i="15"/>
  <c r="AA375" i="15" s="1"/>
  <c r="AC375" i="15" s="1"/>
  <c r="AL375" i="15" s="1"/>
  <c r="B376" i="15"/>
  <c r="AA376" i="15" s="1"/>
  <c r="AC376" i="15" s="1"/>
  <c r="AL376" i="15" s="1"/>
  <c r="B377" i="15"/>
  <c r="AA377" i="15" s="1"/>
  <c r="AC377" i="15" s="1"/>
  <c r="AL377" i="15" s="1"/>
  <c r="B378" i="15"/>
  <c r="AA378" i="15" s="1"/>
  <c r="AC378" i="15" s="1"/>
  <c r="AL378" i="15" s="1"/>
  <c r="B379" i="15"/>
  <c r="AA379" i="15" s="1"/>
  <c r="AC379" i="15" s="1"/>
  <c r="AL379" i="15" s="1"/>
  <c r="B380" i="15"/>
  <c r="AA380" i="15" s="1"/>
  <c r="AC380" i="15" s="1"/>
  <c r="AL380" i="15" s="1"/>
  <c r="B381" i="15"/>
  <c r="AA381" i="15" s="1"/>
  <c r="AC381" i="15" s="1"/>
  <c r="AL381" i="15" s="1"/>
  <c r="B382" i="15"/>
  <c r="AA382" i="15" s="1"/>
  <c r="AC382" i="15" s="1"/>
  <c r="AL382" i="15" s="1"/>
  <c r="B383" i="15"/>
  <c r="AA383" i="15" s="1"/>
  <c r="AC383" i="15" s="1"/>
  <c r="AL383" i="15" s="1"/>
  <c r="B384" i="15"/>
  <c r="AA384" i="15" s="1"/>
  <c r="AC384" i="15" s="1"/>
  <c r="AL384" i="15" s="1"/>
  <c r="B385" i="15"/>
  <c r="AA385" i="15" s="1"/>
  <c r="AC385" i="15" s="1"/>
  <c r="AL385" i="15" s="1"/>
  <c r="B386" i="15"/>
  <c r="AA386" i="15" s="1"/>
  <c r="AC386" i="15" s="1"/>
  <c r="AL386" i="15" s="1"/>
  <c r="B387" i="15"/>
  <c r="AA387" i="15" s="1"/>
  <c r="AC387" i="15" s="1"/>
  <c r="AL387" i="15" s="1"/>
  <c r="B388" i="15"/>
  <c r="AA388" i="15" s="1"/>
  <c r="AC388" i="15" s="1"/>
  <c r="AL388" i="15" s="1"/>
  <c r="B389" i="15"/>
  <c r="AA389" i="15" s="1"/>
  <c r="AC389" i="15" s="1"/>
  <c r="AL389" i="15" s="1"/>
  <c r="B390" i="15"/>
  <c r="AA390" i="15" s="1"/>
  <c r="AC390" i="15" s="1"/>
  <c r="AL390" i="15" s="1"/>
  <c r="B391" i="15"/>
  <c r="AA391" i="15" s="1"/>
  <c r="AC391" i="15" s="1"/>
  <c r="AL391" i="15" s="1"/>
  <c r="B392" i="15"/>
  <c r="AA392" i="15" s="1"/>
  <c r="AC392" i="15" s="1"/>
  <c r="AL392" i="15" s="1"/>
  <c r="B393" i="15"/>
  <c r="AA393" i="15" s="1"/>
  <c r="AC393" i="15" s="1"/>
  <c r="AL393" i="15" s="1"/>
  <c r="B394" i="15"/>
  <c r="AA394" i="15" s="1"/>
  <c r="AC394" i="15" s="1"/>
  <c r="AL394" i="15" s="1"/>
  <c r="B395" i="15"/>
  <c r="AA395" i="15" s="1"/>
  <c r="AC395" i="15" s="1"/>
  <c r="AL395" i="15" s="1"/>
  <c r="B396" i="15"/>
  <c r="AA396" i="15" s="1"/>
  <c r="AC396" i="15" s="1"/>
  <c r="AL396" i="15" s="1"/>
  <c r="B397" i="15"/>
  <c r="AA397" i="15" s="1"/>
  <c r="AC397" i="15" s="1"/>
  <c r="AL397" i="15" s="1"/>
  <c r="B398" i="15"/>
  <c r="AA398" i="15" s="1"/>
  <c r="AC398" i="15" s="1"/>
  <c r="AL398" i="15" s="1"/>
  <c r="B399" i="15"/>
  <c r="AA399" i="15" s="1"/>
  <c r="AC399" i="15" s="1"/>
  <c r="AL399" i="15" s="1"/>
  <c r="B400" i="15"/>
  <c r="AA400" i="15" s="1"/>
  <c r="AC400" i="15" s="1"/>
  <c r="AL400" i="15" s="1"/>
  <c r="B401" i="15"/>
  <c r="AA401" i="15" s="1"/>
  <c r="AC401" i="15" s="1"/>
  <c r="AL401" i="15" s="1"/>
  <c r="B402" i="15"/>
  <c r="AA402" i="15" s="1"/>
  <c r="AC402" i="15" s="1"/>
  <c r="AL402" i="15" s="1"/>
  <c r="B403" i="15"/>
  <c r="AA403" i="15" s="1"/>
  <c r="AC403" i="15" s="1"/>
  <c r="AL403" i="15" s="1"/>
  <c r="B404" i="15"/>
  <c r="AA404" i="15" s="1"/>
  <c r="AC404" i="15" s="1"/>
  <c r="AL404" i="15" s="1"/>
  <c r="B405" i="15"/>
  <c r="AA405" i="15" s="1"/>
  <c r="AC405" i="15" s="1"/>
  <c r="AL405" i="15" s="1"/>
  <c r="B406" i="15"/>
  <c r="AA406" i="15" s="1"/>
  <c r="AC406" i="15" s="1"/>
  <c r="AL406" i="15" s="1"/>
  <c r="B407" i="15"/>
  <c r="AA407" i="15" s="1"/>
  <c r="AC407" i="15" s="1"/>
  <c r="AL407" i="15" s="1"/>
  <c r="B408" i="15"/>
  <c r="AA408" i="15" s="1"/>
  <c r="AC408" i="15" s="1"/>
  <c r="AL408" i="15" s="1"/>
  <c r="B409" i="15"/>
  <c r="AA409" i="15" s="1"/>
  <c r="AC409" i="15" s="1"/>
  <c r="AL409" i="15" s="1"/>
  <c r="B410" i="15"/>
  <c r="AA410" i="15" s="1"/>
  <c r="AC410" i="15" s="1"/>
  <c r="AL410" i="15" s="1"/>
  <c r="B411" i="15"/>
  <c r="AA411" i="15" s="1"/>
  <c r="AC411" i="15" s="1"/>
  <c r="AL411" i="15" s="1"/>
  <c r="B412" i="15"/>
  <c r="AA412" i="15" s="1"/>
  <c r="AC412" i="15" s="1"/>
  <c r="AL412" i="15" s="1"/>
  <c r="B413" i="15"/>
  <c r="AA413" i="15" s="1"/>
  <c r="AC413" i="15" s="1"/>
  <c r="AL413" i="15" s="1"/>
  <c r="B414" i="15"/>
  <c r="AA414" i="15" s="1"/>
  <c r="AC414" i="15" s="1"/>
  <c r="AL414" i="15" s="1"/>
  <c r="B415" i="15"/>
  <c r="AA415" i="15" s="1"/>
  <c r="AC415" i="15" s="1"/>
  <c r="AL415" i="15" s="1"/>
  <c r="B416" i="15"/>
  <c r="AA416" i="15" s="1"/>
  <c r="AC416" i="15" s="1"/>
  <c r="AL416" i="15" s="1"/>
  <c r="B417" i="15"/>
  <c r="AA417" i="15" s="1"/>
  <c r="AC417" i="15" s="1"/>
  <c r="AL417" i="15" s="1"/>
  <c r="B418" i="15"/>
  <c r="AA418" i="15" s="1"/>
  <c r="AC418" i="15" s="1"/>
  <c r="AL418" i="15" s="1"/>
  <c r="B419" i="15"/>
  <c r="AA419" i="15" s="1"/>
  <c r="AC419" i="15" s="1"/>
  <c r="AL419" i="15" s="1"/>
  <c r="B420" i="15"/>
  <c r="AA420" i="15" s="1"/>
  <c r="AC420" i="15" s="1"/>
  <c r="AL420" i="15" s="1"/>
  <c r="B421" i="15"/>
  <c r="AA421" i="15" s="1"/>
  <c r="AC421" i="15" s="1"/>
  <c r="AL421" i="15" s="1"/>
  <c r="B422" i="15"/>
  <c r="AA422" i="15" s="1"/>
  <c r="AC422" i="15" s="1"/>
  <c r="AL422" i="15" s="1"/>
  <c r="B423" i="15"/>
  <c r="AA423" i="15" s="1"/>
  <c r="AC423" i="15" s="1"/>
  <c r="AL423" i="15" s="1"/>
  <c r="B424" i="15"/>
  <c r="AA424" i="15" s="1"/>
  <c r="AC424" i="15" s="1"/>
  <c r="AL424" i="15" s="1"/>
  <c r="B425" i="15"/>
  <c r="AA425" i="15" s="1"/>
  <c r="AC425" i="15" s="1"/>
  <c r="AL425" i="15" s="1"/>
  <c r="B426" i="15"/>
  <c r="AA426" i="15" s="1"/>
  <c r="AC426" i="15" s="1"/>
  <c r="AL426" i="15" s="1"/>
  <c r="B427" i="15"/>
  <c r="AA427" i="15" s="1"/>
  <c r="AC427" i="15" s="1"/>
  <c r="AL427" i="15" s="1"/>
  <c r="B428" i="15"/>
  <c r="AA428" i="15" s="1"/>
  <c r="AC428" i="15" s="1"/>
  <c r="AL428" i="15" s="1"/>
  <c r="B429" i="15"/>
  <c r="AA429" i="15" s="1"/>
  <c r="AC429" i="15" s="1"/>
  <c r="AL429" i="15" s="1"/>
  <c r="B430" i="15"/>
  <c r="AA430" i="15" s="1"/>
  <c r="AC430" i="15" s="1"/>
  <c r="AL430" i="15" s="1"/>
  <c r="B431" i="15"/>
  <c r="AA431" i="15" s="1"/>
  <c r="AC431" i="15" s="1"/>
  <c r="AL431" i="15" s="1"/>
  <c r="B432" i="15"/>
  <c r="AA432" i="15" s="1"/>
  <c r="AC432" i="15" s="1"/>
  <c r="AL432" i="15" s="1"/>
  <c r="B433" i="15"/>
  <c r="AA433" i="15" s="1"/>
  <c r="AC433" i="15" s="1"/>
  <c r="AL433" i="15" s="1"/>
  <c r="B434" i="15"/>
  <c r="AA434" i="15" s="1"/>
  <c r="AC434" i="15" s="1"/>
  <c r="AL434" i="15" s="1"/>
  <c r="B435" i="15"/>
  <c r="AA435" i="15" s="1"/>
  <c r="AC435" i="15" s="1"/>
  <c r="AL435" i="15" s="1"/>
  <c r="B436" i="15"/>
  <c r="AA436" i="15" s="1"/>
  <c r="AC436" i="15" s="1"/>
  <c r="AL436" i="15" s="1"/>
  <c r="B437" i="15"/>
  <c r="AA437" i="15" s="1"/>
  <c r="AC437" i="15" s="1"/>
  <c r="AL437" i="15" s="1"/>
  <c r="B438" i="15"/>
  <c r="AA438" i="15" s="1"/>
  <c r="AC438" i="15" s="1"/>
  <c r="AL438" i="15" s="1"/>
  <c r="B439" i="15"/>
  <c r="AA439" i="15" s="1"/>
  <c r="AC439" i="15" s="1"/>
  <c r="AL439" i="15" s="1"/>
  <c r="B440" i="15"/>
  <c r="AA440" i="15" s="1"/>
  <c r="AC440" i="15" s="1"/>
  <c r="AL440" i="15" s="1"/>
  <c r="B441" i="15"/>
  <c r="AA441" i="15" s="1"/>
  <c r="AC441" i="15" s="1"/>
  <c r="AL441" i="15" s="1"/>
  <c r="B442" i="15"/>
  <c r="AA442" i="15" s="1"/>
  <c r="AC442" i="15" s="1"/>
  <c r="AL442" i="15" s="1"/>
  <c r="B443" i="15"/>
  <c r="AA443" i="15" s="1"/>
  <c r="AC443" i="15" s="1"/>
  <c r="AL443" i="15" s="1"/>
  <c r="B444" i="15"/>
  <c r="AA444" i="15" s="1"/>
  <c r="AC444" i="15" s="1"/>
  <c r="AL444" i="15" s="1"/>
  <c r="B445" i="15"/>
  <c r="AA445" i="15" s="1"/>
  <c r="AC445" i="15" s="1"/>
  <c r="AL445" i="15" s="1"/>
  <c r="B446" i="15"/>
  <c r="AA446" i="15" s="1"/>
  <c r="AC446" i="15" s="1"/>
  <c r="AL446" i="15" s="1"/>
  <c r="B447" i="15"/>
  <c r="AA447" i="15" s="1"/>
  <c r="AC447" i="15" s="1"/>
  <c r="AL447" i="15" s="1"/>
  <c r="B448" i="15"/>
  <c r="AA448" i="15" s="1"/>
  <c r="AC448" i="15" s="1"/>
  <c r="AL448" i="15" s="1"/>
  <c r="B449" i="15"/>
  <c r="AA449" i="15" s="1"/>
  <c r="AC449" i="15" s="1"/>
  <c r="AL449" i="15" s="1"/>
  <c r="B450" i="15"/>
  <c r="AA450" i="15" s="1"/>
  <c r="AC450" i="15" s="1"/>
  <c r="AL450" i="15" s="1"/>
  <c r="B451" i="15"/>
  <c r="AA451" i="15" s="1"/>
  <c r="AC451" i="15" s="1"/>
  <c r="AL451" i="15" s="1"/>
  <c r="B452" i="15"/>
  <c r="AA452" i="15" s="1"/>
  <c r="AC452" i="15" s="1"/>
  <c r="AL452" i="15" s="1"/>
  <c r="B453" i="15"/>
  <c r="AA453" i="15" s="1"/>
  <c r="AC453" i="15" s="1"/>
  <c r="AL453" i="15" s="1"/>
  <c r="B454" i="15"/>
  <c r="AA454" i="15" s="1"/>
  <c r="AC454" i="15" s="1"/>
  <c r="AL454" i="15" s="1"/>
  <c r="B455" i="15"/>
  <c r="AA455" i="15" s="1"/>
  <c r="AC455" i="15" s="1"/>
  <c r="AL455" i="15" s="1"/>
  <c r="B456" i="15"/>
  <c r="AA456" i="15" s="1"/>
  <c r="AC456" i="15" s="1"/>
  <c r="AL456" i="15" s="1"/>
  <c r="B457" i="15"/>
  <c r="AA457" i="15" s="1"/>
  <c r="AC457" i="15" s="1"/>
  <c r="AL457" i="15" s="1"/>
  <c r="B458" i="15"/>
  <c r="AA458" i="15" s="1"/>
  <c r="AC458" i="15" s="1"/>
  <c r="AL458" i="15" s="1"/>
  <c r="B459" i="15"/>
  <c r="AA459" i="15" s="1"/>
  <c r="AC459" i="15" s="1"/>
  <c r="AL459" i="15" s="1"/>
  <c r="B460" i="15"/>
  <c r="AA460" i="15" s="1"/>
  <c r="AC460" i="15" s="1"/>
  <c r="AL460" i="15" s="1"/>
  <c r="B461" i="15"/>
  <c r="AA461" i="15" s="1"/>
  <c r="AC461" i="15" s="1"/>
  <c r="AL461" i="15" s="1"/>
  <c r="B462" i="15"/>
  <c r="AA462" i="15" s="1"/>
  <c r="AC462" i="15" s="1"/>
  <c r="AL462" i="15" s="1"/>
  <c r="B463" i="15"/>
  <c r="AA463" i="15" s="1"/>
  <c r="AC463" i="15" s="1"/>
  <c r="AL463" i="15" s="1"/>
  <c r="B464" i="15"/>
  <c r="AA464" i="15" s="1"/>
  <c r="AC464" i="15" s="1"/>
  <c r="AL464" i="15" s="1"/>
  <c r="B465" i="15"/>
  <c r="AA465" i="15" s="1"/>
  <c r="AC465" i="15" s="1"/>
  <c r="AL465" i="15" s="1"/>
  <c r="B466" i="15"/>
  <c r="AA466" i="15" s="1"/>
  <c r="AC466" i="15" s="1"/>
  <c r="AL466" i="15" s="1"/>
  <c r="B467" i="15"/>
  <c r="AA467" i="15" s="1"/>
  <c r="AC467" i="15" s="1"/>
  <c r="AL467" i="15" s="1"/>
  <c r="B468" i="15"/>
  <c r="AA468" i="15" s="1"/>
  <c r="AC468" i="15" s="1"/>
  <c r="AL468" i="15" s="1"/>
  <c r="B469" i="15"/>
  <c r="AA469" i="15" s="1"/>
  <c r="AC469" i="15" s="1"/>
  <c r="AL469" i="15" s="1"/>
  <c r="B470" i="15"/>
  <c r="AA470" i="15" s="1"/>
  <c r="AC470" i="15" s="1"/>
  <c r="AL470" i="15" s="1"/>
  <c r="B471" i="15"/>
  <c r="AA471" i="15" s="1"/>
  <c r="AC471" i="15" s="1"/>
  <c r="AL471" i="15" s="1"/>
  <c r="B472" i="15"/>
  <c r="AA472" i="15" s="1"/>
  <c r="AC472" i="15" s="1"/>
  <c r="AL472" i="15" s="1"/>
  <c r="B473" i="15"/>
  <c r="AA473" i="15" s="1"/>
  <c r="AC473" i="15" s="1"/>
  <c r="AL473" i="15" s="1"/>
  <c r="B474" i="15"/>
  <c r="AA474" i="15" s="1"/>
  <c r="AC474" i="15" s="1"/>
  <c r="AL474" i="15" s="1"/>
  <c r="B475" i="15"/>
  <c r="AA475" i="15" s="1"/>
  <c r="AC475" i="15" s="1"/>
  <c r="AL475" i="15" s="1"/>
  <c r="B476" i="15"/>
  <c r="AA476" i="15" s="1"/>
  <c r="AC476" i="15" s="1"/>
  <c r="AL476" i="15" s="1"/>
  <c r="B477" i="15"/>
  <c r="AA477" i="15" s="1"/>
  <c r="AC477" i="15" s="1"/>
  <c r="AL477" i="15" s="1"/>
  <c r="B478" i="15"/>
  <c r="AA478" i="15" s="1"/>
  <c r="AC478" i="15" s="1"/>
  <c r="AL478" i="15" s="1"/>
  <c r="B479" i="15"/>
  <c r="AA479" i="15" s="1"/>
  <c r="AC479" i="15" s="1"/>
  <c r="AL479" i="15" s="1"/>
  <c r="B480" i="15"/>
  <c r="AA480" i="15" s="1"/>
  <c r="AC480" i="15" s="1"/>
  <c r="AL480" i="15" s="1"/>
  <c r="B481" i="15"/>
  <c r="AA481" i="15" s="1"/>
  <c r="AC481" i="15" s="1"/>
  <c r="AL481" i="15" s="1"/>
  <c r="B482" i="15"/>
  <c r="AA482" i="15" s="1"/>
  <c r="AC482" i="15" s="1"/>
  <c r="AL482" i="15" s="1"/>
  <c r="B483" i="15"/>
  <c r="AA483" i="15" s="1"/>
  <c r="AC483" i="15" s="1"/>
  <c r="AL483" i="15" s="1"/>
  <c r="B484" i="15"/>
  <c r="AA484" i="15" s="1"/>
  <c r="AC484" i="15" s="1"/>
  <c r="AL484" i="15" s="1"/>
  <c r="B485" i="15"/>
  <c r="AA485" i="15" s="1"/>
  <c r="AC485" i="15" s="1"/>
  <c r="AL485" i="15" s="1"/>
  <c r="B486" i="15"/>
  <c r="AA486" i="15" s="1"/>
  <c r="AC486" i="15" s="1"/>
  <c r="AL486" i="15" s="1"/>
  <c r="B487" i="15"/>
  <c r="AA487" i="15" s="1"/>
  <c r="AC487" i="15" s="1"/>
  <c r="AL487" i="15" s="1"/>
  <c r="B488" i="15"/>
  <c r="AA488" i="15" s="1"/>
  <c r="AC488" i="15" s="1"/>
  <c r="AL488" i="15" s="1"/>
  <c r="B489" i="15"/>
  <c r="AA489" i="15" s="1"/>
  <c r="AC489" i="15" s="1"/>
  <c r="AL489" i="15" s="1"/>
  <c r="B490" i="15"/>
  <c r="AA490" i="15" s="1"/>
  <c r="AC490" i="15" s="1"/>
  <c r="AL490" i="15" s="1"/>
  <c r="B491" i="15"/>
  <c r="AA491" i="15" s="1"/>
  <c r="AC491" i="15" s="1"/>
  <c r="AL491" i="15" s="1"/>
  <c r="B492" i="15"/>
  <c r="AA492" i="15" s="1"/>
  <c r="AC492" i="15" s="1"/>
  <c r="AL492" i="15" s="1"/>
  <c r="B493" i="15"/>
  <c r="AA493" i="15" s="1"/>
  <c r="AC493" i="15" s="1"/>
  <c r="AL493" i="15" s="1"/>
  <c r="B5" i="15"/>
  <c r="U5" i="15" l="1" a="1"/>
  <c r="U5" i="15" s="1"/>
  <c r="AC145" i="15"/>
  <c r="AL145" i="15" s="1"/>
  <c r="AU145" i="15" s="1"/>
  <c r="AB145" i="15"/>
  <c r="AC144" i="15"/>
  <c r="AL144" i="15" s="1"/>
  <c r="AU144" i="15" s="1"/>
  <c r="AB144" i="15"/>
  <c r="AC143" i="15"/>
  <c r="AL143" i="15" s="1"/>
  <c r="AU143" i="15" s="1"/>
  <c r="AB143" i="15"/>
  <c r="AU217" i="15"/>
  <c r="AD217" i="15"/>
  <c r="AH217" i="15" s="1"/>
  <c r="AF217" i="15"/>
  <c r="AY217" i="15" s="1"/>
  <c r="AZ217" i="15" s="1"/>
  <c r="AD480" i="15"/>
  <c r="AH480" i="15" s="1"/>
  <c r="AU480" i="15"/>
  <c r="AF480" i="15"/>
  <c r="AY480" i="15" s="1"/>
  <c r="AZ480" i="15" s="1"/>
  <c r="AD458" i="15"/>
  <c r="AH458" i="15" s="1"/>
  <c r="AU458" i="15"/>
  <c r="AF458" i="15"/>
  <c r="AY458" i="15" s="1"/>
  <c r="AZ458" i="15" s="1"/>
  <c r="AD436" i="15"/>
  <c r="AH436" i="15" s="1"/>
  <c r="AU436" i="15"/>
  <c r="AF436" i="15"/>
  <c r="AY436" i="15" s="1"/>
  <c r="AZ436" i="15" s="1"/>
  <c r="AU414" i="15"/>
  <c r="AD414" i="15"/>
  <c r="AH414" i="15" s="1"/>
  <c r="AF414" i="15"/>
  <c r="AY414" i="15" s="1"/>
  <c r="AZ414" i="15" s="1"/>
  <c r="AF392" i="15"/>
  <c r="AY392" i="15" s="1"/>
  <c r="AZ392" i="15" s="1"/>
  <c r="AD392" i="15"/>
  <c r="AH392" i="15" s="1"/>
  <c r="AU392" i="15"/>
  <c r="AD370" i="15"/>
  <c r="AH370" i="15" s="1"/>
  <c r="AF370" i="15"/>
  <c r="AY370" i="15" s="1"/>
  <c r="AZ370" i="15" s="1"/>
  <c r="AU370" i="15"/>
  <c r="AD348" i="15"/>
  <c r="AH348" i="15" s="1"/>
  <c r="AF348" i="15"/>
  <c r="AY348" i="15" s="1"/>
  <c r="AZ348" i="15" s="1"/>
  <c r="AU348" i="15"/>
  <c r="AD326" i="15"/>
  <c r="AH326" i="15" s="1"/>
  <c r="AU326" i="15"/>
  <c r="AF326" i="15"/>
  <c r="AY326" i="15" s="1"/>
  <c r="AZ326" i="15" s="1"/>
  <c r="AD304" i="15"/>
  <c r="AH304" i="15" s="1"/>
  <c r="AU304" i="15"/>
  <c r="AF304" i="15"/>
  <c r="AY304" i="15" s="1"/>
  <c r="AZ304" i="15" s="1"/>
  <c r="AU282" i="15"/>
  <c r="AD282" i="15"/>
  <c r="AH282" i="15" s="1"/>
  <c r="AF282" i="15"/>
  <c r="AY282" i="15" s="1"/>
  <c r="AZ282" i="15" s="1"/>
  <c r="AD260" i="15"/>
  <c r="AH260" i="15" s="1"/>
  <c r="AU260" i="15"/>
  <c r="AF260" i="15"/>
  <c r="AY260" i="15" s="1"/>
  <c r="AZ260" i="15" s="1"/>
  <c r="AD238" i="15"/>
  <c r="AH238" i="15" s="1"/>
  <c r="AU238" i="15"/>
  <c r="AF238" i="15"/>
  <c r="AY238" i="15" s="1"/>
  <c r="AZ238" i="15" s="1"/>
  <c r="AD216" i="15"/>
  <c r="AH216" i="15" s="1"/>
  <c r="AF216" i="15"/>
  <c r="AY216" i="15" s="1"/>
  <c r="AZ216" i="15" s="1"/>
  <c r="AU216" i="15"/>
  <c r="AU194" i="15"/>
  <c r="AD194" i="15"/>
  <c r="AH194" i="15" s="1"/>
  <c r="AF194" i="15"/>
  <c r="AY194" i="15" s="1"/>
  <c r="AZ194" i="15" s="1"/>
  <c r="AD172" i="15"/>
  <c r="AH172" i="15" s="1"/>
  <c r="AU172" i="15"/>
  <c r="AF172" i="15"/>
  <c r="AY172" i="15" s="1"/>
  <c r="AZ172" i="15" s="1"/>
  <c r="AD150" i="15"/>
  <c r="AH150" i="15" s="1"/>
  <c r="AU150" i="15"/>
  <c r="AF150" i="15"/>
  <c r="AY150" i="15" s="1"/>
  <c r="AZ150" i="15" s="1"/>
  <c r="AU391" i="15"/>
  <c r="AD391" i="15"/>
  <c r="AH391" i="15" s="1"/>
  <c r="AF391" i="15"/>
  <c r="AY391" i="15" s="1"/>
  <c r="AZ391" i="15" s="1"/>
  <c r="AD303" i="15"/>
  <c r="AH303" i="15" s="1"/>
  <c r="AF303" i="15"/>
  <c r="AY303" i="15" s="1"/>
  <c r="AZ303" i="15" s="1"/>
  <c r="AU303" i="15"/>
  <c r="AD215" i="15"/>
  <c r="AH215" i="15" s="1"/>
  <c r="AF215" i="15"/>
  <c r="AY215" i="15" s="1"/>
  <c r="AZ215" i="15" s="1"/>
  <c r="AU215" i="15"/>
  <c r="AU149" i="15"/>
  <c r="AD149" i="15"/>
  <c r="AH149" i="15" s="1"/>
  <c r="AF149" i="15"/>
  <c r="AY149" i="15" s="1"/>
  <c r="AZ149" i="15" s="1"/>
  <c r="AD478" i="15"/>
  <c r="AH478" i="15" s="1"/>
  <c r="AU478" i="15"/>
  <c r="AF478" i="15"/>
  <c r="AY478" i="15" s="1"/>
  <c r="AZ478" i="15" s="1"/>
  <c r="AD456" i="15"/>
  <c r="AH456" i="15" s="1"/>
  <c r="AU456" i="15"/>
  <c r="AF456" i="15"/>
  <c r="AY456" i="15" s="1"/>
  <c r="AZ456" i="15" s="1"/>
  <c r="AD434" i="15"/>
  <c r="AH434" i="15" s="1"/>
  <c r="AU434" i="15"/>
  <c r="AF434" i="15"/>
  <c r="AY434" i="15" s="1"/>
  <c r="AZ434" i="15" s="1"/>
  <c r="AD412" i="15"/>
  <c r="AH412" i="15" s="1"/>
  <c r="AF412" i="15"/>
  <c r="AY412" i="15" s="1"/>
  <c r="AZ412" i="15" s="1"/>
  <c r="AU412" i="15"/>
  <c r="AD390" i="15"/>
  <c r="AH390" i="15" s="1"/>
  <c r="AU390" i="15"/>
  <c r="AF390" i="15"/>
  <c r="AY390" i="15" s="1"/>
  <c r="AZ390" i="15" s="1"/>
  <c r="AD368" i="15"/>
  <c r="AH368" i="15" s="1"/>
  <c r="AU368" i="15"/>
  <c r="AF368" i="15"/>
  <c r="AY368" i="15" s="1"/>
  <c r="AZ368" i="15" s="1"/>
  <c r="AD346" i="15"/>
  <c r="AH346" i="15" s="1"/>
  <c r="AU346" i="15"/>
  <c r="AF346" i="15"/>
  <c r="AY346" i="15" s="1"/>
  <c r="AZ346" i="15" s="1"/>
  <c r="AD324" i="15"/>
  <c r="AH324" i="15" s="1"/>
  <c r="AF324" i="15"/>
  <c r="AY324" i="15" s="1"/>
  <c r="AZ324" i="15" s="1"/>
  <c r="AU324" i="15"/>
  <c r="AD302" i="15"/>
  <c r="AH302" i="15" s="1"/>
  <c r="AU302" i="15"/>
  <c r="AF302" i="15"/>
  <c r="AY302" i="15" s="1"/>
  <c r="AZ302" i="15" s="1"/>
  <c r="AD280" i="15"/>
  <c r="AH280" i="15" s="1"/>
  <c r="AF280" i="15"/>
  <c r="AY280" i="15" s="1"/>
  <c r="AZ280" i="15" s="1"/>
  <c r="AU280" i="15"/>
  <c r="AD258" i="15"/>
  <c r="AH258" i="15" s="1"/>
  <c r="AU258" i="15"/>
  <c r="AF258" i="15"/>
  <c r="AY258" i="15" s="1"/>
  <c r="AZ258" i="15" s="1"/>
  <c r="AF236" i="15"/>
  <c r="AY236" i="15" s="1"/>
  <c r="AZ236" i="15" s="1"/>
  <c r="AD236" i="15"/>
  <c r="AH236" i="15" s="1"/>
  <c r="AU236" i="15"/>
  <c r="AD214" i="15"/>
  <c r="AH214" i="15" s="1"/>
  <c r="AU214" i="15"/>
  <c r="AF214" i="15"/>
  <c r="AY214" i="15" s="1"/>
  <c r="AZ214" i="15" s="1"/>
  <c r="AD192" i="15"/>
  <c r="AH192" i="15" s="1"/>
  <c r="AF192" i="15"/>
  <c r="AY192" i="15" s="1"/>
  <c r="AZ192" i="15" s="1"/>
  <c r="AU192" i="15"/>
  <c r="AU170" i="15"/>
  <c r="AF170" i="15"/>
  <c r="AY170" i="15" s="1"/>
  <c r="AZ170" i="15" s="1"/>
  <c r="AD170" i="15"/>
  <c r="AH170" i="15" s="1"/>
  <c r="AD148" i="15"/>
  <c r="AH148" i="15" s="1"/>
  <c r="AU148" i="15"/>
  <c r="AF148" i="15"/>
  <c r="AY148" i="15" s="1"/>
  <c r="AZ148" i="15" s="1"/>
  <c r="AD283" i="15"/>
  <c r="AH283" i="15" s="1"/>
  <c r="AU283" i="15"/>
  <c r="AF283" i="15"/>
  <c r="AY283" i="15" s="1"/>
  <c r="AZ283" i="15" s="1"/>
  <c r="AD477" i="15"/>
  <c r="AH477" i="15" s="1"/>
  <c r="AU477" i="15"/>
  <c r="AF477" i="15"/>
  <c r="AY477" i="15" s="1"/>
  <c r="AZ477" i="15" s="1"/>
  <c r="AD455" i="15"/>
  <c r="AH455" i="15" s="1"/>
  <c r="AU455" i="15"/>
  <c r="AF455" i="15"/>
  <c r="AY455" i="15" s="1"/>
  <c r="AZ455" i="15" s="1"/>
  <c r="AD433" i="15"/>
  <c r="AH433" i="15" s="1"/>
  <c r="AU433" i="15"/>
  <c r="AF433" i="15"/>
  <c r="AY433" i="15" s="1"/>
  <c r="AZ433" i="15" s="1"/>
  <c r="AU411" i="15"/>
  <c r="AD411" i="15"/>
  <c r="AH411" i="15" s="1"/>
  <c r="AF411" i="15"/>
  <c r="AY411" i="15" s="1"/>
  <c r="AZ411" i="15" s="1"/>
  <c r="AU389" i="15"/>
  <c r="AD389" i="15"/>
  <c r="AH389" i="15" s="1"/>
  <c r="AF389" i="15"/>
  <c r="AY389" i="15" s="1"/>
  <c r="AZ389" i="15" s="1"/>
  <c r="AU367" i="15"/>
  <c r="AD367" i="15"/>
  <c r="AH367" i="15" s="1"/>
  <c r="AF367" i="15"/>
  <c r="AY367" i="15" s="1"/>
  <c r="AZ367" i="15" s="1"/>
  <c r="AD345" i="15"/>
  <c r="AH345" i="15" s="1"/>
  <c r="AF345" i="15"/>
  <c r="AY345" i="15" s="1"/>
  <c r="AZ345" i="15" s="1"/>
  <c r="AU345" i="15"/>
  <c r="AF323" i="15"/>
  <c r="AY323" i="15" s="1"/>
  <c r="AZ323" i="15" s="1"/>
  <c r="AD323" i="15"/>
  <c r="AH323" i="15" s="1"/>
  <c r="AU323" i="15"/>
  <c r="AD301" i="15"/>
  <c r="AH301" i="15" s="1"/>
  <c r="AU301" i="15"/>
  <c r="AF301" i="15"/>
  <c r="AY301" i="15" s="1"/>
  <c r="AZ301" i="15" s="1"/>
  <c r="AD279" i="15"/>
  <c r="AH279" i="15" s="1"/>
  <c r="AU279" i="15"/>
  <c r="AF279" i="15"/>
  <c r="AY279" i="15" s="1"/>
  <c r="AZ279" i="15" s="1"/>
  <c r="AD257" i="15"/>
  <c r="AH257" i="15" s="1"/>
  <c r="AU257" i="15"/>
  <c r="AF257" i="15"/>
  <c r="AY257" i="15" s="1"/>
  <c r="AZ257" i="15" s="1"/>
  <c r="AD235" i="15"/>
  <c r="AH235" i="15" s="1"/>
  <c r="AU235" i="15"/>
  <c r="AF235" i="15"/>
  <c r="AY235" i="15" s="1"/>
  <c r="AZ235" i="15" s="1"/>
  <c r="AD213" i="15"/>
  <c r="AH213" i="15" s="1"/>
  <c r="AU213" i="15"/>
  <c r="AF213" i="15"/>
  <c r="AY213" i="15" s="1"/>
  <c r="AZ213" i="15" s="1"/>
  <c r="AD191" i="15"/>
  <c r="AH191" i="15" s="1"/>
  <c r="AU191" i="15"/>
  <c r="AF191" i="15"/>
  <c r="AY191" i="15" s="1"/>
  <c r="AZ191" i="15" s="1"/>
  <c r="AD169" i="15"/>
  <c r="AH169" i="15" s="1"/>
  <c r="AU169" i="15"/>
  <c r="AF169" i="15"/>
  <c r="AY169" i="15" s="1"/>
  <c r="AZ169" i="15" s="1"/>
  <c r="AF147" i="15"/>
  <c r="AY147" i="15" s="1"/>
  <c r="AZ147" i="15" s="1"/>
  <c r="AD147" i="15"/>
  <c r="AH147" i="15" s="1"/>
  <c r="AU147" i="15"/>
  <c r="AD476" i="15"/>
  <c r="AH476" i="15" s="1"/>
  <c r="AF476" i="15"/>
  <c r="AY476" i="15" s="1"/>
  <c r="AZ476" i="15" s="1"/>
  <c r="AU476" i="15"/>
  <c r="AD454" i="15"/>
  <c r="AH454" i="15" s="1"/>
  <c r="AU454" i="15"/>
  <c r="AF454" i="15"/>
  <c r="AY454" i="15" s="1"/>
  <c r="AZ454" i="15" s="1"/>
  <c r="AD432" i="15"/>
  <c r="AH432" i="15" s="1"/>
  <c r="AF432" i="15"/>
  <c r="AY432" i="15" s="1"/>
  <c r="AZ432" i="15" s="1"/>
  <c r="AU432" i="15"/>
  <c r="AD410" i="15"/>
  <c r="AH410" i="15" s="1"/>
  <c r="AU410" i="15"/>
  <c r="AF410" i="15"/>
  <c r="AY410" i="15" s="1"/>
  <c r="AZ410" i="15" s="1"/>
  <c r="AF388" i="15"/>
  <c r="AY388" i="15" s="1"/>
  <c r="AZ388" i="15" s="1"/>
  <c r="AD388" i="15"/>
  <c r="AH388" i="15" s="1"/>
  <c r="AU388" i="15"/>
  <c r="AD366" i="15"/>
  <c r="AH366" i="15" s="1"/>
  <c r="AU366" i="15"/>
  <c r="AF366" i="15"/>
  <c r="AY366" i="15" s="1"/>
  <c r="AZ366" i="15" s="1"/>
  <c r="AD344" i="15"/>
  <c r="AH344" i="15" s="1"/>
  <c r="AF344" i="15"/>
  <c r="AY344" i="15" s="1"/>
  <c r="AZ344" i="15" s="1"/>
  <c r="AU344" i="15"/>
  <c r="AF322" i="15"/>
  <c r="AY322" i="15" s="1"/>
  <c r="AZ322" i="15" s="1"/>
  <c r="AD322" i="15"/>
  <c r="AH322" i="15" s="1"/>
  <c r="AU322" i="15"/>
  <c r="AF300" i="15"/>
  <c r="AY300" i="15" s="1"/>
  <c r="AZ300" i="15" s="1"/>
  <c r="AD300" i="15"/>
  <c r="AH300" i="15" s="1"/>
  <c r="AU300" i="15"/>
  <c r="AD278" i="15"/>
  <c r="AH278" i="15" s="1"/>
  <c r="AU278" i="15"/>
  <c r="AF278" i="15"/>
  <c r="AY278" i="15" s="1"/>
  <c r="AZ278" i="15" s="1"/>
  <c r="AD256" i="15"/>
  <c r="AH256" i="15" s="1"/>
  <c r="AF256" i="15"/>
  <c r="AY256" i="15" s="1"/>
  <c r="AZ256" i="15" s="1"/>
  <c r="AU256" i="15"/>
  <c r="AU234" i="15"/>
  <c r="AD234" i="15"/>
  <c r="AH234" i="15" s="1"/>
  <c r="AF234" i="15"/>
  <c r="AY234" i="15" s="1"/>
  <c r="AZ234" i="15" s="1"/>
  <c r="AD212" i="15"/>
  <c r="AH212" i="15" s="1"/>
  <c r="AU212" i="15"/>
  <c r="AF212" i="15"/>
  <c r="AY212" i="15" s="1"/>
  <c r="AZ212" i="15" s="1"/>
  <c r="AD190" i="15"/>
  <c r="AH190" i="15" s="1"/>
  <c r="AU190" i="15"/>
  <c r="AF190" i="15"/>
  <c r="AY190" i="15" s="1"/>
  <c r="AZ190" i="15" s="1"/>
  <c r="AD168" i="15"/>
  <c r="AH168" i="15" s="1"/>
  <c r="AU168" i="15"/>
  <c r="AF168" i="15"/>
  <c r="AY168" i="15" s="1"/>
  <c r="AZ168" i="15" s="1"/>
  <c r="AD146" i="15"/>
  <c r="AH146" i="15" s="1"/>
  <c r="AU146" i="15"/>
  <c r="AF146" i="15"/>
  <c r="AY146" i="15" s="1"/>
  <c r="AZ146" i="15" s="1"/>
  <c r="AU409" i="15"/>
  <c r="AD409" i="15"/>
  <c r="AH409" i="15" s="1"/>
  <c r="AF409" i="15"/>
  <c r="AY409" i="15" s="1"/>
  <c r="AZ409" i="15" s="1"/>
  <c r="AF299" i="15"/>
  <c r="AY299" i="15" s="1"/>
  <c r="AZ299" i="15" s="1"/>
  <c r="AD299" i="15"/>
  <c r="AH299" i="15" s="1"/>
  <c r="AU299" i="15"/>
  <c r="AD255" i="15"/>
  <c r="AH255" i="15" s="1"/>
  <c r="AU255" i="15"/>
  <c r="AF255" i="15"/>
  <c r="AY255" i="15" s="1"/>
  <c r="AZ255" i="15" s="1"/>
  <c r="AD211" i="15"/>
  <c r="AH211" i="15" s="1"/>
  <c r="AU211" i="15"/>
  <c r="AF211" i="15"/>
  <c r="AY211" i="15" s="1"/>
  <c r="AZ211" i="15" s="1"/>
  <c r="AU167" i="15"/>
  <c r="AD167" i="15"/>
  <c r="AH167" i="15" s="1"/>
  <c r="AF167" i="15"/>
  <c r="AY167" i="15" s="1"/>
  <c r="AZ167" i="15" s="1"/>
  <c r="AU349" i="15"/>
  <c r="AD349" i="15"/>
  <c r="AH349" i="15" s="1"/>
  <c r="AF349" i="15"/>
  <c r="AY349" i="15" s="1"/>
  <c r="AZ349" i="15" s="1"/>
  <c r="AU474" i="15"/>
  <c r="AD474" i="15"/>
  <c r="AH474" i="15" s="1"/>
  <c r="AF474" i="15"/>
  <c r="AY474" i="15" s="1"/>
  <c r="AZ474" i="15" s="1"/>
  <c r="AD408" i="15"/>
  <c r="AH408" i="15" s="1"/>
  <c r="AF408" i="15"/>
  <c r="AY408" i="15" s="1"/>
  <c r="AZ408" i="15" s="1"/>
  <c r="AU364" i="15"/>
  <c r="AF364" i="15"/>
  <c r="AY364" i="15" s="1"/>
  <c r="AZ364" i="15" s="1"/>
  <c r="AD364" i="15"/>
  <c r="AH364" i="15" s="1"/>
  <c r="AD298" i="15"/>
  <c r="AH298" i="15" s="1"/>
  <c r="AF298" i="15"/>
  <c r="AY298" i="15" s="1"/>
  <c r="AZ298" i="15" s="1"/>
  <c r="AU298" i="15"/>
  <c r="AF254" i="15"/>
  <c r="AY254" i="15" s="1"/>
  <c r="AZ254" i="15" s="1"/>
  <c r="AU254" i="15"/>
  <c r="AD254" i="15"/>
  <c r="AH254" i="15" s="1"/>
  <c r="AD232" i="15"/>
  <c r="AH232" i="15" s="1"/>
  <c r="AU232" i="15"/>
  <c r="AF232" i="15"/>
  <c r="AY232" i="15" s="1"/>
  <c r="AZ232" i="15" s="1"/>
  <c r="AD210" i="15"/>
  <c r="AH210" i="15" s="1"/>
  <c r="AU210" i="15"/>
  <c r="AF210" i="15"/>
  <c r="AY210" i="15" s="1"/>
  <c r="AZ210" i="15" s="1"/>
  <c r="AD166" i="15"/>
  <c r="AH166" i="15" s="1"/>
  <c r="AF166" i="15"/>
  <c r="AY166" i="15" s="1"/>
  <c r="AZ166" i="15" s="1"/>
  <c r="AU166" i="15"/>
  <c r="AD475" i="15"/>
  <c r="AH475" i="15" s="1"/>
  <c r="AU475" i="15"/>
  <c r="AF475" i="15"/>
  <c r="AY475" i="15" s="1"/>
  <c r="AZ475" i="15" s="1"/>
  <c r="AF365" i="15"/>
  <c r="AY365" i="15" s="1"/>
  <c r="AZ365" i="15" s="1"/>
  <c r="AD365" i="15"/>
  <c r="AH365" i="15" s="1"/>
  <c r="AU365" i="15"/>
  <c r="AU473" i="15"/>
  <c r="AD473" i="15"/>
  <c r="AH473" i="15" s="1"/>
  <c r="AF473" i="15"/>
  <c r="AY473" i="15" s="1"/>
  <c r="AZ473" i="15" s="1"/>
  <c r="AU451" i="15"/>
  <c r="AF451" i="15"/>
  <c r="AY451" i="15" s="1"/>
  <c r="AZ451" i="15" s="1"/>
  <c r="AD451" i="15"/>
  <c r="AH451" i="15" s="1"/>
  <c r="AD429" i="15"/>
  <c r="AH429" i="15" s="1"/>
  <c r="AF429" i="15"/>
  <c r="AY429" i="15" s="1"/>
  <c r="AZ429" i="15" s="1"/>
  <c r="AU429" i="15"/>
  <c r="AD407" i="15"/>
  <c r="AH407" i="15" s="1"/>
  <c r="AU407" i="15"/>
  <c r="AF407" i="15"/>
  <c r="AY407" i="15" s="1"/>
  <c r="AZ407" i="15" s="1"/>
  <c r="AD385" i="15"/>
  <c r="AH385" i="15" s="1"/>
  <c r="AU385" i="15"/>
  <c r="AF385" i="15"/>
  <c r="AY385" i="15" s="1"/>
  <c r="AZ385" i="15" s="1"/>
  <c r="AD363" i="15"/>
  <c r="AH363" i="15" s="1"/>
  <c r="AU363" i="15"/>
  <c r="AF363" i="15"/>
  <c r="AY363" i="15" s="1"/>
  <c r="AZ363" i="15" s="1"/>
  <c r="AD341" i="15"/>
  <c r="AH341" i="15" s="1"/>
  <c r="AU341" i="15"/>
  <c r="AF341" i="15"/>
  <c r="AY341" i="15" s="1"/>
  <c r="AZ341" i="15" s="1"/>
  <c r="AU319" i="15"/>
  <c r="AD319" i="15"/>
  <c r="AH319" i="15" s="1"/>
  <c r="AF319" i="15"/>
  <c r="AY319" i="15" s="1"/>
  <c r="AZ319" i="15" s="1"/>
  <c r="AU297" i="15"/>
  <c r="AD297" i="15"/>
  <c r="AH297" i="15" s="1"/>
  <c r="AF297" i="15"/>
  <c r="AY297" i="15" s="1"/>
  <c r="AZ297" i="15" s="1"/>
  <c r="AD275" i="15"/>
  <c r="AH275" i="15" s="1"/>
  <c r="AU275" i="15"/>
  <c r="AF275" i="15"/>
  <c r="AY275" i="15" s="1"/>
  <c r="AZ275" i="15" s="1"/>
  <c r="AD253" i="15"/>
  <c r="AH253" i="15" s="1"/>
  <c r="AU253" i="15"/>
  <c r="AF253" i="15"/>
  <c r="AY253" i="15" s="1"/>
  <c r="AZ253" i="15" s="1"/>
  <c r="AD231" i="15"/>
  <c r="AH231" i="15" s="1"/>
  <c r="AF231" i="15"/>
  <c r="AY231" i="15" s="1"/>
  <c r="AZ231" i="15" s="1"/>
  <c r="AU231" i="15"/>
  <c r="AF209" i="15"/>
  <c r="AY209" i="15" s="1"/>
  <c r="AZ209" i="15" s="1"/>
  <c r="AU209" i="15"/>
  <c r="AD209" i="15"/>
  <c r="AH209" i="15" s="1"/>
  <c r="AF187" i="15"/>
  <c r="AY187" i="15" s="1"/>
  <c r="AZ187" i="15" s="1"/>
  <c r="AU187" i="15"/>
  <c r="AD187" i="15"/>
  <c r="AH187" i="15" s="1"/>
  <c r="AD165" i="15"/>
  <c r="AH165" i="15" s="1"/>
  <c r="AU165" i="15"/>
  <c r="AF165" i="15"/>
  <c r="AY165" i="15" s="1"/>
  <c r="AZ165" i="15" s="1"/>
  <c r="AD193" i="15"/>
  <c r="AH193" i="15" s="1"/>
  <c r="AU193" i="15"/>
  <c r="AF193" i="15"/>
  <c r="AY193" i="15" s="1"/>
  <c r="AZ193" i="15" s="1"/>
  <c r="AD362" i="15"/>
  <c r="AH362" i="15" s="1"/>
  <c r="AU362" i="15"/>
  <c r="AF362" i="15"/>
  <c r="AY362" i="15" s="1"/>
  <c r="AZ362" i="15" s="1"/>
  <c r="AD208" i="15"/>
  <c r="AH208" i="15" s="1"/>
  <c r="AU208" i="15"/>
  <c r="AF208" i="15"/>
  <c r="AY208" i="15" s="1"/>
  <c r="AZ208" i="15" s="1"/>
  <c r="AD295" i="15"/>
  <c r="AH295" i="15" s="1"/>
  <c r="AU295" i="15"/>
  <c r="AF295" i="15"/>
  <c r="AY295" i="15" s="1"/>
  <c r="AZ295" i="15" s="1"/>
  <c r="AD481" i="15"/>
  <c r="AH481" i="15" s="1"/>
  <c r="AU481" i="15"/>
  <c r="AF481" i="15"/>
  <c r="AY481" i="15" s="1"/>
  <c r="AZ481" i="15" s="1"/>
  <c r="AD327" i="15"/>
  <c r="AH327" i="15" s="1"/>
  <c r="AU327" i="15"/>
  <c r="AF327" i="15"/>
  <c r="AY327" i="15" s="1"/>
  <c r="AZ327" i="15" s="1"/>
  <c r="AU479" i="15"/>
  <c r="AF479" i="15"/>
  <c r="AY479" i="15" s="1"/>
  <c r="AZ479" i="15" s="1"/>
  <c r="AD479" i="15"/>
  <c r="AH479" i="15" s="1"/>
  <c r="AD347" i="15"/>
  <c r="AH347" i="15" s="1"/>
  <c r="AF347" i="15"/>
  <c r="AY347" i="15" s="1"/>
  <c r="AZ347" i="15" s="1"/>
  <c r="AU347" i="15"/>
  <c r="AU259" i="15"/>
  <c r="AD259" i="15"/>
  <c r="AH259" i="15" s="1"/>
  <c r="AF259" i="15"/>
  <c r="AY259" i="15" s="1"/>
  <c r="AZ259" i="15" s="1"/>
  <c r="AD171" i="15"/>
  <c r="AH171" i="15" s="1"/>
  <c r="AU171" i="15"/>
  <c r="AF171" i="15"/>
  <c r="AY171" i="15" s="1"/>
  <c r="AZ171" i="15" s="1"/>
  <c r="AU471" i="15"/>
  <c r="AF471" i="15"/>
  <c r="AY471" i="15" s="1"/>
  <c r="AZ471" i="15" s="1"/>
  <c r="AD471" i="15"/>
  <c r="AH471" i="15" s="1"/>
  <c r="AD317" i="15"/>
  <c r="AH317" i="15" s="1"/>
  <c r="AF317" i="15"/>
  <c r="AY317" i="15" s="1"/>
  <c r="AZ317" i="15" s="1"/>
  <c r="AU317" i="15"/>
  <c r="AU229" i="15"/>
  <c r="AD229" i="15"/>
  <c r="AH229" i="15" s="1"/>
  <c r="AF229" i="15"/>
  <c r="AY229" i="15" s="1"/>
  <c r="AZ229" i="15" s="1"/>
  <c r="AD492" i="15"/>
  <c r="AH492" i="15" s="1"/>
  <c r="AF492" i="15"/>
  <c r="AY492" i="15" s="1"/>
  <c r="AZ492" i="15" s="1"/>
  <c r="AU492" i="15"/>
  <c r="AU470" i="15"/>
  <c r="AD470" i="15"/>
  <c r="AH470" i="15" s="1"/>
  <c r="AF470" i="15"/>
  <c r="AY470" i="15" s="1"/>
  <c r="AZ470" i="15" s="1"/>
  <c r="AD448" i="15"/>
  <c r="AH448" i="15" s="1"/>
  <c r="AU448" i="15"/>
  <c r="AF448" i="15"/>
  <c r="AY448" i="15" s="1"/>
  <c r="AZ448" i="15" s="1"/>
  <c r="AD426" i="15"/>
  <c r="AH426" i="15" s="1"/>
  <c r="AF426" i="15"/>
  <c r="AY426" i="15" s="1"/>
  <c r="AZ426" i="15" s="1"/>
  <c r="AU426" i="15"/>
  <c r="AD404" i="15"/>
  <c r="AH404" i="15" s="1"/>
  <c r="AF404" i="15"/>
  <c r="AY404" i="15" s="1"/>
  <c r="AZ404" i="15" s="1"/>
  <c r="AU404" i="15"/>
  <c r="AD382" i="15"/>
  <c r="AH382" i="15" s="1"/>
  <c r="AU382" i="15"/>
  <c r="AF382" i="15"/>
  <c r="AY382" i="15" s="1"/>
  <c r="AZ382" i="15" s="1"/>
  <c r="AU360" i="15"/>
  <c r="AD360" i="15"/>
  <c r="AH360" i="15" s="1"/>
  <c r="AF360" i="15"/>
  <c r="AY360" i="15" s="1"/>
  <c r="AZ360" i="15" s="1"/>
  <c r="AD338" i="15"/>
  <c r="AH338" i="15" s="1"/>
  <c r="AU338" i="15"/>
  <c r="AF338" i="15"/>
  <c r="AY338" i="15" s="1"/>
  <c r="AZ338" i="15" s="1"/>
  <c r="AU316" i="15"/>
  <c r="AD316" i="15"/>
  <c r="AH316" i="15" s="1"/>
  <c r="AF316" i="15"/>
  <c r="AY316" i="15" s="1"/>
  <c r="AZ316" i="15" s="1"/>
  <c r="AU294" i="15"/>
  <c r="AD294" i="15"/>
  <c r="AH294" i="15" s="1"/>
  <c r="AF294" i="15"/>
  <c r="AY294" i="15" s="1"/>
  <c r="AZ294" i="15" s="1"/>
  <c r="AU272" i="15"/>
  <c r="AF272" i="15"/>
  <c r="AY272" i="15" s="1"/>
  <c r="AZ272" i="15" s="1"/>
  <c r="AD272" i="15"/>
  <c r="AH272" i="15" s="1"/>
  <c r="AU250" i="15"/>
  <c r="AF250" i="15"/>
  <c r="AY250" i="15" s="1"/>
  <c r="AZ250" i="15" s="1"/>
  <c r="AD250" i="15"/>
  <c r="AH250" i="15" s="1"/>
  <c r="AD228" i="15"/>
  <c r="AH228" i="15" s="1"/>
  <c r="AF228" i="15"/>
  <c r="AY228" i="15" s="1"/>
  <c r="AZ228" i="15" s="1"/>
  <c r="AU228" i="15"/>
  <c r="AU206" i="15"/>
  <c r="AF206" i="15"/>
  <c r="AY206" i="15" s="1"/>
  <c r="AZ206" i="15" s="1"/>
  <c r="AD206" i="15"/>
  <c r="AH206" i="15" s="1"/>
  <c r="AD184" i="15"/>
  <c r="AH184" i="15" s="1"/>
  <c r="AU184" i="15"/>
  <c r="AF184" i="15"/>
  <c r="AY184" i="15" s="1"/>
  <c r="AZ184" i="15" s="1"/>
  <c r="AF162" i="15"/>
  <c r="AY162" i="15" s="1"/>
  <c r="AZ162" i="15" s="1"/>
  <c r="AU162" i="15"/>
  <c r="AD162" i="15"/>
  <c r="AH162" i="15" s="1"/>
  <c r="AU371" i="15"/>
  <c r="AD371" i="15"/>
  <c r="AH371" i="15" s="1"/>
  <c r="AF371" i="15"/>
  <c r="AY371" i="15" s="1"/>
  <c r="AZ371" i="15" s="1"/>
  <c r="AU195" i="15"/>
  <c r="AD195" i="15"/>
  <c r="AH195" i="15" s="1"/>
  <c r="AF195" i="15"/>
  <c r="AY195" i="15" s="1"/>
  <c r="AZ195" i="15" s="1"/>
  <c r="AU435" i="15"/>
  <c r="AD435" i="15"/>
  <c r="AH435" i="15" s="1"/>
  <c r="AF435" i="15"/>
  <c r="AY435" i="15" s="1"/>
  <c r="AZ435" i="15" s="1"/>
  <c r="AF369" i="15"/>
  <c r="AY369" i="15" s="1"/>
  <c r="AZ369" i="15" s="1"/>
  <c r="AD369" i="15"/>
  <c r="AH369" i="15" s="1"/>
  <c r="AU369" i="15"/>
  <c r="AU237" i="15"/>
  <c r="AD237" i="15"/>
  <c r="AH237" i="15" s="1"/>
  <c r="AF237" i="15"/>
  <c r="AY237" i="15" s="1"/>
  <c r="AZ237" i="15" s="1"/>
  <c r="AU452" i="15"/>
  <c r="AD452" i="15"/>
  <c r="AH452" i="15" s="1"/>
  <c r="AF452" i="15"/>
  <c r="AY452" i="15" s="1"/>
  <c r="AZ452" i="15" s="1"/>
  <c r="AF386" i="15"/>
  <c r="AY386" i="15" s="1"/>
  <c r="AZ386" i="15" s="1"/>
  <c r="AD386" i="15"/>
  <c r="AH386" i="15" s="1"/>
  <c r="AU386" i="15"/>
  <c r="AU320" i="15"/>
  <c r="AF320" i="15"/>
  <c r="AY320" i="15" s="1"/>
  <c r="AZ320" i="15" s="1"/>
  <c r="AD320" i="15"/>
  <c r="AH320" i="15" s="1"/>
  <c r="AU427" i="15"/>
  <c r="AD427" i="15"/>
  <c r="AH427" i="15" s="1"/>
  <c r="AF427" i="15"/>
  <c r="AY427" i="15" s="1"/>
  <c r="AZ427" i="15" s="1"/>
  <c r="AD251" i="15"/>
  <c r="AH251" i="15" s="1"/>
  <c r="AU251" i="15"/>
  <c r="AF251" i="15"/>
  <c r="AY251" i="15" s="1"/>
  <c r="AZ251" i="15" s="1"/>
  <c r="AU491" i="15"/>
  <c r="AD491" i="15"/>
  <c r="AH491" i="15" s="1"/>
  <c r="AF491" i="15"/>
  <c r="AY491" i="15" s="1"/>
  <c r="AZ491" i="15" s="1"/>
  <c r="AU469" i="15"/>
  <c r="AD469" i="15"/>
  <c r="AH469" i="15" s="1"/>
  <c r="AF469" i="15"/>
  <c r="AY469" i="15" s="1"/>
  <c r="AZ469" i="15" s="1"/>
  <c r="AD447" i="15"/>
  <c r="AH447" i="15" s="1"/>
  <c r="AU447" i="15"/>
  <c r="AF447" i="15"/>
  <c r="AY447" i="15" s="1"/>
  <c r="AZ447" i="15" s="1"/>
  <c r="AU425" i="15"/>
  <c r="AD425" i="15"/>
  <c r="AH425" i="15" s="1"/>
  <c r="AF425" i="15"/>
  <c r="AY425" i="15" s="1"/>
  <c r="AZ425" i="15" s="1"/>
  <c r="AD403" i="15"/>
  <c r="AH403" i="15" s="1"/>
  <c r="AU403" i="15"/>
  <c r="AF403" i="15"/>
  <c r="AY403" i="15" s="1"/>
  <c r="AZ403" i="15" s="1"/>
  <c r="AD381" i="15"/>
  <c r="AH381" i="15" s="1"/>
  <c r="AU381" i="15"/>
  <c r="AF381" i="15"/>
  <c r="AY381" i="15" s="1"/>
  <c r="AZ381" i="15" s="1"/>
  <c r="AD359" i="15"/>
  <c r="AH359" i="15" s="1"/>
  <c r="AU359" i="15"/>
  <c r="AF359" i="15"/>
  <c r="AY359" i="15" s="1"/>
  <c r="AZ359" i="15" s="1"/>
  <c r="AD337" i="15"/>
  <c r="AH337" i="15" s="1"/>
  <c r="AU337" i="15"/>
  <c r="AF337" i="15"/>
  <c r="AY337" i="15" s="1"/>
  <c r="AZ337" i="15" s="1"/>
  <c r="AU315" i="15"/>
  <c r="AD315" i="15"/>
  <c r="AH315" i="15" s="1"/>
  <c r="AF315" i="15"/>
  <c r="AY315" i="15" s="1"/>
  <c r="AZ315" i="15" s="1"/>
  <c r="AU293" i="15"/>
  <c r="AD293" i="15"/>
  <c r="AH293" i="15" s="1"/>
  <c r="AF293" i="15"/>
  <c r="AY293" i="15" s="1"/>
  <c r="AZ293" i="15" s="1"/>
  <c r="AD271" i="15"/>
  <c r="AH271" i="15" s="1"/>
  <c r="AU271" i="15"/>
  <c r="AF271" i="15"/>
  <c r="AY271" i="15" s="1"/>
  <c r="AZ271" i="15" s="1"/>
  <c r="AD249" i="15"/>
  <c r="AH249" i="15" s="1"/>
  <c r="AU249" i="15"/>
  <c r="AF249" i="15"/>
  <c r="AY249" i="15" s="1"/>
  <c r="AZ249" i="15" s="1"/>
  <c r="AU227" i="15"/>
  <c r="AD227" i="15"/>
  <c r="AH227" i="15" s="1"/>
  <c r="AF227" i="15"/>
  <c r="AY227" i="15" s="1"/>
  <c r="AZ227" i="15" s="1"/>
  <c r="AU205" i="15"/>
  <c r="AD205" i="15"/>
  <c r="AH205" i="15" s="1"/>
  <c r="AF205" i="15"/>
  <c r="AY205" i="15" s="1"/>
  <c r="AZ205" i="15" s="1"/>
  <c r="AU183" i="15"/>
  <c r="AF183" i="15"/>
  <c r="AY183" i="15" s="1"/>
  <c r="AZ183" i="15" s="1"/>
  <c r="AD183" i="15"/>
  <c r="AH183" i="15" s="1"/>
  <c r="AD161" i="15"/>
  <c r="AH161" i="15" s="1"/>
  <c r="AF161" i="15"/>
  <c r="AY161" i="15" s="1"/>
  <c r="AZ161" i="15" s="1"/>
  <c r="AU161" i="15"/>
  <c r="AD459" i="15"/>
  <c r="AH459" i="15" s="1"/>
  <c r="AU459" i="15"/>
  <c r="AF459" i="15"/>
  <c r="AY459" i="15" s="1"/>
  <c r="AZ459" i="15" s="1"/>
  <c r="AU261" i="15"/>
  <c r="AD261" i="15"/>
  <c r="AH261" i="15" s="1"/>
  <c r="AF261" i="15"/>
  <c r="AY261" i="15" s="1"/>
  <c r="AZ261" i="15" s="1"/>
  <c r="AF453" i="15"/>
  <c r="AY453" i="15" s="1"/>
  <c r="AZ453" i="15" s="1"/>
  <c r="AD453" i="15"/>
  <c r="AH453" i="15" s="1"/>
  <c r="AU453" i="15"/>
  <c r="AD431" i="15"/>
  <c r="AH431" i="15" s="1"/>
  <c r="AU431" i="15"/>
  <c r="AF431" i="15"/>
  <c r="AY431" i="15" s="1"/>
  <c r="AZ431" i="15" s="1"/>
  <c r="AU387" i="15"/>
  <c r="AD387" i="15"/>
  <c r="AH387" i="15" s="1"/>
  <c r="AF387" i="15"/>
  <c r="AY387" i="15" s="1"/>
  <c r="AZ387" i="15" s="1"/>
  <c r="AD343" i="15"/>
  <c r="AH343" i="15" s="1"/>
  <c r="AU343" i="15"/>
  <c r="AF343" i="15"/>
  <c r="AY343" i="15" s="1"/>
  <c r="AZ343" i="15" s="1"/>
  <c r="AF321" i="15"/>
  <c r="AY321" i="15" s="1"/>
  <c r="AZ321" i="15" s="1"/>
  <c r="AU321" i="15"/>
  <c r="AD321" i="15"/>
  <c r="AH321" i="15" s="1"/>
  <c r="AD277" i="15"/>
  <c r="AH277" i="15" s="1"/>
  <c r="AF277" i="15"/>
  <c r="AY277" i="15" s="1"/>
  <c r="AZ277" i="15" s="1"/>
  <c r="AU277" i="15"/>
  <c r="AD233" i="15"/>
  <c r="AH233" i="15" s="1"/>
  <c r="AU233" i="15"/>
  <c r="AF233" i="15"/>
  <c r="AY233" i="15" s="1"/>
  <c r="AZ233" i="15" s="1"/>
  <c r="AD189" i="15"/>
  <c r="AH189" i="15" s="1"/>
  <c r="AU189" i="15"/>
  <c r="AF189" i="15"/>
  <c r="AY189" i="15" s="1"/>
  <c r="AZ189" i="15" s="1"/>
  <c r="AD493" i="15"/>
  <c r="AH493" i="15" s="1"/>
  <c r="AF493" i="15"/>
  <c r="AY493" i="15" s="1"/>
  <c r="AZ493" i="15" s="1"/>
  <c r="AU493" i="15"/>
  <c r="AD383" i="15"/>
  <c r="AH383" i="15" s="1"/>
  <c r="AF383" i="15"/>
  <c r="AY383" i="15" s="1"/>
  <c r="AZ383" i="15" s="1"/>
  <c r="AU383" i="15"/>
  <c r="AU273" i="15"/>
  <c r="AD273" i="15"/>
  <c r="AH273" i="15" s="1"/>
  <c r="AF273" i="15"/>
  <c r="AY273" i="15" s="1"/>
  <c r="AZ273" i="15" s="1"/>
  <c r="AU163" i="15"/>
  <c r="AD163" i="15"/>
  <c r="AH163" i="15" s="1"/>
  <c r="AF163" i="15"/>
  <c r="AY163" i="15" s="1"/>
  <c r="AZ163" i="15" s="1"/>
  <c r="AD490" i="15"/>
  <c r="AH490" i="15" s="1"/>
  <c r="AU490" i="15"/>
  <c r="AF490" i="15"/>
  <c r="AY490" i="15" s="1"/>
  <c r="AZ490" i="15" s="1"/>
  <c r="AD468" i="15"/>
  <c r="AH468" i="15" s="1"/>
  <c r="AU468" i="15"/>
  <c r="AF468" i="15"/>
  <c r="AY468" i="15" s="1"/>
  <c r="AZ468" i="15" s="1"/>
  <c r="AD446" i="15"/>
  <c r="AH446" i="15" s="1"/>
  <c r="AU446" i="15"/>
  <c r="AF446" i="15"/>
  <c r="AY446" i="15" s="1"/>
  <c r="AZ446" i="15" s="1"/>
  <c r="AD424" i="15"/>
  <c r="AH424" i="15" s="1"/>
  <c r="AU424" i="15"/>
  <c r="AF424" i="15"/>
  <c r="AY424" i="15" s="1"/>
  <c r="AZ424" i="15" s="1"/>
  <c r="AD402" i="15"/>
  <c r="AH402" i="15" s="1"/>
  <c r="AU402" i="15"/>
  <c r="AF402" i="15"/>
  <c r="AY402" i="15" s="1"/>
  <c r="AZ402" i="15" s="1"/>
  <c r="AD380" i="15"/>
  <c r="AH380" i="15" s="1"/>
  <c r="AF380" i="15"/>
  <c r="AY380" i="15" s="1"/>
  <c r="AZ380" i="15" s="1"/>
  <c r="AU380" i="15"/>
  <c r="AU358" i="15"/>
  <c r="AD358" i="15"/>
  <c r="AH358" i="15" s="1"/>
  <c r="AF358" i="15"/>
  <c r="AY358" i="15" s="1"/>
  <c r="AZ358" i="15" s="1"/>
  <c r="AD336" i="15"/>
  <c r="AH336" i="15" s="1"/>
  <c r="AU336" i="15"/>
  <c r="AF336" i="15"/>
  <c r="AY336" i="15" s="1"/>
  <c r="AZ336" i="15" s="1"/>
  <c r="AF314" i="15"/>
  <c r="AY314" i="15" s="1"/>
  <c r="AZ314" i="15" s="1"/>
  <c r="AU314" i="15"/>
  <c r="AD314" i="15"/>
  <c r="AH314" i="15" s="1"/>
  <c r="AD292" i="15"/>
  <c r="AH292" i="15" s="1"/>
  <c r="AF292" i="15"/>
  <c r="AY292" i="15" s="1"/>
  <c r="AZ292" i="15" s="1"/>
  <c r="AU292" i="15"/>
  <c r="AD270" i="15"/>
  <c r="AH270" i="15" s="1"/>
  <c r="AU270" i="15"/>
  <c r="AF270" i="15"/>
  <c r="AY270" i="15" s="1"/>
  <c r="AZ270" i="15" s="1"/>
  <c r="AF248" i="15"/>
  <c r="AY248" i="15" s="1"/>
  <c r="AZ248" i="15" s="1"/>
  <c r="AU248" i="15"/>
  <c r="AD248" i="15"/>
  <c r="AH248" i="15" s="1"/>
  <c r="AU226" i="15"/>
  <c r="AD226" i="15"/>
  <c r="AH226" i="15" s="1"/>
  <c r="AF226" i="15"/>
  <c r="AY226" i="15" s="1"/>
  <c r="AZ226" i="15" s="1"/>
  <c r="AD204" i="15"/>
  <c r="AH204" i="15" s="1"/>
  <c r="AU204" i="15"/>
  <c r="AF204" i="15"/>
  <c r="AY204" i="15" s="1"/>
  <c r="AZ204" i="15" s="1"/>
  <c r="AD182" i="15"/>
  <c r="AH182" i="15" s="1"/>
  <c r="AU182" i="15"/>
  <c r="AF182" i="15"/>
  <c r="AY182" i="15" s="1"/>
  <c r="AZ182" i="15" s="1"/>
  <c r="AD160" i="15"/>
  <c r="AH160" i="15" s="1"/>
  <c r="AU160" i="15"/>
  <c r="AF160" i="15"/>
  <c r="AY160" i="15" s="1"/>
  <c r="AZ160" i="15" s="1"/>
  <c r="AU239" i="15"/>
  <c r="AD239" i="15"/>
  <c r="AH239" i="15" s="1"/>
  <c r="AF239" i="15"/>
  <c r="AY239" i="15" s="1"/>
  <c r="AZ239" i="15" s="1"/>
  <c r="AD472" i="15"/>
  <c r="AH472" i="15" s="1"/>
  <c r="AF472" i="15"/>
  <c r="AY472" i="15" s="1"/>
  <c r="AZ472" i="15" s="1"/>
  <c r="AU472" i="15"/>
  <c r="AD384" i="15"/>
  <c r="AH384" i="15" s="1"/>
  <c r="AF384" i="15"/>
  <c r="AY384" i="15" s="1"/>
  <c r="AZ384" i="15" s="1"/>
  <c r="AU384" i="15"/>
  <c r="AD318" i="15"/>
  <c r="AH318" i="15" s="1"/>
  <c r="AU318" i="15"/>
  <c r="AF318" i="15"/>
  <c r="AY318" i="15" s="1"/>
  <c r="AZ318" i="15" s="1"/>
  <c r="AD252" i="15"/>
  <c r="AH252" i="15" s="1"/>
  <c r="AU252" i="15"/>
  <c r="AF252" i="15"/>
  <c r="AY252" i="15" s="1"/>
  <c r="AZ252" i="15" s="1"/>
  <c r="AD186" i="15"/>
  <c r="AH186" i="15" s="1"/>
  <c r="AU186" i="15"/>
  <c r="AF186" i="15"/>
  <c r="AY186" i="15" s="1"/>
  <c r="AZ186" i="15" s="1"/>
  <c r="AD449" i="15"/>
  <c r="AH449" i="15" s="1"/>
  <c r="AU449" i="15"/>
  <c r="AF449" i="15"/>
  <c r="AY449" i="15" s="1"/>
  <c r="AZ449" i="15" s="1"/>
  <c r="AU185" i="15"/>
  <c r="AF185" i="15"/>
  <c r="AY185" i="15" s="1"/>
  <c r="AZ185" i="15" s="1"/>
  <c r="AD185" i="15"/>
  <c r="AH185" i="15" s="1"/>
  <c r="AU489" i="15"/>
  <c r="AD489" i="15"/>
  <c r="AH489" i="15" s="1"/>
  <c r="AF489" i="15"/>
  <c r="AY489" i="15" s="1"/>
  <c r="AZ489" i="15" s="1"/>
  <c r="AF467" i="15"/>
  <c r="AY467" i="15" s="1"/>
  <c r="AZ467" i="15" s="1"/>
  <c r="AD467" i="15"/>
  <c r="AH467" i="15" s="1"/>
  <c r="AU467" i="15"/>
  <c r="AD445" i="15"/>
  <c r="AH445" i="15" s="1"/>
  <c r="AU445" i="15"/>
  <c r="AF445" i="15"/>
  <c r="AY445" i="15" s="1"/>
  <c r="AZ445" i="15" s="1"/>
  <c r="AU423" i="15"/>
  <c r="AD423" i="15"/>
  <c r="AH423" i="15" s="1"/>
  <c r="AF423" i="15"/>
  <c r="AY423" i="15" s="1"/>
  <c r="AZ423" i="15" s="1"/>
  <c r="AD401" i="15"/>
  <c r="AH401" i="15" s="1"/>
  <c r="AF401" i="15"/>
  <c r="AY401" i="15" s="1"/>
  <c r="AZ401" i="15" s="1"/>
  <c r="AU401" i="15"/>
  <c r="AU379" i="15"/>
  <c r="AD379" i="15"/>
  <c r="AH379" i="15" s="1"/>
  <c r="AF379" i="15"/>
  <c r="AY379" i="15" s="1"/>
  <c r="AZ379" i="15" s="1"/>
  <c r="AD357" i="15"/>
  <c r="AH357" i="15" s="1"/>
  <c r="AF357" i="15"/>
  <c r="AY357" i="15" s="1"/>
  <c r="AZ357" i="15" s="1"/>
  <c r="AU357" i="15"/>
  <c r="AU335" i="15"/>
  <c r="AD335" i="15"/>
  <c r="AH335" i="15" s="1"/>
  <c r="AF335" i="15"/>
  <c r="AY335" i="15" s="1"/>
  <c r="AZ335" i="15" s="1"/>
  <c r="AU313" i="15"/>
  <c r="AD313" i="15"/>
  <c r="AH313" i="15" s="1"/>
  <c r="AF313" i="15"/>
  <c r="AY313" i="15" s="1"/>
  <c r="AZ313" i="15" s="1"/>
  <c r="AD291" i="15"/>
  <c r="AH291" i="15" s="1"/>
  <c r="AF291" i="15"/>
  <c r="AY291" i="15" s="1"/>
  <c r="AZ291" i="15" s="1"/>
  <c r="AU291" i="15"/>
  <c r="AD269" i="15"/>
  <c r="AH269" i="15" s="1"/>
  <c r="AU269" i="15"/>
  <c r="AF269" i="15"/>
  <c r="AY269" i="15" s="1"/>
  <c r="AZ269" i="15" s="1"/>
  <c r="AD247" i="15"/>
  <c r="AH247" i="15" s="1"/>
  <c r="AU247" i="15"/>
  <c r="AF247" i="15"/>
  <c r="AY247" i="15" s="1"/>
  <c r="AZ247" i="15" s="1"/>
  <c r="AD225" i="15"/>
  <c r="AH225" i="15" s="1"/>
  <c r="AU225" i="15"/>
  <c r="AF225" i="15"/>
  <c r="AY225" i="15" s="1"/>
  <c r="AZ225" i="15" s="1"/>
  <c r="AD203" i="15"/>
  <c r="AH203" i="15" s="1"/>
  <c r="AU203" i="15"/>
  <c r="AF203" i="15"/>
  <c r="AY203" i="15" s="1"/>
  <c r="AZ203" i="15" s="1"/>
  <c r="AD181" i="15"/>
  <c r="AH181" i="15" s="1"/>
  <c r="AU181" i="15"/>
  <c r="AF181" i="15"/>
  <c r="AY181" i="15" s="1"/>
  <c r="AZ181" i="15" s="1"/>
  <c r="AU159" i="15"/>
  <c r="AD159" i="15"/>
  <c r="AH159" i="15" s="1"/>
  <c r="AF159" i="15"/>
  <c r="AY159" i="15" s="1"/>
  <c r="AZ159" i="15" s="1"/>
  <c r="AD406" i="15"/>
  <c r="AH406" i="15" s="1"/>
  <c r="AF406" i="15"/>
  <c r="AY406" i="15" s="1"/>
  <c r="AZ406" i="15" s="1"/>
  <c r="AU406" i="15"/>
  <c r="AU296" i="15"/>
  <c r="AF296" i="15"/>
  <c r="AY296" i="15" s="1"/>
  <c r="AZ296" i="15" s="1"/>
  <c r="AD296" i="15"/>
  <c r="AH296" i="15" s="1"/>
  <c r="AD164" i="15"/>
  <c r="AH164" i="15" s="1"/>
  <c r="AU164" i="15"/>
  <c r="AF164" i="15"/>
  <c r="AY164" i="15" s="1"/>
  <c r="AZ164" i="15" s="1"/>
  <c r="AU339" i="15"/>
  <c r="AD339" i="15"/>
  <c r="AH339" i="15" s="1"/>
  <c r="AF339" i="15"/>
  <c r="AY339" i="15" s="1"/>
  <c r="AZ339" i="15" s="1"/>
  <c r="AU488" i="15"/>
  <c r="AD488" i="15"/>
  <c r="AH488" i="15" s="1"/>
  <c r="AF488" i="15"/>
  <c r="AY488" i="15" s="1"/>
  <c r="AZ488" i="15" s="1"/>
  <c r="AD466" i="15"/>
  <c r="AH466" i="15" s="1"/>
  <c r="AU466" i="15"/>
  <c r="AF466" i="15"/>
  <c r="AY466" i="15" s="1"/>
  <c r="AZ466" i="15" s="1"/>
  <c r="AU444" i="15"/>
  <c r="AD444" i="15"/>
  <c r="AH444" i="15" s="1"/>
  <c r="AF444" i="15"/>
  <c r="AY444" i="15" s="1"/>
  <c r="AZ444" i="15" s="1"/>
  <c r="AD422" i="15"/>
  <c r="AH422" i="15" s="1"/>
  <c r="AF422" i="15"/>
  <c r="AY422" i="15" s="1"/>
  <c r="AZ422" i="15" s="1"/>
  <c r="AU422" i="15"/>
  <c r="AD400" i="15"/>
  <c r="AH400" i="15" s="1"/>
  <c r="AU400" i="15"/>
  <c r="AF400" i="15"/>
  <c r="AY400" i="15" s="1"/>
  <c r="AZ400" i="15" s="1"/>
  <c r="AD378" i="15"/>
  <c r="AH378" i="15" s="1"/>
  <c r="AU378" i="15"/>
  <c r="AF378" i="15"/>
  <c r="AY378" i="15" s="1"/>
  <c r="AZ378" i="15" s="1"/>
  <c r="AD356" i="15"/>
  <c r="AH356" i="15" s="1"/>
  <c r="AU356" i="15"/>
  <c r="AF356" i="15"/>
  <c r="AY356" i="15" s="1"/>
  <c r="AZ356" i="15" s="1"/>
  <c r="AD334" i="15"/>
  <c r="AH334" i="15" s="1"/>
  <c r="AU334" i="15"/>
  <c r="AF334" i="15"/>
  <c r="AY334" i="15" s="1"/>
  <c r="AZ334" i="15" s="1"/>
  <c r="AD312" i="15"/>
  <c r="AH312" i="15" s="1"/>
  <c r="AU312" i="15"/>
  <c r="AF312" i="15"/>
  <c r="AY312" i="15" s="1"/>
  <c r="AZ312" i="15" s="1"/>
  <c r="AU290" i="15"/>
  <c r="AD290" i="15"/>
  <c r="AH290" i="15" s="1"/>
  <c r="AF290" i="15"/>
  <c r="AY290" i="15" s="1"/>
  <c r="AZ290" i="15" s="1"/>
  <c r="AU268" i="15"/>
  <c r="AD268" i="15"/>
  <c r="AH268" i="15" s="1"/>
  <c r="AF268" i="15"/>
  <c r="AY268" i="15" s="1"/>
  <c r="AZ268" i="15" s="1"/>
  <c r="AD246" i="15"/>
  <c r="AH246" i="15" s="1"/>
  <c r="AU246" i="15"/>
  <c r="AF246" i="15"/>
  <c r="AY246" i="15" s="1"/>
  <c r="AZ246" i="15" s="1"/>
  <c r="AU224" i="15"/>
  <c r="AD224" i="15"/>
  <c r="AH224" i="15" s="1"/>
  <c r="AF224" i="15"/>
  <c r="AY224" i="15" s="1"/>
  <c r="AZ224" i="15" s="1"/>
  <c r="AD202" i="15"/>
  <c r="AH202" i="15" s="1"/>
  <c r="AU202" i="15"/>
  <c r="AF202" i="15"/>
  <c r="AY202" i="15" s="1"/>
  <c r="AZ202" i="15" s="1"/>
  <c r="AU180" i="15"/>
  <c r="AF180" i="15"/>
  <c r="AY180" i="15" s="1"/>
  <c r="AZ180" i="15" s="1"/>
  <c r="AD180" i="15"/>
  <c r="AH180" i="15" s="1"/>
  <c r="AU158" i="15"/>
  <c r="AD158" i="15"/>
  <c r="AH158" i="15" s="1"/>
  <c r="AF158" i="15"/>
  <c r="AY158" i="15" s="1"/>
  <c r="AZ158" i="15" s="1"/>
  <c r="AD437" i="15"/>
  <c r="AH437" i="15" s="1"/>
  <c r="AU437" i="15"/>
  <c r="AF437" i="15"/>
  <c r="AY437" i="15" s="1"/>
  <c r="AZ437" i="15" s="1"/>
  <c r="AD428" i="15"/>
  <c r="AH428" i="15" s="1"/>
  <c r="AU428" i="15"/>
  <c r="AF428" i="15"/>
  <c r="AY428" i="15" s="1"/>
  <c r="AZ428" i="15" s="1"/>
  <c r="AD340" i="15"/>
  <c r="AH340" i="15" s="1"/>
  <c r="AU340" i="15"/>
  <c r="AF340" i="15"/>
  <c r="AY340" i="15" s="1"/>
  <c r="AZ340" i="15" s="1"/>
  <c r="AD274" i="15"/>
  <c r="AH274" i="15" s="1"/>
  <c r="AU274" i="15"/>
  <c r="AF274" i="15"/>
  <c r="AY274" i="15" s="1"/>
  <c r="AZ274" i="15" s="1"/>
  <c r="AD361" i="15"/>
  <c r="AH361" i="15" s="1"/>
  <c r="AU361" i="15"/>
  <c r="AF361" i="15"/>
  <c r="AY361" i="15" s="1"/>
  <c r="AZ361" i="15" s="1"/>
  <c r="AU487" i="15"/>
  <c r="AD487" i="15"/>
  <c r="AH487" i="15" s="1"/>
  <c r="AF487" i="15"/>
  <c r="AY487" i="15" s="1"/>
  <c r="AZ487" i="15" s="1"/>
  <c r="AU465" i="15"/>
  <c r="AF465" i="15"/>
  <c r="AY465" i="15" s="1"/>
  <c r="AZ465" i="15" s="1"/>
  <c r="AD465" i="15"/>
  <c r="AH465" i="15" s="1"/>
  <c r="AF443" i="15"/>
  <c r="AY443" i="15" s="1"/>
  <c r="AZ443" i="15" s="1"/>
  <c r="AD443" i="15"/>
  <c r="AH443" i="15" s="1"/>
  <c r="AU443" i="15"/>
  <c r="AU421" i="15"/>
  <c r="AD421" i="15"/>
  <c r="AH421" i="15" s="1"/>
  <c r="AF421" i="15"/>
  <c r="AY421" i="15" s="1"/>
  <c r="AZ421" i="15" s="1"/>
  <c r="AU399" i="15"/>
  <c r="AD399" i="15"/>
  <c r="AH399" i="15" s="1"/>
  <c r="AF399" i="15"/>
  <c r="AY399" i="15" s="1"/>
  <c r="AZ399" i="15" s="1"/>
  <c r="AD377" i="15"/>
  <c r="AH377" i="15" s="1"/>
  <c r="AU377" i="15"/>
  <c r="AF377" i="15"/>
  <c r="AY377" i="15" s="1"/>
  <c r="AZ377" i="15" s="1"/>
  <c r="AD355" i="15"/>
  <c r="AH355" i="15" s="1"/>
  <c r="AU355" i="15"/>
  <c r="AF355" i="15"/>
  <c r="AY355" i="15" s="1"/>
  <c r="AZ355" i="15" s="1"/>
  <c r="AU333" i="15"/>
  <c r="AF333" i="15"/>
  <c r="AY333" i="15" s="1"/>
  <c r="AZ333" i="15" s="1"/>
  <c r="AD333" i="15"/>
  <c r="AH333" i="15" s="1"/>
  <c r="AD311" i="15"/>
  <c r="AH311" i="15" s="1"/>
  <c r="AU311" i="15"/>
  <c r="AF311" i="15"/>
  <c r="AY311" i="15" s="1"/>
  <c r="AZ311" i="15" s="1"/>
  <c r="AU289" i="15"/>
  <c r="AF289" i="15"/>
  <c r="AY289" i="15" s="1"/>
  <c r="AZ289" i="15" s="1"/>
  <c r="AD289" i="15"/>
  <c r="AH289" i="15" s="1"/>
  <c r="AD267" i="15"/>
  <c r="AH267" i="15" s="1"/>
  <c r="AU267" i="15"/>
  <c r="AF267" i="15"/>
  <c r="AY267" i="15" s="1"/>
  <c r="AZ267" i="15" s="1"/>
  <c r="AD245" i="15"/>
  <c r="AH245" i="15" s="1"/>
  <c r="AU245" i="15"/>
  <c r="AF245" i="15"/>
  <c r="AY245" i="15" s="1"/>
  <c r="AZ245" i="15" s="1"/>
  <c r="AD223" i="15"/>
  <c r="AH223" i="15" s="1"/>
  <c r="AU223" i="15"/>
  <c r="AF223" i="15"/>
  <c r="AY223" i="15" s="1"/>
  <c r="AZ223" i="15" s="1"/>
  <c r="AU201" i="15"/>
  <c r="AD201" i="15"/>
  <c r="AH201" i="15" s="1"/>
  <c r="AF201" i="15"/>
  <c r="AY201" i="15" s="1"/>
  <c r="AZ201" i="15" s="1"/>
  <c r="AD179" i="15"/>
  <c r="AH179" i="15" s="1"/>
  <c r="AU179" i="15"/>
  <c r="AF179" i="15"/>
  <c r="AY179" i="15" s="1"/>
  <c r="AZ179" i="15" s="1"/>
  <c r="AF157" i="15"/>
  <c r="AY157" i="15" s="1"/>
  <c r="AZ157" i="15" s="1"/>
  <c r="AU157" i="15"/>
  <c r="AD157" i="15"/>
  <c r="AH157" i="15" s="1"/>
  <c r="AD393" i="15"/>
  <c r="AH393" i="15" s="1"/>
  <c r="AU393" i="15"/>
  <c r="AF393" i="15"/>
  <c r="AY393" i="15" s="1"/>
  <c r="AZ393" i="15" s="1"/>
  <c r="AU173" i="15"/>
  <c r="AD173" i="15"/>
  <c r="AH173" i="15" s="1"/>
  <c r="AF173" i="15"/>
  <c r="AY173" i="15" s="1"/>
  <c r="AZ173" i="15" s="1"/>
  <c r="AU457" i="15"/>
  <c r="AD457" i="15"/>
  <c r="AH457" i="15" s="1"/>
  <c r="AF457" i="15"/>
  <c r="AY457" i="15" s="1"/>
  <c r="AZ457" i="15" s="1"/>
  <c r="AD325" i="15"/>
  <c r="AH325" i="15" s="1"/>
  <c r="AU325" i="15"/>
  <c r="AF325" i="15"/>
  <c r="AY325" i="15" s="1"/>
  <c r="AZ325" i="15" s="1"/>
  <c r="AU405" i="15"/>
  <c r="AF405" i="15"/>
  <c r="AY405" i="15" s="1"/>
  <c r="AZ405" i="15" s="1"/>
  <c r="AD405" i="15"/>
  <c r="AH405" i="15" s="1"/>
  <c r="AU486" i="15"/>
  <c r="AD486" i="15"/>
  <c r="AH486" i="15" s="1"/>
  <c r="AF486" i="15"/>
  <c r="AY486" i="15" s="1"/>
  <c r="AZ486" i="15" s="1"/>
  <c r="AU464" i="15"/>
  <c r="AD464" i="15"/>
  <c r="AH464" i="15" s="1"/>
  <c r="AF464" i="15"/>
  <c r="AY464" i="15" s="1"/>
  <c r="AZ464" i="15" s="1"/>
  <c r="AU442" i="15"/>
  <c r="AD442" i="15"/>
  <c r="AH442" i="15" s="1"/>
  <c r="AF442" i="15"/>
  <c r="AY442" i="15" s="1"/>
  <c r="AZ442" i="15" s="1"/>
  <c r="AD420" i="15"/>
  <c r="AH420" i="15" s="1"/>
  <c r="AU420" i="15"/>
  <c r="AF420" i="15"/>
  <c r="AY420" i="15" s="1"/>
  <c r="AZ420" i="15" s="1"/>
  <c r="AD398" i="15"/>
  <c r="AH398" i="15" s="1"/>
  <c r="AU398" i="15"/>
  <c r="AF398" i="15"/>
  <c r="AY398" i="15" s="1"/>
  <c r="AZ398" i="15" s="1"/>
  <c r="AU376" i="15"/>
  <c r="AD376" i="15"/>
  <c r="AH376" i="15" s="1"/>
  <c r="AF376" i="15"/>
  <c r="AY376" i="15" s="1"/>
  <c r="AZ376" i="15" s="1"/>
  <c r="AD354" i="15"/>
  <c r="AH354" i="15" s="1"/>
  <c r="AU354" i="15"/>
  <c r="AF354" i="15"/>
  <c r="AY354" i="15" s="1"/>
  <c r="AZ354" i="15" s="1"/>
  <c r="AD332" i="15"/>
  <c r="AH332" i="15" s="1"/>
  <c r="AU332" i="15"/>
  <c r="AF332" i="15"/>
  <c r="AY332" i="15" s="1"/>
  <c r="AZ332" i="15" s="1"/>
  <c r="AU310" i="15"/>
  <c r="AD310" i="15"/>
  <c r="AH310" i="15" s="1"/>
  <c r="AF310" i="15"/>
  <c r="AY310" i="15" s="1"/>
  <c r="AZ310" i="15" s="1"/>
  <c r="AD288" i="15"/>
  <c r="AH288" i="15" s="1"/>
  <c r="AU288" i="15"/>
  <c r="AF288" i="15"/>
  <c r="AY288" i="15" s="1"/>
  <c r="AZ288" i="15" s="1"/>
  <c r="AU266" i="15"/>
  <c r="AD266" i="15"/>
  <c r="AH266" i="15" s="1"/>
  <c r="AF266" i="15"/>
  <c r="AY266" i="15" s="1"/>
  <c r="AZ266" i="15" s="1"/>
  <c r="AU244" i="15"/>
  <c r="AF244" i="15"/>
  <c r="AY244" i="15" s="1"/>
  <c r="AZ244" i="15" s="1"/>
  <c r="AD244" i="15"/>
  <c r="AH244" i="15" s="1"/>
  <c r="AD222" i="15"/>
  <c r="AH222" i="15" s="1"/>
  <c r="AU222" i="15"/>
  <c r="AF222" i="15"/>
  <c r="AY222" i="15" s="1"/>
  <c r="AZ222" i="15" s="1"/>
  <c r="AD200" i="15"/>
  <c r="AH200" i="15" s="1"/>
  <c r="AU200" i="15"/>
  <c r="AF200" i="15"/>
  <c r="AY200" i="15" s="1"/>
  <c r="AZ200" i="15" s="1"/>
  <c r="AF178" i="15"/>
  <c r="AY178" i="15" s="1"/>
  <c r="AZ178" i="15" s="1"/>
  <c r="AU178" i="15"/>
  <c r="AD178" i="15"/>
  <c r="AH178" i="15" s="1"/>
  <c r="AD156" i="15"/>
  <c r="AH156" i="15" s="1"/>
  <c r="AU156" i="15"/>
  <c r="AF156" i="15"/>
  <c r="AY156" i="15" s="1"/>
  <c r="AZ156" i="15" s="1"/>
  <c r="AD281" i="15"/>
  <c r="AH281" i="15" s="1"/>
  <c r="AU281" i="15"/>
  <c r="AF281" i="15"/>
  <c r="AY281" i="15" s="1"/>
  <c r="AZ281" i="15" s="1"/>
  <c r="AF430" i="15"/>
  <c r="AY430" i="15" s="1"/>
  <c r="AZ430" i="15" s="1"/>
  <c r="AD430" i="15"/>
  <c r="AH430" i="15" s="1"/>
  <c r="AU430" i="15"/>
  <c r="AD342" i="15"/>
  <c r="AH342" i="15" s="1"/>
  <c r="AU342" i="15"/>
  <c r="AF342" i="15"/>
  <c r="AY342" i="15" s="1"/>
  <c r="AZ342" i="15" s="1"/>
  <c r="AD276" i="15"/>
  <c r="AH276" i="15" s="1"/>
  <c r="AU276" i="15"/>
  <c r="AF276" i="15"/>
  <c r="AY276" i="15" s="1"/>
  <c r="AZ276" i="15" s="1"/>
  <c r="AU188" i="15"/>
  <c r="AD188" i="15"/>
  <c r="AH188" i="15" s="1"/>
  <c r="AF188" i="15"/>
  <c r="AY188" i="15" s="1"/>
  <c r="AZ188" i="15" s="1"/>
  <c r="AU450" i="15"/>
  <c r="AF450" i="15"/>
  <c r="AY450" i="15" s="1"/>
  <c r="AZ450" i="15" s="1"/>
  <c r="AD450" i="15"/>
  <c r="AH450" i="15" s="1"/>
  <c r="AD230" i="15"/>
  <c r="AH230" i="15" s="1"/>
  <c r="AU230" i="15"/>
  <c r="AF230" i="15"/>
  <c r="AY230" i="15" s="1"/>
  <c r="AZ230" i="15" s="1"/>
  <c r="AD207" i="15"/>
  <c r="AH207" i="15" s="1"/>
  <c r="AU207" i="15"/>
  <c r="AF207" i="15"/>
  <c r="AY207" i="15" s="1"/>
  <c r="AZ207" i="15" s="1"/>
  <c r="AU485" i="15"/>
  <c r="AD485" i="15"/>
  <c r="AH485" i="15" s="1"/>
  <c r="AF485" i="15"/>
  <c r="AY485" i="15" s="1"/>
  <c r="AZ485" i="15" s="1"/>
  <c r="AD463" i="15"/>
  <c r="AH463" i="15" s="1"/>
  <c r="AF463" i="15"/>
  <c r="AY463" i="15" s="1"/>
  <c r="AZ463" i="15" s="1"/>
  <c r="AU463" i="15"/>
  <c r="AF441" i="15"/>
  <c r="AY441" i="15" s="1"/>
  <c r="AZ441" i="15" s="1"/>
  <c r="AD441" i="15"/>
  <c r="AH441" i="15" s="1"/>
  <c r="AU441" i="15"/>
  <c r="AD419" i="15"/>
  <c r="AH419" i="15" s="1"/>
  <c r="AF419" i="15"/>
  <c r="AY419" i="15" s="1"/>
  <c r="AZ419" i="15" s="1"/>
  <c r="AU419" i="15"/>
  <c r="AF397" i="15"/>
  <c r="AY397" i="15" s="1"/>
  <c r="AZ397" i="15" s="1"/>
  <c r="AD397" i="15"/>
  <c r="AH397" i="15" s="1"/>
  <c r="AU397" i="15"/>
  <c r="AD375" i="15"/>
  <c r="AH375" i="15" s="1"/>
  <c r="AU375" i="15"/>
  <c r="AF375" i="15"/>
  <c r="AY375" i="15" s="1"/>
  <c r="AZ375" i="15" s="1"/>
  <c r="AD353" i="15"/>
  <c r="AH353" i="15" s="1"/>
  <c r="AU353" i="15"/>
  <c r="AF353" i="15"/>
  <c r="AY353" i="15" s="1"/>
  <c r="AZ353" i="15" s="1"/>
  <c r="AU331" i="15"/>
  <c r="AD331" i="15"/>
  <c r="AH331" i="15" s="1"/>
  <c r="AF331" i="15"/>
  <c r="AY331" i="15" s="1"/>
  <c r="AZ331" i="15" s="1"/>
  <c r="AU309" i="15"/>
  <c r="AD309" i="15"/>
  <c r="AH309" i="15" s="1"/>
  <c r="AF309" i="15"/>
  <c r="AY309" i="15" s="1"/>
  <c r="AZ309" i="15" s="1"/>
  <c r="AD287" i="15"/>
  <c r="AH287" i="15" s="1"/>
  <c r="AU287" i="15"/>
  <c r="AF287" i="15"/>
  <c r="AY287" i="15" s="1"/>
  <c r="AZ287" i="15" s="1"/>
  <c r="AD265" i="15"/>
  <c r="AH265" i="15" s="1"/>
  <c r="AF265" i="15"/>
  <c r="AY265" i="15" s="1"/>
  <c r="AZ265" i="15" s="1"/>
  <c r="AU265" i="15"/>
  <c r="AD243" i="15"/>
  <c r="AH243" i="15" s="1"/>
  <c r="AU243" i="15"/>
  <c r="AF243" i="15"/>
  <c r="AY243" i="15" s="1"/>
  <c r="AZ243" i="15" s="1"/>
  <c r="AD221" i="15"/>
  <c r="AH221" i="15" s="1"/>
  <c r="AU221" i="15"/>
  <c r="AF221" i="15"/>
  <c r="AY221" i="15" s="1"/>
  <c r="AZ221" i="15" s="1"/>
  <c r="AD199" i="15"/>
  <c r="AH199" i="15" s="1"/>
  <c r="AU199" i="15"/>
  <c r="AF199" i="15"/>
  <c r="AY199" i="15" s="1"/>
  <c r="AZ199" i="15" s="1"/>
  <c r="AD177" i="15"/>
  <c r="AH177" i="15" s="1"/>
  <c r="AU177" i="15"/>
  <c r="AF177" i="15"/>
  <c r="AY177" i="15" s="1"/>
  <c r="AZ177" i="15" s="1"/>
  <c r="AU155" i="15"/>
  <c r="AD155" i="15"/>
  <c r="AH155" i="15" s="1"/>
  <c r="AF155" i="15"/>
  <c r="AY155" i="15" s="1"/>
  <c r="AZ155" i="15" s="1"/>
  <c r="AU151" i="15"/>
  <c r="AD151" i="15"/>
  <c r="AH151" i="15" s="1"/>
  <c r="AF151" i="15"/>
  <c r="AY151" i="15" s="1"/>
  <c r="AZ151" i="15" s="1"/>
  <c r="AF413" i="15"/>
  <c r="AY413" i="15" s="1"/>
  <c r="AZ413" i="15" s="1"/>
  <c r="AD413" i="15"/>
  <c r="AH413" i="15" s="1"/>
  <c r="AU413" i="15"/>
  <c r="AU415" i="15"/>
  <c r="AD415" i="15"/>
  <c r="AH415" i="15" s="1"/>
  <c r="AF415" i="15"/>
  <c r="AY415" i="15" s="1"/>
  <c r="AZ415" i="15" s="1"/>
  <c r="AD305" i="15"/>
  <c r="AH305" i="15" s="1"/>
  <c r="AF305" i="15"/>
  <c r="AY305" i="15" s="1"/>
  <c r="AZ305" i="15" s="1"/>
  <c r="AU305" i="15"/>
  <c r="AU484" i="15"/>
  <c r="AD484" i="15"/>
  <c r="AH484" i="15" s="1"/>
  <c r="AF484" i="15"/>
  <c r="AY484" i="15" s="1"/>
  <c r="AZ484" i="15" s="1"/>
  <c r="AF462" i="15"/>
  <c r="AY462" i="15" s="1"/>
  <c r="AZ462" i="15" s="1"/>
  <c r="AU462" i="15"/>
  <c r="AD462" i="15"/>
  <c r="AH462" i="15" s="1"/>
  <c r="AD418" i="15"/>
  <c r="AH418" i="15" s="1"/>
  <c r="AF418" i="15"/>
  <c r="AY418" i="15" s="1"/>
  <c r="AZ418" i="15" s="1"/>
  <c r="AU418" i="15"/>
  <c r="AD374" i="15"/>
  <c r="AH374" i="15" s="1"/>
  <c r="AU374" i="15"/>
  <c r="AF374" i="15"/>
  <c r="AY374" i="15" s="1"/>
  <c r="AZ374" i="15" s="1"/>
  <c r="AD352" i="15"/>
  <c r="AH352" i="15" s="1"/>
  <c r="AU352" i="15"/>
  <c r="AF352" i="15"/>
  <c r="AY352" i="15" s="1"/>
  <c r="AZ352" i="15" s="1"/>
  <c r="AF330" i="15"/>
  <c r="AY330" i="15" s="1"/>
  <c r="AZ330" i="15" s="1"/>
  <c r="AD330" i="15"/>
  <c r="AH330" i="15" s="1"/>
  <c r="AU330" i="15"/>
  <c r="AD308" i="15"/>
  <c r="AH308" i="15" s="1"/>
  <c r="AF308" i="15"/>
  <c r="AY308" i="15" s="1"/>
  <c r="AZ308" i="15" s="1"/>
  <c r="AU308" i="15"/>
  <c r="AD286" i="15"/>
  <c r="AH286" i="15" s="1"/>
  <c r="AF286" i="15"/>
  <c r="AY286" i="15" s="1"/>
  <c r="AZ286" i="15" s="1"/>
  <c r="AU286" i="15"/>
  <c r="AU242" i="15"/>
  <c r="AF242" i="15"/>
  <c r="AY242" i="15" s="1"/>
  <c r="AZ242" i="15" s="1"/>
  <c r="AD242" i="15"/>
  <c r="AH242" i="15" s="1"/>
  <c r="AD220" i="15"/>
  <c r="AH220" i="15" s="1"/>
  <c r="AF220" i="15"/>
  <c r="AY220" i="15" s="1"/>
  <c r="AZ220" i="15" s="1"/>
  <c r="AU220" i="15"/>
  <c r="AU198" i="15"/>
  <c r="AD198" i="15"/>
  <c r="AH198" i="15" s="1"/>
  <c r="AF198" i="15"/>
  <c r="AY198" i="15" s="1"/>
  <c r="AZ198" i="15" s="1"/>
  <c r="AD176" i="15"/>
  <c r="AH176" i="15" s="1"/>
  <c r="AU176" i="15"/>
  <c r="AF176" i="15"/>
  <c r="AY176" i="15" s="1"/>
  <c r="AZ176" i="15" s="1"/>
  <c r="AU154" i="15"/>
  <c r="AF154" i="15"/>
  <c r="AY154" i="15" s="1"/>
  <c r="AZ154" i="15" s="1"/>
  <c r="AD154" i="15"/>
  <c r="AH154" i="15" s="1"/>
  <c r="AF483" i="15"/>
  <c r="AY483" i="15" s="1"/>
  <c r="AZ483" i="15" s="1"/>
  <c r="AU483" i="15"/>
  <c r="AD483" i="15"/>
  <c r="AH483" i="15" s="1"/>
  <c r="AD461" i="15"/>
  <c r="AH461" i="15" s="1"/>
  <c r="AU461" i="15"/>
  <c r="AF461" i="15"/>
  <c r="AY461" i="15" s="1"/>
  <c r="AZ461" i="15" s="1"/>
  <c r="AU439" i="15"/>
  <c r="AF439" i="15"/>
  <c r="AY439" i="15" s="1"/>
  <c r="AZ439" i="15" s="1"/>
  <c r="AD439" i="15"/>
  <c r="AH439" i="15" s="1"/>
  <c r="AU417" i="15"/>
  <c r="AF417" i="15"/>
  <c r="AY417" i="15" s="1"/>
  <c r="AZ417" i="15" s="1"/>
  <c r="AD417" i="15"/>
  <c r="AH417" i="15" s="1"/>
  <c r="AF395" i="15"/>
  <c r="AY395" i="15" s="1"/>
  <c r="AZ395" i="15" s="1"/>
  <c r="AD395" i="15"/>
  <c r="AH395" i="15" s="1"/>
  <c r="AU395" i="15"/>
  <c r="AD373" i="15"/>
  <c r="AH373" i="15" s="1"/>
  <c r="AU373" i="15"/>
  <c r="AF373" i="15"/>
  <c r="AY373" i="15" s="1"/>
  <c r="AZ373" i="15" s="1"/>
  <c r="AD351" i="15"/>
  <c r="AH351" i="15" s="1"/>
  <c r="AU351" i="15"/>
  <c r="AF351" i="15"/>
  <c r="AY351" i="15" s="1"/>
  <c r="AZ351" i="15" s="1"/>
  <c r="AU329" i="15"/>
  <c r="AD329" i="15"/>
  <c r="AH329" i="15" s="1"/>
  <c r="AF329" i="15"/>
  <c r="AY329" i="15" s="1"/>
  <c r="AZ329" i="15" s="1"/>
  <c r="AD307" i="15"/>
  <c r="AH307" i="15" s="1"/>
  <c r="AF307" i="15"/>
  <c r="AY307" i="15" s="1"/>
  <c r="AZ307" i="15" s="1"/>
  <c r="AU307" i="15"/>
  <c r="AD285" i="15"/>
  <c r="AH285" i="15" s="1"/>
  <c r="AF285" i="15"/>
  <c r="AY285" i="15" s="1"/>
  <c r="AZ285" i="15" s="1"/>
  <c r="AU285" i="15"/>
  <c r="AF263" i="15"/>
  <c r="AY263" i="15" s="1"/>
  <c r="AZ263" i="15" s="1"/>
  <c r="AD263" i="15"/>
  <c r="AH263" i="15" s="1"/>
  <c r="AU263" i="15"/>
  <c r="AU241" i="15"/>
  <c r="AF241" i="15"/>
  <c r="AY241" i="15" s="1"/>
  <c r="AZ241" i="15" s="1"/>
  <c r="AD241" i="15"/>
  <c r="AH241" i="15" s="1"/>
  <c r="AD219" i="15"/>
  <c r="AH219" i="15" s="1"/>
  <c r="AU219" i="15"/>
  <c r="AF219" i="15"/>
  <c r="AY219" i="15" s="1"/>
  <c r="AZ219" i="15" s="1"/>
  <c r="AD197" i="15"/>
  <c r="AH197" i="15" s="1"/>
  <c r="AU197" i="15"/>
  <c r="AF197" i="15"/>
  <c r="AY197" i="15" s="1"/>
  <c r="AZ197" i="15" s="1"/>
  <c r="AD175" i="15"/>
  <c r="AH175" i="15" s="1"/>
  <c r="AU175" i="15"/>
  <c r="AF175" i="15"/>
  <c r="AY175" i="15" s="1"/>
  <c r="AZ175" i="15" s="1"/>
  <c r="AD153" i="15"/>
  <c r="AH153" i="15" s="1"/>
  <c r="AU153" i="15"/>
  <c r="AF153" i="15"/>
  <c r="AY153" i="15" s="1"/>
  <c r="AZ153" i="15" s="1"/>
  <c r="AF440" i="15"/>
  <c r="AY440" i="15" s="1"/>
  <c r="AZ440" i="15" s="1"/>
  <c r="AD440" i="15"/>
  <c r="AH440" i="15" s="1"/>
  <c r="AU440" i="15"/>
  <c r="AD396" i="15"/>
  <c r="AH396" i="15" s="1"/>
  <c r="AU396" i="15"/>
  <c r="AF396" i="15"/>
  <c r="AY396" i="15" s="1"/>
  <c r="AZ396" i="15" s="1"/>
  <c r="AU264" i="15"/>
  <c r="AD264" i="15"/>
  <c r="AH264" i="15" s="1"/>
  <c r="AF264" i="15"/>
  <c r="AY264" i="15" s="1"/>
  <c r="AZ264" i="15" s="1"/>
  <c r="AU482" i="15"/>
  <c r="AD482" i="15"/>
  <c r="AH482" i="15" s="1"/>
  <c r="AF482" i="15"/>
  <c r="AY482" i="15" s="1"/>
  <c r="AZ482" i="15" s="1"/>
  <c r="AD460" i="15"/>
  <c r="AH460" i="15" s="1"/>
  <c r="AU460" i="15"/>
  <c r="AF460" i="15"/>
  <c r="AY460" i="15" s="1"/>
  <c r="AZ460" i="15" s="1"/>
  <c r="AU438" i="15"/>
  <c r="AD438" i="15"/>
  <c r="AH438" i="15" s="1"/>
  <c r="AF438" i="15"/>
  <c r="AY438" i="15" s="1"/>
  <c r="AZ438" i="15" s="1"/>
  <c r="AD416" i="15"/>
  <c r="AH416" i="15" s="1"/>
  <c r="AF416" i="15"/>
  <c r="AY416" i="15" s="1"/>
  <c r="AZ416" i="15" s="1"/>
  <c r="AU416" i="15"/>
  <c r="AD394" i="15"/>
  <c r="AH394" i="15" s="1"/>
  <c r="AU394" i="15"/>
  <c r="AF394" i="15"/>
  <c r="AY394" i="15" s="1"/>
  <c r="AZ394" i="15" s="1"/>
  <c r="AU372" i="15"/>
  <c r="AD372" i="15"/>
  <c r="AH372" i="15" s="1"/>
  <c r="AF372" i="15"/>
  <c r="AY372" i="15" s="1"/>
  <c r="AZ372" i="15" s="1"/>
  <c r="AF350" i="15"/>
  <c r="AY350" i="15" s="1"/>
  <c r="AZ350" i="15" s="1"/>
  <c r="AD350" i="15"/>
  <c r="AH350" i="15" s="1"/>
  <c r="AU350" i="15"/>
  <c r="AU328" i="15"/>
  <c r="AF328" i="15"/>
  <c r="AY328" i="15" s="1"/>
  <c r="AZ328" i="15" s="1"/>
  <c r="AD328" i="15"/>
  <c r="AH328" i="15" s="1"/>
  <c r="AU306" i="15"/>
  <c r="AF306" i="15"/>
  <c r="AY306" i="15" s="1"/>
  <c r="AZ306" i="15" s="1"/>
  <c r="AD306" i="15"/>
  <c r="AH306" i="15" s="1"/>
  <c r="AD284" i="15"/>
  <c r="AH284" i="15" s="1"/>
  <c r="AF284" i="15"/>
  <c r="AY284" i="15" s="1"/>
  <c r="AZ284" i="15" s="1"/>
  <c r="AU284" i="15"/>
  <c r="AD262" i="15"/>
  <c r="AH262" i="15" s="1"/>
  <c r="AU262" i="15"/>
  <c r="AF262" i="15"/>
  <c r="AY262" i="15" s="1"/>
  <c r="AZ262" i="15" s="1"/>
  <c r="AU240" i="15"/>
  <c r="AD240" i="15"/>
  <c r="AH240" i="15" s="1"/>
  <c r="AF240" i="15"/>
  <c r="AY240" i="15" s="1"/>
  <c r="AZ240" i="15" s="1"/>
  <c r="AU218" i="15"/>
  <c r="AD218" i="15"/>
  <c r="AH218" i="15" s="1"/>
  <c r="AF218" i="15"/>
  <c r="AY218" i="15" s="1"/>
  <c r="AZ218" i="15" s="1"/>
  <c r="AD196" i="15"/>
  <c r="AH196" i="15" s="1"/>
  <c r="AU196" i="15"/>
  <c r="AF196" i="15"/>
  <c r="AY196" i="15" s="1"/>
  <c r="AZ196" i="15" s="1"/>
  <c r="AD174" i="15"/>
  <c r="AH174" i="15" s="1"/>
  <c r="AU174" i="15"/>
  <c r="AF174" i="15"/>
  <c r="AY174" i="15" s="1"/>
  <c r="AZ174" i="15" s="1"/>
  <c r="AD152" i="15"/>
  <c r="AH152" i="15" s="1"/>
  <c r="AU152" i="15"/>
  <c r="AF152" i="15"/>
  <c r="AY152" i="15" s="1"/>
  <c r="AZ152" i="15" s="1"/>
  <c r="AP4" i="15"/>
  <c r="AI4" i="15"/>
  <c r="AJ4" i="15" s="1"/>
  <c r="AU4" i="15"/>
  <c r="F27" i="23"/>
  <c r="L42" i="23"/>
  <c r="N42" i="23"/>
  <c r="B6" i="15"/>
  <c r="AA6" i="15" s="1"/>
  <c r="AD144" i="15" l="1"/>
  <c r="AH144" i="15" s="1"/>
  <c r="AJ144" i="15" s="1"/>
  <c r="AK144" i="15" s="1"/>
  <c r="AM144" i="15" s="1"/>
  <c r="AF143" i="15"/>
  <c r="AY143" i="15" s="1"/>
  <c r="AZ143" i="15" s="1"/>
  <c r="AF145" i="15"/>
  <c r="AY145" i="15" s="1"/>
  <c r="AZ145" i="15" s="1"/>
  <c r="AD145" i="15"/>
  <c r="AH145" i="15" s="1"/>
  <c r="AJ145" i="15" s="1"/>
  <c r="AK145" i="15" s="1"/>
  <c r="AM145" i="15" s="1"/>
  <c r="AD143" i="15"/>
  <c r="AH143" i="15" s="1"/>
  <c r="AQ143" i="15" s="1"/>
  <c r="AS143" i="15" s="1"/>
  <c r="AT143" i="15" s="1"/>
  <c r="AF144" i="15"/>
  <c r="AY144" i="15" s="1"/>
  <c r="AZ144" i="15" s="1"/>
  <c r="AN413" i="15"/>
  <c r="AW413" i="15" s="1"/>
  <c r="AN450" i="15"/>
  <c r="AW450" i="15" s="1"/>
  <c r="AN320" i="15"/>
  <c r="AW320" i="15" s="1"/>
  <c r="AN372" i="15"/>
  <c r="AW372" i="15" s="1"/>
  <c r="AN291" i="15"/>
  <c r="AW291" i="15" s="1"/>
  <c r="AN227" i="15"/>
  <c r="AW227" i="15" s="1"/>
  <c r="AN371" i="15"/>
  <c r="AW371" i="15" s="1"/>
  <c r="AN228" i="15"/>
  <c r="AW228" i="15" s="1"/>
  <c r="AN229" i="15"/>
  <c r="AW229" i="15" s="1"/>
  <c r="AN344" i="15"/>
  <c r="AW344" i="15" s="1"/>
  <c r="AN192" i="15"/>
  <c r="AW192" i="15" s="1"/>
  <c r="AN194" i="15"/>
  <c r="AW194" i="15" s="1"/>
  <c r="AN348" i="15"/>
  <c r="AW348" i="15" s="1"/>
  <c r="AN318" i="15"/>
  <c r="AW318" i="15" s="1"/>
  <c r="AN490" i="15"/>
  <c r="AW490" i="15" s="1"/>
  <c r="AN296" i="15"/>
  <c r="AW296" i="15" s="1"/>
  <c r="AN209" i="15"/>
  <c r="AW209" i="15" s="1"/>
  <c r="AN201" i="15"/>
  <c r="AW201" i="15" s="1"/>
  <c r="AN493" i="15"/>
  <c r="AW493" i="15" s="1"/>
  <c r="AN453" i="15"/>
  <c r="AW453" i="15" s="1"/>
  <c r="AN206" i="15"/>
  <c r="AW206" i="15" s="1"/>
  <c r="AN479" i="15"/>
  <c r="AW479" i="15" s="1"/>
  <c r="AN396" i="15"/>
  <c r="AW396" i="15" s="1"/>
  <c r="AN352" i="15"/>
  <c r="AW352" i="15" s="1"/>
  <c r="AN375" i="15"/>
  <c r="AW375" i="15" s="1"/>
  <c r="AN158" i="15"/>
  <c r="AW158" i="15" s="1"/>
  <c r="AN312" i="15"/>
  <c r="AW312" i="15" s="1"/>
  <c r="AN160" i="15"/>
  <c r="AW160" i="15" s="1"/>
  <c r="AN233" i="15"/>
  <c r="AW233" i="15" s="1"/>
  <c r="AN381" i="15"/>
  <c r="AW381" i="15" s="1"/>
  <c r="AN327" i="15"/>
  <c r="AW327" i="15" s="1"/>
  <c r="AN253" i="15"/>
  <c r="AW253" i="15" s="1"/>
  <c r="AN211" i="15"/>
  <c r="AW211" i="15" s="1"/>
  <c r="AN279" i="15"/>
  <c r="AW279" i="15" s="1"/>
  <c r="AN190" i="15"/>
  <c r="AW190" i="15" s="1"/>
  <c r="AN322" i="15"/>
  <c r="AW322" i="15" s="1"/>
  <c r="AN261" i="15"/>
  <c r="AW261" i="15" s="1"/>
  <c r="AN427" i="15"/>
  <c r="AW427" i="15" s="1"/>
  <c r="AN382" i="15"/>
  <c r="AW382" i="15" s="1"/>
  <c r="AN433" i="15"/>
  <c r="AW433" i="15" s="1"/>
  <c r="AN346" i="15"/>
  <c r="AW346" i="15" s="1"/>
  <c r="AN185" i="15"/>
  <c r="AW185" i="15" s="1"/>
  <c r="AN350" i="15"/>
  <c r="AW350" i="15" s="1"/>
  <c r="AN399" i="15"/>
  <c r="AW399" i="15" s="1"/>
  <c r="AN274" i="15"/>
  <c r="AW274" i="15" s="1"/>
  <c r="AN445" i="15"/>
  <c r="AW445" i="15" s="1"/>
  <c r="AN149" i="15"/>
  <c r="AW149" i="15" s="1"/>
  <c r="AN440" i="15"/>
  <c r="AW440" i="15" s="1"/>
  <c r="AN397" i="15"/>
  <c r="AW397" i="15" s="1"/>
  <c r="AN180" i="15"/>
  <c r="AW180" i="15" s="1"/>
  <c r="AN170" i="15"/>
  <c r="AW170" i="15" s="1"/>
  <c r="AN364" i="15"/>
  <c r="AW364" i="15" s="1"/>
  <c r="AN442" i="15"/>
  <c r="AW442" i="15" s="1"/>
  <c r="AN329" i="15"/>
  <c r="AW329" i="15" s="1"/>
  <c r="AN309" i="15"/>
  <c r="AW309" i="15" s="1"/>
  <c r="AN376" i="15"/>
  <c r="AW376" i="15" s="1"/>
  <c r="AN347" i="15"/>
  <c r="AW347" i="15" s="1"/>
  <c r="AN196" i="15"/>
  <c r="AW196" i="15" s="1"/>
  <c r="AN407" i="15"/>
  <c r="AW407" i="15" s="1"/>
  <c r="AN176" i="15"/>
  <c r="AW176" i="15" s="1"/>
  <c r="AN221" i="15"/>
  <c r="AW221" i="15" s="1"/>
  <c r="AN288" i="15"/>
  <c r="AW288" i="15" s="1"/>
  <c r="AN245" i="15"/>
  <c r="AW245" i="15" s="1"/>
  <c r="AN154" i="15"/>
  <c r="AW154" i="15" s="1"/>
  <c r="AN330" i="15"/>
  <c r="AW330" i="15" s="1"/>
  <c r="AN393" i="15"/>
  <c r="AW393" i="15" s="1"/>
  <c r="AN439" i="15"/>
  <c r="AW439" i="15" s="1"/>
  <c r="AN386" i="15"/>
  <c r="AW386" i="15" s="1"/>
  <c r="AN272" i="15"/>
  <c r="AW272" i="15" s="1"/>
  <c r="AN157" i="15"/>
  <c r="AW157" i="15" s="1"/>
  <c r="AN365" i="15"/>
  <c r="AW365" i="15" s="1"/>
  <c r="AN463" i="15"/>
  <c r="AW463" i="15" s="1"/>
  <c r="AN419" i="15"/>
  <c r="AW419" i="15" s="1"/>
  <c r="AN163" i="15"/>
  <c r="AW163" i="15" s="1"/>
  <c r="AN166" i="15"/>
  <c r="AW166" i="15" s="1"/>
  <c r="AN234" i="15"/>
  <c r="AW234" i="15" s="1"/>
  <c r="AN303" i="15"/>
  <c r="AW303" i="15" s="1"/>
  <c r="AN418" i="15"/>
  <c r="AW418" i="15" s="1"/>
  <c r="AN178" i="15"/>
  <c r="AW178" i="15" s="1"/>
  <c r="AN462" i="15"/>
  <c r="AW462" i="15" s="1"/>
  <c r="AN202" i="15"/>
  <c r="AW202" i="15" s="1"/>
  <c r="AN181" i="15"/>
  <c r="AW181" i="15" s="1"/>
  <c r="AN284" i="15"/>
  <c r="AW284" i="15" s="1"/>
  <c r="AN484" i="15"/>
  <c r="AW484" i="15" s="1"/>
  <c r="AN487" i="15"/>
  <c r="AW487" i="15" s="1"/>
  <c r="AN379" i="15"/>
  <c r="AW379" i="15" s="1"/>
  <c r="AN387" i="15"/>
  <c r="AW387" i="15" s="1"/>
  <c r="AN469" i="15"/>
  <c r="AW469" i="15" s="1"/>
  <c r="AN400" i="15"/>
  <c r="AW400" i="15" s="1"/>
  <c r="AN325" i="15"/>
  <c r="AW325" i="15" s="1"/>
  <c r="AN460" i="15"/>
  <c r="AW460" i="15" s="1"/>
  <c r="AN286" i="15"/>
  <c r="AW286" i="15" s="1"/>
  <c r="AN155" i="15"/>
  <c r="AW155" i="15" s="1"/>
  <c r="AN430" i="15"/>
  <c r="AW430" i="15" s="1"/>
  <c r="AN246" i="15"/>
  <c r="AW246" i="15" s="1"/>
  <c r="AN225" i="15"/>
  <c r="AW225" i="15" s="1"/>
  <c r="AN383" i="15"/>
  <c r="AW383" i="15" s="1"/>
  <c r="AN369" i="15"/>
  <c r="AW369" i="15" s="1"/>
  <c r="AN254" i="15"/>
  <c r="AW254" i="15" s="1"/>
  <c r="AN351" i="15"/>
  <c r="AW351" i="15" s="1"/>
  <c r="AN398" i="15"/>
  <c r="AW398" i="15" s="1"/>
  <c r="AN355" i="15"/>
  <c r="AW355" i="15" s="1"/>
  <c r="AN435" i="15"/>
  <c r="AW435" i="15" s="1"/>
  <c r="AN146" i="15"/>
  <c r="AW146" i="15" s="1"/>
  <c r="AN411" i="15"/>
  <c r="AW411" i="15" s="1"/>
  <c r="AN314" i="15"/>
  <c r="AW314" i="15" s="1"/>
  <c r="AN193" i="15"/>
  <c r="AW193" i="15" s="1"/>
  <c r="AN404" i="15"/>
  <c r="AW404" i="15" s="1"/>
  <c r="AN429" i="15"/>
  <c r="AW429" i="15" s="1"/>
  <c r="AN263" i="15"/>
  <c r="AW263" i="15" s="1"/>
  <c r="AN374" i="15"/>
  <c r="AW374" i="15" s="1"/>
  <c r="AN334" i="15"/>
  <c r="AW334" i="15" s="1"/>
  <c r="AN182" i="15"/>
  <c r="AW182" i="15" s="1"/>
  <c r="AN403" i="15"/>
  <c r="AW403" i="15" s="1"/>
  <c r="AN481" i="15"/>
  <c r="AW481" i="15" s="1"/>
  <c r="AN275" i="15"/>
  <c r="AW275" i="15" s="1"/>
  <c r="AN451" i="15"/>
  <c r="AW451" i="15" s="1"/>
  <c r="AN255" i="15"/>
  <c r="AW255" i="15" s="1"/>
  <c r="AN366" i="15"/>
  <c r="AW366" i="15" s="1"/>
  <c r="AN147" i="15"/>
  <c r="AW147" i="15" s="1"/>
  <c r="AN301" i="15"/>
  <c r="AW301" i="15" s="1"/>
  <c r="AN214" i="15"/>
  <c r="AW214" i="15" s="1"/>
  <c r="AN421" i="15"/>
  <c r="AW421" i="15" s="1"/>
  <c r="AN295" i="15"/>
  <c r="AW295" i="15" s="1"/>
  <c r="AN356" i="15"/>
  <c r="AW356" i="15" s="1"/>
  <c r="AN242" i="15"/>
  <c r="AW242" i="15" s="1"/>
  <c r="AN441" i="15"/>
  <c r="AW441" i="15" s="1"/>
  <c r="AN164" i="15"/>
  <c r="AW164" i="15" s="1"/>
  <c r="AN226" i="15"/>
  <c r="AW226" i="15" s="1"/>
  <c r="AN380" i="15"/>
  <c r="AW380" i="15" s="1"/>
  <c r="AN294" i="15"/>
  <c r="AW294" i="15" s="1"/>
  <c r="AN448" i="15"/>
  <c r="AW448" i="15" s="1"/>
  <c r="AN319" i="15"/>
  <c r="AW319" i="15" s="1"/>
  <c r="AN409" i="15"/>
  <c r="AW409" i="15" s="1"/>
  <c r="AN283" i="15"/>
  <c r="AW283" i="15" s="1"/>
  <c r="AN412" i="15"/>
  <c r="AW412" i="15" s="1"/>
  <c r="AN391" i="15"/>
  <c r="AW391" i="15" s="1"/>
  <c r="AN414" i="15"/>
  <c r="AW414" i="15" s="1"/>
  <c r="AN343" i="15"/>
  <c r="AW343" i="15" s="1"/>
  <c r="AN447" i="15"/>
  <c r="AW447" i="15" s="1"/>
  <c r="AN208" i="15"/>
  <c r="AW208" i="15" s="1"/>
  <c r="AN410" i="15"/>
  <c r="AW410" i="15" s="1"/>
  <c r="AN248" i="15"/>
  <c r="AW248" i="15" s="1"/>
  <c r="AN313" i="15"/>
  <c r="AW313" i="15" s="1"/>
  <c r="AN162" i="15"/>
  <c r="AW162" i="15" s="1"/>
  <c r="AN187" i="15"/>
  <c r="AW187" i="15" s="1"/>
  <c r="AN204" i="15"/>
  <c r="AW204" i="15" s="1"/>
  <c r="AN175" i="15"/>
  <c r="AW175" i="15" s="1"/>
  <c r="AN308" i="15"/>
  <c r="AW308" i="15" s="1"/>
  <c r="AN197" i="15"/>
  <c r="AW197" i="15" s="1"/>
  <c r="AN305" i="15"/>
  <c r="AW305" i="15" s="1"/>
  <c r="AN177" i="15"/>
  <c r="AW177" i="15" s="1"/>
  <c r="AN281" i="15"/>
  <c r="AW281" i="15" s="1"/>
  <c r="AN173" i="15"/>
  <c r="AW173" i="15" s="1"/>
  <c r="AN444" i="15"/>
  <c r="AW444" i="15" s="1"/>
  <c r="AN423" i="15"/>
  <c r="AW423" i="15" s="1"/>
  <c r="AN186" i="15"/>
  <c r="AW186" i="15" s="1"/>
  <c r="AN446" i="15"/>
  <c r="AW446" i="15" s="1"/>
  <c r="AN360" i="15"/>
  <c r="AW360" i="15" s="1"/>
  <c r="AN478" i="15"/>
  <c r="AW478" i="15" s="1"/>
  <c r="AN150" i="15"/>
  <c r="AW150" i="15" s="1"/>
  <c r="AN415" i="15"/>
  <c r="AW415" i="15" s="1"/>
  <c r="AN266" i="15"/>
  <c r="AW266" i="15" s="1"/>
  <c r="AN219" i="15"/>
  <c r="AW219" i="15" s="1"/>
  <c r="AN468" i="15"/>
  <c r="AW468" i="15" s="1"/>
  <c r="AN464" i="15"/>
  <c r="AW464" i="15" s="1"/>
  <c r="AN230" i="15"/>
  <c r="AW230" i="15" s="1"/>
  <c r="AN218" i="15"/>
  <c r="AW218" i="15" s="1"/>
  <c r="AN417" i="15"/>
  <c r="AW417" i="15" s="1"/>
  <c r="AN488" i="15"/>
  <c r="AW488" i="15" s="1"/>
  <c r="AN467" i="15"/>
  <c r="AW467" i="15" s="1"/>
  <c r="AN250" i="15"/>
  <c r="AW250" i="15" s="1"/>
  <c r="AN336" i="15"/>
  <c r="AW336" i="15" s="1"/>
  <c r="AN159" i="15"/>
  <c r="AW159" i="15" s="1"/>
  <c r="AN215" i="15"/>
  <c r="AW215" i="15" s="1"/>
  <c r="AN370" i="15"/>
  <c r="AW370" i="15" s="1"/>
  <c r="AN240" i="15"/>
  <c r="AW240" i="15" s="1"/>
  <c r="AN394" i="15"/>
  <c r="AW394" i="15" s="1"/>
  <c r="AN243" i="15"/>
  <c r="AW243" i="15" s="1"/>
  <c r="AN188" i="15"/>
  <c r="AW188" i="15" s="1"/>
  <c r="AN267" i="15"/>
  <c r="AW267" i="15" s="1"/>
  <c r="AN339" i="15"/>
  <c r="AW339" i="15" s="1"/>
  <c r="AN489" i="15"/>
  <c r="AW489" i="15" s="1"/>
  <c r="AN384" i="15"/>
  <c r="AW384" i="15" s="1"/>
  <c r="AN358" i="15"/>
  <c r="AW358" i="15" s="1"/>
  <c r="AN321" i="15"/>
  <c r="AW321" i="15" s="1"/>
  <c r="AN249" i="15"/>
  <c r="AW249" i="15" s="1"/>
  <c r="AN317" i="15"/>
  <c r="AW317" i="15" s="1"/>
  <c r="AN474" i="15"/>
  <c r="AW474" i="15" s="1"/>
  <c r="AN212" i="15"/>
  <c r="AW212" i="15" s="1"/>
  <c r="AN216" i="15"/>
  <c r="AW216" i="15" s="1"/>
  <c r="AN156" i="15"/>
  <c r="AW156" i="15" s="1"/>
  <c r="AN486" i="15"/>
  <c r="AW486" i="15" s="1"/>
  <c r="AN289" i="15"/>
  <c r="AW289" i="15" s="1"/>
  <c r="AN443" i="15"/>
  <c r="AW443" i="15" s="1"/>
  <c r="AN428" i="15"/>
  <c r="AW428" i="15" s="1"/>
  <c r="AN335" i="15"/>
  <c r="AW335" i="15" s="1"/>
  <c r="AN425" i="15"/>
  <c r="AW425" i="15" s="1"/>
  <c r="AN426" i="15"/>
  <c r="AW426" i="15" s="1"/>
  <c r="AN471" i="15"/>
  <c r="AW471" i="15" s="1"/>
  <c r="AN297" i="15"/>
  <c r="AW297" i="15" s="1"/>
  <c r="AN299" i="15"/>
  <c r="AW299" i="15" s="1"/>
  <c r="AN388" i="15"/>
  <c r="AW388" i="15" s="1"/>
  <c r="AN323" i="15"/>
  <c r="AW323" i="15" s="1"/>
  <c r="AN477" i="15"/>
  <c r="AW477" i="15" s="1"/>
  <c r="AN236" i="15"/>
  <c r="AW236" i="15" s="1"/>
  <c r="AN390" i="15"/>
  <c r="AW390" i="15" s="1"/>
  <c r="AN392" i="15"/>
  <c r="AW392" i="15" s="1"/>
  <c r="AN416" i="15"/>
  <c r="AW416" i="15" s="1"/>
  <c r="AN285" i="15"/>
  <c r="AW285" i="15" s="1"/>
  <c r="AN220" i="15"/>
  <c r="AW220" i="15" s="1"/>
  <c r="AN265" i="15"/>
  <c r="AW265" i="15" s="1"/>
  <c r="AN332" i="15"/>
  <c r="AW332" i="15" s="1"/>
  <c r="AN405" i="15"/>
  <c r="AW405" i="15" s="1"/>
  <c r="AN465" i="15"/>
  <c r="AW465" i="15" s="1"/>
  <c r="AN472" i="15"/>
  <c r="AW472" i="15" s="1"/>
  <c r="AN271" i="15"/>
  <c r="AW271" i="15" s="1"/>
  <c r="AN452" i="15"/>
  <c r="AW452" i="15" s="1"/>
  <c r="AN473" i="15"/>
  <c r="AW473" i="15" s="1"/>
  <c r="AN349" i="15"/>
  <c r="AW349" i="15" s="1"/>
  <c r="AN169" i="15"/>
  <c r="AW169" i="15" s="1"/>
  <c r="AN238" i="15"/>
  <c r="AW238" i="15" s="1"/>
  <c r="AN277" i="15"/>
  <c r="AW277" i="15" s="1"/>
  <c r="AN459" i="15"/>
  <c r="AW459" i="15" s="1"/>
  <c r="AN461" i="15"/>
  <c r="AW461" i="15" s="1"/>
  <c r="AN224" i="15"/>
  <c r="AW224" i="15" s="1"/>
  <c r="AN378" i="15"/>
  <c r="AW378" i="15" s="1"/>
  <c r="AN357" i="15"/>
  <c r="AW357" i="15" s="1"/>
  <c r="AN239" i="15"/>
  <c r="AW239" i="15" s="1"/>
  <c r="AN273" i="15"/>
  <c r="AW273" i="15" s="1"/>
  <c r="AN293" i="15"/>
  <c r="AW293" i="15" s="1"/>
  <c r="AN210" i="15"/>
  <c r="AW210" i="15" s="1"/>
  <c r="AN345" i="15"/>
  <c r="AW345" i="15" s="1"/>
  <c r="AN258" i="15"/>
  <c r="AW258" i="15" s="1"/>
  <c r="AN262" i="15"/>
  <c r="AW262" i="15" s="1"/>
  <c r="AN307" i="15"/>
  <c r="AW307" i="15" s="1"/>
  <c r="AN483" i="15"/>
  <c r="AW483" i="15" s="1"/>
  <c r="AN287" i="15"/>
  <c r="AW287" i="15" s="1"/>
  <c r="AN354" i="15"/>
  <c r="AW354" i="15" s="1"/>
  <c r="AN311" i="15"/>
  <c r="AW311" i="15" s="1"/>
  <c r="AN203" i="15"/>
  <c r="AW203" i="15" s="1"/>
  <c r="AN237" i="15"/>
  <c r="AW237" i="15" s="1"/>
  <c r="AN470" i="15"/>
  <c r="AW470" i="15" s="1"/>
  <c r="AN171" i="15"/>
  <c r="AW171" i="15" s="1"/>
  <c r="AN165" i="15"/>
  <c r="AW165" i="15" s="1"/>
  <c r="AN256" i="15"/>
  <c r="AW256" i="15" s="1"/>
  <c r="AN191" i="15"/>
  <c r="AW191" i="15" s="1"/>
  <c r="AN260" i="15"/>
  <c r="AW260" i="15" s="1"/>
  <c r="AN455" i="15"/>
  <c r="AW455" i="15" s="1"/>
  <c r="AN151" i="15"/>
  <c r="AW151" i="15" s="1"/>
  <c r="AN438" i="15"/>
  <c r="AW438" i="15" s="1"/>
  <c r="AN153" i="15"/>
  <c r="AW153" i="15" s="1"/>
  <c r="AN342" i="15"/>
  <c r="AW342" i="15" s="1"/>
  <c r="AN200" i="15"/>
  <c r="AW200" i="15" s="1"/>
  <c r="AN333" i="15"/>
  <c r="AW333" i="15" s="1"/>
  <c r="AN437" i="15"/>
  <c r="AW437" i="15" s="1"/>
  <c r="AN449" i="15"/>
  <c r="AW449" i="15" s="1"/>
  <c r="AN402" i="15"/>
  <c r="AW402" i="15" s="1"/>
  <c r="AN316" i="15"/>
  <c r="AW316" i="15" s="1"/>
  <c r="AN367" i="15"/>
  <c r="AW367" i="15" s="1"/>
  <c r="AN434" i="15"/>
  <c r="AW434" i="15" s="1"/>
  <c r="AN306" i="15"/>
  <c r="AW306" i="15" s="1"/>
  <c r="AN315" i="15"/>
  <c r="AW315" i="15" s="1"/>
  <c r="AN259" i="15"/>
  <c r="AW259" i="15" s="1"/>
  <c r="AN362" i="15"/>
  <c r="AW362" i="15" s="1"/>
  <c r="AN341" i="15"/>
  <c r="AW341" i="15" s="1"/>
  <c r="AN232" i="15"/>
  <c r="AW232" i="15" s="1"/>
  <c r="AN432" i="15"/>
  <c r="AW432" i="15" s="1"/>
  <c r="AN280" i="15"/>
  <c r="AW280" i="15" s="1"/>
  <c r="AN282" i="15"/>
  <c r="AW282" i="15" s="1"/>
  <c r="AN436" i="15"/>
  <c r="AW436" i="15" s="1"/>
  <c r="AN278" i="15"/>
  <c r="AW278" i="15" s="1"/>
  <c r="AN213" i="15"/>
  <c r="AW213" i="15" s="1"/>
  <c r="AN408" i="15"/>
  <c r="AW408" i="15" s="1"/>
  <c r="AN485" i="15"/>
  <c r="AW485" i="15" s="1"/>
  <c r="AN222" i="15"/>
  <c r="AW222" i="15" s="1"/>
  <c r="AN457" i="15"/>
  <c r="AW457" i="15" s="1"/>
  <c r="AN179" i="15"/>
  <c r="AW179" i="15" s="1"/>
  <c r="AN406" i="15"/>
  <c r="AW406" i="15" s="1"/>
  <c r="AN424" i="15"/>
  <c r="AW424" i="15" s="1"/>
  <c r="AN161" i="15"/>
  <c r="AW161" i="15" s="1"/>
  <c r="AN491" i="15"/>
  <c r="AW491" i="15" s="1"/>
  <c r="AN492" i="15"/>
  <c r="AW492" i="15" s="1"/>
  <c r="AN475" i="15"/>
  <c r="AW475" i="15" s="1"/>
  <c r="AN389" i="15"/>
  <c r="AW389" i="15" s="1"/>
  <c r="AN456" i="15"/>
  <c r="AW456" i="15" s="1"/>
  <c r="AN152" i="15"/>
  <c r="AW152" i="15" s="1"/>
  <c r="AN328" i="15"/>
  <c r="AW328" i="15" s="1"/>
  <c r="AN482" i="15"/>
  <c r="AW482" i="15" s="1"/>
  <c r="AN331" i="15"/>
  <c r="AW331" i="15" s="1"/>
  <c r="AN244" i="15"/>
  <c r="AW244" i="15" s="1"/>
  <c r="AN361" i="15"/>
  <c r="AW361" i="15" s="1"/>
  <c r="AN268" i="15"/>
  <c r="AW268" i="15" s="1"/>
  <c r="AN422" i="15"/>
  <c r="AW422" i="15" s="1"/>
  <c r="AN401" i="15"/>
  <c r="AW401" i="15" s="1"/>
  <c r="AN270" i="15"/>
  <c r="AW270" i="15" s="1"/>
  <c r="AN431" i="15"/>
  <c r="AW431" i="15" s="1"/>
  <c r="AN183" i="15"/>
  <c r="AW183" i="15" s="1"/>
  <c r="AN338" i="15"/>
  <c r="AW338" i="15" s="1"/>
  <c r="AN363" i="15"/>
  <c r="AW363" i="15" s="1"/>
  <c r="AN300" i="15"/>
  <c r="AW300" i="15" s="1"/>
  <c r="AN454" i="15"/>
  <c r="AW454" i="15" s="1"/>
  <c r="AN302" i="15"/>
  <c r="AW302" i="15" s="1"/>
  <c r="AN458" i="15"/>
  <c r="AW458" i="15" s="1"/>
  <c r="AN247" i="15"/>
  <c r="AW247" i="15" s="1"/>
  <c r="AN337" i="15"/>
  <c r="AW337" i="15" s="1"/>
  <c r="AN184" i="15"/>
  <c r="AW184" i="15" s="1"/>
  <c r="AN235" i="15"/>
  <c r="AW235" i="15" s="1"/>
  <c r="AN148" i="15"/>
  <c r="AW148" i="15" s="1"/>
  <c r="AN304" i="15"/>
  <c r="AW304" i="15" s="1"/>
  <c r="AN340" i="15"/>
  <c r="AW340" i="15" s="1"/>
  <c r="AN310" i="15"/>
  <c r="AW310" i="15" s="1"/>
  <c r="AN368" i="15"/>
  <c r="AW368" i="15" s="1"/>
  <c r="AN276" i="15"/>
  <c r="AW276" i="15" s="1"/>
  <c r="AN174" i="15"/>
  <c r="AW174" i="15" s="1"/>
  <c r="AN264" i="15"/>
  <c r="AW264" i="15" s="1"/>
  <c r="AN207" i="15"/>
  <c r="AW207" i="15" s="1"/>
  <c r="AN290" i="15"/>
  <c r="AW290" i="15" s="1"/>
  <c r="AN292" i="15"/>
  <c r="AW292" i="15" s="1"/>
  <c r="AN251" i="15"/>
  <c r="AW251" i="15" s="1"/>
  <c r="AN385" i="15"/>
  <c r="AW385" i="15" s="1"/>
  <c r="AN298" i="15"/>
  <c r="AW298" i="15" s="1"/>
  <c r="AN167" i="15"/>
  <c r="AW167" i="15" s="1"/>
  <c r="AN476" i="15"/>
  <c r="AW476" i="15" s="1"/>
  <c r="AN324" i="15"/>
  <c r="AW324" i="15" s="1"/>
  <c r="AN480" i="15"/>
  <c r="AW480" i="15" s="1"/>
  <c r="AN373" i="15"/>
  <c r="AW373" i="15" s="1"/>
  <c r="AN353" i="15"/>
  <c r="AW353" i="15" s="1"/>
  <c r="AN420" i="15"/>
  <c r="AW420" i="15" s="1"/>
  <c r="AN377" i="15"/>
  <c r="AW377" i="15" s="1"/>
  <c r="AN269" i="15"/>
  <c r="AW269" i="15" s="1"/>
  <c r="AN189" i="15"/>
  <c r="AW189" i="15" s="1"/>
  <c r="AN205" i="15"/>
  <c r="AW205" i="15" s="1"/>
  <c r="AN359" i="15"/>
  <c r="AW359" i="15" s="1"/>
  <c r="AN195" i="15"/>
  <c r="AW195" i="15" s="1"/>
  <c r="AN231" i="15"/>
  <c r="AW231" i="15" s="1"/>
  <c r="AN257" i="15"/>
  <c r="AW257" i="15" s="1"/>
  <c r="AN326" i="15"/>
  <c r="AW326" i="15" s="1"/>
  <c r="AN198" i="15"/>
  <c r="AW198" i="15" s="1"/>
  <c r="AN199" i="15"/>
  <c r="AW199" i="15" s="1"/>
  <c r="AN223" i="15"/>
  <c r="AW223" i="15" s="1"/>
  <c r="AN252" i="15"/>
  <c r="AW252" i="15" s="1"/>
  <c r="AN168" i="15"/>
  <c r="AW168" i="15" s="1"/>
  <c r="AN172" i="15"/>
  <c r="AW172" i="15" s="1"/>
  <c r="AN217" i="15"/>
  <c r="AW217" i="15" s="1"/>
  <c r="AN241" i="15"/>
  <c r="AW241" i="15" s="1"/>
  <c r="AN395" i="15"/>
  <c r="AW395" i="15" s="1"/>
  <c r="AN466" i="15"/>
  <c r="AW466" i="15" s="1"/>
  <c r="AQ372" i="15"/>
  <c r="AS372" i="15" s="1"/>
  <c r="AT372" i="15" s="1"/>
  <c r="AJ372" i="15"/>
  <c r="AK372" i="15" s="1"/>
  <c r="AM372" i="15" s="1"/>
  <c r="AQ396" i="15"/>
  <c r="AS396" i="15" s="1"/>
  <c r="AT396" i="15" s="1"/>
  <c r="AJ396" i="15"/>
  <c r="AK396" i="15" s="1"/>
  <c r="AM396" i="15" s="1"/>
  <c r="AJ352" i="15"/>
  <c r="AK352" i="15" s="1"/>
  <c r="AM352" i="15" s="1"/>
  <c r="AQ352" i="15"/>
  <c r="AS352" i="15" s="1"/>
  <c r="AT352" i="15" s="1"/>
  <c r="AQ413" i="15"/>
  <c r="AS413" i="15" s="1"/>
  <c r="AT413" i="15" s="1"/>
  <c r="AJ413" i="15"/>
  <c r="AK413" i="15" s="1"/>
  <c r="AM413" i="15" s="1"/>
  <c r="AQ375" i="15"/>
  <c r="AS375" i="15" s="1"/>
  <c r="AT375" i="15" s="1"/>
  <c r="AJ375" i="15"/>
  <c r="AK375" i="15" s="1"/>
  <c r="AM375" i="15" s="1"/>
  <c r="AQ450" i="15"/>
  <c r="AS450" i="15" s="1"/>
  <c r="AT450" i="15" s="1"/>
  <c r="AJ450" i="15"/>
  <c r="AK450" i="15" s="1"/>
  <c r="AM450" i="15" s="1"/>
  <c r="AQ158" i="15"/>
  <c r="AS158" i="15" s="1"/>
  <c r="AT158" i="15" s="1"/>
  <c r="AJ158" i="15"/>
  <c r="AK158" i="15" s="1"/>
  <c r="AM158" i="15" s="1"/>
  <c r="AQ312" i="15"/>
  <c r="AS312" i="15" s="1"/>
  <c r="AT312" i="15" s="1"/>
  <c r="AJ312" i="15"/>
  <c r="AK312" i="15" s="1"/>
  <c r="AM312" i="15" s="1"/>
  <c r="AQ291" i="15"/>
  <c r="AS291" i="15" s="1"/>
  <c r="AT291" i="15" s="1"/>
  <c r="AJ291" i="15"/>
  <c r="AK291" i="15" s="1"/>
  <c r="AM291" i="15" s="1"/>
  <c r="AQ160" i="15"/>
  <c r="AS160" i="15" s="1"/>
  <c r="AT160" i="15" s="1"/>
  <c r="AJ160" i="15"/>
  <c r="AK160" i="15" s="1"/>
  <c r="AM160" i="15" s="1"/>
  <c r="AQ233" i="15"/>
  <c r="AS233" i="15" s="1"/>
  <c r="AT233" i="15" s="1"/>
  <c r="AJ233" i="15"/>
  <c r="AK233" i="15" s="1"/>
  <c r="AM233" i="15" s="1"/>
  <c r="AQ227" i="15"/>
  <c r="AS227" i="15" s="1"/>
  <c r="AT227" i="15" s="1"/>
  <c r="AJ227" i="15"/>
  <c r="AK227" i="15" s="1"/>
  <c r="AM227" i="15" s="1"/>
  <c r="AQ381" i="15"/>
  <c r="AS381" i="15" s="1"/>
  <c r="AT381" i="15" s="1"/>
  <c r="AJ381" i="15"/>
  <c r="AK381" i="15" s="1"/>
  <c r="AM381" i="15" s="1"/>
  <c r="AQ320" i="15"/>
  <c r="AS320" i="15" s="1"/>
  <c r="AT320" i="15" s="1"/>
  <c r="AJ320" i="15"/>
  <c r="AK320" i="15" s="1"/>
  <c r="AM320" i="15" s="1"/>
  <c r="AQ371" i="15"/>
  <c r="AS371" i="15" s="1"/>
  <c r="AT371" i="15" s="1"/>
  <c r="AJ371" i="15"/>
  <c r="AK371" i="15" s="1"/>
  <c r="AM371" i="15" s="1"/>
  <c r="AQ228" i="15"/>
  <c r="AS228" i="15" s="1"/>
  <c r="AT228" i="15" s="1"/>
  <c r="AJ228" i="15"/>
  <c r="AK228" i="15" s="1"/>
  <c r="AM228" i="15" s="1"/>
  <c r="AQ229" i="15"/>
  <c r="AS229" i="15" s="1"/>
  <c r="AT229" i="15" s="1"/>
  <c r="AJ229" i="15"/>
  <c r="AK229" i="15" s="1"/>
  <c r="AM229" i="15" s="1"/>
  <c r="AQ327" i="15"/>
  <c r="AS327" i="15" s="1"/>
  <c r="AT327" i="15" s="1"/>
  <c r="AJ327" i="15"/>
  <c r="AK327" i="15" s="1"/>
  <c r="AM327" i="15" s="1"/>
  <c r="AQ253" i="15"/>
  <c r="AS253" i="15" s="1"/>
  <c r="AT253" i="15" s="1"/>
  <c r="AJ253" i="15"/>
  <c r="AK253" i="15" s="1"/>
  <c r="AM253" i="15" s="1"/>
  <c r="AQ211" i="15"/>
  <c r="AS211" i="15" s="1"/>
  <c r="AT211" i="15" s="1"/>
  <c r="AJ211" i="15"/>
  <c r="AK211" i="15" s="1"/>
  <c r="AM211" i="15" s="1"/>
  <c r="AQ344" i="15"/>
  <c r="AS344" i="15" s="1"/>
  <c r="AT344" i="15" s="1"/>
  <c r="AJ344" i="15"/>
  <c r="AK344" i="15" s="1"/>
  <c r="AM344" i="15" s="1"/>
  <c r="AQ279" i="15"/>
  <c r="AS279" i="15" s="1"/>
  <c r="AT279" i="15" s="1"/>
  <c r="AJ279" i="15"/>
  <c r="AK279" i="15" s="1"/>
  <c r="AM279" i="15" s="1"/>
  <c r="AQ192" i="15"/>
  <c r="AS192" i="15" s="1"/>
  <c r="AT192" i="15" s="1"/>
  <c r="AJ192" i="15"/>
  <c r="AK192" i="15" s="1"/>
  <c r="AM192" i="15" s="1"/>
  <c r="AQ194" i="15"/>
  <c r="AS194" i="15" s="1"/>
  <c r="AT194" i="15" s="1"/>
  <c r="AJ194" i="15"/>
  <c r="AK194" i="15" s="1"/>
  <c r="AM194" i="15" s="1"/>
  <c r="AJ348" i="15"/>
  <c r="AK348" i="15" s="1"/>
  <c r="AM348" i="15" s="1"/>
  <c r="AQ348" i="15"/>
  <c r="AS348" i="15" s="1"/>
  <c r="AT348" i="15" s="1"/>
  <c r="AQ218" i="15"/>
  <c r="AS218" i="15" s="1"/>
  <c r="AT218" i="15" s="1"/>
  <c r="AJ218" i="15"/>
  <c r="AK218" i="15" s="1"/>
  <c r="AM218" i="15" s="1"/>
  <c r="AQ417" i="15"/>
  <c r="AS417" i="15" s="1"/>
  <c r="AT417" i="15" s="1"/>
  <c r="AJ417" i="15"/>
  <c r="AK417" i="15" s="1"/>
  <c r="AM417" i="15" s="1"/>
  <c r="AQ176" i="15"/>
  <c r="AS176" i="15" s="1"/>
  <c r="AT176" i="15" s="1"/>
  <c r="AJ176" i="15"/>
  <c r="AK176" i="15" s="1"/>
  <c r="AM176" i="15" s="1"/>
  <c r="AQ221" i="15"/>
  <c r="AS221" i="15" s="1"/>
  <c r="AT221" i="15" s="1"/>
  <c r="AJ221" i="15"/>
  <c r="AK221" i="15" s="1"/>
  <c r="AM221" i="15" s="1"/>
  <c r="AQ288" i="15"/>
  <c r="AS288" i="15" s="1"/>
  <c r="AT288" i="15" s="1"/>
  <c r="AJ288" i="15"/>
  <c r="AK288" i="15" s="1"/>
  <c r="AM288" i="15" s="1"/>
  <c r="AQ245" i="15"/>
  <c r="AS245" i="15" s="1"/>
  <c r="AT245" i="15" s="1"/>
  <c r="AJ245" i="15"/>
  <c r="AK245" i="15" s="1"/>
  <c r="AM245" i="15" s="1"/>
  <c r="AQ488" i="15"/>
  <c r="AS488" i="15" s="1"/>
  <c r="AT488" i="15" s="1"/>
  <c r="AJ488" i="15"/>
  <c r="AK488" i="15" s="1"/>
  <c r="AM488" i="15" s="1"/>
  <c r="AQ467" i="15"/>
  <c r="AS467" i="15" s="1"/>
  <c r="AT467" i="15" s="1"/>
  <c r="AJ467" i="15"/>
  <c r="AK467" i="15" s="1"/>
  <c r="AM467" i="15" s="1"/>
  <c r="AQ318" i="15"/>
  <c r="AS318" i="15" s="1"/>
  <c r="AT318" i="15" s="1"/>
  <c r="AJ318" i="15"/>
  <c r="AK318" i="15" s="1"/>
  <c r="AM318" i="15" s="1"/>
  <c r="AQ490" i="15"/>
  <c r="AS490" i="15" s="1"/>
  <c r="AT490" i="15" s="1"/>
  <c r="AJ490" i="15"/>
  <c r="AK490" i="15" s="1"/>
  <c r="AM490" i="15" s="1"/>
  <c r="AQ250" i="15"/>
  <c r="AS250" i="15" s="1"/>
  <c r="AT250" i="15" s="1"/>
  <c r="AJ250" i="15"/>
  <c r="AK250" i="15" s="1"/>
  <c r="AM250" i="15" s="1"/>
  <c r="AU408" i="15"/>
  <c r="AQ190" i="15"/>
  <c r="AS190" i="15" s="1"/>
  <c r="AT190" i="15" s="1"/>
  <c r="AJ190" i="15"/>
  <c r="AK190" i="15" s="1"/>
  <c r="AM190" i="15" s="1"/>
  <c r="AQ397" i="15"/>
  <c r="AS397" i="15" s="1"/>
  <c r="AT397" i="15" s="1"/>
  <c r="AJ397" i="15"/>
  <c r="AK397" i="15" s="1"/>
  <c r="AM397" i="15" s="1"/>
  <c r="AQ464" i="15"/>
  <c r="AS464" i="15" s="1"/>
  <c r="AT464" i="15" s="1"/>
  <c r="AJ464" i="15"/>
  <c r="AK464" i="15" s="1"/>
  <c r="AM464" i="15" s="1"/>
  <c r="AQ421" i="15"/>
  <c r="AS421" i="15" s="1"/>
  <c r="AT421" i="15" s="1"/>
  <c r="AJ421" i="15"/>
  <c r="AK421" i="15" s="1"/>
  <c r="AM421" i="15" s="1"/>
  <c r="AQ340" i="15"/>
  <c r="AS340" i="15" s="1"/>
  <c r="AT340" i="15" s="1"/>
  <c r="AJ340" i="15"/>
  <c r="AK340" i="15" s="1"/>
  <c r="AM340" i="15" s="1"/>
  <c r="AQ180" i="15"/>
  <c r="AS180" i="15" s="1"/>
  <c r="AT180" i="15" s="1"/>
  <c r="AJ180" i="15"/>
  <c r="AK180" i="15" s="1"/>
  <c r="AM180" i="15" s="1"/>
  <c r="AQ313" i="15"/>
  <c r="AS313" i="15" s="1"/>
  <c r="AT313" i="15" s="1"/>
  <c r="AJ313" i="15"/>
  <c r="AK313" i="15" s="1"/>
  <c r="AM313" i="15" s="1"/>
  <c r="AQ336" i="15"/>
  <c r="AS336" i="15" s="1"/>
  <c r="AT336" i="15" s="1"/>
  <c r="AJ336" i="15"/>
  <c r="AK336" i="15" s="1"/>
  <c r="AM336" i="15" s="1"/>
  <c r="AQ459" i="15"/>
  <c r="AS459" i="15" s="1"/>
  <c r="AT459" i="15" s="1"/>
  <c r="AJ459" i="15"/>
  <c r="AK459" i="15" s="1"/>
  <c r="AM459" i="15" s="1"/>
  <c r="AQ404" i="15"/>
  <c r="AS404" i="15" s="1"/>
  <c r="AT404" i="15" s="1"/>
  <c r="AJ404" i="15"/>
  <c r="AK404" i="15" s="1"/>
  <c r="AM404" i="15" s="1"/>
  <c r="AQ429" i="15"/>
  <c r="AS429" i="15" s="1"/>
  <c r="AT429" i="15" s="1"/>
  <c r="AJ429" i="15"/>
  <c r="AK429" i="15" s="1"/>
  <c r="AM429" i="15" s="1"/>
  <c r="AQ408" i="15"/>
  <c r="AS408" i="15" s="1"/>
  <c r="AT408" i="15" s="1"/>
  <c r="AJ408" i="15"/>
  <c r="AK408" i="15" s="1"/>
  <c r="AM408" i="15" s="1"/>
  <c r="AQ455" i="15"/>
  <c r="AS455" i="15" s="1"/>
  <c r="AT455" i="15" s="1"/>
  <c r="AJ455" i="15"/>
  <c r="AK455" i="15" s="1"/>
  <c r="AM455" i="15" s="1"/>
  <c r="AQ368" i="15"/>
  <c r="AS368" i="15" s="1"/>
  <c r="AT368" i="15" s="1"/>
  <c r="AJ368" i="15"/>
  <c r="AK368" i="15" s="1"/>
  <c r="AM368" i="15" s="1"/>
  <c r="AQ263" i="15"/>
  <c r="AS263" i="15" s="1"/>
  <c r="AT263" i="15" s="1"/>
  <c r="AJ263" i="15"/>
  <c r="AK263" i="15" s="1"/>
  <c r="AM263" i="15" s="1"/>
  <c r="AQ198" i="15"/>
  <c r="AS198" i="15" s="1"/>
  <c r="AT198" i="15" s="1"/>
  <c r="AJ198" i="15"/>
  <c r="AK198" i="15" s="1"/>
  <c r="AM198" i="15" s="1"/>
  <c r="AQ374" i="15"/>
  <c r="AS374" i="15" s="1"/>
  <c r="AT374" i="15" s="1"/>
  <c r="AJ374" i="15"/>
  <c r="AK374" i="15" s="1"/>
  <c r="AM374" i="15" s="1"/>
  <c r="AQ151" i="15"/>
  <c r="AS151" i="15" s="1"/>
  <c r="AT151" i="15" s="1"/>
  <c r="AJ151" i="15"/>
  <c r="AK151" i="15" s="1"/>
  <c r="AM151" i="15" s="1"/>
  <c r="AQ310" i="15"/>
  <c r="AS310" i="15" s="1"/>
  <c r="AT310" i="15" s="1"/>
  <c r="AJ310" i="15"/>
  <c r="AK310" i="15" s="1"/>
  <c r="AM310" i="15" s="1"/>
  <c r="AQ334" i="15"/>
  <c r="AS334" i="15" s="1"/>
  <c r="AT334" i="15" s="1"/>
  <c r="AJ334" i="15"/>
  <c r="AK334" i="15" s="1"/>
  <c r="AM334" i="15" s="1"/>
  <c r="AQ159" i="15"/>
  <c r="AS159" i="15" s="1"/>
  <c r="AT159" i="15" s="1"/>
  <c r="AJ159" i="15"/>
  <c r="AK159" i="15" s="1"/>
  <c r="AM159" i="15" s="1"/>
  <c r="AQ182" i="15"/>
  <c r="AS182" i="15" s="1"/>
  <c r="AT182" i="15" s="1"/>
  <c r="AJ182" i="15"/>
  <c r="AK182" i="15" s="1"/>
  <c r="AM182" i="15" s="1"/>
  <c r="AQ277" i="15"/>
  <c r="AS277" i="15" s="1"/>
  <c r="AT277" i="15" s="1"/>
  <c r="AJ277" i="15"/>
  <c r="AK277" i="15" s="1"/>
  <c r="AM277" i="15" s="1"/>
  <c r="AQ403" i="15"/>
  <c r="AS403" i="15" s="1"/>
  <c r="AT403" i="15" s="1"/>
  <c r="AJ403" i="15"/>
  <c r="AK403" i="15" s="1"/>
  <c r="AM403" i="15" s="1"/>
  <c r="AQ481" i="15"/>
  <c r="AS481" i="15" s="1"/>
  <c r="AT481" i="15" s="1"/>
  <c r="AJ481" i="15"/>
  <c r="AK481" i="15" s="1"/>
  <c r="AM481" i="15" s="1"/>
  <c r="AQ275" i="15"/>
  <c r="AS275" i="15" s="1"/>
  <c r="AT275" i="15" s="1"/>
  <c r="AJ275" i="15"/>
  <c r="AK275" i="15" s="1"/>
  <c r="AM275" i="15" s="1"/>
  <c r="AQ451" i="15"/>
  <c r="AS451" i="15" s="1"/>
  <c r="AT451" i="15" s="1"/>
  <c r="AJ451" i="15"/>
  <c r="AK451" i="15" s="1"/>
  <c r="AM451" i="15" s="1"/>
  <c r="AQ255" i="15"/>
  <c r="AS255" i="15" s="1"/>
  <c r="AT255" i="15" s="1"/>
  <c r="AJ255" i="15"/>
  <c r="AK255" i="15" s="1"/>
  <c r="AM255" i="15" s="1"/>
  <c r="AQ366" i="15"/>
  <c r="AS366" i="15" s="1"/>
  <c r="AT366" i="15" s="1"/>
  <c r="AJ366" i="15"/>
  <c r="AK366" i="15" s="1"/>
  <c r="AM366" i="15" s="1"/>
  <c r="AQ147" i="15"/>
  <c r="AS147" i="15" s="1"/>
  <c r="AT147" i="15" s="1"/>
  <c r="AJ147" i="15"/>
  <c r="AK147" i="15" s="1"/>
  <c r="AM147" i="15" s="1"/>
  <c r="AQ301" i="15"/>
  <c r="AS301" i="15" s="1"/>
  <c r="AT301" i="15" s="1"/>
  <c r="AJ301" i="15"/>
  <c r="AK301" i="15" s="1"/>
  <c r="AM301" i="15" s="1"/>
  <c r="AQ214" i="15"/>
  <c r="AS214" i="15" s="1"/>
  <c r="AT214" i="15" s="1"/>
  <c r="AJ214" i="15"/>
  <c r="AK214" i="15" s="1"/>
  <c r="AM214" i="15" s="1"/>
  <c r="AQ215" i="15"/>
  <c r="AS215" i="15" s="1"/>
  <c r="AT215" i="15" s="1"/>
  <c r="AJ215" i="15"/>
  <c r="AK215" i="15" s="1"/>
  <c r="AM215" i="15" s="1"/>
  <c r="AQ370" i="15"/>
  <c r="AS370" i="15" s="1"/>
  <c r="AT370" i="15" s="1"/>
  <c r="AJ370" i="15"/>
  <c r="AK370" i="15" s="1"/>
  <c r="AM370" i="15" s="1"/>
  <c r="AQ489" i="15"/>
  <c r="AS489" i="15" s="1"/>
  <c r="AT489" i="15" s="1"/>
  <c r="AJ489" i="15"/>
  <c r="AK489" i="15" s="1"/>
  <c r="AM489" i="15" s="1"/>
  <c r="AQ272" i="15"/>
  <c r="AS272" i="15" s="1"/>
  <c r="AT272" i="15" s="1"/>
  <c r="AJ272" i="15"/>
  <c r="AK272" i="15" s="1"/>
  <c r="AM272" i="15" s="1"/>
  <c r="AQ156" i="15"/>
  <c r="AS156" i="15" s="1"/>
  <c r="AT156" i="15" s="1"/>
  <c r="AJ156" i="15"/>
  <c r="AK156" i="15" s="1"/>
  <c r="AM156" i="15" s="1"/>
  <c r="AQ178" i="15"/>
  <c r="AS178" i="15" s="1"/>
  <c r="AT178" i="15" s="1"/>
  <c r="AJ178" i="15"/>
  <c r="AK178" i="15" s="1"/>
  <c r="AM178" i="15" s="1"/>
  <c r="AQ216" i="15"/>
  <c r="AS216" i="15" s="1"/>
  <c r="AT216" i="15" s="1"/>
  <c r="AJ216" i="15"/>
  <c r="AK216" i="15" s="1"/>
  <c r="AM216" i="15" s="1"/>
  <c r="AQ471" i="15"/>
  <c r="AS471" i="15" s="1"/>
  <c r="AT471" i="15" s="1"/>
  <c r="AJ471" i="15"/>
  <c r="AK471" i="15" s="1"/>
  <c r="AM471" i="15" s="1"/>
  <c r="AQ236" i="15"/>
  <c r="AS236" i="15" s="1"/>
  <c r="AT236" i="15" s="1"/>
  <c r="AJ236" i="15"/>
  <c r="AK236" i="15" s="1"/>
  <c r="AM236" i="15" s="1"/>
  <c r="AQ185" i="15"/>
  <c r="AS185" i="15" s="1"/>
  <c r="AT185" i="15" s="1"/>
  <c r="AJ185" i="15"/>
  <c r="AK185" i="15" s="1"/>
  <c r="AM185" i="15" s="1"/>
  <c r="AQ234" i="15"/>
  <c r="AS234" i="15" s="1"/>
  <c r="AT234" i="15" s="1"/>
  <c r="AJ234" i="15"/>
  <c r="AK234" i="15" s="1"/>
  <c r="AM234" i="15" s="1"/>
  <c r="AQ238" i="15"/>
  <c r="AS238" i="15" s="1"/>
  <c r="AT238" i="15" s="1"/>
  <c r="AJ238" i="15"/>
  <c r="AK238" i="15" s="1"/>
  <c r="AM238" i="15" s="1"/>
  <c r="AQ164" i="15"/>
  <c r="AS164" i="15" s="1"/>
  <c r="AT164" i="15" s="1"/>
  <c r="AJ164" i="15"/>
  <c r="AK164" i="15" s="1"/>
  <c r="AM164" i="15" s="1"/>
  <c r="AQ448" i="15"/>
  <c r="AS448" i="15" s="1"/>
  <c r="AT448" i="15" s="1"/>
  <c r="AJ448" i="15"/>
  <c r="AK448" i="15" s="1"/>
  <c r="AM448" i="15" s="1"/>
  <c r="AQ470" i="15"/>
  <c r="AS470" i="15" s="1"/>
  <c r="AT470" i="15" s="1"/>
  <c r="AJ470" i="15"/>
  <c r="AK470" i="15" s="1"/>
  <c r="AM470" i="15" s="1"/>
  <c r="AQ440" i="15"/>
  <c r="AS440" i="15" s="1"/>
  <c r="AT440" i="15" s="1"/>
  <c r="AJ440" i="15"/>
  <c r="AK440" i="15" s="1"/>
  <c r="AM440" i="15" s="1"/>
  <c r="AQ243" i="15"/>
  <c r="AS243" i="15" s="1"/>
  <c r="AT243" i="15" s="1"/>
  <c r="AJ243" i="15"/>
  <c r="AK243" i="15" s="1"/>
  <c r="AM243" i="15" s="1"/>
  <c r="AQ321" i="15"/>
  <c r="AS321" i="15" s="1"/>
  <c r="AT321" i="15" s="1"/>
  <c r="AJ321" i="15"/>
  <c r="AK321" i="15" s="1"/>
  <c r="AM321" i="15" s="1"/>
  <c r="AQ428" i="15"/>
  <c r="AS428" i="15" s="1"/>
  <c r="AT428" i="15" s="1"/>
  <c r="AJ428" i="15"/>
  <c r="AK428" i="15" s="1"/>
  <c r="AM428" i="15" s="1"/>
  <c r="AQ426" i="15"/>
  <c r="AS426" i="15" s="1"/>
  <c r="AT426" i="15" s="1"/>
  <c r="AJ426" i="15"/>
  <c r="AK426" i="15" s="1"/>
  <c r="AM426" i="15" s="1"/>
  <c r="AQ418" i="15"/>
  <c r="AS418" i="15" s="1"/>
  <c r="AT418" i="15" s="1"/>
  <c r="AJ418" i="15"/>
  <c r="AK418" i="15" s="1"/>
  <c r="AM418" i="15" s="1"/>
  <c r="AQ220" i="15"/>
  <c r="AS220" i="15" s="1"/>
  <c r="AT220" i="15" s="1"/>
  <c r="AJ220" i="15"/>
  <c r="AK220" i="15" s="1"/>
  <c r="AM220" i="15" s="1"/>
  <c r="AQ332" i="15"/>
  <c r="AS332" i="15" s="1"/>
  <c r="AT332" i="15" s="1"/>
  <c r="AJ332" i="15"/>
  <c r="AK332" i="15" s="1"/>
  <c r="AM332" i="15" s="1"/>
  <c r="AQ202" i="15"/>
  <c r="AS202" i="15" s="1"/>
  <c r="AT202" i="15" s="1"/>
  <c r="AJ202" i="15"/>
  <c r="AK202" i="15" s="1"/>
  <c r="AM202" i="15" s="1"/>
  <c r="AQ452" i="15"/>
  <c r="AS452" i="15" s="1"/>
  <c r="AT452" i="15" s="1"/>
  <c r="AJ452" i="15"/>
  <c r="AK452" i="15" s="1"/>
  <c r="AM452" i="15" s="1"/>
  <c r="AQ441" i="15"/>
  <c r="AS441" i="15" s="1"/>
  <c r="AT441" i="15" s="1"/>
  <c r="AJ441" i="15"/>
  <c r="AK441" i="15" s="1"/>
  <c r="AM441" i="15" s="1"/>
  <c r="AQ414" i="15"/>
  <c r="AS414" i="15" s="1"/>
  <c r="AT414" i="15" s="1"/>
  <c r="AJ414" i="15"/>
  <c r="AK414" i="15" s="1"/>
  <c r="AM414" i="15" s="1"/>
  <c r="AQ157" i="15"/>
  <c r="AS157" i="15" s="1"/>
  <c r="AT157" i="15" s="1"/>
  <c r="AJ157" i="15"/>
  <c r="AK157" i="15" s="1"/>
  <c r="AM157" i="15" s="1"/>
  <c r="AQ307" i="15"/>
  <c r="AS307" i="15" s="1"/>
  <c r="AT307" i="15" s="1"/>
  <c r="AJ307" i="15"/>
  <c r="AK307" i="15" s="1"/>
  <c r="AM307" i="15" s="1"/>
  <c r="AQ354" i="15"/>
  <c r="AS354" i="15" s="1"/>
  <c r="AT354" i="15" s="1"/>
  <c r="AJ354" i="15"/>
  <c r="AK354" i="15" s="1"/>
  <c r="AM354" i="15" s="1"/>
  <c r="AQ237" i="15"/>
  <c r="AS237" i="15" s="1"/>
  <c r="AT237" i="15" s="1"/>
  <c r="AJ237" i="15"/>
  <c r="AK237" i="15" s="1"/>
  <c r="AM237" i="15" s="1"/>
  <c r="AQ365" i="15"/>
  <c r="AS365" i="15" s="1"/>
  <c r="AT365" i="15" s="1"/>
  <c r="AJ365" i="15"/>
  <c r="AK365" i="15" s="1"/>
  <c r="AM365" i="15" s="1"/>
  <c r="AQ387" i="15"/>
  <c r="AS387" i="15" s="1"/>
  <c r="AT387" i="15" s="1"/>
  <c r="AJ387" i="15"/>
  <c r="AK387" i="15" s="1"/>
  <c r="AM387" i="15" s="1"/>
  <c r="AQ386" i="15"/>
  <c r="AS386" i="15" s="1"/>
  <c r="AT386" i="15" s="1"/>
  <c r="AJ386" i="15"/>
  <c r="AK386" i="15" s="1"/>
  <c r="AM386" i="15" s="1"/>
  <c r="AQ486" i="15"/>
  <c r="AS486" i="15" s="1"/>
  <c r="AT486" i="15" s="1"/>
  <c r="AJ486" i="15"/>
  <c r="AK486" i="15" s="1"/>
  <c r="AM486" i="15" s="1"/>
  <c r="AQ443" i="15"/>
  <c r="AS443" i="15" s="1"/>
  <c r="AT443" i="15" s="1"/>
  <c r="AJ443" i="15"/>
  <c r="AK443" i="15" s="1"/>
  <c r="AM443" i="15" s="1"/>
  <c r="AQ323" i="15"/>
  <c r="AS323" i="15" s="1"/>
  <c r="AT323" i="15" s="1"/>
  <c r="AJ323" i="15"/>
  <c r="AK323" i="15" s="1"/>
  <c r="AM323" i="15" s="1"/>
  <c r="AQ303" i="15"/>
  <c r="AS303" i="15" s="1"/>
  <c r="AT303" i="15" s="1"/>
  <c r="AJ303" i="15"/>
  <c r="AK303" i="15" s="1"/>
  <c r="AM303" i="15" s="1"/>
  <c r="AQ462" i="15"/>
  <c r="AS462" i="15" s="1"/>
  <c r="AT462" i="15" s="1"/>
  <c r="AJ462" i="15"/>
  <c r="AK462" i="15" s="1"/>
  <c r="AM462" i="15" s="1"/>
  <c r="AQ405" i="15"/>
  <c r="AS405" i="15" s="1"/>
  <c r="AT405" i="15" s="1"/>
  <c r="AJ405" i="15"/>
  <c r="AK405" i="15" s="1"/>
  <c r="AM405" i="15" s="1"/>
  <c r="AQ181" i="15"/>
  <c r="AS181" i="15" s="1"/>
  <c r="AT181" i="15" s="1"/>
  <c r="AJ181" i="15"/>
  <c r="AK181" i="15" s="1"/>
  <c r="AM181" i="15" s="1"/>
  <c r="AQ276" i="15"/>
  <c r="AS276" i="15" s="1"/>
  <c r="AT276" i="15" s="1"/>
  <c r="AJ276" i="15"/>
  <c r="AK276" i="15" s="1"/>
  <c r="AM276" i="15" s="1"/>
  <c r="AQ412" i="15"/>
  <c r="AS412" i="15" s="1"/>
  <c r="AT412" i="15" s="1"/>
  <c r="AJ412" i="15"/>
  <c r="AK412" i="15" s="1"/>
  <c r="AM412" i="15" s="1"/>
  <c r="AQ461" i="15"/>
  <c r="AS461" i="15" s="1"/>
  <c r="AT461" i="15" s="1"/>
  <c r="AJ461" i="15"/>
  <c r="AK461" i="15" s="1"/>
  <c r="AM461" i="15" s="1"/>
  <c r="AQ357" i="15"/>
  <c r="AS357" i="15" s="1"/>
  <c r="AT357" i="15" s="1"/>
  <c r="AJ357" i="15"/>
  <c r="AK357" i="15" s="1"/>
  <c r="AM357" i="15" s="1"/>
  <c r="AQ210" i="15"/>
  <c r="AS210" i="15" s="1"/>
  <c r="AT210" i="15" s="1"/>
  <c r="AJ210" i="15"/>
  <c r="AK210" i="15" s="1"/>
  <c r="AM210" i="15" s="1"/>
  <c r="AQ165" i="15"/>
  <c r="AS165" i="15" s="1"/>
  <c r="AT165" i="15" s="1"/>
  <c r="AJ165" i="15"/>
  <c r="AK165" i="15" s="1"/>
  <c r="AM165" i="15" s="1"/>
  <c r="AQ153" i="15"/>
  <c r="AS153" i="15" s="1"/>
  <c r="AT153" i="15" s="1"/>
  <c r="AJ153" i="15"/>
  <c r="AK153" i="15" s="1"/>
  <c r="AM153" i="15" s="1"/>
  <c r="AQ333" i="15"/>
  <c r="AS333" i="15" s="1"/>
  <c r="AT333" i="15" s="1"/>
  <c r="AJ333" i="15"/>
  <c r="AK333" i="15" s="1"/>
  <c r="AM333" i="15" s="1"/>
  <c r="AQ162" i="15"/>
  <c r="AS162" i="15" s="1"/>
  <c r="AT162" i="15" s="1"/>
  <c r="AJ162" i="15"/>
  <c r="AK162" i="15" s="1"/>
  <c r="AM162" i="15" s="1"/>
  <c r="AQ367" i="15"/>
  <c r="AS367" i="15" s="1"/>
  <c r="AT367" i="15" s="1"/>
  <c r="AJ367" i="15"/>
  <c r="AK367" i="15" s="1"/>
  <c r="AM367" i="15" s="1"/>
  <c r="AQ309" i="15"/>
  <c r="AS309" i="15" s="1"/>
  <c r="AT309" i="15" s="1"/>
  <c r="AJ309" i="15"/>
  <c r="AK309" i="15" s="1"/>
  <c r="AM309" i="15" s="1"/>
  <c r="AQ325" i="15"/>
  <c r="AS325" i="15" s="1"/>
  <c r="AT325" i="15" s="1"/>
  <c r="AJ325" i="15"/>
  <c r="AK325" i="15" s="1"/>
  <c r="AM325" i="15" s="1"/>
  <c r="AQ400" i="15"/>
  <c r="AS400" i="15" s="1"/>
  <c r="AT400" i="15" s="1"/>
  <c r="AJ400" i="15"/>
  <c r="AK400" i="15" s="1"/>
  <c r="AM400" i="15" s="1"/>
  <c r="AQ315" i="15"/>
  <c r="AS315" i="15" s="1"/>
  <c r="AT315" i="15" s="1"/>
  <c r="AJ315" i="15"/>
  <c r="AK315" i="15" s="1"/>
  <c r="AM315" i="15" s="1"/>
  <c r="AQ259" i="15"/>
  <c r="AS259" i="15" s="1"/>
  <c r="AT259" i="15" s="1"/>
  <c r="AJ259" i="15"/>
  <c r="AK259" i="15" s="1"/>
  <c r="AM259" i="15" s="1"/>
  <c r="AQ362" i="15"/>
  <c r="AS362" i="15" s="1"/>
  <c r="AT362" i="15" s="1"/>
  <c r="AJ362" i="15"/>
  <c r="AK362" i="15" s="1"/>
  <c r="AM362" i="15" s="1"/>
  <c r="AQ341" i="15"/>
  <c r="AS341" i="15" s="1"/>
  <c r="AT341" i="15" s="1"/>
  <c r="AJ341" i="15"/>
  <c r="AK341" i="15" s="1"/>
  <c r="AM341" i="15" s="1"/>
  <c r="AQ232" i="15"/>
  <c r="AS232" i="15" s="1"/>
  <c r="AT232" i="15" s="1"/>
  <c r="AJ232" i="15"/>
  <c r="AK232" i="15" s="1"/>
  <c r="AM232" i="15" s="1"/>
  <c r="AQ432" i="15"/>
  <c r="AS432" i="15" s="1"/>
  <c r="AT432" i="15" s="1"/>
  <c r="AJ432" i="15"/>
  <c r="AK432" i="15" s="1"/>
  <c r="AM432" i="15" s="1"/>
  <c r="AQ280" i="15"/>
  <c r="AS280" i="15" s="1"/>
  <c r="AT280" i="15" s="1"/>
  <c r="AJ280" i="15"/>
  <c r="AK280" i="15" s="1"/>
  <c r="AM280" i="15" s="1"/>
  <c r="AQ282" i="15"/>
  <c r="AS282" i="15" s="1"/>
  <c r="AT282" i="15" s="1"/>
  <c r="AJ282" i="15"/>
  <c r="AK282" i="15" s="1"/>
  <c r="AM282" i="15" s="1"/>
  <c r="AQ436" i="15"/>
  <c r="AS436" i="15" s="1"/>
  <c r="AT436" i="15" s="1"/>
  <c r="AJ436" i="15"/>
  <c r="AK436" i="15" s="1"/>
  <c r="AM436" i="15" s="1"/>
  <c r="AQ460" i="15"/>
  <c r="AS460" i="15" s="1"/>
  <c r="AT460" i="15" s="1"/>
  <c r="AJ460" i="15"/>
  <c r="AK460" i="15" s="1"/>
  <c r="AM460" i="15" s="1"/>
  <c r="AQ286" i="15"/>
  <c r="AS286" i="15" s="1"/>
  <c r="AT286" i="15" s="1"/>
  <c r="AJ286" i="15"/>
  <c r="AK286" i="15" s="1"/>
  <c r="AM286" i="15" s="1"/>
  <c r="AQ155" i="15"/>
  <c r="AS155" i="15" s="1"/>
  <c r="AT155" i="15" s="1"/>
  <c r="AJ155" i="15"/>
  <c r="AK155" i="15" s="1"/>
  <c r="AM155" i="15" s="1"/>
  <c r="AQ430" i="15"/>
  <c r="AS430" i="15" s="1"/>
  <c r="AT430" i="15" s="1"/>
  <c r="AJ430" i="15"/>
  <c r="AK430" i="15" s="1"/>
  <c r="AM430" i="15" s="1"/>
  <c r="AQ246" i="15"/>
  <c r="AS246" i="15" s="1"/>
  <c r="AT246" i="15" s="1"/>
  <c r="AJ246" i="15"/>
  <c r="AK246" i="15" s="1"/>
  <c r="AM246" i="15" s="1"/>
  <c r="AQ225" i="15"/>
  <c r="AS225" i="15" s="1"/>
  <c r="AT225" i="15" s="1"/>
  <c r="AJ225" i="15"/>
  <c r="AK225" i="15" s="1"/>
  <c r="AM225" i="15" s="1"/>
  <c r="AQ383" i="15"/>
  <c r="AS383" i="15" s="1"/>
  <c r="AT383" i="15" s="1"/>
  <c r="AJ383" i="15"/>
  <c r="AK383" i="15" s="1"/>
  <c r="AM383" i="15" s="1"/>
  <c r="AQ369" i="15"/>
  <c r="AS369" i="15" s="1"/>
  <c r="AT369" i="15" s="1"/>
  <c r="AJ369" i="15"/>
  <c r="AK369" i="15" s="1"/>
  <c r="AM369" i="15" s="1"/>
  <c r="AQ254" i="15"/>
  <c r="AS254" i="15" s="1"/>
  <c r="AT254" i="15" s="1"/>
  <c r="AJ254" i="15"/>
  <c r="AK254" i="15" s="1"/>
  <c r="AM254" i="15" s="1"/>
  <c r="AQ278" i="15"/>
  <c r="AS278" i="15" s="1"/>
  <c r="AT278" i="15" s="1"/>
  <c r="AJ278" i="15"/>
  <c r="AK278" i="15" s="1"/>
  <c r="AM278" i="15" s="1"/>
  <c r="AQ213" i="15"/>
  <c r="AS213" i="15" s="1"/>
  <c r="AT213" i="15" s="1"/>
  <c r="AJ213" i="15"/>
  <c r="AK213" i="15" s="1"/>
  <c r="AM213" i="15" s="1"/>
  <c r="AQ439" i="15"/>
  <c r="AS439" i="15" s="1"/>
  <c r="AT439" i="15" s="1"/>
  <c r="AJ439" i="15"/>
  <c r="AK439" i="15" s="1"/>
  <c r="AM439" i="15" s="1"/>
  <c r="AQ358" i="15"/>
  <c r="AS358" i="15" s="1"/>
  <c r="AT358" i="15" s="1"/>
  <c r="AJ358" i="15"/>
  <c r="AK358" i="15" s="1"/>
  <c r="AM358" i="15" s="1"/>
  <c r="AQ474" i="15"/>
  <c r="AS474" i="15" s="1"/>
  <c r="AT474" i="15" s="1"/>
  <c r="AJ474" i="15"/>
  <c r="AK474" i="15" s="1"/>
  <c r="AM474" i="15" s="1"/>
  <c r="AQ477" i="15"/>
  <c r="AS477" i="15" s="1"/>
  <c r="AT477" i="15" s="1"/>
  <c r="AJ477" i="15"/>
  <c r="AK477" i="15" s="1"/>
  <c r="AM477" i="15" s="1"/>
  <c r="AQ296" i="15"/>
  <c r="AS296" i="15" s="1"/>
  <c r="AT296" i="15" s="1"/>
  <c r="AJ296" i="15"/>
  <c r="AK296" i="15" s="1"/>
  <c r="AM296" i="15" s="1"/>
  <c r="AQ273" i="15"/>
  <c r="AS273" i="15" s="1"/>
  <c r="AT273" i="15" s="1"/>
  <c r="AJ273" i="15"/>
  <c r="AK273" i="15" s="1"/>
  <c r="AM273" i="15" s="1"/>
  <c r="AQ208" i="15"/>
  <c r="AS208" i="15" s="1"/>
  <c r="AT208" i="15" s="1"/>
  <c r="AJ208" i="15"/>
  <c r="AK208" i="15" s="1"/>
  <c r="AM208" i="15" s="1"/>
  <c r="AQ483" i="15"/>
  <c r="AS483" i="15" s="1"/>
  <c r="AT483" i="15" s="1"/>
  <c r="AJ483" i="15"/>
  <c r="AK483" i="15" s="1"/>
  <c r="AM483" i="15" s="1"/>
  <c r="AQ311" i="15"/>
  <c r="AS311" i="15" s="1"/>
  <c r="AT311" i="15" s="1"/>
  <c r="AJ311" i="15"/>
  <c r="AK311" i="15" s="1"/>
  <c r="AM311" i="15" s="1"/>
  <c r="AQ248" i="15"/>
  <c r="AS248" i="15" s="1"/>
  <c r="AT248" i="15" s="1"/>
  <c r="AJ248" i="15"/>
  <c r="AK248" i="15" s="1"/>
  <c r="AM248" i="15" s="1"/>
  <c r="AQ200" i="15"/>
  <c r="AS200" i="15" s="1"/>
  <c r="AT200" i="15" s="1"/>
  <c r="AJ200" i="15"/>
  <c r="AK200" i="15" s="1"/>
  <c r="AM200" i="15" s="1"/>
  <c r="AQ437" i="15"/>
  <c r="AS437" i="15" s="1"/>
  <c r="AT437" i="15" s="1"/>
  <c r="AJ437" i="15"/>
  <c r="AK437" i="15" s="1"/>
  <c r="AM437" i="15" s="1"/>
  <c r="AQ449" i="15"/>
  <c r="AS449" i="15" s="1"/>
  <c r="AT449" i="15" s="1"/>
  <c r="AJ449" i="15"/>
  <c r="AK449" i="15" s="1"/>
  <c r="AM449" i="15" s="1"/>
  <c r="AQ187" i="15"/>
  <c r="AS187" i="15" s="1"/>
  <c r="AT187" i="15" s="1"/>
  <c r="AJ187" i="15"/>
  <c r="AK187" i="15" s="1"/>
  <c r="AM187" i="15" s="1"/>
  <c r="AQ434" i="15"/>
  <c r="AS434" i="15" s="1"/>
  <c r="AT434" i="15" s="1"/>
  <c r="AJ434" i="15"/>
  <c r="AK434" i="15" s="1"/>
  <c r="AM434" i="15" s="1"/>
  <c r="AQ306" i="15"/>
  <c r="AS306" i="15" s="1"/>
  <c r="AT306" i="15" s="1"/>
  <c r="AJ306" i="15"/>
  <c r="AK306" i="15" s="1"/>
  <c r="AM306" i="15" s="1"/>
  <c r="AQ175" i="15"/>
  <c r="AS175" i="15" s="1"/>
  <c r="AT175" i="15" s="1"/>
  <c r="AJ175" i="15"/>
  <c r="AK175" i="15" s="1"/>
  <c r="AM175" i="15" s="1"/>
  <c r="AQ485" i="15"/>
  <c r="AS485" i="15" s="1"/>
  <c r="AT485" i="15" s="1"/>
  <c r="AJ485" i="15"/>
  <c r="AK485" i="15" s="1"/>
  <c r="AM485" i="15" s="1"/>
  <c r="AQ222" i="15"/>
  <c r="AS222" i="15" s="1"/>
  <c r="AT222" i="15" s="1"/>
  <c r="AJ222" i="15"/>
  <c r="AK222" i="15" s="1"/>
  <c r="AM222" i="15" s="1"/>
  <c r="AQ457" i="15"/>
  <c r="AS457" i="15" s="1"/>
  <c r="AT457" i="15" s="1"/>
  <c r="AJ457" i="15"/>
  <c r="AK457" i="15" s="1"/>
  <c r="AM457" i="15" s="1"/>
  <c r="AQ179" i="15"/>
  <c r="AS179" i="15" s="1"/>
  <c r="AT179" i="15" s="1"/>
  <c r="AJ179" i="15"/>
  <c r="AK179" i="15" s="1"/>
  <c r="AM179" i="15" s="1"/>
  <c r="AQ406" i="15"/>
  <c r="AS406" i="15" s="1"/>
  <c r="AT406" i="15" s="1"/>
  <c r="AJ406" i="15"/>
  <c r="AK406" i="15" s="1"/>
  <c r="AM406" i="15" s="1"/>
  <c r="AQ424" i="15"/>
  <c r="AS424" i="15" s="1"/>
  <c r="AT424" i="15" s="1"/>
  <c r="AJ424" i="15"/>
  <c r="AK424" i="15" s="1"/>
  <c r="AM424" i="15" s="1"/>
  <c r="AQ161" i="15"/>
  <c r="AS161" i="15" s="1"/>
  <c r="AT161" i="15" s="1"/>
  <c r="AJ161" i="15"/>
  <c r="AK161" i="15" s="1"/>
  <c r="AM161" i="15" s="1"/>
  <c r="AQ491" i="15"/>
  <c r="AS491" i="15" s="1"/>
  <c r="AT491" i="15" s="1"/>
  <c r="AJ491" i="15"/>
  <c r="AK491" i="15" s="1"/>
  <c r="AM491" i="15" s="1"/>
  <c r="AQ492" i="15"/>
  <c r="AS492" i="15" s="1"/>
  <c r="AT492" i="15" s="1"/>
  <c r="AJ492" i="15"/>
  <c r="AK492" i="15" s="1"/>
  <c r="AM492" i="15" s="1"/>
  <c r="AQ209" i="15"/>
  <c r="AS209" i="15" s="1"/>
  <c r="AT209" i="15" s="1"/>
  <c r="AJ209" i="15"/>
  <c r="AK209" i="15" s="1"/>
  <c r="AM209" i="15" s="1"/>
  <c r="AQ475" i="15"/>
  <c r="AS475" i="15" s="1"/>
  <c r="AT475" i="15" s="1"/>
  <c r="AJ475" i="15"/>
  <c r="AK475" i="15" s="1"/>
  <c r="AM475" i="15" s="1"/>
  <c r="AQ389" i="15"/>
  <c r="AS389" i="15" s="1"/>
  <c r="AT389" i="15" s="1"/>
  <c r="AJ389" i="15"/>
  <c r="AK389" i="15" s="1"/>
  <c r="AM389" i="15" s="1"/>
  <c r="AQ456" i="15"/>
  <c r="AS456" i="15" s="1"/>
  <c r="AT456" i="15" s="1"/>
  <c r="AJ456" i="15"/>
  <c r="AK456" i="15" s="1"/>
  <c r="AM456" i="15" s="1"/>
  <c r="AQ339" i="15"/>
  <c r="AS339" i="15" s="1"/>
  <c r="AT339" i="15" s="1"/>
  <c r="AJ339" i="15"/>
  <c r="AK339" i="15" s="1"/>
  <c r="AM339" i="15" s="1"/>
  <c r="AQ212" i="15"/>
  <c r="AS212" i="15" s="1"/>
  <c r="AT212" i="15" s="1"/>
  <c r="AJ212" i="15"/>
  <c r="AK212" i="15" s="1"/>
  <c r="AM212" i="15" s="1"/>
  <c r="AQ289" i="15"/>
  <c r="AS289" i="15" s="1"/>
  <c r="AT289" i="15" s="1"/>
  <c r="AJ289" i="15"/>
  <c r="AK289" i="15" s="1"/>
  <c r="AM289" i="15" s="1"/>
  <c r="AQ390" i="15"/>
  <c r="AS390" i="15" s="1"/>
  <c r="AT390" i="15" s="1"/>
  <c r="AJ390" i="15"/>
  <c r="AK390" i="15" s="1"/>
  <c r="AM390" i="15" s="1"/>
  <c r="AQ465" i="15"/>
  <c r="AS465" i="15" s="1"/>
  <c r="AT465" i="15" s="1"/>
  <c r="AJ465" i="15"/>
  <c r="AK465" i="15" s="1"/>
  <c r="AM465" i="15" s="1"/>
  <c r="AQ473" i="15"/>
  <c r="AS473" i="15" s="1"/>
  <c r="AT473" i="15" s="1"/>
  <c r="AJ473" i="15"/>
  <c r="AK473" i="15" s="1"/>
  <c r="AM473" i="15" s="1"/>
  <c r="AQ226" i="15"/>
  <c r="AS226" i="15" s="1"/>
  <c r="AT226" i="15" s="1"/>
  <c r="AJ226" i="15"/>
  <c r="AK226" i="15" s="1"/>
  <c r="AM226" i="15" s="1"/>
  <c r="AQ409" i="15"/>
  <c r="AS409" i="15" s="1"/>
  <c r="AT409" i="15" s="1"/>
  <c r="AJ409" i="15"/>
  <c r="AK409" i="15" s="1"/>
  <c r="AM409" i="15" s="1"/>
  <c r="AQ283" i="15"/>
  <c r="AS283" i="15" s="1"/>
  <c r="AT283" i="15" s="1"/>
  <c r="AJ283" i="15"/>
  <c r="AK283" i="15" s="1"/>
  <c r="AM283" i="15" s="1"/>
  <c r="AQ343" i="15"/>
  <c r="AS343" i="15" s="1"/>
  <c r="AT343" i="15" s="1"/>
  <c r="AJ343" i="15"/>
  <c r="AK343" i="15" s="1"/>
  <c r="AM343" i="15" s="1"/>
  <c r="AQ171" i="15"/>
  <c r="AS171" i="15" s="1"/>
  <c r="AT171" i="15" s="1"/>
  <c r="AJ171" i="15"/>
  <c r="AK171" i="15" s="1"/>
  <c r="AM171" i="15" s="1"/>
  <c r="AQ342" i="15"/>
  <c r="AS342" i="15" s="1"/>
  <c r="AT342" i="15" s="1"/>
  <c r="AJ342" i="15"/>
  <c r="AK342" i="15" s="1"/>
  <c r="AM342" i="15" s="1"/>
  <c r="AQ376" i="15"/>
  <c r="AS376" i="15" s="1"/>
  <c r="AT376" i="15" s="1"/>
  <c r="AJ376" i="15"/>
  <c r="AK376" i="15" s="1"/>
  <c r="AM376" i="15" s="1"/>
  <c r="AQ328" i="15"/>
  <c r="AS328" i="15" s="1"/>
  <c r="AT328" i="15" s="1"/>
  <c r="AJ328" i="15"/>
  <c r="AK328" i="15" s="1"/>
  <c r="AM328" i="15" s="1"/>
  <c r="AQ331" i="15"/>
  <c r="AS331" i="15" s="1"/>
  <c r="AT331" i="15" s="1"/>
  <c r="AJ331" i="15"/>
  <c r="AK331" i="15" s="1"/>
  <c r="AM331" i="15" s="1"/>
  <c r="AQ244" i="15"/>
  <c r="AS244" i="15" s="1"/>
  <c r="AT244" i="15" s="1"/>
  <c r="AJ244" i="15"/>
  <c r="AK244" i="15" s="1"/>
  <c r="AM244" i="15" s="1"/>
  <c r="AQ361" i="15"/>
  <c r="AS361" i="15" s="1"/>
  <c r="AT361" i="15" s="1"/>
  <c r="AJ361" i="15"/>
  <c r="AK361" i="15" s="1"/>
  <c r="AM361" i="15" s="1"/>
  <c r="AQ268" i="15"/>
  <c r="AS268" i="15" s="1"/>
  <c r="AT268" i="15" s="1"/>
  <c r="AJ268" i="15"/>
  <c r="AK268" i="15" s="1"/>
  <c r="AM268" i="15" s="1"/>
  <c r="AQ422" i="15"/>
  <c r="AS422" i="15" s="1"/>
  <c r="AT422" i="15" s="1"/>
  <c r="AJ422" i="15"/>
  <c r="AK422" i="15" s="1"/>
  <c r="AM422" i="15" s="1"/>
  <c r="AQ401" i="15"/>
  <c r="AS401" i="15" s="1"/>
  <c r="AT401" i="15" s="1"/>
  <c r="AJ401" i="15"/>
  <c r="AK401" i="15" s="1"/>
  <c r="AM401" i="15" s="1"/>
  <c r="AQ270" i="15"/>
  <c r="AS270" i="15" s="1"/>
  <c r="AT270" i="15" s="1"/>
  <c r="AJ270" i="15"/>
  <c r="AK270" i="15" s="1"/>
  <c r="AM270" i="15" s="1"/>
  <c r="AQ431" i="15"/>
  <c r="AS431" i="15" s="1"/>
  <c r="AT431" i="15" s="1"/>
  <c r="AJ431" i="15"/>
  <c r="AK431" i="15" s="1"/>
  <c r="AM431" i="15" s="1"/>
  <c r="AQ183" i="15"/>
  <c r="AS183" i="15" s="1"/>
  <c r="AT183" i="15" s="1"/>
  <c r="AJ183" i="15"/>
  <c r="AK183" i="15" s="1"/>
  <c r="AM183" i="15" s="1"/>
  <c r="AQ338" i="15"/>
  <c r="AS338" i="15" s="1"/>
  <c r="AT338" i="15" s="1"/>
  <c r="AJ338" i="15"/>
  <c r="AK338" i="15" s="1"/>
  <c r="AM338" i="15" s="1"/>
  <c r="AQ363" i="15"/>
  <c r="AS363" i="15" s="1"/>
  <c r="AT363" i="15" s="1"/>
  <c r="AJ363" i="15"/>
  <c r="AK363" i="15" s="1"/>
  <c r="AM363" i="15" s="1"/>
  <c r="AQ300" i="15"/>
  <c r="AS300" i="15" s="1"/>
  <c r="AT300" i="15" s="1"/>
  <c r="AJ300" i="15"/>
  <c r="AK300" i="15" s="1"/>
  <c r="AM300" i="15" s="1"/>
  <c r="AQ454" i="15"/>
  <c r="AS454" i="15" s="1"/>
  <c r="AT454" i="15" s="1"/>
  <c r="AJ454" i="15"/>
  <c r="AK454" i="15" s="1"/>
  <c r="AM454" i="15" s="1"/>
  <c r="AQ302" i="15"/>
  <c r="AS302" i="15" s="1"/>
  <c r="AT302" i="15" s="1"/>
  <c r="AJ302" i="15"/>
  <c r="AK302" i="15" s="1"/>
  <c r="AM302" i="15" s="1"/>
  <c r="AQ458" i="15"/>
  <c r="AS458" i="15" s="1"/>
  <c r="AT458" i="15" s="1"/>
  <c r="AJ458" i="15"/>
  <c r="AK458" i="15" s="1"/>
  <c r="AM458" i="15" s="1"/>
  <c r="AQ249" i="15"/>
  <c r="AS249" i="15" s="1"/>
  <c r="AT249" i="15" s="1"/>
  <c r="AJ249" i="15"/>
  <c r="AK249" i="15" s="1"/>
  <c r="AM249" i="15" s="1"/>
  <c r="AQ317" i="15"/>
  <c r="AS317" i="15" s="1"/>
  <c r="AT317" i="15" s="1"/>
  <c r="AJ317" i="15"/>
  <c r="AK317" i="15" s="1"/>
  <c r="AM317" i="15" s="1"/>
  <c r="AQ356" i="15"/>
  <c r="AS356" i="15" s="1"/>
  <c r="AT356" i="15" s="1"/>
  <c r="AJ356" i="15"/>
  <c r="AK356" i="15" s="1"/>
  <c r="AM356" i="15" s="1"/>
  <c r="AQ163" i="15"/>
  <c r="AS163" i="15" s="1"/>
  <c r="AT163" i="15" s="1"/>
  <c r="AJ163" i="15"/>
  <c r="AK163" i="15" s="1"/>
  <c r="AM163" i="15" s="1"/>
  <c r="AQ166" i="15"/>
  <c r="AS166" i="15" s="1"/>
  <c r="AT166" i="15" s="1"/>
  <c r="AJ166" i="15"/>
  <c r="AK166" i="15" s="1"/>
  <c r="AM166" i="15" s="1"/>
  <c r="AQ472" i="15"/>
  <c r="AS472" i="15" s="1"/>
  <c r="AT472" i="15" s="1"/>
  <c r="AJ472" i="15"/>
  <c r="AK472" i="15" s="1"/>
  <c r="AM472" i="15" s="1"/>
  <c r="AQ169" i="15"/>
  <c r="AS169" i="15" s="1"/>
  <c r="AT169" i="15" s="1"/>
  <c r="AJ169" i="15"/>
  <c r="AK169" i="15" s="1"/>
  <c r="AM169" i="15" s="1"/>
  <c r="AQ294" i="15"/>
  <c r="AS294" i="15" s="1"/>
  <c r="AT294" i="15" s="1"/>
  <c r="AJ294" i="15"/>
  <c r="AK294" i="15" s="1"/>
  <c r="AM294" i="15" s="1"/>
  <c r="AQ319" i="15"/>
  <c r="AS319" i="15" s="1"/>
  <c r="AT319" i="15" s="1"/>
  <c r="AJ319" i="15"/>
  <c r="AK319" i="15" s="1"/>
  <c r="AM319" i="15" s="1"/>
  <c r="AQ391" i="15"/>
  <c r="AS391" i="15" s="1"/>
  <c r="AT391" i="15" s="1"/>
  <c r="AJ391" i="15"/>
  <c r="AK391" i="15" s="1"/>
  <c r="AM391" i="15" s="1"/>
  <c r="AQ438" i="15"/>
  <c r="AS438" i="15" s="1"/>
  <c r="AT438" i="15" s="1"/>
  <c r="AJ438" i="15"/>
  <c r="AK438" i="15" s="1"/>
  <c r="AM438" i="15" s="1"/>
  <c r="AQ239" i="15"/>
  <c r="AS239" i="15" s="1"/>
  <c r="AT239" i="15" s="1"/>
  <c r="AJ239" i="15"/>
  <c r="AK239" i="15" s="1"/>
  <c r="AM239" i="15" s="1"/>
  <c r="AQ293" i="15"/>
  <c r="AS293" i="15" s="1"/>
  <c r="AT293" i="15" s="1"/>
  <c r="AJ293" i="15"/>
  <c r="AK293" i="15" s="1"/>
  <c r="AM293" i="15" s="1"/>
  <c r="AQ258" i="15"/>
  <c r="AS258" i="15" s="1"/>
  <c r="AT258" i="15" s="1"/>
  <c r="AJ258" i="15"/>
  <c r="AK258" i="15" s="1"/>
  <c r="AM258" i="15" s="1"/>
  <c r="AQ203" i="15"/>
  <c r="AS203" i="15" s="1"/>
  <c r="AT203" i="15" s="1"/>
  <c r="AJ203" i="15"/>
  <c r="AK203" i="15" s="1"/>
  <c r="AM203" i="15" s="1"/>
  <c r="AQ260" i="15"/>
  <c r="AS260" i="15" s="1"/>
  <c r="AT260" i="15" s="1"/>
  <c r="AJ260" i="15"/>
  <c r="AK260" i="15" s="1"/>
  <c r="AM260" i="15" s="1"/>
  <c r="AQ284" i="15"/>
  <c r="AS284" i="15" s="1"/>
  <c r="AT284" i="15" s="1"/>
  <c r="AJ284" i="15"/>
  <c r="AK284" i="15" s="1"/>
  <c r="AM284" i="15" s="1"/>
  <c r="AQ484" i="15"/>
  <c r="AS484" i="15" s="1"/>
  <c r="AT484" i="15" s="1"/>
  <c r="AJ484" i="15"/>
  <c r="AK484" i="15" s="1"/>
  <c r="AM484" i="15" s="1"/>
  <c r="AQ487" i="15"/>
  <c r="AS487" i="15" s="1"/>
  <c r="AT487" i="15" s="1"/>
  <c r="AJ487" i="15"/>
  <c r="AK487" i="15" s="1"/>
  <c r="AM487" i="15" s="1"/>
  <c r="AQ469" i="15"/>
  <c r="AS469" i="15" s="1"/>
  <c r="AT469" i="15" s="1"/>
  <c r="AJ469" i="15"/>
  <c r="AK469" i="15" s="1"/>
  <c r="AM469" i="15" s="1"/>
  <c r="AQ316" i="15"/>
  <c r="AS316" i="15" s="1"/>
  <c r="AT316" i="15" s="1"/>
  <c r="AJ316" i="15"/>
  <c r="AK316" i="15" s="1"/>
  <c r="AM316" i="15" s="1"/>
  <c r="AQ463" i="15"/>
  <c r="AS463" i="15" s="1"/>
  <c r="AT463" i="15" s="1"/>
  <c r="AJ463" i="15"/>
  <c r="AK463" i="15" s="1"/>
  <c r="AM463" i="15" s="1"/>
  <c r="AQ152" i="15"/>
  <c r="AS152" i="15" s="1"/>
  <c r="AT152" i="15" s="1"/>
  <c r="AJ152" i="15"/>
  <c r="AK152" i="15" s="1"/>
  <c r="AM152" i="15" s="1"/>
  <c r="AQ482" i="15"/>
  <c r="AS482" i="15" s="1"/>
  <c r="AT482" i="15" s="1"/>
  <c r="AJ482" i="15"/>
  <c r="AK482" i="15" s="1"/>
  <c r="AM482" i="15" s="1"/>
  <c r="AQ308" i="15"/>
  <c r="AS308" i="15" s="1"/>
  <c r="AT308" i="15" s="1"/>
  <c r="AJ308" i="15"/>
  <c r="AK308" i="15" s="1"/>
  <c r="AM308" i="15" s="1"/>
  <c r="AQ398" i="15"/>
  <c r="AS398" i="15" s="1"/>
  <c r="AT398" i="15" s="1"/>
  <c r="AJ398" i="15"/>
  <c r="AK398" i="15" s="1"/>
  <c r="AM398" i="15" s="1"/>
  <c r="AQ201" i="15"/>
  <c r="AS201" i="15" s="1"/>
  <c r="AT201" i="15" s="1"/>
  <c r="AJ201" i="15"/>
  <c r="AK201" i="15" s="1"/>
  <c r="AM201" i="15" s="1"/>
  <c r="AQ355" i="15"/>
  <c r="AS355" i="15" s="1"/>
  <c r="AT355" i="15" s="1"/>
  <c r="AJ355" i="15"/>
  <c r="AK355" i="15" s="1"/>
  <c r="AM355" i="15" s="1"/>
  <c r="AQ247" i="15"/>
  <c r="AS247" i="15" s="1"/>
  <c r="AT247" i="15" s="1"/>
  <c r="AJ247" i="15"/>
  <c r="AK247" i="15" s="1"/>
  <c r="AM247" i="15" s="1"/>
  <c r="AQ493" i="15"/>
  <c r="AS493" i="15" s="1"/>
  <c r="AT493" i="15" s="1"/>
  <c r="AJ493" i="15"/>
  <c r="AK493" i="15" s="1"/>
  <c r="AM493" i="15" s="1"/>
  <c r="AQ337" i="15"/>
  <c r="AS337" i="15" s="1"/>
  <c r="AT337" i="15" s="1"/>
  <c r="AJ337" i="15"/>
  <c r="AK337" i="15" s="1"/>
  <c r="AM337" i="15" s="1"/>
  <c r="AQ435" i="15"/>
  <c r="AS435" i="15" s="1"/>
  <c r="AT435" i="15" s="1"/>
  <c r="AJ435" i="15"/>
  <c r="AK435" i="15" s="1"/>
  <c r="AM435" i="15" s="1"/>
  <c r="AQ184" i="15"/>
  <c r="AS184" i="15" s="1"/>
  <c r="AT184" i="15" s="1"/>
  <c r="AJ184" i="15"/>
  <c r="AK184" i="15" s="1"/>
  <c r="AM184" i="15" s="1"/>
  <c r="AQ347" i="15"/>
  <c r="AS347" i="15" s="1"/>
  <c r="AT347" i="15" s="1"/>
  <c r="AJ347" i="15"/>
  <c r="AK347" i="15" s="1"/>
  <c r="AM347" i="15" s="1"/>
  <c r="AQ235" i="15"/>
  <c r="AS235" i="15" s="1"/>
  <c r="AT235" i="15" s="1"/>
  <c r="AJ235" i="15"/>
  <c r="AK235" i="15" s="1"/>
  <c r="AM235" i="15" s="1"/>
  <c r="AQ148" i="15"/>
  <c r="AS148" i="15" s="1"/>
  <c r="AT148" i="15" s="1"/>
  <c r="AJ148" i="15"/>
  <c r="AK148" i="15" s="1"/>
  <c r="AM148" i="15" s="1"/>
  <c r="AQ304" i="15"/>
  <c r="AS304" i="15" s="1"/>
  <c r="AT304" i="15" s="1"/>
  <c r="AJ304" i="15"/>
  <c r="AK304" i="15" s="1"/>
  <c r="AM304" i="15" s="1"/>
  <c r="AQ188" i="15"/>
  <c r="AS188" i="15" s="1"/>
  <c r="AT188" i="15" s="1"/>
  <c r="AJ188" i="15"/>
  <c r="AK188" i="15" s="1"/>
  <c r="AM188" i="15" s="1"/>
  <c r="AQ388" i="15"/>
  <c r="AS388" i="15" s="1"/>
  <c r="AT388" i="15" s="1"/>
  <c r="AJ388" i="15"/>
  <c r="AK388" i="15" s="1"/>
  <c r="AM388" i="15" s="1"/>
  <c r="AQ378" i="15"/>
  <c r="AS378" i="15" s="1"/>
  <c r="AT378" i="15" s="1"/>
  <c r="AJ378" i="15"/>
  <c r="AK378" i="15" s="1"/>
  <c r="AM378" i="15" s="1"/>
  <c r="AQ447" i="15"/>
  <c r="AS447" i="15" s="1"/>
  <c r="AT447" i="15" s="1"/>
  <c r="AJ447" i="15"/>
  <c r="AK447" i="15" s="1"/>
  <c r="AM447" i="15" s="1"/>
  <c r="AQ410" i="15"/>
  <c r="AS410" i="15" s="1"/>
  <c r="AT410" i="15" s="1"/>
  <c r="AJ410" i="15"/>
  <c r="AK410" i="15" s="1"/>
  <c r="AM410" i="15" s="1"/>
  <c r="AQ345" i="15"/>
  <c r="AS345" i="15" s="1"/>
  <c r="AT345" i="15" s="1"/>
  <c r="AJ345" i="15"/>
  <c r="AK345" i="15" s="1"/>
  <c r="AM345" i="15" s="1"/>
  <c r="AQ379" i="15"/>
  <c r="AS379" i="15" s="1"/>
  <c r="AT379" i="15" s="1"/>
  <c r="AJ379" i="15"/>
  <c r="AK379" i="15" s="1"/>
  <c r="AM379" i="15" s="1"/>
  <c r="AQ402" i="15"/>
  <c r="AS402" i="15" s="1"/>
  <c r="AT402" i="15" s="1"/>
  <c r="AJ402" i="15"/>
  <c r="AK402" i="15" s="1"/>
  <c r="AM402" i="15" s="1"/>
  <c r="AQ329" i="15"/>
  <c r="AS329" i="15" s="1"/>
  <c r="AT329" i="15" s="1"/>
  <c r="AJ329" i="15"/>
  <c r="AK329" i="15" s="1"/>
  <c r="AM329" i="15" s="1"/>
  <c r="AQ351" i="15"/>
  <c r="AS351" i="15" s="1"/>
  <c r="AT351" i="15" s="1"/>
  <c r="AJ351" i="15"/>
  <c r="AK351" i="15" s="1"/>
  <c r="AM351" i="15" s="1"/>
  <c r="AQ197" i="15"/>
  <c r="AS197" i="15" s="1"/>
  <c r="AT197" i="15" s="1"/>
  <c r="AJ197" i="15"/>
  <c r="AK197" i="15" s="1"/>
  <c r="AM197" i="15" s="1"/>
  <c r="AQ305" i="15"/>
  <c r="AS305" i="15" s="1"/>
  <c r="AT305" i="15" s="1"/>
  <c r="AJ305" i="15"/>
  <c r="AK305" i="15" s="1"/>
  <c r="AM305" i="15" s="1"/>
  <c r="AQ177" i="15"/>
  <c r="AS177" i="15" s="1"/>
  <c r="AT177" i="15" s="1"/>
  <c r="AJ177" i="15"/>
  <c r="AK177" i="15" s="1"/>
  <c r="AM177" i="15" s="1"/>
  <c r="AQ281" i="15"/>
  <c r="AS281" i="15" s="1"/>
  <c r="AT281" i="15" s="1"/>
  <c r="AJ281" i="15"/>
  <c r="AK281" i="15" s="1"/>
  <c r="AM281" i="15" s="1"/>
  <c r="AQ173" i="15"/>
  <c r="AS173" i="15" s="1"/>
  <c r="AT173" i="15" s="1"/>
  <c r="AJ173" i="15"/>
  <c r="AK173" i="15" s="1"/>
  <c r="AM173" i="15" s="1"/>
  <c r="AQ444" i="15"/>
  <c r="AS444" i="15" s="1"/>
  <c r="AT444" i="15" s="1"/>
  <c r="AJ444" i="15"/>
  <c r="AK444" i="15" s="1"/>
  <c r="AM444" i="15" s="1"/>
  <c r="AQ423" i="15"/>
  <c r="AS423" i="15" s="1"/>
  <c r="AT423" i="15" s="1"/>
  <c r="AJ423" i="15"/>
  <c r="AK423" i="15" s="1"/>
  <c r="AM423" i="15" s="1"/>
  <c r="AQ186" i="15"/>
  <c r="AS186" i="15" s="1"/>
  <c r="AT186" i="15" s="1"/>
  <c r="AJ186" i="15"/>
  <c r="AK186" i="15" s="1"/>
  <c r="AM186" i="15" s="1"/>
  <c r="AQ446" i="15"/>
  <c r="AS446" i="15" s="1"/>
  <c r="AT446" i="15" s="1"/>
  <c r="AJ446" i="15"/>
  <c r="AK446" i="15" s="1"/>
  <c r="AM446" i="15" s="1"/>
  <c r="AQ453" i="15"/>
  <c r="AS453" i="15" s="1"/>
  <c r="AT453" i="15" s="1"/>
  <c r="AJ453" i="15"/>
  <c r="AK453" i="15" s="1"/>
  <c r="AM453" i="15" s="1"/>
  <c r="AQ206" i="15"/>
  <c r="AS206" i="15" s="1"/>
  <c r="AT206" i="15" s="1"/>
  <c r="AJ206" i="15"/>
  <c r="AK206" i="15" s="1"/>
  <c r="AM206" i="15" s="1"/>
  <c r="AQ360" i="15"/>
  <c r="AS360" i="15" s="1"/>
  <c r="AT360" i="15" s="1"/>
  <c r="AJ360" i="15"/>
  <c r="AK360" i="15" s="1"/>
  <c r="AM360" i="15" s="1"/>
  <c r="AQ479" i="15"/>
  <c r="AS479" i="15" s="1"/>
  <c r="AT479" i="15" s="1"/>
  <c r="AJ479" i="15"/>
  <c r="AK479" i="15" s="1"/>
  <c r="AM479" i="15" s="1"/>
  <c r="AQ146" i="15"/>
  <c r="AS146" i="15" s="1"/>
  <c r="AT146" i="15" s="1"/>
  <c r="AJ146" i="15"/>
  <c r="AK146" i="15" s="1"/>
  <c r="AM146" i="15" s="1"/>
  <c r="AQ411" i="15"/>
  <c r="AS411" i="15" s="1"/>
  <c r="AT411" i="15" s="1"/>
  <c r="AJ411" i="15"/>
  <c r="AK411" i="15" s="1"/>
  <c r="AM411" i="15" s="1"/>
  <c r="AQ170" i="15"/>
  <c r="AS170" i="15" s="1"/>
  <c r="AT170" i="15" s="1"/>
  <c r="AJ170" i="15"/>
  <c r="AK170" i="15" s="1"/>
  <c r="AM170" i="15" s="1"/>
  <c r="AQ478" i="15"/>
  <c r="AS478" i="15" s="1"/>
  <c r="AT478" i="15" s="1"/>
  <c r="AJ478" i="15"/>
  <c r="AK478" i="15" s="1"/>
  <c r="AM478" i="15" s="1"/>
  <c r="AQ150" i="15"/>
  <c r="AS150" i="15" s="1"/>
  <c r="AT150" i="15" s="1"/>
  <c r="AJ150" i="15"/>
  <c r="AK150" i="15" s="1"/>
  <c r="AM150" i="15" s="1"/>
  <c r="AQ394" i="15"/>
  <c r="AS394" i="15" s="1"/>
  <c r="AT394" i="15" s="1"/>
  <c r="AJ394" i="15"/>
  <c r="AK394" i="15" s="1"/>
  <c r="AM394" i="15" s="1"/>
  <c r="AQ267" i="15"/>
  <c r="AS267" i="15" s="1"/>
  <c r="AT267" i="15" s="1"/>
  <c r="AJ267" i="15"/>
  <c r="AK267" i="15" s="1"/>
  <c r="AM267" i="15" s="1"/>
  <c r="AQ419" i="15"/>
  <c r="AS419" i="15" s="1"/>
  <c r="AT419" i="15" s="1"/>
  <c r="AJ419" i="15"/>
  <c r="AK419" i="15" s="1"/>
  <c r="AM419" i="15" s="1"/>
  <c r="AQ295" i="15"/>
  <c r="AS295" i="15" s="1"/>
  <c r="AT295" i="15" s="1"/>
  <c r="AJ295" i="15"/>
  <c r="AK295" i="15" s="1"/>
  <c r="AM295" i="15" s="1"/>
  <c r="AQ256" i="15"/>
  <c r="AS256" i="15" s="1"/>
  <c r="AT256" i="15" s="1"/>
  <c r="AJ256" i="15"/>
  <c r="AK256" i="15" s="1"/>
  <c r="AM256" i="15" s="1"/>
  <c r="AQ207" i="15"/>
  <c r="AS207" i="15" s="1"/>
  <c r="AT207" i="15" s="1"/>
  <c r="AJ207" i="15"/>
  <c r="AK207" i="15" s="1"/>
  <c r="AM207" i="15" s="1"/>
  <c r="AQ290" i="15"/>
  <c r="AS290" i="15" s="1"/>
  <c r="AT290" i="15" s="1"/>
  <c r="AJ290" i="15"/>
  <c r="AK290" i="15" s="1"/>
  <c r="AM290" i="15" s="1"/>
  <c r="AQ292" i="15"/>
  <c r="AS292" i="15" s="1"/>
  <c r="AT292" i="15" s="1"/>
  <c r="AJ292" i="15"/>
  <c r="AK292" i="15" s="1"/>
  <c r="AM292" i="15" s="1"/>
  <c r="AQ251" i="15"/>
  <c r="AS251" i="15" s="1"/>
  <c r="AT251" i="15" s="1"/>
  <c r="AJ251" i="15"/>
  <c r="AK251" i="15" s="1"/>
  <c r="AM251" i="15" s="1"/>
  <c r="AQ385" i="15"/>
  <c r="AS385" i="15" s="1"/>
  <c r="AT385" i="15" s="1"/>
  <c r="AJ385" i="15"/>
  <c r="AK385" i="15" s="1"/>
  <c r="AM385" i="15" s="1"/>
  <c r="AQ298" i="15"/>
  <c r="AS298" i="15" s="1"/>
  <c r="AT298" i="15" s="1"/>
  <c r="AJ298" i="15"/>
  <c r="AK298" i="15" s="1"/>
  <c r="AM298" i="15" s="1"/>
  <c r="AJ167" i="15"/>
  <c r="AK167" i="15" s="1"/>
  <c r="AM167" i="15" s="1"/>
  <c r="AQ167" i="15"/>
  <c r="AS167" i="15" s="1"/>
  <c r="AT167" i="15" s="1"/>
  <c r="AQ322" i="15"/>
  <c r="AS322" i="15" s="1"/>
  <c r="AT322" i="15" s="1"/>
  <c r="AJ322" i="15"/>
  <c r="AK322" i="15" s="1"/>
  <c r="AM322" i="15" s="1"/>
  <c r="AQ476" i="15"/>
  <c r="AS476" i="15" s="1"/>
  <c r="AT476" i="15" s="1"/>
  <c r="AJ476" i="15"/>
  <c r="AK476" i="15" s="1"/>
  <c r="AM476" i="15" s="1"/>
  <c r="AQ324" i="15"/>
  <c r="AS324" i="15" s="1"/>
  <c r="AT324" i="15" s="1"/>
  <c r="AJ324" i="15"/>
  <c r="AK324" i="15" s="1"/>
  <c r="AM324" i="15" s="1"/>
  <c r="AQ480" i="15"/>
  <c r="AS480" i="15" s="1"/>
  <c r="AT480" i="15" s="1"/>
  <c r="AJ480" i="15"/>
  <c r="AK480" i="15" s="1"/>
  <c r="AM480" i="15" s="1"/>
  <c r="AQ240" i="15"/>
  <c r="AS240" i="15" s="1"/>
  <c r="AT240" i="15" s="1"/>
  <c r="AJ240" i="15"/>
  <c r="AK240" i="15" s="1"/>
  <c r="AM240" i="15" s="1"/>
  <c r="AQ299" i="15"/>
  <c r="AS299" i="15" s="1"/>
  <c r="AT299" i="15" s="1"/>
  <c r="AJ299" i="15"/>
  <c r="AK299" i="15" s="1"/>
  <c r="AM299" i="15" s="1"/>
  <c r="AQ416" i="15"/>
  <c r="AS416" i="15" s="1"/>
  <c r="AT416" i="15" s="1"/>
  <c r="AJ416" i="15"/>
  <c r="AK416" i="15" s="1"/>
  <c r="AM416" i="15" s="1"/>
  <c r="AQ349" i="15"/>
  <c r="AS349" i="15" s="1"/>
  <c r="AT349" i="15" s="1"/>
  <c r="AJ349" i="15"/>
  <c r="AK349" i="15" s="1"/>
  <c r="AM349" i="15" s="1"/>
  <c r="AQ262" i="15"/>
  <c r="AS262" i="15" s="1"/>
  <c r="AT262" i="15" s="1"/>
  <c r="AJ262" i="15"/>
  <c r="AK262" i="15" s="1"/>
  <c r="AM262" i="15" s="1"/>
  <c r="AQ191" i="15"/>
  <c r="AS191" i="15" s="1"/>
  <c r="AT191" i="15" s="1"/>
  <c r="AJ191" i="15"/>
  <c r="AK191" i="15" s="1"/>
  <c r="AM191" i="15" s="1"/>
  <c r="AQ420" i="15"/>
  <c r="AS420" i="15" s="1"/>
  <c r="AT420" i="15" s="1"/>
  <c r="AJ420" i="15"/>
  <c r="AK420" i="15" s="1"/>
  <c r="AM420" i="15" s="1"/>
  <c r="AQ314" i="15"/>
  <c r="AS314" i="15" s="1"/>
  <c r="AT314" i="15" s="1"/>
  <c r="AJ314" i="15"/>
  <c r="AK314" i="15" s="1"/>
  <c r="AM314" i="15" s="1"/>
  <c r="AQ189" i="15"/>
  <c r="AS189" i="15" s="1"/>
  <c r="AT189" i="15" s="1"/>
  <c r="AJ189" i="15"/>
  <c r="AK189" i="15" s="1"/>
  <c r="AM189" i="15" s="1"/>
  <c r="AQ205" i="15"/>
  <c r="AS205" i="15" s="1"/>
  <c r="AT205" i="15" s="1"/>
  <c r="AJ205" i="15"/>
  <c r="AK205" i="15" s="1"/>
  <c r="AM205" i="15" s="1"/>
  <c r="AQ359" i="15"/>
  <c r="AS359" i="15" s="1"/>
  <c r="AT359" i="15" s="1"/>
  <c r="AJ359" i="15"/>
  <c r="AK359" i="15" s="1"/>
  <c r="AM359" i="15" s="1"/>
  <c r="AQ195" i="15"/>
  <c r="AS195" i="15" s="1"/>
  <c r="AT195" i="15" s="1"/>
  <c r="AJ195" i="15"/>
  <c r="AK195" i="15" s="1"/>
  <c r="AM195" i="15" s="1"/>
  <c r="AQ231" i="15"/>
  <c r="AS231" i="15" s="1"/>
  <c r="AT231" i="15" s="1"/>
  <c r="AJ231" i="15"/>
  <c r="AK231" i="15" s="1"/>
  <c r="AM231" i="15" s="1"/>
  <c r="AQ364" i="15"/>
  <c r="AS364" i="15" s="1"/>
  <c r="AT364" i="15" s="1"/>
  <c r="AJ364" i="15"/>
  <c r="AK364" i="15" s="1"/>
  <c r="AM364" i="15" s="1"/>
  <c r="AQ257" i="15"/>
  <c r="AS257" i="15" s="1"/>
  <c r="AT257" i="15" s="1"/>
  <c r="AJ257" i="15"/>
  <c r="AK257" i="15" s="1"/>
  <c r="AM257" i="15" s="1"/>
  <c r="AQ326" i="15"/>
  <c r="AS326" i="15" s="1"/>
  <c r="AT326" i="15" s="1"/>
  <c r="AJ326" i="15"/>
  <c r="AK326" i="15" s="1"/>
  <c r="AM326" i="15" s="1"/>
  <c r="AQ297" i="15"/>
  <c r="AS297" i="15" s="1"/>
  <c r="AT297" i="15" s="1"/>
  <c r="AJ297" i="15"/>
  <c r="AK297" i="15" s="1"/>
  <c r="AM297" i="15" s="1"/>
  <c r="AQ330" i="15"/>
  <c r="AS330" i="15" s="1"/>
  <c r="AT330" i="15" s="1"/>
  <c r="AJ330" i="15"/>
  <c r="AK330" i="15" s="1"/>
  <c r="AM330" i="15" s="1"/>
  <c r="AQ373" i="15"/>
  <c r="AS373" i="15" s="1"/>
  <c r="AT373" i="15" s="1"/>
  <c r="AJ373" i="15"/>
  <c r="AK373" i="15" s="1"/>
  <c r="AM373" i="15" s="1"/>
  <c r="AQ261" i="15"/>
  <c r="AS261" i="15" s="1"/>
  <c r="AT261" i="15" s="1"/>
  <c r="AJ261" i="15"/>
  <c r="AK261" i="15" s="1"/>
  <c r="AM261" i="15" s="1"/>
  <c r="AQ168" i="15"/>
  <c r="AS168" i="15" s="1"/>
  <c r="AT168" i="15" s="1"/>
  <c r="AJ168" i="15"/>
  <c r="AK168" i="15" s="1"/>
  <c r="AM168" i="15" s="1"/>
  <c r="AQ172" i="15"/>
  <c r="AS172" i="15" s="1"/>
  <c r="AT172" i="15" s="1"/>
  <c r="AJ172" i="15"/>
  <c r="AK172" i="15" s="1"/>
  <c r="AM172" i="15" s="1"/>
  <c r="AQ217" i="15"/>
  <c r="AS217" i="15" s="1"/>
  <c r="AT217" i="15" s="1"/>
  <c r="AJ217" i="15"/>
  <c r="AK217" i="15" s="1"/>
  <c r="AM217" i="15" s="1"/>
  <c r="AQ384" i="15"/>
  <c r="AS384" i="15" s="1"/>
  <c r="AT384" i="15" s="1"/>
  <c r="AJ384" i="15"/>
  <c r="AK384" i="15" s="1"/>
  <c r="AM384" i="15" s="1"/>
  <c r="AQ335" i="15"/>
  <c r="AS335" i="15" s="1"/>
  <c r="AT335" i="15" s="1"/>
  <c r="AJ335" i="15"/>
  <c r="AK335" i="15" s="1"/>
  <c r="AM335" i="15" s="1"/>
  <c r="AQ425" i="15"/>
  <c r="AS425" i="15" s="1"/>
  <c r="AT425" i="15" s="1"/>
  <c r="AJ425" i="15"/>
  <c r="AK425" i="15" s="1"/>
  <c r="AM425" i="15" s="1"/>
  <c r="AQ392" i="15"/>
  <c r="AS392" i="15" s="1"/>
  <c r="AT392" i="15" s="1"/>
  <c r="AJ392" i="15"/>
  <c r="AK392" i="15" s="1"/>
  <c r="AM392" i="15" s="1"/>
  <c r="AQ204" i="15"/>
  <c r="AS204" i="15" s="1"/>
  <c r="AT204" i="15" s="1"/>
  <c r="AJ204" i="15"/>
  <c r="AK204" i="15" s="1"/>
  <c r="AM204" i="15" s="1"/>
  <c r="AQ285" i="15"/>
  <c r="AS285" i="15" s="1"/>
  <c r="AT285" i="15" s="1"/>
  <c r="AJ285" i="15"/>
  <c r="AK285" i="15" s="1"/>
  <c r="AM285" i="15" s="1"/>
  <c r="AQ265" i="15"/>
  <c r="AS265" i="15" s="1"/>
  <c r="AT265" i="15" s="1"/>
  <c r="AJ265" i="15"/>
  <c r="AK265" i="15" s="1"/>
  <c r="AM265" i="15" s="1"/>
  <c r="AQ271" i="15"/>
  <c r="AS271" i="15" s="1"/>
  <c r="AT271" i="15" s="1"/>
  <c r="AJ271" i="15"/>
  <c r="AK271" i="15" s="1"/>
  <c r="AM271" i="15" s="1"/>
  <c r="AQ242" i="15"/>
  <c r="AS242" i="15" s="1"/>
  <c r="AT242" i="15" s="1"/>
  <c r="AJ242" i="15"/>
  <c r="AK242" i="15" s="1"/>
  <c r="AM242" i="15" s="1"/>
  <c r="AQ380" i="15"/>
  <c r="AS380" i="15" s="1"/>
  <c r="AT380" i="15" s="1"/>
  <c r="AJ380" i="15"/>
  <c r="AK380" i="15" s="1"/>
  <c r="AM380" i="15" s="1"/>
  <c r="AQ224" i="15"/>
  <c r="AS224" i="15" s="1"/>
  <c r="AT224" i="15" s="1"/>
  <c r="AJ224" i="15"/>
  <c r="AK224" i="15" s="1"/>
  <c r="AM224" i="15" s="1"/>
  <c r="AQ287" i="15"/>
  <c r="AS287" i="15" s="1"/>
  <c r="AT287" i="15" s="1"/>
  <c r="AJ287" i="15"/>
  <c r="AK287" i="15" s="1"/>
  <c r="AM287" i="15" s="1"/>
  <c r="AQ174" i="15"/>
  <c r="AS174" i="15" s="1"/>
  <c r="AT174" i="15" s="1"/>
  <c r="AJ174" i="15"/>
  <c r="AK174" i="15" s="1"/>
  <c r="AM174" i="15" s="1"/>
  <c r="AQ264" i="15"/>
  <c r="AS264" i="15" s="1"/>
  <c r="AT264" i="15" s="1"/>
  <c r="AJ264" i="15"/>
  <c r="AK264" i="15" s="1"/>
  <c r="AM264" i="15" s="1"/>
  <c r="AQ154" i="15"/>
  <c r="AS154" i="15" s="1"/>
  <c r="AT154" i="15" s="1"/>
  <c r="AJ154" i="15"/>
  <c r="AK154" i="15" s="1"/>
  <c r="AM154" i="15" s="1"/>
  <c r="AQ350" i="15"/>
  <c r="AS350" i="15" s="1"/>
  <c r="AT350" i="15" s="1"/>
  <c r="AJ350" i="15"/>
  <c r="AK350" i="15" s="1"/>
  <c r="AM350" i="15" s="1"/>
  <c r="AQ415" i="15"/>
  <c r="AS415" i="15" s="1"/>
  <c r="AT415" i="15" s="1"/>
  <c r="AJ415" i="15"/>
  <c r="AK415" i="15" s="1"/>
  <c r="AM415" i="15" s="1"/>
  <c r="AQ353" i="15"/>
  <c r="AS353" i="15" s="1"/>
  <c r="AT353" i="15" s="1"/>
  <c r="AJ353" i="15"/>
  <c r="AK353" i="15" s="1"/>
  <c r="AM353" i="15" s="1"/>
  <c r="AQ266" i="15"/>
  <c r="AS266" i="15" s="1"/>
  <c r="AT266" i="15" s="1"/>
  <c r="AJ266" i="15"/>
  <c r="AK266" i="15" s="1"/>
  <c r="AM266" i="15" s="1"/>
  <c r="AQ377" i="15"/>
  <c r="AS377" i="15" s="1"/>
  <c r="AT377" i="15" s="1"/>
  <c r="AJ377" i="15"/>
  <c r="AK377" i="15" s="1"/>
  <c r="AM377" i="15" s="1"/>
  <c r="AQ269" i="15"/>
  <c r="AS269" i="15" s="1"/>
  <c r="AT269" i="15" s="1"/>
  <c r="AJ269" i="15"/>
  <c r="AK269" i="15" s="1"/>
  <c r="AM269" i="15" s="1"/>
  <c r="AQ219" i="15"/>
  <c r="AS219" i="15" s="1"/>
  <c r="AT219" i="15" s="1"/>
  <c r="AJ219" i="15"/>
  <c r="AK219" i="15" s="1"/>
  <c r="AM219" i="15" s="1"/>
  <c r="AQ199" i="15"/>
  <c r="AS199" i="15" s="1"/>
  <c r="AT199" i="15" s="1"/>
  <c r="AJ199" i="15"/>
  <c r="AK199" i="15" s="1"/>
  <c r="AM199" i="15" s="1"/>
  <c r="AQ223" i="15"/>
  <c r="AS223" i="15" s="1"/>
  <c r="AT223" i="15" s="1"/>
  <c r="AJ223" i="15"/>
  <c r="AK223" i="15" s="1"/>
  <c r="AM223" i="15" s="1"/>
  <c r="AQ252" i="15"/>
  <c r="AS252" i="15" s="1"/>
  <c r="AT252" i="15" s="1"/>
  <c r="AJ252" i="15"/>
  <c r="AK252" i="15" s="1"/>
  <c r="AM252" i="15" s="1"/>
  <c r="AQ468" i="15"/>
  <c r="AS468" i="15" s="1"/>
  <c r="AT468" i="15" s="1"/>
  <c r="AJ468" i="15"/>
  <c r="AK468" i="15" s="1"/>
  <c r="AM468" i="15" s="1"/>
  <c r="AQ427" i="15"/>
  <c r="AS427" i="15" s="1"/>
  <c r="AT427" i="15" s="1"/>
  <c r="AJ427" i="15"/>
  <c r="AK427" i="15" s="1"/>
  <c r="AM427" i="15" s="1"/>
  <c r="AC6" i="15"/>
  <c r="AB6" i="15"/>
  <c r="AQ196" i="15"/>
  <c r="AS196" i="15" s="1"/>
  <c r="AT196" i="15" s="1"/>
  <c r="AJ196" i="15"/>
  <c r="AK196" i="15" s="1"/>
  <c r="AM196" i="15" s="1"/>
  <c r="AQ241" i="15"/>
  <c r="AS241" i="15" s="1"/>
  <c r="AT241" i="15" s="1"/>
  <c r="AJ241" i="15"/>
  <c r="AK241" i="15" s="1"/>
  <c r="AM241" i="15" s="1"/>
  <c r="AQ395" i="15"/>
  <c r="AS395" i="15" s="1"/>
  <c r="AT395" i="15" s="1"/>
  <c r="AJ395" i="15"/>
  <c r="AK395" i="15" s="1"/>
  <c r="AM395" i="15" s="1"/>
  <c r="AQ230" i="15"/>
  <c r="AS230" i="15" s="1"/>
  <c r="AT230" i="15" s="1"/>
  <c r="AJ230" i="15"/>
  <c r="AK230" i="15" s="1"/>
  <c r="AM230" i="15" s="1"/>
  <c r="AQ442" i="15"/>
  <c r="AS442" i="15" s="1"/>
  <c r="AT442" i="15" s="1"/>
  <c r="AJ442" i="15"/>
  <c r="AK442" i="15" s="1"/>
  <c r="AM442" i="15" s="1"/>
  <c r="AQ393" i="15"/>
  <c r="AS393" i="15" s="1"/>
  <c r="AT393" i="15" s="1"/>
  <c r="AJ393" i="15"/>
  <c r="AK393" i="15" s="1"/>
  <c r="AM393" i="15" s="1"/>
  <c r="AQ399" i="15"/>
  <c r="AS399" i="15" s="1"/>
  <c r="AT399" i="15" s="1"/>
  <c r="AJ399" i="15"/>
  <c r="AK399" i="15" s="1"/>
  <c r="AM399" i="15" s="1"/>
  <c r="AQ274" i="15"/>
  <c r="AS274" i="15" s="1"/>
  <c r="AT274" i="15" s="1"/>
  <c r="AJ274" i="15"/>
  <c r="AK274" i="15" s="1"/>
  <c r="AM274" i="15" s="1"/>
  <c r="AQ466" i="15"/>
  <c r="AS466" i="15" s="1"/>
  <c r="AT466" i="15" s="1"/>
  <c r="AJ466" i="15"/>
  <c r="AK466" i="15" s="1"/>
  <c r="AM466" i="15" s="1"/>
  <c r="AQ445" i="15"/>
  <c r="AS445" i="15" s="1"/>
  <c r="AT445" i="15" s="1"/>
  <c r="AJ445" i="15"/>
  <c r="AK445" i="15" s="1"/>
  <c r="AM445" i="15" s="1"/>
  <c r="AQ382" i="15"/>
  <c r="AS382" i="15" s="1"/>
  <c r="AT382" i="15" s="1"/>
  <c r="AJ382" i="15"/>
  <c r="AK382" i="15" s="1"/>
  <c r="AM382" i="15" s="1"/>
  <c r="AQ193" i="15"/>
  <c r="AS193" i="15" s="1"/>
  <c r="AT193" i="15" s="1"/>
  <c r="AJ193" i="15"/>
  <c r="AK193" i="15" s="1"/>
  <c r="AM193" i="15" s="1"/>
  <c r="AQ407" i="15"/>
  <c r="AS407" i="15" s="1"/>
  <c r="AT407" i="15" s="1"/>
  <c r="AJ407" i="15"/>
  <c r="AK407" i="15" s="1"/>
  <c r="AM407" i="15" s="1"/>
  <c r="AQ433" i="15"/>
  <c r="AS433" i="15" s="1"/>
  <c r="AT433" i="15" s="1"/>
  <c r="AJ433" i="15"/>
  <c r="AK433" i="15" s="1"/>
  <c r="AM433" i="15" s="1"/>
  <c r="AQ346" i="15"/>
  <c r="AS346" i="15" s="1"/>
  <c r="AT346" i="15" s="1"/>
  <c r="AJ346" i="15"/>
  <c r="AK346" i="15" s="1"/>
  <c r="AM346" i="15" s="1"/>
  <c r="AQ149" i="15"/>
  <c r="AS149" i="15" s="1"/>
  <c r="AT149" i="15" s="1"/>
  <c r="AJ149" i="15"/>
  <c r="AK149" i="15" s="1"/>
  <c r="AM149" i="15" s="1"/>
  <c r="AR4" i="15"/>
  <c r="AS4" i="15" s="1"/>
  <c r="AT4" i="15" s="1"/>
  <c r="AY4" i="15"/>
  <c r="AK4" i="15"/>
  <c r="AM4" i="15" s="1"/>
  <c r="B7" i="15"/>
  <c r="AQ145" i="15" l="1"/>
  <c r="AS145" i="15" s="1"/>
  <c r="AT145" i="15" s="1"/>
  <c r="AQ144" i="15"/>
  <c r="AS144" i="15" s="1"/>
  <c r="AT144" i="15" s="1"/>
  <c r="AN143" i="15"/>
  <c r="AW143" i="15" s="1"/>
  <c r="AJ143" i="15"/>
  <c r="AK143" i="15" s="1"/>
  <c r="AM143" i="15" s="1"/>
  <c r="AV143" i="15" s="1"/>
  <c r="AA7" i="15"/>
  <c r="AN145" i="15"/>
  <c r="AW145" i="15" s="1"/>
  <c r="AN144" i="15"/>
  <c r="AW144" i="15" s="1"/>
  <c r="AO319" i="15"/>
  <c r="AX319" i="15" s="1"/>
  <c r="AV319" i="15"/>
  <c r="AV317" i="15"/>
  <c r="AO317" i="15"/>
  <c r="AX317" i="15" s="1"/>
  <c r="AO270" i="15"/>
  <c r="AX270" i="15" s="1"/>
  <c r="AV270" i="15"/>
  <c r="AV273" i="15"/>
  <c r="AO273" i="15"/>
  <c r="AX273" i="15" s="1"/>
  <c r="AV369" i="15"/>
  <c r="AO369" i="15"/>
  <c r="AX369" i="15" s="1"/>
  <c r="AV282" i="15"/>
  <c r="AO282" i="15"/>
  <c r="AX282" i="15" s="1"/>
  <c r="AV400" i="15"/>
  <c r="AO400" i="15"/>
  <c r="AX400" i="15" s="1"/>
  <c r="AO210" i="15"/>
  <c r="AX210" i="15" s="1"/>
  <c r="AV210" i="15"/>
  <c r="AV414" i="15"/>
  <c r="AO414" i="15"/>
  <c r="AX414" i="15" s="1"/>
  <c r="AV243" i="15"/>
  <c r="AO243" i="15"/>
  <c r="AX243" i="15" s="1"/>
  <c r="AO301" i="15"/>
  <c r="AX301" i="15" s="1"/>
  <c r="AV301" i="15"/>
  <c r="AO159" i="15"/>
  <c r="AX159" i="15" s="1"/>
  <c r="AV159" i="15"/>
  <c r="AO380" i="15"/>
  <c r="AX380" i="15" s="1"/>
  <c r="AV380" i="15"/>
  <c r="AO150" i="15"/>
  <c r="AX150" i="15" s="1"/>
  <c r="AV150" i="15"/>
  <c r="AO446" i="15"/>
  <c r="AX446" i="15" s="1"/>
  <c r="AV446" i="15"/>
  <c r="AO197" i="15"/>
  <c r="AX197" i="15" s="1"/>
  <c r="AV197" i="15"/>
  <c r="AV247" i="15"/>
  <c r="AO247" i="15"/>
  <c r="AX247" i="15" s="1"/>
  <c r="AV487" i="15"/>
  <c r="AO487" i="15"/>
  <c r="AX487" i="15" s="1"/>
  <c r="AO294" i="15"/>
  <c r="AX294" i="15" s="1"/>
  <c r="AV294" i="15"/>
  <c r="AV171" i="15"/>
  <c r="AO171" i="15"/>
  <c r="AX171" i="15" s="1"/>
  <c r="AO339" i="15"/>
  <c r="AX339" i="15" s="1"/>
  <c r="AV339" i="15"/>
  <c r="AO187" i="15"/>
  <c r="AX187" i="15" s="1"/>
  <c r="AV187" i="15"/>
  <c r="AO471" i="15"/>
  <c r="AX471" i="15" s="1"/>
  <c r="AV471" i="15"/>
  <c r="AV288" i="15"/>
  <c r="AO288" i="15"/>
  <c r="AX288" i="15" s="1"/>
  <c r="AV211" i="15"/>
  <c r="AO211" i="15"/>
  <c r="AX211" i="15" s="1"/>
  <c r="AO160" i="15"/>
  <c r="AX160" i="15" s="1"/>
  <c r="AV160" i="15"/>
  <c r="AO252" i="15"/>
  <c r="AX252" i="15" s="1"/>
  <c r="AV252" i="15"/>
  <c r="AO242" i="15"/>
  <c r="AX242" i="15" s="1"/>
  <c r="AV242" i="15"/>
  <c r="AO249" i="15"/>
  <c r="AX249" i="15" s="1"/>
  <c r="AV249" i="15"/>
  <c r="AV401" i="15"/>
  <c r="AO401" i="15"/>
  <c r="AX401" i="15" s="1"/>
  <c r="AO296" i="15"/>
  <c r="AX296" i="15" s="1"/>
  <c r="AV296" i="15"/>
  <c r="AV383" i="15"/>
  <c r="AO383" i="15"/>
  <c r="AX383" i="15" s="1"/>
  <c r="AO325" i="15"/>
  <c r="AX325" i="15" s="1"/>
  <c r="AV325" i="15"/>
  <c r="AO357" i="15"/>
  <c r="AX357" i="15" s="1"/>
  <c r="AV357" i="15"/>
  <c r="AO443" i="15"/>
  <c r="AX443" i="15" s="1"/>
  <c r="AV443" i="15"/>
  <c r="AO441" i="15"/>
  <c r="AX441" i="15" s="1"/>
  <c r="AV441" i="15"/>
  <c r="AV440" i="15"/>
  <c r="AO440" i="15"/>
  <c r="AX440" i="15" s="1"/>
  <c r="AV147" i="15"/>
  <c r="AO147" i="15"/>
  <c r="AX147" i="15" s="1"/>
  <c r="AV334" i="15"/>
  <c r="AO334" i="15"/>
  <c r="AX334" i="15" s="1"/>
  <c r="AV404" i="15"/>
  <c r="AO404" i="15"/>
  <c r="AX404" i="15" s="1"/>
  <c r="AV397" i="15"/>
  <c r="AO397" i="15"/>
  <c r="AX397" i="15" s="1"/>
  <c r="AO344" i="15"/>
  <c r="AX344" i="15" s="1"/>
  <c r="AV344" i="15"/>
  <c r="AO364" i="15"/>
  <c r="AX364" i="15" s="1"/>
  <c r="AV364" i="15"/>
  <c r="AO262" i="15"/>
  <c r="AX262" i="15" s="1"/>
  <c r="AV262" i="15"/>
  <c r="AV478" i="15"/>
  <c r="AO478" i="15"/>
  <c r="AX478" i="15" s="1"/>
  <c r="AV458" i="15"/>
  <c r="AO458" i="15"/>
  <c r="AX458" i="15" s="1"/>
  <c r="AO422" i="15"/>
  <c r="AX422" i="15" s="1"/>
  <c r="AV422" i="15"/>
  <c r="AO477" i="15"/>
  <c r="AX477" i="15" s="1"/>
  <c r="AV477" i="15"/>
  <c r="AO280" i="15"/>
  <c r="AX280" i="15" s="1"/>
  <c r="AV280" i="15"/>
  <c r="AO309" i="15"/>
  <c r="AX309" i="15" s="1"/>
  <c r="AV309" i="15"/>
  <c r="AV461" i="15"/>
  <c r="AO461" i="15"/>
  <c r="AX461" i="15" s="1"/>
  <c r="AV486" i="15"/>
  <c r="AO486" i="15"/>
  <c r="AX486" i="15" s="1"/>
  <c r="AO452" i="15"/>
  <c r="AX452" i="15" s="1"/>
  <c r="AV452" i="15"/>
  <c r="AV470" i="15"/>
  <c r="AO470" i="15"/>
  <c r="AX470" i="15" s="1"/>
  <c r="AO366" i="15"/>
  <c r="AX366" i="15" s="1"/>
  <c r="AV366" i="15"/>
  <c r="AO310" i="15"/>
  <c r="AX310" i="15" s="1"/>
  <c r="AV310" i="15"/>
  <c r="AV190" i="15"/>
  <c r="AO190" i="15"/>
  <c r="AX190" i="15" s="1"/>
  <c r="AV394" i="15"/>
  <c r="AO394" i="15"/>
  <c r="AX394" i="15" s="1"/>
  <c r="AV231" i="15"/>
  <c r="AO231" i="15"/>
  <c r="AX231" i="15" s="1"/>
  <c r="AO284" i="15"/>
  <c r="AX284" i="15" s="1"/>
  <c r="AV284" i="15"/>
  <c r="AO302" i="15"/>
  <c r="AX302" i="15" s="1"/>
  <c r="AV302" i="15"/>
  <c r="AV474" i="15"/>
  <c r="AO474" i="15"/>
  <c r="AX474" i="15" s="1"/>
  <c r="AV412" i="15"/>
  <c r="AO412" i="15"/>
  <c r="AX412" i="15" s="1"/>
  <c r="AO386" i="15"/>
  <c r="AX386" i="15" s="1"/>
  <c r="AV386" i="15"/>
  <c r="AV202" i="15"/>
  <c r="AO202" i="15"/>
  <c r="AX202" i="15" s="1"/>
  <c r="AO448" i="15"/>
  <c r="AX448" i="15" s="1"/>
  <c r="AV448" i="15"/>
  <c r="AO216" i="15"/>
  <c r="AX216" i="15" s="1"/>
  <c r="AV216" i="15"/>
  <c r="AV255" i="15"/>
  <c r="AO255" i="15"/>
  <c r="AX255" i="15" s="1"/>
  <c r="AO151" i="15"/>
  <c r="AX151" i="15" s="1"/>
  <c r="AV151" i="15"/>
  <c r="AO459" i="15"/>
  <c r="AX459" i="15" s="1"/>
  <c r="AV459" i="15"/>
  <c r="AV298" i="15"/>
  <c r="AO298" i="15"/>
  <c r="AX298" i="15" s="1"/>
  <c r="AO468" i="15"/>
  <c r="AX468" i="15" s="1"/>
  <c r="AV468" i="15"/>
  <c r="AV221" i="15"/>
  <c r="AO221" i="15"/>
  <c r="AX221" i="15" s="1"/>
  <c r="AV423" i="15"/>
  <c r="AO423" i="15"/>
  <c r="AX423" i="15" s="1"/>
  <c r="AV457" i="15"/>
  <c r="AO457" i="15"/>
  <c r="AX457" i="15" s="1"/>
  <c r="AV176" i="15"/>
  <c r="AO176" i="15"/>
  <c r="AX176" i="15" s="1"/>
  <c r="AV268" i="15"/>
  <c r="AO268" i="15"/>
  <c r="AX268" i="15" s="1"/>
  <c r="AO433" i="15"/>
  <c r="AX433" i="15" s="1"/>
  <c r="AV433" i="15"/>
  <c r="AO350" i="15"/>
  <c r="AX350" i="15" s="1"/>
  <c r="AV350" i="15"/>
  <c r="AO261" i="15"/>
  <c r="AX261" i="15" s="1"/>
  <c r="AV261" i="15"/>
  <c r="AO299" i="15"/>
  <c r="AX299" i="15" s="1"/>
  <c r="AV299" i="15"/>
  <c r="AO292" i="15"/>
  <c r="AX292" i="15" s="1"/>
  <c r="AV292" i="15"/>
  <c r="AO411" i="15"/>
  <c r="AX411" i="15" s="1"/>
  <c r="AV411" i="15"/>
  <c r="AO444" i="15"/>
  <c r="AX444" i="15" s="1"/>
  <c r="AV444" i="15"/>
  <c r="AO402" i="15"/>
  <c r="AX402" i="15" s="1"/>
  <c r="AV402" i="15"/>
  <c r="AV148" i="15"/>
  <c r="AO148" i="15"/>
  <c r="AX148" i="15" s="1"/>
  <c r="AO201" i="15"/>
  <c r="AX201" i="15" s="1"/>
  <c r="AV201" i="15"/>
  <c r="AV260" i="15"/>
  <c r="AO260" i="15"/>
  <c r="AX260" i="15" s="1"/>
  <c r="AO283" i="15"/>
  <c r="AX283" i="15" s="1"/>
  <c r="AV283" i="15"/>
  <c r="AV475" i="15"/>
  <c r="AO475" i="15"/>
  <c r="AX475" i="15" s="1"/>
  <c r="AO222" i="15"/>
  <c r="AX222" i="15" s="1"/>
  <c r="AV222" i="15"/>
  <c r="AV437" i="15"/>
  <c r="AO437" i="15"/>
  <c r="AX437" i="15" s="1"/>
  <c r="AO408" i="15"/>
  <c r="AX408" i="15" s="1"/>
  <c r="AV408" i="15"/>
  <c r="AV417" i="15"/>
  <c r="AO417" i="15"/>
  <c r="AX417" i="15" s="1"/>
  <c r="AV327" i="15"/>
  <c r="AO327" i="15"/>
  <c r="AX327" i="15" s="1"/>
  <c r="AO158" i="15"/>
  <c r="AX158" i="15" s="1"/>
  <c r="AV158" i="15"/>
  <c r="AO274" i="15"/>
  <c r="AX274" i="15" s="1"/>
  <c r="AV274" i="15"/>
  <c r="AO493" i="15"/>
  <c r="AV493" i="15"/>
  <c r="AO456" i="15"/>
  <c r="AX456" i="15" s="1"/>
  <c r="AV456" i="15"/>
  <c r="AO251" i="15"/>
  <c r="AX251" i="15" s="1"/>
  <c r="AV251" i="15"/>
  <c r="AO389" i="15"/>
  <c r="AX389" i="15" s="1"/>
  <c r="AV389" i="15"/>
  <c r="AO312" i="15"/>
  <c r="AX312" i="15" s="1"/>
  <c r="AV312" i="15"/>
  <c r="AO203" i="15"/>
  <c r="AX203" i="15" s="1"/>
  <c r="AV203" i="15"/>
  <c r="AO409" i="15"/>
  <c r="AX409" i="15" s="1"/>
  <c r="AV409" i="15"/>
  <c r="AO300" i="15"/>
  <c r="AX300" i="15" s="1"/>
  <c r="AV300" i="15"/>
  <c r="AO244" i="15"/>
  <c r="AX244" i="15" s="1"/>
  <c r="AV244" i="15"/>
  <c r="AV246" i="15"/>
  <c r="AO246" i="15"/>
  <c r="AX246" i="15" s="1"/>
  <c r="AV220" i="15"/>
  <c r="AO220" i="15"/>
  <c r="AX220" i="15" s="1"/>
  <c r="AO238" i="15"/>
  <c r="AX238" i="15" s="1"/>
  <c r="AV238" i="15"/>
  <c r="AO156" i="15"/>
  <c r="AX156" i="15" s="1"/>
  <c r="AV156" i="15"/>
  <c r="AV451" i="15"/>
  <c r="AO451" i="15"/>
  <c r="AX451" i="15" s="1"/>
  <c r="AO198" i="15"/>
  <c r="AX198" i="15" s="1"/>
  <c r="AV198" i="15"/>
  <c r="AV313" i="15"/>
  <c r="AO313" i="15"/>
  <c r="AX313" i="15" s="1"/>
  <c r="AV191" i="15"/>
  <c r="AO191" i="15"/>
  <c r="AX191" i="15" s="1"/>
  <c r="AV212" i="15"/>
  <c r="AO212" i="15"/>
  <c r="AX212" i="15" s="1"/>
  <c r="AO353" i="15"/>
  <c r="AX353" i="15" s="1"/>
  <c r="AV353" i="15"/>
  <c r="AO188" i="15"/>
  <c r="AX188" i="15" s="1"/>
  <c r="AV188" i="15"/>
  <c r="AV168" i="15"/>
  <c r="AO168" i="15"/>
  <c r="AX168" i="15" s="1"/>
  <c r="AV253" i="15"/>
  <c r="AO253" i="15"/>
  <c r="AX253" i="15" s="1"/>
  <c r="AV225" i="15"/>
  <c r="AO225" i="15"/>
  <c r="AX225" i="15" s="1"/>
  <c r="AO332" i="15"/>
  <c r="AX332" i="15" s="1"/>
  <c r="AV332" i="15"/>
  <c r="AO373" i="15"/>
  <c r="AX373" i="15" s="1"/>
  <c r="AV373" i="15"/>
  <c r="AO367" i="15"/>
  <c r="AX367" i="15" s="1"/>
  <c r="AV367" i="15"/>
  <c r="AO264" i="15"/>
  <c r="AX264" i="15" s="1"/>
  <c r="AV264" i="15"/>
  <c r="AV480" i="15"/>
  <c r="AO480" i="15"/>
  <c r="AX480" i="15" s="1"/>
  <c r="AO207" i="15"/>
  <c r="AX207" i="15" s="1"/>
  <c r="AV207" i="15"/>
  <c r="AV145" i="15"/>
  <c r="AO145" i="15"/>
  <c r="AX145" i="15" s="1"/>
  <c r="AV308" i="15"/>
  <c r="AO308" i="15"/>
  <c r="AX308" i="15" s="1"/>
  <c r="AV258" i="15"/>
  <c r="AO258" i="15"/>
  <c r="AX258" i="15" s="1"/>
  <c r="AV226" i="15"/>
  <c r="AO226" i="15"/>
  <c r="AX226" i="15" s="1"/>
  <c r="AV492" i="15"/>
  <c r="AO492" i="15"/>
  <c r="AX492" i="15" s="1"/>
  <c r="AO162" i="15"/>
  <c r="AX162" i="15" s="1"/>
  <c r="AV162" i="15"/>
  <c r="AV250" i="15"/>
  <c r="AO250" i="15"/>
  <c r="AX250" i="15" s="1"/>
  <c r="AV228" i="15"/>
  <c r="AO228" i="15"/>
  <c r="AX228" i="15" s="1"/>
  <c r="AO375" i="15"/>
  <c r="AX375" i="15" s="1"/>
  <c r="AV375" i="15"/>
  <c r="AV442" i="15"/>
  <c r="AO442" i="15"/>
  <c r="AX442" i="15" s="1"/>
  <c r="AO219" i="15"/>
  <c r="AX219" i="15" s="1"/>
  <c r="AV219" i="15"/>
  <c r="AO432" i="15"/>
  <c r="AX432" i="15" s="1"/>
  <c r="AV432" i="15"/>
  <c r="AV290" i="15"/>
  <c r="AO290" i="15"/>
  <c r="AX290" i="15" s="1"/>
  <c r="AO450" i="15"/>
  <c r="AX450" i="15" s="1"/>
  <c r="AV450" i="15"/>
  <c r="AV392" i="15"/>
  <c r="AO392" i="15"/>
  <c r="AX392" i="15" s="1"/>
  <c r="AV439" i="15"/>
  <c r="AO439" i="15"/>
  <c r="AX439" i="15" s="1"/>
  <c r="AO430" i="15"/>
  <c r="AX430" i="15" s="1"/>
  <c r="AV430" i="15"/>
  <c r="AO232" i="15"/>
  <c r="AX232" i="15" s="1"/>
  <c r="AV232" i="15"/>
  <c r="AO181" i="15"/>
  <c r="AX181" i="15" s="1"/>
  <c r="AV181" i="15"/>
  <c r="AO365" i="15"/>
  <c r="AX365" i="15" s="1"/>
  <c r="AV365" i="15"/>
  <c r="AV272" i="15"/>
  <c r="AO272" i="15"/>
  <c r="AX272" i="15" s="1"/>
  <c r="AV275" i="15"/>
  <c r="AO275" i="15"/>
  <c r="AX275" i="15" s="1"/>
  <c r="AO263" i="15"/>
  <c r="AX263" i="15" s="1"/>
  <c r="AV263" i="15"/>
  <c r="AO180" i="15"/>
  <c r="AX180" i="15" s="1"/>
  <c r="AV180" i="15"/>
  <c r="AV348" i="15"/>
  <c r="AO348" i="15"/>
  <c r="AX348" i="15" s="1"/>
  <c r="AV236" i="15"/>
  <c r="AO236" i="15"/>
  <c r="AX236" i="15" s="1"/>
  <c r="AV164" i="15"/>
  <c r="AO164" i="15"/>
  <c r="AX164" i="15" s="1"/>
  <c r="AO235" i="15"/>
  <c r="AX235" i="15" s="1"/>
  <c r="AV235" i="15"/>
  <c r="AO269" i="15"/>
  <c r="AX269" i="15" s="1"/>
  <c r="AV269" i="15"/>
  <c r="AO491" i="15"/>
  <c r="AX491" i="15" s="1"/>
  <c r="AV491" i="15"/>
  <c r="AO333" i="15"/>
  <c r="AX333" i="15" s="1"/>
  <c r="AV333" i="15"/>
  <c r="AV490" i="15"/>
  <c r="AO490" i="15"/>
  <c r="AX490" i="15" s="1"/>
  <c r="AV194" i="15"/>
  <c r="AO194" i="15"/>
  <c r="AX194" i="15" s="1"/>
  <c r="AO371" i="15"/>
  <c r="AX371" i="15" s="1"/>
  <c r="AV371" i="15"/>
  <c r="AV413" i="15"/>
  <c r="AO413" i="15"/>
  <c r="AX413" i="15" s="1"/>
  <c r="AV415" i="15"/>
  <c r="AO415" i="15"/>
  <c r="AX415" i="15" s="1"/>
  <c r="AO178" i="15"/>
  <c r="AX178" i="15" s="1"/>
  <c r="AV178" i="15"/>
  <c r="AO472" i="15"/>
  <c r="AX472" i="15" s="1"/>
  <c r="AV472" i="15"/>
  <c r="AV237" i="15"/>
  <c r="AO237" i="15"/>
  <c r="AX237" i="15" s="1"/>
  <c r="AO481" i="15"/>
  <c r="AX481" i="15" s="1"/>
  <c r="AV481" i="15"/>
  <c r="AV368" i="15"/>
  <c r="AO368" i="15"/>
  <c r="AX368" i="15" s="1"/>
  <c r="AV340" i="15"/>
  <c r="AO340" i="15"/>
  <c r="AX340" i="15" s="1"/>
  <c r="AV388" i="15"/>
  <c r="AO388" i="15"/>
  <c r="AX388" i="15" s="1"/>
  <c r="AV245" i="15"/>
  <c r="AO245" i="15"/>
  <c r="AX245" i="15" s="1"/>
  <c r="AV385" i="15"/>
  <c r="AO385" i="15"/>
  <c r="AX385" i="15" s="1"/>
  <c r="AO304" i="15"/>
  <c r="AX304" i="15" s="1"/>
  <c r="AV304" i="15"/>
  <c r="AV449" i="15"/>
  <c r="AO449" i="15"/>
  <c r="AX449" i="15" s="1"/>
  <c r="AO199" i="15"/>
  <c r="AX199" i="15" s="1"/>
  <c r="AV199" i="15"/>
  <c r="AV336" i="15"/>
  <c r="AO336" i="15"/>
  <c r="AX336" i="15" s="1"/>
  <c r="AO240" i="15"/>
  <c r="AX240" i="15" s="1"/>
  <c r="AV240" i="15"/>
  <c r="AO209" i="15"/>
  <c r="AX209" i="15" s="1"/>
  <c r="AV209" i="15"/>
  <c r="AO193" i="15"/>
  <c r="AX193" i="15" s="1"/>
  <c r="AV193" i="15"/>
  <c r="AO395" i="15"/>
  <c r="AX395" i="15" s="1"/>
  <c r="AV395" i="15"/>
  <c r="AV256" i="15"/>
  <c r="AO256" i="15"/>
  <c r="AX256" i="15" s="1"/>
  <c r="AV345" i="15"/>
  <c r="AO345" i="15"/>
  <c r="AX345" i="15" s="1"/>
  <c r="AV166" i="15"/>
  <c r="AO166" i="15"/>
  <c r="AX166" i="15" s="1"/>
  <c r="AO473" i="15"/>
  <c r="AX473" i="15" s="1"/>
  <c r="AV473" i="15"/>
  <c r="AV241" i="15"/>
  <c r="AO241" i="15"/>
  <c r="AX241" i="15" s="1"/>
  <c r="AV328" i="15"/>
  <c r="AO328" i="15"/>
  <c r="AX328" i="15" s="1"/>
  <c r="AO248" i="15"/>
  <c r="AX248" i="15" s="1"/>
  <c r="AV248" i="15"/>
  <c r="AV213" i="15"/>
  <c r="AO213" i="15"/>
  <c r="AX213" i="15" s="1"/>
  <c r="AV155" i="15"/>
  <c r="AO155" i="15"/>
  <c r="AX155" i="15" s="1"/>
  <c r="AO341" i="15"/>
  <c r="AX341" i="15" s="1"/>
  <c r="AV341" i="15"/>
  <c r="AO405" i="15"/>
  <c r="AX405" i="15" s="1"/>
  <c r="AV405" i="15"/>
  <c r="AO418" i="15"/>
  <c r="AX418" i="15" s="1"/>
  <c r="AV418" i="15"/>
  <c r="AO489" i="15"/>
  <c r="AX489" i="15" s="1"/>
  <c r="AV489" i="15"/>
  <c r="AV445" i="15"/>
  <c r="AO445" i="15"/>
  <c r="AX445" i="15" s="1"/>
  <c r="AV287" i="15"/>
  <c r="AO287" i="15"/>
  <c r="AX287" i="15" s="1"/>
  <c r="AO326" i="15"/>
  <c r="AX326" i="15" s="1"/>
  <c r="AV326" i="15"/>
  <c r="AV189" i="15"/>
  <c r="AO189" i="15"/>
  <c r="AX189" i="15" s="1"/>
  <c r="AV476" i="15"/>
  <c r="AO476" i="15"/>
  <c r="AX476" i="15" s="1"/>
  <c r="AO295" i="15"/>
  <c r="AX295" i="15" s="1"/>
  <c r="AV295" i="15"/>
  <c r="AV281" i="15"/>
  <c r="AO281" i="15"/>
  <c r="AX281" i="15" s="1"/>
  <c r="AO410" i="15"/>
  <c r="AX410" i="15" s="1"/>
  <c r="AV410" i="15"/>
  <c r="AV184" i="15"/>
  <c r="AO184" i="15"/>
  <c r="AX184" i="15" s="1"/>
  <c r="AO152" i="15"/>
  <c r="AX152" i="15" s="1"/>
  <c r="AV152" i="15"/>
  <c r="AV239" i="15"/>
  <c r="AO239" i="15"/>
  <c r="AX239" i="15" s="1"/>
  <c r="AO163" i="15"/>
  <c r="AX163" i="15" s="1"/>
  <c r="AV163" i="15"/>
  <c r="AV465" i="15"/>
  <c r="AO465" i="15"/>
  <c r="AX465" i="15" s="1"/>
  <c r="AV161" i="15"/>
  <c r="AO161" i="15"/>
  <c r="AX161" i="15" s="1"/>
  <c r="AV153" i="15"/>
  <c r="AO153" i="15"/>
  <c r="AX153" i="15" s="1"/>
  <c r="AO234" i="15"/>
  <c r="AX234" i="15" s="1"/>
  <c r="AV234" i="15"/>
  <c r="AO318" i="15"/>
  <c r="AX318" i="15" s="1"/>
  <c r="AV318" i="15"/>
  <c r="AV192" i="15"/>
  <c r="AO192" i="15"/>
  <c r="AX192" i="15" s="1"/>
  <c r="AO320" i="15"/>
  <c r="AX320" i="15" s="1"/>
  <c r="AV320" i="15"/>
  <c r="AV149" i="15"/>
  <c r="AO149" i="15"/>
  <c r="AX149" i="15" s="1"/>
  <c r="AV154" i="15"/>
  <c r="AO154" i="15"/>
  <c r="AX154" i="15" s="1"/>
  <c r="AO482" i="15"/>
  <c r="AX482" i="15" s="1"/>
  <c r="AV482" i="15"/>
  <c r="AO286" i="15"/>
  <c r="AX286" i="15" s="1"/>
  <c r="AV286" i="15"/>
  <c r="AV354" i="15"/>
  <c r="AO354" i="15"/>
  <c r="AX354" i="15" s="1"/>
  <c r="AV426" i="15"/>
  <c r="AO426" i="15"/>
  <c r="AX426" i="15" s="1"/>
  <c r="AV370" i="15"/>
  <c r="AO370" i="15"/>
  <c r="AX370" i="15" s="1"/>
  <c r="AV403" i="15"/>
  <c r="AO403" i="15"/>
  <c r="AX403" i="15" s="1"/>
  <c r="AO455" i="15"/>
  <c r="AX455" i="15" s="1"/>
  <c r="AV455" i="15"/>
  <c r="AO421" i="15"/>
  <c r="AX421" i="15" s="1"/>
  <c r="AV421" i="15"/>
  <c r="AV352" i="15"/>
  <c r="AO352" i="15"/>
  <c r="AX352" i="15" s="1"/>
  <c r="AV453" i="15"/>
  <c r="AO453" i="15"/>
  <c r="AX453" i="15" s="1"/>
  <c r="AO406" i="15"/>
  <c r="AX406" i="15" s="1"/>
  <c r="AV406" i="15"/>
  <c r="AV393" i="15"/>
  <c r="AO393" i="15"/>
  <c r="AX393" i="15" s="1"/>
  <c r="AV349" i="15"/>
  <c r="AO349" i="15"/>
  <c r="AX349" i="15" s="1"/>
  <c r="AO179" i="15"/>
  <c r="AX179" i="15" s="1"/>
  <c r="AV179" i="15"/>
  <c r="AO223" i="15"/>
  <c r="AX223" i="15" s="1"/>
  <c r="AV223" i="15"/>
  <c r="AV329" i="15"/>
  <c r="AO329" i="15"/>
  <c r="AX329" i="15" s="1"/>
  <c r="AV169" i="15"/>
  <c r="AO169" i="15"/>
  <c r="AX169" i="15" s="1"/>
  <c r="AO265" i="15"/>
  <c r="AX265" i="15" s="1"/>
  <c r="AV265" i="15"/>
  <c r="AV374" i="15"/>
  <c r="AO374" i="15"/>
  <c r="AX374" i="15" s="1"/>
  <c r="AO407" i="15"/>
  <c r="AX407" i="15" s="1"/>
  <c r="AV407" i="15"/>
  <c r="AV195" i="15"/>
  <c r="AO195" i="15"/>
  <c r="AX195" i="15" s="1"/>
  <c r="AV398" i="15"/>
  <c r="AO398" i="15"/>
  <c r="AX398" i="15" s="1"/>
  <c r="AO200" i="15"/>
  <c r="AX200" i="15" s="1"/>
  <c r="AV200" i="15"/>
  <c r="AV230" i="15"/>
  <c r="AO230" i="15"/>
  <c r="AX230" i="15" s="1"/>
  <c r="AV359" i="15"/>
  <c r="AO359" i="15"/>
  <c r="AX359" i="15" s="1"/>
  <c r="AV174" i="15"/>
  <c r="AO174" i="15"/>
  <c r="AX174" i="15" s="1"/>
  <c r="AV479" i="15"/>
  <c r="AO479" i="15"/>
  <c r="AX479" i="15" s="1"/>
  <c r="AO196" i="15"/>
  <c r="AX196" i="15" s="1"/>
  <c r="AV196" i="15"/>
  <c r="AV376" i="15"/>
  <c r="AO376" i="15"/>
  <c r="AX376" i="15" s="1"/>
  <c r="AV462" i="15"/>
  <c r="AO462" i="15"/>
  <c r="AX462" i="15" s="1"/>
  <c r="AO224" i="15"/>
  <c r="AX224" i="15" s="1"/>
  <c r="AV224" i="15"/>
  <c r="AO314" i="15"/>
  <c r="AX314" i="15" s="1"/>
  <c r="AV314" i="15"/>
  <c r="AV322" i="15"/>
  <c r="AO322" i="15"/>
  <c r="AX322" i="15" s="1"/>
  <c r="AV419" i="15"/>
  <c r="AO419" i="15"/>
  <c r="AX419" i="15" s="1"/>
  <c r="AO360" i="15"/>
  <c r="AX360" i="15" s="1"/>
  <c r="AV360" i="15"/>
  <c r="AO177" i="15"/>
  <c r="AX177" i="15" s="1"/>
  <c r="AV177" i="15"/>
  <c r="AO447" i="15"/>
  <c r="AX447" i="15" s="1"/>
  <c r="AV447" i="15"/>
  <c r="AV435" i="15"/>
  <c r="AO435" i="15"/>
  <c r="AX435" i="15" s="1"/>
  <c r="AO463" i="15"/>
  <c r="AX463" i="15" s="1"/>
  <c r="AV463" i="15"/>
  <c r="AV438" i="15"/>
  <c r="AO438" i="15"/>
  <c r="AX438" i="15" s="1"/>
  <c r="AV356" i="15"/>
  <c r="AO356" i="15"/>
  <c r="AX356" i="15" s="1"/>
  <c r="AV390" i="15"/>
  <c r="AO390" i="15"/>
  <c r="AX390" i="15" s="1"/>
  <c r="AO424" i="15"/>
  <c r="AX424" i="15" s="1"/>
  <c r="AV424" i="15"/>
  <c r="AO175" i="15"/>
  <c r="AX175" i="15" s="1"/>
  <c r="AV175" i="15"/>
  <c r="AV467" i="15"/>
  <c r="AO467" i="15"/>
  <c r="AX467" i="15" s="1"/>
  <c r="AV279" i="15"/>
  <c r="AO279" i="15"/>
  <c r="AX279" i="15" s="1"/>
  <c r="AV381" i="15"/>
  <c r="AO381" i="15"/>
  <c r="AX381" i="15" s="1"/>
  <c r="AV396" i="15"/>
  <c r="AO396" i="15"/>
  <c r="AX396" i="15" s="1"/>
  <c r="AO434" i="15"/>
  <c r="AX434" i="15" s="1"/>
  <c r="AV434" i="15"/>
  <c r="AV484" i="15"/>
  <c r="AO484" i="15"/>
  <c r="AX484" i="15" s="1"/>
  <c r="AO416" i="15"/>
  <c r="AX416" i="15" s="1"/>
  <c r="AV416" i="15"/>
  <c r="AO361" i="15"/>
  <c r="AX361" i="15" s="1"/>
  <c r="AV361" i="15"/>
  <c r="AO387" i="15"/>
  <c r="AX387" i="15" s="1"/>
  <c r="AV387" i="15"/>
  <c r="AO146" i="15"/>
  <c r="AX146" i="15" s="1"/>
  <c r="AV146" i="15"/>
  <c r="AV229" i="15"/>
  <c r="AO229" i="15"/>
  <c r="AX229" i="15" s="1"/>
  <c r="AO330" i="15"/>
  <c r="AX330" i="15" s="1"/>
  <c r="AV330" i="15"/>
  <c r="AO363" i="15"/>
  <c r="AX363" i="15" s="1"/>
  <c r="AV363" i="15"/>
  <c r="AO297" i="15"/>
  <c r="AX297" i="15" s="1"/>
  <c r="AV297" i="15"/>
  <c r="AV347" i="15"/>
  <c r="AO347" i="15"/>
  <c r="AX347" i="15" s="1"/>
  <c r="AO377" i="15"/>
  <c r="AX377" i="15" s="1"/>
  <c r="AV377" i="15"/>
  <c r="AO384" i="15"/>
  <c r="AX384" i="15" s="1"/>
  <c r="AV384" i="15"/>
  <c r="AV183" i="15"/>
  <c r="AO183" i="15"/>
  <c r="AX183" i="15" s="1"/>
  <c r="AV342" i="15"/>
  <c r="AO342" i="15"/>
  <c r="AX342" i="15" s="1"/>
  <c r="AV483" i="15"/>
  <c r="AO483" i="15"/>
  <c r="AX483" i="15" s="1"/>
  <c r="AV460" i="15"/>
  <c r="AO460" i="15"/>
  <c r="AX460" i="15" s="1"/>
  <c r="AO259" i="15"/>
  <c r="AX259" i="15" s="1"/>
  <c r="AV259" i="15"/>
  <c r="AO303" i="15"/>
  <c r="AX303" i="15" s="1"/>
  <c r="AV303" i="15"/>
  <c r="AO307" i="15"/>
  <c r="AX307" i="15" s="1"/>
  <c r="AV307" i="15"/>
  <c r="AV428" i="15"/>
  <c r="AO428" i="15"/>
  <c r="AX428" i="15" s="1"/>
  <c r="AO215" i="15"/>
  <c r="AX215" i="15" s="1"/>
  <c r="AV215" i="15"/>
  <c r="AO277" i="15"/>
  <c r="AX277" i="15" s="1"/>
  <c r="AV277" i="15"/>
  <c r="AV469" i="15"/>
  <c r="AO469" i="15"/>
  <c r="AX469" i="15" s="1"/>
  <c r="AO233" i="15"/>
  <c r="AX233" i="15" s="1"/>
  <c r="AV233" i="15"/>
  <c r="AV172" i="15"/>
  <c r="AO172" i="15"/>
  <c r="AX172" i="15" s="1"/>
  <c r="AO351" i="15"/>
  <c r="AX351" i="15" s="1"/>
  <c r="AV351" i="15"/>
  <c r="AV271" i="15"/>
  <c r="AO271" i="15"/>
  <c r="AX271" i="15" s="1"/>
  <c r="AO170" i="15"/>
  <c r="AX170" i="15" s="1"/>
  <c r="AV170" i="15"/>
  <c r="AV343" i="15"/>
  <c r="AO343" i="15"/>
  <c r="AX343" i="15" s="1"/>
  <c r="AO285" i="15"/>
  <c r="AX285" i="15" s="1"/>
  <c r="AV285" i="15"/>
  <c r="AO358" i="15"/>
  <c r="AX358" i="15" s="1"/>
  <c r="AV358" i="15"/>
  <c r="AO144" i="15"/>
  <c r="AX144" i="15" s="1"/>
  <c r="AV144" i="15"/>
  <c r="AO485" i="15"/>
  <c r="AX485" i="15" s="1"/>
  <c r="AV485" i="15"/>
  <c r="AO331" i="15"/>
  <c r="AX331" i="15" s="1"/>
  <c r="AV331" i="15"/>
  <c r="AO205" i="15"/>
  <c r="AX205" i="15" s="1"/>
  <c r="AV205" i="15"/>
  <c r="AV173" i="15"/>
  <c r="AO173" i="15"/>
  <c r="AX173" i="15" s="1"/>
  <c r="AV425" i="15"/>
  <c r="AO425" i="15"/>
  <c r="AX425" i="15" s="1"/>
  <c r="AO338" i="15"/>
  <c r="AX338" i="15" s="1"/>
  <c r="AV338" i="15"/>
  <c r="AV311" i="15"/>
  <c r="AO311" i="15"/>
  <c r="AX311" i="15" s="1"/>
  <c r="AO362" i="15"/>
  <c r="AX362" i="15" s="1"/>
  <c r="AV362" i="15"/>
  <c r="AV466" i="15"/>
  <c r="AO466" i="15"/>
  <c r="AX466" i="15" s="1"/>
  <c r="AD6" i="15"/>
  <c r="AH6" i="15" s="1"/>
  <c r="AQ6" i="15" s="1"/>
  <c r="AO420" i="15"/>
  <c r="AX420" i="15" s="1"/>
  <c r="AV420" i="15"/>
  <c r="AV267" i="15"/>
  <c r="AO267" i="15"/>
  <c r="AX267" i="15" s="1"/>
  <c r="AO206" i="15"/>
  <c r="AX206" i="15" s="1"/>
  <c r="AV206" i="15"/>
  <c r="AV305" i="15"/>
  <c r="AO305" i="15"/>
  <c r="AX305" i="15" s="1"/>
  <c r="AO378" i="15"/>
  <c r="AX378" i="15" s="1"/>
  <c r="AV378" i="15"/>
  <c r="AO337" i="15"/>
  <c r="AX337" i="15" s="1"/>
  <c r="AV337" i="15"/>
  <c r="AV316" i="15"/>
  <c r="AO316" i="15"/>
  <c r="AX316" i="15" s="1"/>
  <c r="AO391" i="15"/>
  <c r="AX391" i="15" s="1"/>
  <c r="AV391" i="15"/>
  <c r="AO289" i="15"/>
  <c r="AX289" i="15" s="1"/>
  <c r="AV289" i="15"/>
  <c r="AO306" i="15"/>
  <c r="AX306" i="15" s="1"/>
  <c r="AV306" i="15"/>
  <c r="AO185" i="15"/>
  <c r="AX185" i="15" s="1"/>
  <c r="AV185" i="15"/>
  <c r="AO488" i="15"/>
  <c r="AX488" i="15" s="1"/>
  <c r="AV488" i="15"/>
  <c r="AV227" i="15"/>
  <c r="AO227" i="15"/>
  <c r="AX227" i="15" s="1"/>
  <c r="AV372" i="15"/>
  <c r="AO372" i="15"/>
  <c r="AX372" i="15" s="1"/>
  <c r="AV399" i="15"/>
  <c r="AO399" i="15"/>
  <c r="AX399" i="15" s="1"/>
  <c r="AO186" i="15"/>
  <c r="AX186" i="15" s="1"/>
  <c r="AV186" i="15"/>
  <c r="AO291" i="15"/>
  <c r="AX291" i="15" s="1"/>
  <c r="AV291" i="15"/>
  <c r="AO346" i="15"/>
  <c r="AX346" i="15" s="1"/>
  <c r="AV346" i="15"/>
  <c r="AO355" i="15"/>
  <c r="AX355" i="15" s="1"/>
  <c r="AV355" i="15"/>
  <c r="AO454" i="15"/>
  <c r="AX454" i="15" s="1"/>
  <c r="AV454" i="15"/>
  <c r="AO276" i="15"/>
  <c r="AX276" i="15" s="1"/>
  <c r="AV276" i="15"/>
  <c r="AV379" i="15"/>
  <c r="AO379" i="15"/>
  <c r="AX379" i="15" s="1"/>
  <c r="AO218" i="15"/>
  <c r="AX218" i="15" s="1"/>
  <c r="AV218" i="15"/>
  <c r="AV204" i="15"/>
  <c r="AO204" i="15"/>
  <c r="AX204" i="15" s="1"/>
  <c r="AO382" i="15"/>
  <c r="AX382" i="15" s="1"/>
  <c r="AV382" i="15"/>
  <c r="AV324" i="15"/>
  <c r="AO324" i="15"/>
  <c r="AX324" i="15" s="1"/>
  <c r="AV293" i="15"/>
  <c r="AO293" i="15"/>
  <c r="AX293" i="15" s="1"/>
  <c r="AV335" i="15"/>
  <c r="AO335" i="15"/>
  <c r="AX335" i="15" s="1"/>
  <c r="AO278" i="15"/>
  <c r="AX278" i="15" s="1"/>
  <c r="AV278" i="15"/>
  <c r="AC7" i="15"/>
  <c r="AB7" i="15"/>
  <c r="AV427" i="15"/>
  <c r="AO427" i="15"/>
  <c r="AX427" i="15" s="1"/>
  <c r="AO266" i="15"/>
  <c r="AX266" i="15" s="1"/>
  <c r="AV266" i="15"/>
  <c r="AO217" i="15"/>
  <c r="AX217" i="15" s="1"/>
  <c r="AV217" i="15"/>
  <c r="AO257" i="15"/>
  <c r="AX257" i="15" s="1"/>
  <c r="AV257" i="15"/>
  <c r="AV167" i="15"/>
  <c r="AO167" i="15"/>
  <c r="AX167" i="15" s="1"/>
  <c r="AV431" i="15"/>
  <c r="AO431" i="15"/>
  <c r="AX431" i="15" s="1"/>
  <c r="AV208" i="15"/>
  <c r="AO208" i="15"/>
  <c r="AX208" i="15" s="1"/>
  <c r="AO254" i="15"/>
  <c r="AX254" i="15" s="1"/>
  <c r="AV254" i="15"/>
  <c r="AO436" i="15"/>
  <c r="AX436" i="15" s="1"/>
  <c r="AV436" i="15"/>
  <c r="AV315" i="15"/>
  <c r="AO315" i="15"/>
  <c r="AX315" i="15" s="1"/>
  <c r="AO165" i="15"/>
  <c r="AX165" i="15" s="1"/>
  <c r="AV165" i="15"/>
  <c r="AO323" i="15"/>
  <c r="AX323" i="15" s="1"/>
  <c r="AV323" i="15"/>
  <c r="AO157" i="15"/>
  <c r="AX157" i="15" s="1"/>
  <c r="AV157" i="15"/>
  <c r="AV321" i="15"/>
  <c r="AO321" i="15"/>
  <c r="AX321" i="15" s="1"/>
  <c r="AO214" i="15"/>
  <c r="AX214" i="15" s="1"/>
  <c r="AV214" i="15"/>
  <c r="AO182" i="15"/>
  <c r="AX182" i="15" s="1"/>
  <c r="AV182" i="15"/>
  <c r="AV429" i="15"/>
  <c r="AO429" i="15"/>
  <c r="AX429" i="15" s="1"/>
  <c r="AV464" i="15"/>
  <c r="AO464" i="15"/>
  <c r="AX464" i="15" s="1"/>
  <c r="AO4" i="15"/>
  <c r="AX4" i="15" s="1"/>
  <c r="AV4" i="15"/>
  <c r="AZ4" i="15"/>
  <c r="BB4" i="15" s="1"/>
  <c r="BA4" i="15"/>
  <c r="B8" i="15"/>
  <c r="AX493" i="15" l="1"/>
  <c r="AO143" i="15"/>
  <c r="AX143" i="15" s="1"/>
  <c r="AA8" i="15"/>
  <c r="AC8" i="15" s="1"/>
  <c r="AD7" i="15"/>
  <c r="AH7" i="15" s="1"/>
  <c r="AQ7" i="15" s="1"/>
  <c r="BC4" i="15"/>
  <c r="B9" i="15"/>
  <c r="C23" i="23"/>
  <c r="AB8" i="15" l="1"/>
  <c r="AA9" i="15"/>
  <c r="AC9" i="15" s="1"/>
  <c r="AD8" i="15"/>
  <c r="AH8" i="15" s="1"/>
  <c r="AQ8" i="15" s="1"/>
  <c r="B10" i="15"/>
  <c r="AB9" i="15" l="1"/>
  <c r="AA10" i="15"/>
  <c r="AC10" i="15" s="1"/>
  <c r="AD9" i="15"/>
  <c r="AH9" i="15" s="1"/>
  <c r="AQ9" i="15" s="1"/>
  <c r="B11" i="15"/>
  <c r="AB10" i="15" l="1"/>
  <c r="AA11" i="15"/>
  <c r="AC11" i="15" s="1"/>
  <c r="AD10" i="15"/>
  <c r="AH10" i="15" s="1"/>
  <c r="AQ10" i="15" s="1"/>
  <c r="B12" i="15"/>
  <c r="AA12" i="15" l="1"/>
  <c r="AC12" i="15" s="1"/>
  <c r="AB11" i="15"/>
  <c r="AD11" i="15"/>
  <c r="AH11" i="15" s="1"/>
  <c r="AQ11" i="15" s="1"/>
  <c r="B13" i="15"/>
  <c r="AB12" i="15" l="1"/>
  <c r="AA13" i="15"/>
  <c r="AC13" i="15" s="1"/>
  <c r="AD12" i="15"/>
  <c r="AH12" i="15" s="1"/>
  <c r="AQ12" i="15" s="1"/>
  <c r="B14" i="15"/>
  <c r="AA14" i="15" s="1"/>
  <c r="AB13" i="15" l="1"/>
  <c r="AC14" i="15"/>
  <c r="AB14" i="15"/>
  <c r="AD13" i="15"/>
  <c r="AH13" i="15" s="1"/>
  <c r="AQ13" i="15" s="1"/>
  <c r="B15" i="15"/>
  <c r="AA15" i="15" l="1"/>
  <c r="AC15" i="15" s="1"/>
  <c r="AD14" i="15"/>
  <c r="AH14" i="15" s="1"/>
  <c r="AQ14" i="15" s="1"/>
  <c r="B16" i="15"/>
  <c r="AB15" i="15" l="1"/>
  <c r="AA16" i="15"/>
  <c r="AC16" i="15" s="1"/>
  <c r="AD15" i="15"/>
  <c r="AH15" i="15" s="1"/>
  <c r="AQ15" i="15" s="1"/>
  <c r="B17" i="15"/>
  <c r="AB16" i="15" l="1"/>
  <c r="AA17" i="15"/>
  <c r="AC17" i="15" s="1"/>
  <c r="AD16" i="15"/>
  <c r="AH16" i="15" s="1"/>
  <c r="AQ16" i="15" s="1"/>
  <c r="B18" i="15"/>
  <c r="AB17" i="15" l="1"/>
  <c r="AA18" i="15"/>
  <c r="AC18" i="15" s="1"/>
  <c r="AD17" i="15"/>
  <c r="AH17" i="15" s="1"/>
  <c r="AQ17" i="15" s="1"/>
  <c r="B19" i="15"/>
  <c r="AA19" i="15" s="1"/>
  <c r="AB18" i="15" l="1"/>
  <c r="AC19" i="15"/>
  <c r="AB19" i="15"/>
  <c r="AD18" i="15"/>
  <c r="AH18" i="15" s="1"/>
  <c r="AQ18" i="15" s="1"/>
  <c r="B20" i="15"/>
  <c r="AA20" i="15" l="1"/>
  <c r="AC20" i="15" s="1"/>
  <c r="AD19" i="15"/>
  <c r="AH19" i="15" s="1"/>
  <c r="AQ19" i="15" s="1"/>
  <c r="B21" i="15"/>
  <c r="AA21" i="15" s="1"/>
  <c r="AB20" i="15" l="1"/>
  <c r="AC21" i="15"/>
  <c r="AB21" i="15"/>
  <c r="AD20" i="15"/>
  <c r="AH20" i="15" s="1"/>
  <c r="AQ20" i="15" s="1"/>
  <c r="B22" i="15"/>
  <c r="AA22" i="15" s="1"/>
  <c r="AC22" i="15" l="1"/>
  <c r="AB22" i="15"/>
  <c r="AD21" i="15"/>
  <c r="AH21" i="15" s="1"/>
  <c r="AQ21" i="15" s="1"/>
  <c r="B23" i="15"/>
  <c r="AA23" i="15" s="1"/>
  <c r="AC23" i="15" l="1"/>
  <c r="AB23" i="15"/>
  <c r="AD22" i="15"/>
  <c r="AH22" i="15" s="1"/>
  <c r="AQ22" i="15" s="1"/>
  <c r="B24" i="15"/>
  <c r="AA24" i="15" s="1"/>
  <c r="AC24" i="15" l="1"/>
  <c r="AB24" i="15"/>
  <c r="AD23" i="15"/>
  <c r="AH23" i="15" s="1"/>
  <c r="AQ23" i="15" s="1"/>
  <c r="B25" i="15"/>
  <c r="AA25" i="15" s="1"/>
  <c r="AC25" i="15" l="1"/>
  <c r="AB25" i="15"/>
  <c r="AD24" i="15"/>
  <c r="AH24" i="15" s="1"/>
  <c r="AQ24" i="15" s="1"/>
  <c r="B26" i="15"/>
  <c r="AA26" i="15" s="1"/>
  <c r="AC26" i="15" l="1"/>
  <c r="AB26" i="15"/>
  <c r="AD25" i="15"/>
  <c r="AH25" i="15" s="1"/>
  <c r="AQ25" i="15" s="1"/>
  <c r="B27" i="15"/>
  <c r="AA27" i="15" s="1"/>
  <c r="AC27" i="15" l="1"/>
  <c r="AB27" i="15"/>
  <c r="AD26" i="15"/>
  <c r="AH26" i="15" s="1"/>
  <c r="AQ26" i="15" s="1"/>
  <c r="B28" i="15"/>
  <c r="AA28" i="15" s="1"/>
  <c r="AC28" i="15" l="1"/>
  <c r="AB28" i="15"/>
  <c r="AD27" i="15"/>
  <c r="AH27" i="15" s="1"/>
  <c r="AQ27" i="15" s="1"/>
  <c r="B29" i="15"/>
  <c r="AA29" i="15" s="1"/>
  <c r="AC29" i="15" l="1"/>
  <c r="AB29" i="15"/>
  <c r="AD28" i="15"/>
  <c r="AH28" i="15" s="1"/>
  <c r="AQ28" i="15" s="1"/>
  <c r="B30" i="15"/>
  <c r="AA30" i="15" s="1"/>
  <c r="AC30" i="15" l="1"/>
  <c r="AB30" i="15"/>
  <c r="AD29" i="15"/>
  <c r="AH29" i="15" s="1"/>
  <c r="AQ29" i="15" s="1"/>
  <c r="B31" i="15"/>
  <c r="AA31" i="15" s="1"/>
  <c r="AC31" i="15" l="1"/>
  <c r="AB31" i="15"/>
  <c r="AD30" i="15"/>
  <c r="AH30" i="15" s="1"/>
  <c r="AQ30" i="15" s="1"/>
  <c r="B32" i="15"/>
  <c r="AA32" i="15" s="1"/>
  <c r="AC32" i="15" l="1"/>
  <c r="AB32" i="15"/>
  <c r="AD31" i="15"/>
  <c r="AH31" i="15" s="1"/>
  <c r="AQ31" i="15" s="1"/>
  <c r="B33" i="15"/>
  <c r="AA33" i="15" s="1"/>
  <c r="AC33" i="15" l="1"/>
  <c r="AB33" i="15"/>
  <c r="AD32" i="15"/>
  <c r="AH32" i="15" s="1"/>
  <c r="AQ32" i="15" s="1"/>
  <c r="B34" i="15"/>
  <c r="AA34" i="15" s="1"/>
  <c r="AC34" i="15" l="1"/>
  <c r="AB34" i="15"/>
  <c r="AD33" i="15"/>
  <c r="AH33" i="15" s="1"/>
  <c r="AQ33" i="15" s="1"/>
  <c r="B35" i="15"/>
  <c r="AA35" i="15" s="1"/>
  <c r="AC35" i="15" l="1"/>
  <c r="AB35" i="15"/>
  <c r="AD34" i="15"/>
  <c r="AH34" i="15" s="1"/>
  <c r="AQ34" i="15" s="1"/>
  <c r="B36" i="15"/>
  <c r="AA36" i="15" s="1"/>
  <c r="AC36" i="15" l="1"/>
  <c r="AB36" i="15"/>
  <c r="AD35" i="15"/>
  <c r="AH35" i="15" s="1"/>
  <c r="AQ35" i="15" s="1"/>
  <c r="B37" i="15"/>
  <c r="AA37" i="15" s="1"/>
  <c r="AC37" i="15" l="1"/>
  <c r="AB37" i="15"/>
  <c r="AD36" i="15"/>
  <c r="AH36" i="15" s="1"/>
  <c r="AQ36" i="15" s="1"/>
  <c r="B38" i="15"/>
  <c r="AA38" i="15" s="1"/>
  <c r="AC38" i="15" l="1"/>
  <c r="AB38" i="15"/>
  <c r="AD37" i="15"/>
  <c r="AH37" i="15" s="1"/>
  <c r="AQ37" i="15" s="1"/>
  <c r="B39" i="15"/>
  <c r="AA39" i="15" s="1"/>
  <c r="AC39" i="15" l="1"/>
  <c r="AB39" i="15"/>
  <c r="AD38" i="15"/>
  <c r="AH38" i="15" s="1"/>
  <c r="AQ38" i="15" s="1"/>
  <c r="B40" i="15"/>
  <c r="AA40" i="15" s="1"/>
  <c r="AC40" i="15" l="1"/>
  <c r="AB40" i="15"/>
  <c r="AD39" i="15"/>
  <c r="AH39" i="15" s="1"/>
  <c r="AQ39" i="15" s="1"/>
  <c r="B41" i="15"/>
  <c r="AA41" i="15" s="1"/>
  <c r="AC41" i="15" l="1"/>
  <c r="AB41" i="15"/>
  <c r="AD40" i="15"/>
  <c r="AH40" i="15" s="1"/>
  <c r="AQ40" i="15" s="1"/>
  <c r="B42" i="15"/>
  <c r="AA42" i="15" s="1"/>
  <c r="AC42" i="15" l="1"/>
  <c r="AB42" i="15"/>
  <c r="AD41" i="15"/>
  <c r="AH41" i="15" s="1"/>
  <c r="AQ41" i="15" s="1"/>
  <c r="B43" i="15"/>
  <c r="AA43" i="15" s="1"/>
  <c r="AC43" i="15" l="1"/>
  <c r="AB43" i="15"/>
  <c r="AD42" i="15"/>
  <c r="AH42" i="15" s="1"/>
  <c r="AQ42" i="15" s="1"/>
  <c r="B44" i="15"/>
  <c r="AA44" i="15" s="1"/>
  <c r="AC44" i="15" l="1"/>
  <c r="AB44" i="15"/>
  <c r="AD43" i="15"/>
  <c r="AH43" i="15" s="1"/>
  <c r="AQ43" i="15" s="1"/>
  <c r="B45" i="15"/>
  <c r="AA45" i="15" s="1"/>
  <c r="AC45" i="15" l="1"/>
  <c r="AB45" i="15"/>
  <c r="AD44" i="15"/>
  <c r="AH44" i="15" s="1"/>
  <c r="AQ44" i="15" s="1"/>
  <c r="B46" i="15"/>
  <c r="AA46" i="15" s="1"/>
  <c r="AC46" i="15" l="1"/>
  <c r="AB46" i="15"/>
  <c r="AD45" i="15"/>
  <c r="AH45" i="15" s="1"/>
  <c r="AQ45" i="15" s="1"/>
  <c r="B47" i="15"/>
  <c r="AA47" i="15" s="1"/>
  <c r="AC47" i="15" l="1"/>
  <c r="AB47" i="15"/>
  <c r="AD46" i="15"/>
  <c r="AH46" i="15" s="1"/>
  <c r="AQ46" i="15" s="1"/>
  <c r="B48" i="15"/>
  <c r="AA48" i="15" l="1"/>
  <c r="AC48" i="15" s="1"/>
  <c r="B49" i="15"/>
  <c r="AD47" i="15"/>
  <c r="AH47" i="15" s="1"/>
  <c r="AQ47" i="15" s="1"/>
  <c r="AB48" i="15" l="1"/>
  <c r="AA49" i="15"/>
  <c r="B50" i="15"/>
  <c r="AD48" i="15"/>
  <c r="AH48" i="15" s="1"/>
  <c r="AQ48" i="15" s="1"/>
  <c r="AA50" i="15" l="1"/>
  <c r="AC50" i="15" s="1"/>
  <c r="AD50" i="15" s="1"/>
  <c r="AH50" i="15" s="1"/>
  <c r="AQ50" i="15" s="1"/>
  <c r="B51" i="15"/>
  <c r="AC49" i="15"/>
  <c r="AD49" i="15" s="1"/>
  <c r="AH49" i="15" s="1"/>
  <c r="AQ49" i="15" s="1"/>
  <c r="AB49" i="15"/>
  <c r="AB50" i="15" l="1"/>
  <c r="AA51" i="15"/>
  <c r="B52" i="15"/>
  <c r="D23" i="23"/>
  <c r="E23" i="23"/>
  <c r="AA52" i="15" l="1"/>
  <c r="B53" i="15"/>
  <c r="AC51" i="15"/>
  <c r="AB51" i="15"/>
  <c r="E30" i="23"/>
  <c r="F23" i="23"/>
  <c r="AC52" i="15" l="1"/>
  <c r="AD52" i="15" s="1"/>
  <c r="AH52" i="15" s="1"/>
  <c r="AQ52" i="15" s="1"/>
  <c r="AB52" i="15"/>
  <c r="AA53" i="15"/>
  <c r="B54" i="15"/>
  <c r="AD51" i="15"/>
  <c r="AH51" i="15" s="1"/>
  <c r="AQ51" i="15" s="1"/>
  <c r="AC53" i="15" l="1"/>
  <c r="AD53" i="15" s="1"/>
  <c r="AH53" i="15" s="1"/>
  <c r="AB53" i="15"/>
  <c r="AA54" i="15"/>
  <c r="B55" i="15"/>
  <c r="BA165" i="15"/>
  <c r="BB165" i="15"/>
  <c r="BA209" i="15"/>
  <c r="BB209" i="15"/>
  <c r="BA297" i="15"/>
  <c r="BB297" i="15"/>
  <c r="BA407" i="15"/>
  <c r="BB407" i="15"/>
  <c r="BB429" i="15"/>
  <c r="BA429" i="15"/>
  <c r="BA451" i="15"/>
  <c r="BB451" i="15"/>
  <c r="BA473" i="15"/>
  <c r="BB473" i="15"/>
  <c r="BA144" i="15"/>
  <c r="BB144" i="15"/>
  <c r="BA166" i="15"/>
  <c r="BB166" i="15"/>
  <c r="BA188" i="15"/>
  <c r="BB188" i="15"/>
  <c r="BA210" i="15"/>
  <c r="BB210" i="15"/>
  <c r="BA232" i="15"/>
  <c r="BB232" i="15"/>
  <c r="BA254" i="15"/>
  <c r="BB254" i="15"/>
  <c r="BA276" i="15"/>
  <c r="BB276" i="15"/>
  <c r="BA298" i="15"/>
  <c r="BB298" i="15"/>
  <c r="BA320" i="15"/>
  <c r="BB320" i="15"/>
  <c r="BA342" i="15"/>
  <c r="BB342" i="15"/>
  <c r="BA364" i="15"/>
  <c r="BB364" i="15"/>
  <c r="BA386" i="15"/>
  <c r="BB386" i="15"/>
  <c r="BA408" i="15"/>
  <c r="BB408" i="15"/>
  <c r="BA430" i="15"/>
  <c r="BB430" i="15"/>
  <c r="BA452" i="15"/>
  <c r="BB452" i="15"/>
  <c r="BA474" i="15"/>
  <c r="BB474" i="15"/>
  <c r="BA275" i="15"/>
  <c r="BB275" i="15"/>
  <c r="BA431" i="15"/>
  <c r="BB431" i="15"/>
  <c r="BA146" i="15"/>
  <c r="BB146" i="15"/>
  <c r="BA168" i="15"/>
  <c r="BB168" i="15"/>
  <c r="BA190" i="15"/>
  <c r="BB190" i="15"/>
  <c r="BA212" i="15"/>
  <c r="BB212" i="15"/>
  <c r="BA234" i="15"/>
  <c r="BB234" i="15"/>
  <c r="BA256" i="15"/>
  <c r="BB256" i="15"/>
  <c r="BA278" i="15"/>
  <c r="BB278" i="15"/>
  <c r="BA300" i="15"/>
  <c r="BB300" i="15"/>
  <c r="BA322" i="15"/>
  <c r="BB322" i="15"/>
  <c r="BA344" i="15"/>
  <c r="BB344" i="15"/>
  <c r="BA366" i="15"/>
  <c r="BB366" i="15"/>
  <c r="BA388" i="15"/>
  <c r="BB388" i="15"/>
  <c r="BA410" i="15"/>
  <c r="BB410" i="15"/>
  <c r="BA432" i="15"/>
  <c r="BB432" i="15"/>
  <c r="BA454" i="15"/>
  <c r="BB454" i="15"/>
  <c r="BA476" i="15"/>
  <c r="BB476" i="15"/>
  <c r="BA365" i="15"/>
  <c r="BB365" i="15"/>
  <c r="BA147" i="15"/>
  <c r="BB147" i="15"/>
  <c r="BA169" i="15"/>
  <c r="BB169" i="15"/>
  <c r="BA191" i="15"/>
  <c r="BB191" i="15"/>
  <c r="BA213" i="15"/>
  <c r="BB213" i="15"/>
  <c r="BB235" i="15"/>
  <c r="BA235" i="15"/>
  <c r="BA257" i="15"/>
  <c r="BB257" i="15"/>
  <c r="BA279" i="15"/>
  <c r="BB279" i="15"/>
  <c r="BA301" i="15"/>
  <c r="BB301" i="15"/>
  <c r="BA323" i="15"/>
  <c r="BB323" i="15"/>
  <c r="BA345" i="15"/>
  <c r="BB345" i="15"/>
  <c r="BA367" i="15"/>
  <c r="BB367" i="15"/>
  <c r="BA389" i="15"/>
  <c r="BB389" i="15"/>
  <c r="BA411" i="15"/>
  <c r="BB411" i="15"/>
  <c r="BA433" i="15"/>
  <c r="BB433" i="15"/>
  <c r="BA455" i="15"/>
  <c r="BB455" i="15"/>
  <c r="BA477" i="15"/>
  <c r="BB477" i="15"/>
  <c r="BA409" i="15"/>
  <c r="BB409" i="15"/>
  <c r="BA148" i="15"/>
  <c r="BB148" i="15"/>
  <c r="BA170" i="15"/>
  <c r="BB170" i="15"/>
  <c r="BA192" i="15"/>
  <c r="BB192" i="15"/>
  <c r="BA214" i="15"/>
  <c r="BB214" i="15"/>
  <c r="BA236" i="15"/>
  <c r="BB236" i="15"/>
  <c r="BA258" i="15"/>
  <c r="BB258" i="15"/>
  <c r="BA280" i="15"/>
  <c r="BB280" i="15"/>
  <c r="BA302" i="15"/>
  <c r="BB302" i="15"/>
  <c r="BA324" i="15"/>
  <c r="BB324" i="15"/>
  <c r="BA346" i="15"/>
  <c r="BB346" i="15"/>
  <c r="BA368" i="15"/>
  <c r="BB368" i="15"/>
  <c r="BA390" i="15"/>
  <c r="BB390" i="15"/>
  <c r="BA412" i="15"/>
  <c r="BB412" i="15"/>
  <c r="BA434" i="15"/>
  <c r="BB434" i="15"/>
  <c r="BA456" i="15"/>
  <c r="BB456" i="15"/>
  <c r="BA478" i="15"/>
  <c r="BB478" i="15"/>
  <c r="BA387" i="15"/>
  <c r="BB387" i="15"/>
  <c r="BA149" i="15"/>
  <c r="BB149" i="15"/>
  <c r="BA171" i="15"/>
  <c r="BB171" i="15"/>
  <c r="BA193" i="15"/>
  <c r="BB193" i="15"/>
  <c r="BA215" i="15"/>
  <c r="BB215" i="15"/>
  <c r="BA237" i="15"/>
  <c r="BB237" i="15"/>
  <c r="BA259" i="15"/>
  <c r="BB259" i="15"/>
  <c r="BA281" i="15"/>
  <c r="BB281" i="15"/>
  <c r="BA303" i="15"/>
  <c r="BB303" i="15"/>
  <c r="BA325" i="15"/>
  <c r="BB325" i="15"/>
  <c r="BA347" i="15"/>
  <c r="BB347" i="15"/>
  <c r="BA369" i="15"/>
  <c r="BB369" i="15"/>
  <c r="BA391" i="15"/>
  <c r="BB391" i="15"/>
  <c r="BA413" i="15"/>
  <c r="BB413" i="15"/>
  <c r="BA435" i="15"/>
  <c r="BB435" i="15"/>
  <c r="BA457" i="15"/>
  <c r="BB457" i="15"/>
  <c r="BA479" i="15"/>
  <c r="BB479" i="15"/>
  <c r="BA475" i="15"/>
  <c r="BB475" i="15"/>
  <c r="BA150" i="15"/>
  <c r="BB150" i="15"/>
  <c r="BA172" i="15"/>
  <c r="BB172" i="15"/>
  <c r="BA194" i="15"/>
  <c r="BB194" i="15"/>
  <c r="BA216" i="15"/>
  <c r="BB216" i="15"/>
  <c r="BA238" i="15"/>
  <c r="BB238" i="15"/>
  <c r="BA260" i="15"/>
  <c r="BB260" i="15"/>
  <c r="BA282" i="15"/>
  <c r="BB282" i="15"/>
  <c r="BA304" i="15"/>
  <c r="BB304" i="15"/>
  <c r="BA326" i="15"/>
  <c r="BB326" i="15"/>
  <c r="BA348" i="15"/>
  <c r="BB348" i="15"/>
  <c r="BA370" i="15"/>
  <c r="BB370" i="15"/>
  <c r="BA392" i="15"/>
  <c r="BB392" i="15"/>
  <c r="BA414" i="15"/>
  <c r="BB414" i="15"/>
  <c r="BA436" i="15"/>
  <c r="BB436" i="15"/>
  <c r="BB458" i="15"/>
  <c r="BA458" i="15"/>
  <c r="BA480" i="15"/>
  <c r="BB480" i="15"/>
  <c r="BA453" i="15"/>
  <c r="BB453" i="15"/>
  <c r="BA151" i="15"/>
  <c r="BB151" i="15"/>
  <c r="BA173" i="15"/>
  <c r="BB173" i="15"/>
  <c r="BA195" i="15"/>
  <c r="BB195" i="15"/>
  <c r="BA217" i="15"/>
  <c r="BB217" i="15"/>
  <c r="BA239" i="15"/>
  <c r="BB239" i="15"/>
  <c r="BA261" i="15"/>
  <c r="BB261" i="15"/>
  <c r="BA283" i="15"/>
  <c r="BB283" i="15"/>
  <c r="BA305" i="15"/>
  <c r="BB305" i="15"/>
  <c r="BA327" i="15"/>
  <c r="BB327" i="15"/>
  <c r="BA349" i="15"/>
  <c r="BB349" i="15"/>
  <c r="BA371" i="15"/>
  <c r="BB371" i="15"/>
  <c r="BA393" i="15"/>
  <c r="BB393" i="15"/>
  <c r="BA415" i="15"/>
  <c r="BB415" i="15"/>
  <c r="BA437" i="15"/>
  <c r="BB437" i="15"/>
  <c r="BA459" i="15"/>
  <c r="BB459" i="15"/>
  <c r="BA481" i="15"/>
  <c r="BB481" i="15"/>
  <c r="BA299" i="15"/>
  <c r="BB299" i="15"/>
  <c r="BA152" i="15"/>
  <c r="BB152" i="15"/>
  <c r="BA174" i="15"/>
  <c r="BB174" i="15"/>
  <c r="BA196" i="15"/>
  <c r="BB196" i="15"/>
  <c r="BA218" i="15"/>
  <c r="BB218" i="15"/>
  <c r="BA240" i="15"/>
  <c r="BB240" i="15"/>
  <c r="BA262" i="15"/>
  <c r="BB262" i="15"/>
  <c r="BA284" i="15"/>
  <c r="BB284" i="15"/>
  <c r="BA306" i="15"/>
  <c r="BB306" i="15"/>
  <c r="BA328" i="15"/>
  <c r="BB328" i="15"/>
  <c r="BA350" i="15"/>
  <c r="BB350" i="15"/>
  <c r="BA372" i="15"/>
  <c r="BB372" i="15"/>
  <c r="BA394" i="15"/>
  <c r="BB394" i="15"/>
  <c r="BA416" i="15"/>
  <c r="BB416" i="15"/>
  <c r="BA438" i="15"/>
  <c r="BB438" i="15"/>
  <c r="BA460" i="15"/>
  <c r="BB460" i="15"/>
  <c r="BA482" i="15"/>
  <c r="BB482" i="15"/>
  <c r="BA231" i="15"/>
  <c r="BB231" i="15"/>
  <c r="BA145" i="15"/>
  <c r="BB145" i="15"/>
  <c r="BA189" i="15"/>
  <c r="BB189" i="15"/>
  <c r="BA233" i="15"/>
  <c r="BB233" i="15"/>
  <c r="BA343" i="15"/>
  <c r="BB343" i="15"/>
  <c r="BA153" i="15"/>
  <c r="BB153" i="15"/>
  <c r="BA175" i="15"/>
  <c r="BB175" i="15"/>
  <c r="BA197" i="15"/>
  <c r="BB197" i="15"/>
  <c r="BA219" i="15"/>
  <c r="BB219" i="15"/>
  <c r="BA241" i="15"/>
  <c r="BB241" i="15"/>
  <c r="BA263" i="15"/>
  <c r="BB263" i="15"/>
  <c r="BA285" i="15"/>
  <c r="BB285" i="15"/>
  <c r="BA307" i="15"/>
  <c r="BB307" i="15"/>
  <c r="BA329" i="15"/>
  <c r="BB329" i="15"/>
  <c r="BA351" i="15"/>
  <c r="BB351" i="15"/>
  <c r="BA373" i="15"/>
  <c r="BB373" i="15"/>
  <c r="BA395" i="15"/>
  <c r="BB395" i="15"/>
  <c r="BA417" i="15"/>
  <c r="BB417" i="15"/>
  <c r="BA439" i="15"/>
  <c r="BB439" i="15"/>
  <c r="BA461" i="15"/>
  <c r="BB461" i="15"/>
  <c r="BA483" i="15"/>
  <c r="BB483" i="15"/>
  <c r="BA167" i="15"/>
  <c r="BB167" i="15"/>
  <c r="BA211" i="15"/>
  <c r="BB211" i="15"/>
  <c r="BA255" i="15"/>
  <c r="BB255" i="15"/>
  <c r="BA277" i="15"/>
  <c r="BB277" i="15"/>
  <c r="BA321" i="15"/>
  <c r="BB321" i="15"/>
  <c r="BA154" i="15"/>
  <c r="BB154" i="15"/>
  <c r="BA176" i="15"/>
  <c r="BB176" i="15"/>
  <c r="BA198" i="15"/>
  <c r="BB198" i="15"/>
  <c r="BA220" i="15"/>
  <c r="BB220" i="15"/>
  <c r="BA242" i="15"/>
  <c r="BB242" i="15"/>
  <c r="BA264" i="15"/>
  <c r="BB264" i="15"/>
  <c r="BA286" i="15"/>
  <c r="BB286" i="15"/>
  <c r="BA308" i="15"/>
  <c r="BB308" i="15"/>
  <c r="BA330" i="15"/>
  <c r="BB330" i="15"/>
  <c r="BA352" i="15"/>
  <c r="BB352" i="15"/>
  <c r="BA374" i="15"/>
  <c r="BB374" i="15"/>
  <c r="BA396" i="15"/>
  <c r="BB396" i="15"/>
  <c r="BA418" i="15"/>
  <c r="BB418" i="15"/>
  <c r="BA440" i="15"/>
  <c r="BB440" i="15"/>
  <c r="BA462" i="15"/>
  <c r="BB462" i="15"/>
  <c r="BA484" i="15"/>
  <c r="BB484" i="15"/>
  <c r="BA253" i="15"/>
  <c r="BB253" i="15"/>
  <c r="BA331" i="15"/>
  <c r="BB331" i="15"/>
  <c r="BA156" i="15"/>
  <c r="BB156" i="15"/>
  <c r="BA178" i="15"/>
  <c r="BB178" i="15"/>
  <c r="BA200" i="15"/>
  <c r="BB200" i="15"/>
  <c r="BA222" i="15"/>
  <c r="BB222" i="15"/>
  <c r="BA244" i="15"/>
  <c r="BB244" i="15"/>
  <c r="BA266" i="15"/>
  <c r="BB266" i="15"/>
  <c r="BA288" i="15"/>
  <c r="BB288" i="15"/>
  <c r="BA310" i="15"/>
  <c r="BB310" i="15"/>
  <c r="BA332" i="15"/>
  <c r="BB332" i="15"/>
  <c r="BA354" i="15"/>
  <c r="BB354" i="15"/>
  <c r="BA376" i="15"/>
  <c r="BB376" i="15"/>
  <c r="BA398" i="15"/>
  <c r="BB398" i="15"/>
  <c r="BA420" i="15"/>
  <c r="BB420" i="15"/>
  <c r="BA442" i="15"/>
  <c r="BB442" i="15"/>
  <c r="BA464" i="15"/>
  <c r="BB464" i="15"/>
  <c r="BA486" i="15"/>
  <c r="BB486" i="15"/>
  <c r="BA375" i="15"/>
  <c r="BB375" i="15"/>
  <c r="BA157" i="15"/>
  <c r="BB157" i="15"/>
  <c r="BA179" i="15"/>
  <c r="BB179" i="15"/>
  <c r="BA201" i="15"/>
  <c r="BB201" i="15"/>
  <c r="BA223" i="15"/>
  <c r="BB223" i="15"/>
  <c r="BA245" i="15"/>
  <c r="BB245" i="15"/>
  <c r="BA267" i="15"/>
  <c r="BB267" i="15"/>
  <c r="BA289" i="15"/>
  <c r="BB289" i="15"/>
  <c r="BA311" i="15"/>
  <c r="BB311" i="15"/>
  <c r="BA333" i="15"/>
  <c r="BB333" i="15"/>
  <c r="BA355" i="15"/>
  <c r="BB355" i="15"/>
  <c r="BA377" i="15"/>
  <c r="BB377" i="15"/>
  <c r="BA399" i="15"/>
  <c r="BB399" i="15"/>
  <c r="BA421" i="15"/>
  <c r="BB421" i="15"/>
  <c r="BA443" i="15"/>
  <c r="BB443" i="15"/>
  <c r="BA465" i="15"/>
  <c r="BB465" i="15"/>
  <c r="BA487" i="15"/>
  <c r="BB487" i="15"/>
  <c r="BA353" i="15"/>
  <c r="BB353" i="15"/>
  <c r="BA158" i="15"/>
  <c r="BB158" i="15"/>
  <c r="BA180" i="15"/>
  <c r="BB180" i="15"/>
  <c r="BA202" i="15"/>
  <c r="BB202" i="15"/>
  <c r="BA224" i="15"/>
  <c r="BB224" i="15"/>
  <c r="BA246" i="15"/>
  <c r="BB246" i="15"/>
  <c r="BA268" i="15"/>
  <c r="BB268" i="15"/>
  <c r="BA290" i="15"/>
  <c r="BB290" i="15"/>
  <c r="BA312" i="15"/>
  <c r="BB312" i="15"/>
  <c r="BA334" i="15"/>
  <c r="BB334" i="15"/>
  <c r="BA356" i="15"/>
  <c r="BB356" i="15"/>
  <c r="BA378" i="15"/>
  <c r="BB378" i="15"/>
  <c r="BA400" i="15"/>
  <c r="BB400" i="15"/>
  <c r="BA422" i="15"/>
  <c r="BB422" i="15"/>
  <c r="BA444" i="15"/>
  <c r="BB444" i="15"/>
  <c r="BA466" i="15"/>
  <c r="BB466" i="15"/>
  <c r="BA488" i="15"/>
  <c r="BB488" i="15"/>
  <c r="BA363" i="15"/>
  <c r="BB363" i="15"/>
  <c r="BA155" i="15"/>
  <c r="BB155" i="15"/>
  <c r="BA309" i="15"/>
  <c r="BB309" i="15"/>
  <c r="BA159" i="15"/>
  <c r="BB159" i="15"/>
  <c r="BA181" i="15"/>
  <c r="BB181" i="15"/>
  <c r="BA203" i="15"/>
  <c r="BB203" i="15"/>
  <c r="BA225" i="15"/>
  <c r="BB225" i="15"/>
  <c r="BA247" i="15"/>
  <c r="BB247" i="15"/>
  <c r="BA269" i="15"/>
  <c r="BB269" i="15"/>
  <c r="BA291" i="15"/>
  <c r="BB291" i="15"/>
  <c r="BA313" i="15"/>
  <c r="BB313" i="15"/>
  <c r="BA335" i="15"/>
  <c r="BB335" i="15"/>
  <c r="BA357" i="15"/>
  <c r="BB357" i="15"/>
  <c r="BA379" i="15"/>
  <c r="BB379" i="15"/>
  <c r="BA401" i="15"/>
  <c r="BB401" i="15"/>
  <c r="BA423" i="15"/>
  <c r="BB423" i="15"/>
  <c r="BA445" i="15"/>
  <c r="BB445" i="15"/>
  <c r="BA467" i="15"/>
  <c r="BB467" i="15"/>
  <c r="BA489" i="15"/>
  <c r="BB489" i="15"/>
  <c r="BA341" i="15"/>
  <c r="BB341" i="15"/>
  <c r="BA177" i="15"/>
  <c r="BB177" i="15"/>
  <c r="BA199" i="15"/>
  <c r="BB199" i="15"/>
  <c r="BA221" i="15"/>
  <c r="BB221" i="15"/>
  <c r="BA243" i="15"/>
  <c r="BB243" i="15"/>
  <c r="BA265" i="15"/>
  <c r="BB265" i="15"/>
  <c r="BA287" i="15"/>
  <c r="BB287" i="15"/>
  <c r="BA397" i="15"/>
  <c r="BB397" i="15"/>
  <c r="BA160" i="15"/>
  <c r="BB160" i="15"/>
  <c r="BA182" i="15"/>
  <c r="BB182" i="15"/>
  <c r="BA204" i="15"/>
  <c r="BB204" i="15"/>
  <c r="BA226" i="15"/>
  <c r="BB226" i="15"/>
  <c r="BA248" i="15"/>
  <c r="BB248" i="15"/>
  <c r="BA270" i="15"/>
  <c r="BB270" i="15"/>
  <c r="BA292" i="15"/>
  <c r="BB292" i="15"/>
  <c r="BA314" i="15"/>
  <c r="BB314" i="15"/>
  <c r="BA336" i="15"/>
  <c r="BB336" i="15"/>
  <c r="BA358" i="15"/>
  <c r="BB358" i="15"/>
  <c r="BA380" i="15"/>
  <c r="BB380" i="15"/>
  <c r="BA402" i="15"/>
  <c r="BB402" i="15"/>
  <c r="BA424" i="15"/>
  <c r="BB424" i="15"/>
  <c r="BA446" i="15"/>
  <c r="BB446" i="15"/>
  <c r="BA468" i="15"/>
  <c r="BB468" i="15"/>
  <c r="BA490" i="15"/>
  <c r="BB490" i="15"/>
  <c r="BA187" i="15"/>
  <c r="BB187" i="15"/>
  <c r="BA463" i="15"/>
  <c r="BB463" i="15"/>
  <c r="BA161" i="15"/>
  <c r="BB161" i="15"/>
  <c r="BA183" i="15"/>
  <c r="BB183" i="15"/>
  <c r="BA205" i="15"/>
  <c r="BB205" i="15"/>
  <c r="BA227" i="15"/>
  <c r="BB227" i="15"/>
  <c r="BA249" i="15"/>
  <c r="BB249" i="15"/>
  <c r="BA271" i="15"/>
  <c r="BB271" i="15"/>
  <c r="BA293" i="15"/>
  <c r="BB293" i="15"/>
  <c r="BA315" i="15"/>
  <c r="BB315" i="15"/>
  <c r="BA337" i="15"/>
  <c r="BB337" i="15"/>
  <c r="BA359" i="15"/>
  <c r="BB359" i="15"/>
  <c r="BA381" i="15"/>
  <c r="BB381" i="15"/>
  <c r="BA403" i="15"/>
  <c r="BB403" i="15"/>
  <c r="BA425" i="15"/>
  <c r="BB425" i="15"/>
  <c r="BA447" i="15"/>
  <c r="BB447" i="15"/>
  <c r="BA469" i="15"/>
  <c r="BB469" i="15"/>
  <c r="BA491" i="15"/>
  <c r="BB491" i="15"/>
  <c r="BA385" i="15"/>
  <c r="BB385" i="15"/>
  <c r="BA419" i="15"/>
  <c r="BB419" i="15"/>
  <c r="BA162" i="15"/>
  <c r="BB162" i="15"/>
  <c r="BA184" i="15"/>
  <c r="BB184" i="15"/>
  <c r="BA206" i="15"/>
  <c r="BB206" i="15"/>
  <c r="BA228" i="15"/>
  <c r="BB228" i="15"/>
  <c r="BA250" i="15"/>
  <c r="BB250" i="15"/>
  <c r="BA272" i="15"/>
  <c r="BB272" i="15"/>
  <c r="BA294" i="15"/>
  <c r="BB294" i="15"/>
  <c r="BA316" i="15"/>
  <c r="BB316" i="15"/>
  <c r="BA338" i="15"/>
  <c r="BB338" i="15"/>
  <c r="BA360" i="15"/>
  <c r="BB360" i="15"/>
  <c r="BA382" i="15"/>
  <c r="BB382" i="15"/>
  <c r="BA404" i="15"/>
  <c r="BB404" i="15"/>
  <c r="BA426" i="15"/>
  <c r="BB426" i="15"/>
  <c r="BA448" i="15"/>
  <c r="BB448" i="15"/>
  <c r="BA470" i="15"/>
  <c r="BB470" i="15"/>
  <c r="BA492" i="15"/>
  <c r="BB492" i="15"/>
  <c r="BA143" i="15"/>
  <c r="BB143" i="15"/>
  <c r="BA319" i="15"/>
  <c r="BB319" i="15"/>
  <c r="BA441" i="15"/>
  <c r="BB441" i="15"/>
  <c r="BA163" i="15"/>
  <c r="BB163" i="15"/>
  <c r="BA185" i="15"/>
  <c r="BB185" i="15"/>
  <c r="BA207" i="15"/>
  <c r="BB207" i="15"/>
  <c r="BA229" i="15"/>
  <c r="BB229" i="15"/>
  <c r="BA251" i="15"/>
  <c r="BB251" i="15"/>
  <c r="BA273" i="15"/>
  <c r="BB273" i="15"/>
  <c r="BA295" i="15"/>
  <c r="BB295" i="15"/>
  <c r="BA317" i="15"/>
  <c r="BB317" i="15"/>
  <c r="BA339" i="15"/>
  <c r="BB339" i="15"/>
  <c r="BA361" i="15"/>
  <c r="BB361" i="15"/>
  <c r="BA383" i="15"/>
  <c r="BB383" i="15"/>
  <c r="BA405" i="15"/>
  <c r="BB405" i="15"/>
  <c r="BA427" i="15"/>
  <c r="BB427" i="15"/>
  <c r="BA449" i="15"/>
  <c r="BB449" i="15"/>
  <c r="BA471" i="15"/>
  <c r="BB471" i="15"/>
  <c r="BA493" i="15"/>
  <c r="BB493" i="15"/>
  <c r="BA485" i="15"/>
  <c r="BB485" i="15"/>
  <c r="BA164" i="15"/>
  <c r="BB164" i="15"/>
  <c r="BA186" i="15"/>
  <c r="BB186" i="15"/>
  <c r="BA208" i="15"/>
  <c r="BB208" i="15"/>
  <c r="BA230" i="15"/>
  <c r="BB230" i="15"/>
  <c r="BA252" i="15"/>
  <c r="BB252" i="15"/>
  <c r="BA274" i="15"/>
  <c r="BB274" i="15"/>
  <c r="BA296" i="15"/>
  <c r="BB296" i="15"/>
  <c r="BA318" i="15"/>
  <c r="BB318" i="15"/>
  <c r="BA340" i="15"/>
  <c r="BB340" i="15"/>
  <c r="BA362" i="15"/>
  <c r="BB362" i="15"/>
  <c r="BA384" i="15"/>
  <c r="BB384" i="15"/>
  <c r="BA406" i="15"/>
  <c r="BB406" i="15"/>
  <c r="BA428" i="15"/>
  <c r="BB428" i="15"/>
  <c r="BA450" i="15"/>
  <c r="BB450" i="15"/>
  <c r="BA472" i="15"/>
  <c r="BB472" i="15"/>
  <c r="AQ53" i="15" l="1"/>
  <c r="AA55" i="15"/>
  <c r="B56" i="15"/>
  <c r="AC54" i="15"/>
  <c r="AD54" i="15" s="1"/>
  <c r="AH54" i="15" s="1"/>
  <c r="AQ54" i="15" s="1"/>
  <c r="AB54" i="15"/>
  <c r="BC444" i="15"/>
  <c r="BD444" i="15"/>
  <c r="BC459" i="15"/>
  <c r="BD459" i="15"/>
  <c r="BC377" i="15"/>
  <c r="BD377" i="15"/>
  <c r="BC189" i="15"/>
  <c r="BD189" i="15"/>
  <c r="BC355" i="15"/>
  <c r="BD355" i="15"/>
  <c r="BC412" i="15"/>
  <c r="BD412" i="15"/>
  <c r="BC397" i="15"/>
  <c r="BD397" i="15"/>
  <c r="BC434" i="15"/>
  <c r="BD434" i="15"/>
  <c r="BC427" i="15"/>
  <c r="BD427" i="15"/>
  <c r="BC234" i="15"/>
  <c r="BD234" i="15"/>
  <c r="BC292" i="15"/>
  <c r="BD292" i="15"/>
  <c r="BC333" i="15"/>
  <c r="BD333" i="15"/>
  <c r="BC266" i="15"/>
  <c r="BD266" i="15"/>
  <c r="BD462" i="15"/>
  <c r="BC462" i="15"/>
  <c r="BC220" i="15"/>
  <c r="BD220" i="15"/>
  <c r="BD263" i="15"/>
  <c r="BC263" i="15"/>
  <c r="BC231" i="15"/>
  <c r="BD231" i="15"/>
  <c r="BD262" i="15"/>
  <c r="BC262" i="15"/>
  <c r="BD415" i="15"/>
  <c r="BC415" i="15"/>
  <c r="BC173" i="15"/>
  <c r="BD173" i="15"/>
  <c r="BC326" i="15"/>
  <c r="BD326" i="15"/>
  <c r="BC479" i="15"/>
  <c r="BD479" i="15"/>
  <c r="BD237" i="15"/>
  <c r="BC237" i="15"/>
  <c r="BD390" i="15"/>
  <c r="BC390" i="15"/>
  <c r="BC148" i="15"/>
  <c r="BD148" i="15"/>
  <c r="BD301" i="15"/>
  <c r="BC301" i="15"/>
  <c r="BD454" i="15"/>
  <c r="BC454" i="15"/>
  <c r="BD212" i="15"/>
  <c r="BC212" i="15"/>
  <c r="BC386" i="15"/>
  <c r="BD386" i="15"/>
  <c r="BC144" i="15"/>
  <c r="BD144" i="15"/>
  <c r="BD225" i="15"/>
  <c r="BC225" i="15"/>
  <c r="BC422" i="15"/>
  <c r="BD422" i="15"/>
  <c r="BD348" i="15"/>
  <c r="BC348" i="15"/>
  <c r="BD163" i="15"/>
  <c r="BC163" i="15"/>
  <c r="BD365" i="15"/>
  <c r="BC365" i="15"/>
  <c r="BC314" i="15"/>
  <c r="BD314" i="15"/>
  <c r="BC170" i="15"/>
  <c r="BD170" i="15"/>
  <c r="BC428" i="15"/>
  <c r="BD428" i="15"/>
  <c r="BD315" i="15"/>
  <c r="BC315" i="15"/>
  <c r="BC243" i="15"/>
  <c r="BD243" i="15"/>
  <c r="BD378" i="15"/>
  <c r="BC378" i="15"/>
  <c r="BD486" i="15"/>
  <c r="BC486" i="15"/>
  <c r="BD198" i="15"/>
  <c r="BC198" i="15"/>
  <c r="BD483" i="15"/>
  <c r="BC483" i="15"/>
  <c r="BC240" i="15"/>
  <c r="BD240" i="15"/>
  <c r="BD393" i="15"/>
  <c r="BC393" i="15"/>
  <c r="BC151" i="15"/>
  <c r="BD151" i="15"/>
  <c r="BC304" i="15"/>
  <c r="BD304" i="15"/>
  <c r="BD368" i="15"/>
  <c r="BC368" i="15"/>
  <c r="BC279" i="15"/>
  <c r="BD279" i="15"/>
  <c r="BC432" i="15"/>
  <c r="BD432" i="15"/>
  <c r="BC190" i="15"/>
  <c r="BD190" i="15"/>
  <c r="BC364" i="15"/>
  <c r="BD364" i="15"/>
  <c r="BC252" i="15"/>
  <c r="BD252" i="15"/>
  <c r="BC217" i="15"/>
  <c r="BD217" i="15"/>
  <c r="BC185" i="15"/>
  <c r="BD185" i="15"/>
  <c r="BC180" i="15"/>
  <c r="BD180" i="15"/>
  <c r="BC242" i="15"/>
  <c r="BD242" i="15"/>
  <c r="BC450" i="15"/>
  <c r="BD450" i="15"/>
  <c r="BC186" i="15"/>
  <c r="BD186" i="15"/>
  <c r="BC360" i="15"/>
  <c r="BD360" i="15"/>
  <c r="BD187" i="15"/>
  <c r="BC187" i="15"/>
  <c r="BC401" i="15"/>
  <c r="BD401" i="15"/>
  <c r="BC244" i="15"/>
  <c r="BD244" i="15"/>
  <c r="BC482" i="15"/>
  <c r="BD482" i="15"/>
  <c r="BD457" i="15"/>
  <c r="BC457" i="15"/>
  <c r="BC426" i="15"/>
  <c r="BD426" i="15"/>
  <c r="BD202" i="15"/>
  <c r="BC202" i="15"/>
  <c r="BC306" i="15"/>
  <c r="BD306" i="15"/>
  <c r="BC445" i="15"/>
  <c r="BD445" i="15"/>
  <c r="BD167" i="15"/>
  <c r="BC167" i="15"/>
  <c r="BD383" i="15"/>
  <c r="BC383" i="15"/>
  <c r="BC270" i="15"/>
  <c r="BD270" i="15"/>
  <c r="BC159" i="15"/>
  <c r="BD159" i="15"/>
  <c r="BC311" i="15"/>
  <c r="BD311" i="15"/>
  <c r="BD440" i="15"/>
  <c r="BC440" i="15"/>
  <c r="BC241" i="15"/>
  <c r="BD241" i="15"/>
  <c r="BC215" i="15"/>
  <c r="BD215" i="15"/>
  <c r="BC406" i="15"/>
  <c r="BD406" i="15"/>
  <c r="BD164" i="15"/>
  <c r="BC164" i="15"/>
  <c r="BD361" i="15"/>
  <c r="BC361" i="15"/>
  <c r="BC338" i="15"/>
  <c r="BD338" i="15"/>
  <c r="BC419" i="15"/>
  <c r="BD419" i="15"/>
  <c r="BD293" i="15"/>
  <c r="BC293" i="15"/>
  <c r="BC490" i="15"/>
  <c r="BD490" i="15"/>
  <c r="BC248" i="15"/>
  <c r="BD248" i="15"/>
  <c r="BC221" i="15"/>
  <c r="BD221" i="15"/>
  <c r="BC379" i="15"/>
  <c r="BD379" i="15"/>
  <c r="BC356" i="15"/>
  <c r="BD356" i="15"/>
  <c r="BC289" i="15"/>
  <c r="BD289" i="15"/>
  <c r="BD464" i="15"/>
  <c r="BC464" i="15"/>
  <c r="BC222" i="15"/>
  <c r="BD222" i="15"/>
  <c r="BC418" i="15"/>
  <c r="BD418" i="15"/>
  <c r="BC176" i="15"/>
  <c r="BD176" i="15"/>
  <c r="BC461" i="15"/>
  <c r="BD461" i="15"/>
  <c r="BC219" i="15"/>
  <c r="BD219" i="15"/>
  <c r="BC460" i="15"/>
  <c r="BD460" i="15"/>
  <c r="BD218" i="15"/>
  <c r="BC218" i="15"/>
  <c r="BD371" i="15"/>
  <c r="BC371" i="15"/>
  <c r="BD282" i="15"/>
  <c r="BC282" i="15"/>
  <c r="BC435" i="15"/>
  <c r="BD435" i="15"/>
  <c r="BC193" i="15"/>
  <c r="BD193" i="15"/>
  <c r="BC346" i="15"/>
  <c r="BD346" i="15"/>
  <c r="BC409" i="15"/>
  <c r="BD409" i="15"/>
  <c r="BC257" i="15"/>
  <c r="BD257" i="15"/>
  <c r="BD410" i="15"/>
  <c r="BC410" i="15"/>
  <c r="BC168" i="15"/>
  <c r="BD168" i="15"/>
  <c r="BC342" i="15"/>
  <c r="BD342" i="15"/>
  <c r="BC473" i="15"/>
  <c r="BD473" i="15"/>
  <c r="BC430" i="15"/>
  <c r="BD430" i="15"/>
  <c r="BC145" i="15"/>
  <c r="BD145" i="15"/>
  <c r="BC264" i="15"/>
  <c r="BD264" i="15"/>
  <c r="BC472" i="15"/>
  <c r="BD472" i="15"/>
  <c r="BC284" i="15"/>
  <c r="BD284" i="15"/>
  <c r="BD463" i="15"/>
  <c r="BC463" i="15"/>
  <c r="BC441" i="15"/>
  <c r="BD441" i="15"/>
  <c r="BC316" i="15"/>
  <c r="BD316" i="15"/>
  <c r="BC385" i="15"/>
  <c r="BD385" i="15"/>
  <c r="BC271" i="15"/>
  <c r="BD271" i="15"/>
  <c r="BC468" i="15"/>
  <c r="BD468" i="15"/>
  <c r="BC226" i="15"/>
  <c r="BD226" i="15"/>
  <c r="BC199" i="15"/>
  <c r="BD199" i="15"/>
  <c r="BD357" i="15"/>
  <c r="BC357" i="15"/>
  <c r="BC334" i="15"/>
  <c r="BD334" i="15"/>
  <c r="BC353" i="15"/>
  <c r="BD353" i="15"/>
  <c r="BC267" i="15"/>
  <c r="BD267" i="15"/>
  <c r="BC442" i="15"/>
  <c r="BD442" i="15"/>
  <c r="BC200" i="15"/>
  <c r="BD200" i="15"/>
  <c r="BC396" i="15"/>
  <c r="BD396" i="15"/>
  <c r="BC154" i="15"/>
  <c r="BD154" i="15"/>
  <c r="BC439" i="15"/>
  <c r="BD439" i="15"/>
  <c r="BC197" i="15"/>
  <c r="BD197" i="15"/>
  <c r="BC438" i="15"/>
  <c r="BD438" i="15"/>
  <c r="BC196" i="15"/>
  <c r="BD196" i="15"/>
  <c r="BC349" i="15"/>
  <c r="BD349" i="15"/>
  <c r="BC453" i="15"/>
  <c r="BD453" i="15"/>
  <c r="BD260" i="15"/>
  <c r="BC260" i="15"/>
  <c r="BC413" i="15"/>
  <c r="BD413" i="15"/>
  <c r="BC171" i="15"/>
  <c r="BD171" i="15"/>
  <c r="BD324" i="15"/>
  <c r="BC324" i="15"/>
  <c r="BC477" i="15"/>
  <c r="BD477" i="15"/>
  <c r="BD388" i="15"/>
  <c r="BC388" i="15"/>
  <c r="BD146" i="15"/>
  <c r="BC146" i="15"/>
  <c r="BC320" i="15"/>
  <c r="BD320" i="15"/>
  <c r="BD451" i="15"/>
  <c r="BC451" i="15"/>
  <c r="BD188" i="15"/>
  <c r="BC188" i="15"/>
  <c r="BC359" i="15"/>
  <c r="BD359" i="15"/>
  <c r="BC484" i="15"/>
  <c r="BD484" i="15"/>
  <c r="BC208" i="15"/>
  <c r="BD208" i="15"/>
  <c r="BC235" i="15"/>
  <c r="BD235" i="15"/>
  <c r="BC449" i="15"/>
  <c r="BD449" i="15"/>
  <c r="BC307" i="15"/>
  <c r="BD307" i="15"/>
  <c r="BC437" i="15"/>
  <c r="BD437" i="15"/>
  <c r="BC375" i="15"/>
  <c r="BD375" i="15"/>
  <c r="BC319" i="15"/>
  <c r="BD319" i="15"/>
  <c r="BC391" i="15"/>
  <c r="BD391" i="15"/>
  <c r="BC429" i="15"/>
  <c r="BD429" i="15"/>
  <c r="BD253" i="15"/>
  <c r="BC253" i="15"/>
  <c r="BC476" i="15"/>
  <c r="BD476" i="15"/>
  <c r="BC158" i="15"/>
  <c r="BD158" i="15"/>
  <c r="BD317" i="15"/>
  <c r="BC317" i="15"/>
  <c r="BC374" i="15"/>
  <c r="BD374" i="15"/>
  <c r="BC340" i="15"/>
  <c r="BD340" i="15"/>
  <c r="BC182" i="15"/>
  <c r="BD182" i="15"/>
  <c r="BC313" i="15"/>
  <c r="BD313" i="15"/>
  <c r="BC155" i="15"/>
  <c r="BD155" i="15"/>
  <c r="BC290" i="15"/>
  <c r="BD290" i="15"/>
  <c r="BC465" i="15"/>
  <c r="BD465" i="15"/>
  <c r="BC223" i="15"/>
  <c r="BD223" i="15"/>
  <c r="BC398" i="15"/>
  <c r="BD398" i="15"/>
  <c r="BD156" i="15"/>
  <c r="BC156" i="15"/>
  <c r="BC352" i="15"/>
  <c r="BD352" i="15"/>
  <c r="BC395" i="15"/>
  <c r="BD395" i="15"/>
  <c r="BC153" i="15"/>
  <c r="BD153" i="15"/>
  <c r="BC394" i="15"/>
  <c r="BD394" i="15"/>
  <c r="BC152" i="15"/>
  <c r="BD152" i="15"/>
  <c r="BC305" i="15"/>
  <c r="BD305" i="15"/>
  <c r="BC216" i="15"/>
  <c r="BD216" i="15"/>
  <c r="BC369" i="15"/>
  <c r="BD369" i="15"/>
  <c r="BC280" i="15"/>
  <c r="BD280" i="15"/>
  <c r="BD433" i="15"/>
  <c r="BC433" i="15"/>
  <c r="BC191" i="15"/>
  <c r="BD191" i="15"/>
  <c r="BD344" i="15"/>
  <c r="BC344" i="15"/>
  <c r="BC431" i="15"/>
  <c r="BD431" i="15"/>
  <c r="BC276" i="15"/>
  <c r="BD276" i="15"/>
  <c r="BC407" i="15"/>
  <c r="BD407" i="15"/>
  <c r="BC184" i="15"/>
  <c r="BD184" i="15"/>
  <c r="BC211" i="15"/>
  <c r="BD211" i="15"/>
  <c r="BD259" i="15"/>
  <c r="BC259" i="15"/>
  <c r="BC181" i="15"/>
  <c r="BD181" i="15"/>
  <c r="BC312" i="15"/>
  <c r="BD312" i="15"/>
  <c r="BC458" i="15"/>
  <c r="BD458" i="15"/>
  <c r="BD166" i="15"/>
  <c r="BC166" i="15"/>
  <c r="BC265" i="15"/>
  <c r="BD265" i="15"/>
  <c r="BD335" i="15"/>
  <c r="BC335" i="15"/>
  <c r="BD149" i="15"/>
  <c r="BC149" i="15"/>
  <c r="BC143" i="15"/>
  <c r="BD143" i="15"/>
  <c r="BC447" i="15"/>
  <c r="BD447" i="15"/>
  <c r="BC268" i="15"/>
  <c r="BD268" i="15"/>
  <c r="BC321" i="15"/>
  <c r="BD321" i="15"/>
  <c r="BC373" i="15"/>
  <c r="BD373" i="15"/>
  <c r="BC372" i="15"/>
  <c r="BD372" i="15"/>
  <c r="BD283" i="15"/>
  <c r="BC283" i="15"/>
  <c r="BC436" i="15"/>
  <c r="BD436" i="15"/>
  <c r="BC194" i="15"/>
  <c r="BD194" i="15"/>
  <c r="BC347" i="15"/>
  <c r="BD347" i="15"/>
  <c r="BC387" i="15"/>
  <c r="BD387" i="15"/>
  <c r="BC258" i="15"/>
  <c r="BD258" i="15"/>
  <c r="BC411" i="15"/>
  <c r="BD411" i="15"/>
  <c r="BD169" i="15"/>
  <c r="BC169" i="15"/>
  <c r="BD322" i="15"/>
  <c r="BC322" i="15"/>
  <c r="BC275" i="15"/>
  <c r="BD275" i="15"/>
  <c r="BC254" i="15"/>
  <c r="BD254" i="15"/>
  <c r="BD297" i="15"/>
  <c r="BC297" i="15"/>
  <c r="BC381" i="15"/>
  <c r="BD381" i="15"/>
  <c r="BC192" i="15"/>
  <c r="BD192" i="15"/>
  <c r="BC404" i="15"/>
  <c r="BD404" i="15"/>
  <c r="BC285" i="15"/>
  <c r="BD285" i="15"/>
  <c r="BC405" i="15"/>
  <c r="BD405" i="15"/>
  <c r="BC339" i="15"/>
  <c r="BD339" i="15"/>
  <c r="BD204" i="15"/>
  <c r="BC204" i="15"/>
  <c r="BC420" i="15"/>
  <c r="BD420" i="15"/>
  <c r="BC327" i="15"/>
  <c r="BD327" i="15"/>
  <c r="BD366" i="15"/>
  <c r="BC366" i="15"/>
  <c r="BC295" i="15"/>
  <c r="BD295" i="15"/>
  <c r="BC160" i="15"/>
  <c r="BD160" i="15"/>
  <c r="BC336" i="15"/>
  <c r="BD336" i="15"/>
  <c r="BC256" i="15"/>
  <c r="BD256" i="15"/>
  <c r="BC287" i="15"/>
  <c r="BD287" i="15"/>
  <c r="BC323" i="15"/>
  <c r="BD323" i="15"/>
  <c r="BD423" i="15"/>
  <c r="BC423" i="15"/>
  <c r="BC294" i="15"/>
  <c r="BD294" i="15"/>
  <c r="BC177" i="15"/>
  <c r="BD177" i="15"/>
  <c r="BC178" i="15"/>
  <c r="BD178" i="15"/>
  <c r="BC174" i="15"/>
  <c r="BD174" i="15"/>
  <c r="BC455" i="15"/>
  <c r="BD455" i="15"/>
  <c r="BC485" i="15"/>
  <c r="BD485" i="15"/>
  <c r="BC272" i="15"/>
  <c r="BD272" i="15"/>
  <c r="BC273" i="15"/>
  <c r="BD273" i="15"/>
  <c r="BC402" i="15"/>
  <c r="BD402" i="15"/>
  <c r="BC363" i="15"/>
  <c r="BD363" i="15"/>
  <c r="BC443" i="15"/>
  <c r="BD443" i="15"/>
  <c r="BC296" i="15"/>
  <c r="BD296" i="15"/>
  <c r="BC493" i="15"/>
  <c r="BD493" i="15"/>
  <c r="BD251" i="15"/>
  <c r="BC251" i="15"/>
  <c r="BC470" i="15"/>
  <c r="BD470" i="15"/>
  <c r="BC228" i="15"/>
  <c r="BD228" i="15"/>
  <c r="BC425" i="15"/>
  <c r="BD425" i="15"/>
  <c r="BD183" i="15"/>
  <c r="BC183" i="15"/>
  <c r="BC380" i="15"/>
  <c r="BD380" i="15"/>
  <c r="BC341" i="15"/>
  <c r="BD341" i="15"/>
  <c r="BD269" i="15"/>
  <c r="BC269" i="15"/>
  <c r="BC488" i="15"/>
  <c r="BD488" i="15"/>
  <c r="BC246" i="15"/>
  <c r="BD246" i="15"/>
  <c r="BC421" i="15"/>
  <c r="BD421" i="15"/>
  <c r="BC179" i="15"/>
  <c r="BD179" i="15"/>
  <c r="BC354" i="15"/>
  <c r="BD354" i="15"/>
  <c r="BC308" i="15"/>
  <c r="BD308" i="15"/>
  <c r="BC277" i="15"/>
  <c r="BD277" i="15"/>
  <c r="BD351" i="15"/>
  <c r="BC351" i="15"/>
  <c r="BC343" i="15"/>
  <c r="BD343" i="15"/>
  <c r="BC350" i="15"/>
  <c r="BD350" i="15"/>
  <c r="BC299" i="15"/>
  <c r="BD299" i="15"/>
  <c r="BC261" i="15"/>
  <c r="BD261" i="15"/>
  <c r="BC414" i="15"/>
  <c r="BD414" i="15"/>
  <c r="BD172" i="15"/>
  <c r="BC172" i="15"/>
  <c r="BC325" i="15"/>
  <c r="BD325" i="15"/>
  <c r="BC478" i="15"/>
  <c r="BD478" i="15"/>
  <c r="BD236" i="15"/>
  <c r="BC236" i="15"/>
  <c r="BD389" i="15"/>
  <c r="BC389" i="15"/>
  <c r="BD147" i="15"/>
  <c r="BC147" i="15"/>
  <c r="BC300" i="15"/>
  <c r="BD300" i="15"/>
  <c r="BC474" i="15"/>
  <c r="BD474" i="15"/>
  <c r="BC232" i="15"/>
  <c r="BD232" i="15"/>
  <c r="BC209" i="15"/>
  <c r="BD209" i="15"/>
  <c r="BD467" i="15"/>
  <c r="BC467" i="15"/>
  <c r="BC281" i="15"/>
  <c r="BD281" i="15"/>
  <c r="BC162" i="15"/>
  <c r="BD162" i="15"/>
  <c r="BC288" i="15"/>
  <c r="BD288" i="15"/>
  <c r="BC195" i="15"/>
  <c r="BD195" i="15"/>
  <c r="BC382" i="15"/>
  <c r="BD382" i="15"/>
  <c r="BC249" i="15"/>
  <c r="BD249" i="15"/>
  <c r="BC487" i="15"/>
  <c r="BD487" i="15"/>
  <c r="BD417" i="15"/>
  <c r="BC417" i="15"/>
  <c r="BC480" i="15"/>
  <c r="BD480" i="15"/>
  <c r="BD213" i="15"/>
  <c r="BC213" i="15"/>
  <c r="BC424" i="15"/>
  <c r="BD424" i="15"/>
  <c r="BC318" i="15"/>
  <c r="BD318" i="15"/>
  <c r="BC492" i="15"/>
  <c r="BD492" i="15"/>
  <c r="BC201" i="15"/>
  <c r="BD201" i="15"/>
  <c r="BC207" i="15"/>
  <c r="BD207" i="15"/>
  <c r="BC345" i="15"/>
  <c r="BD345" i="15"/>
  <c r="BD230" i="15"/>
  <c r="BC230" i="15"/>
  <c r="BC408" i="15"/>
  <c r="BD408" i="15"/>
  <c r="BC337" i="15"/>
  <c r="BD337" i="15"/>
  <c r="BC446" i="15"/>
  <c r="BD446" i="15"/>
  <c r="BC245" i="15"/>
  <c r="BD245" i="15"/>
  <c r="BC175" i="15"/>
  <c r="BD175" i="15"/>
  <c r="BC416" i="15"/>
  <c r="BD416" i="15"/>
  <c r="BC302" i="15"/>
  <c r="BD302" i="15"/>
  <c r="BC227" i="15"/>
  <c r="BD227" i="15"/>
  <c r="BC205" i="15"/>
  <c r="BD205" i="15"/>
  <c r="BC330" i="15"/>
  <c r="BD330" i="15"/>
  <c r="BC274" i="15"/>
  <c r="BD274" i="15"/>
  <c r="BC471" i="15"/>
  <c r="BD471" i="15"/>
  <c r="BC229" i="15"/>
  <c r="BD229" i="15"/>
  <c r="BC448" i="15"/>
  <c r="BD448" i="15"/>
  <c r="BC206" i="15"/>
  <c r="BD206" i="15"/>
  <c r="BC403" i="15"/>
  <c r="BD403" i="15"/>
  <c r="BC161" i="15"/>
  <c r="BD161" i="15"/>
  <c r="BC358" i="15"/>
  <c r="BD358" i="15"/>
  <c r="BC489" i="15"/>
  <c r="BD489" i="15"/>
  <c r="BD247" i="15"/>
  <c r="BC247" i="15"/>
  <c r="BC466" i="15"/>
  <c r="BD466" i="15"/>
  <c r="BD224" i="15"/>
  <c r="BC224" i="15"/>
  <c r="BC399" i="15"/>
  <c r="BD399" i="15"/>
  <c r="BC157" i="15"/>
  <c r="BD157" i="15"/>
  <c r="BC332" i="15"/>
  <c r="BD332" i="15"/>
  <c r="BC331" i="15"/>
  <c r="BD331" i="15"/>
  <c r="BD286" i="15"/>
  <c r="BC286" i="15"/>
  <c r="BD255" i="15"/>
  <c r="BC255" i="15"/>
  <c r="BD329" i="15"/>
  <c r="BC329" i="15"/>
  <c r="BC233" i="15"/>
  <c r="BD233" i="15"/>
  <c r="BC328" i="15"/>
  <c r="BD328" i="15"/>
  <c r="BD481" i="15"/>
  <c r="BC481" i="15"/>
  <c r="BC239" i="15"/>
  <c r="BD239" i="15"/>
  <c r="BD392" i="15"/>
  <c r="BC392" i="15"/>
  <c r="BC150" i="15"/>
  <c r="BD150" i="15"/>
  <c r="BC303" i="15"/>
  <c r="BD303" i="15"/>
  <c r="BC456" i="15"/>
  <c r="BD456" i="15"/>
  <c r="BC214" i="15"/>
  <c r="BD214" i="15"/>
  <c r="BC367" i="15"/>
  <c r="BD367" i="15"/>
  <c r="BC278" i="15"/>
  <c r="BD278" i="15"/>
  <c r="BC452" i="15"/>
  <c r="BD452" i="15"/>
  <c r="BC210" i="15"/>
  <c r="BD210" i="15"/>
  <c r="BC165" i="15"/>
  <c r="BD165" i="15"/>
  <c r="BC310" i="15"/>
  <c r="BD310" i="15"/>
  <c r="BC370" i="15"/>
  <c r="BD370" i="15"/>
  <c r="BC203" i="15"/>
  <c r="BD203" i="15"/>
  <c r="BD475" i="15"/>
  <c r="BC475" i="15"/>
  <c r="BD400" i="15"/>
  <c r="BC400" i="15"/>
  <c r="BC384" i="15"/>
  <c r="BD384" i="15"/>
  <c r="BD362" i="15"/>
  <c r="BC362" i="15"/>
  <c r="BD491" i="15"/>
  <c r="BC491" i="15"/>
  <c r="BC309" i="15"/>
  <c r="BD309" i="15"/>
  <c r="BC238" i="15"/>
  <c r="BD238" i="15"/>
  <c r="BD298" i="15"/>
  <c r="BC298" i="15"/>
  <c r="BC469" i="15"/>
  <c r="BD469" i="15"/>
  <c r="BC250" i="15"/>
  <c r="BD250" i="15"/>
  <c r="BD291" i="15"/>
  <c r="BC291" i="15"/>
  <c r="BC376" i="15"/>
  <c r="BD376" i="15"/>
  <c r="AA56" i="15" l="1"/>
  <c r="B57" i="15"/>
  <c r="AC55" i="15"/>
  <c r="AD55" i="15" s="1"/>
  <c r="AH55" i="15" s="1"/>
  <c r="AQ55" i="15" s="1"/>
  <c r="AB55" i="15"/>
  <c r="O66" i="16"/>
  <c r="O64" i="16"/>
  <c r="O63" i="16"/>
  <c r="O62" i="16"/>
  <c r="AC56" i="15" l="1"/>
  <c r="AD56" i="15" s="1"/>
  <c r="AH56" i="15" s="1"/>
  <c r="AQ56" i="15" s="1"/>
  <c r="AB56" i="15"/>
  <c r="AA57" i="15"/>
  <c r="B58" i="15"/>
  <c r="O65" i="16"/>
  <c r="AC57" i="15" l="1"/>
  <c r="AD57" i="15" s="1"/>
  <c r="AH57" i="15" s="1"/>
  <c r="AB57" i="15"/>
  <c r="AA58" i="15"/>
  <c r="B59" i="15"/>
  <c r="O61" i="16"/>
  <c r="O60" i="16"/>
  <c r="O51" i="16"/>
  <c r="O50" i="16"/>
  <c r="O49" i="16"/>
  <c r="O48" i="16"/>
  <c r="AW40" i="16"/>
  <c r="O35" i="16"/>
  <c r="O34" i="16"/>
  <c r="O33" i="16"/>
  <c r="O32" i="16"/>
  <c r="O21" i="16"/>
  <c r="O20" i="16"/>
  <c r="O19" i="16"/>
  <c r="O18" i="16"/>
  <c r="O17" i="16"/>
  <c r="O13" i="16"/>
  <c r="O12" i="16"/>
  <c r="O11" i="16"/>
  <c r="O5" i="16"/>
  <c r="O4" i="16"/>
  <c r="O3" i="16"/>
  <c r="O2" i="16"/>
  <c r="BH30" i="15" l="1"/>
  <c r="BH63" i="15"/>
  <c r="BH64" i="15"/>
  <c r="BH66" i="15"/>
  <c r="BH55" i="15"/>
  <c r="BH65" i="15"/>
  <c r="BH59" i="15"/>
  <c r="BH67" i="15"/>
  <c r="BH48" i="15"/>
  <c r="BH60" i="15"/>
  <c r="BH68" i="15"/>
  <c r="BH69" i="15"/>
  <c r="BH70" i="15"/>
  <c r="BH49" i="15"/>
  <c r="BH62" i="15"/>
  <c r="BH50" i="15"/>
  <c r="BH51" i="15"/>
  <c r="BH52" i="15"/>
  <c r="BH54" i="15"/>
  <c r="BH53" i="15"/>
  <c r="BH56" i="15"/>
  <c r="BH57" i="15"/>
  <c r="BH58" i="15"/>
  <c r="BH61" i="15"/>
  <c r="AQ57" i="15"/>
  <c r="B60" i="15"/>
  <c r="AA59" i="15"/>
  <c r="AB58" i="15"/>
  <c r="AC58" i="15"/>
  <c r="AD58" i="15" s="1"/>
  <c r="AH58" i="15" s="1"/>
  <c r="AQ58" i="15" s="1"/>
  <c r="V5" i="16"/>
  <c r="Q5" i="16"/>
  <c r="P11" i="16"/>
  <c r="W12" i="16"/>
  <c r="U12" i="16"/>
  <c r="V12" i="16"/>
  <c r="Q51" i="16"/>
  <c r="P51" i="16"/>
  <c r="W51" i="16"/>
  <c r="U51" i="16"/>
  <c r="T51" i="16"/>
  <c r="S51" i="16"/>
  <c r="V51" i="16"/>
  <c r="W35" i="16"/>
  <c r="V35" i="16"/>
  <c r="U35" i="16"/>
  <c r="P35" i="16"/>
  <c r="T35" i="16"/>
  <c r="Q35" i="16"/>
  <c r="S35" i="16"/>
  <c r="P12" i="16"/>
  <c r="Q12" i="16"/>
  <c r="U21" i="16"/>
  <c r="P4" i="16"/>
  <c r="V21" i="16"/>
  <c r="W5" i="16"/>
  <c r="T5" i="16"/>
  <c r="P5" i="16"/>
  <c r="S5" i="16"/>
  <c r="S12" i="16"/>
  <c r="W21" i="16"/>
  <c r="U5" i="16"/>
  <c r="T12" i="16"/>
  <c r="Q21" i="16"/>
  <c r="P21" i="16"/>
  <c r="T21" i="16"/>
  <c r="S21" i="16"/>
  <c r="V4" i="16"/>
  <c r="W4" i="16"/>
  <c r="U11" i="16"/>
  <c r="S11" i="16"/>
  <c r="W11" i="16"/>
  <c r="Q4" i="16"/>
  <c r="S4" i="16"/>
  <c r="Q11" i="16"/>
  <c r="U4" i="16"/>
  <c r="T11" i="16"/>
  <c r="V11" i="16"/>
  <c r="T4" i="16"/>
  <c r="AB59" i="15" l="1"/>
  <c r="AC59" i="15"/>
  <c r="AD59" i="15" s="1"/>
  <c r="AH59" i="15" s="1"/>
  <c r="AQ59" i="15" s="1"/>
  <c r="B61" i="15"/>
  <c r="AA60" i="15"/>
  <c r="O52" i="16"/>
  <c r="X51" i="16"/>
  <c r="X11" i="16"/>
  <c r="R4" i="16"/>
  <c r="X12" i="16"/>
  <c r="X5" i="16"/>
  <c r="X4" i="16"/>
  <c r="R21" i="16"/>
  <c r="X35" i="16"/>
  <c r="R11" i="16"/>
  <c r="J11" i="16" s="1"/>
  <c r="O6" i="16"/>
  <c r="O22" i="16"/>
  <c r="O36" i="16"/>
  <c r="X21" i="16"/>
  <c r="R35" i="16"/>
  <c r="R51" i="16"/>
  <c r="J51" i="16" s="1"/>
  <c r="R12" i="16"/>
  <c r="R5" i="16"/>
  <c r="J35" i="16" l="1"/>
  <c r="J12" i="16"/>
  <c r="J5" i="16"/>
  <c r="J4" i="16"/>
  <c r="J21" i="16"/>
  <c r="AA61" i="15"/>
  <c r="B62" i="15"/>
  <c r="AB60" i="15"/>
  <c r="AC60" i="15"/>
  <c r="AD60" i="15" s="1"/>
  <c r="AH60" i="15" s="1"/>
  <c r="AQ60" i="15" s="1"/>
  <c r="O53" i="16"/>
  <c r="O37" i="16"/>
  <c r="O23" i="16"/>
  <c r="W22" i="16"/>
  <c r="V22" i="16"/>
  <c r="U22" i="16"/>
  <c r="S22" i="16"/>
  <c r="T22" i="16"/>
  <c r="Q22" i="16"/>
  <c r="P22" i="16"/>
  <c r="O7" i="16"/>
  <c r="P6" i="16"/>
  <c r="V6" i="16"/>
  <c r="U6" i="16"/>
  <c r="T6" i="16"/>
  <c r="S6" i="16"/>
  <c r="Q6" i="16"/>
  <c r="W6" i="16"/>
  <c r="AB61" i="15" l="1"/>
  <c r="AC61" i="15"/>
  <c r="AD61" i="15" s="1"/>
  <c r="AH61" i="15" s="1"/>
  <c r="AQ61" i="15" s="1"/>
  <c r="AA62" i="15"/>
  <c r="B63" i="15"/>
  <c r="O54" i="16"/>
  <c r="S53" i="16"/>
  <c r="U53" i="16"/>
  <c r="T53" i="16"/>
  <c r="P53" i="16"/>
  <c r="V53" i="16"/>
  <c r="Q53" i="16"/>
  <c r="W53" i="16"/>
  <c r="R6" i="16"/>
  <c r="X22" i="16"/>
  <c r="X6" i="16"/>
  <c r="O24" i="16"/>
  <c r="R22" i="16"/>
  <c r="U7" i="16"/>
  <c r="W7" i="16"/>
  <c r="S7" i="16"/>
  <c r="T7" i="16"/>
  <c r="V7" i="16"/>
  <c r="Q7" i="16"/>
  <c r="P7" i="16"/>
  <c r="O38" i="16"/>
  <c r="O8" i="16"/>
  <c r="J22" i="16" l="1"/>
  <c r="J6" i="16"/>
  <c r="AC62" i="15"/>
  <c r="AD62" i="15" s="1"/>
  <c r="AH62" i="15" s="1"/>
  <c r="AQ62" i="15" s="1"/>
  <c r="AB62" i="15"/>
  <c r="AA63" i="15"/>
  <c r="B64" i="15"/>
  <c r="R53" i="16"/>
  <c r="X53" i="16"/>
  <c r="O55" i="16"/>
  <c r="X7" i="16"/>
  <c r="S24" i="16"/>
  <c r="W24" i="16"/>
  <c r="V24" i="16"/>
  <c r="U24" i="16"/>
  <c r="T24" i="16"/>
  <c r="Q24" i="16"/>
  <c r="P24" i="16"/>
  <c r="O9" i="16"/>
  <c r="P38" i="16"/>
  <c r="V38" i="16"/>
  <c r="U38" i="16"/>
  <c r="T38" i="16"/>
  <c r="S38" i="16"/>
  <c r="Q38" i="16"/>
  <c r="W38" i="16"/>
  <c r="O25" i="16"/>
  <c r="Q8" i="16"/>
  <c r="P8" i="16"/>
  <c r="V8" i="16"/>
  <c r="U8" i="16"/>
  <c r="W8" i="16"/>
  <c r="T8" i="16"/>
  <c r="S8" i="16"/>
  <c r="O39" i="16"/>
  <c r="R7" i="16"/>
  <c r="J7" i="16" l="1"/>
  <c r="J53" i="16"/>
  <c r="AC63" i="15"/>
  <c r="AD63" i="15" s="1"/>
  <c r="AH63" i="15" s="1"/>
  <c r="AQ63" i="15" s="1"/>
  <c r="AB63" i="15"/>
  <c r="AA64" i="15"/>
  <c r="B65" i="15"/>
  <c r="R24" i="16"/>
  <c r="O56" i="16"/>
  <c r="X8" i="16"/>
  <c r="X38" i="16"/>
  <c r="R8" i="16"/>
  <c r="U39" i="16"/>
  <c r="T39" i="16"/>
  <c r="S39" i="16"/>
  <c r="P39" i="16"/>
  <c r="V39" i="16"/>
  <c r="W39" i="16"/>
  <c r="Q39" i="16"/>
  <c r="O10" i="16"/>
  <c r="O26" i="16"/>
  <c r="P25" i="16"/>
  <c r="V25" i="16"/>
  <c r="U25" i="16"/>
  <c r="S25" i="16"/>
  <c r="W25" i="16"/>
  <c r="Q25" i="16"/>
  <c r="T25" i="16"/>
  <c r="R38" i="16"/>
  <c r="X24" i="16"/>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J38" i="16" l="1"/>
  <c r="J8" i="16"/>
  <c r="J24" i="16"/>
  <c r="BH23" i="15"/>
  <c r="BH31" i="15"/>
  <c r="BH11" i="15"/>
  <c r="BH21" i="15"/>
  <c r="BH24" i="15"/>
  <c r="BH27" i="15"/>
  <c r="BH9" i="15"/>
  <c r="BH35" i="15"/>
  <c r="BH37" i="15"/>
  <c r="BH25" i="15"/>
  <c r="BH26" i="15"/>
  <c r="BH36" i="15"/>
  <c r="BH40" i="15"/>
  <c r="BH20" i="15"/>
  <c r="BH6" i="15"/>
  <c r="BH28" i="15"/>
  <c r="BH5" i="15"/>
  <c r="BH29" i="15"/>
  <c r="BH8" i="15"/>
  <c r="BH12" i="15"/>
  <c r="BH19" i="15"/>
  <c r="BH22" i="15"/>
  <c r="BH18" i="15"/>
  <c r="BH41" i="15"/>
  <c r="BH42" i="15"/>
  <c r="BH38" i="15"/>
  <c r="BH39" i="15"/>
  <c r="AC64" i="15"/>
  <c r="AB64" i="15"/>
  <c r="AA65" i="15"/>
  <c r="B66" i="15"/>
  <c r="O57" i="16"/>
  <c r="X39" i="16"/>
  <c r="R25" i="16"/>
  <c r="O41" i="16"/>
  <c r="R39" i="16"/>
  <c r="X25" i="16"/>
  <c r="O14" i="16"/>
  <c r="O27" i="16"/>
  <c r="BH10" i="15" s="1"/>
  <c r="J39" i="16" l="1"/>
  <c r="J25" i="16"/>
  <c r="BH45" i="15"/>
  <c r="BH46" i="15"/>
  <c r="BH47" i="15"/>
  <c r="BH7" i="15"/>
  <c r="BH44" i="15"/>
  <c r="BH43" i="15"/>
  <c r="AA66" i="15"/>
  <c r="B67" i="15"/>
  <c r="AC65" i="15"/>
  <c r="AB65" i="15"/>
  <c r="AD64" i="15"/>
  <c r="AH64" i="15" s="1"/>
  <c r="AQ64" i="15" s="1"/>
  <c r="Q57" i="16"/>
  <c r="P57" i="16"/>
  <c r="W57" i="16"/>
  <c r="V57" i="16"/>
  <c r="T57" i="16"/>
  <c r="U57" i="16"/>
  <c r="S57" i="16"/>
  <c r="O59" i="16"/>
  <c r="O58" i="16"/>
  <c r="O28" i="16"/>
  <c r="U14" i="16"/>
  <c r="S14" i="16"/>
  <c r="P14" i="16"/>
  <c r="V14" i="16"/>
  <c r="T14" i="16"/>
  <c r="W14" i="16"/>
  <c r="Q14" i="16"/>
  <c r="O15" i="16"/>
  <c r="O42" i="16"/>
  <c r="AB66" i="15" l="1"/>
  <c r="AC66" i="15"/>
  <c r="AD65" i="15"/>
  <c r="AH65" i="15" s="1"/>
  <c r="AQ65" i="15" s="1"/>
  <c r="AA67" i="15"/>
  <c r="B68" i="15"/>
  <c r="W59" i="16"/>
  <c r="Q59" i="16"/>
  <c r="P59" i="16"/>
  <c r="U59" i="16"/>
  <c r="T59" i="16"/>
  <c r="V59" i="16"/>
  <c r="S59" i="16"/>
  <c r="V58" i="16"/>
  <c r="U58" i="16"/>
  <c r="W58" i="16"/>
  <c r="S58" i="16"/>
  <c r="T58" i="16"/>
  <c r="P58" i="16"/>
  <c r="Q58" i="16"/>
  <c r="X57" i="16"/>
  <c r="R57" i="16"/>
  <c r="O43" i="16"/>
  <c r="O16" i="16"/>
  <c r="R14" i="16"/>
  <c r="X14" i="16"/>
  <c r="Q28" i="16"/>
  <c r="U28" i="16"/>
  <c r="P28" i="16"/>
  <c r="T28" i="16"/>
  <c r="S28" i="16"/>
  <c r="W28" i="16"/>
  <c r="V28" i="16"/>
  <c r="O29" i="16"/>
  <c r="Q15" i="16"/>
  <c r="S15" i="16"/>
  <c r="P15" i="16"/>
  <c r="T15" i="16"/>
  <c r="W15" i="16"/>
  <c r="U15" i="16"/>
  <c r="V15" i="16"/>
  <c r="BH33" i="15" l="1"/>
  <c r="BH32" i="15"/>
  <c r="BH15" i="15"/>
  <c r="BH14" i="15"/>
  <c r="BH16" i="15"/>
  <c r="BH34" i="15"/>
  <c r="BH17" i="15"/>
  <c r="BH13" i="15"/>
  <c r="J57" i="16"/>
  <c r="J14" i="16"/>
  <c r="AC67" i="15"/>
  <c r="AB67" i="15"/>
  <c r="AD66" i="15"/>
  <c r="AH66" i="15" s="1"/>
  <c r="AQ66" i="15" s="1"/>
  <c r="AA68" i="15"/>
  <c r="B69" i="15"/>
  <c r="R59" i="16"/>
  <c r="X58" i="16"/>
  <c r="X59" i="16"/>
  <c r="R58" i="16"/>
  <c r="X15" i="16"/>
  <c r="X28" i="16"/>
  <c r="R15" i="16"/>
  <c r="V16" i="16"/>
  <c r="T16" i="16"/>
  <c r="S16" i="16"/>
  <c r="W16" i="16"/>
  <c r="Q16" i="16"/>
  <c r="P16" i="16"/>
  <c r="U16" i="16"/>
  <c r="R28" i="16"/>
  <c r="O44" i="16"/>
  <c r="O30" i="16"/>
  <c r="J58" i="16" l="1"/>
  <c r="J59" i="16"/>
  <c r="J15" i="16"/>
  <c r="J28" i="16"/>
  <c r="AC68" i="15"/>
  <c r="AD68" i="15" s="1"/>
  <c r="AH68" i="15" s="1"/>
  <c r="AB68" i="15"/>
  <c r="AA69" i="15"/>
  <c r="B70" i="15"/>
  <c r="AD67" i="15"/>
  <c r="AH67" i="15" s="1"/>
  <c r="AQ67" i="15" s="1"/>
  <c r="X16" i="16"/>
  <c r="R16" i="16"/>
  <c r="S30" i="16"/>
  <c r="Q30" i="16"/>
  <c r="T30" i="16"/>
  <c r="P30" i="16"/>
  <c r="U30" i="16"/>
  <c r="V30" i="16"/>
  <c r="W30" i="16"/>
  <c r="O45" i="16"/>
  <c r="O31" i="16"/>
  <c r="W44" i="16"/>
  <c r="V44" i="16"/>
  <c r="U44" i="16"/>
  <c r="T44" i="16"/>
  <c r="S44" i="16"/>
  <c r="Q44" i="16"/>
  <c r="P44" i="16"/>
  <c r="J16" i="16" l="1"/>
  <c r="AA70" i="15"/>
  <c r="B71" i="15"/>
  <c r="AC69" i="15"/>
  <c r="AB69" i="15"/>
  <c r="AQ68" i="15"/>
  <c r="X30" i="16"/>
  <c r="R30" i="16"/>
  <c r="R44" i="16"/>
  <c r="W31" i="16"/>
  <c r="V31" i="16"/>
  <c r="S31" i="16"/>
  <c r="T31" i="16"/>
  <c r="Q31" i="16"/>
  <c r="P31" i="16"/>
  <c r="U31" i="16"/>
  <c r="O47" i="16"/>
  <c r="O46" i="16"/>
  <c r="X44" i="16"/>
  <c r="J44" i="16" l="1"/>
  <c r="J30" i="16"/>
  <c r="AD69" i="15"/>
  <c r="AH69" i="15" s="1"/>
  <c r="AQ69" i="15" s="1"/>
  <c r="AA71" i="15"/>
  <c r="B72" i="15"/>
  <c r="AB70" i="15"/>
  <c r="AC70" i="15"/>
  <c r="R31" i="16"/>
  <c r="X31" i="16"/>
  <c r="J31" i="16" l="1"/>
  <c r="AC71" i="15"/>
  <c r="AD71" i="15" s="1"/>
  <c r="AH71" i="15" s="1"/>
  <c r="AB71" i="15"/>
  <c r="AA72" i="15"/>
  <c r="B73" i="15"/>
  <c r="AA73" i="15" s="1"/>
  <c r="AD70" i="15"/>
  <c r="AH70" i="15" s="1"/>
  <c r="AQ70" i="15" s="1"/>
  <c r="AC73" i="15" l="1"/>
  <c r="AD73" i="15" s="1"/>
  <c r="AH73" i="15" s="1"/>
  <c r="AB73" i="15"/>
  <c r="AQ71" i="15"/>
  <c r="AC72" i="15"/>
  <c r="AB72" i="15"/>
  <c r="AD72" i="15" l="1"/>
  <c r="AH72" i="15" s="1"/>
  <c r="AQ72" i="15" s="1"/>
  <c r="AQ73" i="15"/>
  <c r="I185" i="15" l="1"/>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B74" i="15" l="1"/>
  <c r="AA74" i="15" s="1"/>
  <c r="AC74" i="15" l="1"/>
  <c r="AB74" i="15"/>
  <c r="B75" i="15"/>
  <c r="AA75" i="15" l="1"/>
  <c r="AC75" i="15" s="1"/>
  <c r="B76" i="15"/>
  <c r="AD74" i="15"/>
  <c r="AH74" i="15" s="1"/>
  <c r="AQ74" i="15" s="1"/>
  <c r="AB75" i="15" l="1"/>
  <c r="AA76" i="15"/>
  <c r="B77" i="15"/>
  <c r="AD75" i="15"/>
  <c r="AH75" i="15" s="1"/>
  <c r="AQ75" i="15" s="1"/>
  <c r="X4" i="15"/>
  <c r="AC76" i="15" l="1"/>
  <c r="AD76" i="15" s="1"/>
  <c r="AH76" i="15" s="1"/>
  <c r="AB76" i="15"/>
  <c r="AA77" i="15"/>
  <c r="B78" i="15"/>
  <c r="AC77" i="15" l="1"/>
  <c r="AD77" i="15" s="1"/>
  <c r="AH77" i="15" s="1"/>
  <c r="AB77" i="15"/>
  <c r="AQ76" i="15"/>
  <c r="AA78" i="15"/>
  <c r="B79" i="15"/>
  <c r="AC78" i="15" l="1"/>
  <c r="AD78" i="15" s="1"/>
  <c r="AH78" i="15" s="1"/>
  <c r="AB78" i="15"/>
  <c r="AQ77" i="15"/>
  <c r="AA79" i="15"/>
  <c r="B80" i="15"/>
  <c r="AC79" i="15" l="1"/>
  <c r="AD79" i="15" s="1"/>
  <c r="AH79" i="15" s="1"/>
  <c r="AB79" i="15"/>
  <c r="AA80" i="15"/>
  <c r="B81" i="15"/>
  <c r="AQ78" i="15"/>
  <c r="AC80" i="15" l="1"/>
  <c r="AD80" i="15" s="1"/>
  <c r="AH80" i="15" s="1"/>
  <c r="AB80" i="15"/>
  <c r="AA81" i="15"/>
  <c r="B82" i="15"/>
  <c r="AQ79" i="15"/>
  <c r="AC81" i="15" l="1"/>
  <c r="AD81" i="15" s="1"/>
  <c r="AH81" i="15" s="1"/>
  <c r="AB81" i="15"/>
  <c r="AQ80" i="15"/>
  <c r="AA82" i="15"/>
  <c r="B83" i="15"/>
  <c r="AC82" i="15" l="1"/>
  <c r="AD82" i="15" s="1"/>
  <c r="AH82" i="15" s="1"/>
  <c r="AB82" i="15"/>
  <c r="AA83" i="15"/>
  <c r="B84" i="15"/>
  <c r="AQ81" i="15"/>
  <c r="AC83" i="15" l="1"/>
  <c r="AD83" i="15" s="1"/>
  <c r="AH83" i="15" s="1"/>
  <c r="AQ83" i="15" s="1"/>
  <c r="AB83" i="15"/>
  <c r="AA84" i="15"/>
  <c r="B85" i="15"/>
  <c r="AQ82" i="15"/>
  <c r="AC84" i="15" l="1"/>
  <c r="AB84" i="15"/>
  <c r="AA85" i="15"/>
  <c r="B86" i="15"/>
  <c r="AC85" i="15" l="1"/>
  <c r="AD85" i="15" s="1"/>
  <c r="AH85" i="15" s="1"/>
  <c r="AQ85" i="15" s="1"/>
  <c r="AB85" i="15"/>
  <c r="AD84" i="15"/>
  <c r="AH84" i="15" s="1"/>
  <c r="AQ84" i="15" s="1"/>
  <c r="AA86" i="15"/>
  <c r="B87" i="15"/>
  <c r="AC86" i="15" l="1"/>
  <c r="AD86" i="15" s="1"/>
  <c r="AH86" i="15" s="1"/>
  <c r="AQ86" i="15" s="1"/>
  <c r="AB86" i="15"/>
  <c r="AA87" i="15"/>
  <c r="B88" i="15"/>
  <c r="AC87" i="15" l="1"/>
  <c r="AD87" i="15" s="1"/>
  <c r="AH87" i="15" s="1"/>
  <c r="AQ87" i="15" s="1"/>
  <c r="AB87" i="15"/>
  <c r="AA88" i="15"/>
  <c r="B89" i="15"/>
  <c r="X5" i="15"/>
  <c r="AI82" i="15" l="1"/>
  <c r="AR82" i="15" s="1"/>
  <c r="AI79" i="15"/>
  <c r="AR79" i="15" s="1"/>
  <c r="AE5" i="15"/>
  <c r="AI78" i="15"/>
  <c r="AR78" i="15" s="1"/>
  <c r="AE78" i="15"/>
  <c r="AF78" i="15" s="1"/>
  <c r="AE79" i="15"/>
  <c r="AF79" i="15" s="1"/>
  <c r="AE82" i="15"/>
  <c r="AF82" i="15" s="1"/>
  <c r="AI138" i="15"/>
  <c r="AR138" i="15" s="1"/>
  <c r="AI139" i="15"/>
  <c r="AR139" i="15" s="1"/>
  <c r="AE123" i="15"/>
  <c r="AE138" i="15"/>
  <c r="AE139" i="15"/>
  <c r="AE77" i="15"/>
  <c r="AF77" i="15" s="1"/>
  <c r="AI141" i="15"/>
  <c r="AR141" i="15" s="1"/>
  <c r="AE127" i="15"/>
  <c r="AE140" i="15"/>
  <c r="AI123" i="15"/>
  <c r="AR123" i="15" s="1"/>
  <c r="AE73" i="15"/>
  <c r="AF73" i="15" s="1"/>
  <c r="AL73" i="15" s="1"/>
  <c r="AU73" i="15" s="1"/>
  <c r="AI77" i="15"/>
  <c r="AR77" i="15" s="1"/>
  <c r="AE80" i="15"/>
  <c r="AF80" i="15" s="1"/>
  <c r="AE132" i="15"/>
  <c r="AI132" i="15"/>
  <c r="AR132" i="15" s="1"/>
  <c r="AI76" i="15"/>
  <c r="AR76" i="15" s="1"/>
  <c r="AE121" i="15"/>
  <c r="AI140" i="15"/>
  <c r="AR140" i="15" s="1"/>
  <c r="AI73" i="15"/>
  <c r="AI142" i="15"/>
  <c r="AR142" i="15" s="1"/>
  <c r="AI136" i="15"/>
  <c r="AR136" i="15" s="1"/>
  <c r="AE131" i="15"/>
  <c r="AI131" i="15"/>
  <c r="AR131" i="15" s="1"/>
  <c r="AE76" i="15"/>
  <c r="AF76" i="15" s="1"/>
  <c r="AI134" i="15"/>
  <c r="AR134" i="15" s="1"/>
  <c r="AE136" i="15"/>
  <c r="AE133" i="15"/>
  <c r="AE81" i="15"/>
  <c r="AF81" i="15" s="1"/>
  <c r="AI81" i="15"/>
  <c r="AR81" i="15" s="1"/>
  <c r="AI127" i="15"/>
  <c r="AR127" i="15" s="1"/>
  <c r="AE124" i="15"/>
  <c r="AI80" i="15"/>
  <c r="AR80" i="15" s="1"/>
  <c r="AE141" i="15"/>
  <c r="AI126" i="15"/>
  <c r="AR126" i="15" s="1"/>
  <c r="AE142" i="15"/>
  <c r="AE126" i="15"/>
  <c r="AI133" i="15"/>
  <c r="AR133" i="15" s="1"/>
  <c r="AI121" i="15"/>
  <c r="AR121" i="15" s="1"/>
  <c r="AE130" i="15"/>
  <c r="AI128" i="15"/>
  <c r="AR128" i="15" s="1"/>
  <c r="AE122" i="15"/>
  <c r="AI122" i="15"/>
  <c r="AR122" i="15" s="1"/>
  <c r="AI52" i="15"/>
  <c r="AR52" i="15" s="1"/>
  <c r="AI56" i="15"/>
  <c r="AR56" i="15" s="1"/>
  <c r="AE128" i="15"/>
  <c r="AE52" i="15"/>
  <c r="AF52" i="15" s="1"/>
  <c r="AI124" i="15"/>
  <c r="AR124" i="15" s="1"/>
  <c r="AE57" i="15"/>
  <c r="AF57" i="15" s="1"/>
  <c r="AI57" i="15"/>
  <c r="AR57" i="15" s="1"/>
  <c r="AE134" i="15"/>
  <c r="AE56" i="15"/>
  <c r="AF56" i="15" s="1"/>
  <c r="AI125" i="15"/>
  <c r="AR125" i="15" s="1"/>
  <c r="AE53" i="15"/>
  <c r="AF53" i="15" s="1"/>
  <c r="AE125" i="15"/>
  <c r="AI53" i="15"/>
  <c r="AR53" i="15" s="1"/>
  <c r="AE129" i="15"/>
  <c r="AI130" i="15"/>
  <c r="AR130" i="15" s="1"/>
  <c r="AI129" i="15"/>
  <c r="AR129" i="15" s="1"/>
  <c r="AE137" i="15"/>
  <c r="AI135" i="15"/>
  <c r="AR135" i="15" s="1"/>
  <c r="AI137" i="15"/>
  <c r="AR137" i="15" s="1"/>
  <c r="AE135" i="15"/>
  <c r="AE63" i="15"/>
  <c r="AF63" i="15" s="1"/>
  <c r="AE71" i="15"/>
  <c r="AF71" i="15" s="1"/>
  <c r="AE68" i="15"/>
  <c r="AF68" i="15" s="1"/>
  <c r="AI63" i="15"/>
  <c r="AR63" i="15" s="1"/>
  <c r="AI68" i="15"/>
  <c r="AR68" i="15" s="1"/>
  <c r="AI71" i="15"/>
  <c r="AR71" i="15" s="1"/>
  <c r="AC88" i="15"/>
  <c r="AD88" i="15" s="1"/>
  <c r="AH88" i="15" s="1"/>
  <c r="AQ88" i="15" s="1"/>
  <c r="AB88" i="15"/>
  <c r="AA89" i="15"/>
  <c r="B90" i="15"/>
  <c r="AI66" i="15"/>
  <c r="AR66" i="15" s="1"/>
  <c r="AE65" i="15"/>
  <c r="AF65" i="15" s="1"/>
  <c r="AI64" i="15"/>
  <c r="AR64" i="15" s="1"/>
  <c r="AI69" i="15"/>
  <c r="AR69" i="15" s="1"/>
  <c r="AE70" i="15"/>
  <c r="AF70" i="15" s="1"/>
  <c r="AI65" i="15"/>
  <c r="AR65" i="15" s="1"/>
  <c r="AE64" i="15"/>
  <c r="AF64" i="15" s="1"/>
  <c r="AI72" i="15"/>
  <c r="AI67" i="15"/>
  <c r="AR67" i="15" s="1"/>
  <c r="AE67" i="15"/>
  <c r="AF67" i="15" s="1"/>
  <c r="AE72" i="15"/>
  <c r="AF72" i="15" s="1"/>
  <c r="AE66" i="15"/>
  <c r="AF66" i="15" s="1"/>
  <c r="AI70" i="15"/>
  <c r="AR70" i="15" s="1"/>
  <c r="AE69" i="15"/>
  <c r="AF69" i="15" s="1"/>
  <c r="BE5" i="15"/>
  <c r="AI55" i="15"/>
  <c r="AR55" i="15" s="1"/>
  <c r="AI54" i="15"/>
  <c r="AR54" i="15" s="1"/>
  <c r="AI51" i="15"/>
  <c r="AR51" i="15" s="1"/>
  <c r="AI50" i="15"/>
  <c r="AR50" i="15" s="1"/>
  <c r="AI49" i="15"/>
  <c r="AR49" i="15" s="1"/>
  <c r="AI58" i="15"/>
  <c r="AR58" i="15" s="1"/>
  <c r="AI62" i="15"/>
  <c r="AR62" i="15" s="1"/>
  <c r="AI61" i="15"/>
  <c r="AR61" i="15" s="1"/>
  <c r="AI59" i="15"/>
  <c r="AR59" i="15" s="1"/>
  <c r="AI60" i="15"/>
  <c r="AR60" i="15" s="1"/>
  <c r="AE55" i="15"/>
  <c r="AF55" i="15" s="1"/>
  <c r="AE51" i="15"/>
  <c r="AF51" i="15" s="1"/>
  <c r="AE50" i="15"/>
  <c r="AF50" i="15" s="1"/>
  <c r="AE58" i="15"/>
  <c r="AF58" i="15" s="1"/>
  <c r="AE61" i="15"/>
  <c r="AF61" i="15" s="1"/>
  <c r="AE54" i="15"/>
  <c r="AF54" i="15" s="1"/>
  <c r="AE49" i="15"/>
  <c r="AF49" i="15" s="1"/>
  <c r="AE59" i="15"/>
  <c r="AF59" i="15" s="1"/>
  <c r="AE62" i="15"/>
  <c r="AF62" i="15" s="1"/>
  <c r="AE60" i="15"/>
  <c r="AF60" i="15" s="1"/>
  <c r="AI105" i="15"/>
  <c r="AR105" i="15" s="1"/>
  <c r="AE119" i="15"/>
  <c r="AI9" i="15"/>
  <c r="AR9" i="15" s="1"/>
  <c r="AI116" i="15"/>
  <c r="AR116" i="15" s="1"/>
  <c r="AE33" i="15"/>
  <c r="AF33" i="15" s="1"/>
  <c r="AI83" i="15"/>
  <c r="AR83" i="15" s="1"/>
  <c r="AI34" i="15"/>
  <c r="AR34" i="15" s="1"/>
  <c r="AI103" i="15"/>
  <c r="AR103" i="15" s="1"/>
  <c r="AE6" i="15"/>
  <c r="AF6" i="15" s="1"/>
  <c r="AI85" i="15"/>
  <c r="AR85" i="15" s="1"/>
  <c r="AI102" i="15"/>
  <c r="AR102" i="15" s="1"/>
  <c r="AI7" i="15"/>
  <c r="AR7" i="15" s="1"/>
  <c r="AI101" i="15"/>
  <c r="AR101" i="15" s="1"/>
  <c r="AE84" i="15"/>
  <c r="AF84" i="15" s="1"/>
  <c r="AI104" i="15"/>
  <c r="AR104" i="15" s="1"/>
  <c r="AI33" i="15"/>
  <c r="AR33" i="15" s="1"/>
  <c r="AE106" i="15"/>
  <c r="AE114" i="15"/>
  <c r="AE100" i="15"/>
  <c r="AI35" i="15"/>
  <c r="AR35" i="15" s="1"/>
  <c r="AE85" i="15"/>
  <c r="AF85" i="15" s="1"/>
  <c r="AI106" i="15"/>
  <c r="AR106" i="15" s="1"/>
  <c r="AI84" i="15"/>
  <c r="AR84" i="15" s="1"/>
  <c r="AE22" i="15"/>
  <c r="AF22" i="15" s="1"/>
  <c r="AI109" i="15"/>
  <c r="AR109" i="15" s="1"/>
  <c r="AI87" i="15"/>
  <c r="AR87" i="15" s="1"/>
  <c r="AI6" i="15"/>
  <c r="AR6" i="15" s="1"/>
  <c r="AI32" i="15"/>
  <c r="AR32" i="15" s="1"/>
  <c r="AI99" i="15"/>
  <c r="AR99" i="15" s="1"/>
  <c r="AI100" i="15"/>
  <c r="AR100" i="15" s="1"/>
  <c r="AE35" i="15"/>
  <c r="AF35" i="15" s="1"/>
  <c r="AI115" i="15"/>
  <c r="AR115" i="15" s="1"/>
  <c r="AI89" i="15"/>
  <c r="AR89" i="15" s="1"/>
  <c r="AE118" i="15"/>
  <c r="AE93" i="15"/>
  <c r="AI39" i="15"/>
  <c r="AR39" i="15" s="1"/>
  <c r="AE97" i="15"/>
  <c r="AE32" i="15"/>
  <c r="AF32" i="15" s="1"/>
  <c r="AE112" i="15"/>
  <c r="AE91" i="15"/>
  <c r="AE111" i="15"/>
  <c r="AI118" i="15"/>
  <c r="AR118" i="15" s="1"/>
  <c r="AE34" i="15"/>
  <c r="AF34" i="15" s="1"/>
  <c r="AI97" i="15"/>
  <c r="AR97" i="15" s="1"/>
  <c r="AE39" i="15"/>
  <c r="AF39" i="15" s="1"/>
  <c r="AE95" i="15"/>
  <c r="AE101" i="15"/>
  <c r="AI31" i="15"/>
  <c r="AR31" i="15" s="1"/>
  <c r="AI111" i="15"/>
  <c r="AR111" i="15" s="1"/>
  <c r="AE15" i="15"/>
  <c r="AF15" i="15" s="1"/>
  <c r="AE7" i="15"/>
  <c r="AF7" i="15" s="1"/>
  <c r="AE98" i="15"/>
  <c r="AE20" i="15"/>
  <c r="AF20" i="15" s="1"/>
  <c r="AE99" i="15"/>
  <c r="AI21" i="15"/>
  <c r="AR21" i="15" s="1"/>
  <c r="AE94" i="15"/>
  <c r="AI108" i="15"/>
  <c r="AR108" i="15" s="1"/>
  <c r="AE31" i="15"/>
  <c r="AF31" i="15" s="1"/>
  <c r="AI74" i="15"/>
  <c r="AR74" i="15" s="1"/>
  <c r="AI112" i="15"/>
  <c r="AR112" i="15" s="1"/>
  <c r="AI20" i="15"/>
  <c r="AR20" i="15" s="1"/>
  <c r="AI113" i="15"/>
  <c r="AR113" i="15" s="1"/>
  <c r="AE21" i="15"/>
  <c r="AF21" i="15" s="1"/>
  <c r="AI94" i="15"/>
  <c r="AR94" i="15" s="1"/>
  <c r="AE9" i="15"/>
  <c r="AF9" i="15" s="1"/>
  <c r="AI95" i="15"/>
  <c r="AR95" i="15" s="1"/>
  <c r="AE108" i="15"/>
  <c r="AE90" i="15"/>
  <c r="AE8" i="15"/>
  <c r="AF8" i="15" s="1"/>
  <c r="AE109" i="15"/>
  <c r="AE104" i="15"/>
  <c r="AE105" i="15"/>
  <c r="AE40" i="15"/>
  <c r="AF40" i="15" s="1"/>
  <c r="AI117" i="15"/>
  <c r="AR117" i="15" s="1"/>
  <c r="AI110" i="15"/>
  <c r="AR110" i="15" s="1"/>
  <c r="AI120" i="15"/>
  <c r="AR120" i="15" s="1"/>
  <c r="AI8" i="15"/>
  <c r="AR8" i="15" s="1"/>
  <c r="AI15" i="15"/>
  <c r="AR15" i="15" s="1"/>
  <c r="AE103" i="15"/>
  <c r="AE120" i="15"/>
  <c r="AI38" i="15"/>
  <c r="AR38" i="15" s="1"/>
  <c r="AE89" i="15"/>
  <c r="AE92" i="15"/>
  <c r="AI91" i="15"/>
  <c r="AR91" i="15" s="1"/>
  <c r="AI24" i="15"/>
  <c r="AR24" i="15" s="1"/>
  <c r="AE117" i="15"/>
  <c r="AE88" i="15"/>
  <c r="AE23" i="15"/>
  <c r="AF23" i="15" s="1"/>
  <c r="AI92" i="15"/>
  <c r="AR92" i="15" s="1"/>
  <c r="AE87" i="15"/>
  <c r="AF87" i="15" s="1"/>
  <c r="AY87" i="15" s="1"/>
  <c r="AI5" i="15"/>
  <c r="AI93" i="15"/>
  <c r="AR93" i="15" s="1"/>
  <c r="AI114" i="15"/>
  <c r="AR114" i="15" s="1"/>
  <c r="AI23" i="15"/>
  <c r="AR23" i="15" s="1"/>
  <c r="AI88" i="15"/>
  <c r="AR88" i="15" s="1"/>
  <c r="AI119" i="15"/>
  <c r="AR119" i="15" s="1"/>
  <c r="AI98" i="15"/>
  <c r="AR98" i="15" s="1"/>
  <c r="AE74" i="15"/>
  <c r="AF74" i="15" s="1"/>
  <c r="AI90" i="15"/>
  <c r="AR90" i="15" s="1"/>
  <c r="AI75" i="15"/>
  <c r="AR75" i="15" s="1"/>
  <c r="AE113" i="15"/>
  <c r="AE83" i="15"/>
  <c r="AF83" i="15" s="1"/>
  <c r="AI22" i="15"/>
  <c r="AR22" i="15" s="1"/>
  <c r="AE96" i="15"/>
  <c r="AI86" i="15"/>
  <c r="AR86" i="15" s="1"/>
  <c r="AE75" i="15"/>
  <c r="AF75" i="15" s="1"/>
  <c r="AE86" i="15"/>
  <c r="AF86" i="15" s="1"/>
  <c r="AE107" i="15"/>
  <c r="AI96" i="15"/>
  <c r="AR96" i="15" s="1"/>
  <c r="AE116" i="15"/>
  <c r="AI107" i="15"/>
  <c r="AR107" i="15" s="1"/>
  <c r="AE24" i="15"/>
  <c r="AF24" i="15" s="1"/>
  <c r="AI40" i="15"/>
  <c r="AR40" i="15" s="1"/>
  <c r="AE102" i="15"/>
  <c r="AE115" i="15"/>
  <c r="AE38" i="15"/>
  <c r="AF38" i="15" s="1"/>
  <c r="AE110" i="15"/>
  <c r="AE46" i="15"/>
  <c r="AF46" i="15" s="1"/>
  <c r="AE17" i="15"/>
  <c r="AF17" i="15" s="1"/>
  <c r="AL17" i="15" s="1"/>
  <c r="AU17" i="15" s="1"/>
  <c r="AI46" i="15"/>
  <c r="AR46" i="15" s="1"/>
  <c r="AE19" i="15"/>
  <c r="AF19" i="15" s="1"/>
  <c r="AE13" i="15"/>
  <c r="AF13" i="15" s="1"/>
  <c r="AI19" i="15"/>
  <c r="AR19" i="15" s="1"/>
  <c r="AE47" i="15"/>
  <c r="AF47" i="15" s="1"/>
  <c r="AI43" i="15"/>
  <c r="AR43" i="15" s="1"/>
  <c r="AI13" i="15"/>
  <c r="AR13" i="15" s="1"/>
  <c r="AI27" i="15"/>
  <c r="AR27" i="15" s="1"/>
  <c r="AE43" i="15"/>
  <c r="AF43" i="15" s="1"/>
  <c r="AE26" i="15"/>
  <c r="AF26" i="15" s="1"/>
  <c r="AI28" i="15"/>
  <c r="AR28" i="15" s="1"/>
  <c r="AI44" i="15"/>
  <c r="AR44" i="15" s="1"/>
  <c r="AE41" i="15"/>
  <c r="AF41" i="15" s="1"/>
  <c r="AI36" i="15"/>
  <c r="AR36" i="15" s="1"/>
  <c r="AI41" i="15"/>
  <c r="AR41" i="15" s="1"/>
  <c r="AI29" i="15"/>
  <c r="AR29" i="15" s="1"/>
  <c r="AE36" i="15"/>
  <c r="AF36" i="15" s="1"/>
  <c r="AI11" i="15"/>
  <c r="AR11" i="15" s="1"/>
  <c r="AE48" i="15"/>
  <c r="AF48" i="15" s="1"/>
  <c r="AI48" i="15"/>
  <c r="AR48" i="15" s="1"/>
  <c r="AE16" i="15"/>
  <c r="AF16" i="15" s="1"/>
  <c r="AI16" i="15"/>
  <c r="AR16" i="15" s="1"/>
  <c r="AE14" i="15"/>
  <c r="AF14" i="15" s="1"/>
  <c r="AE18" i="15"/>
  <c r="AF18" i="15" s="1"/>
  <c r="AL18" i="15" s="1"/>
  <c r="AU18" i="15" s="1"/>
  <c r="AE25" i="15"/>
  <c r="AI25" i="15"/>
  <c r="AR25" i="15" s="1"/>
  <c r="AE42" i="15"/>
  <c r="AF42" i="15" s="1"/>
  <c r="AI47" i="15"/>
  <c r="AR47" i="15" s="1"/>
  <c r="AE27" i="15"/>
  <c r="AF27" i="15" s="1"/>
  <c r="AI26" i="15"/>
  <c r="AR26" i="15" s="1"/>
  <c r="AE29" i="15"/>
  <c r="AF29" i="15" s="1"/>
  <c r="AI10" i="15"/>
  <c r="AR10" i="15" s="1"/>
  <c r="AE12" i="15"/>
  <c r="AF12" i="15" s="1"/>
  <c r="AE10" i="15"/>
  <c r="AF10" i="15" s="1"/>
  <c r="AI18" i="15"/>
  <c r="AE37" i="15"/>
  <c r="AF37" i="15" s="1"/>
  <c r="AI45" i="15"/>
  <c r="AR45" i="15" s="1"/>
  <c r="AI42" i="15"/>
  <c r="AR42" i="15" s="1"/>
  <c r="AE28" i="15"/>
  <c r="AF28" i="15" s="1"/>
  <c r="AE11" i="15"/>
  <c r="AF11" i="15" s="1"/>
  <c r="AI30" i="15"/>
  <c r="AR30" i="15" s="1"/>
  <c r="AE45" i="15"/>
  <c r="AF45" i="15" s="1"/>
  <c r="AE44" i="15"/>
  <c r="AF44" i="15" s="1"/>
  <c r="AI14" i="15"/>
  <c r="AR14" i="15" s="1"/>
  <c r="AI37" i="15"/>
  <c r="AR37" i="15" s="1"/>
  <c r="AI17" i="15"/>
  <c r="AI12" i="15"/>
  <c r="AR12" i="15" s="1"/>
  <c r="AE30" i="15"/>
  <c r="AF30" i="15" s="1"/>
  <c r="AA5" i="15"/>
  <c r="AC5" i="15" s="1"/>
  <c r="V4" i="15"/>
  <c r="V5" i="15"/>
  <c r="L40" i="16" s="1"/>
  <c r="AF88" i="15" l="1"/>
  <c r="AY88" i="15" s="1"/>
  <c r="AZ88" i="15" s="1"/>
  <c r="BB88" i="15" s="1"/>
  <c r="BG5" i="15"/>
  <c r="BF5" i="15"/>
  <c r="AL82" i="15"/>
  <c r="AU82" i="15" s="1"/>
  <c r="AY82" i="15"/>
  <c r="AL79" i="15"/>
  <c r="AU79" i="15" s="1"/>
  <c r="AY79" i="15"/>
  <c r="AL78" i="15"/>
  <c r="AU78" i="15" s="1"/>
  <c r="AY78" i="15"/>
  <c r="AY86" i="15"/>
  <c r="AZ86" i="15" s="1"/>
  <c r="BB86" i="15" s="1"/>
  <c r="AL86" i="15"/>
  <c r="AU86" i="15" s="1"/>
  <c r="AY85" i="15"/>
  <c r="BA85" i="15" s="1"/>
  <c r="AL85" i="15"/>
  <c r="AU85" i="15" s="1"/>
  <c r="AY84" i="15"/>
  <c r="BA84" i="15" s="1"/>
  <c r="AL84" i="15"/>
  <c r="AU84" i="15" s="1"/>
  <c r="AY83" i="15"/>
  <c r="AZ83" i="15" s="1"/>
  <c r="BB83" i="15" s="1"/>
  <c r="AL83" i="15"/>
  <c r="AU83" i="15" s="1"/>
  <c r="AY81" i="15"/>
  <c r="AZ81" i="15" s="1"/>
  <c r="BB81" i="15" s="1"/>
  <c r="AL81" i="15"/>
  <c r="AU81" i="15" s="1"/>
  <c r="AY80" i="15"/>
  <c r="AZ80" i="15" s="1"/>
  <c r="BB80" i="15" s="1"/>
  <c r="AL80" i="15"/>
  <c r="AU80" i="15" s="1"/>
  <c r="AY77" i="15"/>
  <c r="AZ77" i="15" s="1"/>
  <c r="BB77" i="15" s="1"/>
  <c r="AL77" i="15"/>
  <c r="AU77" i="15" s="1"/>
  <c r="AL88" i="15"/>
  <c r="AU88" i="15" s="1"/>
  <c r="AL87" i="15"/>
  <c r="AU87" i="15" s="1"/>
  <c r="AY76" i="15"/>
  <c r="AZ76" i="15" s="1"/>
  <c r="BB76" i="15" s="1"/>
  <c r="AL76" i="15"/>
  <c r="AU76" i="15" s="1"/>
  <c r="AY75" i="15"/>
  <c r="BA75" i="15" s="1"/>
  <c r="AL75" i="15"/>
  <c r="AU75" i="15" s="1"/>
  <c r="AY74" i="15"/>
  <c r="AZ74" i="15" s="1"/>
  <c r="BB74" i="15" s="1"/>
  <c r="AL74" i="15"/>
  <c r="AU74" i="15" s="1"/>
  <c r="AY71" i="15"/>
  <c r="AZ71" i="15" s="1"/>
  <c r="BB71" i="15" s="1"/>
  <c r="AL71" i="15"/>
  <c r="AU71" i="15" s="1"/>
  <c r="AY68" i="15"/>
  <c r="AZ68" i="15" s="1"/>
  <c r="BB68" i="15" s="1"/>
  <c r="AL68" i="15"/>
  <c r="AU68" i="15" s="1"/>
  <c r="AY63" i="15"/>
  <c r="AZ63" i="15" s="1"/>
  <c r="BB63" i="15" s="1"/>
  <c r="AL63" i="15"/>
  <c r="AU63" i="15" s="1"/>
  <c r="AY53" i="15"/>
  <c r="AZ53" i="15" s="1"/>
  <c r="BB53" i="15" s="1"/>
  <c r="AL53" i="15"/>
  <c r="AU53" i="15" s="1"/>
  <c r="AY56" i="15"/>
  <c r="AZ56" i="15" s="1"/>
  <c r="BB56" i="15" s="1"/>
  <c r="AL56" i="15"/>
  <c r="AU56" i="15" s="1"/>
  <c r="AY57" i="15"/>
  <c r="AZ57" i="15" s="1"/>
  <c r="BB57" i="15" s="1"/>
  <c r="AL57" i="15"/>
  <c r="AU57" i="15" s="1"/>
  <c r="AY52" i="15"/>
  <c r="AZ52" i="15" s="1"/>
  <c r="BB52" i="15" s="1"/>
  <c r="AL52" i="15"/>
  <c r="AU52" i="15" s="1"/>
  <c r="AY23" i="15"/>
  <c r="AZ23" i="15" s="1"/>
  <c r="BB23" i="15" s="1"/>
  <c r="AL23" i="15"/>
  <c r="AU23" i="15" s="1"/>
  <c r="AY28" i="15"/>
  <c r="BA28" i="15" s="1"/>
  <c r="AL28" i="15"/>
  <c r="AU28" i="15" s="1"/>
  <c r="AY33" i="15"/>
  <c r="AZ33" i="15" s="1"/>
  <c r="BB33" i="15" s="1"/>
  <c r="AL33" i="15"/>
  <c r="AU33" i="15" s="1"/>
  <c r="AY37" i="15"/>
  <c r="AZ37" i="15" s="1"/>
  <c r="BB37" i="15" s="1"/>
  <c r="AL37" i="15"/>
  <c r="AU37" i="15" s="1"/>
  <c r="AY73" i="15"/>
  <c r="AR73" i="15"/>
  <c r="AC89" i="15"/>
  <c r="AF89" i="15" s="1"/>
  <c r="AY89" i="15" s="1"/>
  <c r="AB89" i="15"/>
  <c r="AA90" i="15"/>
  <c r="B91" i="15"/>
  <c r="AL69" i="15"/>
  <c r="AU69" i="15" s="1"/>
  <c r="AY69" i="15"/>
  <c r="AY67" i="15"/>
  <c r="AL67" i="15"/>
  <c r="AU67" i="15" s="1"/>
  <c r="AY66" i="15"/>
  <c r="AL66" i="15"/>
  <c r="AU66" i="15" s="1"/>
  <c r="AR72" i="15"/>
  <c r="AY64" i="15"/>
  <c r="AL64" i="15"/>
  <c r="AU64" i="15" s="1"/>
  <c r="AL70" i="15"/>
  <c r="AU70" i="15" s="1"/>
  <c r="AY70" i="15"/>
  <c r="AY65" i="15"/>
  <c r="AL65" i="15"/>
  <c r="AU65" i="15" s="1"/>
  <c r="AY72" i="15"/>
  <c r="AL72" i="15"/>
  <c r="AU72" i="15" s="1"/>
  <c r="AY60" i="15"/>
  <c r="AL60" i="15"/>
  <c r="AU60" i="15" s="1"/>
  <c r="AY59" i="15"/>
  <c r="AL59" i="15"/>
  <c r="AU59" i="15" s="1"/>
  <c r="AY54" i="15"/>
  <c r="AL54" i="15"/>
  <c r="AU54" i="15" s="1"/>
  <c r="AY32" i="15"/>
  <c r="AZ32" i="15" s="1"/>
  <c r="BB32" i="15" s="1"/>
  <c r="AL32" i="15"/>
  <c r="AU32" i="15" s="1"/>
  <c r="AY31" i="15"/>
  <c r="AZ31" i="15" s="1"/>
  <c r="BB31" i="15" s="1"/>
  <c r="AL31" i="15"/>
  <c r="AU31" i="15" s="1"/>
  <c r="AY58" i="15"/>
  <c r="AL58" i="15"/>
  <c r="AU58" i="15" s="1"/>
  <c r="AY62" i="15"/>
  <c r="AL62" i="15"/>
  <c r="AU62" i="15" s="1"/>
  <c r="AY51" i="15"/>
  <c r="AL51" i="15"/>
  <c r="AU51" i="15" s="1"/>
  <c r="AY55" i="15"/>
  <c r="AL55" i="15"/>
  <c r="AU55" i="15" s="1"/>
  <c r="AY9" i="15"/>
  <c r="AZ9" i="15" s="1"/>
  <c r="BB9" i="15" s="1"/>
  <c r="AL9" i="15"/>
  <c r="AU9" i="15" s="1"/>
  <c r="AY61" i="15"/>
  <c r="AL61" i="15"/>
  <c r="AU61" i="15" s="1"/>
  <c r="AY6" i="15"/>
  <c r="AZ6" i="15" s="1"/>
  <c r="BB6" i="15" s="1"/>
  <c r="AL6" i="15"/>
  <c r="AU6" i="15" s="1"/>
  <c r="AY10" i="15"/>
  <c r="BA10" i="15" s="1"/>
  <c r="K27" i="16" s="1"/>
  <c r="AL10" i="15"/>
  <c r="AU10" i="15" s="1"/>
  <c r="AY29" i="15"/>
  <c r="AZ29" i="15" s="1"/>
  <c r="BB29" i="15" s="1"/>
  <c r="AL29" i="15"/>
  <c r="AU29" i="15" s="1"/>
  <c r="AY7" i="15"/>
  <c r="AZ7" i="15" s="1"/>
  <c r="BB7" i="15" s="1"/>
  <c r="AL7" i="15"/>
  <c r="AU7" i="15" s="1"/>
  <c r="AY12" i="15"/>
  <c r="AZ12" i="15" s="1"/>
  <c r="BB12" i="15" s="1"/>
  <c r="AL12" i="15"/>
  <c r="AU12" i="15" s="1"/>
  <c r="AY13" i="15"/>
  <c r="AZ13" i="15" s="1"/>
  <c r="BB13" i="15" s="1"/>
  <c r="AL13" i="15"/>
  <c r="AU13" i="15" s="1"/>
  <c r="AY27" i="15"/>
  <c r="AZ27" i="15" s="1"/>
  <c r="BB27" i="15" s="1"/>
  <c r="AL27" i="15"/>
  <c r="AU27" i="15" s="1"/>
  <c r="AY19" i="15"/>
  <c r="AZ19" i="15" s="1"/>
  <c r="BB19" i="15" s="1"/>
  <c r="AL19" i="15"/>
  <c r="AU19" i="15" s="1"/>
  <c r="AY46" i="15"/>
  <c r="AZ46" i="15" s="1"/>
  <c r="BB46" i="15" s="1"/>
  <c r="AL46" i="15"/>
  <c r="AU46" i="15" s="1"/>
  <c r="AY50" i="15"/>
  <c r="AL50" i="15"/>
  <c r="AU50" i="15" s="1"/>
  <c r="AY14" i="15"/>
  <c r="BA14" i="15" s="1"/>
  <c r="AL14" i="15"/>
  <c r="AU14" i="15" s="1"/>
  <c r="AY35" i="15"/>
  <c r="AZ35" i="15" s="1"/>
  <c r="BB35" i="15" s="1"/>
  <c r="AL35" i="15"/>
  <c r="AU35" i="15" s="1"/>
  <c r="AY45" i="15"/>
  <c r="BA45" i="15" s="1"/>
  <c r="K75" i="16" s="1"/>
  <c r="AL45" i="15"/>
  <c r="AU45" i="15" s="1"/>
  <c r="AY48" i="15"/>
  <c r="AZ48" i="15" s="1"/>
  <c r="BB48" i="15" s="1"/>
  <c r="AL48" i="15"/>
  <c r="AU48" i="15" s="1"/>
  <c r="AY8" i="15"/>
  <c r="AZ8" i="15" s="1"/>
  <c r="BB8" i="15" s="1"/>
  <c r="AL8" i="15"/>
  <c r="AU8" i="15" s="1"/>
  <c r="AY21" i="15"/>
  <c r="AZ21" i="15" s="1"/>
  <c r="BB21" i="15" s="1"/>
  <c r="AL21" i="15"/>
  <c r="AU21" i="15" s="1"/>
  <c r="AY47" i="15"/>
  <c r="BA47" i="15" s="1"/>
  <c r="AL47" i="15"/>
  <c r="AU47" i="15" s="1"/>
  <c r="AY16" i="15"/>
  <c r="AZ16" i="15" s="1"/>
  <c r="BB16" i="15" s="1"/>
  <c r="AL16" i="15"/>
  <c r="AU16" i="15" s="1"/>
  <c r="AY40" i="15"/>
  <c r="BA40" i="15" s="1"/>
  <c r="AL40" i="15"/>
  <c r="AU40" i="15" s="1"/>
  <c r="AY11" i="15"/>
  <c r="AZ11" i="15" s="1"/>
  <c r="BB11" i="15" s="1"/>
  <c r="AL11" i="15"/>
  <c r="AU11" i="15" s="1"/>
  <c r="AY24" i="15"/>
  <c r="AZ24" i="15" s="1"/>
  <c r="BB24" i="15" s="1"/>
  <c r="AL24" i="15"/>
  <c r="AU24" i="15" s="1"/>
  <c r="AY34" i="15"/>
  <c r="BA34" i="15" s="1"/>
  <c r="AL34" i="15"/>
  <c r="AU34" i="15" s="1"/>
  <c r="AY43" i="15"/>
  <c r="AZ43" i="15" s="1"/>
  <c r="BB43" i="15" s="1"/>
  <c r="AL43" i="15"/>
  <c r="AU43" i="15" s="1"/>
  <c r="AY30" i="15"/>
  <c r="BA30" i="15" s="1"/>
  <c r="AL30" i="15"/>
  <c r="AU30" i="15" s="1"/>
  <c r="AY20" i="15"/>
  <c r="AZ20" i="15" s="1"/>
  <c r="BB20" i="15" s="1"/>
  <c r="AL20" i="15"/>
  <c r="AU20" i="15" s="1"/>
  <c r="AY38" i="15"/>
  <c r="AZ38" i="15" s="1"/>
  <c r="BB38" i="15" s="1"/>
  <c r="AL38" i="15"/>
  <c r="AU38" i="15" s="1"/>
  <c r="AY15" i="15"/>
  <c r="AZ15" i="15" s="1"/>
  <c r="BB15" i="15" s="1"/>
  <c r="AL15" i="15"/>
  <c r="AU15" i="15" s="1"/>
  <c r="AY36" i="15"/>
  <c r="AZ36" i="15" s="1"/>
  <c r="BB36" i="15" s="1"/>
  <c r="AL36" i="15"/>
  <c r="AU36" i="15" s="1"/>
  <c r="AY39" i="15"/>
  <c r="BA39" i="15" s="1"/>
  <c r="AL39" i="15"/>
  <c r="AU39" i="15" s="1"/>
  <c r="AY22" i="15"/>
  <c r="AZ22" i="15" s="1"/>
  <c r="BB22" i="15" s="1"/>
  <c r="AL22" i="15"/>
  <c r="AU22" i="15" s="1"/>
  <c r="AY26" i="15"/>
  <c r="AZ26" i="15" s="1"/>
  <c r="BB26" i="15" s="1"/>
  <c r="AL26" i="15"/>
  <c r="AU26" i="15" s="1"/>
  <c r="AY49" i="15"/>
  <c r="AL49" i="15"/>
  <c r="AU49" i="15" s="1"/>
  <c r="AY42" i="15"/>
  <c r="BA42" i="15" s="1"/>
  <c r="AL42" i="15"/>
  <c r="AU42" i="15" s="1"/>
  <c r="AY44" i="15"/>
  <c r="AZ44" i="15" s="1"/>
  <c r="BB44" i="15" s="1"/>
  <c r="AL44" i="15"/>
  <c r="AU44" i="15" s="1"/>
  <c r="AY41" i="15"/>
  <c r="BA41" i="15" s="1"/>
  <c r="AL41" i="15"/>
  <c r="AU41" i="15" s="1"/>
  <c r="J23" i="23"/>
  <c r="J30" i="23" s="1"/>
  <c r="H30" i="23" s="1"/>
  <c r="D30" i="23" s="1"/>
  <c r="AY17" i="15"/>
  <c r="BA17" i="15" s="1"/>
  <c r="AY18" i="15"/>
  <c r="BA18" i="15" s="1"/>
  <c r="I23" i="23"/>
  <c r="AF25" i="15"/>
  <c r="M23" i="23"/>
  <c r="I28" i="23"/>
  <c r="AZ87" i="15"/>
  <c r="BB87" i="15" s="1"/>
  <c r="BA87" i="15"/>
  <c r="AR17" i="15"/>
  <c r="AR18" i="15"/>
  <c r="AD5" i="15"/>
  <c r="AF5" i="15"/>
  <c r="AB5" i="15"/>
  <c r="W4" i="15"/>
  <c r="BG4" i="15" s="1"/>
  <c r="W5" i="15"/>
  <c r="T4" i="15"/>
  <c r="BD4" i="15" s="1"/>
  <c r="T5" i="15"/>
  <c r="I4" i="1"/>
  <c r="V75" i="16" l="1"/>
  <c r="S75" i="16"/>
  <c r="T75" i="16"/>
  <c r="U75" i="16"/>
  <c r="W75" i="16"/>
  <c r="P75" i="16"/>
  <c r="Q75" i="16"/>
  <c r="AL89" i="15"/>
  <c r="AU89" i="15" s="1"/>
  <c r="BA88" i="15"/>
  <c r="BA83" i="15"/>
  <c r="AZ85" i="15"/>
  <c r="BB85" i="15" s="1"/>
  <c r="BC85" i="15" s="1"/>
  <c r="AD89" i="15"/>
  <c r="AH89" i="15" s="1"/>
  <c r="AQ89" i="15" s="1"/>
  <c r="BA78" i="15"/>
  <c r="AZ78" i="15"/>
  <c r="BB78" i="15" s="1"/>
  <c r="AZ84" i="15"/>
  <c r="BB84" i="15" s="1"/>
  <c r="BD84" i="15" s="1"/>
  <c r="AZ82" i="15"/>
  <c r="BB82" i="15" s="1"/>
  <c r="BA82" i="15"/>
  <c r="BA86" i="15"/>
  <c r="AZ79" i="15"/>
  <c r="BB79" i="15" s="1"/>
  <c r="BA79" i="15"/>
  <c r="BA81" i="15"/>
  <c r="BA77" i="15"/>
  <c r="BA80" i="15"/>
  <c r="AZ75" i="15"/>
  <c r="BB75" i="15" s="1"/>
  <c r="BC75" i="15" s="1"/>
  <c r="BA76" i="15"/>
  <c r="BA74" i="15"/>
  <c r="BA71" i="15"/>
  <c r="BA68" i="15"/>
  <c r="BA57" i="15"/>
  <c r="BA52" i="15"/>
  <c r="BA63" i="15"/>
  <c r="BA53" i="15"/>
  <c r="BA23" i="15"/>
  <c r="AZ28" i="15"/>
  <c r="BB28" i="15" s="1"/>
  <c r="BD28" i="15" s="1"/>
  <c r="BA56" i="15"/>
  <c r="BA37" i="15"/>
  <c r="BA33" i="15"/>
  <c r="BC57" i="15"/>
  <c r="BD57" i="15"/>
  <c r="BC77" i="15"/>
  <c r="BD77" i="15"/>
  <c r="BC76" i="15"/>
  <c r="BD76" i="15"/>
  <c r="BD68" i="15"/>
  <c r="BC68" i="15"/>
  <c r="BD56" i="15"/>
  <c r="BC56" i="15"/>
  <c r="BD52" i="15"/>
  <c r="BC52" i="15"/>
  <c r="BD81" i="15"/>
  <c r="BC81" i="15"/>
  <c r="BD63" i="15"/>
  <c r="BC63" i="15"/>
  <c r="BC80" i="15"/>
  <c r="BD80" i="15"/>
  <c r="AZ73" i="15"/>
  <c r="BB73" i="15" s="1"/>
  <c r="BA73" i="15"/>
  <c r="BC71" i="15"/>
  <c r="BD71" i="15"/>
  <c r="BC53" i="15"/>
  <c r="BD53" i="15"/>
  <c r="BA32" i="15"/>
  <c r="BA89" i="15"/>
  <c r="AZ89" i="15"/>
  <c r="BB89" i="15" s="1"/>
  <c r="BD89" i="15" s="1"/>
  <c r="AC90" i="15"/>
  <c r="AF90" i="15" s="1"/>
  <c r="AY90" i="15" s="1"/>
  <c r="AB90" i="15"/>
  <c r="AA91" i="15"/>
  <c r="B92" i="15"/>
  <c r="BA31" i="15"/>
  <c r="BA48" i="15"/>
  <c r="AZ30" i="15"/>
  <c r="BB30" i="15" s="1"/>
  <c r="AZ45" i="15"/>
  <c r="BB45" i="15" s="1"/>
  <c r="BD45" i="15" s="1"/>
  <c r="AZ64" i="15"/>
  <c r="BB64" i="15" s="1"/>
  <c r="BA64" i="15"/>
  <c r="AZ10" i="15"/>
  <c r="BB10" i="15" s="1"/>
  <c r="BD10" i="15" s="1"/>
  <c r="BA35" i="15"/>
  <c r="K66" i="16" s="1"/>
  <c r="BA70" i="15"/>
  <c r="AZ70" i="15"/>
  <c r="BB70" i="15" s="1"/>
  <c r="BA66" i="15"/>
  <c r="AZ66" i="15"/>
  <c r="BB66" i="15" s="1"/>
  <c r="AZ65" i="15"/>
  <c r="BB65" i="15" s="1"/>
  <c r="BA65" i="15"/>
  <c r="BA43" i="15"/>
  <c r="BA44" i="15"/>
  <c r="K74" i="16" s="1"/>
  <c r="AZ67" i="15"/>
  <c r="BB67" i="15" s="1"/>
  <c r="BA67" i="15"/>
  <c r="AZ69" i="15"/>
  <c r="BB69" i="15" s="1"/>
  <c r="BA69" i="15"/>
  <c r="AZ72" i="15"/>
  <c r="BB72" i="15" s="1"/>
  <c r="BA72" i="15"/>
  <c r="BA6" i="15"/>
  <c r="AZ41" i="15"/>
  <c r="BB41" i="15" s="1"/>
  <c r="BD41" i="15" s="1"/>
  <c r="BA9" i="15"/>
  <c r="BA8" i="15"/>
  <c r="BA12" i="15"/>
  <c r="BA20" i="15"/>
  <c r="BA21" i="15"/>
  <c r="BA38" i="15"/>
  <c r="AZ40" i="15"/>
  <c r="BB40" i="15" s="1"/>
  <c r="BD40" i="15" s="1"/>
  <c r="BA46" i="15"/>
  <c r="BA13" i="15"/>
  <c r="AZ47" i="15"/>
  <c r="BB47" i="15" s="1"/>
  <c r="BD47" i="15" s="1"/>
  <c r="AZ14" i="15"/>
  <c r="BB14" i="15" s="1"/>
  <c r="BD14" i="15" s="1"/>
  <c r="AZ42" i="15"/>
  <c r="BB42" i="15" s="1"/>
  <c r="BC42" i="15" s="1"/>
  <c r="BA19" i="15"/>
  <c r="AZ34" i="15"/>
  <c r="BB34" i="15" s="1"/>
  <c r="BC34" i="15" s="1"/>
  <c r="AZ58" i="15"/>
  <c r="BB58" i="15" s="1"/>
  <c r="BA58" i="15"/>
  <c r="BA16" i="15"/>
  <c r="AZ51" i="15"/>
  <c r="BB51" i="15" s="1"/>
  <c r="BA51" i="15"/>
  <c r="AY25" i="15"/>
  <c r="AZ25" i="15" s="1"/>
  <c r="BB25" i="15" s="1"/>
  <c r="BD25" i="15" s="1"/>
  <c r="AL25" i="15"/>
  <c r="AU25" i="15" s="1"/>
  <c r="AZ55" i="15"/>
  <c r="BB55" i="15" s="1"/>
  <c r="BA55" i="15"/>
  <c r="AZ62" i="15"/>
  <c r="BB62" i="15" s="1"/>
  <c r="BA62" i="15"/>
  <c r="AZ54" i="15"/>
  <c r="BB54" i="15" s="1"/>
  <c r="BA54" i="15"/>
  <c r="BA22" i="15"/>
  <c r="BA24" i="15"/>
  <c r="BA27" i="15"/>
  <c r="AZ61" i="15"/>
  <c r="BB61" i="15" s="1"/>
  <c r="BA61" i="15"/>
  <c r="BA7" i="15"/>
  <c r="K71" i="16" s="1"/>
  <c r="AZ39" i="15"/>
  <c r="BB39" i="15" s="1"/>
  <c r="BC39" i="15" s="1"/>
  <c r="AZ59" i="15"/>
  <c r="BB59" i="15" s="1"/>
  <c r="BA59" i="15"/>
  <c r="AZ50" i="15"/>
  <c r="BB50" i="15" s="1"/>
  <c r="BA50" i="15"/>
  <c r="AY5" i="15"/>
  <c r="BA11" i="15"/>
  <c r="BA15" i="15"/>
  <c r="AZ17" i="15"/>
  <c r="BB17" i="15" s="1"/>
  <c r="BC17" i="15" s="1"/>
  <c r="BA29" i="15"/>
  <c r="K67" i="16" s="1"/>
  <c r="T67" i="16" s="1"/>
  <c r="BA26" i="15"/>
  <c r="AZ49" i="15"/>
  <c r="BB49" i="15" s="1"/>
  <c r="BA49" i="15"/>
  <c r="BA36" i="15"/>
  <c r="AL5" i="15"/>
  <c r="AZ60" i="15"/>
  <c r="BB60" i="15" s="1"/>
  <c r="BA60" i="15"/>
  <c r="P32" i="16"/>
  <c r="Q32" i="16"/>
  <c r="S32" i="16"/>
  <c r="T32" i="16"/>
  <c r="W32" i="16"/>
  <c r="V32" i="16"/>
  <c r="U32" i="16"/>
  <c r="F30" i="23"/>
  <c r="AZ18" i="15"/>
  <c r="BB18" i="15" s="1"/>
  <c r="BD18" i="15" s="1"/>
  <c r="BC13" i="15"/>
  <c r="BD13" i="15"/>
  <c r="BC20" i="15"/>
  <c r="BD20" i="15"/>
  <c r="BD43" i="15"/>
  <c r="BC43" i="15"/>
  <c r="BC86" i="15"/>
  <c r="BD86" i="15"/>
  <c r="BD29" i="15"/>
  <c r="BC29" i="15"/>
  <c r="BC88" i="15"/>
  <c r="BD88" i="15"/>
  <c r="BC27" i="15"/>
  <c r="BD27" i="15"/>
  <c r="BC26" i="15"/>
  <c r="BD26" i="15"/>
  <c r="BD21" i="15"/>
  <c r="BC21" i="15"/>
  <c r="BC37" i="15"/>
  <c r="BD37" i="15"/>
  <c r="BC46" i="15"/>
  <c r="BD46" i="15"/>
  <c r="BC83" i="15"/>
  <c r="BD83" i="15"/>
  <c r="BC87" i="15"/>
  <c r="BD87" i="15"/>
  <c r="BC9" i="15"/>
  <c r="BD9" i="15"/>
  <c r="BD19" i="15"/>
  <c r="BC19" i="15"/>
  <c r="BD48" i="15"/>
  <c r="BC48" i="15"/>
  <c r="BD32" i="15"/>
  <c r="BC32" i="15"/>
  <c r="BC35" i="15"/>
  <c r="BD35" i="15"/>
  <c r="BC38" i="15"/>
  <c r="BD38" i="15"/>
  <c r="BD33" i="15"/>
  <c r="BC33" i="15"/>
  <c r="BC11" i="15"/>
  <c r="BD11" i="15"/>
  <c r="BD31" i="15"/>
  <c r="BC31" i="15"/>
  <c r="BC74" i="15"/>
  <c r="BD74" i="15"/>
  <c r="BC7" i="15"/>
  <c r="BD7" i="15"/>
  <c r="BC15" i="15"/>
  <c r="BD15" i="15"/>
  <c r="BD8" i="15"/>
  <c r="BC8" i="15"/>
  <c r="BD12" i="15"/>
  <c r="BC12" i="15"/>
  <c r="BD6" i="15"/>
  <c r="BC6" i="15"/>
  <c r="BC16" i="15"/>
  <c r="BD16" i="15"/>
  <c r="BD22" i="15"/>
  <c r="BC22" i="15"/>
  <c r="BD24" i="15"/>
  <c r="BC24" i="15"/>
  <c r="BC23" i="15"/>
  <c r="BD23" i="15"/>
  <c r="BD44" i="15"/>
  <c r="BC44" i="15"/>
  <c r="BD36" i="15"/>
  <c r="BC36" i="15"/>
  <c r="AH5" i="15"/>
  <c r="X75" i="16" l="1"/>
  <c r="R75" i="16"/>
  <c r="K61" i="16"/>
  <c r="J75" i="16"/>
  <c r="I75" i="16" s="1"/>
  <c r="H75" i="16" s="1"/>
  <c r="E75" i="16" s="1"/>
  <c r="K18" i="16"/>
  <c r="K2" i="16"/>
  <c r="V2" i="16" s="1"/>
  <c r="P74" i="16"/>
  <c r="S74" i="16"/>
  <c r="T74" i="16"/>
  <c r="Q74" i="16"/>
  <c r="U74" i="16"/>
  <c r="V74" i="16"/>
  <c r="W74" i="16"/>
  <c r="K43" i="16"/>
  <c r="K49" i="16"/>
  <c r="K13" i="16"/>
  <c r="K41" i="16"/>
  <c r="S41" i="16" s="1"/>
  <c r="BD30" i="15"/>
  <c r="P17" i="16"/>
  <c r="Q17" i="16"/>
  <c r="S17" i="16"/>
  <c r="W17" i="16"/>
  <c r="T17" i="16"/>
  <c r="V17" i="16"/>
  <c r="U17" i="16"/>
  <c r="Q60" i="16"/>
  <c r="V47" i="16"/>
  <c r="P19" i="16"/>
  <c r="K73" i="16"/>
  <c r="T73" i="16" s="1"/>
  <c r="U71" i="16"/>
  <c r="K72" i="16"/>
  <c r="W55" i="16"/>
  <c r="W23" i="16"/>
  <c r="V54" i="16"/>
  <c r="T54" i="16"/>
  <c r="P54" i="16"/>
  <c r="Q54" i="16"/>
  <c r="S54" i="16"/>
  <c r="U54" i="16"/>
  <c r="W54" i="16"/>
  <c r="T37" i="16"/>
  <c r="BD85" i="15"/>
  <c r="BC84" i="15"/>
  <c r="BC79" i="15"/>
  <c r="BD79" i="15"/>
  <c r="BC82" i="15"/>
  <c r="BD82" i="15"/>
  <c r="BD75" i="15"/>
  <c r="BD78" i="15"/>
  <c r="BC78" i="15"/>
  <c r="BC28" i="15"/>
  <c r="S69" i="16"/>
  <c r="AL90" i="15"/>
  <c r="AU90" i="15" s="1"/>
  <c r="AD90" i="15"/>
  <c r="AH90" i="15" s="1"/>
  <c r="AQ90" i="15" s="1"/>
  <c r="BC89" i="15"/>
  <c r="BC73" i="15"/>
  <c r="BD73" i="15"/>
  <c r="BC30" i="15"/>
  <c r="AC91" i="15"/>
  <c r="AD91" i="15" s="1"/>
  <c r="AH91" i="15" s="1"/>
  <c r="AQ91" i="15" s="1"/>
  <c r="AB91" i="15"/>
  <c r="T70" i="16"/>
  <c r="Q29" i="16"/>
  <c r="BC45" i="15"/>
  <c r="U67" i="16"/>
  <c r="P67" i="16"/>
  <c r="V67" i="16"/>
  <c r="Q67" i="16"/>
  <c r="W67" i="16"/>
  <c r="S67" i="16"/>
  <c r="AZ90" i="15"/>
  <c r="BB90" i="15" s="1"/>
  <c r="BA90" i="15"/>
  <c r="BC10" i="15"/>
  <c r="AA92" i="15"/>
  <c r="B93" i="15"/>
  <c r="BC65" i="15"/>
  <c r="BD65" i="15"/>
  <c r="BC66" i="15"/>
  <c r="BD66" i="15"/>
  <c r="BD70" i="15"/>
  <c r="BC70" i="15"/>
  <c r="BC69" i="15"/>
  <c r="BD69" i="15"/>
  <c r="BC64" i="15"/>
  <c r="BD64" i="15"/>
  <c r="BC72" i="15"/>
  <c r="BD72" i="15"/>
  <c r="BC67" i="15"/>
  <c r="BD67" i="15"/>
  <c r="BD39" i="15"/>
  <c r="BC14" i="15"/>
  <c r="BC40" i="15"/>
  <c r="BC41" i="15"/>
  <c r="BD42" i="15"/>
  <c r="BC47" i="15"/>
  <c r="BD34" i="15"/>
  <c r="BD61" i="15"/>
  <c r="BC61" i="15"/>
  <c r="BC60" i="15"/>
  <c r="BD60" i="15"/>
  <c r="BD51" i="15"/>
  <c r="BC51" i="15"/>
  <c r="BD17" i="15"/>
  <c r="BC58" i="15"/>
  <c r="BD58" i="15"/>
  <c r="BC54" i="15"/>
  <c r="BD54" i="15"/>
  <c r="BC49" i="15"/>
  <c r="BD49" i="15"/>
  <c r="BC25" i="15"/>
  <c r="BD62" i="15"/>
  <c r="BC62" i="15"/>
  <c r="BC55" i="15"/>
  <c r="BD55" i="15"/>
  <c r="BC59" i="15"/>
  <c r="BD59" i="15"/>
  <c r="BD50" i="15"/>
  <c r="BC50" i="15"/>
  <c r="BA25" i="15"/>
  <c r="W3" i="16" s="1"/>
  <c r="AU5" i="15"/>
  <c r="R32" i="16"/>
  <c r="X32" i="16"/>
  <c r="BC18" i="15"/>
  <c r="AQ5" i="15"/>
  <c r="X74" i="16" l="1"/>
  <c r="R74" i="16"/>
  <c r="J32" i="16"/>
  <c r="V41" i="16"/>
  <c r="P41" i="16"/>
  <c r="U41" i="16"/>
  <c r="W41" i="16"/>
  <c r="Q41" i="16"/>
  <c r="T41" i="16"/>
  <c r="X17" i="16"/>
  <c r="R17" i="16"/>
  <c r="W60" i="16"/>
  <c r="V60" i="16"/>
  <c r="U60" i="16"/>
  <c r="T60" i="16"/>
  <c r="S60" i="16"/>
  <c r="P60" i="16"/>
  <c r="Q47" i="16"/>
  <c r="S47" i="16"/>
  <c r="W47" i="16"/>
  <c r="T47" i="16"/>
  <c r="U47" i="16"/>
  <c r="P47" i="16"/>
  <c r="Q19" i="16"/>
  <c r="S19" i="16"/>
  <c r="T19" i="16"/>
  <c r="V19" i="16"/>
  <c r="W19" i="16"/>
  <c r="U19" i="16"/>
  <c r="P55" i="16"/>
  <c r="Q73" i="16"/>
  <c r="P73" i="16"/>
  <c r="S73" i="16"/>
  <c r="U73" i="16"/>
  <c r="V73" i="16"/>
  <c r="W73" i="16"/>
  <c r="Q71" i="16"/>
  <c r="P71" i="16"/>
  <c r="T71" i="16"/>
  <c r="S71" i="16"/>
  <c r="W71" i="16"/>
  <c r="V71" i="16"/>
  <c r="S55" i="16"/>
  <c r="V55" i="16"/>
  <c r="T55" i="16"/>
  <c r="Q55" i="16"/>
  <c r="U55" i="16"/>
  <c r="P72" i="16"/>
  <c r="V72" i="16"/>
  <c r="W72" i="16"/>
  <c r="Q72" i="16"/>
  <c r="T72" i="16"/>
  <c r="S72" i="16"/>
  <c r="U72" i="16"/>
  <c r="V56" i="16"/>
  <c r="S23" i="16"/>
  <c r="U23" i="16"/>
  <c r="P23" i="16"/>
  <c r="Q23" i="16"/>
  <c r="V23" i="16"/>
  <c r="T23" i="16"/>
  <c r="X54" i="16"/>
  <c r="R54" i="16"/>
  <c r="V37" i="16"/>
  <c r="U37" i="16"/>
  <c r="S37" i="16"/>
  <c r="W37" i="16"/>
  <c r="P37" i="16"/>
  <c r="Q37" i="16"/>
  <c r="AF91" i="15"/>
  <c r="AY91" i="15" s="1"/>
  <c r="BA91" i="15" s="1"/>
  <c r="T2" i="16"/>
  <c r="Q2" i="16"/>
  <c r="U2" i="16"/>
  <c r="S2" i="16"/>
  <c r="W2" i="16"/>
  <c r="P2" i="16"/>
  <c r="W69" i="16"/>
  <c r="P69" i="16"/>
  <c r="U69" i="16"/>
  <c r="V69" i="16"/>
  <c r="Q69" i="16"/>
  <c r="T69" i="16"/>
  <c r="V33" i="16"/>
  <c r="P33" i="16"/>
  <c r="S33" i="16"/>
  <c r="Q33" i="16"/>
  <c r="U33" i="16"/>
  <c r="T33" i="16"/>
  <c r="W33" i="16"/>
  <c r="S26" i="16"/>
  <c r="U26" i="16"/>
  <c r="T26" i="16"/>
  <c r="P26" i="16"/>
  <c r="W26" i="16"/>
  <c r="V26" i="16"/>
  <c r="Q26" i="16"/>
  <c r="V70" i="16"/>
  <c r="S70" i="16"/>
  <c r="T29" i="16"/>
  <c r="P70" i="16"/>
  <c r="W70" i="16"/>
  <c r="U70" i="16"/>
  <c r="Q70" i="16"/>
  <c r="W29" i="16"/>
  <c r="P29" i="16"/>
  <c r="AC92" i="15"/>
  <c r="AF92" i="15" s="1"/>
  <c r="AY92" i="15" s="1"/>
  <c r="AB92" i="15"/>
  <c r="U29" i="16"/>
  <c r="V29" i="16"/>
  <c r="S29" i="16"/>
  <c r="R67" i="16"/>
  <c r="X67" i="16"/>
  <c r="BC90" i="15"/>
  <c r="BD90" i="15"/>
  <c r="AA93" i="15"/>
  <c r="B94" i="15"/>
  <c r="T3" i="16"/>
  <c r="V3" i="16"/>
  <c r="P3" i="16"/>
  <c r="S3" i="16"/>
  <c r="Q3" i="16"/>
  <c r="U3" i="16"/>
  <c r="J74" i="16" l="1"/>
  <c r="I74" i="16" s="1"/>
  <c r="H74" i="16" s="1"/>
  <c r="E74" i="16" s="1"/>
  <c r="J54" i="16"/>
  <c r="J67" i="16"/>
  <c r="I67" i="16" s="1"/>
  <c r="H67" i="16" s="1"/>
  <c r="E67" i="16" s="1"/>
  <c r="J17" i="16"/>
  <c r="R41" i="16"/>
  <c r="X41" i="16"/>
  <c r="X60" i="16"/>
  <c r="R60" i="16"/>
  <c r="X47" i="16"/>
  <c r="R19" i="16"/>
  <c r="R47" i="16"/>
  <c r="R73" i="16"/>
  <c r="X73" i="16"/>
  <c r="X71" i="16"/>
  <c r="X19" i="16"/>
  <c r="R71" i="16"/>
  <c r="R72" i="16"/>
  <c r="X55" i="16"/>
  <c r="R55" i="16"/>
  <c r="X72" i="16"/>
  <c r="W56" i="16"/>
  <c r="R23" i="16"/>
  <c r="Q56" i="16"/>
  <c r="T56" i="16"/>
  <c r="S56" i="16"/>
  <c r="U56" i="16"/>
  <c r="P56" i="16"/>
  <c r="X37" i="16"/>
  <c r="X23" i="16"/>
  <c r="R37" i="16"/>
  <c r="AZ91" i="15"/>
  <c r="BB91" i="15" s="1"/>
  <c r="BD91" i="15" s="1"/>
  <c r="AL91" i="15"/>
  <c r="AU91" i="15" s="1"/>
  <c r="R2" i="16"/>
  <c r="R69" i="16"/>
  <c r="X2" i="16"/>
  <c r="X69" i="16"/>
  <c r="R33" i="16"/>
  <c r="X33" i="16"/>
  <c r="X26" i="16"/>
  <c r="R26" i="16"/>
  <c r="X70" i="16"/>
  <c r="R70" i="16"/>
  <c r="AL92" i="15"/>
  <c r="AU92" i="15" s="1"/>
  <c r="AD92" i="15"/>
  <c r="AH92" i="15" s="1"/>
  <c r="R29" i="16"/>
  <c r="AC93" i="15"/>
  <c r="AF93" i="15" s="1"/>
  <c r="AY93" i="15" s="1"/>
  <c r="AB93" i="15"/>
  <c r="X29" i="16"/>
  <c r="AZ92" i="15"/>
  <c r="BB92" i="15" s="1"/>
  <c r="BA92" i="15"/>
  <c r="AA94" i="15"/>
  <c r="B95" i="15"/>
  <c r="R3" i="16"/>
  <c r="X3" i="16"/>
  <c r="J47" i="16" l="1"/>
  <c r="J37" i="16"/>
  <c r="J71" i="16"/>
  <c r="I71" i="16" s="1"/>
  <c r="H71" i="16" s="1"/>
  <c r="E71" i="16" s="1"/>
  <c r="J70" i="16"/>
  <c r="J60" i="16"/>
  <c r="J55" i="16"/>
  <c r="J73" i="16"/>
  <c r="J72" i="16"/>
  <c r="J41" i="16"/>
  <c r="I41" i="16"/>
  <c r="H41" i="16" s="1"/>
  <c r="E41" i="16" s="1"/>
  <c r="J69" i="16"/>
  <c r="J26" i="16"/>
  <c r="J33" i="16"/>
  <c r="J3" i="16"/>
  <c r="J2" i="16"/>
  <c r="I2" i="16" s="1"/>
  <c r="H2" i="16" s="1"/>
  <c r="J19" i="16"/>
  <c r="J23" i="16"/>
  <c r="J29" i="16"/>
  <c r="I73" i="16"/>
  <c r="H73" i="16" s="1"/>
  <c r="E73" i="16" s="1"/>
  <c r="I72" i="16"/>
  <c r="H72" i="16" s="1"/>
  <c r="E72" i="16" s="1"/>
  <c r="R56" i="16"/>
  <c r="X56" i="16"/>
  <c r="BC91" i="15"/>
  <c r="AQ92" i="15"/>
  <c r="AD93" i="15"/>
  <c r="AH93" i="15" s="1"/>
  <c r="AQ93" i="15" s="1"/>
  <c r="AL93" i="15"/>
  <c r="AU93" i="15" s="1"/>
  <c r="AC94" i="15"/>
  <c r="AF94" i="15" s="1"/>
  <c r="AY94" i="15" s="1"/>
  <c r="AB94" i="15"/>
  <c r="AZ93" i="15"/>
  <c r="BB93" i="15" s="1"/>
  <c r="BA93" i="15"/>
  <c r="BC92" i="15"/>
  <c r="BD92" i="15"/>
  <c r="AA95" i="15"/>
  <c r="B96" i="15"/>
  <c r="J56" i="16" l="1"/>
  <c r="AD94" i="15"/>
  <c r="AH94" i="15" s="1"/>
  <c r="AQ94" i="15" s="1"/>
  <c r="AL94" i="15"/>
  <c r="AU94" i="15" s="1"/>
  <c r="AC95" i="15"/>
  <c r="AF95" i="15" s="1"/>
  <c r="AY95" i="15" s="1"/>
  <c r="AB95" i="15"/>
  <c r="BD93" i="15"/>
  <c r="BC93" i="15"/>
  <c r="AA96" i="15"/>
  <c r="B97" i="15"/>
  <c r="BA94" i="15"/>
  <c r="AZ94" i="15"/>
  <c r="BB94" i="15" s="1"/>
  <c r="AD95" i="15" l="1"/>
  <c r="AH95" i="15" s="1"/>
  <c r="AQ95" i="15" s="1"/>
  <c r="AL95" i="15"/>
  <c r="AU95" i="15" s="1"/>
  <c r="AC96" i="15"/>
  <c r="AD96" i="15" s="1"/>
  <c r="AH96" i="15" s="1"/>
  <c r="AQ96" i="15" s="1"/>
  <c r="AB96" i="15"/>
  <c r="AZ95" i="15"/>
  <c r="BB95" i="15" s="1"/>
  <c r="BA95" i="15"/>
  <c r="BC94" i="15"/>
  <c r="BD94" i="15"/>
  <c r="AA97" i="15"/>
  <c r="B98" i="15"/>
  <c r="AF96" i="15" l="1"/>
  <c r="AY96" i="15" s="1"/>
  <c r="BA96" i="15" s="1"/>
  <c r="AL96" i="15"/>
  <c r="AU96" i="15" s="1"/>
  <c r="AC97" i="15"/>
  <c r="AD97" i="15" s="1"/>
  <c r="AH97" i="15" s="1"/>
  <c r="AQ97" i="15" s="1"/>
  <c r="AB97" i="15"/>
  <c r="AA98" i="15"/>
  <c r="B99" i="15"/>
  <c r="BD95" i="15"/>
  <c r="BC95" i="15"/>
  <c r="AZ96" i="15" l="1"/>
  <c r="BB96" i="15" s="1"/>
  <c r="BC96" i="15" s="1"/>
  <c r="AF97" i="15"/>
  <c r="AY97" i="15" s="1"/>
  <c r="BA97" i="15" s="1"/>
  <c r="AC98" i="15"/>
  <c r="AD98" i="15" s="1"/>
  <c r="AH98" i="15" s="1"/>
  <c r="AQ98" i="15" s="1"/>
  <c r="AB98" i="15"/>
  <c r="AA99" i="15"/>
  <c r="B100" i="15"/>
  <c r="BD96" i="15" l="1"/>
  <c r="AZ97" i="15"/>
  <c r="BB97" i="15" s="1"/>
  <c r="BC97" i="15" s="1"/>
  <c r="AL97" i="15"/>
  <c r="AU97" i="15" s="1"/>
  <c r="AF98" i="15"/>
  <c r="AY98" i="15" s="1"/>
  <c r="BA98" i="15" s="1"/>
  <c r="AC99" i="15"/>
  <c r="AD99" i="15" s="1"/>
  <c r="AH99" i="15" s="1"/>
  <c r="AQ99" i="15" s="1"/>
  <c r="AB99" i="15"/>
  <c r="AA100" i="15"/>
  <c r="B101" i="15"/>
  <c r="BD97" i="15" l="1"/>
  <c r="AZ98" i="15"/>
  <c r="BB98" i="15" s="1"/>
  <c r="BC98" i="15" s="1"/>
  <c r="AL98" i="15"/>
  <c r="AU98" i="15" s="1"/>
  <c r="AF99" i="15"/>
  <c r="AY99" i="15" s="1"/>
  <c r="AZ99" i="15" s="1"/>
  <c r="BB99" i="15" s="1"/>
  <c r="AC100" i="15"/>
  <c r="AF100" i="15" s="1"/>
  <c r="AY100" i="15" s="1"/>
  <c r="AB100" i="15"/>
  <c r="AA101" i="15"/>
  <c r="B102" i="15"/>
  <c r="AD100" i="15" l="1"/>
  <c r="AH100" i="15" s="1"/>
  <c r="AQ100" i="15" s="1"/>
  <c r="BD98" i="15"/>
  <c r="AL99" i="15"/>
  <c r="AU99" i="15" s="1"/>
  <c r="AL100" i="15"/>
  <c r="AU100" i="15" s="1"/>
  <c r="BA99" i="15"/>
  <c r="AC101" i="15"/>
  <c r="AF101" i="15" s="1"/>
  <c r="AY101" i="15" s="1"/>
  <c r="AB101" i="15"/>
  <c r="AZ100" i="15"/>
  <c r="BB100" i="15" s="1"/>
  <c r="BA100" i="15"/>
  <c r="AA102" i="15"/>
  <c r="B103" i="15"/>
  <c r="BD99" i="15"/>
  <c r="BC99" i="15"/>
  <c r="AD101" i="15" l="1"/>
  <c r="AH101" i="15" s="1"/>
  <c r="AQ101" i="15" s="1"/>
  <c r="AL101" i="15"/>
  <c r="AU101" i="15" s="1"/>
  <c r="AC102" i="15"/>
  <c r="AF102" i="15" s="1"/>
  <c r="AY102" i="15" s="1"/>
  <c r="AB102" i="15"/>
  <c r="BA101" i="15"/>
  <c r="AZ101" i="15"/>
  <c r="BB101" i="15" s="1"/>
  <c r="AA103" i="15"/>
  <c r="B104" i="15"/>
  <c r="BC100" i="15"/>
  <c r="BD100" i="15"/>
  <c r="AD102" i="15" l="1"/>
  <c r="AH102" i="15" s="1"/>
  <c r="AQ102" i="15" s="1"/>
  <c r="AL102" i="15"/>
  <c r="AU102" i="15" s="1"/>
  <c r="AC103" i="15"/>
  <c r="AD103" i="15" s="1"/>
  <c r="AH103" i="15" s="1"/>
  <c r="AQ103" i="15" s="1"/>
  <c r="AB103" i="15"/>
  <c r="AZ102" i="15"/>
  <c r="BB102" i="15" s="1"/>
  <c r="BA102" i="15"/>
  <c r="BD101" i="15"/>
  <c r="BC101" i="15"/>
  <c r="AA104" i="15"/>
  <c r="B105" i="15"/>
  <c r="AF103" i="15" l="1"/>
  <c r="AY103" i="15" s="1"/>
  <c r="AZ103" i="15" s="1"/>
  <c r="BB103" i="15" s="1"/>
  <c r="AL103" i="15"/>
  <c r="AU103" i="15" s="1"/>
  <c r="AC104" i="15"/>
  <c r="AF104" i="15" s="1"/>
  <c r="AY104" i="15" s="1"/>
  <c r="AB104" i="15"/>
  <c r="AA105" i="15"/>
  <c r="B106" i="15"/>
  <c r="BC102" i="15"/>
  <c r="BD102" i="15"/>
  <c r="BA103" i="15" l="1"/>
  <c r="AD104" i="15"/>
  <c r="AH104" i="15" s="1"/>
  <c r="AQ104" i="15" s="1"/>
  <c r="AL104" i="15"/>
  <c r="AU104" i="15" s="1"/>
  <c r="AC105" i="15"/>
  <c r="AF105" i="15" s="1"/>
  <c r="AY105" i="15" s="1"/>
  <c r="AB105" i="15"/>
  <c r="AZ104" i="15"/>
  <c r="BB104" i="15" s="1"/>
  <c r="BA104" i="15"/>
  <c r="AA106" i="15"/>
  <c r="B107" i="15"/>
  <c r="BD103" i="15"/>
  <c r="BC103" i="15"/>
  <c r="AD105" i="15" l="1"/>
  <c r="AH105" i="15" s="1"/>
  <c r="AQ105" i="15" s="1"/>
  <c r="AL105" i="15"/>
  <c r="AU105" i="15" s="1"/>
  <c r="AC106" i="15"/>
  <c r="AD106" i="15" s="1"/>
  <c r="AH106" i="15" s="1"/>
  <c r="AQ106" i="15" s="1"/>
  <c r="AB106" i="15"/>
  <c r="AZ105" i="15"/>
  <c r="BB105" i="15" s="1"/>
  <c r="BA105" i="15"/>
  <c r="AA107" i="15"/>
  <c r="B108" i="15"/>
  <c r="BC104" i="15"/>
  <c r="BD104" i="15"/>
  <c r="AF106" i="15" l="1"/>
  <c r="AY106" i="15" s="1"/>
  <c r="AZ106" i="15" s="1"/>
  <c r="BB106" i="15" s="1"/>
  <c r="AL106" i="15"/>
  <c r="AU106" i="15" s="1"/>
  <c r="AC107" i="15"/>
  <c r="AD107" i="15" s="1"/>
  <c r="AH107" i="15" s="1"/>
  <c r="AQ107" i="15" s="1"/>
  <c r="AB107" i="15"/>
  <c r="AA108" i="15"/>
  <c r="B109" i="15"/>
  <c r="BD105" i="15"/>
  <c r="BC105" i="15"/>
  <c r="AF107" i="15" l="1"/>
  <c r="AY107" i="15" s="1"/>
  <c r="AZ107" i="15" s="1"/>
  <c r="BB107" i="15" s="1"/>
  <c r="BA106" i="15"/>
  <c r="AL107" i="15"/>
  <c r="AU107" i="15" s="1"/>
  <c r="AC108" i="15"/>
  <c r="AF108" i="15" s="1"/>
  <c r="AY108" i="15" s="1"/>
  <c r="AB108" i="15"/>
  <c r="AA109" i="15"/>
  <c r="B110" i="15"/>
  <c r="BD106" i="15"/>
  <c r="BC106" i="15"/>
  <c r="BA107" i="15" l="1"/>
  <c r="AD108" i="15"/>
  <c r="AH108" i="15" s="1"/>
  <c r="AQ108" i="15" s="1"/>
  <c r="AL108" i="15"/>
  <c r="AU108" i="15" s="1"/>
  <c r="AC109" i="15"/>
  <c r="AD109" i="15" s="1"/>
  <c r="AH109" i="15" s="1"/>
  <c r="AQ109" i="15" s="1"/>
  <c r="AB109" i="15"/>
  <c r="AZ108" i="15"/>
  <c r="BB108" i="15" s="1"/>
  <c r="BA108" i="15"/>
  <c r="AA110" i="15"/>
  <c r="B111" i="15"/>
  <c r="BC107" i="15"/>
  <c r="BD107" i="15"/>
  <c r="AF109" i="15" l="1"/>
  <c r="AY109" i="15" s="1"/>
  <c r="BA109" i="15" s="1"/>
  <c r="AL109" i="15"/>
  <c r="AU109" i="15" s="1"/>
  <c r="AC110" i="15"/>
  <c r="AD110" i="15" s="1"/>
  <c r="AH110" i="15" s="1"/>
  <c r="AQ110" i="15" s="1"/>
  <c r="AB110" i="15"/>
  <c r="AA111" i="15"/>
  <c r="B112" i="15"/>
  <c r="BD108" i="15"/>
  <c r="BC108" i="15"/>
  <c r="AF110" i="15" l="1"/>
  <c r="AY110" i="15" s="1"/>
  <c r="AZ110" i="15" s="1"/>
  <c r="BB110" i="15" s="1"/>
  <c r="AZ109" i="15"/>
  <c r="BB109" i="15" s="1"/>
  <c r="BC109" i="15" s="1"/>
  <c r="AL110" i="15"/>
  <c r="AU110" i="15" s="1"/>
  <c r="AC111" i="15"/>
  <c r="AD111" i="15" s="1"/>
  <c r="AH111" i="15" s="1"/>
  <c r="AQ111" i="15" s="1"/>
  <c r="AB111" i="15"/>
  <c r="AA112" i="15"/>
  <c r="B113" i="15"/>
  <c r="BA110" i="15" l="1"/>
  <c r="BD109" i="15"/>
  <c r="AF111" i="15"/>
  <c r="AY111" i="15" s="1"/>
  <c r="BA111" i="15" s="1"/>
  <c r="AL111" i="15"/>
  <c r="AU111" i="15" s="1"/>
  <c r="AC112" i="15"/>
  <c r="AF112" i="15" s="1"/>
  <c r="AY112" i="15" s="1"/>
  <c r="AB112" i="15"/>
  <c r="AA113" i="15"/>
  <c r="B114" i="15"/>
  <c r="BC110" i="15"/>
  <c r="BD110" i="15"/>
  <c r="AZ111" i="15" l="1"/>
  <c r="BB111" i="15" s="1"/>
  <c r="BC111" i="15" s="1"/>
  <c r="AD112" i="15"/>
  <c r="AH112" i="15" s="1"/>
  <c r="AQ112" i="15" s="1"/>
  <c r="AL112" i="15"/>
  <c r="AU112" i="15" s="1"/>
  <c r="AC113" i="15"/>
  <c r="AD113" i="15" s="1"/>
  <c r="AH113" i="15" s="1"/>
  <c r="AQ113" i="15" s="1"/>
  <c r="AB113" i="15"/>
  <c r="AA114" i="15"/>
  <c r="B115" i="15"/>
  <c r="BA112" i="15"/>
  <c r="AZ112" i="15"/>
  <c r="BB112" i="15" s="1"/>
  <c r="AF113" i="15" l="1"/>
  <c r="AY113" i="15" s="1"/>
  <c r="AZ113" i="15" s="1"/>
  <c r="BB113" i="15" s="1"/>
  <c r="BD111" i="15"/>
  <c r="AL113" i="15"/>
  <c r="AU113" i="15" s="1"/>
  <c r="AC114" i="15"/>
  <c r="AF114" i="15" s="1"/>
  <c r="AY114" i="15" s="1"/>
  <c r="AB114" i="15"/>
  <c r="AA115" i="15"/>
  <c r="B116" i="15"/>
  <c r="BC112" i="15"/>
  <c r="BD112" i="15"/>
  <c r="AD114" i="15" l="1"/>
  <c r="AH114" i="15" s="1"/>
  <c r="AQ114" i="15" s="1"/>
  <c r="BA113" i="15"/>
  <c r="AL114" i="15"/>
  <c r="AU114" i="15" s="1"/>
  <c r="AC115" i="15"/>
  <c r="AD115" i="15" s="1"/>
  <c r="AH115" i="15" s="1"/>
  <c r="AQ115" i="15" s="1"/>
  <c r="AB115" i="15"/>
  <c r="AA116" i="15"/>
  <c r="B117" i="15"/>
  <c r="AZ114" i="15"/>
  <c r="BB114" i="15" s="1"/>
  <c r="BA114" i="15"/>
  <c r="BD113" i="15"/>
  <c r="BC113" i="15"/>
  <c r="AF115" i="15"/>
  <c r="AY115" i="15" s="1"/>
  <c r="AL115" i="15" l="1"/>
  <c r="AU115" i="15" s="1"/>
  <c r="AC116" i="15"/>
  <c r="AD116" i="15" s="1"/>
  <c r="AH116" i="15" s="1"/>
  <c r="AQ116" i="15" s="1"/>
  <c r="AB116" i="15"/>
  <c r="BA115" i="15"/>
  <c r="AZ115" i="15"/>
  <c r="BB115" i="15" s="1"/>
  <c r="BC114" i="15"/>
  <c r="BD114" i="15"/>
  <c r="AA117" i="15"/>
  <c r="B118" i="15"/>
  <c r="AF116" i="15" l="1"/>
  <c r="AY116" i="15" s="1"/>
  <c r="AZ116" i="15" s="1"/>
  <c r="BB116" i="15" s="1"/>
  <c r="AL116" i="15"/>
  <c r="AU116" i="15" s="1"/>
  <c r="AC117" i="15"/>
  <c r="AD117" i="15" s="1"/>
  <c r="AH117" i="15" s="1"/>
  <c r="AQ117" i="15" s="1"/>
  <c r="AB117" i="15"/>
  <c r="AA118" i="15"/>
  <c r="B119" i="15"/>
  <c r="BC115" i="15"/>
  <c r="BD115" i="15"/>
  <c r="L19" i="23"/>
  <c r="K19" i="23"/>
  <c r="AF117" i="15" l="1"/>
  <c r="AY117" i="15" s="1"/>
  <c r="BA117" i="15" s="1"/>
  <c r="BA116" i="15"/>
  <c r="AL117" i="15"/>
  <c r="AU117" i="15" s="1"/>
  <c r="AC118" i="15"/>
  <c r="AD118" i="15" s="1"/>
  <c r="AH118" i="15" s="1"/>
  <c r="AQ118" i="15" s="1"/>
  <c r="AB118" i="15"/>
  <c r="AA119" i="15"/>
  <c r="B120" i="15"/>
  <c r="BD116" i="15"/>
  <c r="BC116" i="15"/>
  <c r="N19" i="23"/>
  <c r="N21" i="23" s="1"/>
  <c r="L21" i="23"/>
  <c r="M19" i="23"/>
  <c r="M21" i="23" s="1"/>
  <c r="K21" i="23"/>
  <c r="V13" i="16"/>
  <c r="L20" i="23"/>
  <c r="K20" i="23"/>
  <c r="AZ117" i="15" l="1"/>
  <c r="BB117" i="15" s="1"/>
  <c r="BC117" i="15" s="1"/>
  <c r="AF118" i="15"/>
  <c r="AY118" i="15" s="1"/>
  <c r="AZ118" i="15" s="1"/>
  <c r="BB118" i="15" s="1"/>
  <c r="AL118" i="15"/>
  <c r="AU118" i="15" s="1"/>
  <c r="AC119" i="15"/>
  <c r="AF119" i="15" s="1"/>
  <c r="AY119" i="15" s="1"/>
  <c r="AB119" i="15"/>
  <c r="B121" i="15"/>
  <c r="AA120" i="15"/>
  <c r="T49" i="16"/>
  <c r="U49" i="16"/>
  <c r="S49" i="16"/>
  <c r="W49" i="16"/>
  <c r="V49" i="16"/>
  <c r="P49" i="16"/>
  <c r="Q49" i="16"/>
  <c r="Q18" i="16"/>
  <c r="V18" i="16"/>
  <c r="U18" i="16"/>
  <c r="S18" i="16"/>
  <c r="T18" i="16"/>
  <c r="W18" i="16"/>
  <c r="P18" i="16"/>
  <c r="S9" i="16"/>
  <c r="W9" i="16"/>
  <c r="Q9" i="16"/>
  <c r="T9" i="16"/>
  <c r="U9" i="16"/>
  <c r="V9" i="16"/>
  <c r="P9" i="16"/>
  <c r="W45" i="16"/>
  <c r="V45" i="16"/>
  <c r="T45" i="16"/>
  <c r="S45" i="16"/>
  <c r="P45" i="16"/>
  <c r="U45" i="16"/>
  <c r="Q45" i="16"/>
  <c r="U66" i="16"/>
  <c r="T66" i="16"/>
  <c r="S66" i="16"/>
  <c r="P66" i="16"/>
  <c r="Q66" i="16"/>
  <c r="W66" i="16"/>
  <c r="V66" i="16"/>
  <c r="V65" i="16"/>
  <c r="Q65" i="16"/>
  <c r="U65" i="16"/>
  <c r="P65" i="16"/>
  <c r="S65" i="16"/>
  <c r="W65" i="16"/>
  <c r="T65" i="16"/>
  <c r="P42" i="16"/>
  <c r="S42" i="16"/>
  <c r="V42" i="16"/>
  <c r="U42" i="16"/>
  <c r="W42" i="16"/>
  <c r="Q42" i="16"/>
  <c r="T42" i="16"/>
  <c r="T43" i="16"/>
  <c r="W43" i="16"/>
  <c r="V43" i="16"/>
  <c r="Q43" i="16"/>
  <c r="S43" i="16"/>
  <c r="P43" i="16"/>
  <c r="U43" i="16"/>
  <c r="L36" i="23"/>
  <c r="N20" i="23"/>
  <c r="K36" i="23"/>
  <c r="M20" i="23"/>
  <c r="M39" i="23"/>
  <c r="K39" i="23"/>
  <c r="Q13" i="16"/>
  <c r="S13" i="16"/>
  <c r="W13" i="16"/>
  <c r="U13" i="16"/>
  <c r="T13" i="16"/>
  <c r="P13" i="16"/>
  <c r="AD119" i="15" l="1"/>
  <c r="AH119" i="15" s="1"/>
  <c r="AQ119" i="15" s="1"/>
  <c r="BD117" i="15"/>
  <c r="BA118" i="15"/>
  <c r="AL119" i="15"/>
  <c r="AU119" i="15" s="1"/>
  <c r="AC120" i="15"/>
  <c r="AF120" i="15" s="1"/>
  <c r="AY120" i="15" s="1"/>
  <c r="AB120" i="15"/>
  <c r="BA119" i="15"/>
  <c r="AZ119" i="15"/>
  <c r="BB119" i="15" s="1"/>
  <c r="AA121" i="15"/>
  <c r="B122" i="15"/>
  <c r="BC118" i="15"/>
  <c r="BD118" i="15"/>
  <c r="D39" i="23"/>
  <c r="R9" i="16"/>
  <c r="X49" i="16"/>
  <c r="R45" i="16"/>
  <c r="X45" i="16"/>
  <c r="X43" i="16"/>
  <c r="X65" i="16"/>
  <c r="X66" i="16"/>
  <c r="R18" i="16"/>
  <c r="X9" i="16"/>
  <c r="W63" i="16"/>
  <c r="U63" i="16"/>
  <c r="V63" i="16"/>
  <c r="S63" i="16"/>
  <c r="Q63" i="16"/>
  <c r="T63" i="16"/>
  <c r="P63" i="16"/>
  <c r="X42" i="16"/>
  <c r="R65" i="16"/>
  <c r="R43" i="16"/>
  <c r="R49" i="16"/>
  <c r="X18" i="16"/>
  <c r="K42" i="23"/>
  <c r="M42" i="23"/>
  <c r="T46" i="16"/>
  <c r="U46" i="16"/>
  <c r="W46" i="16"/>
  <c r="S46" i="16"/>
  <c r="P46" i="16"/>
  <c r="Q46" i="16"/>
  <c r="V46" i="16"/>
  <c r="R42" i="16"/>
  <c r="J42" i="16" s="1"/>
  <c r="R66" i="16"/>
  <c r="N36" i="23"/>
  <c r="L32" i="23"/>
  <c r="L24" i="23"/>
  <c r="K24" i="23"/>
  <c r="M36" i="23"/>
  <c r="X13" i="16"/>
  <c r="R13" i="16"/>
  <c r="J49" i="16" l="1"/>
  <c r="I49" i="16" s="1"/>
  <c r="H49" i="16" s="1"/>
  <c r="E49" i="16" s="1"/>
  <c r="J65" i="16"/>
  <c r="J45" i="16"/>
  <c r="J43" i="16"/>
  <c r="I43" i="16" s="1"/>
  <c r="H43" i="16" s="1"/>
  <c r="E43" i="16" s="1"/>
  <c r="J66" i="16"/>
  <c r="I66" i="16" s="1"/>
  <c r="H66" i="16" s="1"/>
  <c r="E66" i="16" s="1"/>
  <c r="J13" i="16"/>
  <c r="I13" i="16" s="1"/>
  <c r="H13" i="16" s="1"/>
  <c r="J18" i="16"/>
  <c r="I18" i="16" s="1"/>
  <c r="H18" i="16" s="1"/>
  <c r="E18" i="16" s="1"/>
  <c r="J9" i="16"/>
  <c r="AD120" i="15"/>
  <c r="AH120" i="15" s="1"/>
  <c r="AQ120" i="15" s="1"/>
  <c r="AL120" i="15"/>
  <c r="AU120" i="15" s="1"/>
  <c r="AC121" i="15"/>
  <c r="AF121" i="15" s="1"/>
  <c r="AL121" i="15" s="1"/>
  <c r="AU121" i="15" s="1"/>
  <c r="AB121" i="15"/>
  <c r="BA120" i="15"/>
  <c r="AZ120" i="15"/>
  <c r="BB120" i="15" s="1"/>
  <c r="B123" i="15"/>
  <c r="AA122" i="15"/>
  <c r="BD119" i="15"/>
  <c r="BC119" i="15"/>
  <c r="X63" i="16"/>
  <c r="R46" i="16"/>
  <c r="X46" i="16"/>
  <c r="R63" i="16"/>
  <c r="M24" i="23"/>
  <c r="N24" i="23"/>
  <c r="N32" i="23"/>
  <c r="J63" i="16" l="1"/>
  <c r="J46" i="16"/>
  <c r="AD121" i="15"/>
  <c r="AH121" i="15" s="1"/>
  <c r="AQ121" i="15" s="1"/>
  <c r="AC122" i="15"/>
  <c r="AF122" i="15" s="1"/>
  <c r="AL122" i="15" s="1"/>
  <c r="AU122" i="15" s="1"/>
  <c r="AB122" i="15"/>
  <c r="AA123" i="15"/>
  <c r="B124" i="15"/>
  <c r="BC120" i="15"/>
  <c r="BD120" i="15"/>
  <c r="AY121" i="15"/>
  <c r="AD122" i="15" l="1"/>
  <c r="AH122" i="15" s="1"/>
  <c r="AQ122" i="15" s="1"/>
  <c r="AC123" i="15"/>
  <c r="AD123" i="15" s="1"/>
  <c r="AH123" i="15" s="1"/>
  <c r="AB123" i="15"/>
  <c r="AZ121" i="15"/>
  <c r="BB121" i="15" s="1"/>
  <c r="BA121" i="15"/>
  <c r="AA124" i="15"/>
  <c r="B125" i="15"/>
  <c r="AY122" i="15"/>
  <c r="AF123" i="15" l="1"/>
  <c r="AL123" i="15" s="1"/>
  <c r="AU123" i="15" s="1"/>
  <c r="AC124" i="15"/>
  <c r="AB124" i="15"/>
  <c r="AQ123" i="15"/>
  <c r="AZ122" i="15"/>
  <c r="BB122" i="15" s="1"/>
  <c r="BA122" i="15"/>
  <c r="AA125" i="15"/>
  <c r="B126" i="15"/>
  <c r="BD121" i="15"/>
  <c r="BC121" i="15"/>
  <c r="AY123" i="15" l="1"/>
  <c r="AZ123" i="15" s="1"/>
  <c r="BB123" i="15" s="1"/>
  <c r="AD124" i="15"/>
  <c r="AH124" i="15" s="1"/>
  <c r="AQ124" i="15" s="1"/>
  <c r="AF124" i="15"/>
  <c r="AL124" i="15" s="1"/>
  <c r="AU124" i="15" s="1"/>
  <c r="AC125" i="15"/>
  <c r="AF125" i="15" s="1"/>
  <c r="AL125" i="15" s="1"/>
  <c r="AU125" i="15" s="1"/>
  <c r="AB125" i="15"/>
  <c r="AA126" i="15"/>
  <c r="B127" i="15"/>
  <c r="BC122" i="15"/>
  <c r="BD122" i="15"/>
  <c r="BA123" i="15" l="1"/>
  <c r="AY124" i="15"/>
  <c r="BA124" i="15" s="1"/>
  <c r="AD125" i="15"/>
  <c r="AH125" i="15" s="1"/>
  <c r="AC126" i="15"/>
  <c r="AB126" i="15"/>
  <c r="BD123" i="15"/>
  <c r="BC123" i="15"/>
  <c r="AY125" i="15"/>
  <c r="AA127" i="15"/>
  <c r="B128" i="15"/>
  <c r="AD126" i="15"/>
  <c r="AH126" i="15" s="1"/>
  <c r="AF126" i="15"/>
  <c r="AL126" i="15" s="1"/>
  <c r="AU126" i="15" s="1"/>
  <c r="AQ125" i="15"/>
  <c r="AZ124" i="15" l="1"/>
  <c r="BB124" i="15" s="1"/>
  <c r="BD124" i="15" s="1"/>
  <c r="AC127" i="15"/>
  <c r="AB127" i="15"/>
  <c r="AY126" i="15"/>
  <c r="AQ126" i="15"/>
  <c r="AZ125" i="15"/>
  <c r="BB125" i="15" s="1"/>
  <c r="BA125" i="15"/>
  <c r="AA128" i="15"/>
  <c r="B129" i="15"/>
  <c r="BC124" i="15" l="1"/>
  <c r="AF127" i="15"/>
  <c r="AY127" i="15" s="1"/>
  <c r="AD127" i="15"/>
  <c r="AH127" i="15" s="1"/>
  <c r="AQ127" i="15" s="1"/>
  <c r="AC128" i="15"/>
  <c r="AD128" i="15" s="1"/>
  <c r="AH128" i="15" s="1"/>
  <c r="AB128" i="15"/>
  <c r="AA129" i="15"/>
  <c r="B130" i="15"/>
  <c r="BC125" i="15"/>
  <c r="BD125" i="15"/>
  <c r="BA126" i="15"/>
  <c r="AZ126" i="15"/>
  <c r="BB126" i="15" s="1"/>
  <c r="AF128" i="15" l="1"/>
  <c r="AL128" i="15" s="1"/>
  <c r="AU128" i="15" s="1"/>
  <c r="AL127" i="15"/>
  <c r="AU127" i="15" s="1"/>
  <c r="AC129" i="15"/>
  <c r="AF129" i="15" s="1"/>
  <c r="AL129" i="15" s="1"/>
  <c r="AU129" i="15" s="1"/>
  <c r="AB129" i="15"/>
  <c r="BD126" i="15"/>
  <c r="BC126" i="15"/>
  <c r="AA130" i="15"/>
  <c r="B131" i="15"/>
  <c r="AZ127" i="15"/>
  <c r="BB127" i="15" s="1"/>
  <c r="BA127" i="15"/>
  <c r="AQ128" i="15"/>
  <c r="AY128" i="15" l="1"/>
  <c r="AZ128" i="15" s="1"/>
  <c r="BB128" i="15" s="1"/>
  <c r="AD129" i="15"/>
  <c r="AH129" i="15" s="1"/>
  <c r="AC130" i="15"/>
  <c r="AF130" i="15" s="1"/>
  <c r="AL130" i="15" s="1"/>
  <c r="AU130" i="15" s="1"/>
  <c r="AB130" i="15"/>
  <c r="BC127" i="15"/>
  <c r="BD127" i="15"/>
  <c r="AA131" i="15"/>
  <c r="B132" i="15"/>
  <c r="AY129" i="15"/>
  <c r="BA128" i="15" l="1"/>
  <c r="AD130" i="15"/>
  <c r="AH130" i="15" s="1"/>
  <c r="AQ130" i="15" s="1"/>
  <c r="AQ129" i="15"/>
  <c r="AC131" i="15"/>
  <c r="AD131" i="15" s="1"/>
  <c r="AH131" i="15" s="1"/>
  <c r="AB131" i="15"/>
  <c r="BD128" i="15"/>
  <c r="BC128" i="15"/>
  <c r="AZ129" i="15"/>
  <c r="BB129" i="15" s="1"/>
  <c r="BA129" i="15"/>
  <c r="AA132" i="15"/>
  <c r="B133" i="15"/>
  <c r="AY130" i="15"/>
  <c r="AF131" i="15" l="1"/>
  <c r="AL131" i="15" s="1"/>
  <c r="AU131" i="15" s="1"/>
  <c r="AC132" i="15"/>
  <c r="AF132" i="15" s="1"/>
  <c r="AL132" i="15" s="1"/>
  <c r="AU132" i="15" s="1"/>
  <c r="AB132" i="15"/>
  <c r="AA133" i="15"/>
  <c r="B134" i="15"/>
  <c r="AQ131" i="15"/>
  <c r="AZ130" i="15"/>
  <c r="BB130" i="15" s="1"/>
  <c r="BA130" i="15"/>
  <c r="BC129" i="15"/>
  <c r="BD129" i="15"/>
  <c r="AY131" i="15" l="1"/>
  <c r="BA131" i="15" s="1"/>
  <c r="AD132" i="15"/>
  <c r="AH132" i="15" s="1"/>
  <c r="AQ132" i="15" s="1"/>
  <c r="AC133" i="15"/>
  <c r="AD133" i="15" s="1"/>
  <c r="AH133" i="15" s="1"/>
  <c r="AB133" i="15"/>
  <c r="B135" i="15"/>
  <c r="AA134" i="15"/>
  <c r="BC130" i="15"/>
  <c r="BD130" i="15"/>
  <c r="AY132" i="15"/>
  <c r="AF133" i="15" l="1"/>
  <c r="AL133" i="15" s="1"/>
  <c r="AU133" i="15" s="1"/>
  <c r="AZ131" i="15"/>
  <c r="BB131" i="15" s="1"/>
  <c r="BD131" i="15" s="1"/>
  <c r="AC134" i="15"/>
  <c r="AF134" i="15" s="1"/>
  <c r="AL134" i="15" s="1"/>
  <c r="AU134" i="15" s="1"/>
  <c r="AB134" i="15"/>
  <c r="AQ133" i="15"/>
  <c r="AZ132" i="15"/>
  <c r="BB132" i="15" s="1"/>
  <c r="BA132" i="15"/>
  <c r="AA135" i="15"/>
  <c r="B136" i="15"/>
  <c r="AY133" i="15" l="1"/>
  <c r="AZ133" i="15" s="1"/>
  <c r="BB133" i="15" s="1"/>
  <c r="AD134" i="15"/>
  <c r="AH134" i="15" s="1"/>
  <c r="AQ134" i="15" s="1"/>
  <c r="BC131" i="15"/>
  <c r="AC135" i="15"/>
  <c r="AF135" i="15" s="1"/>
  <c r="AL135" i="15" s="1"/>
  <c r="AU135" i="15" s="1"/>
  <c r="AB135" i="15"/>
  <c r="AA136" i="15"/>
  <c r="B137" i="15"/>
  <c r="AY134" i="15"/>
  <c r="BD132" i="15"/>
  <c r="BC132" i="15"/>
  <c r="BA133" i="15" l="1"/>
  <c r="AD135" i="15"/>
  <c r="AH135" i="15" s="1"/>
  <c r="AQ135" i="15" s="1"/>
  <c r="AC136" i="15"/>
  <c r="AF136" i="15" s="1"/>
  <c r="AB136" i="15"/>
  <c r="BC133" i="15"/>
  <c r="BD133" i="15"/>
  <c r="AA137" i="15"/>
  <c r="B138" i="15"/>
  <c r="AY135" i="15"/>
  <c r="AZ134" i="15"/>
  <c r="BB134" i="15" s="1"/>
  <c r="BA134" i="15"/>
  <c r="AD136" i="15" l="1"/>
  <c r="AH136" i="15" s="1"/>
  <c r="AQ136" i="15" s="1"/>
  <c r="AL136" i="15"/>
  <c r="AU136" i="15" s="1"/>
  <c r="AC137" i="15"/>
  <c r="AF137" i="15" s="1"/>
  <c r="AL137" i="15" s="1"/>
  <c r="AU137" i="15" s="1"/>
  <c r="AB137" i="15"/>
  <c r="BD134" i="15"/>
  <c r="BC134" i="15"/>
  <c r="AY136" i="15"/>
  <c r="AZ135" i="15"/>
  <c r="BB135" i="15" s="1"/>
  <c r="BA135" i="15"/>
  <c r="AA138" i="15"/>
  <c r="B139" i="15"/>
  <c r="AD137" i="15" l="1"/>
  <c r="AH137" i="15" s="1"/>
  <c r="AQ137" i="15" s="1"/>
  <c r="AC138" i="15"/>
  <c r="AF138" i="15" s="1"/>
  <c r="AL138" i="15" s="1"/>
  <c r="AU138" i="15" s="1"/>
  <c r="AB138" i="15"/>
  <c r="AY137" i="15"/>
  <c r="AA139" i="15"/>
  <c r="B140" i="15"/>
  <c r="B141" i="15" s="1"/>
  <c r="BD135" i="15"/>
  <c r="BC135" i="15"/>
  <c r="AZ136" i="15"/>
  <c r="BB136" i="15" s="1"/>
  <c r="BA136" i="15"/>
  <c r="AD138" i="15" l="1"/>
  <c r="AH138" i="15" s="1"/>
  <c r="AQ138" i="15" s="1"/>
  <c r="AC139" i="15"/>
  <c r="AD139" i="15" s="1"/>
  <c r="AH139" i="15" s="1"/>
  <c r="AB139" i="15"/>
  <c r="AA141" i="15"/>
  <c r="B142" i="15"/>
  <c r="AY138" i="15"/>
  <c r="BC136" i="15"/>
  <c r="BD136" i="15"/>
  <c r="AA140" i="15"/>
  <c r="AZ137" i="15"/>
  <c r="BB137" i="15" s="1"/>
  <c r="BA137" i="15"/>
  <c r="AF139" i="15" l="1"/>
  <c r="AL139" i="15" s="1"/>
  <c r="AU139" i="15" s="1"/>
  <c r="AA142" i="15"/>
  <c r="G19" i="23"/>
  <c r="H19" i="23"/>
  <c r="AC140" i="15"/>
  <c r="AF140" i="15" s="1"/>
  <c r="AL140" i="15" s="1"/>
  <c r="AU140" i="15" s="1"/>
  <c r="AB140" i="15"/>
  <c r="AC142" i="15"/>
  <c r="AD142" i="15" s="1"/>
  <c r="AH142" i="15" s="1"/>
  <c r="AB142" i="15"/>
  <c r="AC141" i="15"/>
  <c r="AF141" i="15" s="1"/>
  <c r="AL141" i="15" s="1"/>
  <c r="AU141" i="15" s="1"/>
  <c r="AB141" i="15"/>
  <c r="BC137" i="15"/>
  <c r="BD137" i="15"/>
  <c r="AZ138" i="15"/>
  <c r="BB138" i="15" s="1"/>
  <c r="BA138" i="15"/>
  <c r="AQ139" i="15"/>
  <c r="AY139" i="15" l="1"/>
  <c r="AZ139" i="15" s="1"/>
  <c r="BB139" i="15" s="1"/>
  <c r="AF142" i="15"/>
  <c r="AL142" i="15" s="1"/>
  <c r="AU142" i="15" s="1"/>
  <c r="AD141" i="15"/>
  <c r="AH141" i="15" s="1"/>
  <c r="AQ141" i="15" s="1"/>
  <c r="AD140" i="15"/>
  <c r="AH140" i="15" s="1"/>
  <c r="L135" i="1"/>
  <c r="B135" i="1" s="1"/>
  <c r="N134" i="1"/>
  <c r="L137" i="1"/>
  <c r="B137" i="1" s="1"/>
  <c r="L130" i="1"/>
  <c r="B130" i="1" s="1"/>
  <c r="N132" i="1"/>
  <c r="N131" i="1"/>
  <c r="N137" i="1"/>
  <c r="L134" i="1"/>
  <c r="B134" i="1" s="1"/>
  <c r="N139" i="1"/>
  <c r="N133" i="1"/>
  <c r="L132" i="1"/>
  <c r="B132" i="1" s="1"/>
  <c r="L138" i="1"/>
  <c r="B138" i="1" s="1"/>
  <c r="N130" i="1"/>
  <c r="L131" i="1"/>
  <c r="B131" i="1" s="1"/>
  <c r="L140" i="1"/>
  <c r="B140" i="1" s="1"/>
  <c r="N135" i="1"/>
  <c r="N140" i="1"/>
  <c r="N138" i="1"/>
  <c r="N136" i="1"/>
  <c r="L139" i="1"/>
  <c r="B139" i="1" s="1"/>
  <c r="L136" i="1"/>
  <c r="B136" i="1" s="1"/>
  <c r="L133" i="1"/>
  <c r="B133" i="1" s="1"/>
  <c r="H21" i="23"/>
  <c r="D19" i="23"/>
  <c r="J19" i="23"/>
  <c r="J21" i="23" s="1"/>
  <c r="I39" i="23"/>
  <c r="G21" i="23"/>
  <c r="G24" i="23" s="1"/>
  <c r="C19" i="23"/>
  <c r="I19" i="23"/>
  <c r="I21" i="23" s="1"/>
  <c r="I24" i="23" s="1"/>
  <c r="G20" i="23"/>
  <c r="H20" i="23"/>
  <c r="AY141" i="15"/>
  <c r="AQ142" i="15"/>
  <c r="BC138" i="15"/>
  <c r="BD138" i="15"/>
  <c r="AY140" i="15"/>
  <c r="AQ140" i="15"/>
  <c r="AY142" i="15" l="1"/>
  <c r="BA142" i="15" s="1"/>
  <c r="BA139" i="15"/>
  <c r="H40" i="23"/>
  <c r="D40" i="23" s="1"/>
  <c r="F40" i="23"/>
  <c r="G39" i="23"/>
  <c r="C39" i="23" s="1"/>
  <c r="E19" i="23"/>
  <c r="E21" i="23" s="1"/>
  <c r="C21" i="23"/>
  <c r="I42" i="23"/>
  <c r="E39" i="23"/>
  <c r="E42" i="23" s="1"/>
  <c r="J32" i="23"/>
  <c r="J24" i="23"/>
  <c r="F19" i="23"/>
  <c r="F21" i="23" s="1"/>
  <c r="D21" i="23"/>
  <c r="H32" i="23"/>
  <c r="H24" i="23"/>
  <c r="H36" i="23"/>
  <c r="D20" i="23"/>
  <c r="J20" i="23"/>
  <c r="J36" i="23" s="1"/>
  <c r="G36" i="23"/>
  <c r="C20" i="23"/>
  <c r="I20" i="23"/>
  <c r="I36" i="23" s="1"/>
  <c r="U61" i="16"/>
  <c r="P61" i="16"/>
  <c r="Q61" i="16"/>
  <c r="S61" i="16"/>
  <c r="W61" i="16"/>
  <c r="T61" i="16"/>
  <c r="V61" i="16"/>
  <c r="AZ141" i="15"/>
  <c r="BB141" i="15" s="1"/>
  <c r="BA141" i="15"/>
  <c r="AZ140" i="15"/>
  <c r="BB140" i="15" s="1"/>
  <c r="BA140" i="15"/>
  <c r="BD139" i="15"/>
  <c r="BC139" i="15"/>
  <c r="AZ142" i="15" l="1"/>
  <c r="BB142" i="15" s="1"/>
  <c r="BD142" i="15" s="1"/>
  <c r="G42" i="23"/>
  <c r="C24" i="23"/>
  <c r="F6" i="23"/>
  <c r="F32" i="23"/>
  <c r="F24" i="23"/>
  <c r="D32" i="23"/>
  <c r="D24" i="23"/>
  <c r="E32" i="23"/>
  <c r="E24" i="23"/>
  <c r="K6" i="23"/>
  <c r="C42" i="23"/>
  <c r="J6" i="23" s="1"/>
  <c r="E20" i="23"/>
  <c r="E36" i="23" s="1"/>
  <c r="C36" i="23"/>
  <c r="L6" i="23" s="1"/>
  <c r="F20" i="23"/>
  <c r="F36" i="23" s="1"/>
  <c r="D36" i="23"/>
  <c r="BC141" i="15"/>
  <c r="BD141" i="15"/>
  <c r="R61" i="16"/>
  <c r="X61" i="16"/>
  <c r="BC140" i="15"/>
  <c r="BD140" i="15"/>
  <c r="J61" i="16" l="1"/>
  <c r="I61" i="16" s="1"/>
  <c r="H61" i="16" s="1"/>
  <c r="E61" i="16" s="1"/>
  <c r="BC142" i="15"/>
  <c r="W36" i="16"/>
  <c r="S36" i="16"/>
  <c r="P36" i="16"/>
  <c r="V36" i="16"/>
  <c r="T36" i="16"/>
  <c r="Q36" i="16"/>
  <c r="U36" i="16"/>
  <c r="W34" i="16"/>
  <c r="U34" i="16"/>
  <c r="Q34" i="16"/>
  <c r="T34" i="16"/>
  <c r="V34" i="16"/>
  <c r="S34" i="16"/>
  <c r="P34" i="16"/>
  <c r="Q62" i="16"/>
  <c r="S62" i="16"/>
  <c r="T62" i="16"/>
  <c r="U62" i="16"/>
  <c r="V62" i="16"/>
  <c r="P62" i="16"/>
  <c r="W62" i="16"/>
  <c r="Z133" i="15" l="1"/>
  <c r="X62" i="16"/>
  <c r="X36" i="16"/>
  <c r="R36" i="16"/>
  <c r="J36" i="16" s="1"/>
  <c r="R62" i="16"/>
  <c r="R34" i="16"/>
  <c r="X34" i="16"/>
  <c r="AG138" i="15"/>
  <c r="AP138" i="15" s="1"/>
  <c r="AS138" i="15" s="1"/>
  <c r="AT138" i="15" s="1"/>
  <c r="J62" i="16" l="1"/>
  <c r="J34" i="16"/>
  <c r="Z116" i="15"/>
  <c r="AG116" i="15" s="1"/>
  <c r="Z95" i="15"/>
  <c r="AG95" i="15" s="1"/>
  <c r="Z117" i="15"/>
  <c r="AG117" i="15" s="1"/>
  <c r="Z112" i="15"/>
  <c r="AG112" i="15" s="1"/>
  <c r="Z96" i="15"/>
  <c r="AG96" i="15" s="1"/>
  <c r="Z118" i="15"/>
  <c r="AG118" i="15" s="1"/>
  <c r="Z102" i="15"/>
  <c r="AG102" i="15" s="1"/>
  <c r="Z111" i="15"/>
  <c r="AG111" i="15" s="1"/>
  <c r="Z97" i="15"/>
  <c r="AG97" i="15" s="1"/>
  <c r="Z119" i="15"/>
  <c r="AG119" i="15" s="1"/>
  <c r="Z98" i="15"/>
  <c r="Z120" i="15"/>
  <c r="AG120" i="15" s="1"/>
  <c r="Z99" i="15"/>
  <c r="AG99" i="15" s="1"/>
  <c r="Z121" i="15"/>
  <c r="AG121" i="15" s="1"/>
  <c r="Z124" i="15"/>
  <c r="AG124" i="15" s="1"/>
  <c r="Z100" i="15"/>
  <c r="AG100" i="15" s="1"/>
  <c r="Z122" i="15"/>
  <c r="AG122" i="15" s="1"/>
  <c r="Z101" i="15"/>
  <c r="AG101" i="15" s="1"/>
  <c r="Z123" i="15"/>
  <c r="AG123" i="15" s="1"/>
  <c r="Z103" i="15"/>
  <c r="AG103" i="15" s="1"/>
  <c r="Z125" i="15"/>
  <c r="AG125" i="15" s="1"/>
  <c r="Z104" i="15"/>
  <c r="AG104" i="15" s="1"/>
  <c r="Z126" i="15"/>
  <c r="AG126" i="15" s="1"/>
  <c r="Z113" i="15"/>
  <c r="AG113" i="15" s="1"/>
  <c r="Z105" i="15"/>
  <c r="AG105" i="15" s="1"/>
  <c r="Z127" i="15"/>
  <c r="AG127" i="15" s="1"/>
  <c r="Z106" i="15"/>
  <c r="AG106" i="15" s="1"/>
  <c r="Z128" i="15"/>
  <c r="AG128" i="15" s="1"/>
  <c r="Z107" i="15"/>
  <c r="AG107" i="15" s="1"/>
  <c r="Z129" i="15"/>
  <c r="AG129" i="15" s="1"/>
  <c r="Z110" i="15"/>
  <c r="AG110" i="15" s="1"/>
  <c r="Z108" i="15"/>
  <c r="AG108" i="15" s="1"/>
  <c r="Z130" i="15"/>
  <c r="AG130" i="15" s="1"/>
  <c r="Z132" i="15"/>
  <c r="AG132" i="15" s="1"/>
  <c r="Z109" i="15"/>
  <c r="AG109" i="15" s="1"/>
  <c r="Z131" i="15"/>
  <c r="AG131" i="15" s="1"/>
  <c r="Z114" i="15"/>
  <c r="AG114" i="15" s="1"/>
  <c r="Z115" i="15"/>
  <c r="AG115" i="15" s="1"/>
  <c r="AG133" i="15"/>
  <c r="AG137" i="15"/>
  <c r="AP137" i="15" s="1"/>
  <c r="AS137" i="15" s="1"/>
  <c r="AT137" i="15" s="1"/>
  <c r="AG142" i="15"/>
  <c r="AJ138" i="15"/>
  <c r="AK138" i="15" s="1"/>
  <c r="AM138" i="15" s="1"/>
  <c r="AV138" i="15" s="1"/>
  <c r="AN138" i="15"/>
  <c r="AW138" i="15" s="1"/>
  <c r="AG140" i="15" l="1"/>
  <c r="AJ140" i="15" s="1"/>
  <c r="AK140" i="15" s="1"/>
  <c r="AM140" i="15" s="1"/>
  <c r="AV140" i="15" s="1"/>
  <c r="Z135" i="15"/>
  <c r="AG135" i="15" s="1"/>
  <c r="AP135" i="15" s="1"/>
  <c r="AS135" i="15" s="1"/>
  <c r="AT135" i="15" s="1"/>
  <c r="Z134" i="15"/>
  <c r="AG134" i="15" s="1"/>
  <c r="AP134" i="15" s="1"/>
  <c r="AS134" i="15" s="1"/>
  <c r="AT134" i="15" s="1"/>
  <c r="Z94" i="15"/>
  <c r="AG94" i="15" s="1"/>
  <c r="Z73" i="15"/>
  <c r="AG73" i="15" s="1"/>
  <c r="Z74" i="15"/>
  <c r="AG74" i="15" s="1"/>
  <c r="Z75" i="15"/>
  <c r="AG75" i="15" s="1"/>
  <c r="Z93" i="15"/>
  <c r="AG93" i="15" s="1"/>
  <c r="AP93" i="15" s="1"/>
  <c r="AS93" i="15" s="1"/>
  <c r="AT93" i="15" s="1"/>
  <c r="Z76" i="15"/>
  <c r="AG76" i="15" s="1"/>
  <c r="Z80" i="15"/>
  <c r="AG80" i="15" s="1"/>
  <c r="Z90" i="15"/>
  <c r="AG90" i="15" s="1"/>
  <c r="Z77" i="15"/>
  <c r="AG77" i="15" s="1"/>
  <c r="Z78" i="15"/>
  <c r="AG78" i="15" s="1"/>
  <c r="Z79" i="15"/>
  <c r="AG79" i="15" s="1"/>
  <c r="AN79" i="15" s="1"/>
  <c r="AW79" i="15" s="1"/>
  <c r="Z81" i="15"/>
  <c r="AG81" i="15" s="1"/>
  <c r="Z82" i="15"/>
  <c r="AG82" i="15" s="1"/>
  <c r="AP82" i="15" s="1"/>
  <c r="AS82" i="15" s="1"/>
  <c r="AT82" i="15" s="1"/>
  <c r="Z83" i="15"/>
  <c r="AG83" i="15" s="1"/>
  <c r="AN83" i="15" s="1"/>
  <c r="AW83" i="15" s="1"/>
  <c r="Z84" i="15"/>
  <c r="AG84" i="15" s="1"/>
  <c r="AP84" i="15" s="1"/>
  <c r="AS84" i="15" s="1"/>
  <c r="AT84" i="15" s="1"/>
  <c r="Z88" i="15"/>
  <c r="AG88" i="15" s="1"/>
  <c r="AJ88" i="15" s="1"/>
  <c r="AK88" i="15" s="1"/>
  <c r="AM88" i="15" s="1"/>
  <c r="Z85" i="15"/>
  <c r="AG85" i="15" s="1"/>
  <c r="AP85" i="15" s="1"/>
  <c r="AS85" i="15" s="1"/>
  <c r="AT85" i="15" s="1"/>
  <c r="Z86" i="15"/>
  <c r="AG86" i="15" s="1"/>
  <c r="Z87" i="15"/>
  <c r="AG87" i="15" s="1"/>
  <c r="AN87" i="15" s="1"/>
  <c r="AW87" i="15" s="1"/>
  <c r="Z89" i="15"/>
  <c r="AG89" i="15" s="1"/>
  <c r="AJ89" i="15" s="1"/>
  <c r="AK89" i="15" s="1"/>
  <c r="AM89" i="15" s="1"/>
  <c r="Z91" i="15"/>
  <c r="AG91" i="15" s="1"/>
  <c r="AJ91" i="15" s="1"/>
  <c r="AK91" i="15" s="1"/>
  <c r="AM91" i="15" s="1"/>
  <c r="Z92" i="15"/>
  <c r="AG92" i="15" s="1"/>
  <c r="AG98" i="15"/>
  <c r="AP98" i="15" s="1"/>
  <c r="AS98" i="15" s="1"/>
  <c r="AT98" i="15" s="1"/>
  <c r="AO138" i="15"/>
  <c r="AX138" i="15" s="1"/>
  <c r="AN99" i="15"/>
  <c r="AW99" i="15" s="1"/>
  <c r="AP99" i="15"/>
  <c r="AS99" i="15" s="1"/>
  <c r="AT99" i="15" s="1"/>
  <c r="AJ99" i="15"/>
  <c r="AK99" i="15" s="1"/>
  <c r="AM99" i="15" s="1"/>
  <c r="AN113" i="15"/>
  <c r="AW113" i="15" s="1"/>
  <c r="AJ113" i="15"/>
  <c r="AK113" i="15" s="1"/>
  <c r="AM113" i="15" s="1"/>
  <c r="AP113" i="15"/>
  <c r="AS113" i="15" s="1"/>
  <c r="AT113" i="15" s="1"/>
  <c r="AN95" i="15"/>
  <c r="AW95" i="15" s="1"/>
  <c r="AP95" i="15"/>
  <c r="AS95" i="15" s="1"/>
  <c r="AT95" i="15" s="1"/>
  <c r="AJ95" i="15"/>
  <c r="AK95" i="15" s="1"/>
  <c r="AM95" i="15" s="1"/>
  <c r="AN96" i="15"/>
  <c r="AW96" i="15" s="1"/>
  <c r="AP96" i="15"/>
  <c r="AS96" i="15" s="1"/>
  <c r="AT96" i="15" s="1"/>
  <c r="AJ96" i="15"/>
  <c r="AK96" i="15" s="1"/>
  <c r="AM96" i="15" s="1"/>
  <c r="AN116" i="15"/>
  <c r="AW116" i="15" s="1"/>
  <c r="AJ116" i="15"/>
  <c r="AK116" i="15" s="1"/>
  <c r="AM116" i="15" s="1"/>
  <c r="AP116" i="15"/>
  <c r="AS116" i="15" s="1"/>
  <c r="AT116" i="15" s="1"/>
  <c r="AN107" i="15"/>
  <c r="AW107" i="15" s="1"/>
  <c r="AJ107" i="15"/>
  <c r="AK107" i="15" s="1"/>
  <c r="AM107" i="15" s="1"/>
  <c r="AP107" i="15"/>
  <c r="AS107" i="15" s="1"/>
  <c r="AT107" i="15" s="1"/>
  <c r="AJ120" i="15"/>
  <c r="AK120" i="15" s="1"/>
  <c r="AM120" i="15" s="1"/>
  <c r="AN120" i="15"/>
  <c r="AW120" i="15" s="1"/>
  <c r="AP120" i="15"/>
  <c r="AS120" i="15" s="1"/>
  <c r="AT120" i="15" s="1"/>
  <c r="AN104" i="15"/>
  <c r="AW104" i="15" s="1"/>
  <c r="AP104" i="15"/>
  <c r="AS104" i="15" s="1"/>
  <c r="AT104" i="15" s="1"/>
  <c r="AJ104" i="15"/>
  <c r="AK104" i="15" s="1"/>
  <c r="AM104" i="15" s="1"/>
  <c r="AN121" i="15"/>
  <c r="AW121" i="15" s="1"/>
  <c r="AP121" i="15"/>
  <c r="AS121" i="15" s="1"/>
  <c r="AT121" i="15" s="1"/>
  <c r="AJ121" i="15"/>
  <c r="AK121" i="15" s="1"/>
  <c r="AM121" i="15" s="1"/>
  <c r="AN114" i="15"/>
  <c r="AW114" i="15" s="1"/>
  <c r="AJ114" i="15"/>
  <c r="AK114" i="15" s="1"/>
  <c r="AM114" i="15" s="1"/>
  <c r="AP114" i="15"/>
  <c r="AS114" i="15" s="1"/>
  <c r="AT114" i="15" s="1"/>
  <c r="AP127" i="15"/>
  <c r="AS127" i="15" s="1"/>
  <c r="AT127" i="15" s="1"/>
  <c r="AJ127" i="15"/>
  <c r="AK127" i="15" s="1"/>
  <c r="AM127" i="15" s="1"/>
  <c r="AN127" i="15"/>
  <c r="AW127" i="15" s="1"/>
  <c r="AN110" i="15"/>
  <c r="AW110" i="15" s="1"/>
  <c r="AJ110" i="15"/>
  <c r="AK110" i="15" s="1"/>
  <c r="AM110" i="15" s="1"/>
  <c r="AP110" i="15"/>
  <c r="AS110" i="15" s="1"/>
  <c r="AT110" i="15" s="1"/>
  <c r="AP125" i="15"/>
  <c r="AS125" i="15" s="1"/>
  <c r="AT125" i="15" s="1"/>
  <c r="AN125" i="15"/>
  <c r="AW125" i="15" s="1"/>
  <c r="AJ125" i="15"/>
  <c r="AK125" i="15" s="1"/>
  <c r="AM125" i="15" s="1"/>
  <c r="AN103" i="15"/>
  <c r="AW103" i="15" s="1"/>
  <c r="AP103" i="15"/>
  <c r="AS103" i="15" s="1"/>
  <c r="AT103" i="15" s="1"/>
  <c r="AJ103" i="15"/>
  <c r="AK103" i="15" s="1"/>
  <c r="AM103" i="15" s="1"/>
  <c r="AN119" i="15"/>
  <c r="AW119" i="15" s="1"/>
  <c r="AJ119" i="15"/>
  <c r="AK119" i="15" s="1"/>
  <c r="AM119" i="15" s="1"/>
  <c r="AP119" i="15"/>
  <c r="AS119" i="15" s="1"/>
  <c r="AT119" i="15" s="1"/>
  <c r="AN101" i="15"/>
  <c r="AW101" i="15" s="1"/>
  <c r="AJ101" i="15"/>
  <c r="AK101" i="15" s="1"/>
  <c r="AM101" i="15" s="1"/>
  <c r="AP101" i="15"/>
  <c r="AS101" i="15" s="1"/>
  <c r="AT101" i="15" s="1"/>
  <c r="AN106" i="15"/>
  <c r="AW106" i="15" s="1"/>
  <c r="AP106" i="15"/>
  <c r="AS106" i="15" s="1"/>
  <c r="AT106" i="15" s="1"/>
  <c r="AJ106" i="15"/>
  <c r="AK106" i="15" s="1"/>
  <c r="AM106" i="15" s="1"/>
  <c r="AP123" i="15"/>
  <c r="AS123" i="15" s="1"/>
  <c r="AT123" i="15" s="1"/>
  <c r="AJ123" i="15"/>
  <c r="AK123" i="15" s="1"/>
  <c r="AM123" i="15" s="1"/>
  <c r="AN123" i="15"/>
  <c r="AW123" i="15" s="1"/>
  <c r="AN100" i="15"/>
  <c r="AW100" i="15" s="1"/>
  <c r="AJ100" i="15"/>
  <c r="AK100" i="15" s="1"/>
  <c r="AM100" i="15" s="1"/>
  <c r="AP100" i="15"/>
  <c r="AS100" i="15" s="1"/>
  <c r="AT100" i="15" s="1"/>
  <c r="AP132" i="15"/>
  <c r="AS132" i="15" s="1"/>
  <c r="AT132" i="15" s="1"/>
  <c r="AJ132" i="15"/>
  <c r="AK132" i="15" s="1"/>
  <c r="AM132" i="15" s="1"/>
  <c r="AN132" i="15"/>
  <c r="AW132" i="15" s="1"/>
  <c r="AJ137" i="15"/>
  <c r="AK137" i="15" s="1"/>
  <c r="AM137" i="15" s="1"/>
  <c r="AO137" i="15" s="1"/>
  <c r="AX137" i="15" s="1"/>
  <c r="AN115" i="15"/>
  <c r="AW115" i="15" s="1"/>
  <c r="AJ115" i="15"/>
  <c r="AK115" i="15" s="1"/>
  <c r="AM115" i="15" s="1"/>
  <c r="AP115" i="15"/>
  <c r="AS115" i="15" s="1"/>
  <c r="AT115" i="15" s="1"/>
  <c r="AN118" i="15"/>
  <c r="AW118" i="15" s="1"/>
  <c r="AJ118" i="15"/>
  <c r="AK118" i="15" s="1"/>
  <c r="AM118" i="15" s="1"/>
  <c r="AP118" i="15"/>
  <c r="AS118" i="15" s="1"/>
  <c r="AT118" i="15" s="1"/>
  <c r="AP131" i="15"/>
  <c r="AS131" i="15" s="1"/>
  <c r="AT131" i="15" s="1"/>
  <c r="AJ131" i="15"/>
  <c r="AK131" i="15" s="1"/>
  <c r="AM131" i="15" s="1"/>
  <c r="AN131" i="15"/>
  <c r="AW131" i="15" s="1"/>
  <c r="AP142" i="15"/>
  <c r="AS142" i="15" s="1"/>
  <c r="AT142" i="15" s="1"/>
  <c r="AN142" i="15"/>
  <c r="AW142" i="15" s="1"/>
  <c r="AJ142" i="15"/>
  <c r="AK142" i="15" s="1"/>
  <c r="AM142" i="15" s="1"/>
  <c r="AN97" i="15"/>
  <c r="AW97" i="15" s="1"/>
  <c r="AP97" i="15"/>
  <c r="AS97" i="15" s="1"/>
  <c r="AT97" i="15" s="1"/>
  <c r="AJ97" i="15"/>
  <c r="AK97" i="15" s="1"/>
  <c r="AM97" i="15" s="1"/>
  <c r="AN109" i="15"/>
  <c r="AW109" i="15" s="1"/>
  <c r="AP109" i="15"/>
  <c r="AS109" i="15" s="1"/>
  <c r="AT109" i="15" s="1"/>
  <c r="AJ109" i="15"/>
  <c r="AK109" i="15" s="1"/>
  <c r="AM109" i="15" s="1"/>
  <c r="AP124" i="15"/>
  <c r="AS124" i="15" s="1"/>
  <c r="AT124" i="15" s="1"/>
  <c r="AJ124" i="15"/>
  <c r="AK124" i="15" s="1"/>
  <c r="AM124" i="15" s="1"/>
  <c r="AN124" i="15"/>
  <c r="AW124" i="15" s="1"/>
  <c r="AN102" i="15"/>
  <c r="AW102" i="15" s="1"/>
  <c r="AJ102" i="15"/>
  <c r="AK102" i="15" s="1"/>
  <c r="AM102" i="15" s="1"/>
  <c r="AP102" i="15"/>
  <c r="AS102" i="15" s="1"/>
  <c r="AT102" i="15" s="1"/>
  <c r="AN112" i="15"/>
  <c r="AW112" i="15" s="1"/>
  <c r="AP112" i="15"/>
  <c r="AS112" i="15" s="1"/>
  <c r="AT112" i="15" s="1"/>
  <c r="AJ112" i="15"/>
  <c r="AK112" i="15" s="1"/>
  <c r="AM112" i="15" s="1"/>
  <c r="AP126" i="15"/>
  <c r="AS126" i="15" s="1"/>
  <c r="AT126" i="15" s="1"/>
  <c r="AN126" i="15"/>
  <c r="AW126" i="15" s="1"/>
  <c r="AJ126" i="15"/>
  <c r="AK126" i="15" s="1"/>
  <c r="AM126" i="15" s="1"/>
  <c r="AN117" i="15"/>
  <c r="AW117" i="15" s="1"/>
  <c r="AJ117" i="15"/>
  <c r="AK117" i="15" s="1"/>
  <c r="AM117" i="15" s="1"/>
  <c r="AP117" i="15"/>
  <c r="AS117" i="15" s="1"/>
  <c r="AT117" i="15" s="1"/>
  <c r="AP128" i="15"/>
  <c r="AS128" i="15" s="1"/>
  <c r="AT128" i="15" s="1"/>
  <c r="AN128" i="15"/>
  <c r="AW128" i="15" s="1"/>
  <c r="AJ128" i="15"/>
  <c r="AK128" i="15" s="1"/>
  <c r="AM128" i="15" s="1"/>
  <c r="AN137" i="15"/>
  <c r="AW137" i="15" s="1"/>
  <c r="AP130" i="15"/>
  <c r="AS130" i="15" s="1"/>
  <c r="AT130" i="15" s="1"/>
  <c r="AN130" i="15"/>
  <c r="AW130" i="15" s="1"/>
  <c r="AJ130" i="15"/>
  <c r="AK130" i="15" s="1"/>
  <c r="AM130" i="15" s="1"/>
  <c r="AP133" i="15"/>
  <c r="AS133" i="15" s="1"/>
  <c r="AT133" i="15" s="1"/>
  <c r="AJ133" i="15"/>
  <c r="AK133" i="15" s="1"/>
  <c r="AM133" i="15" s="1"/>
  <c r="AN133" i="15"/>
  <c r="AW133" i="15" s="1"/>
  <c r="AP129" i="15"/>
  <c r="AS129" i="15" s="1"/>
  <c r="AT129" i="15" s="1"/>
  <c r="AJ129" i="15"/>
  <c r="AK129" i="15" s="1"/>
  <c r="AM129" i="15" s="1"/>
  <c r="AN129" i="15"/>
  <c r="AW129" i="15" s="1"/>
  <c r="AN111" i="15"/>
  <c r="AW111" i="15" s="1"/>
  <c r="AP111" i="15"/>
  <c r="AS111" i="15" s="1"/>
  <c r="AT111" i="15" s="1"/>
  <c r="AJ111" i="15"/>
  <c r="AK111" i="15" s="1"/>
  <c r="AM111" i="15" s="1"/>
  <c r="AP122" i="15"/>
  <c r="AS122" i="15" s="1"/>
  <c r="AT122" i="15" s="1"/>
  <c r="AN122" i="15"/>
  <c r="AW122" i="15" s="1"/>
  <c r="AJ122" i="15"/>
  <c r="AK122" i="15" s="1"/>
  <c r="AM122" i="15" s="1"/>
  <c r="AN108" i="15"/>
  <c r="AW108" i="15" s="1"/>
  <c r="AJ108" i="15"/>
  <c r="AK108" i="15" s="1"/>
  <c r="AM108" i="15" s="1"/>
  <c r="AP108" i="15"/>
  <c r="AS108" i="15" s="1"/>
  <c r="AT108" i="15" s="1"/>
  <c r="AN105" i="15"/>
  <c r="AW105" i="15" s="1"/>
  <c r="AP105" i="15"/>
  <c r="AS105" i="15" s="1"/>
  <c r="AT105" i="15" s="1"/>
  <c r="AJ105" i="15"/>
  <c r="AK105" i="15" s="1"/>
  <c r="AM105" i="15" s="1"/>
  <c r="AN88" i="15" l="1"/>
  <c r="AW88" i="15" s="1"/>
  <c r="AP88" i="15"/>
  <c r="AS88" i="15" s="1"/>
  <c r="AT88" i="15" s="1"/>
  <c r="AN86" i="15"/>
  <c r="AW86" i="15" s="1"/>
  <c r="AJ86" i="15"/>
  <c r="AK86" i="15" s="1"/>
  <c r="AM86" i="15" s="1"/>
  <c r="AO86" i="15" s="1"/>
  <c r="AX86" i="15" s="1"/>
  <c r="AP86" i="15"/>
  <c r="AS86" i="15" s="1"/>
  <c r="AT86" i="15" s="1"/>
  <c r="AP87" i="15"/>
  <c r="AS87" i="15" s="1"/>
  <c r="AT87" i="15" s="1"/>
  <c r="AJ87" i="15"/>
  <c r="AK87" i="15" s="1"/>
  <c r="AM87" i="15" s="1"/>
  <c r="AO87" i="15" s="1"/>
  <c r="AX87" i="15" s="1"/>
  <c r="AN140" i="15"/>
  <c r="AW140" i="15" s="1"/>
  <c r="AP140" i="15"/>
  <c r="AS140" i="15" s="1"/>
  <c r="AT140" i="15" s="1"/>
  <c r="AO140" i="15"/>
  <c r="AX140" i="15" s="1"/>
  <c r="AP78" i="15"/>
  <c r="AS78" i="15" s="1"/>
  <c r="AT78" i="15" s="1"/>
  <c r="AJ78" i="15"/>
  <c r="AK78" i="15" s="1"/>
  <c r="AM78" i="15" s="1"/>
  <c r="AO78" i="15" s="1"/>
  <c r="AX78" i="15" s="1"/>
  <c r="AN78" i="15"/>
  <c r="AW78" i="15" s="1"/>
  <c r="AN94" i="15"/>
  <c r="AW94" i="15" s="1"/>
  <c r="AJ94" i="15"/>
  <c r="AK94" i="15" s="1"/>
  <c r="AM94" i="15" s="1"/>
  <c r="AV94" i="15" s="1"/>
  <c r="AP94" i="15"/>
  <c r="AS94" i="15" s="1"/>
  <c r="AT94" i="15" s="1"/>
  <c r="AP81" i="15"/>
  <c r="AS81" i="15" s="1"/>
  <c r="AT81" i="15" s="1"/>
  <c r="AN81" i="15"/>
  <c r="AW81" i="15" s="1"/>
  <c r="AJ81" i="15"/>
  <c r="AK81" i="15" s="1"/>
  <c r="AM81" i="15" s="1"/>
  <c r="AV81" i="15" s="1"/>
  <c r="AP77" i="15"/>
  <c r="AS77" i="15" s="1"/>
  <c r="AT77" i="15" s="1"/>
  <c r="AN77" i="15"/>
  <c r="AW77" i="15" s="1"/>
  <c r="AN90" i="15"/>
  <c r="AW90" i="15" s="1"/>
  <c r="AJ90" i="15"/>
  <c r="AK90" i="15" s="1"/>
  <c r="AM90" i="15" s="1"/>
  <c r="AV90" i="15" s="1"/>
  <c r="AP90" i="15"/>
  <c r="AS90" i="15" s="1"/>
  <c r="AT90" i="15" s="1"/>
  <c r="AN92" i="15"/>
  <c r="AW92" i="15" s="1"/>
  <c r="AP92" i="15"/>
  <c r="AS92" i="15" s="1"/>
  <c r="AT92" i="15" s="1"/>
  <c r="AJ92" i="15"/>
  <c r="AK92" i="15" s="1"/>
  <c r="AM92" i="15" s="1"/>
  <c r="AV92" i="15" s="1"/>
  <c r="AJ80" i="15"/>
  <c r="AK80" i="15" s="1"/>
  <c r="AM80" i="15" s="1"/>
  <c r="AO80" i="15" s="1"/>
  <c r="AX80" i="15" s="1"/>
  <c r="AP80" i="15"/>
  <c r="AS80" i="15" s="1"/>
  <c r="AT80" i="15" s="1"/>
  <c r="AN80" i="15"/>
  <c r="AW80" i="15" s="1"/>
  <c r="AN91" i="15"/>
  <c r="AW91" i="15" s="1"/>
  <c r="AJ83" i="15"/>
  <c r="AK83" i="15" s="1"/>
  <c r="AM83" i="15" s="1"/>
  <c r="AO83" i="15" s="1"/>
  <c r="AX83" i="15" s="1"/>
  <c r="AP91" i="15"/>
  <c r="AS91" i="15" s="1"/>
  <c r="AT91" i="15" s="1"/>
  <c r="AP89" i="15"/>
  <c r="AS89" i="15" s="1"/>
  <c r="AT89" i="15" s="1"/>
  <c r="AN135" i="15"/>
  <c r="AW135" i="15" s="1"/>
  <c r="AP83" i="15"/>
  <c r="AS83" i="15" s="1"/>
  <c r="AT83" i="15" s="1"/>
  <c r="AN134" i="15"/>
  <c r="AW134" i="15" s="1"/>
  <c r="AN89" i="15"/>
  <c r="AW89" i="15" s="1"/>
  <c r="AJ135" i="15"/>
  <c r="AK135" i="15" s="1"/>
  <c r="AM135" i="15" s="1"/>
  <c r="AV135" i="15" s="1"/>
  <c r="AJ85" i="15"/>
  <c r="AK85" i="15" s="1"/>
  <c r="AM85" i="15" s="1"/>
  <c r="AO85" i="15" s="1"/>
  <c r="AX85" i="15" s="1"/>
  <c r="AN85" i="15"/>
  <c r="AW85" i="15" s="1"/>
  <c r="AJ134" i="15"/>
  <c r="AK134" i="15" s="1"/>
  <c r="AM134" i="15" s="1"/>
  <c r="AO134" i="15" s="1"/>
  <c r="AX134" i="15" s="1"/>
  <c r="AJ77" i="15"/>
  <c r="AK77" i="15" s="1"/>
  <c r="AM77" i="15" s="1"/>
  <c r="AO77" i="15" s="1"/>
  <c r="AX77" i="15" s="1"/>
  <c r="AJ93" i="15"/>
  <c r="AK93" i="15" s="1"/>
  <c r="AM93" i="15" s="1"/>
  <c r="AV93" i="15" s="1"/>
  <c r="AN93" i="15"/>
  <c r="AW93" i="15" s="1"/>
  <c r="AN98" i="15"/>
  <c r="AW98" i="15" s="1"/>
  <c r="AN76" i="15"/>
  <c r="AW76" i="15" s="1"/>
  <c r="AP76" i="15"/>
  <c r="AS76" i="15" s="1"/>
  <c r="AT76" i="15" s="1"/>
  <c r="AJ76" i="15"/>
  <c r="AK76" i="15" s="1"/>
  <c r="AM76" i="15" s="1"/>
  <c r="AN75" i="15"/>
  <c r="AW75" i="15" s="1"/>
  <c r="AP75" i="15"/>
  <c r="AS75" i="15" s="1"/>
  <c r="AT75" i="15" s="1"/>
  <c r="AJ75" i="15"/>
  <c r="AK75" i="15" s="1"/>
  <c r="AM75" i="15" s="1"/>
  <c r="AJ98" i="15"/>
  <c r="AK98" i="15" s="1"/>
  <c r="AM98" i="15" s="1"/>
  <c r="AO98" i="15" s="1"/>
  <c r="AX98" i="15" s="1"/>
  <c r="AN74" i="15"/>
  <c r="AW74" i="15" s="1"/>
  <c r="AP74" i="15"/>
  <c r="AS74" i="15" s="1"/>
  <c r="AT74" i="15" s="1"/>
  <c r="AJ74" i="15"/>
  <c r="AK74" i="15" s="1"/>
  <c r="AM74" i="15" s="1"/>
  <c r="AP73" i="15"/>
  <c r="AS73" i="15" s="1"/>
  <c r="AT73" i="15" s="1"/>
  <c r="AN73" i="15"/>
  <c r="AW73" i="15" s="1"/>
  <c r="AJ73" i="15"/>
  <c r="AK73" i="15" s="1"/>
  <c r="AM73" i="15" s="1"/>
  <c r="AJ84" i="15"/>
  <c r="AK84" i="15" s="1"/>
  <c r="AM84" i="15" s="1"/>
  <c r="AV84" i="15" s="1"/>
  <c r="AN84" i="15"/>
  <c r="AW84" i="15" s="1"/>
  <c r="AJ82" i="15"/>
  <c r="AK82" i="15" s="1"/>
  <c r="AM82" i="15" s="1"/>
  <c r="AO82" i="15" s="1"/>
  <c r="AX82" i="15" s="1"/>
  <c r="AN82" i="15"/>
  <c r="AW82" i="15" s="1"/>
  <c r="AJ79" i="15"/>
  <c r="AK79" i="15" s="1"/>
  <c r="AM79" i="15" s="1"/>
  <c r="AO79" i="15" s="1"/>
  <c r="AX79" i="15" s="1"/>
  <c r="AP79" i="15"/>
  <c r="AS79" i="15" s="1"/>
  <c r="AT79" i="15" s="1"/>
  <c r="AV137" i="15"/>
  <c r="AV95" i="15"/>
  <c r="AO95" i="15"/>
  <c r="AX95" i="15" s="1"/>
  <c r="AO100" i="15"/>
  <c r="AX100" i="15" s="1"/>
  <c r="AV100" i="15"/>
  <c r="AV106" i="15"/>
  <c r="AO106" i="15"/>
  <c r="AX106" i="15" s="1"/>
  <c r="AV120" i="15"/>
  <c r="AO120" i="15"/>
  <c r="AX120" i="15" s="1"/>
  <c r="AO104" i="15"/>
  <c r="AX104" i="15" s="1"/>
  <c r="AV104" i="15"/>
  <c r="AV91" i="15"/>
  <c r="AO91" i="15"/>
  <c r="AX91" i="15" s="1"/>
  <c r="AV113" i="15"/>
  <c r="AO113" i="15"/>
  <c r="AX113" i="15" s="1"/>
  <c r="AO123" i="15"/>
  <c r="AX123" i="15" s="1"/>
  <c r="AV123" i="15"/>
  <c r="AO115" i="15"/>
  <c r="AX115" i="15" s="1"/>
  <c r="AV115" i="15"/>
  <c r="AO88" i="15"/>
  <c r="AX88" i="15" s="1"/>
  <c r="AV88" i="15"/>
  <c r="AO107" i="15"/>
  <c r="AX107" i="15" s="1"/>
  <c r="AV107" i="15"/>
  <c r="AO99" i="15"/>
  <c r="AX99" i="15" s="1"/>
  <c r="AV99" i="15"/>
  <c r="AV133" i="15"/>
  <c r="AO133" i="15"/>
  <c r="AX133" i="15" s="1"/>
  <c r="AV102" i="15"/>
  <c r="AO102" i="15"/>
  <c r="AX102" i="15" s="1"/>
  <c r="AO118" i="15"/>
  <c r="AX118" i="15" s="1"/>
  <c r="AV118" i="15"/>
  <c r="AO101" i="15"/>
  <c r="AX101" i="15" s="1"/>
  <c r="AV101" i="15"/>
  <c r="AV132" i="15"/>
  <c r="AO132" i="15"/>
  <c r="AX132" i="15" s="1"/>
  <c r="AV112" i="15"/>
  <c r="AO112" i="15"/>
  <c r="AX112" i="15" s="1"/>
  <c r="AO110" i="15"/>
  <c r="AX110" i="15" s="1"/>
  <c r="AV110" i="15"/>
  <c r="AV122" i="15"/>
  <c r="AO122" i="15"/>
  <c r="AX122" i="15" s="1"/>
  <c r="AO126" i="15"/>
  <c r="AX126" i="15" s="1"/>
  <c r="AV126" i="15"/>
  <c r="AO114" i="15"/>
  <c r="AX114" i="15" s="1"/>
  <c r="AV114" i="15"/>
  <c r="AV127" i="15"/>
  <c r="AO127" i="15"/>
  <c r="AX127" i="15" s="1"/>
  <c r="AO109" i="15"/>
  <c r="AX109" i="15" s="1"/>
  <c r="AV109" i="15"/>
  <c r="AV111" i="15"/>
  <c r="AO111" i="15"/>
  <c r="AX111" i="15" s="1"/>
  <c r="AO97" i="15"/>
  <c r="AX97" i="15" s="1"/>
  <c r="AV97" i="15"/>
  <c r="AV108" i="15"/>
  <c r="AO108" i="15"/>
  <c r="AX108" i="15" s="1"/>
  <c r="AV131" i="15"/>
  <c r="AO131" i="15"/>
  <c r="AX131" i="15" s="1"/>
  <c r="AO117" i="15"/>
  <c r="AX117" i="15" s="1"/>
  <c r="AV117" i="15"/>
  <c r="AV119" i="15"/>
  <c r="AO119" i="15"/>
  <c r="AX119" i="15" s="1"/>
  <c r="AV89" i="15"/>
  <c r="AO89" i="15"/>
  <c r="AX89" i="15" s="1"/>
  <c r="AV121" i="15"/>
  <c r="AO121" i="15"/>
  <c r="AX121" i="15" s="1"/>
  <c r="AV116" i="15"/>
  <c r="AO116" i="15"/>
  <c r="AX116" i="15" s="1"/>
  <c r="AV125" i="15"/>
  <c r="AO125" i="15"/>
  <c r="AX125" i="15" s="1"/>
  <c r="AO130" i="15"/>
  <c r="AX130" i="15" s="1"/>
  <c r="AV130" i="15"/>
  <c r="AV124" i="15"/>
  <c r="AO124" i="15"/>
  <c r="AX124" i="15" s="1"/>
  <c r="AV105" i="15"/>
  <c r="AO105" i="15"/>
  <c r="AX105" i="15" s="1"/>
  <c r="AV129" i="15"/>
  <c r="AO129" i="15"/>
  <c r="AX129" i="15" s="1"/>
  <c r="AO103" i="15"/>
  <c r="AX103" i="15" s="1"/>
  <c r="AV103" i="15"/>
  <c r="AO128" i="15"/>
  <c r="AX128" i="15" s="1"/>
  <c r="AV128" i="15"/>
  <c r="AO142" i="15"/>
  <c r="AV142" i="15"/>
  <c r="AV96" i="15"/>
  <c r="AO96" i="15"/>
  <c r="AX96" i="15" s="1"/>
  <c r="J386" i="22" l="1"/>
  <c r="J371" i="22"/>
  <c r="J441" i="22"/>
  <c r="J130" i="22"/>
  <c r="J111" i="22"/>
  <c r="J139" i="22"/>
  <c r="J306" i="22"/>
  <c r="J162" i="22"/>
  <c r="J116" i="22"/>
  <c r="J288" i="22"/>
  <c r="J328" i="22"/>
  <c r="J467" i="22"/>
  <c r="J313" i="22"/>
  <c r="J397" i="22"/>
  <c r="J426" i="22"/>
  <c r="J273" i="22"/>
  <c r="J438" i="22"/>
  <c r="J317" i="22"/>
  <c r="J121" i="22"/>
  <c r="J189" i="22"/>
  <c r="J369" i="22"/>
  <c r="J492" i="22"/>
  <c r="J269" i="22"/>
  <c r="J153" i="22"/>
  <c r="J447" i="22"/>
  <c r="J192" i="22"/>
  <c r="J101" i="22"/>
  <c r="J93" i="22"/>
  <c r="J468" i="22"/>
  <c r="J131" i="22"/>
  <c r="J353" i="22"/>
  <c r="J246" i="22"/>
  <c r="J200" i="22"/>
  <c r="J293" i="22"/>
  <c r="J481" i="22"/>
  <c r="J412" i="22"/>
  <c r="J94" i="22"/>
  <c r="J335" i="22"/>
  <c r="J125" i="22"/>
  <c r="J407" i="22"/>
  <c r="J218" i="22"/>
  <c r="J172" i="22"/>
  <c r="J262" i="22"/>
  <c r="J461" i="22"/>
  <c r="J265" i="22"/>
  <c r="J445" i="22"/>
  <c r="J128" i="22"/>
  <c r="J261" i="22"/>
  <c r="J169" i="22"/>
  <c r="J214" i="22"/>
  <c r="J289" i="22"/>
  <c r="J88" i="22"/>
  <c r="J250" i="22"/>
  <c r="J301" i="22"/>
  <c r="J454" i="22"/>
  <c r="J99" i="22"/>
  <c r="J165" i="22"/>
  <c r="J295" i="22"/>
  <c r="J199" i="22"/>
  <c r="J154" i="22"/>
  <c r="J347" i="22"/>
  <c r="J416" i="22"/>
  <c r="J236" i="22"/>
  <c r="J145" i="22"/>
  <c r="J448" i="22"/>
  <c r="J341" i="22"/>
  <c r="J360" i="22"/>
  <c r="J346" i="22"/>
  <c r="J78" i="22"/>
  <c r="J226" i="22"/>
  <c r="J408" i="22"/>
  <c r="J340" i="22"/>
  <c r="J178" i="22"/>
  <c r="J395" i="22"/>
  <c r="J456" i="22"/>
  <c r="J413" i="22"/>
  <c r="J396" i="22"/>
  <c r="J127" i="22"/>
  <c r="J198" i="22"/>
  <c r="J358" i="22"/>
  <c r="J356" i="22"/>
  <c r="J234" i="22"/>
  <c r="J417" i="22"/>
  <c r="J75" i="22"/>
  <c r="J231" i="22"/>
  <c r="J336" i="22"/>
  <c r="J240" i="22"/>
  <c r="J76" i="22"/>
  <c r="J444" i="22"/>
  <c r="J302" i="22"/>
  <c r="J327" i="22"/>
  <c r="J324" i="22"/>
  <c r="J420" i="22"/>
  <c r="J140" i="22"/>
  <c r="J365" i="22"/>
  <c r="J388" i="22"/>
  <c r="J190" i="22"/>
  <c r="J384" i="22"/>
  <c r="J379" i="22"/>
  <c r="J212" i="22"/>
  <c r="J377" i="22"/>
  <c r="J474" i="22"/>
  <c r="J96" i="22"/>
  <c r="J410" i="22"/>
  <c r="J256" i="22"/>
  <c r="J326" i="22"/>
  <c r="J109" i="22"/>
  <c r="J187" i="22"/>
  <c r="J196" i="22"/>
  <c r="J419" i="22"/>
  <c r="J415" i="22"/>
  <c r="J424" i="22"/>
  <c r="J282" i="22"/>
  <c r="J428" i="22"/>
  <c r="J463" i="22"/>
  <c r="J166" i="22"/>
  <c r="J443" i="22"/>
  <c r="J308" i="22"/>
  <c r="J312" i="22"/>
  <c r="J333" i="22"/>
  <c r="J137" i="22"/>
  <c r="J98" i="22"/>
  <c r="J119" i="22"/>
  <c r="J228" i="22"/>
  <c r="J449" i="22"/>
  <c r="J323" i="22"/>
  <c r="J245" i="22"/>
  <c r="J205" i="22"/>
  <c r="J278" i="22"/>
  <c r="J342" i="22"/>
  <c r="J120" i="22"/>
  <c r="J207" i="22"/>
  <c r="J248" i="22"/>
  <c r="J174" i="22"/>
  <c r="J132" i="22"/>
  <c r="J349" i="22"/>
  <c r="J108" i="22"/>
  <c r="J285" i="22"/>
  <c r="J280" i="22"/>
  <c r="J216" i="22"/>
  <c r="J442" i="22"/>
  <c r="J477" i="22"/>
  <c r="J243" i="22"/>
  <c r="J106" i="22"/>
  <c r="J115" i="22"/>
  <c r="J476" i="22"/>
  <c r="J258" i="22"/>
  <c r="J223" i="22"/>
  <c r="J334" i="22"/>
  <c r="J73" i="22"/>
  <c r="J219" i="22"/>
  <c r="J297" i="22"/>
  <c r="J451" i="22"/>
  <c r="J122" i="22"/>
  <c r="J143" i="22"/>
  <c r="J85" i="22"/>
  <c r="J479" i="22"/>
  <c r="J179" i="22"/>
  <c r="J470" i="22"/>
  <c r="J429" i="22"/>
  <c r="J320" i="22"/>
  <c r="J434" i="22"/>
  <c r="J437" i="22"/>
  <c r="J221" i="22"/>
  <c r="J232" i="22"/>
  <c r="J87" i="22"/>
  <c r="J95" i="22"/>
  <c r="J460" i="22"/>
  <c r="J239" i="22"/>
  <c r="J392" i="22"/>
  <c r="J204" i="22"/>
  <c r="J157" i="22"/>
  <c r="J266" i="22"/>
  <c r="J298" i="22"/>
  <c r="J264" i="22"/>
  <c r="J459" i="22"/>
  <c r="J237" i="22"/>
  <c r="J271" i="22"/>
  <c r="J359" i="22"/>
  <c r="J458" i="22"/>
  <c r="J294" i="22"/>
  <c r="J182" i="22"/>
  <c r="J316" i="22"/>
  <c r="J348" i="22"/>
  <c r="J193" i="22"/>
  <c r="J381" i="22"/>
  <c r="J495" i="22"/>
  <c r="J220" i="22"/>
  <c r="J322" i="22"/>
  <c r="J279" i="22"/>
  <c r="J488" i="22"/>
  <c r="J135" i="22"/>
  <c r="J484" i="22"/>
  <c r="J136" i="22"/>
  <c r="J276" i="22"/>
  <c r="J350" i="22"/>
  <c r="J331" i="22"/>
  <c r="J446" i="22"/>
  <c r="J494" i="22"/>
  <c r="J307" i="22"/>
  <c r="J337" i="22"/>
  <c r="J110" i="22"/>
  <c r="J309" i="22"/>
  <c r="J464" i="22"/>
  <c r="J163" i="22"/>
  <c r="J210" i="22"/>
  <c r="J387" i="22"/>
  <c r="J400" i="22"/>
  <c r="J241" i="22"/>
  <c r="J185" i="22"/>
  <c r="J311" i="22"/>
  <c r="J86" i="22"/>
  <c r="J314" i="22"/>
  <c r="J304" i="22"/>
  <c r="J483" i="22"/>
  <c r="J114" i="22"/>
  <c r="J357" i="22"/>
  <c r="J378" i="22"/>
  <c r="J372" i="22"/>
  <c r="J260" i="22"/>
  <c r="J147" i="22"/>
  <c r="J480" i="22"/>
  <c r="J81" i="22"/>
  <c r="J112" i="22"/>
  <c r="J194" i="22"/>
  <c r="J259" i="22"/>
  <c r="J452" i="22"/>
  <c r="J268" i="22"/>
  <c r="J391" i="22"/>
  <c r="J482" i="22"/>
  <c r="J175" i="22"/>
  <c r="J173" i="22"/>
  <c r="J275" i="22"/>
  <c r="J433" i="22"/>
  <c r="J149" i="22"/>
  <c r="J364" i="22"/>
  <c r="J462" i="22"/>
  <c r="J102" i="22"/>
  <c r="J72" i="22"/>
  <c r="J90" i="22"/>
  <c r="J367" i="22"/>
  <c r="J168" i="22"/>
  <c r="J257" i="22"/>
  <c r="J188" i="22"/>
  <c r="J100" i="22"/>
  <c r="J272" i="22"/>
  <c r="J401" i="22"/>
  <c r="J201" i="22"/>
  <c r="J104" i="22"/>
  <c r="J177" i="22"/>
  <c r="J398" i="22"/>
  <c r="J89" i="22"/>
  <c r="J144" i="22"/>
  <c r="J138" i="22"/>
  <c r="J255" i="22"/>
  <c r="J373" i="22"/>
  <c r="J425" i="22"/>
  <c r="J158" i="22"/>
  <c r="J129" i="22"/>
  <c r="J361" i="22"/>
  <c r="J427" i="22"/>
  <c r="J251" i="22"/>
  <c r="J253" i="22"/>
  <c r="J380" i="22"/>
  <c r="J146" i="22"/>
  <c r="J491" i="22"/>
  <c r="J203" i="22"/>
  <c r="J224" i="22"/>
  <c r="J209" i="22"/>
  <c r="J229" i="22"/>
  <c r="J160" i="22"/>
  <c r="J247" i="22"/>
  <c r="J453" i="22"/>
  <c r="J405" i="22"/>
  <c r="J152" i="22"/>
  <c r="J393" i="22"/>
  <c r="J235" i="22"/>
  <c r="J418" i="22"/>
  <c r="J466" i="22"/>
  <c r="J233" i="22"/>
  <c r="J274" i="22"/>
  <c r="J465" i="22"/>
  <c r="J191" i="22"/>
  <c r="J457" i="22"/>
  <c r="J300" i="22"/>
  <c r="J197" i="22"/>
  <c r="J161" i="22"/>
  <c r="J375" i="22"/>
  <c r="J475" i="22"/>
  <c r="J287" i="22"/>
  <c r="J339" i="22"/>
  <c r="J80" i="22"/>
  <c r="J411" i="22"/>
  <c r="J159" i="22"/>
  <c r="J82" i="22"/>
  <c r="J344" i="22"/>
  <c r="J406" i="22"/>
  <c r="J402" i="22"/>
  <c r="J368" i="22"/>
  <c r="J156" i="22"/>
  <c r="J124" i="22"/>
  <c r="J321" i="22"/>
  <c r="J390" i="22"/>
  <c r="J183" i="22"/>
  <c r="J332" i="22"/>
  <c r="J389" i="22"/>
  <c r="J242" i="22"/>
  <c r="J208" i="22"/>
  <c r="J291" i="22"/>
  <c r="J91" i="22"/>
  <c r="J432" i="22"/>
  <c r="J150" i="22"/>
  <c r="J496" i="22"/>
  <c r="J376" i="22"/>
  <c r="J238" i="22"/>
  <c r="J167" i="22"/>
  <c r="J184" i="22"/>
  <c r="J290" i="22"/>
  <c r="J292" i="22"/>
  <c r="J355" i="22"/>
  <c r="J422" i="22"/>
  <c r="J315" i="22"/>
  <c r="J394" i="22"/>
  <c r="J421" i="22"/>
  <c r="J440" i="22"/>
  <c r="J263" i="22"/>
  <c r="J435" i="22"/>
  <c r="J148" i="22"/>
  <c r="J227" i="22"/>
  <c r="J497" i="22"/>
  <c r="J498" i="22"/>
  <c r="J117" i="22"/>
  <c r="J181" i="22"/>
  <c r="J338" i="22"/>
  <c r="J439" i="22"/>
  <c r="J213" i="22"/>
  <c r="J431" i="22"/>
  <c r="J473" i="22"/>
  <c r="J270" i="22"/>
  <c r="J206" i="22"/>
  <c r="J385" i="22"/>
  <c r="J103" i="22"/>
  <c r="J352" i="22"/>
  <c r="J362" i="22"/>
  <c r="J399" i="22"/>
  <c r="J118" i="22"/>
  <c r="J225" i="22"/>
  <c r="J84" i="22"/>
  <c r="J186" i="22"/>
  <c r="J330" i="22"/>
  <c r="J77" i="22"/>
  <c r="J254" i="22"/>
  <c r="J489" i="22"/>
  <c r="J244" i="22"/>
  <c r="J414" i="22"/>
  <c r="J430" i="22"/>
  <c r="J133" i="22"/>
  <c r="J383" i="22"/>
  <c r="J105" i="22"/>
  <c r="J329" i="22"/>
  <c r="J319" i="22"/>
  <c r="J267" i="22"/>
  <c r="J71" i="22"/>
  <c r="J170" i="22"/>
  <c r="J374" i="22"/>
  <c r="J382" i="22"/>
  <c r="J249" i="22"/>
  <c r="J142" i="22"/>
  <c r="J455" i="22"/>
  <c r="J230" i="22"/>
  <c r="J303" i="22"/>
  <c r="J351" i="22"/>
  <c r="J83" i="22"/>
  <c r="J436" i="22"/>
  <c r="J92" i="22"/>
  <c r="J423" i="22"/>
  <c r="J74" i="22"/>
  <c r="J211" i="22"/>
  <c r="J281" i="22"/>
  <c r="J134" i="22"/>
  <c r="J155" i="22"/>
  <c r="J97" i="22"/>
  <c r="J141" i="22"/>
  <c r="J113" i="22"/>
  <c r="J180" i="22"/>
  <c r="J354" i="22"/>
  <c r="J286" i="22"/>
  <c r="J151" i="22"/>
  <c r="J478" i="22"/>
  <c r="J123" i="22"/>
  <c r="J195" i="22"/>
  <c r="J284" i="22"/>
  <c r="J404" i="22"/>
  <c r="J472" i="22"/>
  <c r="J310" i="22"/>
  <c r="J299" i="22"/>
  <c r="J252" i="22"/>
  <c r="J126" i="22"/>
  <c r="J343" i="22"/>
  <c r="J283" i="22"/>
  <c r="J171" i="22"/>
  <c r="J366" i="22"/>
  <c r="J215" i="22"/>
  <c r="J164" i="22"/>
  <c r="J450" i="22"/>
  <c r="J493" i="22"/>
  <c r="J469" i="22"/>
  <c r="J305" i="22"/>
  <c r="J277" i="22"/>
  <c r="J107" i="22"/>
  <c r="J318" i="22"/>
  <c r="J222" i="22"/>
  <c r="J79" i="22"/>
  <c r="J485" i="22"/>
  <c r="J325" i="22"/>
  <c r="J176" i="22"/>
  <c r="J486" i="22"/>
  <c r="J296" i="22"/>
  <c r="J370" i="22"/>
  <c r="J403" i="22"/>
  <c r="J471" i="22"/>
  <c r="J490" i="22"/>
  <c r="J409" i="22"/>
  <c r="J363" i="22"/>
  <c r="J217" i="22"/>
  <c r="J487" i="22"/>
  <c r="J202" i="22"/>
  <c r="J345" i="22"/>
  <c r="AV87" i="15"/>
  <c r="AV86" i="15"/>
  <c r="AO94" i="15"/>
  <c r="AX94" i="15" s="1"/>
  <c r="AV85" i="15"/>
  <c r="AV78" i="15"/>
  <c r="AV77" i="15"/>
  <c r="AO81" i="15"/>
  <c r="AX81" i="15" s="1"/>
  <c r="AO90" i="15"/>
  <c r="AX90" i="15" s="1"/>
  <c r="AV80" i="15"/>
  <c r="AO92" i="15"/>
  <c r="AX92" i="15" s="1"/>
  <c r="AV83" i="15"/>
  <c r="AO93" i="15"/>
  <c r="AX93" i="15" s="1"/>
  <c r="AV134" i="15"/>
  <c r="AO135" i="15"/>
  <c r="AX135" i="15" s="1"/>
  <c r="AV98" i="15"/>
  <c r="AV74" i="15"/>
  <c r="AO74" i="15"/>
  <c r="AX74" i="15" s="1"/>
  <c r="AO84" i="15"/>
  <c r="AX84" i="15" s="1"/>
  <c r="AV75" i="15"/>
  <c r="AO75" i="15"/>
  <c r="AX75" i="15" s="1"/>
  <c r="AO76" i="15"/>
  <c r="AX76" i="15" s="1"/>
  <c r="AV76" i="15"/>
  <c r="AO73" i="15"/>
  <c r="AX73" i="15" s="1"/>
  <c r="AV73" i="15"/>
  <c r="AV79" i="15"/>
  <c r="AV82" i="15"/>
  <c r="AX142" i="15"/>
  <c r="AR5" i="15" l="1"/>
  <c r="AZ5" i="15"/>
  <c r="G28" i="23" l="1"/>
  <c r="BB5" i="15"/>
  <c r="BA5" i="15"/>
  <c r="K10" i="16" s="1"/>
  <c r="K40" i="16" l="1"/>
  <c r="P40" i="16" s="1"/>
  <c r="K50" i="16"/>
  <c r="W20" i="16"/>
  <c r="V52" i="16"/>
  <c r="V10" i="16"/>
  <c r="BC5" i="15"/>
  <c r="BD5" i="15"/>
  <c r="C25" i="23"/>
  <c r="U20" i="16" l="1"/>
  <c r="Q20" i="16"/>
  <c r="P20" i="16"/>
  <c r="T20" i="16"/>
  <c r="V20" i="16"/>
  <c r="S20" i="16"/>
  <c r="P50" i="16"/>
  <c r="Q50" i="16"/>
  <c r="W50" i="16"/>
  <c r="V50" i="16"/>
  <c r="S50" i="16"/>
  <c r="U50" i="16"/>
  <c r="T50" i="16"/>
  <c r="T52" i="16"/>
  <c r="U52" i="16"/>
  <c r="S52" i="16"/>
  <c r="Q52" i="16"/>
  <c r="W52" i="16"/>
  <c r="P52" i="16"/>
  <c r="T64" i="16"/>
  <c r="W64" i="16"/>
  <c r="P64" i="16"/>
  <c r="S64" i="16"/>
  <c r="V64" i="16"/>
  <c r="U64" i="16"/>
  <c r="Q64" i="16"/>
  <c r="U27" i="16"/>
  <c r="S27" i="16"/>
  <c r="T27" i="16"/>
  <c r="V27" i="16"/>
  <c r="P27" i="16"/>
  <c r="W27" i="16"/>
  <c r="Q27" i="16"/>
  <c r="Q40" i="16"/>
  <c r="W40" i="16"/>
  <c r="S40" i="16"/>
  <c r="T40" i="16"/>
  <c r="U40" i="16"/>
  <c r="V40" i="16"/>
  <c r="P48" i="16"/>
  <c r="W48" i="16"/>
  <c r="S48" i="16"/>
  <c r="Q48" i="16"/>
  <c r="T48" i="16"/>
  <c r="V48" i="16"/>
  <c r="U48" i="16"/>
  <c r="S10" i="16"/>
  <c r="P10" i="16"/>
  <c r="U10" i="16"/>
  <c r="T10" i="16"/>
  <c r="Q10" i="16"/>
  <c r="W10" i="16"/>
  <c r="P68" i="16"/>
  <c r="W68" i="16"/>
  <c r="T68" i="16"/>
  <c r="S68" i="16"/>
  <c r="V68" i="16"/>
  <c r="U68" i="16"/>
  <c r="Q68" i="16"/>
  <c r="R20" i="16" l="1"/>
  <c r="X20" i="16"/>
  <c r="X50" i="16"/>
  <c r="R50" i="16"/>
  <c r="R52" i="16"/>
  <c r="X52" i="16"/>
  <c r="R64" i="16"/>
  <c r="X64" i="16"/>
  <c r="X27" i="16"/>
  <c r="R27" i="16"/>
  <c r="X40" i="16"/>
  <c r="R40" i="16"/>
  <c r="R48" i="16"/>
  <c r="X48" i="16"/>
  <c r="X10" i="16"/>
  <c r="R10" i="16"/>
  <c r="X68" i="16"/>
  <c r="R68" i="16"/>
  <c r="J68" i="16" l="1"/>
  <c r="J64" i="16"/>
  <c r="J40" i="16"/>
  <c r="I40" i="16" s="1"/>
  <c r="H40" i="16" s="1"/>
  <c r="E40" i="16" s="1"/>
  <c r="J50" i="16"/>
  <c r="I50" i="16" s="1"/>
  <c r="H50" i="16" s="1"/>
  <c r="E50" i="16" s="1"/>
  <c r="J48" i="16"/>
  <c r="J52" i="16"/>
  <c r="J27" i="16"/>
  <c r="I27" i="16" s="1"/>
  <c r="H27" i="16" s="1"/>
  <c r="E27" i="16" s="1"/>
  <c r="J10" i="16"/>
  <c r="I10" i="16" s="1"/>
  <c r="H10" i="16" s="1"/>
  <c r="E10" i="16" s="1"/>
  <c r="J20" i="16"/>
  <c r="Z30" i="15"/>
  <c r="AG30" i="15" s="1"/>
  <c r="Z45" i="15"/>
  <c r="Z43" i="15"/>
  <c r="Z44" i="15"/>
  <c r="Z46" i="15" l="1"/>
  <c r="AG46" i="15" s="1"/>
  <c r="Z68" i="15"/>
  <c r="AG68" i="15" s="1"/>
  <c r="AN68" i="15" s="1"/>
  <c r="Z69" i="15"/>
  <c r="AG69" i="15" s="1"/>
  <c r="Z67" i="15"/>
  <c r="AG67" i="15" s="1"/>
  <c r="Z66" i="15"/>
  <c r="AG66" i="15" s="1"/>
  <c r="AN30" i="15"/>
  <c r="AW30" i="15" s="1"/>
  <c r="AJ30" i="15"/>
  <c r="AK30" i="15" s="1"/>
  <c r="AM30" i="15" s="1"/>
  <c r="AP30" i="15"/>
  <c r="AS30" i="15" s="1"/>
  <c r="AT30" i="15" s="1"/>
  <c r="Z32" i="15"/>
  <c r="AG32" i="15" s="1"/>
  <c r="Z33" i="15"/>
  <c r="AG33" i="15" s="1"/>
  <c r="Z31" i="15"/>
  <c r="AG31" i="15" s="1"/>
  <c r="Z19" i="15"/>
  <c r="AG19" i="15" s="1"/>
  <c r="AN19" i="15" s="1"/>
  <c r="Z42" i="15"/>
  <c r="AG42" i="15" s="1"/>
  <c r="AN42" i="15" s="1"/>
  <c r="AW42" i="15" s="1"/>
  <c r="Z34" i="15"/>
  <c r="AG34" i="15" s="1"/>
  <c r="AJ34" i="15" s="1"/>
  <c r="AK34" i="15" s="1"/>
  <c r="AM34" i="15" s="1"/>
  <c r="Z23" i="15"/>
  <c r="AG23" i="15" s="1"/>
  <c r="Z22" i="15"/>
  <c r="AG22" i="15" s="1"/>
  <c r="AN22" i="15" s="1"/>
  <c r="Z24" i="15"/>
  <c r="AG24" i="15" s="1"/>
  <c r="Z29" i="15"/>
  <c r="AG29" i="15" s="1"/>
  <c r="Z25" i="15"/>
  <c r="AG25" i="15" s="1"/>
  <c r="Z16" i="15"/>
  <c r="AG16" i="15" s="1"/>
  <c r="AN16" i="15" s="1"/>
  <c r="Z17" i="15"/>
  <c r="AG17" i="15" s="1"/>
  <c r="AP17" i="15" s="1"/>
  <c r="AS17" i="15" s="1"/>
  <c r="AT17" i="15" s="1"/>
  <c r="Z18" i="15"/>
  <c r="AG18" i="15" s="1"/>
  <c r="AN18" i="15" s="1"/>
  <c r="Z9" i="15"/>
  <c r="AG9" i="15" s="1"/>
  <c r="AJ9" i="15" s="1"/>
  <c r="AK9" i="15" s="1"/>
  <c r="AM9" i="15" s="1"/>
  <c r="Z20" i="15"/>
  <c r="AG20" i="15" s="1"/>
  <c r="AP20" i="15" s="1"/>
  <c r="AS20" i="15" s="1"/>
  <c r="AT20" i="15" s="1"/>
  <c r="Z12" i="15"/>
  <c r="AG12" i="15" s="1"/>
  <c r="AP12" i="15" s="1"/>
  <c r="AS12" i="15" s="1"/>
  <c r="AT12" i="15" s="1"/>
  <c r="Z21" i="15"/>
  <c r="AG21" i="15" s="1"/>
  <c r="AN21" i="15" s="1"/>
  <c r="Z6" i="15"/>
  <c r="AG6" i="15" s="1"/>
  <c r="AN6" i="15" s="1"/>
  <c r="Z41" i="15"/>
  <c r="AG41" i="15" s="1"/>
  <c r="Z37" i="15"/>
  <c r="AG37" i="15" s="1"/>
  <c r="Z39" i="15"/>
  <c r="AG39" i="15" s="1"/>
  <c r="Z38" i="15"/>
  <c r="AG38" i="15" s="1"/>
  <c r="Z40" i="15"/>
  <c r="AG40" i="15" s="1"/>
  <c r="AN40" i="15" s="1"/>
  <c r="Z36" i="15"/>
  <c r="AG36" i="15" s="1"/>
  <c r="Z7" i="15"/>
  <c r="AG7" i="15" s="1"/>
  <c r="Z27" i="15"/>
  <c r="AG27" i="15" s="1"/>
  <c r="AP27" i="15" s="1"/>
  <c r="AS27" i="15" s="1"/>
  <c r="AT27" i="15" s="1"/>
  <c r="Z26" i="15"/>
  <c r="AG26" i="15" s="1"/>
  <c r="Z14" i="15"/>
  <c r="AG14" i="15" s="1"/>
  <c r="AN14" i="15" s="1"/>
  <c r="Z28" i="15"/>
  <c r="AG28" i="15" s="1"/>
  <c r="Z15" i="15"/>
  <c r="AG15" i="15" s="1"/>
  <c r="AP15" i="15" s="1"/>
  <c r="AS15" i="15" s="1"/>
  <c r="AT15" i="15" s="1"/>
  <c r="Z8" i="15"/>
  <c r="AG8" i="15" s="1"/>
  <c r="AN8" i="15" s="1"/>
  <c r="Z10" i="15"/>
  <c r="AG10" i="15" s="1"/>
  <c r="AN10" i="15" s="1"/>
  <c r="Z11" i="15"/>
  <c r="AG11" i="15" s="1"/>
  <c r="AP11" i="15" s="1"/>
  <c r="AS11" i="15" s="1"/>
  <c r="AT11" i="15" s="1"/>
  <c r="Z50" i="15"/>
  <c r="AG50" i="15" s="1"/>
  <c r="Z72" i="15"/>
  <c r="AG72" i="15" s="1"/>
  <c r="Z58" i="15"/>
  <c r="AG58" i="15" s="1"/>
  <c r="Z47" i="15"/>
  <c r="AG47" i="15" s="1"/>
  <c r="Z49" i="15"/>
  <c r="AG49" i="15" s="1"/>
  <c r="Z51" i="15"/>
  <c r="AG51" i="15" s="1"/>
  <c r="Z71" i="15"/>
  <c r="AG71" i="15" s="1"/>
  <c r="Z52" i="15"/>
  <c r="AG52" i="15" s="1"/>
  <c r="Z53" i="15"/>
  <c r="AG53" i="15" s="1"/>
  <c r="Z54" i="15"/>
  <c r="AG54" i="15" s="1"/>
  <c r="Z55" i="15"/>
  <c r="AG55" i="15" s="1"/>
  <c r="Z56" i="15"/>
  <c r="AG56" i="15" s="1"/>
  <c r="Z35" i="15"/>
  <c r="AG35" i="15" s="1"/>
  <c r="Z57" i="15"/>
  <c r="AG57" i="15" s="1"/>
  <c r="Z60" i="15"/>
  <c r="AG60" i="15" s="1"/>
  <c r="Z61" i="15"/>
  <c r="AG61" i="15" s="1"/>
  <c r="Z62" i="15"/>
  <c r="AG62" i="15" s="1"/>
  <c r="Z63" i="15"/>
  <c r="AG63" i="15" s="1"/>
  <c r="Z64" i="15"/>
  <c r="AG64" i="15" s="1"/>
  <c r="Z65" i="15"/>
  <c r="AG65" i="15" s="1"/>
  <c r="Z48" i="15"/>
  <c r="AG48" i="15" s="1"/>
  <c r="Z70" i="15"/>
  <c r="AG70" i="15" s="1"/>
  <c r="Z136" i="15"/>
  <c r="AG136" i="15" s="1"/>
  <c r="Z13" i="15"/>
  <c r="AG13" i="15" s="1"/>
  <c r="AJ13" i="15" s="1"/>
  <c r="AK13" i="15" s="1"/>
  <c r="AM13" i="15" s="1"/>
  <c r="Z59" i="15"/>
  <c r="AG59" i="15" s="1"/>
  <c r="AG141" i="15"/>
  <c r="AP141" i="15" s="1"/>
  <c r="AS141" i="15" s="1"/>
  <c r="AT141" i="15" s="1"/>
  <c r="AG43" i="15"/>
  <c r="AN43" i="15" s="1"/>
  <c r="AG44" i="15"/>
  <c r="AG45" i="15"/>
  <c r="AG139" i="15"/>
  <c r="Z5" i="15"/>
  <c r="AJ69" i="15" l="1"/>
  <c r="AK69" i="15" s="1"/>
  <c r="AM69" i="15" s="1"/>
  <c r="AN69" i="15"/>
  <c r="AW69" i="15" s="1"/>
  <c r="AP69" i="15"/>
  <c r="AS69" i="15" s="1"/>
  <c r="AT69" i="15" s="1"/>
  <c r="AP42" i="15"/>
  <c r="AS42" i="15" s="1"/>
  <c r="AT42" i="15" s="1"/>
  <c r="AV30" i="15"/>
  <c r="AO30" i="15"/>
  <c r="AX30" i="15" s="1"/>
  <c r="AJ42" i="15"/>
  <c r="AK42" i="15" s="1"/>
  <c r="AM42" i="15" s="1"/>
  <c r="AV42" i="15" s="1"/>
  <c r="AP34" i="15"/>
  <c r="AS34" i="15" s="1"/>
  <c r="AT34" i="15" s="1"/>
  <c r="AN31" i="15"/>
  <c r="AW31" i="15" s="1"/>
  <c r="AP31" i="15"/>
  <c r="AS31" i="15" s="1"/>
  <c r="AT31" i="15" s="1"/>
  <c r="AJ31" i="15"/>
  <c r="AK31" i="15" s="1"/>
  <c r="AM31" i="15" s="1"/>
  <c r="AN34" i="15"/>
  <c r="AW34" i="15" s="1"/>
  <c r="AN33" i="15"/>
  <c r="AW33" i="15" s="1"/>
  <c r="AP33" i="15"/>
  <c r="AS33" i="15" s="1"/>
  <c r="AT33" i="15" s="1"/>
  <c r="AJ33" i="15"/>
  <c r="AK33" i="15" s="1"/>
  <c r="AM33" i="15" s="1"/>
  <c r="AN25" i="15"/>
  <c r="AW25" i="15" s="1"/>
  <c r="AJ25" i="15"/>
  <c r="AK25" i="15" s="1"/>
  <c r="AM25" i="15" s="1"/>
  <c r="AP25" i="15"/>
  <c r="AS25" i="15" s="1"/>
  <c r="AT25" i="15" s="1"/>
  <c r="AJ29" i="15"/>
  <c r="AK29" i="15" s="1"/>
  <c r="AM29" i="15" s="1"/>
  <c r="AP29" i="15"/>
  <c r="AS29" i="15" s="1"/>
  <c r="AT29" i="15" s="1"/>
  <c r="AN29" i="15"/>
  <c r="AW29" i="15" s="1"/>
  <c r="AN24" i="15"/>
  <c r="AW24" i="15" s="1"/>
  <c r="AP24" i="15"/>
  <c r="AS24" i="15" s="1"/>
  <c r="AT24" i="15" s="1"/>
  <c r="AJ24" i="15"/>
  <c r="AK24" i="15" s="1"/>
  <c r="AM24" i="15" s="1"/>
  <c r="AN23" i="15"/>
  <c r="AW23" i="15" s="1"/>
  <c r="AP23" i="15"/>
  <c r="AS23" i="15" s="1"/>
  <c r="AT23" i="15" s="1"/>
  <c r="AJ23" i="15"/>
  <c r="AK23" i="15" s="1"/>
  <c r="AM23" i="15" s="1"/>
  <c r="AV34" i="15"/>
  <c r="AO34" i="15"/>
  <c r="AX34" i="15" s="1"/>
  <c r="AP36" i="15"/>
  <c r="AS36" i="15" s="1"/>
  <c r="AT36" i="15" s="1"/>
  <c r="AJ36" i="15"/>
  <c r="AK36" i="15" s="1"/>
  <c r="AM36" i="15" s="1"/>
  <c r="AN36" i="15"/>
  <c r="AW36" i="15" s="1"/>
  <c r="AN38" i="15"/>
  <c r="AW38" i="15" s="1"/>
  <c r="AP38" i="15"/>
  <c r="AS38" i="15" s="1"/>
  <c r="AT38" i="15" s="1"/>
  <c r="AJ38" i="15"/>
  <c r="AK38" i="15" s="1"/>
  <c r="AM38" i="15" s="1"/>
  <c r="AN39" i="15"/>
  <c r="AW39" i="15" s="1"/>
  <c r="AJ39" i="15"/>
  <c r="AK39" i="15" s="1"/>
  <c r="AM39" i="15" s="1"/>
  <c r="AP39" i="15"/>
  <c r="AS39" i="15" s="1"/>
  <c r="AT39" i="15" s="1"/>
  <c r="AN37" i="15"/>
  <c r="AW37" i="15" s="1"/>
  <c r="AP37" i="15"/>
  <c r="AS37" i="15" s="1"/>
  <c r="AT37" i="15" s="1"/>
  <c r="AJ37" i="15"/>
  <c r="AK37" i="15" s="1"/>
  <c r="AM37" i="15" s="1"/>
  <c r="AN41" i="15"/>
  <c r="AW41" i="15" s="1"/>
  <c r="AP41" i="15"/>
  <c r="AS41" i="15" s="1"/>
  <c r="AT41" i="15" s="1"/>
  <c r="AJ41" i="15"/>
  <c r="AK41" i="15" s="1"/>
  <c r="AM41" i="15" s="1"/>
  <c r="AJ27" i="15"/>
  <c r="AK27" i="15" s="1"/>
  <c r="AM27" i="15" s="1"/>
  <c r="AV27" i="15" s="1"/>
  <c r="AN27" i="15"/>
  <c r="AW27" i="15" s="1"/>
  <c r="AP26" i="15"/>
  <c r="AS26" i="15" s="1"/>
  <c r="AT26" i="15" s="1"/>
  <c r="AN26" i="15"/>
  <c r="AW26" i="15" s="1"/>
  <c r="AJ26" i="15"/>
  <c r="AK26" i="15" s="1"/>
  <c r="AM26" i="15" s="1"/>
  <c r="AJ28" i="15"/>
  <c r="AK28" i="15" s="1"/>
  <c r="AM28" i="15" s="1"/>
  <c r="AN28" i="15"/>
  <c r="AW28" i="15" s="1"/>
  <c r="AP28" i="15"/>
  <c r="AS28" i="15" s="1"/>
  <c r="AT28" i="15" s="1"/>
  <c r="AP40" i="15"/>
  <c r="AS40" i="15" s="1"/>
  <c r="AT40" i="15" s="1"/>
  <c r="AJ40" i="15"/>
  <c r="AK40" i="15" s="1"/>
  <c r="AM40" i="15" s="1"/>
  <c r="AV40" i="15" s="1"/>
  <c r="AN7" i="15"/>
  <c r="AW7" i="15" s="1"/>
  <c r="M27" i="23"/>
  <c r="M29" i="23" s="1"/>
  <c r="M30" i="23" s="1"/>
  <c r="M32" i="23" s="1"/>
  <c r="AW68" i="15"/>
  <c r="AN136" i="15"/>
  <c r="AW136" i="15" s="1"/>
  <c r="AJ136" i="15"/>
  <c r="AK136" i="15" s="1"/>
  <c r="AM136" i="15" s="1"/>
  <c r="AV136" i="15" s="1"/>
  <c r="AP136" i="15"/>
  <c r="AS136" i="15" s="1"/>
  <c r="AT136" i="15" s="1"/>
  <c r="AN141" i="15"/>
  <c r="AW141" i="15" s="1"/>
  <c r="AJ71" i="15"/>
  <c r="AK71" i="15" s="1"/>
  <c r="AM71" i="15" s="1"/>
  <c r="AN71" i="15"/>
  <c r="AP71" i="15"/>
  <c r="AS71" i="15" s="1"/>
  <c r="AT71" i="15" s="1"/>
  <c r="AJ70" i="15"/>
  <c r="AK70" i="15" s="1"/>
  <c r="AM70" i="15" s="1"/>
  <c r="AP70" i="15"/>
  <c r="AS70" i="15" s="1"/>
  <c r="AT70" i="15" s="1"/>
  <c r="AN70" i="15"/>
  <c r="AN72" i="15"/>
  <c r="AJ72" i="15"/>
  <c r="AK72" i="15" s="1"/>
  <c r="AM72" i="15" s="1"/>
  <c r="AP72" i="15"/>
  <c r="AS72" i="15" s="1"/>
  <c r="AT72" i="15" s="1"/>
  <c r="AJ141" i="15"/>
  <c r="AK141" i="15" s="1"/>
  <c r="AM141" i="15" s="1"/>
  <c r="AV141" i="15" s="1"/>
  <c r="AJ62" i="15"/>
  <c r="AK62" i="15" s="1"/>
  <c r="AM62" i="15" s="1"/>
  <c r="AN62" i="15"/>
  <c r="AP62" i="15"/>
  <c r="AS62" i="15" s="1"/>
  <c r="AT62" i="15" s="1"/>
  <c r="AP63" i="15"/>
  <c r="AS63" i="15" s="1"/>
  <c r="AT63" i="15" s="1"/>
  <c r="AN63" i="15"/>
  <c r="AJ63" i="15"/>
  <c r="AK63" i="15" s="1"/>
  <c r="AM63" i="15" s="1"/>
  <c r="AN35" i="15"/>
  <c r="AJ35" i="15"/>
  <c r="AK35" i="15" s="1"/>
  <c r="AM35" i="15" s="1"/>
  <c r="AP35" i="15"/>
  <c r="AS35" i="15" s="1"/>
  <c r="AT35" i="15" s="1"/>
  <c r="AG5" i="15"/>
  <c r="AN5" i="15" s="1"/>
  <c r="AJ61" i="15"/>
  <c r="AK61" i="15" s="1"/>
  <c r="AM61" i="15" s="1"/>
  <c r="AP61" i="15"/>
  <c r="AS61" i="15" s="1"/>
  <c r="AT61" i="15" s="1"/>
  <c r="AN61" i="15"/>
  <c r="AP58" i="15"/>
  <c r="AS58" i="15" s="1"/>
  <c r="AT58" i="15" s="1"/>
  <c r="AN58" i="15"/>
  <c r="AJ58" i="15"/>
  <c r="AK58" i="15" s="1"/>
  <c r="AM58" i="15" s="1"/>
  <c r="AP43" i="15"/>
  <c r="AS43" i="15" s="1"/>
  <c r="AJ59" i="15"/>
  <c r="AK59" i="15" s="1"/>
  <c r="AM59" i="15" s="1"/>
  <c r="AP59" i="15"/>
  <c r="AS59" i="15" s="1"/>
  <c r="AT59" i="15" s="1"/>
  <c r="AN59" i="15"/>
  <c r="AJ60" i="15"/>
  <c r="AK60" i="15" s="1"/>
  <c r="AM60" i="15" s="1"/>
  <c r="AN60" i="15"/>
  <c r="AP60" i="15"/>
  <c r="AS60" i="15" s="1"/>
  <c r="AT60" i="15" s="1"/>
  <c r="AJ43" i="15"/>
  <c r="AK43" i="15" s="1"/>
  <c r="AM43" i="15" s="1"/>
  <c r="AV43" i="15" s="1"/>
  <c r="AP57" i="15"/>
  <c r="AS57" i="15" s="1"/>
  <c r="AT57" i="15" s="1"/>
  <c r="AN57" i="15"/>
  <c r="AJ57" i="15"/>
  <c r="AK57" i="15" s="1"/>
  <c r="AM57" i="15" s="1"/>
  <c r="AN45" i="15"/>
  <c r="AP45" i="15"/>
  <c r="AS45" i="15" s="1"/>
  <c r="AT45" i="15" s="1"/>
  <c r="AJ45" i="15"/>
  <c r="AK45" i="15" s="1"/>
  <c r="AM45" i="15" s="1"/>
  <c r="AN47" i="15"/>
  <c r="AP47" i="15"/>
  <c r="AS47" i="15" s="1"/>
  <c r="AT47" i="15" s="1"/>
  <c r="AJ47" i="15"/>
  <c r="AK47" i="15" s="1"/>
  <c r="AM47" i="15" s="1"/>
  <c r="AP49" i="15"/>
  <c r="AS49" i="15" s="1"/>
  <c r="AT49" i="15" s="1"/>
  <c r="AN49" i="15"/>
  <c r="AJ49" i="15"/>
  <c r="AK49" i="15" s="1"/>
  <c r="AM49" i="15" s="1"/>
  <c r="AN44" i="15"/>
  <c r="AJ44" i="15"/>
  <c r="AK44" i="15" s="1"/>
  <c r="AM44" i="15" s="1"/>
  <c r="AP44" i="15"/>
  <c r="AS44" i="15" s="1"/>
  <c r="AT44" i="15" s="1"/>
  <c r="AN48" i="15"/>
  <c r="AP48" i="15"/>
  <c r="AS48" i="15" s="1"/>
  <c r="AT48" i="15" s="1"/>
  <c r="AJ48" i="15"/>
  <c r="AK48" i="15" s="1"/>
  <c r="AM48" i="15" s="1"/>
  <c r="AN50" i="15"/>
  <c r="AJ50" i="15"/>
  <c r="AK50" i="15" s="1"/>
  <c r="AM50" i="15" s="1"/>
  <c r="AP50" i="15"/>
  <c r="AS50" i="15" s="1"/>
  <c r="AT50" i="15" s="1"/>
  <c r="AJ51" i="15"/>
  <c r="AK51" i="15" s="1"/>
  <c r="AM51" i="15" s="1"/>
  <c r="AN51" i="15"/>
  <c r="AP51" i="15"/>
  <c r="AS51" i="15" s="1"/>
  <c r="AT51" i="15" s="1"/>
  <c r="AN52" i="15"/>
  <c r="AJ52" i="15"/>
  <c r="AK52" i="15" s="1"/>
  <c r="AM52" i="15" s="1"/>
  <c r="AP52" i="15"/>
  <c r="AS52" i="15" s="1"/>
  <c r="AT52" i="15" s="1"/>
  <c r="AW43" i="15"/>
  <c r="AP53" i="15"/>
  <c r="AS53" i="15" s="1"/>
  <c r="AT53" i="15" s="1"/>
  <c r="AN53" i="15"/>
  <c r="AJ53" i="15"/>
  <c r="AK53" i="15" s="1"/>
  <c r="AM53" i="15" s="1"/>
  <c r="AN46" i="15"/>
  <c r="AJ46" i="15"/>
  <c r="AK46" i="15" s="1"/>
  <c r="AM46" i="15" s="1"/>
  <c r="AP46" i="15"/>
  <c r="AS46" i="15" s="1"/>
  <c r="AT46" i="15" s="1"/>
  <c r="AJ68" i="15"/>
  <c r="AK68" i="15" s="1"/>
  <c r="AM68" i="15" s="1"/>
  <c r="AO68" i="15" s="1"/>
  <c r="AX68" i="15" s="1"/>
  <c r="AP68" i="15"/>
  <c r="AS68" i="15" s="1"/>
  <c r="AT68" i="15" s="1"/>
  <c r="AP139" i="15"/>
  <c r="AS139" i="15" s="1"/>
  <c r="AT139" i="15" s="1"/>
  <c r="AN139" i="15"/>
  <c r="AJ139" i="15"/>
  <c r="AK139" i="15" s="1"/>
  <c r="AM139" i="15" s="1"/>
  <c r="AP9" i="15"/>
  <c r="AS9" i="15" s="1"/>
  <c r="AT9" i="15" s="1"/>
  <c r="AN9" i="15"/>
  <c r="AP7" i="15"/>
  <c r="AJ7" i="15"/>
  <c r="AK7" i="15" s="1"/>
  <c r="AM7" i="15" s="1"/>
  <c r="AV7" i="15" s="1"/>
  <c r="AN32" i="15"/>
  <c r="AJ32" i="15"/>
  <c r="AK32" i="15" s="1"/>
  <c r="AM32" i="15" s="1"/>
  <c r="AP32" i="15"/>
  <c r="AS32" i="15" s="1"/>
  <c r="AT32" i="15" s="1"/>
  <c r="AW8" i="15"/>
  <c r="AW19" i="15"/>
  <c r="AW10" i="15"/>
  <c r="AJ19" i="15"/>
  <c r="AK19" i="15" s="1"/>
  <c r="AM19" i="15" s="1"/>
  <c r="AV19" i="15" s="1"/>
  <c r="AP19" i="15"/>
  <c r="AS19" i="15" s="1"/>
  <c r="AT19" i="15" s="1"/>
  <c r="AJ11" i="15"/>
  <c r="AK11" i="15" s="1"/>
  <c r="AM11" i="15" s="1"/>
  <c r="AV11" i="15" s="1"/>
  <c r="AN11" i="15"/>
  <c r="AP10" i="15"/>
  <c r="AS10" i="15" s="1"/>
  <c r="AT10" i="15" s="1"/>
  <c r="AJ10" i="15"/>
  <c r="AK10" i="15" s="1"/>
  <c r="AM10" i="15" s="1"/>
  <c r="AO10" i="15" s="1"/>
  <c r="AJ15" i="15"/>
  <c r="AK15" i="15" s="1"/>
  <c r="AM15" i="15" s="1"/>
  <c r="AO15" i="15" s="1"/>
  <c r="AN15" i="15"/>
  <c r="AP8" i="15"/>
  <c r="AS8" i="15" s="1"/>
  <c r="AT8" i="15" s="1"/>
  <c r="AJ8" i="15"/>
  <c r="AK8" i="15" s="1"/>
  <c r="AM8" i="15" s="1"/>
  <c r="AV8" i="15" s="1"/>
  <c r="AP14" i="15"/>
  <c r="AS14" i="15" s="1"/>
  <c r="AT14" i="15" s="1"/>
  <c r="AJ14" i="15"/>
  <c r="AK14" i="15" s="1"/>
  <c r="AM14" i="15" s="1"/>
  <c r="AO14" i="15" s="1"/>
  <c r="AJ21" i="15"/>
  <c r="AK21" i="15" s="1"/>
  <c r="AM21" i="15" s="1"/>
  <c r="AV21" i="15" s="1"/>
  <c r="AP21" i="15"/>
  <c r="AS21" i="15" s="1"/>
  <c r="AT21" i="15" s="1"/>
  <c r="AN13" i="15"/>
  <c r="AP13" i="15"/>
  <c r="AS13" i="15" s="1"/>
  <c r="AT13" i="15" s="1"/>
  <c r="AN12" i="15"/>
  <c r="AJ12" i="15"/>
  <c r="AK12" i="15" s="1"/>
  <c r="AM12" i="15" s="1"/>
  <c r="AO12" i="15" s="1"/>
  <c r="AP67" i="15"/>
  <c r="AS67" i="15" s="1"/>
  <c r="AT67" i="15" s="1"/>
  <c r="AJ67" i="15"/>
  <c r="AK67" i="15" s="1"/>
  <c r="AM67" i="15" s="1"/>
  <c r="AN67" i="15"/>
  <c r="AP66" i="15"/>
  <c r="AS66" i="15" s="1"/>
  <c r="AT66" i="15" s="1"/>
  <c r="AJ66" i="15"/>
  <c r="AK66" i="15" s="1"/>
  <c r="AM66" i="15" s="1"/>
  <c r="AN66" i="15"/>
  <c r="AP65" i="15"/>
  <c r="AS65" i="15" s="1"/>
  <c r="AT65" i="15" s="1"/>
  <c r="AJ65" i="15"/>
  <c r="AK65" i="15" s="1"/>
  <c r="AM65" i="15" s="1"/>
  <c r="AN65" i="15"/>
  <c r="AP64" i="15"/>
  <c r="AS64" i="15" s="1"/>
  <c r="AT64" i="15" s="1"/>
  <c r="AJ64" i="15"/>
  <c r="AK64" i="15" s="1"/>
  <c r="AM64" i="15" s="1"/>
  <c r="AN64" i="15"/>
  <c r="AP6" i="15"/>
  <c r="AS6" i="15" s="1"/>
  <c r="AT6" i="15" s="1"/>
  <c r="AJ6" i="15"/>
  <c r="AK6" i="15" s="1"/>
  <c r="AM6" i="15" s="1"/>
  <c r="AO6" i="15" s="1"/>
  <c r="AN20" i="15"/>
  <c r="AJ20" i="15"/>
  <c r="AK20" i="15" s="1"/>
  <c r="AM20" i="15" s="1"/>
  <c r="AV20" i="15" s="1"/>
  <c r="AJ17" i="15"/>
  <c r="AK17" i="15" s="1"/>
  <c r="AM17" i="15" s="1"/>
  <c r="AO17" i="15" s="1"/>
  <c r="AN17" i="15"/>
  <c r="AP56" i="15"/>
  <c r="AS56" i="15" s="1"/>
  <c r="AT56" i="15" s="1"/>
  <c r="AJ56" i="15"/>
  <c r="AK56" i="15" s="1"/>
  <c r="AM56" i="15" s="1"/>
  <c r="AN56" i="15"/>
  <c r="AP55" i="15"/>
  <c r="AS55" i="15" s="1"/>
  <c r="AT55" i="15" s="1"/>
  <c r="AJ55" i="15"/>
  <c r="AK55" i="15" s="1"/>
  <c r="AM55" i="15" s="1"/>
  <c r="AN55" i="15"/>
  <c r="AP54" i="15"/>
  <c r="AS54" i="15" s="1"/>
  <c r="AT54" i="15" s="1"/>
  <c r="AJ54" i="15"/>
  <c r="AK54" i="15" s="1"/>
  <c r="AM54" i="15" s="1"/>
  <c r="AN54" i="15"/>
  <c r="AJ18" i="15"/>
  <c r="AK18" i="15" s="1"/>
  <c r="AM18" i="15" s="1"/>
  <c r="AO18" i="15" s="1"/>
  <c r="AP18" i="15"/>
  <c r="AS18" i="15" s="1"/>
  <c r="AT18" i="15" s="1"/>
  <c r="AJ16" i="15"/>
  <c r="AK16" i="15" s="1"/>
  <c r="AM16" i="15" s="1"/>
  <c r="AV16" i="15" s="1"/>
  <c r="AP16" i="15"/>
  <c r="AS16" i="15" s="1"/>
  <c r="AT16" i="15" s="1"/>
  <c r="AW40" i="15"/>
  <c r="AJ22" i="15"/>
  <c r="AK22" i="15" s="1"/>
  <c r="AM22" i="15" s="1"/>
  <c r="AO22" i="15" s="1"/>
  <c r="AP22" i="15"/>
  <c r="AS22" i="15" s="1"/>
  <c r="AT22" i="15" s="1"/>
  <c r="AW16" i="15"/>
  <c r="AW22" i="15"/>
  <c r="AW21" i="15"/>
  <c r="AW18" i="15"/>
  <c r="AW14" i="15"/>
  <c r="AV9" i="15"/>
  <c r="AO9" i="15"/>
  <c r="AV13" i="15"/>
  <c r="AO13" i="15"/>
  <c r="AW6" i="15"/>
  <c r="AV69" i="15" l="1"/>
  <c r="AO69" i="15"/>
  <c r="AX69" i="15" s="1"/>
  <c r="AO42" i="15"/>
  <c r="AX42" i="15" s="1"/>
  <c r="AV31" i="15"/>
  <c r="AO31" i="15"/>
  <c r="AX31" i="15" s="1"/>
  <c r="AV33" i="15"/>
  <c r="AO33" i="15"/>
  <c r="AX33" i="15" s="1"/>
  <c r="AV24" i="15"/>
  <c r="AO24" i="15"/>
  <c r="AX24" i="15" s="1"/>
  <c r="AV23" i="15"/>
  <c r="AO23" i="15"/>
  <c r="AX23" i="15" s="1"/>
  <c r="AV29" i="15"/>
  <c r="AO29" i="15"/>
  <c r="AX29" i="15" s="1"/>
  <c r="AO25" i="15"/>
  <c r="AX25" i="15" s="1"/>
  <c r="AV25" i="15"/>
  <c r="AO41" i="15"/>
  <c r="AX41" i="15" s="1"/>
  <c r="AV41" i="15"/>
  <c r="AV37" i="15"/>
  <c r="AO37" i="15"/>
  <c r="AX37" i="15" s="1"/>
  <c r="AV39" i="15"/>
  <c r="AO39" i="15"/>
  <c r="AX39" i="15" s="1"/>
  <c r="AV38" i="15"/>
  <c r="AO38" i="15"/>
  <c r="AX38" i="15" s="1"/>
  <c r="AV36" i="15"/>
  <c r="AO36" i="15"/>
  <c r="AX36" i="15" s="1"/>
  <c r="AO27" i="15"/>
  <c r="AX27" i="15" s="1"/>
  <c r="AO40" i="15"/>
  <c r="AX40" i="15" s="1"/>
  <c r="AV26" i="15"/>
  <c r="AO26" i="15"/>
  <c r="AX26" i="15" s="1"/>
  <c r="AO28" i="15"/>
  <c r="AX28" i="15" s="1"/>
  <c r="AV28" i="15"/>
  <c r="AS7" i="15"/>
  <c r="AT7" i="15" s="1"/>
  <c r="K27" i="23"/>
  <c r="K29" i="23" s="1"/>
  <c r="K30" i="23" s="1"/>
  <c r="K32" i="23" s="1"/>
  <c r="AW48" i="15"/>
  <c r="AW44" i="15"/>
  <c r="AW58" i="15"/>
  <c r="AW49" i="15"/>
  <c r="AW61" i="15"/>
  <c r="AW71" i="15"/>
  <c r="AW46" i="15"/>
  <c r="AO136" i="15"/>
  <c r="AX136" i="15" s="1"/>
  <c r="AW53" i="15"/>
  <c r="AW72" i="15"/>
  <c r="AW51" i="15"/>
  <c r="AW45" i="15"/>
  <c r="AW59" i="15"/>
  <c r="AW62" i="15"/>
  <c r="AW60" i="15"/>
  <c r="AW70" i="15"/>
  <c r="AW47" i="15"/>
  <c r="AW35" i="15"/>
  <c r="AW52" i="15"/>
  <c r="AW63" i="15"/>
  <c r="AW9" i="15"/>
  <c r="AW50" i="15"/>
  <c r="AO72" i="15"/>
  <c r="AX72" i="15" s="1"/>
  <c r="AV72" i="15"/>
  <c r="AV70" i="15"/>
  <c r="AO70" i="15"/>
  <c r="AX70" i="15" s="1"/>
  <c r="AO141" i="15"/>
  <c r="E5" i="1" s="1" a="1"/>
  <c r="AO71" i="15"/>
  <c r="AX71" i="15" s="1"/>
  <c r="AV71" i="15"/>
  <c r="AO63" i="15"/>
  <c r="AX63" i="15" s="1"/>
  <c r="AV63" i="15"/>
  <c r="AO62" i="15"/>
  <c r="AX62" i="15" s="1"/>
  <c r="AV62" i="15"/>
  <c r="AV35" i="15"/>
  <c r="AO35" i="15"/>
  <c r="AX35" i="15" s="1"/>
  <c r="AT43" i="15"/>
  <c r="AP5" i="15"/>
  <c r="AS5" i="15" s="1"/>
  <c r="AT5" i="15" s="1"/>
  <c r="AJ5" i="15"/>
  <c r="AK5" i="15" s="1"/>
  <c r="AM5" i="15" s="1"/>
  <c r="AO5" i="15" s="1"/>
  <c r="AW5" i="15"/>
  <c r="I27" i="23"/>
  <c r="I29" i="23" s="1"/>
  <c r="I30" i="23" s="1"/>
  <c r="AW57" i="15"/>
  <c r="AW139" i="15"/>
  <c r="AO60" i="15"/>
  <c r="AX60" i="15" s="1"/>
  <c r="AV60" i="15"/>
  <c r="AV59" i="15"/>
  <c r="AO59" i="15"/>
  <c r="AX59" i="15" s="1"/>
  <c r="AO43" i="15"/>
  <c r="AX43" i="15" s="1"/>
  <c r="AO58" i="15"/>
  <c r="AX58" i="15" s="1"/>
  <c r="AV58" i="15"/>
  <c r="AO61" i="15"/>
  <c r="AX61" i="15" s="1"/>
  <c r="AV61" i="15"/>
  <c r="AO57" i="15"/>
  <c r="AX57" i="15" s="1"/>
  <c r="AV57" i="15"/>
  <c r="AV48" i="15"/>
  <c r="AO48" i="15"/>
  <c r="AX48" i="15" s="1"/>
  <c r="AW32" i="15"/>
  <c r="AO51" i="15"/>
  <c r="AX51" i="15" s="1"/>
  <c r="AV51" i="15"/>
  <c r="AV50" i="15"/>
  <c r="AO50" i="15"/>
  <c r="AX50" i="15" s="1"/>
  <c r="AO46" i="15"/>
  <c r="AX46" i="15" s="1"/>
  <c r="AV46" i="15"/>
  <c r="AV44" i="15"/>
  <c r="AO44" i="15"/>
  <c r="AX44" i="15" s="1"/>
  <c r="AO49" i="15"/>
  <c r="AX49" i="15" s="1"/>
  <c r="AV49" i="15"/>
  <c r="AO53" i="15"/>
  <c r="AX53" i="15" s="1"/>
  <c r="AV53" i="15"/>
  <c r="AV47" i="15"/>
  <c r="AO47" i="15"/>
  <c r="AX47" i="15" s="1"/>
  <c r="AV68" i="15"/>
  <c r="AV45" i="15"/>
  <c r="AO45" i="15"/>
  <c r="AX45" i="15" s="1"/>
  <c r="AV52" i="15"/>
  <c r="AO52" i="15"/>
  <c r="AX52" i="15" s="1"/>
  <c r="AV139" i="15"/>
  <c r="AO139" i="15"/>
  <c r="AW15" i="15"/>
  <c r="AO7" i="15"/>
  <c r="E5" i="24" s="1" a="1"/>
  <c r="AO32" i="15"/>
  <c r="AV32" i="15"/>
  <c r="AW54" i="15"/>
  <c r="AW56" i="15"/>
  <c r="AW55" i="15"/>
  <c r="AW13" i="15"/>
  <c r="AW20" i="15"/>
  <c r="AO19" i="15"/>
  <c r="AX9" i="15"/>
  <c r="AX10" i="15"/>
  <c r="AW11" i="15"/>
  <c r="AW12" i="15"/>
  <c r="AO11" i="15"/>
  <c r="AV15" i="15"/>
  <c r="AV10" i="15"/>
  <c r="AO21" i="15"/>
  <c r="AO8" i="15"/>
  <c r="AW66" i="15"/>
  <c r="AW67" i="15"/>
  <c r="AW64" i="15"/>
  <c r="AW65" i="15"/>
  <c r="AV14" i="15"/>
  <c r="AV12" i="15"/>
  <c r="AV65" i="15"/>
  <c r="AO65" i="15"/>
  <c r="AV66" i="15"/>
  <c r="AO66" i="15"/>
  <c r="AO67" i="15"/>
  <c r="AV67" i="15"/>
  <c r="AO20" i="15"/>
  <c r="AV64" i="15"/>
  <c r="AO64" i="15"/>
  <c r="AW17" i="15"/>
  <c r="AV6" i="15"/>
  <c r="AV17" i="15"/>
  <c r="AV18" i="15"/>
  <c r="AO55" i="15"/>
  <c r="AV55" i="15"/>
  <c r="AV56" i="15"/>
  <c r="AO56" i="15"/>
  <c r="AV54" i="15"/>
  <c r="AO54" i="15"/>
  <c r="AO16" i="15"/>
  <c r="AV22" i="15"/>
  <c r="AX12" i="15"/>
  <c r="AX14" i="15"/>
  <c r="AX22" i="15"/>
  <c r="AX15" i="15"/>
  <c r="AX13" i="15"/>
  <c r="AX18" i="15"/>
  <c r="AX17" i="15"/>
  <c r="AX6" i="15"/>
  <c r="C60" i="1" l="1"/>
  <c r="C70" i="1"/>
  <c r="C61" i="1"/>
  <c r="C65" i="1"/>
  <c r="C62" i="1"/>
  <c r="C64" i="1"/>
  <c r="C63" i="1"/>
  <c r="C66" i="1"/>
  <c r="C67" i="1"/>
  <c r="C68" i="1"/>
  <c r="C69" i="1"/>
  <c r="C48" i="1"/>
  <c r="C49" i="1"/>
  <c r="C50" i="1"/>
  <c r="C51" i="1"/>
  <c r="C52" i="1"/>
  <c r="C53" i="1"/>
  <c r="C54" i="1"/>
  <c r="C55" i="1"/>
  <c r="C56" i="1"/>
  <c r="C57" i="1"/>
  <c r="C58" i="1"/>
  <c r="C59" i="1"/>
  <c r="E5" i="1"/>
  <c r="C42" i="1"/>
  <c r="C20" i="1"/>
  <c r="C47" i="1"/>
  <c r="C41" i="1"/>
  <c r="C25" i="1"/>
  <c r="C10" i="1"/>
  <c r="C9" i="1"/>
  <c r="C29" i="1"/>
  <c r="C6" i="1"/>
  <c r="C19" i="1"/>
  <c r="C46" i="1"/>
  <c r="C38" i="1"/>
  <c r="C24" i="1"/>
  <c r="C18" i="1"/>
  <c r="C44" i="1"/>
  <c r="C17" i="1"/>
  <c r="C22" i="1"/>
  <c r="C15" i="1"/>
  <c r="C14" i="1"/>
  <c r="C39" i="1"/>
  <c r="C13" i="1"/>
  <c r="C12" i="1"/>
  <c r="C5" i="1"/>
  <c r="C11" i="1"/>
  <c r="C37" i="1"/>
  <c r="C36" i="1"/>
  <c r="C31" i="1"/>
  <c r="C30" i="1"/>
  <c r="C32" i="1"/>
  <c r="C7" i="1"/>
  <c r="C43" i="1"/>
  <c r="C26" i="1"/>
  <c r="C40" i="1"/>
  <c r="C35" i="1"/>
  <c r="C33" i="1"/>
  <c r="C45" i="1"/>
  <c r="C23" i="1"/>
  <c r="C21" i="1"/>
  <c r="C16" i="1"/>
  <c r="C34" i="1"/>
  <c r="C8" i="1"/>
  <c r="C28" i="1"/>
  <c r="C27" i="1"/>
  <c r="AX141" i="15"/>
  <c r="C10" i="24"/>
  <c r="L11" i="24"/>
  <c r="B11" i="24" s="1"/>
  <c r="C11" i="24"/>
  <c r="C6" i="24"/>
  <c r="N10" i="24"/>
  <c r="L10" i="24"/>
  <c r="B10" i="24" s="1"/>
  <c r="L6" i="24"/>
  <c r="B6" i="24" s="1"/>
  <c r="C9" i="24"/>
  <c r="L5" i="24"/>
  <c r="N5" i="24"/>
  <c r="N9" i="24"/>
  <c r="N11" i="24"/>
  <c r="P7" i="24"/>
  <c r="S7" i="24" s="1"/>
  <c r="E5" i="24"/>
  <c r="P8" i="24"/>
  <c r="S8" i="24" s="1"/>
  <c r="P9" i="24"/>
  <c r="S9" i="24" s="1"/>
  <c r="N6" i="24"/>
  <c r="N8" i="24"/>
  <c r="N7" i="24"/>
  <c r="P10" i="24"/>
  <c r="S10" i="24" s="1"/>
  <c r="L9" i="24"/>
  <c r="B9" i="24" s="1"/>
  <c r="P11" i="24"/>
  <c r="S11" i="24" s="1"/>
  <c r="C7" i="24"/>
  <c r="L8" i="24"/>
  <c r="B8" i="24" s="1"/>
  <c r="C5" i="24"/>
  <c r="L7" i="24"/>
  <c r="B7" i="24" s="1"/>
  <c r="C8" i="24"/>
  <c r="P5" i="24"/>
  <c r="S5" i="24" s="1"/>
  <c r="P6" i="24"/>
  <c r="S6" i="24" s="1"/>
  <c r="E29" i="23"/>
  <c r="AV5" i="15"/>
  <c r="G27" i="23"/>
  <c r="C27" i="23" s="1"/>
  <c r="C29" i="23" s="1"/>
  <c r="C30" i="23" s="1"/>
  <c r="C32" i="23" s="1"/>
  <c r="E27" i="23"/>
  <c r="AX32" i="15"/>
  <c r="AX7" i="15"/>
  <c r="AX139" i="15"/>
  <c r="AX16" i="15"/>
  <c r="AX21" i="15"/>
  <c r="AX19" i="15"/>
  <c r="AX54" i="15"/>
  <c r="AX56" i="15"/>
  <c r="AX55" i="15"/>
  <c r="AX8" i="15"/>
  <c r="AX11" i="15"/>
  <c r="AX67" i="15"/>
  <c r="AX65" i="15"/>
  <c r="AX64" i="15"/>
  <c r="AX66" i="15"/>
  <c r="AX20" i="15"/>
  <c r="AX5" i="15"/>
  <c r="I32" i="23"/>
  <c r="M33" i="23"/>
  <c r="N33" i="23"/>
  <c r="B5" i="22" l="1" a="1"/>
  <c r="H60" i="22" s="1"/>
  <c r="L33" i="23"/>
  <c r="N35" i="23"/>
  <c r="K33" i="23"/>
  <c r="K35" i="23" s="1"/>
  <c r="M35" i="23"/>
  <c r="D5" i="24"/>
  <c r="D6" i="24" s="1"/>
  <c r="D7" i="24" s="1"/>
  <c r="D8" i="24" s="1"/>
  <c r="D9" i="24" s="1"/>
  <c r="D10" i="24" s="1"/>
  <c r="D11" i="24" s="1"/>
  <c r="D12" i="24" s="1"/>
  <c r="D13" i="24" s="1"/>
  <c r="A5" i="24"/>
  <c r="A6" i="24" s="1"/>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75" i="24" s="1"/>
  <c r="A76" i="24" s="1"/>
  <c r="A77" i="24" s="1"/>
  <c r="A78" i="24" s="1"/>
  <c r="A79" i="24" s="1"/>
  <c r="A80" i="24" s="1"/>
  <c r="A81" i="24" s="1"/>
  <c r="A82" i="24" s="1"/>
  <c r="A83" i="24" s="1"/>
  <c r="A84" i="24" s="1"/>
  <c r="A85" i="24" s="1"/>
  <c r="A86" i="24" s="1"/>
  <c r="A87" i="24" s="1"/>
  <c r="A88" i="24" s="1"/>
  <c r="A89" i="24" s="1"/>
  <c r="A90" i="24" s="1"/>
  <c r="A91" i="24" s="1"/>
  <c r="A92" i="24" s="1"/>
  <c r="A93" i="24" s="1"/>
  <c r="A94" i="24" s="1"/>
  <c r="A95" i="24" s="1"/>
  <c r="A96" i="24" s="1"/>
  <c r="A97" i="24" s="1"/>
  <c r="A98" i="24" s="1"/>
  <c r="A99" i="24" s="1"/>
  <c r="A100" i="24" s="1"/>
  <c r="A101" i="24" s="1"/>
  <c r="A102" i="24" s="1"/>
  <c r="A103" i="24" s="1"/>
  <c r="A104" i="24" s="1"/>
  <c r="A105" i="24" s="1"/>
  <c r="A106" i="24" s="1"/>
  <c r="A107" i="24" s="1"/>
  <c r="A108" i="24" s="1"/>
  <c r="A109" i="24" s="1"/>
  <c r="A110" i="24" s="1"/>
  <c r="A111" i="24" s="1"/>
  <c r="A112" i="24" s="1"/>
  <c r="A113" i="24" s="1"/>
  <c r="A114" i="24" s="1"/>
  <c r="A115" i="24" s="1"/>
  <c r="A116" i="24" s="1"/>
  <c r="A117" i="24" s="1"/>
  <c r="A118" i="24" s="1"/>
  <c r="A119" i="24" s="1"/>
  <c r="A120" i="24" s="1"/>
  <c r="A121" i="24" s="1"/>
  <c r="A122" i="24" s="1"/>
  <c r="A123" i="24" s="1"/>
  <c r="A124" i="24" s="1"/>
  <c r="A125" i="24" s="1"/>
  <c r="A126" i="24" s="1"/>
  <c r="A127" i="24" s="1"/>
  <c r="A128" i="24" s="1"/>
  <c r="A129" i="24" s="1"/>
  <c r="A130" i="24" s="1"/>
  <c r="A131" i="24" s="1"/>
  <c r="A132" i="24" s="1"/>
  <c r="A133" i="24" s="1"/>
  <c r="A134" i="24" s="1"/>
  <c r="A135" i="24" s="1"/>
  <c r="A136" i="24" s="1"/>
  <c r="A137" i="24" s="1"/>
  <c r="A138" i="24" s="1"/>
  <c r="A139" i="24" s="1"/>
  <c r="A140" i="24" s="1"/>
  <c r="A141" i="24" s="1"/>
  <c r="A142" i="24" s="1"/>
  <c r="A143" i="24" s="1"/>
  <c r="A144" i="24" s="1"/>
  <c r="A145" i="24" s="1"/>
  <c r="A146" i="24" s="1"/>
  <c r="A147" i="24" s="1"/>
  <c r="A148" i="24" s="1"/>
  <c r="A149" i="24" s="1"/>
  <c r="A150" i="24" s="1"/>
  <c r="A151" i="24" s="1"/>
  <c r="A152" i="24" s="1"/>
  <c r="A153" i="24" s="1"/>
  <c r="A154" i="24" s="1"/>
  <c r="A155" i="24" s="1"/>
  <c r="A156" i="24" s="1"/>
  <c r="A157" i="24" s="1"/>
  <c r="A158" i="24" s="1"/>
  <c r="A159" i="24" s="1"/>
  <c r="A160" i="24" s="1"/>
  <c r="A161" i="24" s="1"/>
  <c r="A162" i="24" s="1"/>
  <c r="A163" i="24" s="1"/>
  <c r="A164" i="24" s="1"/>
  <c r="A165" i="24" s="1"/>
  <c r="A166" i="24" s="1"/>
  <c r="A167" i="24" s="1"/>
  <c r="A168" i="24" s="1"/>
  <c r="A169" i="24" s="1"/>
  <c r="A170" i="24" s="1"/>
  <c r="A171" i="24" s="1"/>
  <c r="A172" i="24" s="1"/>
  <c r="A173" i="24" s="1"/>
  <c r="A174" i="24" s="1"/>
  <c r="A175" i="24" s="1"/>
  <c r="A176" i="24" s="1"/>
  <c r="A177" i="24" s="1"/>
  <c r="A178" i="24" s="1"/>
  <c r="A179" i="24" s="1"/>
  <c r="A180" i="24" s="1"/>
  <c r="A181" i="24" s="1"/>
  <c r="A182" i="24" s="1"/>
  <c r="A183" i="24" s="1"/>
  <c r="A184" i="24" s="1"/>
  <c r="A185" i="24" s="1"/>
  <c r="A186" i="24" s="1"/>
  <c r="A187" i="24" s="1"/>
  <c r="A188" i="24" s="1"/>
  <c r="A189" i="24" s="1"/>
  <c r="A190" i="24" s="1"/>
  <c r="A191" i="24" s="1"/>
  <c r="A192" i="24" s="1"/>
  <c r="A193" i="24" s="1"/>
  <c r="A194" i="24" s="1"/>
  <c r="A195" i="24" s="1"/>
  <c r="A196" i="24" s="1"/>
  <c r="A197" i="24" s="1"/>
  <c r="A198" i="24" s="1"/>
  <c r="A199" i="24" s="1"/>
  <c r="A200" i="24" s="1"/>
  <c r="A201" i="24" s="1"/>
  <c r="A202" i="24" s="1"/>
  <c r="A203" i="24" s="1"/>
  <c r="A204" i="24" s="1"/>
  <c r="A205" i="24" s="1"/>
  <c r="A206" i="24" s="1"/>
  <c r="A207" i="24" s="1"/>
  <c r="A208" i="24" s="1"/>
  <c r="A209" i="24" s="1"/>
  <c r="A210" i="24" s="1"/>
  <c r="A211" i="24" s="1"/>
  <c r="A212" i="24" s="1"/>
  <c r="A213" i="24" s="1"/>
  <c r="A214" i="24" s="1"/>
  <c r="A215" i="24" s="1"/>
  <c r="A216" i="24" s="1"/>
  <c r="A217" i="24" s="1"/>
  <c r="A218" i="24" s="1"/>
  <c r="A219" i="24" s="1"/>
  <c r="A220" i="24" s="1"/>
  <c r="A221" i="24" s="1"/>
  <c r="A222" i="24" s="1"/>
  <c r="A223" i="24" s="1"/>
  <c r="A224" i="24" s="1"/>
  <c r="A225" i="24" s="1"/>
  <c r="A226" i="24" s="1"/>
  <c r="A227" i="24" s="1"/>
  <c r="A228" i="24" s="1"/>
  <c r="A229" i="24" s="1"/>
  <c r="A230" i="24" s="1"/>
  <c r="A231" i="24" s="1"/>
  <c r="A232" i="24" s="1"/>
  <c r="A233" i="24" s="1"/>
  <c r="A234" i="24" s="1"/>
  <c r="A235" i="24" s="1"/>
  <c r="A236" i="24" s="1"/>
  <c r="A237" i="24" s="1"/>
  <c r="A238" i="24" s="1"/>
  <c r="A239" i="24" s="1"/>
  <c r="A240" i="24" s="1"/>
  <c r="A241" i="24" s="1"/>
  <c r="A242" i="24" s="1"/>
  <c r="A243" i="24" s="1"/>
  <c r="A244" i="24" s="1"/>
  <c r="A245" i="24" s="1"/>
  <c r="A246" i="24" s="1"/>
  <c r="A247" i="24" s="1"/>
  <c r="A248" i="24" s="1"/>
  <c r="A249" i="24" s="1"/>
  <c r="A250" i="24" s="1"/>
  <c r="A251" i="24" s="1"/>
  <c r="A252" i="24" s="1"/>
  <c r="A253" i="24" s="1"/>
  <c r="A254" i="24" s="1"/>
  <c r="A255" i="24" s="1"/>
  <c r="A256" i="24" s="1"/>
  <c r="A257" i="24" s="1"/>
  <c r="A258" i="24" s="1"/>
  <c r="A259" i="24" s="1"/>
  <c r="A260" i="24" s="1"/>
  <c r="A261" i="24" s="1"/>
  <c r="A262" i="24" s="1"/>
  <c r="A263" i="24" s="1"/>
  <c r="A264" i="24" s="1"/>
  <c r="A265" i="24" s="1"/>
  <c r="A266" i="24" s="1"/>
  <c r="A267" i="24" s="1"/>
  <c r="A268" i="24" s="1"/>
  <c r="A269" i="24" s="1"/>
  <c r="A270" i="24" s="1"/>
  <c r="A271" i="24" s="1"/>
  <c r="A272" i="24" s="1"/>
  <c r="A273" i="24" s="1"/>
  <c r="A274" i="24" s="1"/>
  <c r="A275" i="24" s="1"/>
  <c r="A276" i="24" s="1"/>
  <c r="A277" i="24" s="1"/>
  <c r="A278" i="24" s="1"/>
  <c r="A279" i="24" s="1"/>
  <c r="A280" i="24" s="1"/>
  <c r="A281" i="24" s="1"/>
  <c r="A282" i="24" s="1"/>
  <c r="A283" i="24" s="1"/>
  <c r="A284" i="24" s="1"/>
  <c r="A285" i="24" s="1"/>
  <c r="A286" i="24" s="1"/>
  <c r="A287" i="24" s="1"/>
  <c r="A288" i="24" s="1"/>
  <c r="A289" i="24" s="1"/>
  <c r="A290" i="24" s="1"/>
  <c r="A291" i="24" s="1"/>
  <c r="A292" i="24" s="1"/>
  <c r="A293" i="24" s="1"/>
  <c r="A294" i="24" s="1"/>
  <c r="A295" i="24" s="1"/>
  <c r="A296" i="24" s="1"/>
  <c r="A297" i="24" s="1"/>
  <c r="A298" i="24" s="1"/>
  <c r="A299" i="24" s="1"/>
  <c r="A300" i="24" s="1"/>
  <c r="A301" i="24" s="1"/>
  <c r="A302" i="24" s="1"/>
  <c r="A303" i="24" s="1"/>
  <c r="A304" i="24" s="1"/>
  <c r="A305" i="24" s="1"/>
  <c r="A306" i="24" s="1"/>
  <c r="A307" i="24" s="1"/>
  <c r="A308" i="24" s="1"/>
  <c r="A309" i="24" s="1"/>
  <c r="A310" i="24" s="1"/>
  <c r="A311" i="24" s="1"/>
  <c r="A312" i="24" s="1"/>
  <c r="A313" i="24" s="1"/>
  <c r="A314" i="24" s="1"/>
  <c r="A315" i="24" s="1"/>
  <c r="A316" i="24" s="1"/>
  <c r="A317" i="24" s="1"/>
  <c r="A318" i="24" s="1"/>
  <c r="A319" i="24" s="1"/>
  <c r="A320" i="24" s="1"/>
  <c r="A321" i="24" s="1"/>
  <c r="A322" i="24" s="1"/>
  <c r="A323" i="24" s="1"/>
  <c r="A324" i="24" s="1"/>
  <c r="A325" i="24" s="1"/>
  <c r="A326" i="24" s="1"/>
  <c r="A327" i="24" s="1"/>
  <c r="A328" i="24" s="1"/>
  <c r="A329" i="24" s="1"/>
  <c r="A330" i="24" s="1"/>
  <c r="A331" i="24" s="1"/>
  <c r="A332" i="24" s="1"/>
  <c r="A333" i="24" s="1"/>
  <c r="A334" i="24" s="1"/>
  <c r="A335" i="24" s="1"/>
  <c r="A336" i="24" s="1"/>
  <c r="A337" i="24" s="1"/>
  <c r="A338" i="24" s="1"/>
  <c r="A339" i="24" s="1"/>
  <c r="A340" i="24" s="1"/>
  <c r="A341" i="24" s="1"/>
  <c r="A342" i="24" s="1"/>
  <c r="A343" i="24" s="1"/>
  <c r="A344" i="24" s="1"/>
  <c r="A345" i="24" s="1"/>
  <c r="A346" i="24" s="1"/>
  <c r="A347" i="24" s="1"/>
  <c r="A348" i="24" s="1"/>
  <c r="A349" i="24" s="1"/>
  <c r="A350" i="24" s="1"/>
  <c r="A351" i="24" s="1"/>
  <c r="A352" i="24" s="1"/>
  <c r="A353" i="24" s="1"/>
  <c r="A354" i="24" s="1"/>
  <c r="A355" i="24" s="1"/>
  <c r="A356" i="24" s="1"/>
  <c r="A357" i="24" s="1"/>
  <c r="A358" i="24" s="1"/>
  <c r="A359" i="24" s="1"/>
  <c r="A360" i="24" s="1"/>
  <c r="A361" i="24" s="1"/>
  <c r="A362" i="24" s="1"/>
  <c r="A363" i="24" s="1"/>
  <c r="A364" i="24" s="1"/>
  <c r="A365" i="24" s="1"/>
  <c r="A366" i="24" s="1"/>
  <c r="A367" i="24" s="1"/>
  <c r="A368" i="24" s="1"/>
  <c r="A369" i="24" s="1"/>
  <c r="A370" i="24" s="1"/>
  <c r="A371" i="24" s="1"/>
  <c r="A372" i="24" s="1"/>
  <c r="A373" i="24" s="1"/>
  <c r="A374" i="24" s="1"/>
  <c r="A375" i="24" s="1"/>
  <c r="A376" i="24" s="1"/>
  <c r="A377" i="24" s="1"/>
  <c r="A378" i="24" s="1"/>
  <c r="A379" i="24" s="1"/>
  <c r="A380" i="24" s="1"/>
  <c r="A381" i="24" s="1"/>
  <c r="A382" i="24" s="1"/>
  <c r="A383" i="24" s="1"/>
  <c r="A384" i="24" s="1"/>
  <c r="A385" i="24" s="1"/>
  <c r="A386" i="24" s="1"/>
  <c r="A387" i="24" s="1"/>
  <c r="A388" i="24" s="1"/>
  <c r="A389" i="24" s="1"/>
  <c r="A390" i="24" s="1"/>
  <c r="A391" i="24" s="1"/>
  <c r="A392" i="24" s="1"/>
  <c r="A393" i="24" s="1"/>
  <c r="A394" i="24" s="1"/>
  <c r="A395" i="24" s="1"/>
  <c r="A396" i="24" s="1"/>
  <c r="A397" i="24" s="1"/>
  <c r="A398" i="24" s="1"/>
  <c r="A399" i="24" s="1"/>
  <c r="A400" i="24" s="1"/>
  <c r="A401" i="24" s="1"/>
  <c r="A402" i="24" s="1"/>
  <c r="A403" i="24" s="1"/>
  <c r="A404" i="24" s="1"/>
  <c r="A405" i="24" s="1"/>
  <c r="A406" i="24" s="1"/>
  <c r="A407" i="24" s="1"/>
  <c r="A408" i="24" s="1"/>
  <c r="A409" i="24" s="1"/>
  <c r="A410" i="24" s="1"/>
  <c r="A411" i="24" s="1"/>
  <c r="A412" i="24" s="1"/>
  <c r="A413" i="24" s="1"/>
  <c r="A414" i="24" s="1"/>
  <c r="A415" i="24" s="1"/>
  <c r="A416" i="24" s="1"/>
  <c r="A417" i="24" s="1"/>
  <c r="A418" i="24" s="1"/>
  <c r="A419" i="24" s="1"/>
  <c r="A420" i="24" s="1"/>
  <c r="A421" i="24" s="1"/>
  <c r="A422" i="24" s="1"/>
  <c r="A423" i="24" s="1"/>
  <c r="A424" i="24" s="1"/>
  <c r="A425" i="24" s="1"/>
  <c r="A426" i="24" s="1"/>
  <c r="A427" i="24" s="1"/>
  <c r="A428" i="24" s="1"/>
  <c r="A429" i="24" s="1"/>
  <c r="A430" i="24" s="1"/>
  <c r="A431" i="24" s="1"/>
  <c r="A432" i="24" s="1"/>
  <c r="A433" i="24" s="1"/>
  <c r="A434" i="24" s="1"/>
  <c r="A435" i="24" s="1"/>
  <c r="A436" i="24" s="1"/>
  <c r="A437" i="24" s="1"/>
  <c r="A438" i="24" s="1"/>
  <c r="A439" i="24" s="1"/>
  <c r="A440" i="24" s="1"/>
  <c r="A441" i="24" s="1"/>
  <c r="A442" i="24" s="1"/>
  <c r="A443" i="24" s="1"/>
  <c r="A444" i="24" s="1"/>
  <c r="A445" i="24" s="1"/>
  <c r="A446" i="24" s="1"/>
  <c r="A447" i="24" s="1"/>
  <c r="A448" i="24" s="1"/>
  <c r="A449" i="24" s="1"/>
  <c r="A450" i="24" s="1"/>
  <c r="A451" i="24" s="1"/>
  <c r="A452" i="24" s="1"/>
  <c r="A453" i="24" s="1"/>
  <c r="A454" i="24" s="1"/>
  <c r="A455" i="24" s="1"/>
  <c r="A456" i="24" s="1"/>
  <c r="A457" i="24" s="1"/>
  <c r="A458" i="24" s="1"/>
  <c r="A459" i="24" s="1"/>
  <c r="A460" i="24" s="1"/>
  <c r="A461" i="24" s="1"/>
  <c r="A462" i="24" s="1"/>
  <c r="A463" i="24" s="1"/>
  <c r="A464" i="24" s="1"/>
  <c r="A465" i="24" s="1"/>
  <c r="A466" i="24" s="1"/>
  <c r="A467" i="24" s="1"/>
  <c r="A468" i="24" s="1"/>
  <c r="A469" i="24" s="1"/>
  <c r="A470" i="24" s="1"/>
  <c r="A471" i="24" s="1"/>
  <c r="A472" i="24" s="1"/>
  <c r="A473" i="24" s="1"/>
  <c r="A474" i="24" s="1"/>
  <c r="A475" i="24" s="1"/>
  <c r="A476" i="24" s="1"/>
  <c r="A477" i="24" s="1"/>
  <c r="A478" i="24" s="1"/>
  <c r="A479" i="24" s="1"/>
  <c r="A480" i="24" s="1"/>
  <c r="A481" i="24" s="1"/>
  <c r="A482" i="24" s="1"/>
  <c r="A483" i="24" s="1"/>
  <c r="A484" i="24" s="1"/>
  <c r="A485" i="24" s="1"/>
  <c r="A486" i="24" s="1"/>
  <c r="A487" i="24" s="1"/>
  <c r="A488" i="24" s="1"/>
  <c r="A489" i="24" s="1"/>
  <c r="A490" i="24" s="1"/>
  <c r="A491" i="24" s="1"/>
  <c r="A492" i="24" s="1"/>
  <c r="A493" i="24" s="1"/>
  <c r="A494" i="24" s="1"/>
  <c r="A495" i="24" s="1"/>
  <c r="A496" i="24" s="1"/>
  <c r="A497" i="24" s="1"/>
  <c r="A498" i="24" s="1"/>
  <c r="L68" i="1"/>
  <c r="B68" i="1" s="1"/>
  <c r="L21" i="1"/>
  <c r="B21" i="1" s="1"/>
  <c r="L34" i="1"/>
  <c r="B34" i="1" s="1"/>
  <c r="L24" i="1"/>
  <c r="B24" i="1" s="1"/>
  <c r="L89" i="1"/>
  <c r="B89" i="1" s="1"/>
  <c r="L22" i="1"/>
  <c r="B22" i="1" s="1"/>
  <c r="L119" i="1"/>
  <c r="B119" i="1" s="1"/>
  <c r="P37" i="1"/>
  <c r="S37" i="1" s="1"/>
  <c r="L85" i="1"/>
  <c r="B85" i="1" s="1"/>
  <c r="L58" i="1"/>
  <c r="B58" i="1" s="1"/>
  <c r="P24" i="1"/>
  <c r="S24" i="1" s="1"/>
  <c r="L125" i="1"/>
  <c r="B125" i="1" s="1"/>
  <c r="N125" i="1"/>
  <c r="N18" i="1"/>
  <c r="L48" i="1"/>
  <c r="B48" i="1" s="1"/>
  <c r="L107" i="1"/>
  <c r="B107" i="1" s="1"/>
  <c r="L128" i="1"/>
  <c r="B128" i="1" s="1"/>
  <c r="L80" i="1"/>
  <c r="B80" i="1" s="1"/>
  <c r="N101" i="1"/>
  <c r="N72" i="1"/>
  <c r="N84" i="1"/>
  <c r="P9" i="1"/>
  <c r="S9" i="1" s="1"/>
  <c r="N69" i="1"/>
  <c r="P59" i="1"/>
  <c r="S59" i="1" s="1"/>
  <c r="P67" i="1"/>
  <c r="S67" i="1" s="1"/>
  <c r="N19" i="1"/>
  <c r="N114" i="1"/>
  <c r="P13" i="1"/>
  <c r="S13" i="1" s="1"/>
  <c r="L8" i="1"/>
  <c r="B8" i="1" s="1"/>
  <c r="N92" i="1"/>
  <c r="P17" i="1"/>
  <c r="S17" i="1" s="1"/>
  <c r="P31" i="1"/>
  <c r="S31" i="1" s="1"/>
  <c r="N38" i="1"/>
  <c r="L95" i="1"/>
  <c r="B95" i="1" s="1"/>
  <c r="P62" i="1"/>
  <c r="S62" i="1" s="1"/>
  <c r="L30" i="1"/>
  <c r="B30" i="1" s="1"/>
  <c r="P40" i="1"/>
  <c r="S40" i="1" s="1"/>
  <c r="P27" i="1"/>
  <c r="S27" i="1" s="1"/>
  <c r="N100" i="1"/>
  <c r="N63" i="1"/>
  <c r="N122" i="1"/>
  <c r="L126" i="1"/>
  <c r="B126" i="1" s="1"/>
  <c r="N105" i="1"/>
  <c r="N42" i="1"/>
  <c r="P70" i="1"/>
  <c r="S70" i="1" s="1"/>
  <c r="L88" i="1"/>
  <c r="B88" i="1" s="1"/>
  <c r="L106" i="1"/>
  <c r="B106" i="1" s="1"/>
  <c r="L99" i="1"/>
  <c r="B99" i="1" s="1"/>
  <c r="L96" i="1"/>
  <c r="B96" i="1" s="1"/>
  <c r="N36" i="1"/>
  <c r="L75" i="1"/>
  <c r="B75" i="1" s="1"/>
  <c r="P32" i="1"/>
  <c r="S32" i="1" s="1"/>
  <c r="L37" i="1"/>
  <c r="B37" i="1" s="1"/>
  <c r="N31" i="1"/>
  <c r="P25" i="1"/>
  <c r="S25" i="1" s="1"/>
  <c r="P39" i="1"/>
  <c r="S39" i="1" s="1"/>
  <c r="N118" i="1"/>
  <c r="L91" i="1"/>
  <c r="B91" i="1" s="1"/>
  <c r="L67" i="1"/>
  <c r="B67" i="1" s="1"/>
  <c r="L78" i="1"/>
  <c r="B78" i="1" s="1"/>
  <c r="P10" i="1"/>
  <c r="S10" i="1" s="1"/>
  <c r="N67" i="1"/>
  <c r="N50" i="1"/>
  <c r="L94" i="1"/>
  <c r="B94" i="1" s="1"/>
  <c r="P15" i="1"/>
  <c r="S15" i="1" s="1"/>
  <c r="L9" i="1"/>
  <c r="B9" i="1" s="1"/>
  <c r="N87" i="1"/>
  <c r="N24" i="1"/>
  <c r="N22" i="1"/>
  <c r="N35" i="1"/>
  <c r="L77" i="1"/>
  <c r="B77" i="1" s="1"/>
  <c r="L81" i="1"/>
  <c r="B81" i="1" s="1"/>
  <c r="P64" i="1"/>
  <c r="S64" i="1" s="1"/>
  <c r="N33" i="1"/>
  <c r="P5" i="1"/>
  <c r="S5" i="1" s="1"/>
  <c r="N23" i="1"/>
  <c r="P68" i="1"/>
  <c r="S68" i="1" s="1"/>
  <c r="N90" i="1"/>
  <c r="L120" i="1"/>
  <c r="B120" i="1" s="1"/>
  <c r="N91" i="1"/>
  <c r="N80" i="1"/>
  <c r="L14" i="1"/>
  <c r="B14" i="1" s="1"/>
  <c r="N111" i="1"/>
  <c r="P73" i="1"/>
  <c r="S73" i="1" s="1"/>
  <c r="L23" i="1"/>
  <c r="B23" i="1" s="1"/>
  <c r="N102" i="1"/>
  <c r="P58" i="1"/>
  <c r="S58" i="1" s="1"/>
  <c r="N60" i="1"/>
  <c r="N66" i="1"/>
  <c r="N17" i="1"/>
  <c r="L50" i="1"/>
  <c r="B50" i="1" s="1"/>
  <c r="N45" i="1"/>
  <c r="L54" i="1"/>
  <c r="B54" i="1" s="1"/>
  <c r="P18" i="1"/>
  <c r="S18" i="1" s="1"/>
  <c r="N37" i="1"/>
  <c r="N115" i="1"/>
  <c r="L46" i="1"/>
  <c r="B46" i="1" s="1"/>
  <c r="P33" i="1"/>
  <c r="S33" i="1" s="1"/>
  <c r="N88" i="1"/>
  <c r="N40" i="1"/>
  <c r="N51" i="1"/>
  <c r="N9" i="1"/>
  <c r="N70" i="1"/>
  <c r="L123" i="1"/>
  <c r="B123" i="1" s="1"/>
  <c r="L26" i="1"/>
  <c r="B26" i="1" s="1"/>
  <c r="P76" i="1"/>
  <c r="S76" i="1" s="1"/>
  <c r="L15" i="1"/>
  <c r="B15" i="1" s="1"/>
  <c r="N7" i="1"/>
  <c r="L32" i="1"/>
  <c r="B32" i="1" s="1"/>
  <c r="P28" i="1"/>
  <c r="S28" i="1" s="1"/>
  <c r="N107" i="1"/>
  <c r="L115" i="1"/>
  <c r="B115" i="1" s="1"/>
  <c r="N76" i="1"/>
  <c r="N10" i="1"/>
  <c r="L29" i="1"/>
  <c r="B29" i="1" s="1"/>
  <c r="L41" i="1"/>
  <c r="B41" i="1" s="1"/>
  <c r="L13" i="1"/>
  <c r="B13" i="1" s="1"/>
  <c r="L79" i="1"/>
  <c r="B79" i="1" s="1"/>
  <c r="L103" i="1"/>
  <c r="B103" i="1" s="1"/>
  <c r="P66" i="1"/>
  <c r="S66" i="1" s="1"/>
  <c r="P26" i="1"/>
  <c r="S26" i="1" s="1"/>
  <c r="P75" i="1"/>
  <c r="S75" i="1" s="1"/>
  <c r="N83" i="1"/>
  <c r="N65" i="1"/>
  <c r="L93" i="1"/>
  <c r="B93" i="1" s="1"/>
  <c r="L104" i="1"/>
  <c r="B104" i="1" s="1"/>
  <c r="L45" i="1"/>
  <c r="B45" i="1" s="1"/>
  <c r="L38" i="1"/>
  <c r="B38" i="1" s="1"/>
  <c r="N26" i="1"/>
  <c r="N53" i="1"/>
  <c r="L105" i="1"/>
  <c r="B105" i="1" s="1"/>
  <c r="L92" i="1"/>
  <c r="B92" i="1" s="1"/>
  <c r="N75" i="1"/>
  <c r="N64" i="1"/>
  <c r="P71" i="1"/>
  <c r="S71" i="1" s="1"/>
  <c r="N96" i="1"/>
  <c r="L31" i="1"/>
  <c r="B31" i="1" s="1"/>
  <c r="P35" i="1"/>
  <c r="S35" i="1" s="1"/>
  <c r="L72" i="1"/>
  <c r="B72" i="1" s="1"/>
  <c r="P19" i="1"/>
  <c r="S19" i="1" s="1"/>
  <c r="L59" i="1"/>
  <c r="B59" i="1" s="1"/>
  <c r="N116" i="1"/>
  <c r="P41" i="1"/>
  <c r="S41" i="1" s="1"/>
  <c r="N124" i="1"/>
  <c r="L124" i="1"/>
  <c r="B124" i="1" s="1"/>
  <c r="N108" i="1"/>
  <c r="P43" i="1"/>
  <c r="S43" i="1" s="1"/>
  <c r="N27" i="1"/>
  <c r="P69" i="1"/>
  <c r="S69" i="1" s="1"/>
  <c r="L113" i="1"/>
  <c r="B113" i="1" s="1"/>
  <c r="N59" i="1"/>
  <c r="N127" i="1"/>
  <c r="L52" i="1"/>
  <c r="B52" i="1" s="1"/>
  <c r="P56" i="1"/>
  <c r="S56" i="1" s="1"/>
  <c r="P36" i="1"/>
  <c r="S36" i="1" s="1"/>
  <c r="L84" i="1"/>
  <c r="B84" i="1" s="1"/>
  <c r="L12" i="1"/>
  <c r="B12" i="1" s="1"/>
  <c r="N81" i="1"/>
  <c r="N46" i="1"/>
  <c r="N11" i="1"/>
  <c r="P8" i="1"/>
  <c r="S8" i="1" s="1"/>
  <c r="N43" i="1"/>
  <c r="L76" i="1"/>
  <c r="B76" i="1" s="1"/>
  <c r="N71" i="1"/>
  <c r="L57" i="1"/>
  <c r="B57" i="1" s="1"/>
  <c r="P20" i="1"/>
  <c r="S20" i="1" s="1"/>
  <c r="P16" i="1"/>
  <c r="S16" i="1" s="1"/>
  <c r="L90" i="1"/>
  <c r="B90" i="1" s="1"/>
  <c r="L116" i="1"/>
  <c r="B116" i="1" s="1"/>
  <c r="N82" i="1"/>
  <c r="L64" i="1"/>
  <c r="B64" i="1" s="1"/>
  <c r="L17" i="1"/>
  <c r="B17" i="1" s="1"/>
  <c r="P11" i="1"/>
  <c r="S11" i="1" s="1"/>
  <c r="N6" i="1"/>
  <c r="N54" i="1"/>
  <c r="N16" i="1"/>
  <c r="L25" i="1"/>
  <c r="B25" i="1" s="1"/>
  <c r="P23" i="1"/>
  <c r="S23" i="1" s="1"/>
  <c r="N77" i="1"/>
  <c r="N62" i="1"/>
  <c r="N106" i="1"/>
  <c r="L109" i="1"/>
  <c r="B109" i="1" s="1"/>
  <c r="P47" i="1"/>
  <c r="S47" i="1" s="1"/>
  <c r="N119" i="1"/>
  <c r="L7" i="1"/>
  <c r="B7" i="1" s="1"/>
  <c r="L74" i="1"/>
  <c r="B74" i="1" s="1"/>
  <c r="L66" i="1"/>
  <c r="B66" i="1" s="1"/>
  <c r="P50" i="1"/>
  <c r="S50" i="1" s="1"/>
  <c r="N129" i="1"/>
  <c r="P65" i="1"/>
  <c r="S65" i="1" s="1"/>
  <c r="L55" i="1"/>
  <c r="B55" i="1" s="1"/>
  <c r="N52" i="1"/>
  <c r="N98" i="1"/>
  <c r="N28" i="1"/>
  <c r="N121" i="1"/>
  <c r="L33" i="1"/>
  <c r="B33" i="1" s="1"/>
  <c r="L71" i="1"/>
  <c r="B71" i="1" s="1"/>
  <c r="P7" i="1"/>
  <c r="S7" i="1" s="1"/>
  <c r="L83" i="1"/>
  <c r="B83" i="1" s="1"/>
  <c r="L18" i="1"/>
  <c r="B18" i="1" s="1"/>
  <c r="N117" i="1"/>
  <c r="N89" i="1"/>
  <c r="N109" i="1"/>
  <c r="N97" i="1"/>
  <c r="L65" i="1"/>
  <c r="B65" i="1" s="1"/>
  <c r="N58" i="1"/>
  <c r="N39" i="1"/>
  <c r="L63" i="1"/>
  <c r="B63" i="1" s="1"/>
  <c r="N29" i="1"/>
  <c r="P63" i="1"/>
  <c r="S63" i="1" s="1"/>
  <c r="N74" i="1"/>
  <c r="L56" i="1"/>
  <c r="B56" i="1" s="1"/>
  <c r="L127" i="1"/>
  <c r="B127" i="1" s="1"/>
  <c r="L100" i="1"/>
  <c r="B100" i="1" s="1"/>
  <c r="L111" i="1"/>
  <c r="B111" i="1" s="1"/>
  <c r="N103" i="1"/>
  <c r="P48" i="1"/>
  <c r="S48" i="1" s="1"/>
  <c r="L122" i="1"/>
  <c r="B122" i="1" s="1"/>
  <c r="L10" i="1"/>
  <c r="B10" i="1" s="1"/>
  <c r="N85" i="1"/>
  <c r="P49" i="1"/>
  <c r="S49" i="1" s="1"/>
  <c r="P51" i="1"/>
  <c r="S51" i="1" s="1"/>
  <c r="L98" i="1"/>
  <c r="B98" i="1" s="1"/>
  <c r="P12" i="1"/>
  <c r="S12" i="1" s="1"/>
  <c r="P46" i="1"/>
  <c r="S46" i="1" s="1"/>
  <c r="L110" i="1"/>
  <c r="B110" i="1" s="1"/>
  <c r="P29" i="1"/>
  <c r="S29" i="1" s="1"/>
  <c r="N68" i="1"/>
  <c r="L27" i="1"/>
  <c r="B27" i="1" s="1"/>
  <c r="L112" i="1"/>
  <c r="B112" i="1" s="1"/>
  <c r="L129" i="1"/>
  <c r="B129" i="1" s="1"/>
  <c r="N15" i="1"/>
  <c r="P57" i="1"/>
  <c r="S57" i="1" s="1"/>
  <c r="N99" i="1"/>
  <c r="P74" i="1"/>
  <c r="S74" i="1" s="1"/>
  <c r="P34" i="1"/>
  <c r="S34" i="1" s="1"/>
  <c r="P60" i="1"/>
  <c r="S60" i="1" s="1"/>
  <c r="P44" i="1"/>
  <c r="S44" i="1" s="1"/>
  <c r="N44" i="1"/>
  <c r="L61" i="1"/>
  <c r="B61" i="1" s="1"/>
  <c r="L69" i="1"/>
  <c r="B69" i="1" s="1"/>
  <c r="L35" i="1"/>
  <c r="B35" i="1" s="1"/>
  <c r="N113" i="1"/>
  <c r="L6" i="1"/>
  <c r="B6" i="1" s="1"/>
  <c r="L121" i="1"/>
  <c r="B121" i="1" s="1"/>
  <c r="P21" i="1"/>
  <c r="S21" i="1" s="1"/>
  <c r="N12" i="1"/>
  <c r="L20" i="1"/>
  <c r="B20" i="1" s="1"/>
  <c r="L87" i="1"/>
  <c r="B87" i="1" s="1"/>
  <c r="L36" i="1"/>
  <c r="B36" i="1" s="1"/>
  <c r="N56" i="1"/>
  <c r="N120" i="1"/>
  <c r="N14" i="1"/>
  <c r="L5" i="1"/>
  <c r="N61" i="1"/>
  <c r="L49" i="1"/>
  <c r="B49" i="1" s="1"/>
  <c r="N86" i="1"/>
  <c r="N78" i="1"/>
  <c r="N20" i="1"/>
  <c r="L42" i="1"/>
  <c r="B42" i="1" s="1"/>
  <c r="L70" i="1"/>
  <c r="B70" i="1" s="1"/>
  <c r="L51" i="1"/>
  <c r="B51" i="1" s="1"/>
  <c r="N5" i="1"/>
  <c r="L117" i="1"/>
  <c r="B117" i="1" s="1"/>
  <c r="P6" i="1"/>
  <c r="S6" i="1" s="1"/>
  <c r="P30" i="1"/>
  <c r="S30" i="1" s="1"/>
  <c r="P42" i="1"/>
  <c r="S42" i="1" s="1"/>
  <c r="N25" i="1"/>
  <c r="L16" i="1"/>
  <c r="B16" i="1" s="1"/>
  <c r="L114" i="1"/>
  <c r="B114" i="1" s="1"/>
  <c r="N41" i="1"/>
  <c r="L82" i="1"/>
  <c r="B82" i="1" s="1"/>
  <c r="N48" i="1"/>
  <c r="L101" i="1"/>
  <c r="B101" i="1" s="1"/>
  <c r="P14" i="1"/>
  <c r="S14" i="1" s="1"/>
  <c r="N55" i="1"/>
  <c r="L86" i="1"/>
  <c r="B86" i="1" s="1"/>
  <c r="P22" i="1"/>
  <c r="S22" i="1" s="1"/>
  <c r="N128" i="1"/>
  <c r="L28" i="1"/>
  <c r="B28" i="1" s="1"/>
  <c r="L47" i="1"/>
  <c r="B47" i="1" s="1"/>
  <c r="L73" i="1"/>
  <c r="B73" i="1" s="1"/>
  <c r="L53" i="1"/>
  <c r="B53" i="1" s="1"/>
  <c r="N57" i="1"/>
  <c r="N30" i="1"/>
  <c r="P53" i="1"/>
  <c r="S53" i="1" s="1"/>
  <c r="L118" i="1"/>
  <c r="B118" i="1" s="1"/>
  <c r="L40" i="1"/>
  <c r="B40" i="1" s="1"/>
  <c r="L108" i="1"/>
  <c r="B108" i="1" s="1"/>
  <c r="L44" i="1"/>
  <c r="B44" i="1" s="1"/>
  <c r="N13" i="1"/>
  <c r="P72" i="1"/>
  <c r="S72" i="1" s="1"/>
  <c r="N112" i="1"/>
  <c r="P54" i="1"/>
  <c r="S54" i="1" s="1"/>
  <c r="L102" i="1"/>
  <c r="B102" i="1" s="1"/>
  <c r="N73" i="1"/>
  <c r="L19" i="1"/>
  <c r="B19" i="1" s="1"/>
  <c r="P38" i="1"/>
  <c r="S38" i="1" s="1"/>
  <c r="N95" i="1"/>
  <c r="P52" i="1"/>
  <c r="S52" i="1" s="1"/>
  <c r="P55" i="1"/>
  <c r="S55" i="1" s="1"/>
  <c r="N79" i="1"/>
  <c r="L11" i="1"/>
  <c r="B11" i="1" s="1"/>
  <c r="L43" i="1"/>
  <c r="B43" i="1" s="1"/>
  <c r="N94" i="1"/>
  <c r="N110" i="1"/>
  <c r="N123" i="1"/>
  <c r="L39" i="1"/>
  <c r="B39" i="1" s="1"/>
  <c r="N104" i="1"/>
  <c r="L60" i="1"/>
  <c r="B60" i="1" s="1"/>
  <c r="N93" i="1"/>
  <c r="P61" i="1"/>
  <c r="S61" i="1" s="1"/>
  <c r="N21" i="1"/>
  <c r="N49" i="1"/>
  <c r="N47" i="1"/>
  <c r="L62" i="1"/>
  <c r="B62" i="1" s="1"/>
  <c r="L97" i="1"/>
  <c r="B97" i="1" s="1"/>
  <c r="P45" i="1"/>
  <c r="S45" i="1" s="1"/>
  <c r="N32" i="1"/>
  <c r="N126" i="1"/>
  <c r="N34" i="1"/>
  <c r="N8" i="1"/>
  <c r="B5" i="24"/>
  <c r="G29" i="23"/>
  <c r="G30" i="23" s="1"/>
  <c r="G32" i="23" s="1"/>
  <c r="G6" i="23"/>
  <c r="H6" i="23" s="1"/>
  <c r="H18" i="25"/>
  <c r="H40" i="25"/>
  <c r="H62" i="25"/>
  <c r="H84" i="25"/>
  <c r="H106" i="25"/>
  <c r="H128" i="25"/>
  <c r="H24" i="25"/>
  <c r="H134" i="25"/>
  <c r="H19" i="25"/>
  <c r="H41" i="25"/>
  <c r="H63" i="25"/>
  <c r="H85" i="25"/>
  <c r="H107" i="25"/>
  <c r="H129" i="25"/>
  <c r="H20" i="25"/>
  <c r="H42" i="25"/>
  <c r="H64" i="25"/>
  <c r="H86" i="25"/>
  <c r="H108" i="25"/>
  <c r="H130" i="25"/>
  <c r="H46" i="25"/>
  <c r="H68" i="25"/>
  <c r="H112" i="25"/>
  <c r="H21" i="25"/>
  <c r="H43" i="25"/>
  <c r="H65" i="25"/>
  <c r="H87" i="25"/>
  <c r="H109" i="25"/>
  <c r="H131" i="25"/>
  <c r="H90" i="25"/>
  <c r="H22" i="25"/>
  <c r="H44" i="25"/>
  <c r="H66" i="25"/>
  <c r="H88" i="25"/>
  <c r="H110" i="25"/>
  <c r="H132" i="25"/>
  <c r="H23" i="25"/>
  <c r="H45" i="25"/>
  <c r="H67" i="25"/>
  <c r="H89" i="25"/>
  <c r="H111" i="25"/>
  <c r="H133" i="25"/>
  <c r="H27" i="25"/>
  <c r="H49" i="25"/>
  <c r="H71" i="25"/>
  <c r="H93" i="25"/>
  <c r="H115" i="25"/>
  <c r="H137" i="25"/>
  <c r="H6" i="25"/>
  <c r="H28" i="25"/>
  <c r="H50" i="25"/>
  <c r="H72" i="25"/>
  <c r="H94" i="25"/>
  <c r="H116" i="25"/>
  <c r="H138" i="25"/>
  <c r="H25" i="25"/>
  <c r="H58" i="25"/>
  <c r="H98" i="25"/>
  <c r="H136" i="25"/>
  <c r="H26" i="25"/>
  <c r="H59" i="25"/>
  <c r="H99" i="25"/>
  <c r="H139" i="25"/>
  <c r="H70" i="25"/>
  <c r="H38" i="25"/>
  <c r="H118" i="25"/>
  <c r="H39" i="25"/>
  <c r="H9" i="25"/>
  <c r="H91" i="25"/>
  <c r="H29" i="25"/>
  <c r="H60" i="25"/>
  <c r="H100" i="25"/>
  <c r="H140" i="25"/>
  <c r="H32" i="25"/>
  <c r="H103" i="25"/>
  <c r="H7" i="25"/>
  <c r="H78" i="25"/>
  <c r="H8" i="25"/>
  <c r="H119" i="25"/>
  <c r="H80" i="25"/>
  <c r="H51" i="25"/>
  <c r="H12" i="25"/>
  <c r="H83" i="25"/>
  <c r="H123" i="25"/>
  <c r="H53" i="25"/>
  <c r="H15" i="25"/>
  <c r="H95" i="25"/>
  <c r="H30" i="25"/>
  <c r="H61" i="25"/>
  <c r="H101" i="25"/>
  <c r="H141" i="25"/>
  <c r="H52" i="25"/>
  <c r="H31" i="25"/>
  <c r="H69" i="25"/>
  <c r="H102" i="25"/>
  <c r="H142" i="25"/>
  <c r="H82" i="25"/>
  <c r="H33" i="25"/>
  <c r="H73" i="25"/>
  <c r="H104" i="25"/>
  <c r="H34" i="25"/>
  <c r="H74" i="25"/>
  <c r="H105" i="25"/>
  <c r="H35" i="25"/>
  <c r="H75" i="25"/>
  <c r="H113" i="25"/>
  <c r="H36" i="25"/>
  <c r="H76" i="25"/>
  <c r="H114" i="25"/>
  <c r="H37" i="25"/>
  <c r="H77" i="25"/>
  <c r="H117" i="25"/>
  <c r="H79" i="25"/>
  <c r="H47" i="25"/>
  <c r="H120" i="25"/>
  <c r="H10" i="25"/>
  <c r="H48" i="25"/>
  <c r="H81" i="25"/>
  <c r="H121" i="25"/>
  <c r="H11" i="25"/>
  <c r="H122" i="25"/>
  <c r="H13" i="25"/>
  <c r="H124" i="25"/>
  <c r="H55" i="25"/>
  <c r="H14" i="25"/>
  <c r="H54" i="25"/>
  <c r="H92" i="25"/>
  <c r="H125" i="25"/>
  <c r="H16" i="25"/>
  <c r="H56" i="25"/>
  <c r="H96" i="25"/>
  <c r="H127" i="25"/>
  <c r="H17" i="25"/>
  <c r="H57" i="25"/>
  <c r="H97" i="25"/>
  <c r="H135" i="25"/>
  <c r="H126" i="25"/>
  <c r="F142" i="25"/>
  <c r="A138" i="21"/>
  <c r="B138" i="21" s="1"/>
  <c r="C139" i="21"/>
  <c r="F141" i="25"/>
  <c r="A139" i="21"/>
  <c r="B139" i="21" s="1"/>
  <c r="C138" i="21"/>
  <c r="A131" i="21"/>
  <c r="B131" i="21" s="1"/>
  <c r="F132" i="25"/>
  <c r="A132" i="21"/>
  <c r="B132" i="21" s="1"/>
  <c r="F131" i="25"/>
  <c r="A133" i="21"/>
  <c r="B133" i="21" s="1"/>
  <c r="F130" i="25"/>
  <c r="F129" i="25"/>
  <c r="A135" i="21"/>
  <c r="B135" i="21" s="1"/>
  <c r="C125" i="21"/>
  <c r="C127" i="21"/>
  <c r="C129" i="21"/>
  <c r="C130" i="21"/>
  <c r="F140" i="25"/>
  <c r="C132" i="21"/>
  <c r="F139" i="25"/>
  <c r="C135" i="21"/>
  <c r="C136" i="21"/>
  <c r="F135" i="25"/>
  <c r="C137" i="21"/>
  <c r="F134" i="25"/>
  <c r="A130" i="21"/>
  <c r="B130" i="21" s="1"/>
  <c r="A134" i="21"/>
  <c r="B134" i="21" s="1"/>
  <c r="F128" i="25"/>
  <c r="A137" i="21"/>
  <c r="B137" i="21" s="1"/>
  <c r="F127" i="25"/>
  <c r="C124" i="21"/>
  <c r="C126" i="21"/>
  <c r="C128" i="21"/>
  <c r="C131" i="21"/>
  <c r="A124" i="21"/>
  <c r="B124" i="21" s="1"/>
  <c r="A127" i="21"/>
  <c r="B127" i="21" s="1"/>
  <c r="F136" i="25"/>
  <c r="A128" i="21"/>
  <c r="B128" i="21" s="1"/>
  <c r="A129" i="21"/>
  <c r="B129" i="21" s="1"/>
  <c r="F133" i="25"/>
  <c r="A136" i="21"/>
  <c r="B136" i="21" s="1"/>
  <c r="C133" i="21"/>
  <c r="A125" i="21"/>
  <c r="B125" i="21" s="1"/>
  <c r="F138" i="25"/>
  <c r="C134" i="21"/>
  <c r="A126" i="21"/>
  <c r="B126" i="21" s="1"/>
  <c r="F137" i="25"/>
  <c r="C101" i="21"/>
  <c r="C123" i="21"/>
  <c r="A101" i="21"/>
  <c r="B101" i="21" s="1"/>
  <c r="A123" i="21"/>
  <c r="B123" i="21" s="1"/>
  <c r="F126" i="25"/>
  <c r="F104" i="25"/>
  <c r="F123" i="25"/>
  <c r="A105" i="21"/>
  <c r="B105" i="21" s="1"/>
  <c r="F99" i="25"/>
  <c r="C89" i="21"/>
  <c r="A89" i="21"/>
  <c r="B89" i="21" s="1"/>
  <c r="A111" i="21"/>
  <c r="B111" i="21" s="1"/>
  <c r="F116" i="25"/>
  <c r="A112" i="21"/>
  <c r="B112" i="21" s="1"/>
  <c r="C115" i="21"/>
  <c r="F107" i="25"/>
  <c r="C102" i="21"/>
  <c r="A102" i="21"/>
  <c r="B102" i="21" s="1"/>
  <c r="F125" i="25"/>
  <c r="F103" i="25"/>
  <c r="F101" i="25"/>
  <c r="F100" i="25"/>
  <c r="C106" i="21"/>
  <c r="A106" i="21"/>
  <c r="B106" i="21" s="1"/>
  <c r="F121" i="25"/>
  <c r="C110" i="21"/>
  <c r="F117" i="25"/>
  <c r="F94" i="25"/>
  <c r="C92" i="21"/>
  <c r="A92" i="21"/>
  <c r="B92" i="21" s="1"/>
  <c r="A114" i="21"/>
  <c r="B114" i="21" s="1"/>
  <c r="F91" i="25"/>
  <c r="A115" i="21"/>
  <c r="B115" i="21" s="1"/>
  <c r="F90" i="25"/>
  <c r="A121" i="21"/>
  <c r="B121" i="21" s="1"/>
  <c r="C103" i="21"/>
  <c r="A103" i="21"/>
  <c r="B103" i="21" s="1"/>
  <c r="F124" i="25"/>
  <c r="F102" i="25"/>
  <c r="C105" i="21"/>
  <c r="F122" i="25"/>
  <c r="C88" i="21"/>
  <c r="F95" i="25"/>
  <c r="F92" i="25"/>
  <c r="F112" i="25"/>
  <c r="F106" i="25"/>
  <c r="C104" i="21"/>
  <c r="A104" i="21"/>
  <c r="B104" i="21" s="1"/>
  <c r="F93" i="25"/>
  <c r="C107" i="21"/>
  <c r="A107" i="21"/>
  <c r="B107" i="21" s="1"/>
  <c r="F120" i="25"/>
  <c r="F98" i="25"/>
  <c r="C108" i="21"/>
  <c r="A86" i="21"/>
  <c r="B86" i="21" s="1"/>
  <c r="A108" i="21"/>
  <c r="B108" i="21" s="1"/>
  <c r="F119" i="25"/>
  <c r="F97" i="25"/>
  <c r="F118" i="25"/>
  <c r="A88" i="21"/>
  <c r="B88" i="21" s="1"/>
  <c r="A110" i="21"/>
  <c r="B110" i="21" s="1"/>
  <c r="C112" i="21"/>
  <c r="A90" i="21"/>
  <c r="B90" i="21" s="1"/>
  <c r="F115" i="25"/>
  <c r="F114" i="25"/>
  <c r="F113" i="25"/>
  <c r="C93" i="21"/>
  <c r="A93" i="21"/>
  <c r="B93" i="21" s="1"/>
  <c r="C86" i="21"/>
  <c r="C91" i="21"/>
  <c r="C87" i="21"/>
  <c r="C109" i="21"/>
  <c r="A87" i="21"/>
  <c r="B87" i="21" s="1"/>
  <c r="A109" i="21"/>
  <c r="B109" i="21" s="1"/>
  <c r="F96" i="25"/>
  <c r="C111" i="21"/>
  <c r="C90" i="21"/>
  <c r="C113" i="21"/>
  <c r="A91" i="21"/>
  <c r="B91" i="21" s="1"/>
  <c r="A113" i="21"/>
  <c r="B113" i="21" s="1"/>
  <c r="C114" i="21"/>
  <c r="C120" i="21"/>
  <c r="A120" i="21"/>
  <c r="B120" i="21" s="1"/>
  <c r="C94" i="21"/>
  <c r="C116" i="21"/>
  <c r="A94" i="21"/>
  <c r="B94" i="21" s="1"/>
  <c r="A116" i="21"/>
  <c r="B116" i="21" s="1"/>
  <c r="F111" i="25"/>
  <c r="F89" i="25"/>
  <c r="C118" i="21"/>
  <c r="A118" i="21"/>
  <c r="B118" i="21" s="1"/>
  <c r="C97" i="21"/>
  <c r="C119" i="21"/>
  <c r="A97" i="21"/>
  <c r="B97" i="21" s="1"/>
  <c r="A119" i="21"/>
  <c r="B119" i="21" s="1"/>
  <c r="C95" i="21"/>
  <c r="C117" i="21"/>
  <c r="A95" i="21"/>
  <c r="B95" i="21" s="1"/>
  <c r="A117" i="21"/>
  <c r="B117" i="21" s="1"/>
  <c r="F110" i="25"/>
  <c r="C96" i="21"/>
  <c r="A96" i="21"/>
  <c r="B96" i="21" s="1"/>
  <c r="F109" i="25"/>
  <c r="F108" i="25"/>
  <c r="A98" i="21"/>
  <c r="B98" i="21" s="1"/>
  <c r="C99" i="21"/>
  <c r="C121" i="21"/>
  <c r="A99" i="21"/>
  <c r="B99" i="21" s="1"/>
  <c r="C100" i="21"/>
  <c r="C122" i="21"/>
  <c r="A100" i="21"/>
  <c r="B100" i="21" s="1"/>
  <c r="A122" i="21"/>
  <c r="B122" i="21" s="1"/>
  <c r="F105" i="25"/>
  <c r="C98" i="21"/>
  <c r="A84" i="21"/>
  <c r="B84" i="21" s="1"/>
  <c r="A85" i="21"/>
  <c r="B85" i="21" s="1"/>
  <c r="C82" i="21"/>
  <c r="C85" i="21"/>
  <c r="F86" i="25"/>
  <c r="C83" i="21"/>
  <c r="A82" i="21"/>
  <c r="B82" i="21" s="1"/>
  <c r="F87" i="25"/>
  <c r="A83" i="21"/>
  <c r="B83" i="21" s="1"/>
  <c r="F85" i="25"/>
  <c r="C84" i="21"/>
  <c r="F88" i="25"/>
  <c r="A72" i="21"/>
  <c r="B72" i="21" s="1"/>
  <c r="A81" i="21"/>
  <c r="B81" i="21" s="1"/>
  <c r="F84" i="25"/>
  <c r="C76" i="21"/>
  <c r="F81" i="25"/>
  <c r="F82" i="25"/>
  <c r="C69" i="21"/>
  <c r="C74" i="21"/>
  <c r="F78" i="25"/>
  <c r="F70" i="25"/>
  <c r="C71" i="21"/>
  <c r="F79" i="25"/>
  <c r="C79" i="21"/>
  <c r="C72" i="21"/>
  <c r="A69" i="21"/>
  <c r="B69" i="21" s="1"/>
  <c r="A79" i="21"/>
  <c r="B79" i="21" s="1"/>
  <c r="C80" i="21"/>
  <c r="A70" i="21"/>
  <c r="B70" i="21" s="1"/>
  <c r="F71" i="25"/>
  <c r="A71" i="21"/>
  <c r="B71" i="21" s="1"/>
  <c r="F83" i="25"/>
  <c r="F69" i="25"/>
  <c r="C75" i="21"/>
  <c r="C81" i="21"/>
  <c r="A67" i="21"/>
  <c r="B67" i="21" s="1"/>
  <c r="A75" i="21"/>
  <c r="B75" i="21" s="1"/>
  <c r="C65" i="21"/>
  <c r="C68" i="21"/>
  <c r="A73" i="21"/>
  <c r="B73" i="21" s="1"/>
  <c r="C70" i="21"/>
  <c r="F68" i="25"/>
  <c r="A74" i="21"/>
  <c r="B74" i="21" s="1"/>
  <c r="F74" i="25"/>
  <c r="C77" i="21"/>
  <c r="F77" i="25"/>
  <c r="A76" i="21"/>
  <c r="B76" i="21" s="1"/>
  <c r="F80" i="25"/>
  <c r="F75" i="25"/>
  <c r="A80" i="21"/>
  <c r="B80" i="21" s="1"/>
  <c r="C73" i="21"/>
  <c r="A77" i="21"/>
  <c r="B77" i="21" s="1"/>
  <c r="F76" i="25"/>
  <c r="C78" i="21"/>
  <c r="A78" i="21"/>
  <c r="B78" i="21" s="1"/>
  <c r="C66" i="21"/>
  <c r="F73" i="25"/>
  <c r="A68" i="21"/>
  <c r="B68" i="21" s="1"/>
  <c r="F72" i="25"/>
  <c r="A65" i="21"/>
  <c r="B65" i="21" s="1"/>
  <c r="A66" i="21"/>
  <c r="B66" i="21" s="1"/>
  <c r="C67" i="21"/>
  <c r="A63" i="21"/>
  <c r="B63" i="21" s="1"/>
  <c r="F64" i="25"/>
  <c r="C64" i="21"/>
  <c r="C63" i="21"/>
  <c r="C61" i="21"/>
  <c r="A64" i="21"/>
  <c r="B64" i="21" s="1"/>
  <c r="F66" i="25"/>
  <c r="F65" i="25"/>
  <c r="A61" i="21"/>
  <c r="B61" i="21" s="1"/>
  <c r="C62" i="21"/>
  <c r="A62" i="21"/>
  <c r="B62" i="21" s="1"/>
  <c r="F67" i="25"/>
  <c r="C60" i="21"/>
  <c r="F63" i="25"/>
  <c r="A60" i="21"/>
  <c r="B60" i="21" s="1"/>
  <c r="C59" i="21"/>
  <c r="F62" i="25"/>
  <c r="A59" i="21"/>
  <c r="B59" i="21" s="1"/>
  <c r="F61" i="25"/>
  <c r="C58" i="21"/>
  <c r="A58" i="21"/>
  <c r="B58" i="21" s="1"/>
  <c r="C55" i="21"/>
  <c r="F59" i="25"/>
  <c r="A55" i="21"/>
  <c r="B55" i="21" s="1"/>
  <c r="A57" i="21"/>
  <c r="B57" i="21" s="1"/>
  <c r="C56" i="21"/>
  <c r="F60" i="25"/>
  <c r="C57" i="21"/>
  <c r="F58" i="25"/>
  <c r="A56" i="21"/>
  <c r="B56" i="21" s="1"/>
  <c r="C54" i="21"/>
  <c r="A54" i="21"/>
  <c r="B54" i="21" s="1"/>
  <c r="F57" i="25"/>
  <c r="C53" i="21"/>
  <c r="F56" i="25"/>
  <c r="F55" i="25"/>
  <c r="A53" i="21"/>
  <c r="B53" i="21" s="1"/>
  <c r="A52" i="21"/>
  <c r="B52" i="21" s="1"/>
  <c r="C52" i="21"/>
  <c r="A51" i="21"/>
  <c r="B51" i="21" s="1"/>
  <c r="C50" i="21"/>
  <c r="C51" i="21"/>
  <c r="F53" i="25"/>
  <c r="A50" i="21"/>
  <c r="B50" i="21" s="1"/>
  <c r="F54" i="25"/>
  <c r="F52" i="25"/>
  <c r="C49" i="21"/>
  <c r="A49" i="21"/>
  <c r="B49" i="21" s="1"/>
  <c r="F51" i="25"/>
  <c r="C47" i="21"/>
  <c r="A48" i="21"/>
  <c r="B48" i="21" s="1"/>
  <c r="C46" i="21"/>
  <c r="F49" i="25"/>
  <c r="F50" i="25"/>
  <c r="A46" i="21"/>
  <c r="B46" i="21" s="1"/>
  <c r="A47" i="21"/>
  <c r="B47" i="21" s="1"/>
  <c r="C48" i="21"/>
  <c r="A45" i="21"/>
  <c r="B45" i="21" s="1"/>
  <c r="F48" i="25"/>
  <c r="C45" i="21"/>
  <c r="F47" i="25"/>
  <c r="C44" i="21"/>
  <c r="A44" i="21"/>
  <c r="B44" i="21" s="1"/>
  <c r="A43" i="21"/>
  <c r="B43" i="21" s="1"/>
  <c r="C43" i="21"/>
  <c r="F46" i="25"/>
  <c r="F45" i="25"/>
  <c r="A40" i="21"/>
  <c r="B40" i="21" s="1"/>
  <c r="A42" i="21"/>
  <c r="B42" i="21" s="1"/>
  <c r="C42" i="21"/>
  <c r="F43" i="25"/>
  <c r="C41" i="21"/>
  <c r="A41" i="21"/>
  <c r="B41" i="21" s="1"/>
  <c r="F44" i="25"/>
  <c r="C40" i="21"/>
  <c r="F42" i="25"/>
  <c r="F41" i="25"/>
  <c r="C39" i="21"/>
  <c r="A38" i="21"/>
  <c r="B38" i="21" s="1"/>
  <c r="C38" i="21"/>
  <c r="A39" i="21"/>
  <c r="B39" i="21" s="1"/>
  <c r="C35" i="21"/>
  <c r="A36" i="21"/>
  <c r="B36" i="21" s="1"/>
  <c r="C34" i="21"/>
  <c r="A33" i="21"/>
  <c r="B33" i="21" s="1"/>
  <c r="F39" i="25"/>
  <c r="A34" i="21"/>
  <c r="B34" i="21" s="1"/>
  <c r="A37" i="21"/>
  <c r="B37" i="21" s="1"/>
  <c r="C33" i="21"/>
  <c r="C36" i="21"/>
  <c r="C37" i="21"/>
  <c r="F40" i="25"/>
  <c r="F36" i="25"/>
  <c r="F37" i="25"/>
  <c r="A35" i="21"/>
  <c r="B35" i="21" s="1"/>
  <c r="F38" i="25"/>
  <c r="F35" i="25"/>
  <c r="A32" i="21"/>
  <c r="B32" i="21" s="1"/>
  <c r="C32" i="21"/>
  <c r="C31" i="21"/>
  <c r="F34" i="25"/>
  <c r="A31" i="21"/>
  <c r="B31" i="21" s="1"/>
  <c r="A30" i="21"/>
  <c r="B30" i="21" s="1"/>
  <c r="F33" i="25"/>
  <c r="C30" i="21"/>
  <c r="A29" i="21"/>
  <c r="B29" i="21" s="1"/>
  <c r="C29" i="21"/>
  <c r="F31" i="25"/>
  <c r="A28" i="21"/>
  <c r="B28" i="21" s="1"/>
  <c r="F32" i="25"/>
  <c r="C28" i="21"/>
  <c r="C27" i="21"/>
  <c r="F30" i="25"/>
  <c r="C25" i="21"/>
  <c r="C26" i="21"/>
  <c r="F28" i="25"/>
  <c r="A26" i="21"/>
  <c r="B26" i="21" s="1"/>
  <c r="A27" i="21"/>
  <c r="B27" i="21" s="1"/>
  <c r="F29" i="25"/>
  <c r="A25" i="21"/>
  <c r="B25" i="21" s="1"/>
  <c r="F27" i="25"/>
  <c r="C24" i="21"/>
  <c r="A24" i="21"/>
  <c r="B24" i="21" s="1"/>
  <c r="F25" i="25"/>
  <c r="C22" i="21"/>
  <c r="F24" i="25"/>
  <c r="A23" i="21"/>
  <c r="B23" i="21" s="1"/>
  <c r="F26" i="25"/>
  <c r="C23" i="21"/>
  <c r="A22" i="21"/>
  <c r="B22" i="21" s="1"/>
  <c r="A21" i="21"/>
  <c r="B21" i="21" s="1"/>
  <c r="C21" i="21"/>
  <c r="C20" i="21"/>
  <c r="A20" i="21"/>
  <c r="B20" i="21" s="1"/>
  <c r="F23" i="25"/>
  <c r="C19" i="21"/>
  <c r="A19" i="21"/>
  <c r="B19" i="21" s="1"/>
  <c r="A7" i="21"/>
  <c r="B7" i="21" s="1"/>
  <c r="C10" i="21"/>
  <c r="C12" i="21"/>
  <c r="F18" i="25"/>
  <c r="F11" i="25"/>
  <c r="F22" i="25"/>
  <c r="A13" i="21"/>
  <c r="B13" i="21" s="1"/>
  <c r="C5" i="21"/>
  <c r="F21" i="25"/>
  <c r="C18" i="21"/>
  <c r="A9" i="21"/>
  <c r="B9" i="21" s="1"/>
  <c r="C9" i="21"/>
  <c r="A5" i="21"/>
  <c r="B5" i="21" s="1"/>
  <c r="F10" i="25"/>
  <c r="A10" i="21"/>
  <c r="B10" i="21" s="1"/>
  <c r="F13" i="25"/>
  <c r="C15" i="21"/>
  <c r="C13" i="21"/>
  <c r="F16" i="25"/>
  <c r="C11" i="21"/>
  <c r="C17" i="21"/>
  <c r="F8" i="25"/>
  <c r="A11" i="21"/>
  <c r="B11" i="21" s="1"/>
  <c r="F12" i="25"/>
  <c r="A8" i="21"/>
  <c r="B8" i="21" s="1"/>
  <c r="F15" i="25"/>
  <c r="A14" i="21"/>
  <c r="B14" i="21" s="1"/>
  <c r="F20" i="25"/>
  <c r="A12" i="21"/>
  <c r="B12" i="21" s="1"/>
  <c r="F17" i="25"/>
  <c r="A6" i="21"/>
  <c r="B6" i="21" s="1"/>
  <c r="F14" i="25"/>
  <c r="A16" i="21"/>
  <c r="B16" i="21" s="1"/>
  <c r="A17" i="21"/>
  <c r="B17" i="21" s="1"/>
  <c r="C6" i="21"/>
  <c r="F19" i="25"/>
  <c r="A15" i="21"/>
  <c r="B15" i="21" s="1"/>
  <c r="F9" i="25"/>
  <c r="A18" i="21"/>
  <c r="B18" i="21" s="1"/>
  <c r="C7" i="21"/>
  <c r="C16" i="21"/>
  <c r="C8" i="21"/>
  <c r="C14" i="21"/>
  <c r="C4" i="21"/>
  <c r="F7" i="25"/>
  <c r="A4" i="21"/>
  <c r="B4" i="21" s="1"/>
  <c r="A3" i="21"/>
  <c r="B3" i="21" s="1"/>
  <c r="C3" i="21"/>
  <c r="F6" i="25"/>
  <c r="H5" i="25"/>
  <c r="A2" i="21"/>
  <c r="B2" i="21" s="1"/>
  <c r="I33" i="23"/>
  <c r="J33" i="23"/>
  <c r="J41" i="23"/>
  <c r="F49" i="22" l="1"/>
  <c r="F13" i="22"/>
  <c r="J24" i="22"/>
  <c r="K24" i="22"/>
  <c r="F21" i="22"/>
  <c r="F16" i="22"/>
  <c r="J49" i="22"/>
  <c r="H38" i="22"/>
  <c r="H54" i="22"/>
  <c r="K35" i="22"/>
  <c r="J67" i="22"/>
  <c r="F60" i="22"/>
  <c r="I60" i="22" s="1"/>
  <c r="F14" i="22"/>
  <c r="J32" i="22"/>
  <c r="K31" i="22"/>
  <c r="J45" i="22"/>
  <c r="H39" i="22"/>
  <c r="K62" i="22"/>
  <c r="A2" i="27" a="1"/>
  <c r="A2" i="27" s="1"/>
  <c r="C2" i="27" s="1" a="1"/>
  <c r="C2" i="27" s="1"/>
  <c r="J14" i="22"/>
  <c r="F11" i="22"/>
  <c r="J27" i="22"/>
  <c r="H23" i="22"/>
  <c r="F17" i="22"/>
  <c r="J54" i="22"/>
  <c r="J40" i="22"/>
  <c r="F55" i="22"/>
  <c r="K36" i="22"/>
  <c r="H51" i="22"/>
  <c r="J60" i="22"/>
  <c r="F68" i="22"/>
  <c r="J13" i="22"/>
  <c r="F10" i="22"/>
  <c r="J26" i="22"/>
  <c r="K23" i="22"/>
  <c r="H17" i="22"/>
  <c r="J52" i="22"/>
  <c r="J42" i="22"/>
  <c r="F33" i="22"/>
  <c r="H58" i="22"/>
  <c r="K55" i="22"/>
  <c r="J63" i="22"/>
  <c r="H67" i="22"/>
  <c r="B5" i="22"/>
  <c r="F5" i="22" s="1"/>
  <c r="H24" i="22"/>
  <c r="F20" i="22"/>
  <c r="F34" i="22"/>
  <c r="J62" i="22"/>
  <c r="J12" i="22"/>
  <c r="F9" i="22"/>
  <c r="J31" i="22"/>
  <c r="F30" i="22"/>
  <c r="K17" i="22"/>
  <c r="J57" i="22"/>
  <c r="J46" i="22"/>
  <c r="H59" i="22"/>
  <c r="K33" i="22"/>
  <c r="F66" i="22"/>
  <c r="J11" i="22"/>
  <c r="F8" i="22"/>
  <c r="J28" i="22"/>
  <c r="H29" i="22"/>
  <c r="H31" i="22"/>
  <c r="J34" i="22"/>
  <c r="J56" i="22"/>
  <c r="H37" i="22"/>
  <c r="F50" i="22"/>
  <c r="K53" i="22"/>
  <c r="J69" i="22"/>
  <c r="H65" i="22"/>
  <c r="J61" i="22"/>
  <c r="J10" i="22"/>
  <c r="J6" i="22"/>
  <c r="J20" i="22"/>
  <c r="F28" i="22"/>
  <c r="H16" i="22"/>
  <c r="J41" i="22"/>
  <c r="H46" i="22"/>
  <c r="K41" i="22"/>
  <c r="F48" i="22"/>
  <c r="F44" i="22"/>
  <c r="J70" i="22"/>
  <c r="K64" i="22"/>
  <c r="H57" i="22"/>
  <c r="J9" i="22"/>
  <c r="K5" i="22"/>
  <c r="J15" i="22"/>
  <c r="K28" i="22"/>
  <c r="K16" i="22"/>
  <c r="J37" i="22"/>
  <c r="H41" i="22"/>
  <c r="K40" i="22"/>
  <c r="H52" i="22"/>
  <c r="K52" i="22"/>
  <c r="J66" i="22"/>
  <c r="F65" i="22"/>
  <c r="J8" i="22"/>
  <c r="K14" i="22"/>
  <c r="J19" i="22"/>
  <c r="F27" i="22"/>
  <c r="F31" i="22"/>
  <c r="J43" i="22"/>
  <c r="K45" i="22"/>
  <c r="F42" i="22"/>
  <c r="K56" i="22"/>
  <c r="F41" i="22"/>
  <c r="J68" i="22"/>
  <c r="F63" i="22"/>
  <c r="J22" i="22"/>
  <c r="F47" i="22"/>
  <c r="J7" i="22"/>
  <c r="K13" i="22"/>
  <c r="J18" i="22"/>
  <c r="H26" i="22"/>
  <c r="F22" i="22"/>
  <c r="J51" i="22"/>
  <c r="F58" i="22"/>
  <c r="F54" i="22"/>
  <c r="K34" i="22"/>
  <c r="K49" i="22"/>
  <c r="L49" i="22" s="1"/>
  <c r="J64" i="22"/>
  <c r="H62" i="22"/>
  <c r="H20" i="22"/>
  <c r="F7" i="22"/>
  <c r="K12" i="22"/>
  <c r="J16" i="22"/>
  <c r="F25" i="22"/>
  <c r="K21" i="22"/>
  <c r="J47" i="22"/>
  <c r="F36" i="22"/>
  <c r="F53" i="22"/>
  <c r="F45" i="22"/>
  <c r="F38" i="22"/>
  <c r="H70" i="22"/>
  <c r="K61" i="22"/>
  <c r="F12" i="22"/>
  <c r="K42" i="22"/>
  <c r="F6" i="22"/>
  <c r="K11" i="22"/>
  <c r="J17" i="22"/>
  <c r="K20" i="22"/>
  <c r="F15" i="22"/>
  <c r="J36" i="22"/>
  <c r="H40" i="22"/>
  <c r="K38" i="22"/>
  <c r="F43" i="22"/>
  <c r="K46" i="22"/>
  <c r="F69" i="22"/>
  <c r="K70" i="22"/>
  <c r="F23" i="22"/>
  <c r="J65" i="22"/>
  <c r="H14" i="22"/>
  <c r="K10" i="22"/>
  <c r="J21" i="22"/>
  <c r="F19" i="22"/>
  <c r="H15" i="22"/>
  <c r="J44" i="22"/>
  <c r="K44" i="22"/>
  <c r="H48" i="22"/>
  <c r="K50" i="22"/>
  <c r="L50" i="22" s="1"/>
  <c r="F59" i="22"/>
  <c r="H68" i="22"/>
  <c r="F70" i="22"/>
  <c r="J38" i="22"/>
  <c r="H13" i="22"/>
  <c r="K9" i="22"/>
  <c r="H32" i="22"/>
  <c r="H19" i="22"/>
  <c r="K15" i="22"/>
  <c r="J55" i="22"/>
  <c r="H47" i="22"/>
  <c r="F51" i="22"/>
  <c r="F40" i="22"/>
  <c r="L40" i="22" s="1"/>
  <c r="F35" i="22"/>
  <c r="K67" i="22"/>
  <c r="K68" i="22"/>
  <c r="J33" i="22"/>
  <c r="H12" i="22"/>
  <c r="K8" i="22"/>
  <c r="K32" i="22"/>
  <c r="K19" i="22"/>
  <c r="H30" i="22"/>
  <c r="J58" i="22"/>
  <c r="K51" i="22"/>
  <c r="H55" i="22"/>
  <c r="K48" i="22"/>
  <c r="H35" i="22"/>
  <c r="K65" i="22"/>
  <c r="F67" i="22"/>
  <c r="K58" i="22"/>
  <c r="H11" i="22"/>
  <c r="K7" i="22"/>
  <c r="K30" i="22"/>
  <c r="H27" i="22"/>
  <c r="F29" i="22"/>
  <c r="J50" i="22"/>
  <c r="H44" i="22"/>
  <c r="H33" i="22"/>
  <c r="F39" i="22"/>
  <c r="H56" i="22"/>
  <c r="H64" i="22"/>
  <c r="H66" i="22"/>
  <c r="H69" i="22"/>
  <c r="H10" i="22"/>
  <c r="K6" i="22"/>
  <c r="K29" i="22"/>
  <c r="K22" i="22"/>
  <c r="H28" i="22"/>
  <c r="J48" i="22"/>
  <c r="H43" i="22"/>
  <c r="K59" i="22"/>
  <c r="H42" i="22"/>
  <c r="H53" i="22"/>
  <c r="K63" i="22"/>
  <c r="F62" i="22"/>
  <c r="H9" i="22"/>
  <c r="J30" i="22"/>
  <c r="K27" i="22"/>
  <c r="F18" i="22"/>
  <c r="F26" i="22"/>
  <c r="J59" i="22"/>
  <c r="K47" i="22"/>
  <c r="K37" i="22"/>
  <c r="H36" i="22"/>
  <c r="K57" i="22"/>
  <c r="K69" i="22"/>
  <c r="H61" i="22"/>
  <c r="H8" i="22"/>
  <c r="J29" i="22"/>
  <c r="H25" i="22"/>
  <c r="H18" i="22"/>
  <c r="K26" i="22"/>
  <c r="J35" i="22"/>
  <c r="F37" i="22"/>
  <c r="H49" i="22"/>
  <c r="K39" i="22"/>
  <c r="F46" i="22"/>
  <c r="K66" i="22"/>
  <c r="K60" i="22"/>
  <c r="H7" i="22"/>
  <c r="J23" i="22"/>
  <c r="K25" i="22"/>
  <c r="K18" i="22"/>
  <c r="H22" i="22"/>
  <c r="J53" i="22"/>
  <c r="K43" i="22"/>
  <c r="H45" i="22"/>
  <c r="F52" i="22"/>
  <c r="H50" i="22"/>
  <c r="I50" i="22" s="1"/>
  <c r="F64" i="22"/>
  <c r="F61" i="22"/>
  <c r="H6" i="22"/>
  <c r="J25" i="22"/>
  <c r="F24" i="22"/>
  <c r="F32" i="22"/>
  <c r="H21" i="22"/>
  <c r="J39" i="22"/>
  <c r="F56" i="22"/>
  <c r="F57" i="22"/>
  <c r="H34" i="22"/>
  <c r="K54" i="22"/>
  <c r="H63" i="22"/>
  <c r="E33" i="23"/>
  <c r="G33" i="23"/>
  <c r="C33" i="23" s="1"/>
  <c r="I6" i="23" s="1"/>
  <c r="M6" i="23" s="1"/>
  <c r="N6" i="23" s="1"/>
  <c r="I35" i="23"/>
  <c r="F33" i="23"/>
  <c r="H33" i="23"/>
  <c r="J35" i="23"/>
  <c r="F41" i="23"/>
  <c r="F42" i="23" s="1"/>
  <c r="J42" i="23"/>
  <c r="H41" i="23"/>
  <c r="B5" i="1"/>
  <c r="V18" i="1"/>
  <c r="X22" i="1" s="1"/>
  <c r="Y22" i="1" s="1"/>
  <c r="D5" i="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M43" i="23"/>
  <c r="M37" i="23"/>
  <c r="L35" i="23" s="1"/>
  <c r="M47" i="23"/>
  <c r="M48" i="23" s="1"/>
  <c r="K43" i="23"/>
  <c r="K45" i="23" s="1"/>
  <c r="K47" i="23"/>
  <c r="K48" i="23" s="1"/>
  <c r="K37" i="23"/>
  <c r="N37" i="23"/>
  <c r="N43" i="23"/>
  <c r="N47" i="23"/>
  <c r="N48" i="23" s="1"/>
  <c r="L95" i="22"/>
  <c r="I127" i="22"/>
  <c r="I110" i="22"/>
  <c r="L91" i="22"/>
  <c r="L125" i="22"/>
  <c r="L111" i="22"/>
  <c r="L140" i="22"/>
  <c r="L142" i="22"/>
  <c r="L128" i="22"/>
  <c r="L116" i="22"/>
  <c r="L139" i="22"/>
  <c r="L101" i="22"/>
  <c r="L109" i="22"/>
  <c r="L138" i="22"/>
  <c r="L79" i="22"/>
  <c r="L87" i="22"/>
  <c r="I76" i="22"/>
  <c r="L108" i="22"/>
  <c r="L81" i="22"/>
  <c r="L123" i="22"/>
  <c r="L131" i="22"/>
  <c r="L90" i="22"/>
  <c r="L106" i="22"/>
  <c r="L72" i="22"/>
  <c r="L136" i="22"/>
  <c r="L133" i="22"/>
  <c r="L120" i="22"/>
  <c r="L89" i="22"/>
  <c r="L85" i="22"/>
  <c r="L112" i="22"/>
  <c r="I71" i="22"/>
  <c r="L130" i="22"/>
  <c r="L103" i="22"/>
  <c r="L134" i="22"/>
  <c r="L74" i="22"/>
  <c r="L94" i="22"/>
  <c r="L84" i="22"/>
  <c r="L98" i="22"/>
  <c r="L73" i="22"/>
  <c r="L114" i="22"/>
  <c r="L126" i="22"/>
  <c r="I119" i="22"/>
  <c r="L92" i="22"/>
  <c r="L132" i="22"/>
  <c r="L104" i="22"/>
  <c r="L110" i="22"/>
  <c r="L82" i="22"/>
  <c r="I123" i="22"/>
  <c r="L88" i="22"/>
  <c r="L124" i="22"/>
  <c r="I133" i="22"/>
  <c r="L118" i="22"/>
  <c r="L102" i="22"/>
  <c r="I87" i="22"/>
  <c r="L141" i="22"/>
  <c r="L129" i="22"/>
  <c r="L80" i="22"/>
  <c r="L117" i="22"/>
  <c r="L119" i="22"/>
  <c r="L107" i="22"/>
  <c r="L122" i="22"/>
  <c r="L121" i="22"/>
  <c r="I140" i="22"/>
  <c r="L97" i="22"/>
  <c r="L100" i="22"/>
  <c r="L99" i="22"/>
  <c r="L86" i="22"/>
  <c r="L75" i="22"/>
  <c r="L78" i="22"/>
  <c r="L77" i="22"/>
  <c r="L76" i="22"/>
  <c r="I124" i="22"/>
  <c r="L137" i="22"/>
  <c r="L127" i="22"/>
  <c r="L115" i="22"/>
  <c r="L105" i="22"/>
  <c r="I89" i="22"/>
  <c r="L96" i="22"/>
  <c r="L93" i="22"/>
  <c r="L135" i="22"/>
  <c r="L83" i="22"/>
  <c r="L71" i="22"/>
  <c r="L113" i="22"/>
  <c r="I114" i="22"/>
  <c r="I102" i="22"/>
  <c r="I139" i="22"/>
  <c r="I77" i="22"/>
  <c r="I73" i="22"/>
  <c r="I135" i="22"/>
  <c r="I129" i="22"/>
  <c r="I142" i="22"/>
  <c r="I96" i="22"/>
  <c r="I107" i="22"/>
  <c r="I90" i="22"/>
  <c r="I115" i="22"/>
  <c r="I105" i="22"/>
  <c r="I85" i="22"/>
  <c r="I131" i="22"/>
  <c r="I82" i="22"/>
  <c r="I117" i="22"/>
  <c r="I78" i="22"/>
  <c r="I95" i="22"/>
  <c r="I94" i="22"/>
  <c r="I109" i="22"/>
  <c r="I80" i="22"/>
  <c r="I83" i="22"/>
  <c r="I84" i="22"/>
  <c r="I88" i="22"/>
  <c r="I108" i="22"/>
  <c r="I116" i="22"/>
  <c r="I93" i="22"/>
  <c r="I118" i="22"/>
  <c r="I137" i="22"/>
  <c r="I141" i="22"/>
  <c r="I112" i="22"/>
  <c r="I81" i="22"/>
  <c r="I97" i="22"/>
  <c r="I136" i="22"/>
  <c r="I101" i="22"/>
  <c r="I120" i="22"/>
  <c r="I111" i="22"/>
  <c r="I132" i="22"/>
  <c r="I138" i="22"/>
  <c r="I100" i="22"/>
  <c r="I86" i="22"/>
  <c r="I130" i="22"/>
  <c r="I106" i="22"/>
  <c r="I98" i="22"/>
  <c r="I113" i="22"/>
  <c r="I99" i="22"/>
  <c r="I104" i="22"/>
  <c r="I121" i="22"/>
  <c r="I79" i="22"/>
  <c r="I92" i="22"/>
  <c r="I75" i="22"/>
  <c r="I72" i="22"/>
  <c r="I128" i="22"/>
  <c r="I74" i="22"/>
  <c r="I103" i="22"/>
  <c r="I134" i="22"/>
  <c r="I122" i="22"/>
  <c r="I91" i="22"/>
  <c r="I126" i="22"/>
  <c r="I125" i="22"/>
  <c r="D138" i="21"/>
  <c r="I141" i="25"/>
  <c r="D139" i="21"/>
  <c r="I142" i="25"/>
  <c r="D131" i="21"/>
  <c r="I134" i="25"/>
  <c r="D133" i="21"/>
  <c r="I136" i="25"/>
  <c r="D137" i="21"/>
  <c r="I140" i="25"/>
  <c r="I132" i="25"/>
  <c r="D129" i="21"/>
  <c r="I138" i="25"/>
  <c r="D135" i="21"/>
  <c r="D132" i="21"/>
  <c r="I135" i="25"/>
  <c r="D127" i="21"/>
  <c r="I130" i="25"/>
  <c r="D136" i="21"/>
  <c r="I139" i="25"/>
  <c r="D125" i="21"/>
  <c r="I128" i="25"/>
  <c r="D130" i="21"/>
  <c r="I133" i="25"/>
  <c r="D128" i="21"/>
  <c r="I131" i="25"/>
  <c r="D126" i="21"/>
  <c r="I129" i="25"/>
  <c r="D124" i="21"/>
  <c r="I127" i="25"/>
  <c r="D134" i="21"/>
  <c r="I137" i="25"/>
  <c r="D110" i="21"/>
  <c r="I113" i="25"/>
  <c r="D111" i="21"/>
  <c r="I114" i="25"/>
  <c r="D88" i="21"/>
  <c r="I91" i="25"/>
  <c r="D102" i="21"/>
  <c r="I105" i="25"/>
  <c r="D90" i="21"/>
  <c r="I93" i="25"/>
  <c r="D104" i="21"/>
  <c r="I107" i="25"/>
  <c r="D103" i="21"/>
  <c r="I106" i="25"/>
  <c r="I88" i="25"/>
  <c r="D85" i="21"/>
  <c r="D109" i="21"/>
  <c r="I112" i="25"/>
  <c r="I94" i="25"/>
  <c r="D91" i="21"/>
  <c r="D89" i="21"/>
  <c r="I92" i="25"/>
  <c r="D114" i="21"/>
  <c r="I117" i="25"/>
  <c r="D95" i="21"/>
  <c r="I98" i="25"/>
  <c r="D112" i="21"/>
  <c r="I115" i="25"/>
  <c r="D82" i="21"/>
  <c r="I85" i="25"/>
  <c r="D92" i="21"/>
  <c r="I95" i="25"/>
  <c r="D96" i="21"/>
  <c r="I99" i="25"/>
  <c r="D118" i="21"/>
  <c r="I121" i="25"/>
  <c r="D93" i="21"/>
  <c r="I96" i="25"/>
  <c r="I118" i="25"/>
  <c r="D115" i="21"/>
  <c r="D119" i="21"/>
  <c r="I122" i="25"/>
  <c r="I87" i="25"/>
  <c r="D84" i="21"/>
  <c r="I97" i="25"/>
  <c r="D94" i="21"/>
  <c r="D120" i="21"/>
  <c r="I123" i="25"/>
  <c r="D116" i="21"/>
  <c r="I119" i="25"/>
  <c r="D101" i="21"/>
  <c r="I104" i="25"/>
  <c r="D87" i="21"/>
  <c r="I90" i="25"/>
  <c r="D105" i="21"/>
  <c r="I108" i="25"/>
  <c r="I102" i="25"/>
  <c r="D99" i="21"/>
  <c r="I126" i="25"/>
  <c r="D123" i="21"/>
  <c r="I116" i="25"/>
  <c r="D113" i="21"/>
  <c r="I86" i="25"/>
  <c r="D83" i="21"/>
  <c r="D86" i="21"/>
  <c r="I89" i="25"/>
  <c r="I124" i="25"/>
  <c r="D121" i="21"/>
  <c r="D97" i="21"/>
  <c r="I100" i="25"/>
  <c r="D117" i="21"/>
  <c r="I120" i="25"/>
  <c r="I110" i="25"/>
  <c r="D107" i="21"/>
  <c r="D106" i="21"/>
  <c r="I109" i="25"/>
  <c r="I111" i="25"/>
  <c r="D108" i="21"/>
  <c r="D98" i="21"/>
  <c r="I101" i="25"/>
  <c r="D122" i="21"/>
  <c r="I125" i="25"/>
  <c r="D100" i="21"/>
  <c r="I103" i="25"/>
  <c r="I82" i="25"/>
  <c r="D79" i="21"/>
  <c r="I69" i="25"/>
  <c r="F66" i="21" s="1"/>
  <c r="D66" i="21"/>
  <c r="I81" i="25"/>
  <c r="D78" i="21"/>
  <c r="I75" i="25"/>
  <c r="F72" i="21" s="1"/>
  <c r="D72" i="21"/>
  <c r="I83" i="25"/>
  <c r="D80" i="21"/>
  <c r="I71" i="25"/>
  <c r="F68" i="21" s="1"/>
  <c r="D68" i="21"/>
  <c r="I84" i="25"/>
  <c r="D81" i="21"/>
  <c r="I77" i="25"/>
  <c r="D74" i="21"/>
  <c r="D77" i="21"/>
  <c r="I80" i="25"/>
  <c r="D71" i="21"/>
  <c r="I74" i="25"/>
  <c r="F71" i="21" s="1"/>
  <c r="I68" i="25"/>
  <c r="F65" i="21" s="1"/>
  <c r="D65" i="21"/>
  <c r="I79" i="25"/>
  <c r="D76" i="21"/>
  <c r="I73" i="25"/>
  <c r="F70" i="21" s="1"/>
  <c r="D70" i="21"/>
  <c r="D67" i="21"/>
  <c r="I70" i="25"/>
  <c r="F67" i="21" s="1"/>
  <c r="I78" i="25"/>
  <c r="D75" i="21"/>
  <c r="D69" i="21"/>
  <c r="I72" i="25"/>
  <c r="F69" i="21" s="1"/>
  <c r="D73" i="21"/>
  <c r="I76" i="25"/>
  <c r="F73" i="21" s="1"/>
  <c r="D63" i="21"/>
  <c r="I66" i="25"/>
  <c r="F63" i="21" s="1"/>
  <c r="D61" i="21"/>
  <c r="I64" i="25"/>
  <c r="F61" i="21" s="1"/>
  <c r="D64" i="21"/>
  <c r="I67" i="25"/>
  <c r="F64" i="21" s="1"/>
  <c r="D62" i="21"/>
  <c r="I65" i="25"/>
  <c r="F62" i="21" s="1"/>
  <c r="I63" i="25"/>
  <c r="F60" i="21" s="1"/>
  <c r="D60" i="21"/>
  <c r="D59" i="21"/>
  <c r="I62" i="25"/>
  <c r="F59" i="21" s="1"/>
  <c r="D58" i="21"/>
  <c r="I61" i="25"/>
  <c r="F58" i="21" s="1"/>
  <c r="I58" i="25"/>
  <c r="F55" i="21" s="1"/>
  <c r="D55" i="21"/>
  <c r="D57" i="21"/>
  <c r="I60" i="25"/>
  <c r="F57" i="21" s="1"/>
  <c r="D56" i="21"/>
  <c r="I59" i="25"/>
  <c r="F56" i="21" s="1"/>
  <c r="D54" i="21"/>
  <c r="I57" i="25"/>
  <c r="F54" i="21" s="1"/>
  <c r="D52" i="21"/>
  <c r="I55" i="25"/>
  <c r="F52" i="21" s="1"/>
  <c r="I56" i="25"/>
  <c r="F53" i="21" s="1"/>
  <c r="D53" i="21"/>
  <c r="I54" i="25"/>
  <c r="F51" i="21" s="1"/>
  <c r="D51" i="21"/>
  <c r="I53" i="25"/>
  <c r="F50" i="21" s="1"/>
  <c r="D50" i="21"/>
  <c r="D49" i="21"/>
  <c r="I52" i="25"/>
  <c r="F49" i="21" s="1"/>
  <c r="D48" i="21"/>
  <c r="I51" i="25"/>
  <c r="F48" i="21" s="1"/>
  <c r="I50" i="25"/>
  <c r="F47" i="21" s="1"/>
  <c r="D47" i="21"/>
  <c r="D46" i="21"/>
  <c r="I49" i="25"/>
  <c r="F46" i="21" s="1"/>
  <c r="I48" i="25"/>
  <c r="F45" i="21" s="1"/>
  <c r="D45" i="21"/>
  <c r="D44" i="21"/>
  <c r="I47" i="25"/>
  <c r="F44" i="21" s="1"/>
  <c r="I46" i="25"/>
  <c r="F43" i="21" s="1"/>
  <c r="D43" i="21"/>
  <c r="D41" i="21"/>
  <c r="I44" i="25"/>
  <c r="F41" i="21" s="1"/>
  <c r="D40" i="21"/>
  <c r="I43" i="25"/>
  <c r="F40" i="21" s="1"/>
  <c r="D42" i="21"/>
  <c r="I45" i="25"/>
  <c r="F42" i="21" s="1"/>
  <c r="I42" i="25"/>
  <c r="F39" i="21" s="1"/>
  <c r="D39" i="21"/>
  <c r="D38" i="21"/>
  <c r="I41" i="25"/>
  <c r="F38" i="21" s="1"/>
  <c r="D36" i="21"/>
  <c r="I39" i="25"/>
  <c r="F36" i="21" s="1"/>
  <c r="I40" i="25"/>
  <c r="F37" i="21" s="1"/>
  <c r="D37" i="21"/>
  <c r="I38" i="25"/>
  <c r="F35" i="21" s="1"/>
  <c r="D35" i="21"/>
  <c r="D34" i="21"/>
  <c r="I37" i="25"/>
  <c r="F34" i="21" s="1"/>
  <c r="I36" i="25"/>
  <c r="F33" i="21" s="1"/>
  <c r="D33" i="21"/>
  <c r="I35" i="25"/>
  <c r="F32" i="21" s="1"/>
  <c r="D32" i="21"/>
  <c r="D31" i="21"/>
  <c r="I34" i="25"/>
  <c r="F31" i="21" s="1"/>
  <c r="I33" i="25"/>
  <c r="F30" i="21" s="1"/>
  <c r="D30" i="21"/>
  <c r="I32" i="25"/>
  <c r="F29" i="21" s="1"/>
  <c r="D29" i="21"/>
  <c r="I31" i="25"/>
  <c r="F28" i="21" s="1"/>
  <c r="D28" i="21"/>
  <c r="D26" i="21"/>
  <c r="I29" i="25"/>
  <c r="F26" i="21" s="1"/>
  <c r="D25" i="21"/>
  <c r="I28" i="25"/>
  <c r="F25" i="21" s="1"/>
  <c r="I30" i="25"/>
  <c r="F27" i="21" s="1"/>
  <c r="D27" i="21"/>
  <c r="D24" i="21"/>
  <c r="I27" i="25"/>
  <c r="F24" i="21" s="1"/>
  <c r="D23" i="21"/>
  <c r="I26" i="25"/>
  <c r="F23" i="21" s="1"/>
  <c r="D21" i="21"/>
  <c r="I24" i="25"/>
  <c r="F21" i="21" s="1"/>
  <c r="I25" i="25"/>
  <c r="F22" i="21" s="1"/>
  <c r="D22" i="21"/>
  <c r="I23" i="25"/>
  <c r="F20" i="21" s="1"/>
  <c r="D20" i="21"/>
  <c r="I17" i="25"/>
  <c r="F14" i="21" s="1"/>
  <c r="D14" i="21"/>
  <c r="D6" i="21"/>
  <c r="I9" i="25"/>
  <c r="F6" i="21" s="1"/>
  <c r="D19" i="21"/>
  <c r="I22" i="25"/>
  <c r="F19" i="21" s="1"/>
  <c r="D18" i="21"/>
  <c r="I21" i="25"/>
  <c r="F18" i="21" s="1"/>
  <c r="I11" i="25"/>
  <c r="F8" i="21" s="1"/>
  <c r="D8" i="21"/>
  <c r="I15" i="25"/>
  <c r="F12" i="21" s="1"/>
  <c r="D12" i="21"/>
  <c r="I12" i="25"/>
  <c r="F9" i="21" s="1"/>
  <c r="D9" i="21"/>
  <c r="I20" i="25"/>
  <c r="F17" i="21" s="1"/>
  <c r="D17" i="21"/>
  <c r="I18" i="25"/>
  <c r="F15" i="21" s="1"/>
  <c r="D15" i="21"/>
  <c r="D16" i="21"/>
  <c r="I19" i="25"/>
  <c r="F16" i="21" s="1"/>
  <c r="I13" i="25"/>
  <c r="F10" i="21" s="1"/>
  <c r="D10" i="21"/>
  <c r="D13" i="21"/>
  <c r="I16" i="25"/>
  <c r="F13" i="21" s="1"/>
  <c r="I14" i="25"/>
  <c r="F11" i="21" s="1"/>
  <c r="D11" i="21"/>
  <c r="D5" i="21"/>
  <c r="I8" i="25"/>
  <c r="F5" i="21" s="1"/>
  <c r="D7" i="21"/>
  <c r="I10" i="25"/>
  <c r="F7" i="21" s="1"/>
  <c r="I7" i="25"/>
  <c r="F4" i="21" s="1"/>
  <c r="D4" i="21"/>
  <c r="D3" i="21"/>
  <c r="I6" i="25"/>
  <c r="F3" i="21" s="1"/>
  <c r="C2" i="21"/>
  <c r="F5" i="25"/>
  <c r="A5" i="25"/>
  <c r="A6" i="25" s="1"/>
  <c r="A7" i="25" s="1"/>
  <c r="A8" i="25" s="1"/>
  <c r="A9" i="25" s="1"/>
  <c r="A10" i="25" s="1"/>
  <c r="A11" i="25" s="1"/>
  <c r="A12" i="25" s="1"/>
  <c r="A13" i="25" s="1"/>
  <c r="A14" i="25" s="1"/>
  <c r="A15" i="25" s="1"/>
  <c r="A16" i="25" s="1"/>
  <c r="A17" i="25" s="1"/>
  <c r="A18" i="25" s="1"/>
  <c r="A19" i="25" s="1"/>
  <c r="A20" i="25" s="1"/>
  <c r="A21" i="25" s="1"/>
  <c r="A22" i="25" s="1"/>
  <c r="A23" i="25" s="1"/>
  <c r="A24" i="25" s="1"/>
  <c r="A25" i="25" s="1"/>
  <c r="A26" i="25" s="1"/>
  <c r="A27" i="25" s="1"/>
  <c r="A28" i="25" s="1"/>
  <c r="A29" i="25" s="1"/>
  <c r="A30" i="25" s="1"/>
  <c r="A31" i="25" s="1"/>
  <c r="A32" i="25" s="1"/>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55" i="25" s="1"/>
  <c r="A56" i="25" s="1"/>
  <c r="A57" i="25" s="1"/>
  <c r="A58" i="25" s="1"/>
  <c r="A59" i="25" s="1"/>
  <c r="A60" i="25" s="1"/>
  <c r="A61" i="25" s="1"/>
  <c r="A62" i="25" s="1"/>
  <c r="A63" i="25" s="1"/>
  <c r="A64" i="25" s="1"/>
  <c r="A65" i="25" s="1"/>
  <c r="A66" i="25" s="1"/>
  <c r="A67" i="25" s="1"/>
  <c r="A68" i="25" s="1"/>
  <c r="A69" i="25" s="1"/>
  <c r="A70" i="25" s="1"/>
  <c r="A71" i="25" s="1"/>
  <c r="A72" i="25" s="1"/>
  <c r="A73" i="25" s="1"/>
  <c r="A74" i="25" s="1"/>
  <c r="A75" i="25" s="1"/>
  <c r="A76" i="25" s="1"/>
  <c r="A77" i="25" s="1"/>
  <c r="A78" i="25" s="1"/>
  <c r="A79" i="25" s="1"/>
  <c r="A80" i="25" s="1"/>
  <c r="A81" i="25" s="1"/>
  <c r="A82" i="25" s="1"/>
  <c r="A83" i="25" s="1"/>
  <c r="A84" i="25" s="1"/>
  <c r="A85" i="25" s="1"/>
  <c r="A86" i="25" s="1"/>
  <c r="A87" i="25" s="1"/>
  <c r="A88" i="25" s="1"/>
  <c r="A89" i="25" s="1"/>
  <c r="A90" i="25" s="1"/>
  <c r="A91" i="25" s="1"/>
  <c r="A92" i="25" s="1"/>
  <c r="A93" i="25" s="1"/>
  <c r="A94" i="25" s="1"/>
  <c r="A95" i="25" s="1"/>
  <c r="A96" i="25" s="1"/>
  <c r="A97" i="25" s="1"/>
  <c r="A98" i="25" s="1"/>
  <c r="A99" i="25" s="1"/>
  <c r="A100" i="25" s="1"/>
  <c r="A101" i="25" s="1"/>
  <c r="A102" i="25" s="1"/>
  <c r="A103" i="25" s="1"/>
  <c r="A104" i="25" s="1"/>
  <c r="A105" i="25" s="1"/>
  <c r="A106" i="25" s="1"/>
  <c r="A107" i="25" s="1"/>
  <c r="A108" i="25" s="1"/>
  <c r="A109" i="25" s="1"/>
  <c r="A110" i="25" s="1"/>
  <c r="A111" i="25" s="1"/>
  <c r="A112" i="25" s="1"/>
  <c r="A113" i="25" s="1"/>
  <c r="A114" i="25" s="1"/>
  <c r="A115" i="25" s="1"/>
  <c r="A116" i="25" s="1"/>
  <c r="A117" i="25" s="1"/>
  <c r="A118" i="25" s="1"/>
  <c r="A119" i="25" s="1"/>
  <c r="A120" i="25" s="1"/>
  <c r="A121" i="25" s="1"/>
  <c r="A122" i="25" s="1"/>
  <c r="A123" i="25" s="1"/>
  <c r="A124" i="25" s="1"/>
  <c r="A125" i="25" s="1"/>
  <c r="A126" i="25" s="1"/>
  <c r="A127" i="25" s="1"/>
  <c r="A128" i="25" s="1"/>
  <c r="A129" i="25" s="1"/>
  <c r="A130" i="25" s="1"/>
  <c r="A131" i="25" s="1"/>
  <c r="A132" i="25" s="1"/>
  <c r="A133" i="25" s="1"/>
  <c r="A134" i="25" s="1"/>
  <c r="A135" i="25" s="1"/>
  <c r="A136" i="25" s="1"/>
  <c r="A137" i="25" s="1"/>
  <c r="A138" i="25" s="1"/>
  <c r="A139" i="25" s="1"/>
  <c r="A140" i="25" s="1"/>
  <c r="A141" i="25" s="1"/>
  <c r="A142" i="25" s="1"/>
  <c r="A143" i="25" s="1"/>
  <c r="A144" i="25" s="1"/>
  <c r="A145" i="25" s="1"/>
  <c r="A146" i="25" s="1"/>
  <c r="A147" i="25" s="1"/>
  <c r="A148" i="25" s="1"/>
  <c r="A149" i="25" s="1"/>
  <c r="A150" i="25" s="1"/>
  <c r="A151" i="25" s="1"/>
  <c r="A152" i="25" s="1"/>
  <c r="A153" i="25" s="1"/>
  <c r="A154" i="25" s="1"/>
  <c r="A155" i="25" s="1"/>
  <c r="A156" i="25" s="1"/>
  <c r="A157" i="25" s="1"/>
  <c r="A158" i="25" s="1"/>
  <c r="A159" i="25" s="1"/>
  <c r="A160" i="25" s="1"/>
  <c r="A161" i="25" s="1"/>
  <c r="A162" i="25" s="1"/>
  <c r="A163" i="25" s="1"/>
  <c r="A164" i="25" s="1"/>
  <c r="A165" i="25" s="1"/>
  <c r="A166" i="25" s="1"/>
  <c r="A167" i="25" s="1"/>
  <c r="A168" i="25" s="1"/>
  <c r="A169" i="25" s="1"/>
  <c r="A170" i="25" s="1"/>
  <c r="A171" i="25" s="1"/>
  <c r="A172" i="25" s="1"/>
  <c r="A173" i="25" s="1"/>
  <c r="A174" i="25" s="1"/>
  <c r="A175" i="25" s="1"/>
  <c r="A176" i="25" s="1"/>
  <c r="A177" i="25" s="1"/>
  <c r="A178" i="25" s="1"/>
  <c r="A179" i="25" s="1"/>
  <c r="A180" i="25" s="1"/>
  <c r="A181" i="25" s="1"/>
  <c r="A182" i="25" s="1"/>
  <c r="A183" i="25" s="1"/>
  <c r="A184" i="25" s="1"/>
  <c r="A185" i="25" s="1"/>
  <c r="A186" i="25" s="1"/>
  <c r="A187" i="25" s="1"/>
  <c r="A188" i="25" s="1"/>
  <c r="A189" i="25" s="1"/>
  <c r="A190" i="25" s="1"/>
  <c r="A191" i="25" s="1"/>
  <c r="A192" i="25" s="1"/>
  <c r="A193" i="25" s="1"/>
  <c r="A194" i="25" s="1"/>
  <c r="A195" i="25" s="1"/>
  <c r="A196" i="25" s="1"/>
  <c r="A197" i="25" s="1"/>
  <c r="A198" i="25" s="1"/>
  <c r="A199" i="25" s="1"/>
  <c r="A200" i="25" s="1"/>
  <c r="A201" i="25" s="1"/>
  <c r="A202" i="25" s="1"/>
  <c r="A203" i="25" s="1"/>
  <c r="A204" i="25" s="1"/>
  <c r="A205" i="25" s="1"/>
  <c r="A206" i="25" s="1"/>
  <c r="A207" i="25" s="1"/>
  <c r="A208" i="25" s="1"/>
  <c r="A209" i="25" s="1"/>
  <c r="A210" i="25" s="1"/>
  <c r="A211" i="25" s="1"/>
  <c r="A212" i="25" s="1"/>
  <c r="A213" i="25" s="1"/>
  <c r="A214" i="25" s="1"/>
  <c r="A215" i="25" s="1"/>
  <c r="A216" i="25" s="1"/>
  <c r="A217" i="25" s="1"/>
  <c r="A218" i="25" s="1"/>
  <c r="A219" i="25" s="1"/>
  <c r="A220" i="25" s="1"/>
  <c r="A221" i="25" s="1"/>
  <c r="A222" i="25" s="1"/>
  <c r="A223" i="25" s="1"/>
  <c r="A224" i="25" s="1"/>
  <c r="A225" i="25" s="1"/>
  <c r="A226" i="25" s="1"/>
  <c r="A227" i="25" s="1"/>
  <c r="A228" i="25" s="1"/>
  <c r="A229" i="25" s="1"/>
  <c r="A230" i="25" s="1"/>
  <c r="A231" i="25" s="1"/>
  <c r="A232" i="25" s="1"/>
  <c r="A233" i="25" s="1"/>
  <c r="A234" i="25" s="1"/>
  <c r="A235" i="25" s="1"/>
  <c r="A236" i="25" s="1"/>
  <c r="A237" i="25" s="1"/>
  <c r="A238" i="25" s="1"/>
  <c r="A239" i="25" s="1"/>
  <c r="A240" i="25" s="1"/>
  <c r="A241" i="25" s="1"/>
  <c r="A242" i="25" s="1"/>
  <c r="A243" i="25" s="1"/>
  <c r="A244" i="25" s="1"/>
  <c r="A245" i="25" s="1"/>
  <c r="A246" i="25" s="1"/>
  <c r="A247" i="25" s="1"/>
  <c r="A248" i="25" s="1"/>
  <c r="A249" i="25" s="1"/>
  <c r="A250" i="25" s="1"/>
  <c r="A251" i="25" s="1"/>
  <c r="A252" i="25" s="1"/>
  <c r="A253" i="25" s="1"/>
  <c r="A254" i="25" s="1"/>
  <c r="A255" i="25" s="1"/>
  <c r="A256" i="25" s="1"/>
  <c r="A257" i="25" s="1"/>
  <c r="A258" i="25" s="1"/>
  <c r="A259" i="25" s="1"/>
  <c r="A260" i="25" s="1"/>
  <c r="A261" i="25" s="1"/>
  <c r="A262" i="25" s="1"/>
  <c r="A263" i="25" s="1"/>
  <c r="A264" i="25" s="1"/>
  <c r="A265" i="25" s="1"/>
  <c r="A266" i="25" s="1"/>
  <c r="A267" i="25" s="1"/>
  <c r="A268" i="25" s="1"/>
  <c r="A269" i="25" s="1"/>
  <c r="A270" i="25" s="1"/>
  <c r="A271" i="25" s="1"/>
  <c r="A272" i="25" s="1"/>
  <c r="A273" i="25" s="1"/>
  <c r="A274" i="25" s="1"/>
  <c r="A275" i="25" s="1"/>
  <c r="A276" i="25" s="1"/>
  <c r="A277" i="25" s="1"/>
  <c r="A278" i="25" s="1"/>
  <c r="A279" i="25" s="1"/>
  <c r="A280" i="25" s="1"/>
  <c r="A281" i="25" s="1"/>
  <c r="A282" i="25" s="1"/>
  <c r="A283" i="25" s="1"/>
  <c r="A284" i="25" s="1"/>
  <c r="A285" i="25" s="1"/>
  <c r="A286" i="25" s="1"/>
  <c r="A287" i="25" s="1"/>
  <c r="A288" i="25" s="1"/>
  <c r="A289" i="25" s="1"/>
  <c r="A290" i="25" s="1"/>
  <c r="A291" i="25" s="1"/>
  <c r="A292" i="25" s="1"/>
  <c r="A293" i="25" s="1"/>
  <c r="A294" i="25" s="1"/>
  <c r="A295" i="25" s="1"/>
  <c r="A296" i="25" s="1"/>
  <c r="A297" i="25" s="1"/>
  <c r="A298" i="25" s="1"/>
  <c r="A299" i="25" s="1"/>
  <c r="A300" i="25" s="1"/>
  <c r="A301" i="25" s="1"/>
  <c r="A302" i="25" s="1"/>
  <c r="A303" i="25" s="1"/>
  <c r="A304" i="25" s="1"/>
  <c r="A305" i="25" s="1"/>
  <c r="A306" i="25" s="1"/>
  <c r="A307" i="25" s="1"/>
  <c r="A308" i="25" s="1"/>
  <c r="A309" i="25" s="1"/>
  <c r="A310" i="25" s="1"/>
  <c r="A311" i="25" s="1"/>
  <c r="A312" i="25" s="1"/>
  <c r="A313" i="25" s="1"/>
  <c r="A314" i="25" s="1"/>
  <c r="A315" i="25" s="1"/>
  <c r="A316" i="25" s="1"/>
  <c r="A317" i="25" s="1"/>
  <c r="A318" i="25" s="1"/>
  <c r="A319" i="25" s="1"/>
  <c r="A320" i="25" s="1"/>
  <c r="A321" i="25" s="1"/>
  <c r="A322" i="25" s="1"/>
  <c r="A323" i="25" s="1"/>
  <c r="A324" i="25" s="1"/>
  <c r="A325" i="25" s="1"/>
  <c r="A326" i="25" s="1"/>
  <c r="A327" i="25" s="1"/>
  <c r="A328" i="25" s="1"/>
  <c r="A329" i="25" s="1"/>
  <c r="A330" i="25" s="1"/>
  <c r="A331" i="25" s="1"/>
  <c r="A332" i="25" s="1"/>
  <c r="A333" i="25" s="1"/>
  <c r="A334" i="25" s="1"/>
  <c r="A335" i="25" s="1"/>
  <c r="A336" i="25" s="1"/>
  <c r="A337" i="25" s="1"/>
  <c r="A338" i="25" s="1"/>
  <c r="A339" i="25" s="1"/>
  <c r="A340" i="25" s="1"/>
  <c r="A341" i="25" s="1"/>
  <c r="A342" i="25" s="1"/>
  <c r="A343" i="25" s="1"/>
  <c r="A344" i="25" s="1"/>
  <c r="A345" i="25" s="1"/>
  <c r="A346" i="25" s="1"/>
  <c r="A347" i="25" s="1"/>
  <c r="A348" i="25" s="1"/>
  <c r="A349" i="25" s="1"/>
  <c r="A350" i="25" s="1"/>
  <c r="A351" i="25" s="1"/>
  <c r="A352" i="25" s="1"/>
  <c r="A353" i="25" s="1"/>
  <c r="A354" i="25" s="1"/>
  <c r="A355" i="25" s="1"/>
  <c r="A356" i="25" s="1"/>
  <c r="A357" i="25" s="1"/>
  <c r="A358" i="25" s="1"/>
  <c r="A359" i="25" s="1"/>
  <c r="A360" i="25" s="1"/>
  <c r="A361" i="25" s="1"/>
  <c r="A362" i="25" s="1"/>
  <c r="A363" i="25" s="1"/>
  <c r="A364" i="25" s="1"/>
  <c r="A365" i="25" s="1"/>
  <c r="A366" i="25" s="1"/>
  <c r="A367" i="25" s="1"/>
  <c r="A368" i="25" s="1"/>
  <c r="A369" i="25" s="1"/>
  <c r="A370" i="25" s="1"/>
  <c r="A371" i="25" s="1"/>
  <c r="A372" i="25" s="1"/>
  <c r="A373" i="25" s="1"/>
  <c r="A374" i="25" s="1"/>
  <c r="A375" i="25" s="1"/>
  <c r="A376" i="25" s="1"/>
  <c r="A377" i="25" s="1"/>
  <c r="A378" i="25" s="1"/>
  <c r="A379" i="25" s="1"/>
  <c r="A380" i="25" s="1"/>
  <c r="A381" i="25" s="1"/>
  <c r="A382" i="25" s="1"/>
  <c r="A383" i="25" s="1"/>
  <c r="A384" i="25" s="1"/>
  <c r="A385" i="25" s="1"/>
  <c r="A386" i="25" s="1"/>
  <c r="A387" i="25" s="1"/>
  <c r="A388" i="25" s="1"/>
  <c r="A389" i="25" s="1"/>
  <c r="A390" i="25" s="1"/>
  <c r="A391" i="25" s="1"/>
  <c r="A392" i="25" s="1"/>
  <c r="A393" i="25" s="1"/>
  <c r="A394" i="25" s="1"/>
  <c r="A395" i="25" s="1"/>
  <c r="A396" i="25" s="1"/>
  <c r="A397" i="25" s="1"/>
  <c r="A398" i="25" s="1"/>
  <c r="A399" i="25" s="1"/>
  <c r="A400" i="25" s="1"/>
  <c r="A401" i="25" s="1"/>
  <c r="A402" i="25" s="1"/>
  <c r="A403" i="25" s="1"/>
  <c r="A404" i="25" s="1"/>
  <c r="A405" i="25" s="1"/>
  <c r="A406" i="25" s="1"/>
  <c r="A407" i="25" s="1"/>
  <c r="A408" i="25" s="1"/>
  <c r="A409" i="25" s="1"/>
  <c r="A410" i="25" s="1"/>
  <c r="A411" i="25" s="1"/>
  <c r="A412" i="25" s="1"/>
  <c r="A413" i="25" s="1"/>
  <c r="A414" i="25" s="1"/>
  <c r="A415" i="25" s="1"/>
  <c r="A416" i="25" s="1"/>
  <c r="A417" i="25" s="1"/>
  <c r="A418" i="25" s="1"/>
  <c r="A419" i="25" s="1"/>
  <c r="A420" i="25" s="1"/>
  <c r="A421" i="25" s="1"/>
  <c r="A422" i="25" s="1"/>
  <c r="A423" i="25" s="1"/>
  <c r="A424" i="25" s="1"/>
  <c r="A425" i="25" s="1"/>
  <c r="A426" i="25" s="1"/>
  <c r="A427" i="25" s="1"/>
  <c r="A428" i="25" s="1"/>
  <c r="A429" i="25" s="1"/>
  <c r="A430" i="25" s="1"/>
  <c r="A431" i="25" s="1"/>
  <c r="A432" i="25" s="1"/>
  <c r="A433" i="25" s="1"/>
  <c r="A434" i="25" s="1"/>
  <c r="A435" i="25" s="1"/>
  <c r="A436" i="25" s="1"/>
  <c r="A437" i="25" s="1"/>
  <c r="A438" i="25" s="1"/>
  <c r="A439" i="25" s="1"/>
  <c r="A440" i="25" s="1"/>
  <c r="A441" i="25" s="1"/>
  <c r="A442" i="25" s="1"/>
  <c r="A443" i="25" s="1"/>
  <c r="A444" i="25" s="1"/>
  <c r="A445" i="25" s="1"/>
  <c r="A446" i="25" s="1"/>
  <c r="A447" i="25" s="1"/>
  <c r="A448" i="25" s="1"/>
  <c r="A449" i="25" s="1"/>
  <c r="A450" i="25" s="1"/>
  <c r="A451" i="25" s="1"/>
  <c r="A452" i="25" s="1"/>
  <c r="A453" i="25" s="1"/>
  <c r="A454" i="25" s="1"/>
  <c r="A455" i="25" s="1"/>
  <c r="A456" i="25" s="1"/>
  <c r="A457" i="25" s="1"/>
  <c r="A458" i="25" s="1"/>
  <c r="A459" i="25" s="1"/>
  <c r="A460" i="25" s="1"/>
  <c r="A461" i="25" s="1"/>
  <c r="A462" i="25" s="1"/>
  <c r="A463" i="25" s="1"/>
  <c r="A464" i="25" s="1"/>
  <c r="A465" i="25" s="1"/>
  <c r="A466" i="25" s="1"/>
  <c r="A467" i="25" s="1"/>
  <c r="A468" i="25" s="1"/>
  <c r="A469" i="25" s="1"/>
  <c r="A470" i="25" s="1"/>
  <c r="A471" i="25" s="1"/>
  <c r="A472" i="25" s="1"/>
  <c r="A473" i="25" s="1"/>
  <c r="A474" i="25" s="1"/>
  <c r="A475" i="25" s="1"/>
  <c r="A476" i="25" s="1"/>
  <c r="A477" i="25" s="1"/>
  <c r="A478" i="25" s="1"/>
  <c r="A479" i="25" s="1"/>
  <c r="A480" i="25" s="1"/>
  <c r="A481" i="25" s="1"/>
  <c r="A482" i="25" s="1"/>
  <c r="A483" i="25" s="1"/>
  <c r="A484" i="25" s="1"/>
  <c r="A485" i="25" s="1"/>
  <c r="A486" i="25" s="1"/>
  <c r="A487" i="25" s="1"/>
  <c r="A488" i="25" s="1"/>
  <c r="A489" i="25" s="1"/>
  <c r="A490" i="25" s="1"/>
  <c r="A491" i="25" s="1"/>
  <c r="A492" i="25" s="1"/>
  <c r="A493" i="25" s="1"/>
  <c r="A494" i="25" s="1"/>
  <c r="A495" i="25" s="1"/>
  <c r="A496" i="25" s="1"/>
  <c r="A497" i="25" s="1"/>
  <c r="A498" i="25" s="1"/>
  <c r="I23" i="22" l="1"/>
  <c r="L39" i="22"/>
  <c r="I49" i="22"/>
  <c r="I19" i="22"/>
  <c r="I24" i="22"/>
  <c r="L13" i="22"/>
  <c r="I20" i="22"/>
  <c r="L20" i="22"/>
  <c r="L17" i="22"/>
  <c r="I39" i="22"/>
  <c r="L21" i="22"/>
  <c r="I26" i="22"/>
  <c r="I38" i="22"/>
  <c r="I33" i="22"/>
  <c r="I13" i="22"/>
  <c r="L55" i="22"/>
  <c r="I52" i="22"/>
  <c r="I44" i="22"/>
  <c r="I12" i="22"/>
  <c r="I8" i="22"/>
  <c r="I65" i="22"/>
  <c r="L53" i="22"/>
  <c r="L38" i="22"/>
  <c r="L19" i="22"/>
  <c r="L25" i="22"/>
  <c r="I45" i="22"/>
  <c r="I47" i="22"/>
  <c r="L60" i="22"/>
  <c r="I17" i="22"/>
  <c r="I37" i="22"/>
  <c r="I32" i="22"/>
  <c r="I21" i="22"/>
  <c r="I56" i="22"/>
  <c r="I34" i="22"/>
  <c r="I41" i="22"/>
  <c r="L34" i="22"/>
  <c r="I64" i="22"/>
  <c r="I42" i="22"/>
  <c r="L14" i="22"/>
  <c r="L69" i="22"/>
  <c r="L8" i="22"/>
  <c r="I59" i="22"/>
  <c r="I22" i="22"/>
  <c r="L61" i="22"/>
  <c r="L22" i="22"/>
  <c r="I55" i="22"/>
  <c r="I70" i="22"/>
  <c r="L58" i="22"/>
  <c r="L5" i="22"/>
  <c r="L62" i="22"/>
  <c r="L63" i="22"/>
  <c r="L7" i="22"/>
  <c r="I62" i="22"/>
  <c r="L51" i="22"/>
  <c r="I9" i="22"/>
  <c r="L36" i="22"/>
  <c r="L44" i="22"/>
  <c r="L68" i="22"/>
  <c r="L67" i="22"/>
  <c r="L28" i="22"/>
  <c r="L56" i="22"/>
  <c r="I54" i="22"/>
  <c r="I69" i="22"/>
  <c r="L27" i="22"/>
  <c r="L35" i="22"/>
  <c r="I14" i="22"/>
  <c r="I27" i="22"/>
  <c r="L23" i="22"/>
  <c r="I46" i="22"/>
  <c r="L24" i="22"/>
  <c r="L15" i="22"/>
  <c r="I30" i="22"/>
  <c r="L11" i="22"/>
  <c r="L9" i="22"/>
  <c r="I16" i="22"/>
  <c r="I53" i="22"/>
  <c r="I18" i="22"/>
  <c r="L10" i="22"/>
  <c r="I11" i="22"/>
  <c r="L54" i="22"/>
  <c r="L29" i="22"/>
  <c r="L37" i="22"/>
  <c r="I43" i="22"/>
  <c r="I48" i="22"/>
  <c r="L31" i="22"/>
  <c r="L65" i="22"/>
  <c r="I25" i="22"/>
  <c r="I15" i="22"/>
  <c r="I10" i="22"/>
  <c r="L57" i="22"/>
  <c r="H5" i="22"/>
  <c r="I5" i="22" s="1"/>
  <c r="I58" i="22"/>
  <c r="I7" i="22"/>
  <c r="I36" i="22"/>
  <c r="I63" i="22"/>
  <c r="L66" i="22"/>
  <c r="I51" i="22"/>
  <c r="I57" i="22"/>
  <c r="L48" i="22"/>
  <c r="L70" i="22"/>
  <c r="I68" i="22"/>
  <c r="L6" i="22"/>
  <c r="L46" i="22"/>
  <c r="L43" i="22"/>
  <c r="I66" i="22"/>
  <c r="L12" i="22"/>
  <c r="J5" i="22"/>
  <c r="I6" i="22"/>
  <c r="L30" i="22"/>
  <c r="L18" i="22"/>
  <c r="L16" i="22"/>
  <c r="L59" i="22"/>
  <c r="I67" i="22"/>
  <c r="L41" i="22"/>
  <c r="L33" i="22"/>
  <c r="L52" i="22"/>
  <c r="L64" i="22"/>
  <c r="L45" i="22"/>
  <c r="L26" i="22"/>
  <c r="I28" i="22"/>
  <c r="I35" i="22"/>
  <c r="L42" i="22"/>
  <c r="L47" i="22"/>
  <c r="L32" i="22"/>
  <c r="I31" i="22"/>
  <c r="I40" i="22"/>
  <c r="I61" i="22"/>
  <c r="I29" i="22"/>
  <c r="G35" i="23"/>
  <c r="G43" i="23" s="1"/>
  <c r="G45" i="23" s="1"/>
  <c r="L47" i="23"/>
  <c r="L48" i="23" s="1"/>
  <c r="L37" i="23"/>
  <c r="L43" i="23"/>
  <c r="M45" i="23" s="1"/>
  <c r="D41" i="23"/>
  <c r="D42" i="23" s="1"/>
  <c r="H42" i="23"/>
  <c r="F35" i="23"/>
  <c r="J47" i="23"/>
  <c r="J48" i="23" s="1"/>
  <c r="J43" i="23"/>
  <c r="J37" i="23"/>
  <c r="D33" i="23"/>
  <c r="H35" i="23"/>
  <c r="I43" i="23"/>
  <c r="I47" i="23"/>
  <c r="I48" i="23" s="1"/>
  <c r="I37" i="23"/>
  <c r="E35" i="23"/>
  <c r="D79" i="1"/>
  <c r="B9" i="27"/>
  <c r="B6" i="27"/>
  <c r="B11" i="27"/>
  <c r="B10" i="27"/>
  <c r="B7" i="27"/>
  <c r="B5" i="27"/>
  <c r="B3" i="27"/>
  <c r="B4" i="27"/>
  <c r="B8" i="27"/>
  <c r="B12" i="27"/>
  <c r="B2" i="27"/>
  <c r="D2" i="21"/>
  <c r="I5" i="25"/>
  <c r="F2" i="21" s="1"/>
  <c r="D10" i="27" l="1"/>
  <c r="G47" i="23"/>
  <c r="G48" i="23" s="1"/>
  <c r="G37" i="23"/>
  <c r="C35" i="23"/>
  <c r="C47" i="23" s="1"/>
  <c r="C48" i="23" s="1"/>
  <c r="E43" i="23"/>
  <c r="E47" i="23"/>
  <c r="E48" i="23" s="1"/>
  <c r="E37" i="23"/>
  <c r="F43" i="23"/>
  <c r="F47" i="23"/>
  <c r="F48" i="23" s="1"/>
  <c r="E50" i="23" s="1"/>
  <c r="F37" i="23"/>
  <c r="H37" i="23"/>
  <c r="H47" i="23"/>
  <c r="H48" i="23" s="1"/>
  <c r="H43" i="23"/>
  <c r="I45" i="23" s="1"/>
  <c r="D35" i="23"/>
  <c r="D80" i="1"/>
  <c r="D4" i="27"/>
  <c r="D9" i="27"/>
  <c r="D11" i="27"/>
  <c r="D6" i="27"/>
  <c r="D8" i="27"/>
  <c r="D3" i="27"/>
  <c r="D7" i="27"/>
  <c r="D5" i="27"/>
  <c r="D2" i="27"/>
  <c r="A14" i="27" a="1"/>
  <c r="A14" i="27" s="1"/>
  <c r="D12" i="27"/>
  <c r="C37" i="23" l="1"/>
  <c r="C43" i="23"/>
  <c r="C45" i="23" s="1"/>
  <c r="D37" i="23"/>
  <c r="D47" i="23"/>
  <c r="D48" i="23" s="1"/>
  <c r="C50" i="23" s="1"/>
  <c r="D43" i="23"/>
  <c r="E45" i="23" s="1"/>
  <c r="D81" i="1"/>
  <c r="D82" i="1" l="1"/>
  <c r="D83" i="1" l="1"/>
  <c r="D84" i="1" l="1"/>
  <c r="D85" i="1" l="1"/>
  <c r="D86" i="1" l="1"/>
  <c r="D87" i="1" l="1"/>
  <c r="D88" i="1" l="1"/>
  <c r="D89" i="1" l="1"/>
  <c r="D90" i="1" l="1"/>
  <c r="D91" i="1" l="1"/>
  <c r="D92" i="1" l="1"/>
  <c r="D93" i="1" l="1"/>
  <c r="D94" i="1" l="1"/>
  <c r="D95" i="1" l="1"/>
  <c r="D96" i="1" l="1"/>
  <c r="D97" i="1" l="1"/>
  <c r="D98" i="1" l="1"/>
  <c r="D99" i="1" l="1"/>
  <c r="D100" i="1" l="1"/>
  <c r="D101" i="1" l="1"/>
  <c r="D102" i="1" l="1"/>
  <c r="D103" i="1" l="1"/>
  <c r="D104" i="1" l="1"/>
  <c r="D105" i="1" l="1"/>
  <c r="D106" i="1" l="1"/>
  <c r="D107" i="1" l="1"/>
  <c r="D108" i="1" l="1"/>
  <c r="D109" i="1" l="1"/>
  <c r="D110" i="1" l="1"/>
  <c r="D111" i="1" l="1"/>
  <c r="D112" i="1" l="1"/>
  <c r="D113" i="1" l="1"/>
  <c r="D114" i="1" l="1"/>
  <c r="D115" i="1" l="1"/>
  <c r="D116" i="1" l="1"/>
  <c r="D117" i="1" l="1"/>
  <c r="D118" i="1" l="1"/>
  <c r="D119" i="1" l="1"/>
  <c r="D120" i="1" l="1"/>
  <c r="D121" i="1" l="1"/>
  <c r="D122" i="1" l="1"/>
  <c r="D123" i="1" l="1"/>
  <c r="D124" i="1" l="1"/>
  <c r="D125" i="1" l="1"/>
  <c r="D126" i="1" l="1"/>
  <c r="D127" i="1" l="1"/>
  <c r="D128" i="1" l="1"/>
  <c r="D129" i="1" l="1"/>
  <c r="D130" i="1" l="1"/>
  <c r="D131" i="1" l="1"/>
  <c r="D132" i="1" l="1"/>
  <c r="D133" i="1" l="1"/>
  <c r="D134" i="1" l="1"/>
  <c r="D135" i="1" l="1"/>
  <c r="D136" i="1" l="1"/>
  <c r="D137" i="1" l="1"/>
  <c r="D138" i="1" l="1"/>
  <c r="D139" i="1" l="1"/>
  <c r="D140"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<sst xmlns="http://schemas.openxmlformats.org/spreadsheetml/2006/main" count="2392" uniqueCount="581">
  <si>
    <t>PRODUCT NAME</t>
  </si>
  <si>
    <t>CURRENCY</t>
  </si>
  <si>
    <t>AMOUNT IN 
(DLR)</t>
  </si>
  <si>
    <t>BUNKER ADJ 
(INR)</t>
  </si>
  <si>
    <t>DUTY
 (INR)</t>
  </si>
  <si>
    <t>EXPENSES
(INR)</t>
  </si>
  <si>
    <t>PROFIT %</t>
  </si>
  <si>
    <t>NET PRICE</t>
  </si>
  <si>
    <t>GST</t>
  </si>
  <si>
    <t>UNIT/BAG</t>
  </si>
  <si>
    <t>BAG SIZE
(KG)</t>
  </si>
  <si>
    <t>TOTAL UNIT 
(KG)</t>
  </si>
  <si>
    <t>TOTAL
UNIT</t>
  </si>
  <si>
    <t>PKT SIZE
 (G)</t>
  </si>
  <si>
    <t>GROSS WEIGHT
(KG)</t>
  </si>
  <si>
    <t>TOTAL GROSS WEIGHT
(KG)</t>
  </si>
  <si>
    <t>MATERIAL CODE</t>
  </si>
  <si>
    <t>RATE PER PKG
(INR)</t>
  </si>
  <si>
    <t>NO.
BAG (QTY)</t>
  </si>
  <si>
    <t>SALES</t>
  </si>
  <si>
    <t>P/L</t>
  </si>
  <si>
    <t>S.No</t>
  </si>
  <si>
    <t>SETTLEMENT</t>
  </si>
  <si>
    <t>REMAINING</t>
  </si>
  <si>
    <t>DATE</t>
  </si>
  <si>
    <t>INR</t>
  </si>
  <si>
    <t>FROM</t>
  </si>
  <si>
    <t>TOTAL AMOUNT TO SETTLE</t>
  </si>
  <si>
    <t>INVESTED</t>
  </si>
  <si>
    <t>EXPENSES</t>
  </si>
  <si>
    <t>TOTAL</t>
  </si>
  <si>
    <t>PURCHASE</t>
  </si>
  <si>
    <t>LOSSES</t>
  </si>
  <si>
    <t>SETTLED AMOUNT</t>
  </si>
  <si>
    <t>PREDICTED</t>
  </si>
  <si>
    <t>CATEGORY</t>
  </si>
  <si>
    <t>TOTAL LOSSES</t>
  </si>
  <si>
    <t>TOTAL AMOUNT (INV + PRO)</t>
  </si>
  <si>
    <t>CAPITAL</t>
  </si>
  <si>
    <t>SHIPMENT</t>
  </si>
  <si>
    <t>DETAILS</t>
  </si>
  <si>
    <t>TT ADJ</t>
  </si>
  <si>
    <t>GST CLAIM</t>
  </si>
  <si>
    <t>P/L (%)</t>
  </si>
  <si>
    <t>LKR</t>
  </si>
  <si>
    <t>Balance</t>
  </si>
  <si>
    <t>Net Profit</t>
  </si>
  <si>
    <t>TT Loss</t>
  </si>
  <si>
    <t>Material Loss</t>
  </si>
  <si>
    <t>GST Claim</t>
  </si>
  <si>
    <t>Gross Profit</t>
  </si>
  <si>
    <t>DALDA</t>
  </si>
  <si>
    <t>MUSTARD OIL</t>
  </si>
  <si>
    <t>PRODUCT LIST</t>
  </si>
  <si>
    <t>$ Conversion Rate</t>
  </si>
  <si>
    <t>Margin Config</t>
  </si>
  <si>
    <t>TOTAL UNIT</t>
  </si>
  <si>
    <t>QUOTATION</t>
  </si>
  <si>
    <t>HS</t>
  </si>
  <si>
    <t>Current Rate/kg</t>
  </si>
  <si>
    <t>09042210</t>
  </si>
  <si>
    <t>10063019</t>
  </si>
  <si>
    <t>10082190</t>
  </si>
  <si>
    <t>21039090</t>
  </si>
  <si>
    <t>20019000</t>
  </si>
  <si>
    <t>21011200</t>
  </si>
  <si>
    <t>21069099</t>
  </si>
  <si>
    <t>04059000</t>
  </si>
  <si>
    <t>15149900</t>
  </si>
  <si>
    <t>19059090</t>
  </si>
  <si>
    <t>10089090</t>
  </si>
  <si>
    <t>09083290</t>
  </si>
  <si>
    <t>BLACK CUMIN</t>
  </si>
  <si>
    <t>11031110</t>
  </si>
  <si>
    <t>11042900</t>
  </si>
  <si>
    <t>B1G1</t>
  </si>
  <si>
    <t>09109913</t>
  </si>
  <si>
    <t>15162000</t>
  </si>
  <si>
    <t>PRICE DETAILS</t>
  </si>
  <si>
    <t>KG</t>
  </si>
  <si>
    <t>PRICE</t>
  </si>
  <si>
    <t>SUGGESTED PRICE
(LKR)</t>
  </si>
  <si>
    <t>NET SELL AMT
 (LKR)</t>
  </si>
  <si>
    <t>PRICE/PKT 
(LKR)</t>
  </si>
  <si>
    <t>09093190</t>
  </si>
  <si>
    <t>NET PRICE (LKR)</t>
  </si>
  <si>
    <t>BUNKER ADJ 
(LKR)</t>
  </si>
  <si>
    <t>DUTY
 (LKR)</t>
  </si>
  <si>
    <t>MISC (LKR)</t>
  </si>
  <si>
    <t>EXPENSES
(LKR)</t>
  </si>
  <si>
    <t>EXPENSES/PKT
(LKR)</t>
  </si>
  <si>
    <t>NET PRICE/PKT (LKR)</t>
  </si>
  <si>
    <t>SUG.PRICE/PKT 
(INR)</t>
  </si>
  <si>
    <t>TOTAL PRICE/PKT 
(LKR)</t>
  </si>
  <si>
    <t>MISC (INR)</t>
  </si>
  <si>
    <t>TOTAL PRICE/PKT 
(INR)</t>
  </si>
  <si>
    <t>NET PRICE/PKT (INR)</t>
  </si>
  <si>
    <t>SUG.PRICE/PKT 
(LKR)</t>
  </si>
  <si>
    <t>INVOICE DETAILS</t>
  </si>
  <si>
    <t>CIF AMOUNT(LKR)</t>
  </si>
  <si>
    <t>CIF AMOUNT(USD)</t>
  </si>
  <si>
    <t>Invoice Margin</t>
  </si>
  <si>
    <t>INVOICE AMT (USD)</t>
  </si>
  <si>
    <t>Adjustments related to Selling price</t>
  </si>
  <si>
    <t>INVOICE AMT (LKR)</t>
  </si>
  <si>
    <t>EXPENSES/PKT
(INR)</t>
  </si>
  <si>
    <t>GST AMOUNT (INR)</t>
  </si>
  <si>
    <t>GROSS (INR)</t>
  </si>
  <si>
    <t>ASSORTED MASALA</t>
  </si>
  <si>
    <t>HEALTH MIXES</t>
  </si>
  <si>
    <t>ASSORTED PICKLES</t>
  </si>
  <si>
    <t>BASMATI RICE</t>
  </si>
  <si>
    <t>WHEAT GROATS</t>
  </si>
  <si>
    <t>GINGELLY OIL</t>
  </si>
  <si>
    <t>PANI PURI KIT</t>
  </si>
  <si>
    <t>MILLETS</t>
  </si>
  <si>
    <t xml:space="preserve">CHUKKU MALLI </t>
  </si>
  <si>
    <t>CARDAMOM</t>
  </si>
  <si>
    <t>Unit</t>
  </si>
  <si>
    <t>Preferential Duty</t>
  </si>
  <si>
    <t>VAT</t>
  </si>
  <si>
    <t>SSCL</t>
  </si>
  <si>
    <t>L</t>
  </si>
  <si>
    <t>GHEE</t>
  </si>
  <si>
    <t>GROUNDNUT OIL</t>
  </si>
  <si>
    <t>HEALTH DRINK</t>
  </si>
  <si>
    <t>S/L</t>
  </si>
  <si>
    <t>REJECTED</t>
  </si>
  <si>
    <t>19053100</t>
  </si>
  <si>
    <t>SWEET BISCUITS</t>
  </si>
  <si>
    <t>SCL</t>
  </si>
  <si>
    <t>SCL Price</t>
  </si>
  <si>
    <t>Normal Price</t>
  </si>
  <si>
    <t>NO</t>
  </si>
  <si>
    <t>ICL/SLSI</t>
  </si>
  <si>
    <t>Gen Duty</t>
  </si>
  <si>
    <t>PAL_GEN</t>
  </si>
  <si>
    <t>PAL_SG</t>
  </si>
  <si>
    <t>CESS_GEN</t>
  </si>
  <si>
    <t>CESS_SG</t>
  </si>
  <si>
    <t>EXCISE</t>
  </si>
  <si>
    <t>CIF Based</t>
  </si>
  <si>
    <t>Net Weight</t>
  </si>
  <si>
    <t>CIF Value</t>
  </si>
  <si>
    <t>CHILLIES</t>
  </si>
  <si>
    <t>33019099</t>
  </si>
  <si>
    <t>ESSENTIAL OIL</t>
  </si>
  <si>
    <t>13012000</t>
  </si>
  <si>
    <t>GUM ARABIC</t>
  </si>
  <si>
    <t>30049011</t>
  </si>
  <si>
    <t>MEDICAMENTS</t>
  </si>
  <si>
    <t>19021900</t>
  </si>
  <si>
    <t>S</t>
  </si>
  <si>
    <t>VERMICILLI</t>
  </si>
  <si>
    <t>32030010</t>
  </si>
  <si>
    <t>FOOD COLOURS</t>
  </si>
  <si>
    <t>COFFEE ROASTED</t>
  </si>
  <si>
    <t>09019000</t>
  </si>
  <si>
    <t>17049090</t>
  </si>
  <si>
    <t>11032000</t>
  </si>
  <si>
    <t>RICE PELLETS</t>
  </si>
  <si>
    <t>SUGAR CANDY</t>
  </si>
  <si>
    <t>07133990</t>
  </si>
  <si>
    <t>MILLETS - OTHERS</t>
  </si>
  <si>
    <t>11061010</t>
  </si>
  <si>
    <t>BLACK - GRAM FLOUR</t>
  </si>
  <si>
    <t>10063011</t>
  </si>
  <si>
    <t>RICE OTHERS</t>
  </si>
  <si>
    <t>07133119</t>
  </si>
  <si>
    <t>GREEN GRAM - OTHER</t>
  </si>
  <si>
    <t>NORM</t>
  </si>
  <si>
    <t>BEANS - OTHERS</t>
  </si>
  <si>
    <t>07136010</t>
  </si>
  <si>
    <t>TOOR DHAL</t>
  </si>
  <si>
    <t>PAPADS - OTHERS</t>
  </si>
  <si>
    <t>09103010</t>
  </si>
  <si>
    <t>TURMERIC</t>
  </si>
  <si>
    <t>17029021</t>
  </si>
  <si>
    <t>JAGGARY AND JAGGARY POWDER, PALM SUGAR</t>
  </si>
  <si>
    <t>07133129</t>
  </si>
  <si>
    <t>BLACK GRAM</t>
  </si>
  <si>
    <t>19049000</t>
  </si>
  <si>
    <t>PREPARED FOOD PUFFED RICE</t>
  </si>
  <si>
    <t>DUTY</t>
  </si>
  <si>
    <t>09042190</t>
  </si>
  <si>
    <t>CHILLIES- OTHER</t>
  </si>
  <si>
    <t>34054090</t>
  </si>
  <si>
    <t>SCOURING PASTE AND POWDERS</t>
  </si>
  <si>
    <t>20052000</t>
  </si>
  <si>
    <t>POTATO CHIPS</t>
  </si>
  <si>
    <t>11043000</t>
  </si>
  <si>
    <t>GROUNDED CEREALS</t>
  </si>
  <si>
    <t>33079090</t>
  </si>
  <si>
    <t>POOJA POWDER</t>
  </si>
  <si>
    <t>56079090</t>
  </si>
  <si>
    <t>POOJA ROPE</t>
  </si>
  <si>
    <t>COFFEE MIX</t>
  </si>
  <si>
    <t>19019099</t>
  </si>
  <si>
    <t>151530</t>
  </si>
  <si>
    <t>CASTOR OIL AND ITS FRACTIONS</t>
  </si>
  <si>
    <t>Invoice Percent</t>
  </si>
  <si>
    <t>21069060</t>
  </si>
  <si>
    <t>09092200</t>
  </si>
  <si>
    <t>DHANIYA POWDER</t>
  </si>
  <si>
    <t>09109190</t>
  </si>
  <si>
    <t>15089000</t>
  </si>
  <si>
    <t>19054010</t>
  </si>
  <si>
    <t>RUSK</t>
  </si>
  <si>
    <t>NORM/SG</t>
  </si>
  <si>
    <t>09023021</t>
  </si>
  <si>
    <t>FLAVOURED TEA</t>
  </si>
  <si>
    <t>19041000</t>
  </si>
  <si>
    <t>CEREALS OR CEREAL PRODUCTS</t>
  </si>
  <si>
    <t>151550</t>
  </si>
  <si>
    <t>39269099</t>
  </si>
  <si>
    <t>PLASTICS - OTHERS</t>
  </si>
  <si>
    <t>PCS</t>
  </si>
  <si>
    <t>KGS</t>
  </si>
  <si>
    <t>INVOICE AMT/UNIT (USD)</t>
  </si>
  <si>
    <t>INVOICE AMT/KG (USD)</t>
  </si>
  <si>
    <t>04090000</t>
  </si>
  <si>
    <t>HONEY</t>
  </si>
  <si>
    <t>PARTICULARS</t>
  </si>
  <si>
    <t>Settlement No</t>
  </si>
  <si>
    <t>Date</t>
  </si>
  <si>
    <t>Rate</t>
  </si>
  <si>
    <t>17029090</t>
  </si>
  <si>
    <t>SUGAR BASED SNACK ITEM</t>
  </si>
  <si>
    <t>21012011</t>
  </si>
  <si>
    <t>INSTANT TEA</t>
  </si>
  <si>
    <t>84818090</t>
  </si>
  <si>
    <t>TAPS, COOKS, VALES AND SIMILAR APPLIANCES</t>
  </si>
  <si>
    <t>23024090</t>
  </si>
  <si>
    <t>BIRD FOOD</t>
  </si>
  <si>
    <t>11010090</t>
  </si>
  <si>
    <t>RAVA</t>
  </si>
  <si>
    <t>11042200</t>
  </si>
  <si>
    <t>OATS</t>
  </si>
  <si>
    <t>08134010</t>
  </si>
  <si>
    <t>07119090</t>
  </si>
  <si>
    <t>19023000</t>
  </si>
  <si>
    <t>NOODLE, PASTA</t>
  </si>
  <si>
    <t>PRESERVED VEGGIES</t>
  </si>
  <si>
    <t>04069000</t>
  </si>
  <si>
    <t>PANEER</t>
  </si>
  <si>
    <t>04039000</t>
  </si>
  <si>
    <t>CREAM</t>
  </si>
  <si>
    <t>08134090</t>
  </si>
  <si>
    <t>FRUITES DRIED - OTHER</t>
  </si>
  <si>
    <t>TAMARIND</t>
  </si>
  <si>
    <t>ACTUAL</t>
  </si>
  <si>
    <t>CUSTOMER</t>
  </si>
  <si>
    <t>GROUP</t>
  </si>
  <si>
    <t>SriLanka Duty</t>
  </si>
  <si>
    <t>Clearing Expenses</t>
  </si>
  <si>
    <t>CIF Value (100%)</t>
  </si>
  <si>
    <t>LKR Conversion Rate</t>
  </si>
  <si>
    <t>DUTY/KG 
(LKR)</t>
  </si>
  <si>
    <t>Shipping Clearance Amount Srilanka (LKR)</t>
  </si>
  <si>
    <t>Shipping Clearance Amount India (INR)</t>
  </si>
  <si>
    <t>Expenses Total (India + Colombo)</t>
  </si>
  <si>
    <t>TOTAL INVESTMENT (Net Purchase + ExpensesTotal)</t>
  </si>
  <si>
    <t>Shipping &amp; Clearing Expenses India</t>
  </si>
  <si>
    <t>INVOICE VALUE in USD</t>
  </si>
  <si>
    <t>Customer ID</t>
  </si>
  <si>
    <t>FRIGHT
(LKR)</t>
  </si>
  <si>
    <t>CIF AMT
(LKR)</t>
  </si>
  <si>
    <t>Expenses Colombo (Duty + clearnce)</t>
  </si>
  <si>
    <t>Discounts</t>
  </si>
  <si>
    <t>NET BUY  (INR)</t>
  </si>
  <si>
    <t>NET BUY  (LKR)</t>
  </si>
  <si>
    <t>PRICE/PKT (SET)
LKR</t>
  </si>
  <si>
    <t>SHORT
QTY</t>
  </si>
  <si>
    <t>SHORT AMT</t>
  </si>
  <si>
    <t>NET SETTLEMENT AMT
 (LKR)</t>
  </si>
  <si>
    <t>DISCOUNT
(LKR)</t>
  </si>
  <si>
    <t>DISCOUNT
TOT
(LKR)</t>
  </si>
  <si>
    <t>Profit (%)</t>
  </si>
  <si>
    <t>INDIAN INVOICE AMT (TOT)</t>
  </si>
  <si>
    <t>INDIAN INVOICE AMT (UNIT)</t>
  </si>
  <si>
    <t>INDIAN INVOICE AMT (KG)</t>
  </si>
  <si>
    <t>AMOUND IN USD</t>
  </si>
  <si>
    <t>QUANTITY</t>
  </si>
  <si>
    <t>HSN CODE</t>
  </si>
  <si>
    <t>Itchs Code</t>
  </si>
  <si>
    <t>Hs Code</t>
  </si>
  <si>
    <t>Description of the Export Products/ Goods</t>
  </si>
  <si>
    <t>Net Quantity</t>
  </si>
  <si>
    <t>Net Quantity UOM</t>
  </si>
  <si>
    <t>Item Invoice Value (In Invoice Currency)</t>
  </si>
  <si>
    <t>Marks &amp; Number</t>
  </si>
  <si>
    <t>Number and Kind of Packages</t>
  </si>
  <si>
    <t>Gross Qty</t>
  </si>
  <si>
    <t>Gross Qty UOM</t>
  </si>
  <si>
    <t>Quantity to be printed in Coo</t>
  </si>
  <si>
    <t>Item FOB Value (In Invoice Currency)</t>
  </si>
  <si>
    <t>Item FOB Value (In INR)</t>
  </si>
  <si>
    <t>Item FOB Value (In USD)</t>
  </si>
  <si>
    <t>NUMBERS (NOS)</t>
  </si>
  <si>
    <t>KILOGRAMS (KGS)</t>
  </si>
  <si>
    <t>AN/CMB</t>
  </si>
  <si>
    <t>825 PKGS ONLY</t>
  </si>
  <si>
    <t>Gross Quantity</t>
  </si>
  <si>
    <t>PAIRS (PRS)</t>
  </si>
  <si>
    <t>.</t>
  </si>
  <si>
    <t>DOZEN (DOZ)</t>
  </si>
  <si>
    <t>GROSS (GRS)</t>
  </si>
  <si>
    <t>KILOGRAM ACTIVITY (KGA)</t>
  </si>
  <si>
    <t>THOUSANDS (THD)</t>
  </si>
  <si>
    <t>GRAMS (GMS)</t>
  </si>
  <si>
    <t>PIECES (PCS)</t>
  </si>
  <si>
    <t>METRIC TON (MTS)</t>
  </si>
  <si>
    <t>POUNDS (LBS)</t>
  </si>
  <si>
    <t>INCHES (INC)</t>
  </si>
  <si>
    <t>FEET (FTS)</t>
  </si>
  <si>
    <t>YARDS (YDS)</t>
  </si>
  <si>
    <t>METER (MTR)</t>
  </si>
  <si>
    <t>KILOMETERS (KME)</t>
  </si>
  <si>
    <t>SQUARE INCHES (SQI)</t>
  </si>
  <si>
    <t>SQUARE FEET (SQF)</t>
  </si>
  <si>
    <t>SQUARE YARDS (SQY)</t>
  </si>
  <si>
    <t>SQUARE METER (SQM)</t>
  </si>
  <si>
    <t>CUBIC METER (CBM)</t>
  </si>
  <si>
    <t>LITERS (LTR)</t>
  </si>
  <si>
    <t>SETS (SET)</t>
  </si>
  <si>
    <t>VIALS (VLS)</t>
  </si>
  <si>
    <t>TABLETS (TBS)</t>
  </si>
  <si>
    <t>CUBIC CENTIMETER (CCM)</t>
  </si>
  <si>
    <t>CENTIMETER (CMS)</t>
  </si>
  <si>
    <t>GROSS YARDS (GYD)</t>
  </si>
  <si>
    <t>KILOLITER (KLR)</t>
  </si>
  <si>
    <t>KILO WATT HOUR (KWH)</t>
  </si>
  <si>
    <t>QUINTAL (QTL)</t>
  </si>
  <si>
    <t>INVOICE COLOMBO</t>
  </si>
  <si>
    <t>INVOICE INDIA</t>
  </si>
  <si>
    <t>70109010</t>
  </si>
  <si>
    <t>MT BOTTLES</t>
  </si>
  <si>
    <t>NET</t>
  </si>
  <si>
    <t>GHEE 500ML</t>
  </si>
  <si>
    <t>GHEE 200ML</t>
  </si>
  <si>
    <t>GHEE 100ML</t>
  </si>
  <si>
    <t>CUST ID</t>
  </si>
  <si>
    <t>JUNIOR HORLICKS 500G</t>
  </si>
  <si>
    <t xml:space="preserve"> (Leavning GST) Net Purchase</t>
  </si>
  <si>
    <t>08021190</t>
  </si>
  <si>
    <t>ALMOND</t>
  </si>
  <si>
    <t>09011190</t>
  </si>
  <si>
    <t>COFFEE SEEDS</t>
  </si>
  <si>
    <t>ASAFOETIDA POWDER 50G 120pc</t>
  </si>
  <si>
    <t>PANI PURI KIT 133g 20pc</t>
  </si>
  <si>
    <t xml:space="preserve">BADAM DRINK MIX 175g 40pc B1G1 </t>
  </si>
  <si>
    <t xml:space="preserve">ROYAL GULAB JAMUN 175g 40pcB1G1
</t>
  </si>
  <si>
    <t>PAL ADA PAYASAM 175g 20pc</t>
  </si>
  <si>
    <t xml:space="preserve">ROYAL BADAMPAYASAM  175g40pcB1G1
</t>
  </si>
  <si>
    <t>HEALTH MIX 200g 40pc B1G1</t>
  </si>
  <si>
    <t>HEALTH MIX 500g 20pc B1G1</t>
  </si>
  <si>
    <t xml:space="preserve">SPECIAL CHILLI POWDER - 500GMS </t>
  </si>
  <si>
    <t>LEMON PICKLE 200g 30pc B1G1</t>
  </si>
  <si>
    <t>CUT MANGO PICKLE 200g 30pc B1G1</t>
  </si>
  <si>
    <t>MANGO THOKKU PICKLE 200g30pcB1G1</t>
  </si>
  <si>
    <t>MIXED VEG PICKLE 200g 30pc</t>
  </si>
  <si>
    <t>GARLIC PICKLE 200g 30pc B1G1</t>
  </si>
  <si>
    <t>BREAD HALWA RTE 250g 20pc B1G1</t>
  </si>
  <si>
    <t>COFFEE POWDER 1.2G RS.2.00</t>
  </si>
  <si>
    <t>NAGA GRAM FLOUR 500G (EACH 60PCS )</t>
  </si>
  <si>
    <t>NAGA RAGI FLOUR 500G (EACH 60PCS )</t>
  </si>
  <si>
    <t xml:space="preserve">RAJAM SUKKU COFFEE 200GMS </t>
  </si>
  <si>
    <t>NOODLES 72.6G</t>
  </si>
  <si>
    <t>NOODLES 70G</t>
  </si>
  <si>
    <t>BLACK KAVUNI  - 1KG</t>
  </si>
  <si>
    <t xml:space="preserve">SAMAI - 500G
</t>
  </si>
  <si>
    <t xml:space="preserve">KUTHIRAIVAALI - 500G
</t>
  </si>
  <si>
    <t xml:space="preserve">VARAGU - 500G
</t>
  </si>
  <si>
    <t>THINAI - 500G</t>
  </si>
  <si>
    <t>COFFEE POWDER 500G</t>
  </si>
  <si>
    <t>SCHZWAN CHUNTEY 250G</t>
  </si>
  <si>
    <t>NOODLES 140G</t>
  </si>
  <si>
    <t>KRISHNA HEALTH MIX 200G</t>
  </si>
  <si>
    <t xml:space="preserve">FORTUNE MUSTARD OIL 1 LTR </t>
  </si>
  <si>
    <t>FORTUNE MUSTARD OIL 500 ML</t>
  </si>
  <si>
    <t xml:space="preserve">PORI </t>
  </si>
  <si>
    <t>DRY FRUIT 500GM</t>
  </si>
  <si>
    <t>MTR VELMICELLI 850G</t>
  </si>
  <si>
    <t>CHAAT MASALA -100G</t>
  </si>
  <si>
    <t>PAV BHAJI MASALA ZIPPER -100G</t>
  </si>
  <si>
    <t>PANI PURI -100G</t>
  </si>
  <si>
    <t>TANDOORI CHICKEN MASALA ZIPPER 100G</t>
  </si>
  <si>
    <t>KITCHEN KING MASALA ZIPPER -100G</t>
  </si>
  <si>
    <t>GARAM MASALA ZIPPER -100G</t>
  </si>
  <si>
    <t>PANEER MASALA ZIPPER 100G</t>
  </si>
  <si>
    <t>JALJIRA -100G</t>
  </si>
  <si>
    <t>SUPER SAMBHAR 100G</t>
  </si>
  <si>
    <t>KASURI METHI -25G</t>
  </si>
  <si>
    <t>BIRYANI MASALA -50G</t>
  </si>
  <si>
    <t>CHICKEN 65 KABAB - 50G</t>
  </si>
  <si>
    <t>KASHMIRILAL CHILLY- 100G</t>
  </si>
  <si>
    <t>CHHOLE MASALA ZIPPER - 100G</t>
  </si>
  <si>
    <t>SABJI MASALA ZIPPER 100G</t>
  </si>
  <si>
    <t>MEAT MASALA -100G</t>
  </si>
  <si>
    <t>EGG CURRY MASALA -50G</t>
  </si>
  <si>
    <t>RAJMA MASALA 100G</t>
  </si>
  <si>
    <t>CHICKEN MASALA</t>
  </si>
  <si>
    <t xml:space="preserve">HONEY 1KG </t>
  </si>
  <si>
    <t xml:space="preserve">HONEY 500G  </t>
  </si>
  <si>
    <t xml:space="preserve">HONEY 250G </t>
  </si>
  <si>
    <t xml:space="preserve">HONEY 100G </t>
  </si>
  <si>
    <t>SAKTHI CHICKEN MASALA 50G</t>
  </si>
  <si>
    <t>SAKTHI RASAM POWDER 50G</t>
  </si>
  <si>
    <t>SAKTHI CURRY MASAL POWDER 50</t>
  </si>
  <si>
    <t xml:space="preserve">GHEE 1 LTR </t>
  </si>
  <si>
    <t>MANIMARK COCONUT LADDU 80G</t>
  </si>
  <si>
    <t>MANIMARK PEANUT BALLS 100G</t>
  </si>
  <si>
    <t>MANIMARK WHITE SESAME BALLS 60G</t>
  </si>
  <si>
    <t>MANIMARK SLICED PEANUT BURFI 200G</t>
  </si>
  <si>
    <t>MANIMARK PEANUT BURFI 100G</t>
  </si>
  <si>
    <t>MANIMARK PEANU BURFI CUTTING 150G</t>
  </si>
  <si>
    <t>MANIMARK ENERGY LADDU 140G</t>
  </si>
  <si>
    <t>MANIMARK BIRTHDAY PEANUT BURFI BOX 220G</t>
  </si>
  <si>
    <t>MANIMARK PEANUT BURFI 135 G</t>
  </si>
  <si>
    <t>MANIMARK SLICED PEANUT BURFI 200 G</t>
  </si>
  <si>
    <t>MANIMARK ANDHRA MURUKKU 125 G</t>
  </si>
  <si>
    <t>MANIMARK FINE PEANUT BADAM BURFI 100G</t>
  </si>
  <si>
    <t>MANIMARK MIXTURE 125 G</t>
  </si>
  <si>
    <t>MANIMARK PEANUT BURFI CUTTING 150G</t>
  </si>
  <si>
    <t>MANIMARK PEANUT BALLS 60G</t>
  </si>
  <si>
    <t>ALL IN ONE  200G</t>
  </si>
  <si>
    <t>ALLO BHUJIA  200G</t>
  </si>
  <si>
    <t>BANANA CHIPS - BLACKPEPPER 160G</t>
  </si>
  <si>
    <t>BHELPURI 270G</t>
  </si>
  <si>
    <t>BHUJIA SEV  200G</t>
  </si>
  <si>
    <t>SOYA STICKS  200G</t>
  </si>
  <si>
    <t>TASTY NUTS  200G</t>
  </si>
  <si>
    <t>YELLOW BANANA CHIPS  ROCKSALT 160G</t>
  </si>
  <si>
    <t>BIKANERI BHUJIA 150G</t>
  </si>
  <si>
    <t>KARODPATI BHUJAI 125G</t>
  </si>
  <si>
    <t>MARWARI BHUJIA 125G</t>
  </si>
  <si>
    <t>BOONDI BHUJIA 150G</t>
  </si>
  <si>
    <t>RETORT PANEER MAKHANI 300G</t>
  </si>
  <si>
    <t>ROTORT PANEER TIKKA MASALA 300G</t>
  </si>
  <si>
    <t>CHANA JOR GARAM  200G</t>
  </si>
  <si>
    <t>CHANA NUTS  200G</t>
  </si>
  <si>
    <t>CORNFLAKES MIXTURE 200G</t>
  </si>
  <si>
    <t>DAL BIJI 200G</t>
  </si>
  <si>
    <t>DRY FRUIT MIX 200G</t>
  </si>
  <si>
    <t>FARALI CHIWDA  200G</t>
  </si>
  <si>
    <t>FATAFAT BHEL 100G</t>
  </si>
  <si>
    <t>FINE SEV 150G</t>
  </si>
  <si>
    <t>GATHIYA 200G</t>
  </si>
  <si>
    <t>GOL KACHORI  200G</t>
  </si>
  <si>
    <t>GOLDEN MIX  200G</t>
  </si>
  <si>
    <t>GULAB JAMUN 100G</t>
  </si>
  <si>
    <t>KHARI  BOONDI  200G</t>
  </si>
  <si>
    <t>KHATTA MEETHA  200G</t>
  </si>
  <si>
    <t>LITE CHIWDA 200G</t>
  </si>
  <si>
    <t>MINI BHAKARWADI 200G</t>
  </si>
  <si>
    <t>MINI SAMOSA 200G</t>
  </si>
  <si>
    <t>MIXTURE 200G</t>
  </si>
  <si>
    <t>NAVRATAN MIX 200G</t>
  </si>
  <si>
    <t>PANCHRATAN MIX 200G</t>
  </si>
  <si>
    <t>PAPAD CHAVANU 200G</t>
  </si>
  <si>
    <t>PUNJABI TADKA 200G</t>
  </si>
  <si>
    <t>RATLAMI SEV 200G</t>
  </si>
  <si>
    <t>MURUKKU 200G</t>
  </si>
  <si>
    <t>OATS 1 KG</t>
  </si>
  <si>
    <t>WOMEN HORLICKS 400G</t>
  </si>
  <si>
    <t>CHINGS SCHEZWAN CHUTNEY 590G</t>
  </si>
  <si>
    <t>NOODLES 420G</t>
  </si>
  <si>
    <t>11029020</t>
  </si>
  <si>
    <t>KURAKKAN FLOUR</t>
  </si>
  <si>
    <t>NOODLES</t>
  </si>
  <si>
    <t>CATERGORY</t>
  </si>
  <si>
    <t>Row Labels</t>
  </si>
  <si>
    <t>(blank)</t>
  </si>
  <si>
    <t>Grand Total</t>
  </si>
  <si>
    <t>Count of HSN CODE</t>
  </si>
  <si>
    <t>PAPADS</t>
  </si>
  <si>
    <t>ASSORTED MANIMARK SNACKS</t>
  </si>
  <si>
    <t>ASSORTED HALDIRAMS SNACKS</t>
  </si>
  <si>
    <t>TOTAL AMOUNT IN USD</t>
  </si>
  <si>
    <t>AMOUNT IN USD</t>
  </si>
  <si>
    <t>Sum of TOTAL AMOUNT IN USD</t>
  </si>
  <si>
    <t>ASSORTED COFFEE POWDER</t>
  </si>
  <si>
    <t>ASSORTED CURRY MASALA</t>
  </si>
  <si>
    <t>ASSORTED CHILLI POWDER</t>
  </si>
  <si>
    <t>Sum of QUANTITY</t>
  </si>
  <si>
    <t>Sum of KGS</t>
  </si>
  <si>
    <t>C_INV_AMT IN USD</t>
  </si>
  <si>
    <t>C_TOTALL AMT IN USD</t>
  </si>
  <si>
    <t>Sum of C_TOTALL AMT IN USD</t>
  </si>
  <si>
    <t>GHEE 1 LTR</t>
  </si>
  <si>
    <t>NETBUY</t>
  </si>
  <si>
    <t>250100</t>
  </si>
  <si>
    <t>SALT</t>
  </si>
  <si>
    <t>L/S</t>
  </si>
  <si>
    <t>FOOD COLOUR</t>
  </si>
  <si>
    <t>TEA POWDER</t>
  </si>
  <si>
    <t>COFFEE POWDER</t>
  </si>
  <si>
    <t>20081990</t>
  </si>
  <si>
    <t>DRIED VEGGIES</t>
  </si>
  <si>
    <t>RICE</t>
  </si>
  <si>
    <t>2026_6_2_NATRAJ</t>
  </si>
  <si>
    <t>ASSORTED PAYASAM MIXES</t>
  </si>
  <si>
    <t>HORLICKS PLAIN BISCUIT 150G</t>
  </si>
  <si>
    <t>MRP</t>
  </si>
  <si>
    <t>KASTHURI METHI</t>
  </si>
  <si>
    <t xml:space="preserve">50-50 BISCUIT 140.6 G </t>
  </si>
  <si>
    <t xml:space="preserve">50-50 CHEESE DIPPER BISCUIT 150G </t>
  </si>
  <si>
    <t xml:space="preserve">GOODDAY BUTTER BISCUIT  60G </t>
  </si>
  <si>
    <t>GOODDAY CASHEW BISCUIT 82.7G</t>
  </si>
  <si>
    <t xml:space="preserve">GOODDAY PISTA BADAM BISCUIT 112.7G </t>
  </si>
  <si>
    <t xml:space="preserve">DARK FANTASY CHOCOFILLS BISCUIT 69G </t>
  </si>
  <si>
    <t xml:space="preserve">OREO VANILLA BISCUIT 116.9 G </t>
  </si>
  <si>
    <t>MALKIST CHEESE BISCUIT 144G</t>
  </si>
  <si>
    <t>MALKIST CHOCOLATE BISCUIT 144G</t>
  </si>
  <si>
    <t>BASMATI RICE 1 KG</t>
  </si>
  <si>
    <t xml:space="preserve">GIFT BAGS </t>
  </si>
  <si>
    <t>SPECIAL CHILLI POWDER - 200 G</t>
  </si>
  <si>
    <t>SPECIAL CHILLI POWDER - 500 G</t>
  </si>
  <si>
    <t>RAGI FLOUR 500 G</t>
  </si>
  <si>
    <t xml:space="preserve">DANIYA POWDER - 500 G </t>
  </si>
  <si>
    <t>HEALTH MIX 200 G</t>
  </si>
  <si>
    <t>ASAFOETIDA POWDER 50 G</t>
  </si>
  <si>
    <t>ROYAL PAYASAMMIX 175 G</t>
  </si>
  <si>
    <t>PANI PURI KIT FAMILY 266 G</t>
  </si>
  <si>
    <t>CUT MANGO PICKLE 200 G</t>
  </si>
  <si>
    <t>LEMON PICKLE 200 G</t>
  </si>
  <si>
    <t>GARLIC PICKLE 200 G</t>
  </si>
  <si>
    <t>MIXED VEG PICKLE 200 G</t>
  </si>
  <si>
    <t>MANGOTHOKKU PICKLE 200 G</t>
  </si>
  <si>
    <t>SAKTHI MUTTON MASALA 50G</t>
  </si>
  <si>
    <t>SAKTHI RASAM POWER 50G</t>
  </si>
  <si>
    <t>SAKTHI CURRY MASAL POWDER 50G</t>
  </si>
  <si>
    <t>SAKTHI FISH CURRY MASALA 50G</t>
  </si>
  <si>
    <t>SAKTHI FISH FRY 50G</t>
  </si>
  <si>
    <t>SAKTHI IDLI CHILLI POWDER 50G</t>
  </si>
  <si>
    <t>SAKTHI CORIANDER POWDER 500G</t>
  </si>
  <si>
    <t>SAKTHI CHILLI POWDER 500G</t>
  </si>
  <si>
    <t>OATS 400 G</t>
  </si>
  <si>
    <t>APPALAM 100G X 200PCS (EACH 15 KGS)</t>
  </si>
  <si>
    <t>APPALAM 200G X 75PCS (EACH 15 KGS)</t>
  </si>
  <si>
    <t>GHEE 100 ML</t>
  </si>
  <si>
    <t>GHEE 200 ML</t>
  </si>
  <si>
    <t>CUT MANGO PICKLE 300G</t>
  </si>
  <si>
    <t>LEMON PICKLE 300 G</t>
  </si>
  <si>
    <t>MIXED VEG PICKLE 300 G</t>
  </si>
  <si>
    <t>PAYASAM MIX 75 G</t>
  </si>
  <si>
    <t>MAGGI MASALA 66 G</t>
  </si>
  <si>
    <t xml:space="preserve">POPALAR APPALAM </t>
  </si>
  <si>
    <t>PLATES</t>
  </si>
  <si>
    <t>CORNFLAKES MIXTURE STANDY POUCH 200 GM</t>
  </si>
  <si>
    <t xml:space="preserve">BHUJIA SEV 200 GM </t>
  </si>
  <si>
    <t xml:space="preserve">BHELPURI 270 GM </t>
  </si>
  <si>
    <t xml:space="preserve">KHARI BOONDI 200 GM </t>
  </si>
  <si>
    <t xml:space="preserve">NAVRATAN MIX 200 GM </t>
  </si>
  <si>
    <t xml:space="preserve">ALL IN ONE 200 GM </t>
  </si>
  <si>
    <t xml:space="preserve">ALOO BHUJIA 200GM </t>
  </si>
  <si>
    <t xml:space="preserve">KHATTA MEETHA 200 GM </t>
  </si>
  <si>
    <t xml:space="preserve">SALTED PEANUTS 200 GM </t>
  </si>
  <si>
    <t xml:space="preserve">DAL BIJI 200 GM </t>
  </si>
  <si>
    <t xml:space="preserve">GOLDEN MIXTURE 200 GM </t>
  </si>
  <si>
    <t xml:space="preserve">MURUKKU (CHAKOLI) 200 GM </t>
  </si>
  <si>
    <t xml:space="preserve">PUNJABI TADKA 200 GM </t>
  </si>
  <si>
    <t xml:space="preserve">RATLAMI SEV 200 GM </t>
  </si>
  <si>
    <t xml:space="preserve">PAPAD CHAVANU 200 GM </t>
  </si>
  <si>
    <t xml:space="preserve">PANCHRATAN MIXTURE 200 GM </t>
  </si>
  <si>
    <t xml:space="preserve">MINI SAMOSA 200 GM </t>
  </si>
  <si>
    <t xml:space="preserve">MINI BHAKARWADI 200 GM </t>
  </si>
  <si>
    <t xml:space="preserve">GOL KACHAURI 200 GM </t>
  </si>
  <si>
    <t xml:space="preserve">GATHIYA 200 GM </t>
  </si>
  <si>
    <t xml:space="preserve">FINE SEV 150 GM </t>
  </si>
  <si>
    <t xml:space="preserve">MIXTURE 200 GM </t>
  </si>
  <si>
    <t xml:space="preserve">SOYA STICKS 200 GM </t>
  </si>
  <si>
    <t xml:space="preserve">RASGULLA 1KG </t>
  </si>
  <si>
    <t>BIKANERI MED PAPAD(MM)200 GM</t>
  </si>
  <si>
    <t>TAMARIND 500 G</t>
  </si>
  <si>
    <t>SATTVAM GHEE  1 LT</t>
  </si>
  <si>
    <t>SEERAGA RICE 1 KG</t>
  </si>
  <si>
    <t>USD</t>
  </si>
  <si>
    <t>48194090</t>
  </si>
  <si>
    <t>SACKS - GIFT COVERS</t>
  </si>
  <si>
    <t>73239900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</si>
</sst>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3" x14ac:knownFonts="1">
    <font>
      <sz val="11"/>
      <color theme="1"/>
      <name val="Aptos Narrow"/>
      <family val="2"/>
      <scheme val="minor"/>
    </font>
    <font>
      <b/>
      <sz val="11"/>
      <color theme="1"/>
      <name val="Aptos Narrow"/>
      <family val="2"/>
      <scheme val="minor"/>
    </font>
    <font>
      <b/>
      <sz val="11"/>
      <color theme="1"/>
      <name val="Calibri"/>
      <family val="2"/>
    </font>
    <font>
      <sz val="11"/>
      <name val="Calibri"/>
      <family val="2"/>
    </font>
    <font>
      <sz val="11"/>
      <color theme="1"/>
      <name val="Calibri"/>
      <family val="2"/>
    </font>
    <font>
      <b/>
      <sz val="12"/>
      <color theme="1"/>
      <name val="Cambria"/>
      <family val="1"/>
    </font>
    <font>
      <sz val="12"/>
      <color theme="1"/>
      <name val="Cambria"/>
      <family val="1"/>
    </font>
    <font>
      <sz val="11"/>
      <name val="Aptos Narrow"/>
      <family val="2"/>
      <scheme val="minor"/>
    </font>
    <font>
      <b/>
      <sz val="11"/>
      <name val="Calibri"/>
      <family val="2"/>
    </font>
    <font>
      <sz val="8"/>
      <name val="Aptos Narrow"/>
      <family val="2"/>
      <scheme val="minor"/>
    </font>
    <font>
      <b/>
      <sz val="11"/>
      <name val="Aptos Narrow"/>
      <family val="2"/>
      <scheme val="minor"/>
    </font>
    <font>
      <b/>
      <sz val="12"/>
      <color theme="1"/>
      <name val="Calibri"/>
      <family val="2"/>
    </font>
    <font>
      <sz val="12"/>
      <color theme="1"/>
      <name val="Calibri"/>
      <family val="2"/>
    </font>
    <font>
      <b/>
      <sz val="11"/>
      <name val="Aptos Display"/>
      <family val="2"/>
      <scheme val="major"/>
    </font>
    <font>
      <sz val="11"/>
      <color theme="1"/>
      <name val="Aptos Display"/>
      <family val="2"/>
      <scheme val="major"/>
    </font>
    <font>
      <sz val="11"/>
      <name val="Aptos Display"/>
      <family val="2"/>
      <scheme val="major"/>
    </font>
    <font>
      <b/>
      <sz val="11"/>
      <color theme="1"/>
      <name val="Aptos Display"/>
      <family val="2"/>
      <scheme val="major"/>
    </font>
    <font>
      <sz val="11"/>
      <color theme="0" tint="-4.9989318521683403E-2"/>
      <name val="Aptos Narrow"/>
      <family val="2"/>
      <scheme val="minor"/>
    </font>
    <font>
      <sz val="12"/>
      <name val="Calibri"/>
      <family val="2"/>
    </font>
    <font>
      <b/>
      <sz val="12"/>
      <name val="Calibri"/>
      <family val="2"/>
    </font>
    <font>
      <sz val="12"/>
      <color indexed="8"/>
      <name val="Calibri"/>
      <family val="2"/>
    </font>
    <font>
      <b/>
      <sz val="12"/>
      <color rgb="FFFF0000"/>
      <name val="Calibri"/>
      <family val="2"/>
    </font>
    <font>
      <sz val="10"/>
      <name val="Aptos Display"/>
      <family val="1"/>
      <scheme val="major"/>
    </font>
    <font>
      <sz val="12"/>
      <color rgb="FFFF0000"/>
      <name val="Calibri"/>
      <family val="2"/>
    </font>
    <font>
      <sz val="11"/>
      <color theme="1"/>
      <name val="Aptos Narrow"/>
      <family val="2"/>
      <scheme val="minor"/>
    </font>
    <font>
      <sz val="10"/>
      <name val="Arial"/>
      <family val="2"/>
    </font>
    <font>
      <sz val="10"/>
      <name val="Arial"/>
      <family val="2"/>
    </font>
    <font>
      <sz val="10"/>
      <name val="Arial"/>
      <family val="2"/>
    </font>
    <font>
      <sz val="12"/>
      <color theme="0"/>
      <name val="Calibri"/>
      <family val="2"/>
    </font>
    <font>
      <sz val="12"/>
      <color theme="0"/>
      <name val="Cambria"/>
      <family val="1"/>
    </font>
    <font>
      <sz val="11"/>
      <color theme="0"/>
      <name val="Aptos Narrow"/>
      <family val="2"/>
      <scheme val="minor"/>
    </font>
    <font>
      <sz val="11"/>
      <color theme="0"/>
      <name val="Calibri"/>
      <family val="2"/>
    </font>
    <font>
      <b/>
      <sz val="15"/>
      <color theme="1"/>
      <name val="Cambria"/>
      <family val="1"/>
    </font>
    <font>
      <b/>
      <sz val="24"/>
      <color theme="1"/>
      <name val="Aptos Narrow"/>
      <family val="2"/>
      <scheme val="minor"/>
    </font>
    <font>
      <b/>
      <sz val="10"/>
      <name val="Arial"/>
      <family val="2"/>
    </font>
    <font>
      <b/>
      <sz val="10"/>
      <color indexed="8"/>
      <name val="Arial"/>
      <family val="2"/>
      <charset val="1"/>
    </font>
    <font>
      <sz val="11"/>
      <color rgb="FFFF0000"/>
      <name val="Aptos Narrow"/>
      <family val="2"/>
      <scheme val="minor"/>
    </font>
    <font>
      <sz val="10"/>
      <name val="Cambria"/>
      <family val="1"/>
    </font>
    <font>
      <sz val="10"/>
      <color rgb="FF000000"/>
      <name val="Cambria"/>
      <family val="1"/>
    </font>
    <font>
      <sz val="10"/>
      <color rgb="FFFF0000"/>
      <name val="Cambria"/>
      <family val="1"/>
    </font>
    <font>
      <sz val="10"/>
      <color theme="1" tint="0.14999847407452621"/>
      <name val="Cambria"/>
      <family val="1"/>
    </font>
    <font>
      <sz val="9"/>
      <color rgb="FF000000"/>
      <name val="Times New Roman"/>
      <family val="1"/>
    </font>
    <font>
      <sz val="10"/>
      <name val="Cambria"/>
      <family val="1"/>
    </font>
  </fonts>
  <fills count="16">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theme="5"/>
        <bgColor indexed="64"/>
      </patternFill>
    </fill>
    <fill>
      <patternFill patternType="solid">
        <fgColor theme="1" tint="0.499984740745262"/>
        <bgColor indexed="64"/>
      </patternFill>
    </fill>
    <fill>
      <patternFill patternType="solid">
        <fgColor theme="0"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medium">
        <color indexed="64"/>
      </right>
      <top style="medium">
        <color indexed="64"/>
      </top>
      <bottom/>
      <diagonal/>
    </border>
    <border>
      <left style="medium">
        <color rgb="FF000000"/>
      </left>
      <right/>
      <top/>
      <bottom/>
      <diagonal/>
    </border>
    <border>
      <left style="thin">
        <color rgb="FF000000"/>
      </left>
      <right style="thin">
        <color rgb="FF000000"/>
      </right>
      <top/>
      <bottom/>
      <diagonal/>
    </border>
    <border>
      <left/>
      <right style="medium">
        <color rgb="FF000000"/>
      </right>
      <top/>
      <bottom/>
      <diagonal/>
    </border>
    <border>
      <left style="thin">
        <color rgb="FF000000"/>
      </left>
      <right/>
      <top/>
      <bottom/>
      <diagonal/>
    </border>
    <border>
      <left style="medium">
        <color rgb="FF000000"/>
      </left>
      <right/>
      <top/>
      <bottom style="thin">
        <color rgb="FF000000"/>
      </bottom>
      <diagonal/>
    </border>
    <border>
      <left style="thin">
        <color indexed="64"/>
      </left>
      <right style="thin">
        <color indexed="64"/>
      </right>
      <top/>
      <bottom/>
      <diagonal/>
    </border>
  </borders>
  <cellStyleXfs count="7">
    <xf numFmtId="0" fontId="0" fillId="0" borderId="0"/>
    <xf numFmtId="0" fontId="25" fillId="0" borderId="0"/>
    <xf numFmtId="0" fontId="26" fillId="0" borderId="0"/>
    <xf numFmtId="0" fontId="24" fillId="0" borderId="0"/>
    <xf numFmtId="0" fontId="27" fillId="0" borderId="0"/>
    <xf numFmtId="0" fontId="25" fillId="0" borderId="0"/>
    <xf numFmtId="0" fontId="25" fillId="0" borderId="0"/>
  </cellStyleXfs>
  <cellXfs count="43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1" fillId="0" borderId="0" xfId="0" applyFont="1" applyAlignment="1">
      <alignment horizontal="center" vertical="center"/>
    </xf>
    <xf numFmtId="0" fontId="4" fillId="0" borderId="1" xfId="0" applyFont="1" applyBorder="1" applyAlignment="1">
      <alignment horizontal="center"/>
    </xf>
    <xf numFmtId="0" fontId="0" fillId="0" borderId="1" xfId="0" applyBorder="1"/>
    <xf numFmtId="0" fontId="0" fillId="0" borderId="1" xfId="0" applyBorder="1" applyAlignment="1">
      <alignment horizontal="center" vertical="center"/>
    </xf>
    <xf numFmtId="14" fontId="0" fillId="0" borderId="1" xfId="0" applyNumberFormat="1" applyBorder="1" applyAlignment="1">
      <alignment horizontal="center" vertical="center"/>
    </xf>
    <xf numFmtId="0" fontId="6" fillId="0" borderId="0" xfId="0" applyFont="1" applyAlignment="1">
      <alignment horizontal="center" vertical="center"/>
    </xf>
    <xf numFmtId="0" fontId="1" fillId="7" borderId="1" xfId="0" applyFont="1" applyFill="1" applyBorder="1" applyAlignment="1">
      <alignment horizontal="center" vertical="center"/>
    </xf>
    <xf numFmtId="0" fontId="7"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49" fontId="4" fillId="0" borderId="0" xfId="0" applyNumberFormat="1" applyFont="1" applyAlignment="1">
      <alignment horizontal="center" vertical="center"/>
    </xf>
    <xf numFmtId="2" fontId="4" fillId="3" borderId="1" xfId="0" applyNumberFormat="1" applyFont="1" applyFill="1" applyBorder="1" applyAlignment="1">
      <alignment horizontal="center" vertical="center"/>
    </xf>
    <xf numFmtId="0" fontId="1" fillId="0" borderId="0" xfId="0" applyFont="1" applyAlignment="1">
      <alignment horizontal="right" vertical="center"/>
    </xf>
    <xf numFmtId="0" fontId="11" fillId="3" borderId="1" xfId="0" applyFont="1" applyFill="1" applyBorder="1" applyAlignment="1">
      <alignment horizontal="center" vertical="center" wrapText="1"/>
    </xf>
    <xf numFmtId="0" fontId="10" fillId="0" borderId="0" xfId="0" applyFont="1" applyAlignment="1">
      <alignment horizontal="center" vertical="center"/>
    </xf>
    <xf numFmtId="0" fontId="12" fillId="0" borderId="0" xfId="0" applyFont="1"/>
    <xf numFmtId="0" fontId="12" fillId="0" borderId="0" xfId="0" applyFont="1" applyAlignment="1">
      <alignment horizontal="center" vertical="center"/>
    </xf>
    <xf numFmtId="0" fontId="12" fillId="0" borderId="1" xfId="0" applyFont="1" applyBorder="1" applyAlignment="1">
      <alignment horizontal="center" vertical="center"/>
    </xf>
    <xf numFmtId="0" fontId="12" fillId="0" borderId="1" xfId="0" applyFont="1" applyBorder="1"/>
    <xf numFmtId="0" fontId="11" fillId="11" borderId="1" xfId="0" applyFont="1" applyFill="1" applyBorder="1" applyAlignment="1">
      <alignment horizontal="center" vertical="center"/>
    </xf>
    <xf numFmtId="0" fontId="12" fillId="6"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2" fillId="0" borderId="1" xfId="0" applyFont="1" applyBorder="1" applyAlignment="1">
      <alignment horizontal="center"/>
    </xf>
    <xf numFmtId="0" fontId="4" fillId="3" borderId="1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6" xfId="0" applyFont="1" applyFill="1" applyBorder="1" applyAlignment="1">
      <alignment horizontal="center" vertical="center"/>
    </xf>
    <xf numFmtId="0" fontId="2" fillId="4" borderId="1" xfId="0" applyFont="1" applyFill="1" applyBorder="1" applyAlignment="1">
      <alignment horizontal="center" vertical="center" wrapText="1"/>
    </xf>
    <xf numFmtId="49" fontId="14" fillId="0" borderId="1" xfId="0" applyNumberFormat="1" applyFont="1" applyBorder="1" applyAlignment="1">
      <alignment horizontal="center"/>
    </xf>
    <xf numFmtId="49" fontId="14" fillId="0" borderId="1" xfId="0" applyNumberFormat="1" applyFont="1" applyBorder="1"/>
    <xf numFmtId="0" fontId="14" fillId="0" borderId="1" xfId="0" applyFont="1" applyBorder="1"/>
    <xf numFmtId="10" fontId="14" fillId="0" borderId="1" xfId="0" applyNumberFormat="1" applyFont="1" applyBorder="1"/>
    <xf numFmtId="49" fontId="15" fillId="0" borderId="1" xfId="0" applyNumberFormat="1" applyFont="1" applyBorder="1" applyAlignment="1">
      <alignment horizontal="center" vertical="center"/>
    </xf>
    <xf numFmtId="49" fontId="14" fillId="0" borderId="0" xfId="0" applyNumberFormat="1" applyFont="1" applyAlignment="1">
      <alignment horizontal="center"/>
    </xf>
    <xf numFmtId="49" fontId="14" fillId="0" borderId="0" xfId="0" applyNumberFormat="1" applyFont="1"/>
    <xf numFmtId="0" fontId="14" fillId="0" borderId="0" xfId="0" applyFont="1"/>
    <xf numFmtId="0" fontId="16" fillId="11" borderId="1" xfId="0" applyFont="1" applyFill="1" applyBorder="1" applyAlignment="1">
      <alignment horizontal="center" vertical="center" wrapText="1"/>
    </xf>
    <xf numFmtId="0" fontId="14" fillId="0" borderId="1" xfId="0" applyFont="1" applyBorder="1" applyAlignment="1">
      <alignment horizontal="center"/>
    </xf>
    <xf numFmtId="0" fontId="14" fillId="0" borderId="0" xfId="0" applyFont="1" applyAlignment="1">
      <alignment horizontal="center"/>
    </xf>
    <xf numFmtId="0" fontId="14" fillId="0" borderId="1" xfId="0" applyFont="1" applyBorder="1" applyAlignment="1">
      <alignment horizontal="center" vertical="center"/>
    </xf>
    <xf numFmtId="49" fontId="14"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49" fontId="14" fillId="0" borderId="0" xfId="0" applyNumberFormat="1" applyFont="1" applyAlignment="1">
      <alignment horizontal="center" vertical="center"/>
    </xf>
    <xf numFmtId="0" fontId="14" fillId="0" borderId="0" xfId="0" applyFont="1" applyAlignment="1">
      <alignment horizontal="center" vertical="center"/>
    </xf>
    <xf numFmtId="9" fontId="14" fillId="0" borderId="1" xfId="0" applyNumberFormat="1" applyFont="1" applyBorder="1" applyAlignment="1">
      <alignment horizontal="center"/>
    </xf>
    <xf numFmtId="9" fontId="14" fillId="0" borderId="1" xfId="0" applyNumberFormat="1" applyFont="1" applyBorder="1" applyAlignment="1">
      <alignment horizontal="center" vertical="center"/>
    </xf>
    <xf numFmtId="49" fontId="14" fillId="0" borderId="3" xfId="0" applyNumberFormat="1" applyFont="1" applyBorder="1" applyAlignment="1">
      <alignment horizontal="center"/>
    </xf>
    <xf numFmtId="49" fontId="14" fillId="0" borderId="3" xfId="0" applyNumberFormat="1" applyFont="1" applyBorder="1"/>
    <xf numFmtId="49" fontId="14" fillId="0" borderId="3" xfId="0" applyNumberFormat="1" applyFont="1" applyBorder="1" applyAlignment="1">
      <alignment horizontal="center" vertical="center"/>
    </xf>
    <xf numFmtId="0" fontId="14" fillId="0" borderId="3" xfId="0" applyFont="1" applyBorder="1" applyAlignment="1">
      <alignment horizontal="center" vertical="center"/>
    </xf>
    <xf numFmtId="0" fontId="14" fillId="4" borderId="3" xfId="0" applyFont="1" applyFill="1" applyBorder="1"/>
    <xf numFmtId="9" fontId="14" fillId="0" borderId="3" xfId="0" applyNumberFormat="1" applyFont="1" applyBorder="1" applyAlignment="1">
      <alignment horizontal="center" vertical="center"/>
    </xf>
    <xf numFmtId="0" fontId="14" fillId="0" borderId="3" xfId="0" applyFont="1" applyBorder="1"/>
    <xf numFmtId="10" fontId="14" fillId="0" borderId="3" xfId="0" applyNumberFormat="1" applyFont="1" applyBorder="1"/>
    <xf numFmtId="49" fontId="13" fillId="0" borderId="20" xfId="0" applyNumberFormat="1" applyFont="1" applyBorder="1" applyAlignment="1">
      <alignment horizontal="center" vertical="center"/>
    </xf>
    <xf numFmtId="49" fontId="13" fillId="0" borderId="21" xfId="0" applyNumberFormat="1" applyFont="1" applyBorder="1" applyAlignment="1">
      <alignment horizontal="center" vertical="center"/>
    </xf>
    <xf numFmtId="0" fontId="13" fillId="0" borderId="21" xfId="0" applyFont="1" applyBorder="1" applyAlignment="1">
      <alignment horizontal="center" vertical="center" wrapText="1"/>
    </xf>
    <xf numFmtId="0" fontId="13" fillId="11" borderId="21"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3" fillId="13" borderId="21" xfId="0" applyFont="1" applyFill="1" applyBorder="1" applyAlignment="1">
      <alignment horizontal="center" vertical="center" wrapText="1"/>
    </xf>
    <xf numFmtId="0" fontId="13" fillId="7" borderId="21" xfId="0" applyFont="1" applyFill="1" applyBorder="1" applyAlignment="1">
      <alignment horizontal="center" vertical="center" wrapText="1"/>
    </xf>
    <xf numFmtId="0" fontId="13" fillId="5" borderId="21" xfId="0" applyFont="1" applyFill="1" applyBorder="1" applyAlignment="1">
      <alignment horizontal="center" vertical="center" wrapText="1"/>
    </xf>
    <xf numFmtId="0" fontId="13" fillId="5" borderId="13" xfId="0" applyFont="1" applyFill="1" applyBorder="1" applyAlignment="1">
      <alignment horizontal="center" vertical="center" wrapText="1"/>
    </xf>
    <xf numFmtId="0" fontId="14" fillId="0" borderId="3" xfId="0" applyFont="1" applyBorder="1" applyAlignment="1">
      <alignment horizontal="center"/>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8" fillId="3" borderId="17" xfId="0" applyFont="1" applyFill="1" applyBorder="1" applyAlignment="1">
      <alignment horizontal="center" vertical="center" wrapText="1"/>
    </xf>
    <xf numFmtId="0" fontId="17" fillId="0" borderId="0" xfId="0" applyFont="1" applyAlignment="1">
      <alignment horizontal="center" vertical="center"/>
    </xf>
    <xf numFmtId="0" fontId="8" fillId="3" borderId="9" xfId="0" applyFont="1" applyFill="1" applyBorder="1" applyAlignment="1">
      <alignment vertical="center"/>
    </xf>
    <xf numFmtId="0" fontId="4" fillId="2" borderId="1" xfId="0" applyFont="1" applyFill="1" applyBorder="1" applyAlignment="1">
      <alignment horizontal="center"/>
    </xf>
    <xf numFmtId="49" fontId="2" fillId="2" borderId="1" xfId="0" applyNumberFormat="1" applyFont="1" applyFill="1" applyBorder="1" applyAlignment="1">
      <alignment horizontal="center" vertical="center" wrapText="1"/>
    </xf>
    <xf numFmtId="0" fontId="4" fillId="3" borderId="1" xfId="0" applyFont="1" applyFill="1" applyBorder="1" applyAlignment="1">
      <alignment horizontal="right" vertical="center"/>
    </xf>
    <xf numFmtId="0" fontId="2" fillId="6"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14" borderId="1" xfId="0" applyFont="1" applyFill="1" applyBorder="1" applyAlignment="1">
      <alignment horizontal="center"/>
    </xf>
    <xf numFmtId="0" fontId="0" fillId="14" borderId="0" xfId="0" applyFill="1" applyAlignment="1">
      <alignment horizontal="center" vertical="center"/>
    </xf>
    <xf numFmtId="0" fontId="1" fillId="8" borderId="0" xfId="0" applyFont="1" applyFill="1" applyAlignment="1">
      <alignment horizontal="center" vertical="center" wrapText="1"/>
    </xf>
    <xf numFmtId="0" fontId="1" fillId="8" borderId="1" xfId="0" applyFont="1" applyFill="1" applyBorder="1" applyAlignment="1">
      <alignment horizontal="center" wrapText="1"/>
    </xf>
    <xf numFmtId="0" fontId="16" fillId="0" borderId="0" xfId="0" applyFont="1" applyAlignment="1">
      <alignment horizontal="center"/>
    </xf>
    <xf numFmtId="0" fontId="12" fillId="3" borderId="1" xfId="0" applyFont="1" applyFill="1" applyBorder="1" applyAlignment="1">
      <alignment horizontal="center"/>
    </xf>
    <xf numFmtId="0" fontId="18" fillId="0" borderId="1" xfId="0" applyFont="1" applyBorder="1" applyAlignment="1">
      <alignment horizontal="center" vertical="center"/>
    </xf>
    <xf numFmtId="49" fontId="18" fillId="0" borderId="1" xfId="0" applyNumberFormat="1" applyFont="1" applyBorder="1" applyAlignment="1">
      <alignment horizontal="center" vertical="center"/>
    </xf>
    <xf numFmtId="0" fontId="18" fillId="11" borderId="1" xfId="0" applyFont="1" applyFill="1" applyBorder="1" applyAlignment="1">
      <alignment horizontal="center" vertical="center"/>
    </xf>
    <xf numFmtId="2" fontId="12" fillId="11" borderId="1" xfId="0" applyNumberFormat="1" applyFont="1" applyFill="1" applyBorder="1" applyAlignment="1">
      <alignment horizontal="center"/>
    </xf>
    <xf numFmtId="2" fontId="11" fillId="11" borderId="1" xfId="0" applyNumberFormat="1" applyFont="1" applyFill="1" applyBorder="1" applyAlignment="1">
      <alignment horizontal="center"/>
    </xf>
    <xf numFmtId="0" fontId="18" fillId="6" borderId="1" xfId="0" applyFont="1" applyFill="1" applyBorder="1" applyAlignment="1">
      <alignment horizontal="left" vertical="center"/>
    </xf>
    <xf numFmtId="0" fontId="18" fillId="6" borderId="1" xfId="0" applyFont="1" applyFill="1" applyBorder="1" applyAlignment="1">
      <alignment horizontal="center" vertical="center"/>
    </xf>
    <xf numFmtId="0" fontId="20" fillId="0" borderId="1" xfId="0" applyFont="1" applyBorder="1" applyAlignment="1">
      <alignment horizontal="center" vertical="center"/>
    </xf>
    <xf numFmtId="0" fontId="20" fillId="6" borderId="1" xfId="0" applyFont="1" applyFill="1" applyBorder="1" applyAlignment="1">
      <alignment horizontal="center" vertical="center"/>
    </xf>
    <xf numFmtId="0" fontId="12" fillId="6" borderId="1" xfId="0" applyFont="1" applyFill="1" applyBorder="1" applyAlignment="1">
      <alignment horizontal="center"/>
    </xf>
    <xf numFmtId="0" fontId="18" fillId="6" borderId="1" xfId="0" applyFont="1" applyFill="1" applyBorder="1" applyAlignment="1">
      <alignment vertical="center"/>
    </xf>
    <xf numFmtId="0" fontId="19" fillId="6" borderId="1" xfId="0" applyFont="1" applyFill="1" applyBorder="1" applyAlignment="1">
      <alignment horizontal="left" vertical="center"/>
    </xf>
    <xf numFmtId="0" fontId="12" fillId="6" borderId="1" xfId="0" applyFont="1" applyFill="1" applyBorder="1" applyAlignment="1">
      <alignment horizontal="left" vertical="center"/>
    </xf>
    <xf numFmtId="0" fontId="21" fillId="6" borderId="1" xfId="0" applyFont="1" applyFill="1" applyBorder="1" applyAlignment="1">
      <alignment horizontal="left" vertical="center"/>
    </xf>
    <xf numFmtId="0" fontId="12" fillId="0" borderId="1" xfId="0" applyFont="1" applyBorder="1" applyAlignment="1">
      <alignment horizontal="left" vertical="center"/>
    </xf>
    <xf numFmtId="0" fontId="18" fillId="0" borderId="1" xfId="0" applyFont="1" applyBorder="1" applyAlignment="1">
      <alignment horizontal="left" vertical="center"/>
    </xf>
    <xf numFmtId="0" fontId="18" fillId="0" borderId="1" xfId="0" applyFont="1" applyBorder="1" applyAlignment="1">
      <alignment vertical="center"/>
    </xf>
    <xf numFmtId="0" fontId="21" fillId="0" borderId="1" xfId="0" applyFont="1" applyBorder="1" applyAlignment="1">
      <alignment horizontal="left" vertical="center"/>
    </xf>
    <xf numFmtId="0" fontId="22" fillId="0" borderId="0" xfId="0" applyFont="1" applyAlignment="1">
      <alignment horizontal="center" vertical="center"/>
    </xf>
    <xf numFmtId="0" fontId="4" fillId="14" borderId="1" xfId="0" applyFont="1" applyFill="1" applyBorder="1" applyAlignment="1">
      <alignment horizontal="left"/>
    </xf>
    <xf numFmtId="0" fontId="4" fillId="2" borderId="1" xfId="0" applyFont="1" applyFill="1" applyBorder="1" applyAlignment="1">
      <alignment horizontal="left"/>
    </xf>
    <xf numFmtId="0" fontId="11" fillId="0" borderId="0" xfId="0" applyFont="1" applyAlignment="1">
      <alignment vertical="center"/>
    </xf>
    <xf numFmtId="0" fontId="11" fillId="0" borderId="0" xfId="0" applyFont="1" applyAlignment="1">
      <alignment horizontal="center" vertical="center"/>
    </xf>
    <xf numFmtId="0" fontId="23" fillId="0" borderId="1" xfId="0" applyFont="1" applyBorder="1"/>
    <xf numFmtId="0" fontId="12" fillId="3" borderId="0" xfId="0" applyFont="1" applyFill="1"/>
    <xf numFmtId="0" fontId="12" fillId="0" borderId="0" xfId="0" applyFont="1" applyAlignment="1">
      <alignment horizontal="center"/>
    </xf>
    <xf numFmtId="0" fontId="13" fillId="10" borderId="44" xfId="0" applyFont="1" applyFill="1" applyBorder="1" applyAlignment="1">
      <alignment horizontal="center" vertical="center" wrapText="1"/>
    </xf>
    <xf numFmtId="0" fontId="13" fillId="10" borderId="45" xfId="0" applyFont="1" applyFill="1" applyBorder="1" applyAlignment="1">
      <alignment horizontal="center" vertical="center" wrapText="1"/>
    </xf>
    <xf numFmtId="10" fontId="0" fillId="0" borderId="1" xfId="0" applyNumberFormat="1" applyBorder="1"/>
    <xf numFmtId="0" fontId="0" fillId="0" borderId="12" xfId="0" applyBorder="1" applyAlignment="1">
      <alignment horizontal="center" vertical="center"/>
    </xf>
    <xf numFmtId="49" fontId="18" fillId="0" borderId="1" xfId="0" quotePrefix="1" applyNumberFormat="1" applyFont="1" applyBorder="1" applyAlignment="1">
      <alignment horizontal="center" vertical="center"/>
    </xf>
    <xf numFmtId="0" fontId="11" fillId="0" borderId="0" xfId="0" applyFont="1" applyAlignment="1">
      <alignment horizontal="right" vertical="center"/>
    </xf>
    <xf numFmtId="0" fontId="12" fillId="0" borderId="1" xfId="0" applyFont="1" applyBorder="1" applyAlignment="1">
      <alignment horizontal="right"/>
    </xf>
    <xf numFmtId="0" fontId="12" fillId="0" borderId="1" xfId="0" applyFont="1" applyBorder="1" applyAlignment="1">
      <alignment horizontal="right" vertical="center"/>
    </xf>
    <xf numFmtId="0" fontId="12" fillId="6" borderId="1" xfId="0" applyFont="1" applyFill="1" applyBorder="1" applyAlignment="1">
      <alignment horizontal="right" vertical="center"/>
    </xf>
    <xf numFmtId="0" fontId="12" fillId="0" borderId="0" xfId="0" applyFont="1" applyAlignment="1">
      <alignment horizontal="right"/>
    </xf>
    <xf numFmtId="0" fontId="5" fillId="3" borderId="5" xfId="0" applyFont="1" applyFill="1" applyBorder="1" applyAlignment="1">
      <alignment horizontal="center" vertical="center"/>
    </xf>
    <xf numFmtId="0" fontId="4" fillId="14" borderId="1" xfId="0" applyFont="1" applyFill="1" applyBorder="1" applyAlignment="1">
      <alignment horizontal="left" vertical="center"/>
    </xf>
    <xf numFmtId="0" fontId="4" fillId="2" borderId="1" xfId="0" applyFont="1" applyFill="1" applyBorder="1" applyAlignment="1">
      <alignment horizontal="left" vertical="center"/>
    </xf>
    <xf numFmtId="0" fontId="7" fillId="0" borderId="0" xfId="0" applyFont="1" applyAlignment="1">
      <alignment horizontal="left" vertical="center"/>
    </xf>
    <xf numFmtId="0" fontId="1" fillId="0" borderId="0" xfId="0" applyFont="1" applyAlignment="1">
      <alignment horizontal="left" vertical="center"/>
    </xf>
    <xf numFmtId="0" fontId="11" fillId="9" borderId="1" xfId="0" applyFont="1" applyFill="1" applyBorder="1" applyAlignment="1">
      <alignment horizontal="center" vertical="center" wrapText="1"/>
    </xf>
    <xf numFmtId="0" fontId="12" fillId="9" borderId="1" xfId="0" applyFont="1" applyFill="1" applyBorder="1" applyAlignment="1">
      <alignment horizontal="center"/>
    </xf>
    <xf numFmtId="0" fontId="12" fillId="9" borderId="1" xfId="0" applyFont="1" applyFill="1" applyBorder="1"/>
    <xf numFmtId="0" fontId="18" fillId="9" borderId="1" xfId="0" applyFont="1" applyFill="1" applyBorder="1" applyAlignment="1">
      <alignment horizontal="left" vertical="center"/>
    </xf>
    <xf numFmtId="0" fontId="18" fillId="9" borderId="1" xfId="0" applyFont="1" applyFill="1" applyBorder="1" applyAlignment="1">
      <alignment vertical="center"/>
    </xf>
    <xf numFmtId="0" fontId="12" fillId="9" borderId="1" xfId="0" applyFont="1" applyFill="1" applyBorder="1" applyAlignment="1">
      <alignment horizontal="left" vertical="center"/>
    </xf>
    <xf numFmtId="0" fontId="21" fillId="9" borderId="1" xfId="0" applyFont="1" applyFill="1" applyBorder="1" applyAlignment="1">
      <alignment horizontal="left" vertical="center"/>
    </xf>
    <xf numFmtId="0" fontId="12" fillId="9" borderId="0" xfId="0" applyFont="1" applyFill="1"/>
    <xf numFmtId="0" fontId="28" fillId="0" borderId="0" xfId="0" applyFont="1"/>
    <xf numFmtId="0" fontId="5" fillId="8" borderId="1" xfId="0" applyFont="1" applyFill="1" applyBorder="1" applyAlignment="1">
      <alignment horizontal="right" vertical="center"/>
    </xf>
    <xf numFmtId="0" fontId="2" fillId="3" borderId="1" xfId="0" applyFont="1" applyFill="1" applyBorder="1" applyAlignment="1">
      <alignment horizontal="center" vertical="center" wrapText="1"/>
    </xf>
    <xf numFmtId="0" fontId="6" fillId="3" borderId="1" xfId="0" applyFont="1" applyFill="1" applyBorder="1" applyAlignment="1">
      <alignment horizontal="right" vertical="center"/>
    </xf>
    <xf numFmtId="0" fontId="5" fillId="3" borderId="33" xfId="0" applyFont="1" applyFill="1" applyBorder="1" applyAlignment="1">
      <alignment horizontal="center" vertical="center"/>
    </xf>
    <xf numFmtId="0" fontId="5" fillId="3" borderId="40" xfId="0" applyFont="1" applyFill="1" applyBorder="1" applyAlignment="1">
      <alignment horizontal="center" vertical="center"/>
    </xf>
    <xf numFmtId="0" fontId="5" fillId="3" borderId="51" xfId="0" applyFont="1" applyFill="1" applyBorder="1" applyAlignment="1">
      <alignment horizontal="center" vertical="center"/>
    </xf>
    <xf numFmtId="0" fontId="6" fillId="3" borderId="48" xfId="0" applyFont="1" applyFill="1" applyBorder="1" applyAlignment="1">
      <alignment horizontal="right" vertical="center"/>
    </xf>
    <xf numFmtId="0" fontId="6" fillId="3" borderId="9" xfId="0" applyFont="1" applyFill="1" applyBorder="1" applyAlignment="1">
      <alignment horizontal="right" vertical="center"/>
    </xf>
    <xf numFmtId="0" fontId="6" fillId="3" borderId="10" xfId="0" applyFont="1" applyFill="1" applyBorder="1" applyAlignment="1">
      <alignment horizontal="right" vertical="center"/>
    </xf>
    <xf numFmtId="0" fontId="6" fillId="3" borderId="8" xfId="0" applyFont="1" applyFill="1" applyBorder="1" applyAlignment="1">
      <alignment horizontal="right" vertical="center"/>
    </xf>
    <xf numFmtId="0" fontId="6" fillId="3" borderId="4" xfId="0" applyFont="1" applyFill="1" applyBorder="1" applyAlignment="1">
      <alignment horizontal="right" vertical="center"/>
    </xf>
    <xf numFmtId="0" fontId="6" fillId="3" borderId="12" xfId="0" applyFont="1" applyFill="1" applyBorder="1" applyAlignment="1">
      <alignment horizontal="right" vertical="center"/>
    </xf>
    <xf numFmtId="0" fontId="6" fillId="3" borderId="11" xfId="0" applyFont="1" applyFill="1" applyBorder="1" applyAlignment="1">
      <alignment horizontal="right" vertical="center"/>
    </xf>
    <xf numFmtId="0" fontId="5" fillId="8" borderId="4" xfId="0" applyFont="1" applyFill="1" applyBorder="1" applyAlignment="1">
      <alignment horizontal="right" vertical="center"/>
    </xf>
    <xf numFmtId="0" fontId="5" fillId="8" borderId="12" xfId="0" applyFont="1" applyFill="1" applyBorder="1" applyAlignment="1">
      <alignment horizontal="right" vertical="center"/>
    </xf>
    <xf numFmtId="0" fontId="5" fillId="8" borderId="11" xfId="0" applyFont="1" applyFill="1" applyBorder="1" applyAlignment="1">
      <alignment horizontal="right" vertical="center"/>
    </xf>
    <xf numFmtId="0" fontId="6" fillId="3" borderId="6" xfId="0" applyFont="1" applyFill="1" applyBorder="1" applyAlignment="1">
      <alignment horizontal="right" vertical="center"/>
    </xf>
    <xf numFmtId="0" fontId="6" fillId="8" borderId="1" xfId="0" applyFont="1" applyFill="1" applyBorder="1" applyAlignment="1">
      <alignment horizontal="right" vertical="center"/>
    </xf>
    <xf numFmtId="0" fontId="6" fillId="8" borderId="12" xfId="0" applyFont="1" applyFill="1" applyBorder="1" applyAlignment="1">
      <alignment horizontal="right" vertical="center"/>
    </xf>
    <xf numFmtId="0" fontId="6" fillId="8" borderId="22" xfId="0" applyFont="1" applyFill="1" applyBorder="1" applyAlignment="1">
      <alignment horizontal="right" vertical="center"/>
    </xf>
    <xf numFmtId="0" fontId="6" fillId="8" borderId="3" xfId="0" applyFont="1" applyFill="1" applyBorder="1" applyAlignment="1">
      <alignment horizontal="right" vertical="center"/>
    </xf>
    <xf numFmtId="0" fontId="6" fillId="8" borderId="23" xfId="0" applyFont="1" applyFill="1" applyBorder="1" applyAlignment="1">
      <alignment horizontal="right" vertical="center"/>
    </xf>
    <xf numFmtId="0" fontId="6" fillId="3" borderId="32" xfId="0" applyFont="1" applyFill="1" applyBorder="1" applyAlignment="1">
      <alignment horizontal="right" vertical="center"/>
    </xf>
    <xf numFmtId="0" fontId="6" fillId="3" borderId="37" xfId="0" applyFont="1" applyFill="1" applyBorder="1" applyAlignment="1">
      <alignment horizontal="right" vertical="center"/>
    </xf>
    <xf numFmtId="0" fontId="6" fillId="3" borderId="29" xfId="0" applyFont="1" applyFill="1" applyBorder="1" applyAlignment="1">
      <alignment horizontal="right" vertical="center"/>
    </xf>
    <xf numFmtId="0" fontId="6" fillId="3" borderId="3" xfId="0" applyFont="1" applyFill="1" applyBorder="1" applyAlignment="1">
      <alignment horizontal="right" vertical="center"/>
    </xf>
    <xf numFmtId="0" fontId="6" fillId="3" borderId="22" xfId="0" applyFont="1" applyFill="1" applyBorder="1" applyAlignment="1">
      <alignment horizontal="right" vertical="center"/>
    </xf>
    <xf numFmtId="0" fontId="5" fillId="0" borderId="1" xfId="0" applyFont="1" applyBorder="1" applyAlignment="1">
      <alignment horizontal="right" vertical="center"/>
    </xf>
    <xf numFmtId="0" fontId="5" fillId="0" borderId="11" xfId="0" applyFont="1" applyBorder="1" applyAlignment="1">
      <alignment horizontal="right" vertical="center"/>
    </xf>
    <xf numFmtId="0" fontId="5" fillId="12" borderId="4" xfId="0" applyFont="1" applyFill="1" applyBorder="1" applyAlignment="1">
      <alignment horizontal="right" vertical="center"/>
    </xf>
    <xf numFmtId="0" fontId="5" fillId="12" borderId="1" xfId="0" applyFont="1" applyFill="1" applyBorder="1" applyAlignment="1">
      <alignment horizontal="right" vertical="center"/>
    </xf>
    <xf numFmtId="0" fontId="5" fillId="12" borderId="12" xfId="0" applyFont="1" applyFill="1" applyBorder="1" applyAlignment="1">
      <alignment horizontal="right" vertical="center"/>
    </xf>
    <xf numFmtId="0" fontId="5" fillId="12" borderId="11" xfId="0" applyFont="1" applyFill="1" applyBorder="1" applyAlignment="1">
      <alignment horizontal="right" vertical="center"/>
    </xf>
    <xf numFmtId="0" fontId="6" fillId="9" borderId="1" xfId="0" applyFont="1" applyFill="1" applyBorder="1" applyAlignment="1">
      <alignment horizontal="right" vertical="center"/>
    </xf>
    <xf numFmtId="0" fontId="6" fillId="9" borderId="12" xfId="0" applyFont="1" applyFill="1" applyBorder="1" applyAlignment="1">
      <alignment horizontal="right" vertical="center"/>
    </xf>
    <xf numFmtId="0" fontId="6" fillId="8" borderId="29" xfId="0" applyFont="1" applyFill="1" applyBorder="1" applyAlignment="1">
      <alignment horizontal="right" vertical="center"/>
    </xf>
    <xf numFmtId="0" fontId="6" fillId="8" borderId="11" xfId="0" applyFont="1" applyFill="1" applyBorder="1" applyAlignment="1">
      <alignment horizontal="right" vertical="center"/>
    </xf>
    <xf numFmtId="0" fontId="1" fillId="0" borderId="9" xfId="0" applyFont="1" applyBorder="1" applyAlignment="1">
      <alignment horizontal="center" vertical="center"/>
    </xf>
    <xf numFmtId="0" fontId="1" fillId="12" borderId="9" xfId="0" applyFont="1" applyFill="1" applyBorder="1" applyAlignment="1">
      <alignment horizontal="center" vertical="center"/>
    </xf>
    <xf numFmtId="0" fontId="1" fillId="12" borderId="10" xfId="0" applyFont="1" applyFill="1" applyBorder="1" applyAlignment="1">
      <alignment horizontal="center" vertical="center"/>
    </xf>
    <xf numFmtId="0" fontId="0" fillId="0" borderId="17" xfId="0" applyBorder="1"/>
    <xf numFmtId="0" fontId="0" fillId="0" borderId="19" xfId="0" applyBorder="1"/>
    <xf numFmtId="0" fontId="1" fillId="7" borderId="9"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14" fontId="0" fillId="0" borderId="12" xfId="0" applyNumberFormat="1" applyBorder="1" applyAlignment="1">
      <alignment horizontal="center" vertical="center"/>
    </xf>
    <xf numFmtId="0" fontId="1" fillId="7" borderId="17" xfId="0" applyFont="1" applyFill="1" applyBorder="1" applyAlignment="1">
      <alignment horizontal="center" vertical="center"/>
    </xf>
    <xf numFmtId="0" fontId="5" fillId="9" borderId="8" xfId="0" applyFont="1" applyFill="1" applyBorder="1" applyAlignment="1">
      <alignment vertical="center"/>
    </xf>
    <xf numFmtId="0" fontId="5" fillId="6" borderId="10" xfId="0" applyFont="1" applyFill="1" applyBorder="1" applyAlignment="1">
      <alignment vertical="center"/>
    </xf>
    <xf numFmtId="0" fontId="5" fillId="9" borderId="11" xfId="0" applyFont="1" applyFill="1" applyBorder="1" applyAlignment="1">
      <alignment vertical="center"/>
    </xf>
    <xf numFmtId="0" fontId="5" fillId="6" borderId="12" xfId="0" applyFont="1" applyFill="1" applyBorder="1" applyAlignment="1">
      <alignment vertical="center"/>
    </xf>
    <xf numFmtId="0" fontId="5" fillId="9" borderId="16" xfId="0" applyFont="1" applyFill="1" applyBorder="1" applyAlignment="1">
      <alignment vertical="center"/>
    </xf>
    <xf numFmtId="0" fontId="5" fillId="6" borderId="19" xfId="0" applyFont="1" applyFill="1" applyBorder="1" applyAlignment="1">
      <alignment vertical="center"/>
    </xf>
    <xf numFmtId="0" fontId="5" fillId="8" borderId="49" xfId="0" applyFont="1" applyFill="1" applyBorder="1" applyAlignment="1">
      <alignment horizontal="right" vertical="center"/>
    </xf>
    <xf numFmtId="0" fontId="5" fillId="8" borderId="16" xfId="0" applyFont="1" applyFill="1" applyBorder="1" applyAlignment="1">
      <alignment horizontal="right" vertical="center"/>
    </xf>
    <xf numFmtId="0" fontId="8" fillId="3" borderId="58" xfId="0" applyFont="1" applyFill="1" applyBorder="1" applyAlignment="1">
      <alignment vertical="center"/>
    </xf>
    <xf numFmtId="0" fontId="2" fillId="3" borderId="18" xfId="0" applyFont="1" applyFill="1" applyBorder="1" applyAlignment="1">
      <alignment horizontal="center" vertical="center" wrapText="1"/>
    </xf>
    <xf numFmtId="1" fontId="4" fillId="0" borderId="0" xfId="0" applyNumberFormat="1" applyFont="1" applyAlignment="1">
      <alignment horizontal="center" vertical="center"/>
    </xf>
    <xf numFmtId="1" fontId="0" fillId="0" borderId="0" xfId="0" applyNumberFormat="1" applyAlignment="1">
      <alignment horizontal="center" vertical="center"/>
    </xf>
    <xf numFmtId="0" fontId="4" fillId="5" borderId="0" xfId="0" applyFont="1" applyFill="1" applyAlignment="1">
      <alignment horizontal="center" vertical="center"/>
    </xf>
    <xf numFmtId="0" fontId="1" fillId="5" borderId="0" xfId="0" applyFont="1" applyFill="1" applyAlignment="1">
      <alignment horizontal="center" vertical="center"/>
    </xf>
    <xf numFmtId="1" fontId="4" fillId="3" borderId="1" xfId="0" applyNumberFormat="1" applyFont="1" applyFill="1" applyBorder="1" applyAlignment="1">
      <alignment horizontal="center" vertical="center"/>
    </xf>
    <xf numFmtId="0" fontId="31" fillId="6" borderId="0" xfId="0" applyFont="1" applyFill="1" applyAlignment="1">
      <alignment horizontal="center" vertical="center"/>
    </xf>
    <xf numFmtId="0" fontId="30" fillId="6" borderId="0" xfId="0" applyFont="1" applyFill="1" applyAlignment="1">
      <alignment horizontal="center" vertical="center"/>
    </xf>
    <xf numFmtId="0" fontId="30" fillId="6" borderId="0" xfId="0" applyFont="1" applyFill="1" applyAlignment="1">
      <alignment horizontal="center" vertical="center" wrapText="1"/>
    </xf>
    <xf numFmtId="0" fontId="2" fillId="0" borderId="1" xfId="0" applyFont="1" applyBorder="1" applyAlignment="1">
      <alignment horizontal="right"/>
    </xf>
    <xf numFmtId="0" fontId="2" fillId="4" borderId="1" xfId="0" applyFont="1" applyFill="1" applyBorder="1" applyAlignment="1">
      <alignment vertical="center"/>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0" fillId="14" borderId="1" xfId="0" applyFill="1" applyBorder="1" applyAlignment="1">
      <alignment horizontal="center" vertical="center"/>
    </xf>
    <xf numFmtId="0" fontId="4" fillId="6" borderId="1" xfId="0" applyFont="1" applyFill="1" applyBorder="1" applyAlignment="1">
      <alignment horizontal="center"/>
    </xf>
    <xf numFmtId="0" fontId="5" fillId="3" borderId="11" xfId="0" applyFont="1" applyFill="1" applyBorder="1" applyAlignment="1">
      <alignment horizontal="right" vertical="center"/>
    </xf>
    <xf numFmtId="0" fontId="5" fillId="3" borderId="1" xfId="0" applyFont="1" applyFill="1" applyBorder="1" applyAlignment="1">
      <alignment horizontal="right" vertical="center"/>
    </xf>
    <xf numFmtId="0" fontId="5" fillId="3" borderId="12" xfId="0" applyFont="1" applyFill="1" applyBorder="1" applyAlignment="1">
      <alignment horizontal="right" vertical="center"/>
    </xf>
    <xf numFmtId="0" fontId="5" fillId="3" borderId="4" xfId="0" applyFont="1" applyFill="1" applyBorder="1" applyAlignment="1">
      <alignment horizontal="right" vertical="center"/>
    </xf>
    <xf numFmtId="0" fontId="5" fillId="3" borderId="29" xfId="0" applyFont="1" applyFill="1" applyBorder="1" applyAlignment="1">
      <alignment horizontal="right" vertical="center"/>
    </xf>
    <xf numFmtId="0" fontId="5" fillId="3" borderId="3" xfId="0" applyFont="1" applyFill="1" applyBorder="1" applyAlignment="1">
      <alignment horizontal="right" vertical="center"/>
    </xf>
    <xf numFmtId="0" fontId="29" fillId="3" borderId="7" xfId="0" applyFont="1" applyFill="1" applyBorder="1" applyAlignment="1">
      <alignment horizontal="center" vertical="center"/>
    </xf>
    <xf numFmtId="0" fontId="29" fillId="3" borderId="38" xfId="0" applyFont="1" applyFill="1" applyBorder="1" applyAlignment="1">
      <alignment horizontal="center" vertical="center"/>
    </xf>
    <xf numFmtId="0" fontId="29" fillId="3" borderId="39" xfId="0" applyFont="1" applyFill="1" applyBorder="1" applyAlignment="1">
      <alignment horizontal="center" vertical="center"/>
    </xf>
    <xf numFmtId="0" fontId="29" fillId="3" borderId="35" xfId="0" applyFont="1" applyFill="1" applyBorder="1" applyAlignment="1">
      <alignment vertical="center"/>
    </xf>
    <xf numFmtId="0" fontId="29" fillId="3" borderId="32" xfId="0" applyFont="1" applyFill="1" applyBorder="1" applyAlignment="1">
      <alignment vertical="center"/>
    </xf>
    <xf numFmtId="0" fontId="29" fillId="3" borderId="37" xfId="0" applyFont="1" applyFill="1" applyBorder="1" applyAlignment="1">
      <alignment vertical="center"/>
    </xf>
    <xf numFmtId="0" fontId="5" fillId="3" borderId="31" xfId="0" applyFont="1" applyFill="1" applyBorder="1" applyAlignment="1">
      <alignment horizontal="center" vertical="center"/>
    </xf>
    <xf numFmtId="0" fontId="6" fillId="3" borderId="58" xfId="0" applyFont="1" applyFill="1" applyBorder="1" applyAlignment="1">
      <alignment horizontal="right" vertical="center"/>
    </xf>
    <xf numFmtId="0" fontId="5" fillId="3" borderId="6" xfId="0" applyFont="1" applyFill="1" applyBorder="1" applyAlignment="1">
      <alignment horizontal="right" vertical="center"/>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19" xfId="0" applyFont="1" applyFill="1" applyBorder="1" applyAlignment="1">
      <alignment horizontal="center" vertical="center"/>
    </xf>
    <xf numFmtId="0" fontId="5" fillId="8" borderId="6" xfId="0" applyFont="1" applyFill="1" applyBorder="1" applyAlignment="1">
      <alignment horizontal="right" vertical="center"/>
    </xf>
    <xf numFmtId="0" fontId="5" fillId="0" borderId="6" xfId="0" applyFont="1" applyBorder="1" applyAlignment="1">
      <alignment horizontal="right" vertical="center"/>
    </xf>
    <xf numFmtId="0" fontId="5" fillId="12" borderId="6" xfId="0" applyFont="1" applyFill="1" applyBorder="1" applyAlignment="1">
      <alignment horizontal="right" vertical="center"/>
    </xf>
    <xf numFmtId="0" fontId="5" fillId="3" borderId="8" xfId="0" applyFont="1" applyFill="1" applyBorder="1" applyAlignment="1">
      <alignment horizontal="right" vertical="center"/>
    </xf>
    <xf numFmtId="0" fontId="5" fillId="3" borderId="9" xfId="0" applyFont="1" applyFill="1" applyBorder="1" applyAlignment="1">
      <alignment horizontal="right" vertical="center"/>
    </xf>
    <xf numFmtId="0" fontId="6" fillId="3" borderId="51" xfId="0" applyFont="1" applyFill="1" applyBorder="1" applyAlignment="1">
      <alignment horizontal="right" vertical="center"/>
    </xf>
    <xf numFmtId="0" fontId="6" fillId="3" borderId="5" xfId="0" applyFont="1" applyFill="1" applyBorder="1" applyAlignment="1">
      <alignment horizontal="right" vertical="center"/>
    </xf>
    <xf numFmtId="0" fontId="6" fillId="3" borderId="40" xfId="0" applyFont="1" applyFill="1" applyBorder="1" applyAlignment="1">
      <alignment horizontal="right" vertical="center"/>
    </xf>
    <xf numFmtId="0" fontId="6" fillId="3" borderId="33" xfId="0" applyFont="1" applyFill="1" applyBorder="1" applyAlignment="1">
      <alignment horizontal="right" vertical="center"/>
    </xf>
    <xf numFmtId="0" fontId="5" fillId="8" borderId="20" xfId="0" applyFont="1" applyFill="1" applyBorder="1" applyAlignment="1">
      <alignment horizontal="right" vertical="center"/>
    </xf>
    <xf numFmtId="0" fontId="5" fillId="8" borderId="60" xfId="0" applyFont="1" applyFill="1" applyBorder="1" applyAlignment="1">
      <alignment horizontal="right" vertical="center"/>
    </xf>
    <xf numFmtId="0" fontId="5" fillId="8" borderId="17" xfId="0" applyFont="1" applyFill="1" applyBorder="1" applyAlignment="1">
      <alignment horizontal="right" vertical="center"/>
    </xf>
    <xf numFmtId="0" fontId="5" fillId="8" borderId="18" xfId="0" applyFont="1" applyFill="1" applyBorder="1" applyAlignment="1">
      <alignment horizontal="right" vertical="center"/>
    </xf>
    <xf numFmtId="0" fontId="5" fillId="8" borderId="19" xfId="0" applyFont="1" applyFill="1" applyBorder="1" applyAlignment="1">
      <alignment horizontal="right" vertical="center"/>
    </xf>
    <xf numFmtId="0" fontId="5" fillId="8" borderId="59" xfId="0" applyFont="1" applyFill="1" applyBorder="1" applyAlignment="1">
      <alignment horizontal="right" vertical="center"/>
    </xf>
    <xf numFmtId="0" fontId="6" fillId="8" borderId="28" xfId="0" applyFont="1" applyFill="1" applyBorder="1" applyAlignment="1">
      <alignment horizontal="right" vertical="center"/>
    </xf>
    <xf numFmtId="0" fontId="32" fillId="8" borderId="1" xfId="0" applyFont="1" applyFill="1" applyBorder="1" applyAlignment="1">
      <alignment horizontal="right" vertical="center"/>
    </xf>
    <xf numFmtId="0" fontId="32" fillId="8" borderId="21" xfId="0" applyFont="1" applyFill="1" applyBorder="1" applyAlignment="1">
      <alignment horizontal="right" vertical="center"/>
    </xf>
    <xf numFmtId="0" fontId="5" fillId="8" borderId="21" xfId="0" applyFont="1" applyFill="1" applyBorder="1" applyAlignment="1">
      <alignment horizontal="right" vertical="center"/>
    </xf>
    <xf numFmtId="0" fontId="32" fillId="8" borderId="59" xfId="0" applyFont="1" applyFill="1" applyBorder="1" applyAlignment="1">
      <alignment horizontal="right" vertical="center"/>
    </xf>
    <xf numFmtId="0" fontId="32" fillId="8" borderId="60" xfId="0" applyFont="1" applyFill="1" applyBorder="1" applyAlignment="1">
      <alignment horizontal="right" vertical="center"/>
    </xf>
    <xf numFmtId="0" fontId="32" fillId="8" borderId="17" xfId="0" applyFont="1" applyFill="1" applyBorder="1" applyAlignment="1">
      <alignment horizontal="right" vertical="center"/>
    </xf>
    <xf numFmtId="0" fontId="32" fillId="3" borderId="9" xfId="0" applyFont="1" applyFill="1" applyBorder="1" applyAlignment="1">
      <alignment horizontal="right" vertical="center"/>
    </xf>
    <xf numFmtId="0" fontId="32" fillId="3" borderId="10" xfId="0" applyFont="1" applyFill="1" applyBorder="1" applyAlignment="1">
      <alignment horizontal="right" vertical="center"/>
    </xf>
    <xf numFmtId="0" fontId="32" fillId="3" borderId="22" xfId="0" applyFont="1" applyFill="1" applyBorder="1" applyAlignment="1">
      <alignment horizontal="right" vertical="center"/>
    </xf>
    <xf numFmtId="0" fontId="32" fillId="3" borderId="23" xfId="0" applyFont="1" applyFill="1" applyBorder="1" applyAlignment="1">
      <alignment horizontal="right" vertical="center"/>
    </xf>
    <xf numFmtId="0" fontId="32" fillId="3" borderId="3" xfId="0" applyFont="1" applyFill="1" applyBorder="1" applyAlignment="1">
      <alignment horizontal="right" vertical="center"/>
    </xf>
    <xf numFmtId="0" fontId="32" fillId="3" borderId="28" xfId="0" applyFont="1" applyFill="1" applyBorder="1" applyAlignment="1">
      <alignment horizontal="right" vertical="center"/>
    </xf>
    <xf numFmtId="0" fontId="32" fillId="8" borderId="13" xfId="0" applyFont="1" applyFill="1" applyBorder="1" applyAlignment="1">
      <alignment horizontal="right" vertical="center"/>
    </xf>
    <xf numFmtId="0" fontId="32" fillId="8" borderId="27" xfId="0" applyFont="1" applyFill="1" applyBorder="1" applyAlignment="1">
      <alignment horizontal="right" vertical="center"/>
    </xf>
    <xf numFmtId="0" fontId="32" fillId="8" borderId="53" xfId="0" applyFont="1" applyFill="1" applyBorder="1" applyAlignment="1">
      <alignment horizontal="right" vertical="center"/>
    </xf>
    <xf numFmtId="0" fontId="4" fillId="3" borderId="22" xfId="0" applyFont="1" applyFill="1" applyBorder="1" applyAlignment="1">
      <alignment horizontal="center" vertical="center"/>
    </xf>
    <xf numFmtId="0" fontId="4" fillId="3" borderId="3" xfId="0" applyFont="1" applyFill="1" applyBorder="1" applyAlignment="1">
      <alignment horizontal="center" vertical="center"/>
    </xf>
    <xf numFmtId="0" fontId="3" fillId="3" borderId="3" xfId="0" applyFont="1" applyFill="1" applyBorder="1" applyAlignment="1">
      <alignment horizontal="center" vertical="center"/>
    </xf>
    <xf numFmtId="0" fontId="8" fillId="3" borderId="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4" fillId="5" borderId="23" xfId="0" applyFont="1" applyFill="1" applyBorder="1" applyAlignment="1">
      <alignment horizontal="center" vertical="center"/>
    </xf>
    <xf numFmtId="0" fontId="4" fillId="5" borderId="12" xfId="0" applyFont="1" applyFill="1" applyBorder="1" applyAlignment="1">
      <alignment horizontal="center" vertical="center"/>
    </xf>
    <xf numFmtId="0" fontId="2" fillId="3" borderId="12" xfId="0" applyFont="1" applyFill="1" applyBorder="1" applyAlignment="1">
      <alignment horizontal="center" vertical="center" wrapText="1"/>
    </xf>
    <xf numFmtId="0" fontId="4" fillId="3" borderId="23" xfId="0" applyFont="1" applyFill="1" applyBorder="1" applyAlignment="1">
      <alignment horizontal="center" vertical="center"/>
    </xf>
    <xf numFmtId="0" fontId="4" fillId="3" borderId="12" xfId="0" applyFont="1" applyFill="1" applyBorder="1" applyAlignment="1">
      <alignment horizontal="center" vertical="center"/>
    </xf>
    <xf numFmtId="0" fontId="2" fillId="5" borderId="1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3" borderId="6" xfId="0" applyFont="1" applyFill="1" applyBorder="1" applyAlignment="1">
      <alignment horizontal="center" vertical="center"/>
    </xf>
    <xf numFmtId="0" fontId="8" fillId="3" borderId="8" xfId="0" applyFont="1" applyFill="1" applyBorder="1" applyAlignment="1">
      <alignment vertical="center"/>
    </xf>
    <xf numFmtId="1" fontId="8" fillId="3" borderId="10" xfId="0" applyNumberFormat="1" applyFont="1" applyFill="1" applyBorder="1" applyAlignment="1">
      <alignment vertical="center"/>
    </xf>
    <xf numFmtId="1" fontId="2" fillId="3" borderId="19" xfId="0" applyNumberFormat="1" applyFont="1" applyFill="1" applyBorder="1" applyAlignment="1">
      <alignment horizontal="center" vertical="center" wrapText="1"/>
    </xf>
    <xf numFmtId="0" fontId="4" fillId="3" borderId="11" xfId="0" applyFont="1" applyFill="1" applyBorder="1"/>
    <xf numFmtId="1" fontId="4" fillId="3" borderId="12" xfId="0" applyNumberFormat="1" applyFont="1" applyFill="1" applyBorder="1" applyAlignment="1">
      <alignment horizontal="center" vertical="center"/>
    </xf>
    <xf numFmtId="49" fontId="4" fillId="0" borderId="0" xfId="0" applyNumberFormat="1" applyFont="1" applyAlignment="1">
      <alignment horizontal="left" vertical="center"/>
    </xf>
    <xf numFmtId="49" fontId="34" fillId="0" borderId="0" xfId="0" applyNumberFormat="1" applyFont="1" applyAlignment="1">
      <alignment wrapText="1"/>
    </xf>
    <xf numFmtId="49" fontId="35" fillId="0" borderId="0" xfId="0" applyNumberFormat="1" applyFont="1" applyAlignment="1">
      <alignment wrapText="1"/>
    </xf>
    <xf numFmtId="49" fontId="0" fillId="0" borderId="0" xfId="0" applyNumberFormat="1"/>
    <xf numFmtId="0" fontId="0" fillId="0" borderId="0" xfId="0" applyAlignment="1">
      <alignment wrapText="1"/>
    </xf>
    <xf numFmtId="0" fontId="22" fillId="0" borderId="0" xfId="0" applyFont="1" applyAlignment="1">
      <alignment vertical="center" wrapText="1"/>
    </xf>
    <xf numFmtId="164" fontId="22" fillId="0" borderId="0" xfId="0" applyNumberFormat="1" applyFont="1" applyAlignment="1">
      <alignment horizontal="center" vertical="center"/>
    </xf>
    <xf numFmtId="2" fontId="22" fillId="0" borderId="0" xfId="0" applyNumberFormat="1" applyFont="1" applyAlignment="1">
      <alignment horizontal="right" vertical="center"/>
    </xf>
    <xf numFmtId="49" fontId="0" fillId="0" borderId="0" xfId="0" applyNumberFormat="1" applyAlignment="1">
      <alignment wrapText="1"/>
    </xf>
    <xf numFmtId="0" fontId="34" fillId="0" borderId="0" xfId="0" applyFont="1" applyAlignment="1">
      <alignment wrapText="1"/>
    </xf>
    <xf numFmtId="0" fontId="5" fillId="9" borderId="12" xfId="0" applyFont="1" applyFill="1" applyBorder="1" applyAlignment="1">
      <alignment horizontal="right" vertical="center"/>
    </xf>
    <xf numFmtId="0" fontId="5" fillId="9" borderId="6" xfId="0" applyFont="1" applyFill="1" applyBorder="1" applyAlignment="1">
      <alignment horizontal="right" vertical="center"/>
    </xf>
    <xf numFmtId="0" fontId="32" fillId="8" borderId="6" xfId="0" applyFont="1" applyFill="1" applyBorder="1" applyAlignment="1">
      <alignment horizontal="right" vertical="center"/>
    </xf>
    <xf numFmtId="0" fontId="32" fillId="8" borderId="11" xfId="0" applyFont="1" applyFill="1" applyBorder="1" applyAlignment="1">
      <alignment horizontal="right" vertical="center"/>
    </xf>
    <xf numFmtId="0" fontId="32" fillId="8" borderId="12" xfId="0" applyFont="1" applyFill="1" applyBorder="1" applyAlignment="1">
      <alignment horizontal="right" vertical="center"/>
    </xf>
    <xf numFmtId="0" fontId="32" fillId="8" borderId="4" xfId="0" applyFont="1" applyFill="1" applyBorder="1" applyAlignment="1">
      <alignment horizontal="right" vertical="center"/>
    </xf>
    <xf numFmtId="0" fontId="5" fillId="12" borderId="25" xfId="0" applyFont="1" applyFill="1" applyBorder="1" applyAlignment="1">
      <alignment horizontal="right" vertical="center"/>
    </xf>
    <xf numFmtId="0" fontId="5" fillId="12" borderId="30" xfId="0" applyFont="1" applyFill="1" applyBorder="1" applyAlignment="1">
      <alignment horizontal="right" vertical="center"/>
    </xf>
    <xf numFmtId="0" fontId="5" fillId="8" borderId="30" xfId="0" applyFont="1" applyFill="1" applyBorder="1" applyAlignment="1">
      <alignment horizontal="right" vertical="center"/>
    </xf>
    <xf numFmtId="0" fontId="6" fillId="3" borderId="30" xfId="0" applyFont="1" applyFill="1" applyBorder="1" applyAlignment="1">
      <alignment horizontal="right" vertical="center"/>
    </xf>
    <xf numFmtId="0" fontId="5" fillId="3" borderId="30" xfId="0" applyFont="1" applyFill="1" applyBorder="1" applyAlignment="1">
      <alignment horizontal="right" vertical="center"/>
    </xf>
    <xf numFmtId="0" fontId="5" fillId="12" borderId="35" xfId="0" applyFont="1" applyFill="1" applyBorder="1" applyAlignment="1">
      <alignment horizontal="right" vertical="center"/>
    </xf>
    <xf numFmtId="0" fontId="5" fillId="8" borderId="46" xfId="0" applyFont="1" applyFill="1" applyBorder="1" applyAlignment="1">
      <alignment horizontal="right" vertical="center"/>
    </xf>
    <xf numFmtId="0" fontId="5" fillId="3" borderId="39" xfId="0" applyFont="1" applyFill="1" applyBorder="1" applyAlignment="1">
      <alignment horizontal="right" vertical="center"/>
    </xf>
    <xf numFmtId="0" fontId="5" fillId="8" borderId="57" xfId="0" applyFont="1" applyFill="1" applyBorder="1" applyAlignment="1">
      <alignment horizontal="right" vertical="center"/>
    </xf>
    <xf numFmtId="0" fontId="5" fillId="3" borderId="57" xfId="0" applyFont="1" applyFill="1" applyBorder="1" applyAlignment="1">
      <alignment horizontal="right" vertical="center"/>
    </xf>
    <xf numFmtId="49" fontId="15" fillId="0" borderId="1" xfId="0" applyNumberFormat="1" applyFont="1" applyBorder="1" applyAlignment="1">
      <alignment horizontal="center"/>
    </xf>
    <xf numFmtId="2" fontId="12" fillId="0" borderId="1" xfId="0" applyNumberFormat="1" applyFont="1" applyBorder="1" applyAlignment="1">
      <alignment horizontal="right"/>
    </xf>
    <xf numFmtId="49" fontId="14" fillId="0" borderId="1" xfId="0" quotePrefix="1" applyNumberFormat="1" applyFont="1" applyBorder="1" applyAlignment="1">
      <alignment horizontal="center"/>
    </xf>
    <xf numFmtId="49" fontId="11" fillId="2" borderId="1" xfId="0" applyNumberFormat="1" applyFont="1" applyFill="1" applyBorder="1" applyAlignment="1">
      <alignment horizontal="center" vertical="center" wrapText="1"/>
    </xf>
    <xf numFmtId="49" fontId="12" fillId="0" borderId="0" xfId="0" applyNumberFormat="1" applyFont="1"/>
    <xf numFmtId="0" fontId="36" fillId="6"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37" fillId="0" borderId="62" xfId="0" applyFont="1" applyBorder="1" applyAlignment="1">
      <alignment horizontal="center" vertical="center"/>
    </xf>
    <xf numFmtId="0" fontId="37" fillId="0" borderId="0" xfId="0" applyFont="1" applyAlignment="1">
      <alignment vertical="center"/>
    </xf>
    <xf numFmtId="0" fontId="37" fillId="0" borderId="63" xfId="0" applyFont="1" applyBorder="1" applyAlignment="1">
      <alignment horizontal="center" vertical="center"/>
    </xf>
    <xf numFmtId="2" fontId="38" fillId="0" borderId="63" xfId="0" applyNumberFormat="1" applyFont="1" applyBorder="1" applyAlignment="1">
      <alignment horizontal="right" vertical="center"/>
    </xf>
    <xf numFmtId="2" fontId="37" fillId="0" borderId="64" xfId="0" applyNumberFormat="1" applyFont="1" applyBorder="1" applyAlignment="1">
      <alignment vertical="center"/>
    </xf>
    <xf numFmtId="1" fontId="37" fillId="0" borderId="63" xfId="0" applyNumberFormat="1" applyFont="1" applyBorder="1" applyAlignment="1">
      <alignment horizontal="center" vertical="center"/>
    </xf>
    <xf numFmtId="0" fontId="37" fillId="0" borderId="65" xfId="0" applyFont="1" applyBorder="1" applyAlignment="1">
      <alignment horizontal="center" vertical="center"/>
    </xf>
    <xf numFmtId="2" fontId="37" fillId="0" borderId="63" xfId="0" applyNumberFormat="1" applyFont="1" applyBorder="1" applyAlignment="1">
      <alignment horizontal="right" vertical="center"/>
    </xf>
    <xf numFmtId="164" fontId="37" fillId="0" borderId="63" xfId="0" applyNumberFormat="1" applyFont="1" applyBorder="1" applyAlignment="1">
      <alignment horizontal="center" vertical="center"/>
    </xf>
    <xf numFmtId="0" fontId="37" fillId="0" borderId="66" xfId="0" applyFont="1" applyBorder="1" applyAlignment="1">
      <alignment horizontal="center" vertical="center"/>
    </xf>
    <xf numFmtId="0" fontId="1" fillId="2" borderId="1" xfId="0" applyFont="1" applyFill="1" applyBorder="1" applyAlignment="1">
      <alignment horizontal="right" vertical="center" wrapText="1"/>
    </xf>
    <xf numFmtId="0" fontId="0" fillId="0" borderId="0" xfId="0" applyAlignment="1">
      <alignment horizontal="right"/>
    </xf>
    <xf numFmtId="0" fontId="7" fillId="0" borderId="0" xfId="0" applyFont="1" applyAlignment="1">
      <alignment horizontal="right" vertical="center"/>
    </xf>
    <xf numFmtId="0" fontId="36" fillId="0" borderId="0" xfId="0" applyFont="1"/>
    <xf numFmtId="0" fontId="39" fillId="0" borderId="62" xfId="0" applyFont="1" applyBorder="1" applyAlignment="1">
      <alignment horizontal="center" vertical="center"/>
    </xf>
    <xf numFmtId="2" fontId="39" fillId="0" borderId="63" xfId="0" applyNumberFormat="1" applyFont="1" applyBorder="1" applyAlignment="1">
      <alignment horizontal="right" vertical="center"/>
    </xf>
    <xf numFmtId="2" fontId="39" fillId="0" borderId="64" xfId="0" applyNumberFormat="1" applyFont="1" applyBorder="1" applyAlignment="1">
      <alignment vertical="center"/>
    </xf>
    <xf numFmtId="0" fontId="36" fillId="0" borderId="0" xfId="0" applyFont="1" applyAlignment="1">
      <alignment horizontal="right"/>
    </xf>
    <xf numFmtId="0" fontId="14" fillId="4" borderId="1" xfId="0" applyFont="1" applyFill="1" applyBorder="1"/>
    <xf numFmtId="49" fontId="40" fillId="0" borderId="67" xfId="0" quotePrefix="1" applyNumberFormat="1" applyFont="1" applyBorder="1" applyAlignment="1">
      <alignment horizontal="center" vertical="center"/>
    </xf>
    <xf numFmtId="1" fontId="37" fillId="0" borderId="67" xfId="0" quotePrefix="1" applyNumberFormat="1" applyFont="1" applyBorder="1" applyAlignment="1">
      <alignment horizontal="center" vertical="center"/>
    </xf>
    <xf numFmtId="49" fontId="37" fillId="0" borderId="67" xfId="0" quotePrefix="1" applyNumberFormat="1" applyFont="1" applyBorder="1" applyAlignment="1">
      <alignment horizontal="center" vertical="center"/>
    </xf>
    <xf numFmtId="1" fontId="37" fillId="0" borderId="67" xfId="0" applyNumberFormat="1" applyFont="1" applyBorder="1" applyAlignment="1">
      <alignment horizontal="center" vertical="center"/>
    </xf>
    <xf numFmtId="1" fontId="22" fillId="0" borderId="67" xfId="0" applyNumberFormat="1" applyFont="1" applyBorder="1" applyAlignment="1">
      <alignment horizontal="center" vertical="center"/>
    </xf>
    <xf numFmtId="0" fontId="22" fillId="0" borderId="67" xfId="0" applyFont="1" applyBorder="1" applyAlignment="1">
      <alignment horizontal="center" vertical="center"/>
    </xf>
    <xf numFmtId="0" fontId="11" fillId="3" borderId="0" xfId="0" applyFont="1" applyFill="1" applyAlignment="1">
      <alignment horizontal="center" vertical="center"/>
    </xf>
    <xf numFmtId="0" fontId="41" fillId="0" borderId="0" xfId="0" applyFont="1"/>
    <xf numFmtId="0" fontId="42" fillId="0" borderId="0" xfId="0" applyFont="1" applyAlignment="1">
      <alignment vertical="center"/>
    </xf>
    <xf numFmtId="0" fontId="42" fillId="0" borderId="0" xfId="0" applyFont="1" applyAlignment="1">
      <alignment horizontal="left"/>
    </xf>
    <xf numFmtId="0" fontId="42" fillId="0" borderId="0" xfId="0" applyFont="1"/>
    <xf numFmtId="0" fontId="41" fillId="0" borderId="0" xfId="0" applyFont="1" applyAlignment="1">
      <alignment vertical="top" wrapText="1"/>
    </xf>
    <xf numFmtId="0" fontId="42" fillId="0" borderId="63" xfId="0" applyFont="1" applyBorder="1" applyAlignment="1">
      <alignment horizontal="center" vertical="center"/>
    </xf>
    <xf numFmtId="0" fontId="42" fillId="0" borderId="0" xfId="0" applyFont="1" applyAlignment="1">
      <alignment horizontal="center"/>
    </xf>
    <xf numFmtId="49" fontId="14" fillId="0" borderId="0" xfId="0" quotePrefix="1" applyNumberFormat="1" applyFont="1" applyAlignment="1">
      <alignment horizontal="center"/>
    </xf>
    <xf numFmtId="0" fontId="8" fillId="3" borderId="25"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5" xfId="0" applyFont="1" applyFill="1" applyBorder="1" applyAlignment="1">
      <alignment horizontal="center" vertical="center"/>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11" fillId="3" borderId="0" xfId="0" applyFont="1" applyFill="1" applyAlignment="1">
      <alignment horizontal="center" vertical="center"/>
    </xf>
    <xf numFmtId="0" fontId="11"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1" fillId="7" borderId="54" xfId="0" applyFont="1" applyFill="1" applyBorder="1" applyAlignment="1">
      <alignment horizontal="center" vertical="center"/>
    </xf>
    <xf numFmtId="0" fontId="1" fillId="7" borderId="55" xfId="0" applyFont="1" applyFill="1" applyBorder="1" applyAlignment="1">
      <alignment horizontal="center" vertical="center"/>
    </xf>
    <xf numFmtId="0" fontId="1" fillId="7" borderId="2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2" xfId="0" applyFont="1" applyFill="1" applyBorder="1" applyAlignment="1">
      <alignment horizontal="center" vertical="center"/>
    </xf>
    <xf numFmtId="0" fontId="33" fillId="0" borderId="26" xfId="0" applyFont="1" applyBorder="1" applyAlignment="1">
      <alignment horizontal="center" vertical="center"/>
    </xf>
    <xf numFmtId="0" fontId="33" fillId="0" borderId="27" xfId="0" applyFont="1" applyBorder="1" applyAlignment="1">
      <alignment horizontal="center" vertical="center"/>
    </xf>
    <xf numFmtId="0" fontId="33" fillId="0" borderId="61" xfId="0" applyFont="1" applyBorder="1" applyAlignment="1">
      <alignment horizontal="center" vertical="center"/>
    </xf>
    <xf numFmtId="0" fontId="33" fillId="0" borderId="41" xfId="0" applyFont="1" applyBorder="1" applyAlignment="1">
      <alignment horizontal="center" vertical="center"/>
    </xf>
    <xf numFmtId="0" fontId="33" fillId="0" borderId="42" xfId="0" applyFont="1" applyBorder="1" applyAlignment="1">
      <alignment horizontal="center" vertical="center"/>
    </xf>
    <xf numFmtId="0" fontId="33" fillId="0" borderId="43" xfId="0" applyFont="1" applyBorder="1" applyAlignment="1">
      <alignment horizontal="center" vertical="center"/>
    </xf>
    <xf numFmtId="0" fontId="29" fillId="3" borderId="8" xfId="0" applyFont="1" applyFill="1" applyBorder="1" applyAlignment="1">
      <alignment horizontal="center" vertical="center"/>
    </xf>
    <xf numFmtId="0" fontId="29" fillId="3" borderId="9" xfId="0" applyFont="1" applyFill="1" applyBorder="1" applyAlignment="1">
      <alignment horizontal="center" vertical="center"/>
    </xf>
    <xf numFmtId="0" fontId="29" fillId="3" borderId="10" xfId="0" applyFont="1" applyFill="1" applyBorder="1" applyAlignment="1">
      <alignment horizontal="center" vertical="center"/>
    </xf>
    <xf numFmtId="0" fontId="29" fillId="6" borderId="8" xfId="0" applyFont="1" applyFill="1" applyBorder="1" applyAlignment="1">
      <alignment horizontal="center" vertical="center"/>
    </xf>
    <xf numFmtId="0" fontId="29" fillId="6" borderId="9" xfId="0" applyFont="1" applyFill="1" applyBorder="1" applyAlignment="1">
      <alignment horizontal="center" vertical="center"/>
    </xf>
    <xf numFmtId="0" fontId="29" fillId="6" borderId="58" xfId="0" applyFont="1" applyFill="1" applyBorder="1" applyAlignment="1">
      <alignment horizontal="center" vertical="center"/>
    </xf>
    <xf numFmtId="0" fontId="5" fillId="3" borderId="46" xfId="0" applyFont="1" applyFill="1" applyBorder="1" applyAlignment="1">
      <alignment horizontal="center" vertical="center"/>
    </xf>
    <xf numFmtId="0" fontId="5" fillId="3" borderId="47" xfId="0" applyFont="1" applyFill="1" applyBorder="1" applyAlignment="1">
      <alignment horizontal="center" vertical="center"/>
    </xf>
    <xf numFmtId="0" fontId="5" fillId="3" borderId="53"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48" xfId="0" applyFont="1" applyFill="1" applyBorder="1" applyAlignment="1">
      <alignment horizontal="center" vertical="center"/>
    </xf>
    <xf numFmtId="0" fontId="5" fillId="3" borderId="58" xfId="0" applyFont="1" applyFill="1" applyBorder="1" applyAlignment="1">
      <alignment horizontal="center" vertical="center"/>
    </xf>
    <xf numFmtId="0" fontId="5" fillId="3" borderId="26" xfId="0" applyFont="1" applyFill="1" applyBorder="1" applyAlignment="1">
      <alignment horizontal="center" vertical="center"/>
    </xf>
    <xf numFmtId="0" fontId="5" fillId="3" borderId="36" xfId="0" applyFont="1" applyFill="1" applyBorder="1" applyAlignment="1">
      <alignment horizontal="center" vertical="center"/>
    </xf>
    <xf numFmtId="0" fontId="5" fillId="3" borderId="41" xfId="0" applyFont="1" applyFill="1" applyBorder="1" applyAlignment="1">
      <alignment horizontal="center" vertical="center"/>
    </xf>
    <xf numFmtId="0" fontId="29" fillId="3" borderId="32"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35" xfId="0" applyFont="1" applyFill="1" applyBorder="1" applyAlignment="1">
      <alignment horizontal="center" vertical="center"/>
    </xf>
    <xf numFmtId="0" fontId="29" fillId="3" borderId="37" xfId="0" applyFont="1" applyFill="1" applyBorder="1" applyAlignment="1">
      <alignment horizontal="center" vertical="center"/>
    </xf>
    <xf numFmtId="0" fontId="29" fillId="3" borderId="39" xfId="0" applyFont="1" applyFill="1" applyBorder="1" applyAlignment="1">
      <alignment horizontal="center" vertical="center"/>
    </xf>
    <xf numFmtId="0" fontId="29" fillId="3" borderId="38" xfId="0" applyFont="1" applyFill="1" applyBorder="1" applyAlignment="1">
      <alignment horizontal="center" vertical="center"/>
    </xf>
    <xf numFmtId="0" fontId="29" fillId="3" borderId="11" xfId="0" applyFont="1" applyFill="1" applyBorder="1" applyAlignment="1">
      <alignment horizontal="center" vertical="center"/>
    </xf>
    <xf numFmtId="0" fontId="29" fillId="3" borderId="1" xfId="0" applyFont="1" applyFill="1" applyBorder="1" applyAlignment="1">
      <alignment horizontal="center" vertical="center"/>
    </xf>
    <xf numFmtId="0" fontId="29" fillId="3" borderId="12" xfId="0" applyFont="1" applyFill="1" applyBorder="1" applyAlignment="1">
      <alignment horizontal="center" vertical="center"/>
    </xf>
    <xf numFmtId="0" fontId="29" fillId="3" borderId="6" xfId="0" applyFont="1" applyFill="1" applyBorder="1" applyAlignment="1">
      <alignment horizontal="center" vertical="center"/>
    </xf>
    <xf numFmtId="0" fontId="29" fillId="3" borderId="2" xfId="0" applyFont="1" applyFill="1" applyBorder="1" applyAlignment="1">
      <alignment horizontal="center" vertical="center"/>
    </xf>
    <xf numFmtId="0" fontId="29" fillId="3" borderId="34" xfId="0" applyFont="1" applyFill="1" applyBorder="1" applyAlignment="1">
      <alignment horizontal="center" vertical="center"/>
    </xf>
    <xf numFmtId="0" fontId="29" fillId="3" borderId="41" xfId="0" applyFont="1" applyFill="1" applyBorder="1" applyAlignment="1">
      <alignment horizontal="center" vertical="center"/>
    </xf>
    <xf numFmtId="0" fontId="29" fillId="3" borderId="42" xfId="0" applyFont="1" applyFill="1" applyBorder="1" applyAlignment="1">
      <alignment horizontal="center" vertical="center"/>
    </xf>
    <xf numFmtId="0" fontId="29" fillId="3" borderId="43" xfId="0" applyFont="1" applyFill="1" applyBorder="1" applyAlignment="1">
      <alignment horizontal="center" vertical="center"/>
    </xf>
    <xf numFmtId="0" fontId="32" fillId="3" borderId="16" xfId="0" applyFont="1" applyFill="1" applyBorder="1" applyAlignment="1">
      <alignment horizontal="center" vertical="center"/>
    </xf>
    <xf numFmtId="0" fontId="32" fillId="3" borderId="17" xfId="0" applyFont="1" applyFill="1" applyBorder="1" applyAlignment="1">
      <alignment horizontal="center" vertical="center"/>
    </xf>
    <xf numFmtId="0" fontId="32" fillId="3" borderId="18" xfId="0" applyFont="1" applyFill="1" applyBorder="1" applyAlignment="1">
      <alignment horizontal="center" vertical="center"/>
    </xf>
    <xf numFmtId="0" fontId="29" fillId="3" borderId="22" xfId="0" applyFont="1" applyFill="1" applyBorder="1" applyAlignment="1">
      <alignment horizontal="center" vertical="center"/>
    </xf>
    <xf numFmtId="0" fontId="29" fillId="3" borderId="3" xfId="0" applyFont="1" applyFill="1" applyBorder="1" applyAlignment="1">
      <alignment horizontal="center" vertical="center"/>
    </xf>
    <xf numFmtId="0" fontId="29" fillId="3" borderId="28" xfId="0" applyFont="1" applyFill="1" applyBorder="1" applyAlignment="1">
      <alignment horizontal="center" vertical="center"/>
    </xf>
    <xf numFmtId="0" fontId="32" fillId="3" borderId="19" xfId="0" applyFont="1" applyFill="1" applyBorder="1" applyAlignment="1">
      <alignment horizontal="center" vertical="center"/>
    </xf>
    <xf numFmtId="0" fontId="32" fillId="3" borderId="49" xfId="0" applyFont="1" applyFill="1" applyBorder="1" applyAlignment="1">
      <alignment horizontal="center" vertical="center"/>
    </xf>
    <xf numFmtId="0" fontId="32" fillId="8" borderId="57" xfId="0" applyFont="1" applyFill="1" applyBorder="1" applyAlignment="1">
      <alignment horizontal="center" vertical="center"/>
    </xf>
    <xf numFmtId="0" fontId="32" fillId="8" borderId="49" xfId="0" applyFont="1" applyFill="1" applyBorder="1" applyAlignment="1">
      <alignment horizontal="center" vertical="center"/>
    </xf>
    <xf numFmtId="0" fontId="32" fillId="8" borderId="18" xfId="0" applyFont="1" applyFill="1" applyBorder="1" applyAlignment="1">
      <alignment horizontal="center" vertical="center"/>
    </xf>
    <xf numFmtId="0" fontId="32" fillId="8" borderId="52" xfId="0" applyFont="1" applyFill="1" applyBorder="1" applyAlignment="1">
      <alignment horizontal="center" vertical="center"/>
    </xf>
    <xf numFmtId="0" fontId="32" fillId="0" borderId="6" xfId="0" applyFont="1" applyBorder="1" applyAlignment="1">
      <alignment horizontal="center" vertical="center"/>
    </xf>
    <xf numFmtId="0" fontId="32" fillId="0" borderId="34" xfId="0" applyFont="1" applyBorder="1" applyAlignment="1">
      <alignment horizontal="center" vertical="center"/>
    </xf>
    <xf numFmtId="0" fontId="5" fillId="15" borderId="30" xfId="0" applyFont="1" applyFill="1" applyBorder="1" applyAlignment="1">
      <alignment horizontal="center" vertical="center"/>
    </xf>
    <xf numFmtId="0" fontId="5" fillId="15" borderId="4" xfId="0" applyFont="1" applyFill="1" applyBorder="1" applyAlignment="1">
      <alignment horizontal="center" vertical="center"/>
    </xf>
    <xf numFmtId="0" fontId="32" fillId="0" borderId="30" xfId="0" applyFont="1" applyBorder="1" applyAlignment="1">
      <alignment horizontal="center" vertical="center"/>
    </xf>
    <xf numFmtId="0" fontId="32" fillId="0" borderId="4" xfId="0" applyFont="1" applyBorder="1" applyAlignment="1">
      <alignment horizontal="center" vertical="center"/>
    </xf>
    <xf numFmtId="0" fontId="29" fillId="6" borderId="14" xfId="0" applyFont="1" applyFill="1" applyBorder="1" applyAlignment="1">
      <alignment horizontal="center" vertical="center"/>
    </xf>
    <xf numFmtId="0" fontId="29" fillId="6" borderId="15" xfId="0" applyFont="1" applyFill="1" applyBorder="1" applyAlignment="1">
      <alignment horizontal="center" vertical="center"/>
    </xf>
    <xf numFmtId="0" fontId="5" fillId="15" borderId="31" xfId="0" applyFont="1" applyFill="1" applyBorder="1" applyAlignment="1">
      <alignment horizontal="center" vertical="center"/>
    </xf>
    <xf numFmtId="0" fontId="5" fillId="15" borderId="37" xfId="0" applyFont="1" applyFill="1" applyBorder="1" applyAlignment="1">
      <alignment horizontal="center" vertical="center"/>
    </xf>
    <xf numFmtId="0" fontId="32" fillId="3" borderId="50" xfId="0" applyFont="1" applyFill="1" applyBorder="1" applyAlignment="1">
      <alignment horizontal="right" vertical="center"/>
    </xf>
    <xf numFmtId="0" fontId="32" fillId="3" borderId="56" xfId="0" applyFont="1" applyFill="1" applyBorder="1" applyAlignment="1">
      <alignment horizontal="right" vertical="center"/>
    </xf>
    <xf numFmtId="0" fontId="4" fillId="0" borderId="0" xfId="0" applyFont="1" applyAlignment="1">
      <alignment horizontal="center" vertical="center"/>
    </xf>
    <xf numFmtId="0" fontId="2" fillId="2" borderId="1" xfId="0" applyFont="1" applyFill="1" applyBorder="1" applyAlignment="1">
      <alignment horizontal="center" vertical="center"/>
    </xf>
    <xf numFmtId="0" fontId="4" fillId="0" borderId="7" xfId="0" applyFont="1" applyBorder="1" applyAlignment="1">
      <alignment horizontal="center" vertical="center"/>
    </xf>
    <xf numFmtId="0" fontId="2" fillId="2" borderId="6"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6" borderId="1" xfId="0" applyFont="1" applyFill="1" applyBorder="1" applyAlignment="1">
      <alignment horizontal="center" vertical="center"/>
    </xf>
  </cellXfs>
  <cellStyles count="7">
    <cellStyle name="Normal" xfId="0" builtinId="0"/>
    <cellStyle name="Normal 2" xfId="2" xr:uid="{050D9BA2-B94D-4D35-BFF3-35455F68689A}"/>
    <cellStyle name="Normal 2 2" xfId="6" xr:uid="{1A7D3BE7-6AAA-4DA9-A246-D6636ABD9444}"/>
    <cellStyle name="Normal 2 3" xfId="5" xr:uid="{F3BFF63A-7AAB-49BE-BA1C-907B1BAC60B6}"/>
    <cellStyle name="Normal 3" xfId="1" xr:uid="{AD0C73BE-5F39-4100-B58E-4C2743097FB5}"/>
    <cellStyle name="Normal 4" xfId="3" xr:uid="{54EC9D0F-39BB-4E9E-9B95-9D57139A9971}"/>
    <cellStyle name="Normal 5" xfId="4" xr:uid="{5148B66B-4E98-4EB7-8EC2-6BC4714C3116}"/>
  </cellStyles>
  <dxfs count="19">
    <dxf>
      <fill>
        <patternFill>
          <bgColor rgb="FFFFC000"/>
        </patternFill>
      </fill>
    </dxf>
    <dxf>
      <fill>
        <patternFill>
          <bgColor rgb="FFFFC000"/>
        </patternFill>
      </fill>
    </dxf>
    <dxf>
      <fill>
        <patternFill>
          <bgColor rgb="FFFFC000"/>
        </patternFill>
      </fill>
    </dxf>
    <dxf>
      <fill>
        <patternFill patternType="solid">
          <bgColor rgb="FFFFC000"/>
        </patternFill>
      </fill>
    </dxf>
    <dxf>
      <fill>
        <patternFill>
          <bgColor rgb="FFFFC000"/>
        </patternFill>
      </fill>
    </dxf>
    <dxf>
      <font>
        <color rgb="FF9C0006"/>
      </font>
      <fill>
        <patternFill>
          <bgColor rgb="FFFFC7CE"/>
        </patternFill>
      </fill>
    </dxf>
    <dxf>
      <font>
        <color rgb="FF006100"/>
      </font>
      <fill>
        <patternFill>
          <bgColor rgb="FFC6EFCE"/>
        </patternFill>
      </fill>
    </dxf>
    <dxf>
      <font>
        <color theme="1"/>
      </font>
      <fill>
        <patternFill>
          <bgColor rgb="FFFFFFCC"/>
        </patternFill>
      </fill>
    </dxf>
    <dxf>
      <fill>
        <patternFill patternType="solid">
          <bgColor rgb="FFFFC000"/>
        </patternFill>
      </fill>
    </dxf>
    <dxf>
      <fill>
        <patternFill>
          <bgColor rgb="FFFFC000"/>
        </patternFill>
      </fill>
    </dxf>
    <dxf>
      <font>
        <color rgb="FF9C0006"/>
      </font>
      <fill>
        <patternFill>
          <bgColor rgb="FFFFC7CE"/>
        </patternFill>
      </fill>
    </dxf>
    <dxf>
      <font>
        <color rgb="FF006100"/>
      </font>
      <fill>
        <patternFill>
          <bgColor rgb="FFC6EFCE"/>
        </patternFill>
      </fill>
    </dxf>
    <dxf>
      <font>
        <color theme="1"/>
      </font>
      <fill>
        <patternFill>
          <bgColor rgb="FFFFFFC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prasath Sekaran" refreshedDate="46204.650214930552" createdVersion="8" refreshedVersion="8" minRefreshableVersion="3" recordCount="495" xr:uid="{0AFFB6B5-3BD7-4D97-ABC3-F5CD9F58A43C}">
  <cacheSource type="worksheet">
    <worksheetSource ref="C3:L498" sheet="Invoice_India"/>
  </cacheSource>
  <cacheFields count="10">
    <cacheField name="CATERGORY" numFmtId="0">
      <sharedItems containsBlank="1" containsMixedTypes="1" containsNumber="1" containsInteger="1" minValue="0" maxValue="0" count="3">
        <m/>
        <n v="0"/>
        <s v="HEALTH MIXES"/>
      </sharedItems>
    </cacheField>
    <cacheField name="PRODUCT NAME" numFmtId="0">
      <sharedItems containsBlank="1" count="215">
        <m/>
        <s v="50-50 BISCUIT 140.6 G "/>
        <s v="50-50 CHEESE DIPPER BISCUIT 150G "/>
        <s v="GOODDAY BUTTER BISCUIT  60G "/>
        <s v="GOODDAY CASHEW BISCUIT 82.7G"/>
        <s v="GOODDAY PISTA BADAM BISCUIT 112.7G "/>
        <s v="DARK FANTASY CHOCOFILLS BISCUIT 69G "/>
        <s v="MALKIST CHEESE BISCUIT 144G"/>
        <s v="MALKIST CHOCOLATE BISCUIT 144G"/>
        <s v="OREO VANILLA BISCUIT 116.9 G "/>
        <s v="HORLICKS PLAIN BISCUIT 150G"/>
        <s v="KODU MILLET (VARAGU) 500G" u="1"/>
        <s v="LITTLE MILLET (SAMAI)500GM" u="1"/>
        <s v="FOXTAIL MILLET (THINAI)500G" u="1"/>
        <s v="PANI VARAGU RICE 500G" u="1"/>
        <s v="BARNYARD MILLET (500GM)" u="1"/>
        <s v="BAJRA RICE 500GM" u="1"/>
        <s v="KATTUYANAM RICE 500G" u="1"/>
        <s v="KARUNKURUVAI  RICE  500G" u="1"/>
        <s v="POONGAR RICE 500G" u="1"/>
        <s v="RICE THOOYAMALLI 500G" u="1"/>
        <s v="RICE KULLAKKAR 500G" u="1"/>
        <s v="MAPPILLAI SAMBA RICE 500G" u="1"/>
        <s v="BAMBOO RICE 200G" u="1"/>
        <s v="SAMBA WHEAT (MEAL) 500G" u="1"/>
        <s v="WHITE JOWAR RAVA 500G" u="1"/>
        <s v="JOWER WHOLE (PRO) 500G" u="1"/>
        <s v="SAMBA RAVA 500G" u="1"/>
        <s v="KILLU ONION VADAGAM 100GM" u="1"/>
        <s v="RICE VADAGAM(SPL) 100GM" u="1"/>
        <s v="WHITE SAGO APPALAM 100G" u="1"/>
        <s v="WHITE SAGO COINS 100G" u="1"/>
        <s v="CHILLY SAGO APPALAM 200GM" u="1"/>
        <s v="GARLIC SAGO COIN 100GM" u="1"/>
        <s v="SAFFOLA MASALA OATS 550G" u="1"/>
        <s v="SAFFOLA MASALA OATS 225G" u="1"/>
        <s v="SAFFOLA MASALA OATS 480G" u="1"/>
        <s v="3 ROSES TEA THUL 250G" u="1"/>
        <s v="CHAKRA GOLD ELAICHI 250G" u="1"/>
        <s v="SCHEZWAN CHUTNEY  250" u="1"/>
        <s v="SAKTHI SAMBAR POWDER 50G" u="1"/>
        <s v="SAKTHI BIRIYANI MASALA 50G" u="1"/>
        <s v="SAKTHI GARAM MASALA 50G" u="1"/>
        <s v="SAKTHI MUTTON MASALA 50G" u="1"/>
        <s v="SAKTHI LEMON RICE POWDER 50G" u="1"/>
        <s v="SAKTHI PULIYOGARE  POWDER 50G" u="1"/>
        <s v="SAKTHI FISH FRY  50G" u="1"/>
        <s v="HALDIRAM SALTED PEANUTS  PAPDI 200G" u="1"/>
        <s v="HALDIRAM SOAN PAPDI - 250G" u="1"/>
        <s v="HALDIRAM KHARI BOONDI - 200G" u="1"/>
        <s v="HALDIRAM MOONG DAL - 200G" u="1"/>
        <s v="KUSURI METHI 100G" u="1"/>
        <s v="SABJI MASALA 100G" u="1"/>
        <s v="COFFEE POWDER 1.3G RS.2.00" u="1"/>
        <s v="NANDI APPALAM 100G" u="1"/>
        <s v="TAMARIND 500G" u="1"/>
        <s v="ASAFOETIDA POWDER 50G" u="1"/>
        <s v="OATS 400G" u="1"/>
        <s v="OATS 1KG" u="1"/>
        <s v="BONVITA 500G " u="1"/>
        <s v="ASSORTED PULIYOTHARA PASTE" u="1"/>
        <s v="PANEER 450G" u="1"/>
        <s v="ORANGE RED POWDER" u="1"/>
        <s v="LEMON YELLOW POWDER" u="1"/>
        <s v="3 ROSES TEA 250G" u="1"/>
        <s v="BRU COFFEE 1.2G" u="1"/>
        <s v="KASHMIRIALA CHILLY POWDER 100G" u="1"/>
        <s v="CHAAT MASALA -100G" u="1"/>
        <s v="GHEE 1LTR" u="1"/>
        <s v="COFFEE 200G " u="1"/>
        <s v="SCHEZWAN CHUTNEY 250G" u="1"/>
        <s v="SCHEZWAN STIRYFRY  250G" u="1"/>
        <s v="NOODLES 140G" u="1"/>
        <s v="CHAKRAGOLD 250G" u="1"/>
        <s v="HONEY 250G" u="1"/>
        <s v="SCHEZWAN KETCHUP " u="1"/>
        <s v="TATA SALT 1 KG " u="1"/>
        <s v="HONEY 500G  EACH 20 PCS" u="1"/>
        <s v="ALMOND " u="1"/>
        <s v="MAKHANA 100G" u="1"/>
        <s v="COFFEE BEANS " u="1"/>
        <s v="POHA 500G " u="1"/>
        <s v="PLASTIC COVER" u="1"/>
        <s v="JAGGERY  (500G X 20)" u="1"/>
        <s v="APPALAM " u="1"/>
        <s v="RUCHI PICKLE " u="1"/>
        <s v="POOJA POWDER (EACH 150PCS)" u="1"/>
        <s v="POOJA PASTE" u="1"/>
        <s v="ASAFOETIDA POWDER 50G 120pc" u="1"/>
        <s v="PANI PURI KIT 133g 20pc" u="1"/>
        <s v="BADAM DRINK MIX 175g 40pc B1G1 " u="1"/>
        <s v="ROYAL GULAB JAMUN 175g 40pcB1G1_x000a_" u="1"/>
        <s v="PAL ADA PAYASAM 175g 20pc" u="1"/>
        <s v="ROYAL BADAMPAYASAM  175g40pcB1G1_x000a__x000a_" u="1"/>
        <s v="HEALTH MIX 200g 40pc B1G1" u="1"/>
        <s v="HEALTH MIX 500g 20pc B1G1" u="1"/>
        <s v="SPECIAL CHILLI POWDER - 500GMS " u="1"/>
        <s v="LEMON PICKLE 200g 30pc B1G1" u="1"/>
        <s v="CUT MANGO PICKLE 200g 30pc B1G1" u="1"/>
        <s v="MANGO THOKKU PICKLE 200g30pcB1G1" u="1"/>
        <s v="MIXED VEG PICKLE 200g 30pc" u="1"/>
        <s v="GARLIC PICKLE 200g 30pc B1G1" u="1"/>
        <s v="BREAD HALWA RTE 250g 20pc B1G1" u="1"/>
        <s v="COFFEE POWDER 1.2G RS.2.00" u="1"/>
        <s v="NAGA GRAM FLOUR 500G (EACH 60PCS )" u="1"/>
        <s v="NAGA RAGI FLOUR 500G (EACH 60PCS )" u="1"/>
        <s v="RAJAM SUKKU COFFEE 200GMS " u="1"/>
        <s v="NOODLES 72.6G" u="1"/>
        <s v="NOODLES 70G" u="1"/>
        <s v="BLACK KAVUNI  - 1KG" u="1"/>
        <s v="SAMAI - 500G_x000a_" u="1"/>
        <s v="KUTHIRAIVAALI - 500G_x000a_" u="1"/>
        <s v="VARAGU - 500G_x000a_" u="1"/>
        <s v="THINAI - 500G" u="1"/>
        <s v="COFFEE POWDER 500G" u="1"/>
        <s v="SCHZWAN CHUNTEY 250G" u="1"/>
        <s v="KRISHNA HEALTH MIX 200G" u="1"/>
        <s v="RUCHI PICKLE 300G" u="1"/>
        <s v="GHEE - 1 LTR" u="1"/>
        <s v="FORTUNE MUSTARD OIL 1 LTR " u="1"/>
        <s v="FORTUNE MUSTARD OIL 500 ML" u="1"/>
        <s v="PORI " u="1"/>
        <s v="DRY FRUIT 500GM" u="1"/>
        <s v="MTR VELMICELLI 850G" u="1"/>
        <s v="PAV BHAJI MASALA ZIPPER -100G" u="1"/>
        <s v="PANI PURI -100G" u="1"/>
        <s v="TANDOORI CHICKEN MASALA ZIPPER 100G" u="1"/>
        <s v="KITCHEN KING MASALA ZIPPER -100G" u="1"/>
        <s v="GARAM MASALA ZIPPER -100G" u="1"/>
        <s v="PANEER MASALA ZIPPER 100G" u="1"/>
        <s v="JALJIRA -100G" u="1"/>
        <s v="SUPER SAMBHAR 100G" u="1"/>
        <s v="KASURI METHI -25G" u="1"/>
        <s v="BIRYANI MASALA -50G" u="1"/>
        <s v="CHICKEN 65 KABAB - 50G" u="1"/>
        <s v="KASHMIRILAL CHILLY- 100G" u="1"/>
        <s v="CHHOLE MASALA ZIPPER - 100G" u="1"/>
        <s v="SABJI MASALA ZIPPER 100G" u="1"/>
        <s v="MEAT MASALA -100G" u="1"/>
        <s v="EGG CURRY MASALA -50G" u="1"/>
        <s v="RAJMA MASALA 100G" u="1"/>
        <s v="CHICKEN MASALA" u="1"/>
        <s v="HONEY 1KG " u="1"/>
        <s v="HONEY 500G  " u="1"/>
        <s v="HONEY 250G " u="1"/>
        <s v="HONEY 100G " u="1"/>
        <s v="SAKTHI CHICKEN MASALA 50G" u="1"/>
        <s v="SAKTHI RASAM POWDER 50G" u="1"/>
        <s v="SAKTHI CURRY MASAL POWDER 50" u="1"/>
        <s v="JAGGERY 500G X 20PKT" u="1"/>
        <s v="APPALAM 100G (EACH 150 PCS)" u="1"/>
        <s v="APPALAM 200G (EACH 75 PCS)" u="1"/>
        <s v="APPALAM 50G (EACH 300 PCS)" u="1"/>
        <s v="GHEE 1 LTR " u="1"/>
        <s v="GHEE 500ML" u="1"/>
        <s v="GHEE 100ML" u="1"/>
        <s v="GHEE 200ML" u="1"/>
        <s v="MANIMARK COCONUT LADDU 80G" u="1"/>
        <s v="MANIMARK PEANUT BALLS 100G" u="1"/>
        <s v="MANIMARK WHITE SESAME BALLS 60G" u="1"/>
        <s v="MANIMARK SLICED PEANUT BURFI 200G" u="1"/>
        <s v="MANIMARK PEANUT BURFI 100G" u="1"/>
        <s v="MANIMARK PEANU BURFI CUTTING 150G" u="1"/>
        <s v="MANIMARK ENERGY LADDU 140G" u="1"/>
        <s v="MANIMARK BIRTHDAY PEANUT BURFI BOX 220G" u="1"/>
        <s v="MANIMARK PEANUT BURFI 135 G" u="1"/>
        <s v="MANIMARK SLICED PEANUT BURFI 200 G" u="1"/>
        <s v="MANIMARK ANDHRA MURUKKU 125 G" u="1"/>
        <s v="MANIMARK FINE PEANUT BADAM BURFI 100G" u="1"/>
        <s v="MANIMARK MIXTURE 125 G" u="1"/>
        <s v="MANIMARK PEANUT BURFI CUTTING 150G" u="1"/>
        <s v="MANIMARK PEANUT BALLS 60G" u="1"/>
        <s v="ALL IN ONE  200G" u="1"/>
        <s v="ALLO BHUJIA  200G" u="1"/>
        <s v="BANANA CHIPS - BLACKPEPPER 160G" u="1"/>
        <s v="BHELPURI 270G" u="1"/>
        <s v="BHUJIA SEV  200G" u="1"/>
        <s v="SOYA STICKS  200G" u="1"/>
        <s v="TASTY NUTS  200G" u="1"/>
        <s v="YELLOW BANANA CHIPS  ROCKSALT 160G" u="1"/>
        <s v="BIKANERI BHUJIA 150G" u="1"/>
        <s v="KARODPATI BHUJAI 125G" u="1"/>
        <s v="MARWARI BHUJIA 125G" u="1"/>
        <s v="BOONDI BHUJIA 150G" u="1"/>
        <s v="RETORT PANEER MAKHANI 300G" u="1"/>
        <s v="ROTORT PANEER TIKKA MASALA 300G" u="1"/>
        <s v="CHANA JOR GARAM  200G" u="1"/>
        <s v="CHANA NUTS  200G" u="1"/>
        <s v="CORNFLAKES MIXTURE 200G" u="1"/>
        <s v="DAL BIJI 200G" u="1"/>
        <s v="DRY FRUIT MIX 200G" u="1"/>
        <s v="FARALI CHIWDA  200G" u="1"/>
        <s v="FATAFAT BHEL 100G" u="1"/>
        <s v="FINE SEV 150G" u="1"/>
        <s v="GATHIYA 200G" u="1"/>
        <s v="GOL KACHORI  200G" u="1"/>
        <s v="GOLDEN MIX  200G" u="1"/>
        <s v="GULAB JAMUN 100G" u="1"/>
        <s v="KHARI  BOONDI  200G" u="1"/>
        <s v="KHATTA MEETHA  200G" u="1"/>
        <s v="LITE CHIWDA 200G" u="1"/>
        <s v="MINI BHAKARWADI 200G" u="1"/>
        <s v="MINI SAMOSA 200G" u="1"/>
        <s v="MIXTURE 200G" u="1"/>
        <s v="NAVRATAN MIX 200G" u="1"/>
        <s v="PANCHRATAN MIX 200G" u="1"/>
        <s v="PAPAD CHAVANU 200G" u="1"/>
        <s v="PUNJABI TADKA 200G" u="1"/>
        <s v="RATLAMI SEV 200G" u="1"/>
        <s v="MURUKKU 200G" u="1"/>
        <s v="OATS 1 KG" u="1"/>
        <s v="JUNIOR HORLICKS 500G" u="1"/>
        <s v="WOMEN HORLICKS 400G" u="1"/>
        <s v="CHINGS SCHEZWAN CHUTNEY 590G" u="1"/>
        <s v="NOODLES 420G" u="1"/>
      </sharedItems>
    </cacheField>
    <cacheField name="HSN CODE" numFmtId="0">
      <sharedItems containsBlank="1"/>
    </cacheField>
    <cacheField name="QUANTITY" numFmtId="0">
      <sharedItems containsBlank="1" containsMixedTypes="1" containsNumber="1" containsInteger="1" minValue="240" maxValue="2400"/>
    </cacheField>
    <cacheField name="Field5" caption="Field5" numFmtId="0">
      <sharedItems containsBlank="1"/>
    </cacheField>
    <cacheField name="AMOUNT IN USD" numFmtId="0">
      <sharedItems containsMixedTypes="1" containsNumber="1" minValue="0.09" maxValue="0.44"/>
    </cacheField>
    <cacheField name="TOTAL AMOUNT IN USD" numFmtId="0">
      <sharedItems containsMixedTypes="1" containsNumber="1" minValue="40.5" maxValue="768"/>
    </cacheField>
    <cacheField name="KGS" numFmtId="0">
      <sharedItems containsBlank="1" containsMixedTypes="1" containsNumber="1" minValue="27" maxValue="165.6"/>
    </cacheField>
    <cacheField name="C_INV_AMT IN USD" numFmtId="0">
      <sharedItems containsBlank="1" containsMixedTypes="1" containsNumber="1" minValue="2.3E-2" maxValue="0.113"/>
    </cacheField>
    <cacheField name="C_TOTALL AMT IN USD" numFmtId="0">
      <sharedItems containsBlank="1" containsMixedTypes="1" containsNumber="1" minValue="10.35" maxValue="196.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
  <r>
    <x v="0"/>
    <x v="0"/>
    <m/>
    <m/>
    <m/>
    <s v=""/>
    <s v=""/>
    <m/>
    <m/>
    <m/>
  </r>
  <r>
    <x v="1"/>
    <x v="1"/>
    <s v="19053100"/>
    <n v="400"/>
    <s v="PCS"/>
    <n v="0.22"/>
    <n v="88"/>
    <n v="56.239999999999995"/>
    <n v="5.7000000000000002E-2"/>
    <n v="22.8"/>
  </r>
  <r>
    <x v="1"/>
    <x v="2"/>
    <s v="19053100"/>
    <n v="600"/>
    <s v="PCS"/>
    <n v="0.44"/>
    <n v="264"/>
    <n v="90"/>
    <n v="0.113"/>
    <n v="67.8"/>
  </r>
  <r>
    <x v="1"/>
    <x v="3"/>
    <s v="19053100"/>
    <n v="450"/>
    <s v="PCS"/>
    <n v="0.09"/>
    <n v="40.5"/>
    <n v="27"/>
    <n v="2.3E-2"/>
    <n v="10.35"/>
  </r>
  <r>
    <x v="1"/>
    <x v="4"/>
    <s v="19053100"/>
    <n v="1200"/>
    <s v="PCS"/>
    <n v="0.18"/>
    <n v="216"/>
    <n v="99.24"/>
    <n v="4.5999999999999999E-2"/>
    <n v="55.199999999999996"/>
  </r>
  <r>
    <x v="1"/>
    <x v="5"/>
    <s v="19053100"/>
    <n v="1200"/>
    <s v="PCS"/>
    <n v="0.22"/>
    <n v="264"/>
    <n v="135.23999999999998"/>
    <n v="5.7000000000000002E-2"/>
    <n v="68.400000000000006"/>
  </r>
  <r>
    <x v="1"/>
    <x v="6"/>
    <s v="19053100"/>
    <n v="2400"/>
    <s v="PCS"/>
    <n v="0.32"/>
    <n v="768"/>
    <n v="165.6"/>
    <n v="8.2000000000000003E-2"/>
    <n v="196.8"/>
  </r>
  <r>
    <x v="2"/>
    <x v="7"/>
    <s v="19053100"/>
    <n v="300"/>
    <s v="PCS"/>
    <n v="0.36"/>
    <n v="108"/>
    <n v="43.2"/>
    <n v="9.2999999999999999E-2"/>
    <n v="27.9"/>
  </r>
  <r>
    <x v="2"/>
    <x v="8"/>
    <s v="19053100"/>
    <n v="300"/>
    <s v="PCS"/>
    <n v="0.36"/>
    <n v="108"/>
    <n v="43.2"/>
    <n v="9.2999999999999999E-2"/>
    <n v="27.9"/>
  </r>
  <r>
    <x v="1"/>
    <x v="9"/>
    <s v="19053100"/>
    <n v="480"/>
    <s v="PCS"/>
    <n v="0.28000000000000003"/>
    <n v="134.4"/>
    <n v="56.112000000000002"/>
    <n v="7.1999999999999995E-2"/>
    <n v="34.559999999999995"/>
  </r>
  <r>
    <x v="1"/>
    <x v="10"/>
    <s v="19053100"/>
    <n v="240"/>
    <s v="PCS"/>
    <n v="0.18"/>
    <n v="43.2"/>
    <n v="36"/>
    <n v="4.5999999999999999E-2"/>
    <n v="11.04"/>
  </r>
  <r>
    <x v="0"/>
    <x v="0"/>
    <m/>
    <s v=""/>
    <s v="PCS"/>
    <s v=""/>
    <s v=""/>
    <s v=""/>
    <s v=""/>
    <s v=""/>
  </r>
  <r>
    <x v="0"/>
    <x v="0"/>
    <m/>
    <s v=""/>
    <s v="PCS"/>
    <s v=""/>
    <s v=""/>
    <s v=""/>
    <s v=""/>
    <s v=""/>
  </r>
  <r>
    <x v="0"/>
    <x v="0"/>
    <m/>
    <s v=""/>
    <s v="PCS"/>
    <s v=""/>
    <s v=""/>
    <s v=""/>
    <s v=""/>
    <s v=""/>
  </r>
  <r>
    <x v="0"/>
    <x v="0"/>
    <m/>
    <s v=""/>
    <s v="PCS"/>
    <s v=""/>
    <s v=""/>
    <s v=""/>
    <s v=""/>
    <s v=""/>
  </r>
  <r>
    <x v="0"/>
    <x v="0"/>
    <m/>
    <s v=""/>
    <s v="PCS"/>
    <s v=""/>
    <s v=""/>
    <s v=""/>
    <s v=""/>
    <s v=""/>
  </r>
  <r>
    <x v="0"/>
    <x v="0"/>
    <m/>
    <s v=""/>
    <s v="KG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s v="PCS"/>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r>
    <x v="0"/>
    <x v="0"/>
    <m/>
    <s v=""/>
    <m/>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E5892-C8C6-425B-BCC1-EE625175AC6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15" firstHeaderRow="0" firstDataRow="1" firstDataCol="1"/>
  <pivotFields count="10">
    <pivotField axis="axisRow" showAll="0">
      <items count="4">
        <item x="1"/>
        <item sd="0" x="0"/>
        <item x="2"/>
        <item t="default"/>
      </items>
    </pivotField>
    <pivotField axis="axisRow" showAll="0">
      <items count="216">
        <item m="1" x="172"/>
        <item m="1" x="173"/>
        <item m="1" x="150"/>
        <item m="1" x="151"/>
        <item m="1" x="152"/>
        <item m="1" x="88"/>
        <item m="1" x="90"/>
        <item m="1" x="174"/>
        <item m="1" x="175"/>
        <item m="1" x="176"/>
        <item m="1" x="180"/>
        <item m="1" x="133"/>
        <item m="1" x="109"/>
        <item m="1" x="183"/>
        <item m="1" x="102"/>
        <item m="1" x="67"/>
        <item m="1" x="186"/>
        <item m="1" x="187"/>
        <item m="1" x="136"/>
        <item m="1" x="134"/>
        <item m="1" x="141"/>
        <item m="1" x="213"/>
        <item m="1" x="103"/>
        <item m="1" x="114"/>
        <item m="1" x="188"/>
        <item m="1" x="98"/>
        <item m="1" x="189"/>
        <item m="1" x="122"/>
        <item m="1" x="190"/>
        <item m="1" x="139"/>
        <item m="1" x="191"/>
        <item m="1" x="192"/>
        <item m="1" x="193"/>
        <item m="1" x="119"/>
        <item m="1" x="120"/>
        <item m="1" x="128"/>
        <item m="1" x="101"/>
        <item m="1" x="194"/>
        <item m="1" x="118"/>
        <item m="1" x="153"/>
        <item m="1" x="155"/>
        <item m="1" x="156"/>
        <item m="1" x="154"/>
        <item m="1" x="195"/>
        <item m="1" x="196"/>
        <item m="1" x="197"/>
        <item m="1" x="94"/>
        <item m="1" x="95"/>
        <item m="1" x="145"/>
        <item m="1" x="142"/>
        <item m="1" x="144"/>
        <item m="1" x="143"/>
        <item m="1" x="149"/>
        <item m="1" x="130"/>
        <item m="1" x="211"/>
        <item m="1" x="181"/>
        <item m="1" x="135"/>
        <item m="1" x="132"/>
        <item m="1" x="198"/>
        <item m="1" x="199"/>
        <item m="1" x="127"/>
        <item m="1" x="116"/>
        <item m="1" x="111"/>
        <item m="1" x="97"/>
        <item m="1" x="200"/>
        <item m="1" x="99"/>
        <item m="1" x="167"/>
        <item m="1" x="164"/>
        <item m="1" x="157"/>
        <item m="1" x="163"/>
        <item m="1" x="168"/>
        <item m="1" x="169"/>
        <item m="1" x="162"/>
        <item m="1" x="158"/>
        <item m="1" x="171"/>
        <item m="1" x="161"/>
        <item m="1" x="165"/>
        <item m="1" x="170"/>
        <item m="1" x="166"/>
        <item m="1" x="160"/>
        <item m="1" x="159"/>
        <item m="1" x="182"/>
        <item m="1" x="138"/>
        <item m="1" x="201"/>
        <item m="1" x="202"/>
        <item m="1" x="100"/>
        <item m="1" x="203"/>
        <item m="1" x="123"/>
        <item m="1" x="209"/>
        <item m="1" x="104"/>
        <item m="1" x="105"/>
        <item m="1" x="204"/>
        <item m="1" x="72"/>
        <item m="1" x="214"/>
        <item m="1" x="108"/>
        <item m="1" x="107"/>
        <item m="1" x="210"/>
        <item m="1" x="92"/>
        <item m="1" x="205"/>
        <item m="1" x="129"/>
        <item m="1" x="125"/>
        <item m="1" x="89"/>
        <item m="1" x="206"/>
        <item m="1" x="124"/>
        <item m="1" x="121"/>
        <item m="1" x="207"/>
        <item m="1" x="106"/>
        <item m="1" x="140"/>
        <item m="1" x="208"/>
        <item m="1" x="184"/>
        <item m="1" x="185"/>
        <item m="1" x="93"/>
        <item m="1" x="91"/>
        <item m="1" x="117"/>
        <item m="1" x="137"/>
        <item m="1" x="146"/>
        <item m="1" x="148"/>
        <item m="1" x="147"/>
        <item m="1" x="110"/>
        <item m="1" x="115"/>
        <item m="1" x="177"/>
        <item m="1" x="96"/>
        <item m="1" x="131"/>
        <item m="1" x="126"/>
        <item m="1" x="178"/>
        <item m="1" x="113"/>
        <item m="1" x="112"/>
        <item m="1" x="212"/>
        <item m="1" x="179"/>
        <item x="0"/>
        <item m="1" x="61"/>
        <item m="1" x="62"/>
        <item m="1" x="63"/>
        <item m="1" x="64"/>
        <item m="1" x="65"/>
        <item m="1" x="66"/>
        <item m="1" x="68"/>
        <item m="1" x="69"/>
        <item m="1" x="70"/>
        <item m="1" x="71"/>
        <item m="1" x="73"/>
        <item m="1" x="74"/>
        <item m="1" x="75"/>
        <item m="1" x="76"/>
        <item m="1" x="77"/>
        <item m="1" x="78"/>
        <item m="1" x="57"/>
        <item m="1" x="79"/>
        <item m="1" x="80"/>
        <item m="1" x="81"/>
        <item m="1" x="82"/>
        <item m="1" x="83"/>
        <item m="1" x="84"/>
        <item m="1" x="85"/>
        <item m="1" x="86"/>
        <item m="1" x="87"/>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8"/>
        <item m="1" x="59"/>
        <item m="1" x="60"/>
        <item x="1"/>
        <item x="2"/>
        <item x="3"/>
        <item x="4"/>
        <item x="5"/>
        <item x="6"/>
        <item x="7"/>
        <item x="8"/>
        <item x="9"/>
        <item x="10"/>
        <item t="default"/>
      </items>
    </pivotField>
    <pivotField dataField="1" showAll="0"/>
    <pivotField dataField="1" showAll="0"/>
    <pivotField showAll="0"/>
    <pivotField showAll="0"/>
    <pivotField dataField="1" showAll="0"/>
    <pivotField dataField="1" showAll="0"/>
    <pivotField showAll="0"/>
    <pivotField dataField="1" showAll="0"/>
  </pivotFields>
  <rowFields count="2">
    <field x="0"/>
    <field x="1"/>
  </rowFields>
  <rowItems count="14">
    <i>
      <x/>
    </i>
    <i r="1">
      <x v="205"/>
    </i>
    <i r="1">
      <x v="206"/>
    </i>
    <i r="1">
      <x v="207"/>
    </i>
    <i r="1">
      <x v="208"/>
    </i>
    <i r="1">
      <x v="209"/>
    </i>
    <i r="1">
      <x v="210"/>
    </i>
    <i r="1">
      <x v="213"/>
    </i>
    <i r="1">
      <x v="214"/>
    </i>
    <i>
      <x v="1"/>
    </i>
    <i>
      <x v="2"/>
    </i>
    <i r="1">
      <x v="211"/>
    </i>
    <i r="1">
      <x v="212"/>
    </i>
    <i t="grand">
      <x/>
    </i>
  </rowItems>
  <colFields count="1">
    <field x="-2"/>
  </colFields>
  <colItems count="5">
    <i>
      <x/>
    </i>
    <i i="1">
      <x v="1"/>
    </i>
    <i i="2">
      <x v="2"/>
    </i>
    <i i="3">
      <x v="3"/>
    </i>
    <i i="4">
      <x v="4"/>
    </i>
  </colItems>
  <dataFields count="5">
    <dataField name="Count of HSN CODE" fld="2" subtotal="count" baseField="0" baseItem="0"/>
    <dataField name="Sum of TOTAL AMOUNT IN USD" fld="6" baseField="1" baseItem="21"/>
    <dataField name="Sum of QUANTITY" fld="3" baseField="1" baseItem="52"/>
    <dataField name="Sum of KGS" fld="7" baseField="0" baseItem="0"/>
    <dataField name="Sum of C_TOTALL AMT IN USD" fld="9" baseField="1" baseItem="9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4D6EA-7CF8-4958-9D25-FFC846F541EC}">
  <dimension ref="A1:AZ75"/>
  <sheetViews>
    <sheetView topLeftCell="X1" zoomScaleNormal="100" workbookViewId="0">
      <pane ySplit="1" topLeftCell="A2" activePane="bottomLeft" state="frozen"/>
      <selection pane="bottomLeft" activeCell="AZ3" sqref="AZ3"/>
    </sheetView>
  </sheetViews>
  <sheetFormatPr defaultRowHeight="15" x14ac:dyDescent="0.25"/>
  <cols>
    <col min="1" max="1" width="10.140625" style="37" bestFit="1" customWidth="1"/>
    <col min="2" max="2" width="46" style="38" bestFit="1" customWidth="1"/>
    <col min="3" max="3" width="9.85546875" style="38" customWidth="1"/>
    <col min="4" max="4" width="9.28515625" style="46" bestFit="1" customWidth="1"/>
    <col min="5" max="5" width="8.7109375" style="46" customWidth="1"/>
    <col min="6" max="6" width="9.140625" style="42"/>
    <col min="7" max="7" width="8" style="47" customWidth="1"/>
    <col min="8" max="8" width="12.42578125" style="47" bestFit="1" customWidth="1"/>
    <col min="9" max="9" width="8" style="39" customWidth="1"/>
    <col min="10" max="10" width="13.140625" style="39" bestFit="1" customWidth="1"/>
    <col min="11" max="11" width="10.42578125" style="39" bestFit="1" customWidth="1"/>
    <col min="12" max="13" width="10.42578125" style="39" customWidth="1"/>
    <col min="14" max="14" width="9.140625" style="39"/>
    <col min="15" max="15" width="9.140625" style="82"/>
    <col min="16" max="42" width="9.140625" style="39"/>
  </cols>
  <sheetData>
    <row r="1" spans="1:52" s="1" customFormat="1" ht="31.5" customHeight="1" thickBot="1" x14ac:dyDescent="0.3">
      <c r="A1" s="58" t="s">
        <v>58</v>
      </c>
      <c r="B1" s="59"/>
      <c r="C1" s="59" t="s">
        <v>208</v>
      </c>
      <c r="D1" s="59" t="s">
        <v>130</v>
      </c>
      <c r="E1" s="60" t="s">
        <v>59</v>
      </c>
      <c r="F1" s="60" t="s">
        <v>134</v>
      </c>
      <c r="G1" s="60" t="s">
        <v>131</v>
      </c>
      <c r="H1" s="60" t="s">
        <v>132</v>
      </c>
      <c r="I1" s="61" t="s">
        <v>141</v>
      </c>
      <c r="J1" s="61" t="s">
        <v>183</v>
      </c>
      <c r="K1" s="62" t="s">
        <v>143</v>
      </c>
      <c r="L1" s="62" t="s">
        <v>142</v>
      </c>
      <c r="M1" s="62" t="s">
        <v>503</v>
      </c>
      <c r="N1" s="60" t="s">
        <v>118</v>
      </c>
      <c r="O1" s="80" t="s">
        <v>200</v>
      </c>
      <c r="P1" s="63" t="s">
        <v>119</v>
      </c>
      <c r="Q1" s="63" t="s">
        <v>135</v>
      </c>
      <c r="R1" s="63" t="s">
        <v>120</v>
      </c>
      <c r="S1" s="63" t="s">
        <v>136</v>
      </c>
      <c r="T1" s="63" t="s">
        <v>137</v>
      </c>
      <c r="U1" s="63" t="s">
        <v>138</v>
      </c>
      <c r="V1" s="63" t="s">
        <v>139</v>
      </c>
      <c r="W1" s="63" t="s">
        <v>140</v>
      </c>
      <c r="X1" s="63" t="s">
        <v>121</v>
      </c>
      <c r="Y1" s="64" t="s">
        <v>119</v>
      </c>
      <c r="Z1" s="64" t="s">
        <v>135</v>
      </c>
      <c r="AA1" s="64" t="s">
        <v>120</v>
      </c>
      <c r="AB1" s="64" t="s">
        <v>136</v>
      </c>
      <c r="AC1" s="64" t="s">
        <v>137</v>
      </c>
      <c r="AD1" s="64" t="s">
        <v>138</v>
      </c>
      <c r="AE1" s="64" t="s">
        <v>139</v>
      </c>
      <c r="AF1" s="64" t="s">
        <v>140</v>
      </c>
      <c r="AG1" s="64" t="s">
        <v>121</v>
      </c>
      <c r="AH1" s="65" t="s">
        <v>119</v>
      </c>
      <c r="AI1" s="65" t="s">
        <v>135</v>
      </c>
      <c r="AJ1" s="65" t="s">
        <v>120</v>
      </c>
      <c r="AK1" s="65" t="s">
        <v>136</v>
      </c>
      <c r="AL1" s="65" t="s">
        <v>137</v>
      </c>
      <c r="AM1" s="65" t="s">
        <v>138</v>
      </c>
      <c r="AN1" s="65" t="s">
        <v>139</v>
      </c>
      <c r="AO1" s="65" t="s">
        <v>140</v>
      </c>
      <c r="AP1" s="66" t="s">
        <v>121</v>
      </c>
      <c r="AQ1" s="110" t="s">
        <v>119</v>
      </c>
      <c r="AR1" s="110" t="s">
        <v>135</v>
      </c>
      <c r="AS1" s="110" t="s">
        <v>120</v>
      </c>
      <c r="AT1" s="110" t="s">
        <v>136</v>
      </c>
      <c r="AU1" s="110" t="s">
        <v>137</v>
      </c>
      <c r="AV1" s="110" t="s">
        <v>138</v>
      </c>
      <c r="AW1" s="110" t="s">
        <v>139</v>
      </c>
      <c r="AX1" s="110" t="s">
        <v>140</v>
      </c>
      <c r="AY1" s="111" t="s">
        <v>121</v>
      </c>
    </row>
    <row r="2" spans="1:52" x14ac:dyDescent="0.25">
      <c r="A2" s="50" t="s">
        <v>67</v>
      </c>
      <c r="B2" s="51" t="s">
        <v>123</v>
      </c>
      <c r="C2" s="51" t="s">
        <v>170</v>
      </c>
      <c r="D2" s="52" t="s">
        <v>130</v>
      </c>
      <c r="E2" s="43">
        <f t="shared" ref="E2:E65" si="0">IF(D2="SCL",G2,H2)</f>
        <v>2000</v>
      </c>
      <c r="F2" s="67"/>
      <c r="G2" s="53">
        <v>2000</v>
      </c>
      <c r="H2" s="53">
        <f t="shared" ref="H2:H65" si="1">ROUND(I2,0)</f>
        <v>1933</v>
      </c>
      <c r="I2" s="40">
        <f t="shared" ref="I2:I65" si="2">IF(AND(L2&lt;&gt;"",L2&lt;&gt;0),ROUND(J2/L2,0),0)</f>
        <v>1933</v>
      </c>
      <c r="J2" s="40">
        <f t="shared" ref="J2:J65" si="3">IF(C2="SG",ROUND((P2+Q2+R2+T2+V2+W2+X2),0),ROUND((P2+Q2+R2+S2+U2+W2+X2),0))</f>
        <v>730800</v>
      </c>
      <c r="K2" s="54">
        <f>SUMIF(ProductList!$F$4:$F$493,A2,ProductList!$BA$4:$BA$493)</f>
        <v>1119892</v>
      </c>
      <c r="L2" s="54">
        <f>SUMIF(ProductList!$F$4:$F$493,A2,ProductList!$V$4:$V$493)</f>
        <v>378</v>
      </c>
      <c r="M2" s="54">
        <f>SUMIF(ProductList!$F$4:$F$493,A2,ProductList!$K$4:$K$493)</f>
        <v>0</v>
      </c>
      <c r="N2" s="55" t="s">
        <v>79</v>
      </c>
      <c r="O2" s="81">
        <f t="shared" ref="O2:O65" si="4">IF(D2="SCL",100,AZ2)</f>
        <v>100</v>
      </c>
      <c r="P2" s="56">
        <f t="shared" ref="P2:P65" si="5">IF((K2*Y2)&gt;(L2*AH2),(K2*Y2),(L2*AH2))</f>
        <v>0</v>
      </c>
      <c r="Q2" s="56">
        <f t="shared" ref="Q2:Q65" si="6">IF((K2*Z2)&gt;(L2*AI2),(K2*Z2),(L2*AI2))</f>
        <v>264600</v>
      </c>
      <c r="R2" s="56">
        <f t="shared" ref="R2:R65" si="7">IF(C2="SG",
    IF(((K2*1.1+P2+Q2+T2+V2)*AA2)&gt;(L2*AJ2),
       (K2*1.1+P2+Q2+T2+V2)*AA2,
       L2*AJ2),
    IF(((K2*1.1+P2+Q2+S2+U2)*AA2)&gt;(L2*AJ2),
       (K2*1.1+P2+Q2+S2+U2)*AA2,
       L2*AJ2)
)</f>
        <v>293180.61600000004</v>
      </c>
      <c r="S2" s="56">
        <f t="shared" ref="S2:S65" si="8">IF((K2*AB2)&gt;(L2*AK2),(K2*AB2),(L2*AK2))</f>
        <v>0</v>
      </c>
      <c r="T2" s="56">
        <f t="shared" ref="T2:T65" si="9">IF((K2*AC2)&gt;(L2*AL2),(K2*AC2),(L2*AL2))</f>
        <v>0</v>
      </c>
      <c r="U2" s="56">
        <f t="shared" ref="U2:U65" si="10">IF((K2*AD2)&gt;(L2*AM2),(K2*AD2),(L2*AM2))</f>
        <v>132300</v>
      </c>
      <c r="V2" s="56">
        <f t="shared" ref="V2:V65" si="11">IF((K2*AE2)&gt;(L2*AN2),(K2*AE2),(L2*AN2))</f>
        <v>0</v>
      </c>
      <c r="W2" s="56">
        <f t="shared" ref="W2:W65" si="12">IF((K2*AF2)&gt;(L2*AO2),(K2*AF2),(L2*AO2))</f>
        <v>0</v>
      </c>
      <c r="X2" s="56">
        <f t="shared" ref="X2:X65" si="13">IF((((K2)*1.1+P2+Q2+S2+T2+U2+V2)*AG2)&gt;(L2*AP2),(((K2)*1.1+P2+Q2+S2+T2+U2+V2)*AG2),(L2*AP2))</f>
        <v>40719.530000000006</v>
      </c>
      <c r="Y2" s="57"/>
      <c r="Z2" s="57">
        <v>0.2</v>
      </c>
      <c r="AA2" s="57">
        <v>0.18</v>
      </c>
      <c r="AB2" s="57"/>
      <c r="AC2" s="57"/>
      <c r="AD2" s="57">
        <v>0.1</v>
      </c>
      <c r="AE2" s="57"/>
      <c r="AF2" s="57"/>
      <c r="AG2" s="57">
        <v>2.5000000000000001E-2</v>
      </c>
      <c r="AH2" s="56"/>
      <c r="AI2" s="56">
        <v>700</v>
      </c>
      <c r="AJ2" s="56"/>
      <c r="AK2" s="56"/>
      <c r="AL2" s="56"/>
      <c r="AM2" s="56">
        <v>350</v>
      </c>
      <c r="AN2" s="56"/>
      <c r="AO2" s="56"/>
      <c r="AP2" s="56"/>
      <c r="AQ2" s="7"/>
      <c r="AR2" s="7"/>
      <c r="AS2" s="7"/>
      <c r="AT2" s="7"/>
      <c r="AU2" s="7"/>
      <c r="AV2" s="7"/>
      <c r="AW2" s="7"/>
      <c r="AX2" s="7"/>
      <c r="AY2" s="7"/>
      <c r="AZ2" s="81">
        <v>80</v>
      </c>
    </row>
    <row r="3" spans="1:52" ht="15.75" x14ac:dyDescent="0.25">
      <c r="A3" s="85" t="s">
        <v>220</v>
      </c>
      <c r="B3" s="33" t="s">
        <v>221</v>
      </c>
      <c r="C3" s="33"/>
      <c r="D3" s="44" t="s">
        <v>170</v>
      </c>
      <c r="E3" s="43">
        <f t="shared" si="0"/>
        <v>0</v>
      </c>
      <c r="F3" s="41"/>
      <c r="G3" s="43"/>
      <c r="H3" s="53">
        <f t="shared" si="1"/>
        <v>0</v>
      </c>
      <c r="I3" s="40">
        <f t="shared" si="2"/>
        <v>0</v>
      </c>
      <c r="J3" s="40">
        <f t="shared" si="3"/>
        <v>0</v>
      </c>
      <c r="K3" s="54">
        <f>SUMIF(ProductList!$F$4:$F$493,A3,ProductList!$BA$4:$BA$493)</f>
        <v>0</v>
      </c>
      <c r="L3" s="54">
        <f>SUMIF(ProductList!$F$4:$F$493,A3,ProductList!$V$4:$V$493)</f>
        <v>0</v>
      </c>
      <c r="M3" s="54">
        <f>SUMIF(ProductList!$F$4:$F$493,A3,ProductList!$K$4:$K$493)</f>
        <v>0</v>
      </c>
      <c r="N3" s="49" t="s">
        <v>79</v>
      </c>
      <c r="O3" s="81">
        <f t="shared" si="4"/>
        <v>80</v>
      </c>
      <c r="P3" s="56">
        <f t="shared" si="5"/>
        <v>0</v>
      </c>
      <c r="Q3" s="56">
        <f t="shared" si="6"/>
        <v>0</v>
      </c>
      <c r="R3" s="56">
        <f t="shared" si="7"/>
        <v>0</v>
      </c>
      <c r="S3" s="56">
        <f t="shared" si="8"/>
        <v>0</v>
      </c>
      <c r="T3" s="56">
        <f t="shared" si="9"/>
        <v>0</v>
      </c>
      <c r="U3" s="56">
        <f t="shared" si="10"/>
        <v>0</v>
      </c>
      <c r="V3" s="56">
        <f t="shared" si="11"/>
        <v>0</v>
      </c>
      <c r="W3" s="56">
        <f t="shared" si="12"/>
        <v>0</v>
      </c>
      <c r="X3" s="56">
        <f t="shared" si="13"/>
        <v>0</v>
      </c>
      <c r="Y3" s="34"/>
      <c r="Z3" s="35">
        <v>0.2</v>
      </c>
      <c r="AA3" s="35">
        <v>0.18</v>
      </c>
      <c r="AB3" s="35">
        <v>0.1</v>
      </c>
      <c r="AC3" s="35"/>
      <c r="AD3" s="35">
        <v>0.1</v>
      </c>
      <c r="AE3" s="35"/>
      <c r="AF3" s="35"/>
      <c r="AG3" s="35">
        <v>2.5000000000000001E-2</v>
      </c>
      <c r="AH3" s="34"/>
      <c r="AI3" s="34"/>
      <c r="AJ3" s="34"/>
      <c r="AK3" s="34"/>
      <c r="AL3" s="34"/>
      <c r="AM3" s="34"/>
      <c r="AN3" s="34"/>
      <c r="AO3" s="34"/>
      <c r="AP3" s="34"/>
      <c r="AQ3" s="34"/>
      <c r="AR3" s="34"/>
      <c r="AS3" s="34"/>
      <c r="AT3" s="34"/>
      <c r="AU3" s="34"/>
      <c r="AV3" s="35"/>
      <c r="AW3" s="34"/>
      <c r="AX3" s="34"/>
      <c r="AY3" s="34"/>
      <c r="AZ3" s="81">
        <f>AZ2</f>
        <v>80</v>
      </c>
    </row>
    <row r="4" spans="1:52" x14ac:dyDescent="0.25">
      <c r="A4" s="32" t="s">
        <v>168</v>
      </c>
      <c r="B4" s="33" t="s">
        <v>169</v>
      </c>
      <c r="C4" s="33"/>
      <c r="D4" s="44" t="s">
        <v>130</v>
      </c>
      <c r="E4" s="43">
        <f t="shared" si="0"/>
        <v>300</v>
      </c>
      <c r="F4" s="41"/>
      <c r="G4" s="43">
        <v>300</v>
      </c>
      <c r="H4" s="53">
        <f t="shared" si="1"/>
        <v>0</v>
      </c>
      <c r="I4" s="40">
        <f t="shared" si="2"/>
        <v>0</v>
      </c>
      <c r="J4" s="40">
        <f t="shared" si="3"/>
        <v>0</v>
      </c>
      <c r="K4" s="54">
        <f>SUMIF(ProductList!$F$4:$F$493,A4,ProductList!$BA$4:$BA$493)</f>
        <v>0</v>
      </c>
      <c r="L4" s="54">
        <f>SUMIF(ProductList!$F$4:$F$493,A4,ProductList!$V$4:$V$493)</f>
        <v>0</v>
      </c>
      <c r="M4" s="54">
        <f>SUMIF(ProductList!$F$4:$F$493,A4,ProductList!$K$4:$K$493)</f>
        <v>0</v>
      </c>
      <c r="N4" s="49" t="s">
        <v>79</v>
      </c>
      <c r="O4" s="81">
        <f t="shared" si="4"/>
        <v>100</v>
      </c>
      <c r="P4" s="56">
        <f t="shared" si="5"/>
        <v>0</v>
      </c>
      <c r="Q4" s="56">
        <f t="shared" si="6"/>
        <v>0</v>
      </c>
      <c r="R4" s="56">
        <f t="shared" si="7"/>
        <v>0</v>
      </c>
      <c r="S4" s="56">
        <f t="shared" si="8"/>
        <v>0</v>
      </c>
      <c r="T4" s="56">
        <f t="shared" si="9"/>
        <v>0</v>
      </c>
      <c r="U4" s="56">
        <f t="shared" si="10"/>
        <v>0</v>
      </c>
      <c r="V4" s="56">
        <f t="shared" si="11"/>
        <v>0</v>
      </c>
      <c r="W4" s="56">
        <f t="shared" si="12"/>
        <v>0</v>
      </c>
      <c r="X4" s="56">
        <f t="shared" si="13"/>
        <v>0</v>
      </c>
      <c r="Y4" s="34"/>
      <c r="Z4" s="35"/>
      <c r="AA4" s="35"/>
      <c r="AB4" s="35"/>
      <c r="AC4" s="35"/>
      <c r="AD4" s="35"/>
      <c r="AE4" s="35"/>
      <c r="AF4" s="35"/>
      <c r="AG4" s="35"/>
      <c r="AH4" s="34"/>
      <c r="AI4" s="34"/>
      <c r="AJ4" s="34"/>
      <c r="AK4" s="34"/>
      <c r="AL4" s="34"/>
      <c r="AM4" s="34"/>
      <c r="AN4" s="34"/>
      <c r="AO4" s="34"/>
      <c r="AP4" s="34"/>
      <c r="AQ4" s="7"/>
      <c r="AR4" s="7"/>
      <c r="AS4" s="7"/>
      <c r="AT4" s="7"/>
      <c r="AU4" s="7"/>
      <c r="AV4" s="7"/>
      <c r="AW4" s="7"/>
      <c r="AX4" s="7"/>
      <c r="AY4" s="7"/>
      <c r="AZ4" s="81">
        <f t="shared" ref="AZ4:AZ67" si="14">AZ3</f>
        <v>80</v>
      </c>
    </row>
    <row r="5" spans="1:52" x14ac:dyDescent="0.25">
      <c r="A5" s="32" t="s">
        <v>179</v>
      </c>
      <c r="B5" s="33" t="s">
        <v>180</v>
      </c>
      <c r="C5" s="33"/>
      <c r="D5" s="44" t="s">
        <v>130</v>
      </c>
      <c r="E5" s="43">
        <f t="shared" si="0"/>
        <v>300</v>
      </c>
      <c r="F5" s="41"/>
      <c r="G5" s="43">
        <v>300</v>
      </c>
      <c r="H5" s="53">
        <f t="shared" si="1"/>
        <v>0</v>
      </c>
      <c r="I5" s="40">
        <f t="shared" si="2"/>
        <v>0</v>
      </c>
      <c r="J5" s="40">
        <f t="shared" si="3"/>
        <v>0</v>
      </c>
      <c r="K5" s="54">
        <f>SUMIF(ProductList!$F$4:$F$493,A5,ProductList!$BA$4:$BA$493)</f>
        <v>0</v>
      </c>
      <c r="L5" s="54">
        <f>SUMIF(ProductList!$F$4:$F$493,A5,ProductList!$V$4:$V$493)</f>
        <v>0</v>
      </c>
      <c r="M5" s="54">
        <f>SUMIF(ProductList!$F$4:$F$493,A5,ProductList!$K$4:$K$493)</f>
        <v>0</v>
      </c>
      <c r="N5" s="49" t="s">
        <v>79</v>
      </c>
      <c r="O5" s="81">
        <f t="shared" si="4"/>
        <v>100</v>
      </c>
      <c r="P5" s="56">
        <f t="shared" si="5"/>
        <v>0</v>
      </c>
      <c r="Q5" s="56">
        <f t="shared" si="6"/>
        <v>0</v>
      </c>
      <c r="R5" s="56">
        <f t="shared" si="7"/>
        <v>0</v>
      </c>
      <c r="S5" s="56">
        <f t="shared" si="8"/>
        <v>0</v>
      </c>
      <c r="T5" s="56">
        <f t="shared" si="9"/>
        <v>0</v>
      </c>
      <c r="U5" s="56">
        <f t="shared" si="10"/>
        <v>0</v>
      </c>
      <c r="V5" s="56">
        <f t="shared" si="11"/>
        <v>0</v>
      </c>
      <c r="W5" s="56">
        <f t="shared" si="12"/>
        <v>0</v>
      </c>
      <c r="X5" s="56">
        <f t="shared" si="13"/>
        <v>0</v>
      </c>
      <c r="Y5" s="34"/>
      <c r="Z5" s="35"/>
      <c r="AA5" s="35"/>
      <c r="AB5" s="35"/>
      <c r="AC5" s="35"/>
      <c r="AD5" s="35"/>
      <c r="AE5" s="35"/>
      <c r="AF5" s="35"/>
      <c r="AG5" s="35"/>
      <c r="AH5" s="34"/>
      <c r="AI5" s="34"/>
      <c r="AJ5" s="34"/>
      <c r="AK5" s="34"/>
      <c r="AL5" s="34"/>
      <c r="AM5" s="34"/>
      <c r="AN5" s="34"/>
      <c r="AO5" s="34"/>
      <c r="AP5" s="34"/>
      <c r="AQ5" s="7"/>
      <c r="AR5" s="7"/>
      <c r="AS5" s="7"/>
      <c r="AT5" s="7"/>
      <c r="AU5" s="7"/>
      <c r="AV5" s="7"/>
      <c r="AW5" s="7"/>
      <c r="AX5" s="7"/>
      <c r="AY5" s="7"/>
      <c r="AZ5" s="81">
        <f t="shared" si="14"/>
        <v>80</v>
      </c>
    </row>
    <row r="6" spans="1:52" x14ac:dyDescent="0.25">
      <c r="A6" s="32" t="s">
        <v>162</v>
      </c>
      <c r="B6" s="33" t="s">
        <v>171</v>
      </c>
      <c r="C6" s="33"/>
      <c r="D6" s="44"/>
      <c r="E6" s="43">
        <f t="shared" si="0"/>
        <v>0</v>
      </c>
      <c r="F6" s="41"/>
      <c r="G6" s="43"/>
      <c r="H6" s="53">
        <f t="shared" si="1"/>
        <v>0</v>
      </c>
      <c r="I6" s="40">
        <f t="shared" si="2"/>
        <v>0</v>
      </c>
      <c r="J6" s="40">
        <f t="shared" si="3"/>
        <v>0</v>
      </c>
      <c r="K6" s="54">
        <f>SUMIF(ProductList!$F$4:$F$493,A6,ProductList!$BA$4:$BA$493)</f>
        <v>0</v>
      </c>
      <c r="L6" s="54">
        <f>SUMIF(ProductList!$F$4:$F$493,A6,ProductList!$V$4:$V$493)</f>
        <v>0</v>
      </c>
      <c r="M6" s="54">
        <f>SUMIF(ProductList!$F$4:$F$493,A6,ProductList!$K$4:$K$493)</f>
        <v>0</v>
      </c>
      <c r="N6" s="49" t="s">
        <v>79</v>
      </c>
      <c r="O6" s="81">
        <f t="shared" si="4"/>
        <v>80</v>
      </c>
      <c r="P6" s="56">
        <f t="shared" si="5"/>
        <v>0</v>
      </c>
      <c r="Q6" s="56">
        <f t="shared" si="6"/>
        <v>0</v>
      </c>
      <c r="R6" s="56">
        <f t="shared" si="7"/>
        <v>0</v>
      </c>
      <c r="S6" s="56">
        <f t="shared" si="8"/>
        <v>0</v>
      </c>
      <c r="T6" s="56">
        <f t="shared" si="9"/>
        <v>0</v>
      </c>
      <c r="U6" s="56">
        <f t="shared" si="10"/>
        <v>0</v>
      </c>
      <c r="V6" s="56">
        <f t="shared" si="11"/>
        <v>0</v>
      </c>
      <c r="W6" s="56">
        <f t="shared" si="12"/>
        <v>0</v>
      </c>
      <c r="X6" s="56">
        <f t="shared" si="13"/>
        <v>0</v>
      </c>
      <c r="Y6" s="34"/>
      <c r="Z6" s="35">
        <v>0.2</v>
      </c>
      <c r="AA6" s="35">
        <v>0.18</v>
      </c>
      <c r="AB6" s="35">
        <v>0.1</v>
      </c>
      <c r="AC6" s="35"/>
      <c r="AD6" s="35">
        <v>0.1</v>
      </c>
      <c r="AE6" s="35"/>
      <c r="AF6" s="35"/>
      <c r="AG6" s="35">
        <v>2.5000000000000001E-2</v>
      </c>
      <c r="AH6" s="34"/>
      <c r="AI6" s="34"/>
      <c r="AJ6" s="34"/>
      <c r="AK6" s="34"/>
      <c r="AL6" s="34"/>
      <c r="AM6" s="34"/>
      <c r="AN6" s="34"/>
      <c r="AO6" s="34"/>
      <c r="AP6" s="34"/>
      <c r="AQ6" s="7"/>
      <c r="AR6" s="7"/>
      <c r="AS6" s="7"/>
      <c r="AT6" s="7"/>
      <c r="AU6" s="7"/>
      <c r="AV6" s="7"/>
      <c r="AW6" s="7"/>
      <c r="AX6" s="7"/>
      <c r="AY6" s="7"/>
      <c r="AZ6" s="81">
        <f t="shared" si="14"/>
        <v>80</v>
      </c>
    </row>
    <row r="7" spans="1:52" x14ac:dyDescent="0.25">
      <c r="A7" s="32" t="s">
        <v>172</v>
      </c>
      <c r="B7" s="33" t="s">
        <v>173</v>
      </c>
      <c r="C7" s="33"/>
      <c r="D7" s="44" t="s">
        <v>170</v>
      </c>
      <c r="E7" s="43">
        <f t="shared" si="0"/>
        <v>0</v>
      </c>
      <c r="F7" s="41"/>
      <c r="G7" s="43"/>
      <c r="H7" s="53">
        <f t="shared" si="1"/>
        <v>0</v>
      </c>
      <c r="I7" s="40">
        <f t="shared" si="2"/>
        <v>0</v>
      </c>
      <c r="J7" s="40">
        <f t="shared" si="3"/>
        <v>0</v>
      </c>
      <c r="K7" s="54">
        <f>SUMIF(ProductList!$F$4:$F$493,A7,ProductList!$BA$4:$BA$493)</f>
        <v>0</v>
      </c>
      <c r="L7" s="54">
        <f>SUMIF(ProductList!$F$4:$F$493,A7,ProductList!$V$4:$V$493)</f>
        <v>0</v>
      </c>
      <c r="M7" s="54">
        <f>SUMIF(ProductList!$F$4:$F$493,A7,ProductList!$K$4:$K$493)</f>
        <v>0</v>
      </c>
      <c r="N7" s="49" t="s">
        <v>79</v>
      </c>
      <c r="O7" s="81">
        <f t="shared" si="4"/>
        <v>80</v>
      </c>
      <c r="P7" s="56">
        <f t="shared" si="5"/>
        <v>0</v>
      </c>
      <c r="Q7" s="56">
        <f t="shared" si="6"/>
        <v>0</v>
      </c>
      <c r="R7" s="56">
        <f t="shared" si="7"/>
        <v>0</v>
      </c>
      <c r="S7" s="56">
        <f t="shared" si="8"/>
        <v>0</v>
      </c>
      <c r="T7" s="56">
        <f t="shared" si="9"/>
        <v>0</v>
      </c>
      <c r="U7" s="56">
        <f t="shared" si="10"/>
        <v>0</v>
      </c>
      <c r="V7" s="56">
        <f t="shared" si="11"/>
        <v>0</v>
      </c>
      <c r="W7" s="56">
        <f t="shared" si="12"/>
        <v>0</v>
      </c>
      <c r="X7" s="56">
        <f t="shared" si="13"/>
        <v>0</v>
      </c>
      <c r="Y7" s="34"/>
      <c r="Z7" s="35"/>
      <c r="AA7" s="35">
        <v>0.18</v>
      </c>
      <c r="AB7" s="35">
        <v>0.1</v>
      </c>
      <c r="AC7" s="35">
        <v>0.06</v>
      </c>
      <c r="AD7" s="35"/>
      <c r="AE7" s="35"/>
      <c r="AF7" s="35"/>
      <c r="AG7" s="35">
        <v>2.5000000000000001E-2</v>
      </c>
      <c r="AH7" s="34"/>
      <c r="AI7" s="34">
        <v>45</v>
      </c>
      <c r="AJ7" s="34"/>
      <c r="AK7" s="34"/>
      <c r="AL7" s="34"/>
      <c r="AM7" s="34"/>
      <c r="AN7" s="34"/>
      <c r="AO7" s="34"/>
      <c r="AP7" s="34"/>
      <c r="AQ7" s="7"/>
      <c r="AR7" s="7"/>
      <c r="AS7" s="7"/>
      <c r="AT7" s="7"/>
      <c r="AU7" s="7"/>
      <c r="AV7" s="7"/>
      <c r="AW7" s="7"/>
      <c r="AX7" s="7"/>
      <c r="AY7" s="7"/>
      <c r="AZ7" s="81">
        <f t="shared" si="14"/>
        <v>80</v>
      </c>
    </row>
    <row r="8" spans="1:52" x14ac:dyDescent="0.25">
      <c r="A8" s="32" t="s">
        <v>157</v>
      </c>
      <c r="B8" s="33" t="s">
        <v>156</v>
      </c>
      <c r="C8" s="33"/>
      <c r="D8" s="44" t="s">
        <v>170</v>
      </c>
      <c r="E8" s="43">
        <f t="shared" si="0"/>
        <v>0</v>
      </c>
      <c r="F8" s="41"/>
      <c r="G8" s="43"/>
      <c r="H8" s="53">
        <f t="shared" si="1"/>
        <v>0</v>
      </c>
      <c r="I8" s="40">
        <f t="shared" si="2"/>
        <v>0</v>
      </c>
      <c r="J8" s="40">
        <f t="shared" si="3"/>
        <v>0</v>
      </c>
      <c r="K8" s="54">
        <f>SUMIF(ProductList!$F$4:$F$493,A8,ProductList!$BA$4:$BA$493)</f>
        <v>0</v>
      </c>
      <c r="L8" s="54">
        <f>SUMIF(ProductList!$F$4:$F$493,A8,ProductList!$V$4:$V$493)</f>
        <v>0</v>
      </c>
      <c r="M8" s="54">
        <f>SUMIF(ProductList!$F$4:$F$493,A8,ProductList!$K$4:$K$493)</f>
        <v>0</v>
      </c>
      <c r="N8" s="49" t="s">
        <v>79</v>
      </c>
      <c r="O8" s="81">
        <f t="shared" si="4"/>
        <v>80</v>
      </c>
      <c r="P8" s="56">
        <f t="shared" si="5"/>
        <v>0</v>
      </c>
      <c r="Q8" s="56">
        <f t="shared" si="6"/>
        <v>0</v>
      </c>
      <c r="R8" s="56">
        <f t="shared" si="7"/>
        <v>0</v>
      </c>
      <c r="S8" s="56">
        <f t="shared" si="8"/>
        <v>0</v>
      </c>
      <c r="T8" s="56">
        <f t="shared" si="9"/>
        <v>0</v>
      </c>
      <c r="U8" s="56">
        <f t="shared" si="10"/>
        <v>0</v>
      </c>
      <c r="V8" s="56">
        <f t="shared" si="11"/>
        <v>0</v>
      </c>
      <c r="W8" s="56">
        <f t="shared" si="12"/>
        <v>0</v>
      </c>
      <c r="X8" s="56">
        <f t="shared" si="13"/>
        <v>0</v>
      </c>
      <c r="Y8" s="35"/>
      <c r="Z8" s="35">
        <v>0.2</v>
      </c>
      <c r="AA8" s="35">
        <v>0.18</v>
      </c>
      <c r="AB8" s="35">
        <v>0.1</v>
      </c>
      <c r="AC8" s="35"/>
      <c r="AD8" s="35">
        <v>0.25</v>
      </c>
      <c r="AE8" s="35"/>
      <c r="AF8" s="35"/>
      <c r="AG8" s="35">
        <v>2.5000000000000001E-2</v>
      </c>
      <c r="AH8" s="34"/>
      <c r="AI8" s="34"/>
      <c r="AJ8" s="34"/>
      <c r="AK8" s="34"/>
      <c r="AL8" s="34"/>
      <c r="AM8" s="34"/>
      <c r="AN8" s="34"/>
      <c r="AO8" s="34"/>
      <c r="AP8" s="34"/>
      <c r="AQ8" s="7"/>
      <c r="AR8" s="7"/>
      <c r="AS8" s="7"/>
      <c r="AT8" s="7"/>
      <c r="AU8" s="7"/>
      <c r="AV8" s="7"/>
      <c r="AW8" s="7"/>
      <c r="AX8" s="7"/>
      <c r="AY8" s="7"/>
      <c r="AZ8" s="81">
        <f t="shared" si="14"/>
        <v>80</v>
      </c>
    </row>
    <row r="9" spans="1:52" x14ac:dyDescent="0.25">
      <c r="A9" s="32" t="s">
        <v>209</v>
      </c>
      <c r="B9" s="33" t="s">
        <v>210</v>
      </c>
      <c r="C9" s="33"/>
      <c r="D9" s="44" t="s">
        <v>170</v>
      </c>
      <c r="E9" s="43">
        <f t="shared" si="0"/>
        <v>0</v>
      </c>
      <c r="F9" s="41"/>
      <c r="G9" s="43"/>
      <c r="H9" s="53">
        <f t="shared" si="1"/>
        <v>0</v>
      </c>
      <c r="I9" s="40">
        <f t="shared" si="2"/>
        <v>0</v>
      </c>
      <c r="J9" s="40">
        <f t="shared" si="3"/>
        <v>0</v>
      </c>
      <c r="K9" s="54">
        <f>SUMIF(ProductList!$F$4:$F$493,A9,ProductList!$BA$4:$BA$493)</f>
        <v>0</v>
      </c>
      <c r="L9" s="54">
        <f>SUMIF(ProductList!$F$4:$F$493,A9,ProductList!$V$4:$V$493)</f>
        <v>0</v>
      </c>
      <c r="M9" s="54">
        <f>SUMIF(ProductList!$F$4:$F$493,A9,ProductList!$K$4:$K$493)</f>
        <v>0</v>
      </c>
      <c r="N9" s="49" t="s">
        <v>79</v>
      </c>
      <c r="O9" s="81">
        <f t="shared" si="4"/>
        <v>80</v>
      </c>
      <c r="P9" s="56">
        <f t="shared" si="5"/>
        <v>0</v>
      </c>
      <c r="Q9" s="56">
        <f t="shared" si="6"/>
        <v>0</v>
      </c>
      <c r="R9" s="56">
        <f t="shared" si="7"/>
        <v>0</v>
      </c>
      <c r="S9" s="56">
        <f t="shared" si="8"/>
        <v>0</v>
      </c>
      <c r="T9" s="56">
        <f t="shared" si="9"/>
        <v>0</v>
      </c>
      <c r="U9" s="56">
        <f t="shared" si="10"/>
        <v>0</v>
      </c>
      <c r="V9" s="56">
        <f t="shared" si="11"/>
        <v>0</v>
      </c>
      <c r="W9" s="56">
        <f t="shared" si="12"/>
        <v>0</v>
      </c>
      <c r="X9" s="56">
        <f t="shared" si="13"/>
        <v>0</v>
      </c>
      <c r="Y9" s="34"/>
      <c r="Z9" s="35">
        <v>0.2</v>
      </c>
      <c r="AA9" s="35">
        <v>0.18</v>
      </c>
      <c r="AB9" s="35">
        <v>0</v>
      </c>
      <c r="AC9" s="35">
        <v>0</v>
      </c>
      <c r="AD9" s="35">
        <v>0.1</v>
      </c>
      <c r="AE9" s="35"/>
      <c r="AF9" s="35"/>
      <c r="AG9" s="35">
        <v>2.5000000000000001E-2</v>
      </c>
      <c r="AH9" s="34"/>
      <c r="AI9" s="34"/>
      <c r="AJ9" s="34"/>
      <c r="AK9" s="34"/>
      <c r="AL9" s="34"/>
      <c r="AM9" s="34"/>
      <c r="AN9" s="34"/>
      <c r="AO9" s="34"/>
      <c r="AP9" s="34"/>
      <c r="AQ9" s="7"/>
      <c r="AR9" s="7"/>
      <c r="AS9" s="7"/>
      <c r="AT9" s="7"/>
      <c r="AU9" s="7"/>
      <c r="AV9" s="7"/>
      <c r="AW9" s="7"/>
      <c r="AX9" s="7"/>
      <c r="AY9" s="7"/>
      <c r="AZ9" s="81">
        <f t="shared" si="14"/>
        <v>80</v>
      </c>
    </row>
    <row r="10" spans="1:52" x14ac:dyDescent="0.25">
      <c r="A10" s="32" t="s">
        <v>184</v>
      </c>
      <c r="B10" s="33" t="s">
        <v>185</v>
      </c>
      <c r="C10" s="33"/>
      <c r="D10" s="44" t="s">
        <v>170</v>
      </c>
      <c r="E10" s="43">
        <f t="shared" si="0"/>
        <v>705</v>
      </c>
      <c r="F10" s="41"/>
      <c r="G10" s="43"/>
      <c r="H10" s="53">
        <f t="shared" si="1"/>
        <v>705</v>
      </c>
      <c r="I10" s="40">
        <f t="shared" si="2"/>
        <v>705</v>
      </c>
      <c r="J10" s="40">
        <f t="shared" si="3"/>
        <v>754592</v>
      </c>
      <c r="K10" s="54">
        <f>SUMIF(ProductList!$F$4:$F$493,A10,ProductList!$BA$4:$BA$493)</f>
        <v>849526.4</v>
      </c>
      <c r="L10" s="54">
        <f>SUMIF(ProductList!$F$4:$F$493,A10,ProductList!$V$4:$V$493)</f>
        <v>1070</v>
      </c>
      <c r="M10" s="54">
        <f>SUMIF(ProductList!$F$4:$F$493,A10,ProductList!$K$4:$K$493)</f>
        <v>0</v>
      </c>
      <c r="N10" s="49" t="s">
        <v>79</v>
      </c>
      <c r="O10" s="81">
        <f t="shared" si="4"/>
        <v>80</v>
      </c>
      <c r="P10" s="56">
        <f t="shared" si="5"/>
        <v>0</v>
      </c>
      <c r="Q10" s="56">
        <f t="shared" si="6"/>
        <v>169905.28000000003</v>
      </c>
      <c r="R10" s="56">
        <f t="shared" si="7"/>
        <v>252309.34080000009</v>
      </c>
      <c r="S10" s="56">
        <f t="shared" si="8"/>
        <v>84952.640000000014</v>
      </c>
      <c r="T10" s="56">
        <f t="shared" si="9"/>
        <v>0</v>
      </c>
      <c r="U10" s="56">
        <f t="shared" si="10"/>
        <v>212381.6</v>
      </c>
      <c r="V10" s="56">
        <f t="shared" si="11"/>
        <v>0</v>
      </c>
      <c r="W10" s="56">
        <f t="shared" si="12"/>
        <v>0</v>
      </c>
      <c r="X10" s="56">
        <f t="shared" si="13"/>
        <v>35042.964000000014</v>
      </c>
      <c r="Y10" s="34"/>
      <c r="Z10" s="35">
        <v>0.2</v>
      </c>
      <c r="AA10" s="35">
        <v>0.18</v>
      </c>
      <c r="AB10" s="35">
        <v>0.1</v>
      </c>
      <c r="AC10" s="35"/>
      <c r="AD10" s="35">
        <v>0.25</v>
      </c>
      <c r="AE10" s="35"/>
      <c r="AF10" s="35"/>
      <c r="AG10" s="35">
        <v>2.5000000000000001E-2</v>
      </c>
      <c r="AH10" s="34"/>
      <c r="AI10" s="34"/>
      <c r="AJ10" s="34"/>
      <c r="AK10" s="34"/>
      <c r="AL10" s="34"/>
      <c r="AM10" s="34"/>
      <c r="AN10" s="34"/>
      <c r="AO10" s="34"/>
      <c r="AP10" s="34"/>
      <c r="AQ10" s="7"/>
      <c r="AR10" s="7"/>
      <c r="AS10" s="7"/>
      <c r="AT10" s="7"/>
      <c r="AU10" s="7"/>
      <c r="AV10" s="7"/>
      <c r="AW10" s="7"/>
      <c r="AX10" s="7"/>
      <c r="AY10" s="7"/>
      <c r="AZ10" s="81">
        <f t="shared" si="14"/>
        <v>80</v>
      </c>
    </row>
    <row r="11" spans="1:52" x14ac:dyDescent="0.25">
      <c r="A11" s="32" t="s">
        <v>60</v>
      </c>
      <c r="B11" s="33" t="s">
        <v>144</v>
      </c>
      <c r="C11" s="33"/>
      <c r="D11" s="44" t="s">
        <v>130</v>
      </c>
      <c r="E11" s="43">
        <f t="shared" si="0"/>
        <v>125</v>
      </c>
      <c r="F11" s="41" t="s">
        <v>152</v>
      </c>
      <c r="G11" s="43">
        <v>125</v>
      </c>
      <c r="H11" s="53">
        <f t="shared" si="1"/>
        <v>0</v>
      </c>
      <c r="I11" s="40">
        <f t="shared" si="2"/>
        <v>0</v>
      </c>
      <c r="J11" s="40">
        <f t="shared" si="3"/>
        <v>0</v>
      </c>
      <c r="K11" s="54">
        <f>SUMIF(ProductList!$F$4:$F$493,A11,ProductList!$BA$4:$BA$493)</f>
        <v>0</v>
      </c>
      <c r="L11" s="54">
        <f>SUMIF(ProductList!$F$4:$F$493,A11,ProductList!$V$4:$V$493)</f>
        <v>0</v>
      </c>
      <c r="M11" s="54">
        <f>SUMIF(ProductList!$F$4:$F$493,A11,ProductList!$K$4:$K$493)</f>
        <v>0</v>
      </c>
      <c r="N11" s="49" t="s">
        <v>79</v>
      </c>
      <c r="O11" s="81">
        <f t="shared" si="4"/>
        <v>100</v>
      </c>
      <c r="P11" s="56">
        <f t="shared" si="5"/>
        <v>0</v>
      </c>
      <c r="Q11" s="56">
        <f t="shared" si="6"/>
        <v>0</v>
      </c>
      <c r="R11" s="56">
        <f t="shared" si="7"/>
        <v>0</v>
      </c>
      <c r="S11" s="56">
        <f t="shared" si="8"/>
        <v>0</v>
      </c>
      <c r="T11" s="56">
        <f t="shared" si="9"/>
        <v>0</v>
      </c>
      <c r="U11" s="56">
        <f t="shared" si="10"/>
        <v>0</v>
      </c>
      <c r="V11" s="56">
        <f t="shared" si="11"/>
        <v>0</v>
      </c>
      <c r="W11" s="56">
        <f t="shared" si="12"/>
        <v>0</v>
      </c>
      <c r="X11" s="56">
        <f t="shared" si="13"/>
        <v>0</v>
      </c>
      <c r="Y11" s="35"/>
      <c r="Z11" s="35"/>
      <c r="AA11" s="35"/>
      <c r="AB11" s="35"/>
      <c r="AC11" s="35"/>
      <c r="AD11" s="35"/>
      <c r="AE11" s="35"/>
      <c r="AF11" s="35"/>
      <c r="AG11" s="35"/>
      <c r="AH11" s="34"/>
      <c r="AI11" s="34"/>
      <c r="AJ11" s="34"/>
      <c r="AK11" s="34"/>
      <c r="AL11" s="34"/>
      <c r="AM11" s="34"/>
      <c r="AN11" s="34"/>
      <c r="AO11" s="34"/>
      <c r="AP11" s="34"/>
      <c r="AQ11" s="7"/>
      <c r="AR11" s="7"/>
      <c r="AS11" s="7"/>
      <c r="AT11" s="7"/>
      <c r="AU11" s="7"/>
      <c r="AV11" s="7"/>
      <c r="AW11" s="7"/>
      <c r="AX11" s="7"/>
      <c r="AY11" s="7"/>
      <c r="AZ11" s="81">
        <f t="shared" si="14"/>
        <v>80</v>
      </c>
    </row>
    <row r="12" spans="1:52" x14ac:dyDescent="0.25">
      <c r="A12" s="32" t="s">
        <v>71</v>
      </c>
      <c r="B12" s="33" t="s">
        <v>117</v>
      </c>
      <c r="C12" s="33"/>
      <c r="D12" s="44" t="s">
        <v>130</v>
      </c>
      <c r="E12" s="43">
        <f t="shared" si="0"/>
        <v>2900</v>
      </c>
      <c r="F12" s="41"/>
      <c r="G12" s="43">
        <v>2900</v>
      </c>
      <c r="H12" s="53">
        <f t="shared" si="1"/>
        <v>0</v>
      </c>
      <c r="I12" s="40">
        <f t="shared" si="2"/>
        <v>0</v>
      </c>
      <c r="J12" s="40">
        <f t="shared" si="3"/>
        <v>0</v>
      </c>
      <c r="K12" s="54">
        <f>SUMIF(ProductList!$F$4:$F$493,A12,ProductList!$BA$4:$BA$493)</f>
        <v>0</v>
      </c>
      <c r="L12" s="54">
        <f>SUMIF(ProductList!$F$4:$F$493,A12,ProductList!$V$4:$V$493)</f>
        <v>0</v>
      </c>
      <c r="M12" s="54">
        <f>SUMIF(ProductList!$F$4:$F$493,A12,ProductList!$K$4:$K$493)</f>
        <v>0</v>
      </c>
      <c r="N12" s="49" t="s">
        <v>79</v>
      </c>
      <c r="O12" s="81">
        <f t="shared" si="4"/>
        <v>100</v>
      </c>
      <c r="P12" s="56">
        <f t="shared" si="5"/>
        <v>0</v>
      </c>
      <c r="Q12" s="56">
        <f t="shared" si="6"/>
        <v>0</v>
      </c>
      <c r="R12" s="56">
        <f t="shared" si="7"/>
        <v>0</v>
      </c>
      <c r="S12" s="56">
        <f t="shared" si="8"/>
        <v>0</v>
      </c>
      <c r="T12" s="56">
        <f t="shared" si="9"/>
        <v>0</v>
      </c>
      <c r="U12" s="56">
        <f t="shared" si="10"/>
        <v>0</v>
      </c>
      <c r="V12" s="56">
        <f t="shared" si="11"/>
        <v>0</v>
      </c>
      <c r="W12" s="56">
        <f t="shared" si="12"/>
        <v>0</v>
      </c>
      <c r="X12" s="56">
        <f t="shared" si="13"/>
        <v>0</v>
      </c>
      <c r="Y12" s="35"/>
      <c r="Z12" s="35"/>
      <c r="AA12" s="35"/>
      <c r="AB12" s="35"/>
      <c r="AC12" s="35"/>
      <c r="AD12" s="35"/>
      <c r="AE12" s="35"/>
      <c r="AF12" s="35"/>
      <c r="AG12" s="35"/>
      <c r="AH12" s="34"/>
      <c r="AI12" s="34"/>
      <c r="AJ12" s="34"/>
      <c r="AK12" s="34"/>
      <c r="AL12" s="34"/>
      <c r="AM12" s="34"/>
      <c r="AN12" s="34"/>
      <c r="AO12" s="34"/>
      <c r="AP12" s="34"/>
      <c r="AQ12" s="7"/>
      <c r="AR12" s="7"/>
      <c r="AS12" s="7"/>
      <c r="AT12" s="7"/>
      <c r="AU12" s="7"/>
      <c r="AV12" s="7"/>
      <c r="AW12" s="7"/>
      <c r="AX12" s="7"/>
      <c r="AY12" s="7"/>
      <c r="AZ12" s="81">
        <f t="shared" si="14"/>
        <v>80</v>
      </c>
    </row>
    <row r="13" spans="1:52" x14ac:dyDescent="0.25">
      <c r="A13" s="32" t="s">
        <v>202</v>
      </c>
      <c r="B13" s="33" t="s">
        <v>203</v>
      </c>
      <c r="C13" s="33"/>
      <c r="D13" s="44" t="s">
        <v>130</v>
      </c>
      <c r="E13" s="43">
        <f t="shared" si="0"/>
        <v>52</v>
      </c>
      <c r="F13" s="41" t="s">
        <v>152</v>
      </c>
      <c r="G13" s="43">
        <v>52</v>
      </c>
      <c r="H13" s="53">
        <f t="shared" si="1"/>
        <v>421</v>
      </c>
      <c r="I13" s="40">
        <f t="shared" si="2"/>
        <v>421</v>
      </c>
      <c r="J13" s="40">
        <f t="shared" si="3"/>
        <v>614924</v>
      </c>
      <c r="K13" s="54">
        <f>SUMIF(ProductList!$F$4:$F$493,A13,ProductList!$BA$4:$BA$493)</f>
        <v>1318166</v>
      </c>
      <c r="L13" s="54">
        <f>SUMIF(ProductList!$F$4:$F$493,A13,ProductList!$V$4:$V$493)</f>
        <v>1460</v>
      </c>
      <c r="M13" s="54">
        <f>SUMIF(ProductList!$F$4:$F$493,A13,ProductList!$K$4:$K$493)</f>
        <v>0</v>
      </c>
      <c r="N13" s="49" t="s">
        <v>79</v>
      </c>
      <c r="O13" s="81">
        <f t="shared" si="4"/>
        <v>100</v>
      </c>
      <c r="P13" s="56">
        <f t="shared" si="5"/>
        <v>0</v>
      </c>
      <c r="Q13" s="56">
        <f t="shared" si="6"/>
        <v>263633.2</v>
      </c>
      <c r="R13" s="56">
        <f t="shared" si="7"/>
        <v>308450.84399999998</v>
      </c>
      <c r="S13" s="56">
        <f t="shared" si="8"/>
        <v>0</v>
      </c>
      <c r="T13" s="56">
        <f t="shared" si="9"/>
        <v>0</v>
      </c>
      <c r="U13" s="56">
        <f t="shared" si="10"/>
        <v>0</v>
      </c>
      <c r="V13" s="56">
        <f t="shared" si="11"/>
        <v>0</v>
      </c>
      <c r="W13" s="56">
        <f t="shared" si="12"/>
        <v>0</v>
      </c>
      <c r="X13" s="56">
        <f t="shared" si="13"/>
        <v>42840.395000000004</v>
      </c>
      <c r="Y13" s="34"/>
      <c r="Z13" s="35">
        <v>0.2</v>
      </c>
      <c r="AA13" s="35">
        <v>0.18</v>
      </c>
      <c r="AB13" s="35"/>
      <c r="AC13" s="35"/>
      <c r="AD13" s="35"/>
      <c r="AE13" s="35"/>
      <c r="AF13" s="35"/>
      <c r="AG13" s="35">
        <v>2.5000000000000001E-2</v>
      </c>
      <c r="AH13" s="34"/>
      <c r="AI13" s="34"/>
      <c r="AJ13" s="34"/>
      <c r="AK13" s="34"/>
      <c r="AL13" s="34"/>
      <c r="AM13" s="34"/>
      <c r="AN13" s="34"/>
      <c r="AO13" s="34"/>
      <c r="AP13" s="34"/>
      <c r="AQ13" s="7"/>
      <c r="AR13" s="7"/>
      <c r="AS13" s="7"/>
      <c r="AT13" s="7"/>
      <c r="AU13" s="7"/>
      <c r="AV13" s="7"/>
      <c r="AW13" s="7"/>
      <c r="AX13" s="7"/>
      <c r="AY13" s="7"/>
      <c r="AZ13" s="81">
        <f t="shared" si="14"/>
        <v>80</v>
      </c>
    </row>
    <row r="14" spans="1:52" x14ac:dyDescent="0.25">
      <c r="A14" s="32" t="s">
        <v>84</v>
      </c>
      <c r="B14" s="33" t="s">
        <v>72</v>
      </c>
      <c r="C14" s="33"/>
      <c r="D14" s="44" t="s">
        <v>170</v>
      </c>
      <c r="E14" s="43">
        <f t="shared" si="0"/>
        <v>0</v>
      </c>
      <c r="F14" s="41"/>
      <c r="G14" s="43">
        <v>162</v>
      </c>
      <c r="H14" s="53">
        <f t="shared" si="1"/>
        <v>0</v>
      </c>
      <c r="I14" s="40">
        <f t="shared" si="2"/>
        <v>0</v>
      </c>
      <c r="J14" s="40">
        <f t="shared" si="3"/>
        <v>0</v>
      </c>
      <c r="K14" s="54">
        <f>SUMIF(ProductList!$F$4:$F$493,A14,ProductList!$BA$4:$BA$493)</f>
        <v>0</v>
      </c>
      <c r="L14" s="54">
        <f>SUMIF(ProductList!$F$4:$F$493,A14,ProductList!$V$4:$V$493)</f>
        <v>0</v>
      </c>
      <c r="M14" s="54">
        <f>SUMIF(ProductList!$F$4:$F$493,A14,ProductList!$K$4:$K$493)</f>
        <v>0</v>
      </c>
      <c r="N14" s="49" t="s">
        <v>79</v>
      </c>
      <c r="O14" s="81">
        <f t="shared" si="4"/>
        <v>80</v>
      </c>
      <c r="P14" s="56">
        <f t="shared" si="5"/>
        <v>0</v>
      </c>
      <c r="Q14" s="56">
        <f t="shared" si="6"/>
        <v>0</v>
      </c>
      <c r="R14" s="56">
        <f t="shared" si="7"/>
        <v>0</v>
      </c>
      <c r="S14" s="56">
        <f t="shared" si="8"/>
        <v>0</v>
      </c>
      <c r="T14" s="56">
        <f t="shared" si="9"/>
        <v>0</v>
      </c>
      <c r="U14" s="56">
        <f t="shared" si="10"/>
        <v>0</v>
      </c>
      <c r="V14" s="56">
        <f t="shared" si="11"/>
        <v>0</v>
      </c>
      <c r="W14" s="56">
        <f t="shared" si="12"/>
        <v>0</v>
      </c>
      <c r="X14" s="56">
        <f t="shared" si="13"/>
        <v>0</v>
      </c>
      <c r="Y14" s="35"/>
      <c r="Z14" s="35"/>
      <c r="AA14" s="35"/>
      <c r="AB14" s="35"/>
      <c r="AC14" s="35"/>
      <c r="AD14" s="35"/>
      <c r="AE14" s="35"/>
      <c r="AF14" s="35"/>
      <c r="AG14" s="35"/>
      <c r="AH14" s="34"/>
      <c r="AI14" s="34"/>
      <c r="AJ14" s="34"/>
      <c r="AK14" s="34"/>
      <c r="AL14" s="34"/>
      <c r="AM14" s="34"/>
      <c r="AN14" s="34"/>
      <c r="AO14" s="34"/>
      <c r="AP14" s="34"/>
      <c r="AQ14" s="7"/>
      <c r="AR14" s="7"/>
      <c r="AS14" s="7"/>
      <c r="AT14" s="7"/>
      <c r="AU14" s="7"/>
      <c r="AV14" s="7"/>
      <c r="AW14" s="7"/>
      <c r="AX14" s="7"/>
      <c r="AY14" s="7"/>
      <c r="AZ14" s="81">
        <f t="shared" si="14"/>
        <v>80</v>
      </c>
    </row>
    <row r="15" spans="1:52" x14ac:dyDescent="0.25">
      <c r="A15" s="32" t="s">
        <v>175</v>
      </c>
      <c r="B15" s="33" t="s">
        <v>176</v>
      </c>
      <c r="C15" s="33"/>
      <c r="D15" s="44"/>
      <c r="E15" s="43">
        <f t="shared" si="0"/>
        <v>0</v>
      </c>
      <c r="F15" s="41" t="s">
        <v>122</v>
      </c>
      <c r="G15" s="43"/>
      <c r="H15" s="53">
        <f t="shared" si="1"/>
        <v>0</v>
      </c>
      <c r="I15" s="40">
        <f t="shared" si="2"/>
        <v>0</v>
      </c>
      <c r="J15" s="40">
        <f t="shared" si="3"/>
        <v>0</v>
      </c>
      <c r="K15" s="54">
        <f>SUMIF(ProductList!$F$4:$F$493,A15,ProductList!$BA$4:$BA$493)</f>
        <v>0</v>
      </c>
      <c r="L15" s="54">
        <f>SUMIF(ProductList!$F$4:$F$493,A15,ProductList!$V$4:$V$493)</f>
        <v>0</v>
      </c>
      <c r="M15" s="54">
        <f>SUMIF(ProductList!$F$4:$F$493,A15,ProductList!$K$4:$K$493)</f>
        <v>0</v>
      </c>
      <c r="N15" s="49" t="s">
        <v>79</v>
      </c>
      <c r="O15" s="81">
        <f t="shared" si="4"/>
        <v>80</v>
      </c>
      <c r="P15" s="56">
        <f t="shared" si="5"/>
        <v>0</v>
      </c>
      <c r="Q15" s="56">
        <f t="shared" si="6"/>
        <v>0</v>
      </c>
      <c r="R15" s="56">
        <f t="shared" si="7"/>
        <v>0</v>
      </c>
      <c r="S15" s="56">
        <f t="shared" si="8"/>
        <v>0</v>
      </c>
      <c r="T15" s="56">
        <f t="shared" si="9"/>
        <v>0</v>
      </c>
      <c r="U15" s="56">
        <f t="shared" si="10"/>
        <v>0</v>
      </c>
      <c r="V15" s="56">
        <f t="shared" si="11"/>
        <v>0</v>
      </c>
      <c r="W15" s="56">
        <f t="shared" si="12"/>
        <v>0</v>
      </c>
      <c r="X15" s="56">
        <f t="shared" si="13"/>
        <v>0</v>
      </c>
      <c r="Y15" s="34"/>
      <c r="Z15" s="35"/>
      <c r="AA15" s="35"/>
      <c r="AB15" s="35"/>
      <c r="AC15" s="35"/>
      <c r="AD15" s="35"/>
      <c r="AE15" s="35"/>
      <c r="AF15" s="35"/>
      <c r="AG15" s="35"/>
      <c r="AH15" s="34"/>
      <c r="AI15" s="34"/>
      <c r="AJ15" s="34"/>
      <c r="AK15" s="34"/>
      <c r="AL15" s="34"/>
      <c r="AM15" s="34"/>
      <c r="AN15" s="34"/>
      <c r="AO15" s="34"/>
      <c r="AP15" s="34"/>
      <c r="AQ15" s="7"/>
      <c r="AR15" s="7"/>
      <c r="AS15" s="7"/>
      <c r="AT15" s="7"/>
      <c r="AU15" s="7"/>
      <c r="AV15" s="7"/>
      <c r="AW15" s="7"/>
      <c r="AX15" s="7"/>
      <c r="AY15" s="7"/>
      <c r="AZ15" s="81">
        <f t="shared" si="14"/>
        <v>80</v>
      </c>
    </row>
    <row r="16" spans="1:52" x14ac:dyDescent="0.25">
      <c r="A16" s="32" t="s">
        <v>204</v>
      </c>
      <c r="B16" s="33" t="s">
        <v>108</v>
      </c>
      <c r="C16" s="33"/>
      <c r="D16" s="44" t="s">
        <v>170</v>
      </c>
      <c r="E16" s="43">
        <f t="shared" si="0"/>
        <v>0</v>
      </c>
      <c r="F16" s="41"/>
      <c r="G16" s="43"/>
      <c r="H16" s="53">
        <f t="shared" si="1"/>
        <v>0</v>
      </c>
      <c r="I16" s="40">
        <f t="shared" si="2"/>
        <v>0</v>
      </c>
      <c r="J16" s="40">
        <f t="shared" si="3"/>
        <v>0</v>
      </c>
      <c r="K16" s="54">
        <f>SUMIF(ProductList!$F$4:$F$493,A16,ProductList!$BA$4:$BA$493)</f>
        <v>0</v>
      </c>
      <c r="L16" s="54">
        <f>SUMIF(ProductList!$F$4:$F$493,A16,ProductList!$V$4:$V$493)</f>
        <v>0</v>
      </c>
      <c r="M16" s="54">
        <f>SUMIF(ProductList!$F$4:$F$493,A16,ProductList!$K$4:$K$493)</f>
        <v>0</v>
      </c>
      <c r="N16" s="49" t="s">
        <v>79</v>
      </c>
      <c r="O16" s="81">
        <f t="shared" si="4"/>
        <v>80</v>
      </c>
      <c r="P16" s="56">
        <f t="shared" si="5"/>
        <v>0</v>
      </c>
      <c r="Q16" s="56">
        <f t="shared" si="6"/>
        <v>0</v>
      </c>
      <c r="R16" s="56">
        <f t="shared" si="7"/>
        <v>0</v>
      </c>
      <c r="S16" s="56">
        <f t="shared" si="8"/>
        <v>0</v>
      </c>
      <c r="T16" s="56">
        <f t="shared" si="9"/>
        <v>0</v>
      </c>
      <c r="U16" s="56">
        <f t="shared" si="10"/>
        <v>0</v>
      </c>
      <c r="V16" s="56">
        <f t="shared" si="11"/>
        <v>0</v>
      </c>
      <c r="W16" s="56">
        <f t="shared" si="12"/>
        <v>0</v>
      </c>
      <c r="X16" s="56">
        <f t="shared" si="13"/>
        <v>0</v>
      </c>
      <c r="Y16" s="34"/>
      <c r="Z16" s="35">
        <v>0.2</v>
      </c>
      <c r="AA16" s="35">
        <v>0.18</v>
      </c>
      <c r="AB16" s="35">
        <v>0.1</v>
      </c>
      <c r="AC16" s="35"/>
      <c r="AD16" s="35">
        <v>0.1</v>
      </c>
      <c r="AE16" s="35"/>
      <c r="AF16" s="35"/>
      <c r="AG16" s="35">
        <v>2.5000000000000001E-2</v>
      </c>
      <c r="AH16" s="34"/>
      <c r="AI16" s="34"/>
      <c r="AJ16" s="34"/>
      <c r="AK16" s="34"/>
      <c r="AL16" s="34"/>
      <c r="AM16" s="34"/>
      <c r="AN16" s="34"/>
      <c r="AO16" s="34"/>
      <c r="AP16" s="34"/>
      <c r="AQ16" s="7"/>
      <c r="AR16" s="7"/>
      <c r="AS16" s="7"/>
      <c r="AT16" s="7"/>
      <c r="AU16" s="7"/>
      <c r="AV16" s="7"/>
      <c r="AW16" s="7"/>
      <c r="AX16" s="7"/>
      <c r="AY16" s="7"/>
      <c r="AZ16" s="81">
        <f t="shared" si="14"/>
        <v>80</v>
      </c>
    </row>
    <row r="17" spans="1:52" x14ac:dyDescent="0.25">
      <c r="A17" s="32" t="s">
        <v>76</v>
      </c>
      <c r="B17" s="33" t="s">
        <v>504</v>
      </c>
      <c r="C17" s="33"/>
      <c r="D17" s="44" t="s">
        <v>130</v>
      </c>
      <c r="E17" s="43">
        <f t="shared" si="0"/>
        <v>1079</v>
      </c>
      <c r="F17" s="41"/>
      <c r="G17" s="43">
        <v>1079</v>
      </c>
      <c r="H17" s="53">
        <f t="shared" si="1"/>
        <v>0</v>
      </c>
      <c r="I17" s="40">
        <f t="shared" si="2"/>
        <v>0</v>
      </c>
      <c r="J17" s="40">
        <f t="shared" si="3"/>
        <v>0</v>
      </c>
      <c r="K17" s="54">
        <f>SUMIF(ProductList!$F$4:$F$493,A17,ProductList!$BA$4:$BA$493)</f>
        <v>0</v>
      </c>
      <c r="L17" s="54">
        <f>SUMIF(ProductList!$F$4:$F$493,A17,ProductList!$V$4:$V$493)</f>
        <v>0</v>
      </c>
      <c r="M17" s="54">
        <f>SUMIF(ProductList!$F$4:$F$493,A17,ProductList!$K$4:$K$493)</f>
        <v>0</v>
      </c>
      <c r="N17" s="49" t="s">
        <v>79</v>
      </c>
      <c r="O17" s="81">
        <f t="shared" si="4"/>
        <v>100</v>
      </c>
      <c r="P17" s="56">
        <f t="shared" si="5"/>
        <v>0</v>
      </c>
      <c r="Q17" s="56">
        <f t="shared" si="6"/>
        <v>0</v>
      </c>
      <c r="R17" s="56">
        <f t="shared" si="7"/>
        <v>0</v>
      </c>
      <c r="S17" s="56">
        <f t="shared" si="8"/>
        <v>0</v>
      </c>
      <c r="T17" s="56">
        <f t="shared" si="9"/>
        <v>0</v>
      </c>
      <c r="U17" s="56">
        <f t="shared" si="10"/>
        <v>0</v>
      </c>
      <c r="V17" s="56">
        <f t="shared" si="11"/>
        <v>0</v>
      </c>
      <c r="W17" s="56">
        <f t="shared" si="12"/>
        <v>0</v>
      </c>
      <c r="X17" s="56">
        <f t="shared" si="13"/>
        <v>0</v>
      </c>
      <c r="Y17" s="35"/>
      <c r="Z17" s="35"/>
      <c r="AA17" s="35"/>
      <c r="AB17" s="35"/>
      <c r="AC17" s="35"/>
      <c r="AD17" s="35"/>
      <c r="AE17" s="35"/>
      <c r="AF17" s="35"/>
      <c r="AG17" s="35"/>
      <c r="AH17" s="34"/>
      <c r="AI17" s="34"/>
      <c r="AJ17" s="34"/>
      <c r="AK17" s="34"/>
      <c r="AL17" s="34"/>
      <c r="AM17" s="34"/>
      <c r="AN17" s="34"/>
      <c r="AO17" s="34"/>
      <c r="AP17" s="34"/>
      <c r="AQ17" s="7"/>
      <c r="AR17" s="7"/>
      <c r="AS17" s="7"/>
      <c r="AT17" s="7"/>
      <c r="AU17" s="7"/>
      <c r="AV17" s="7"/>
      <c r="AW17" s="7"/>
      <c r="AX17" s="7"/>
      <c r="AY17" s="7"/>
      <c r="AZ17" s="81">
        <f t="shared" si="14"/>
        <v>80</v>
      </c>
    </row>
    <row r="18" spans="1:52" x14ac:dyDescent="0.25">
      <c r="A18" s="32" t="s">
        <v>166</v>
      </c>
      <c r="B18" s="33" t="s">
        <v>111</v>
      </c>
      <c r="C18" s="33"/>
      <c r="D18" s="44"/>
      <c r="E18" s="43">
        <f t="shared" si="0"/>
        <v>374</v>
      </c>
      <c r="F18" s="41"/>
      <c r="G18" s="43">
        <v>268</v>
      </c>
      <c r="H18" s="53">
        <f t="shared" si="1"/>
        <v>374</v>
      </c>
      <c r="I18" s="40">
        <f t="shared" si="2"/>
        <v>374</v>
      </c>
      <c r="J18" s="40">
        <f t="shared" si="3"/>
        <v>1781196</v>
      </c>
      <c r="K18" s="54">
        <f>SUMIF(ProductList!$F$4:$F$493,A18,ProductList!$BA$4:$BA$493)</f>
        <v>2517592</v>
      </c>
      <c r="L18" s="54">
        <f>SUMIF(ProductList!$F$4:$F$493,A18,ProductList!$V$4:$V$493)</f>
        <v>4760</v>
      </c>
      <c r="M18" s="54">
        <f>SUMIF(ProductList!$F$4:$F$493,A18,ProductList!$K$4:$K$493)</f>
        <v>0</v>
      </c>
      <c r="N18" s="49" t="s">
        <v>79</v>
      </c>
      <c r="O18" s="81">
        <f t="shared" si="4"/>
        <v>80</v>
      </c>
      <c r="P18" s="56">
        <f t="shared" si="5"/>
        <v>0</v>
      </c>
      <c r="Q18" s="56">
        <f t="shared" si="6"/>
        <v>503518.4</v>
      </c>
      <c r="R18" s="56">
        <f t="shared" si="7"/>
        <v>679749.84000000008</v>
      </c>
      <c r="S18" s="56">
        <f t="shared" si="8"/>
        <v>251759.2</v>
      </c>
      <c r="T18" s="56">
        <f t="shared" si="9"/>
        <v>0</v>
      </c>
      <c r="U18" s="56">
        <f t="shared" si="10"/>
        <v>251759.2</v>
      </c>
      <c r="V18" s="56">
        <f t="shared" si="11"/>
        <v>0</v>
      </c>
      <c r="W18" s="56">
        <f t="shared" si="12"/>
        <v>0</v>
      </c>
      <c r="X18" s="56">
        <f t="shared" si="13"/>
        <v>94409.700000000012</v>
      </c>
      <c r="Y18" s="35"/>
      <c r="Z18" s="35">
        <v>0.2</v>
      </c>
      <c r="AA18" s="35">
        <v>0.18</v>
      </c>
      <c r="AB18" s="35">
        <v>0.1</v>
      </c>
      <c r="AC18" s="35"/>
      <c r="AD18" s="35">
        <v>0.1</v>
      </c>
      <c r="AE18" s="35"/>
      <c r="AF18" s="35"/>
      <c r="AG18" s="35">
        <v>2.5000000000000001E-2</v>
      </c>
      <c r="AH18" s="34"/>
      <c r="AI18" s="34">
        <v>80</v>
      </c>
      <c r="AJ18" s="34"/>
      <c r="AK18" s="34"/>
      <c r="AL18" s="34"/>
      <c r="AM18" s="34">
        <v>40</v>
      </c>
      <c r="AN18" s="34"/>
      <c r="AO18" s="34"/>
      <c r="AP18" s="34"/>
      <c r="AQ18" s="7"/>
      <c r="AR18" s="7"/>
      <c r="AS18" s="7"/>
      <c r="AT18" s="7"/>
      <c r="AU18" s="7"/>
      <c r="AV18" s="7"/>
      <c r="AW18" s="7"/>
      <c r="AX18" s="7"/>
      <c r="AY18" s="7"/>
      <c r="AZ18" s="81">
        <f t="shared" si="14"/>
        <v>80</v>
      </c>
    </row>
    <row r="19" spans="1:52" x14ac:dyDescent="0.25">
      <c r="A19" s="32" t="s">
        <v>61</v>
      </c>
      <c r="B19" s="33" t="s">
        <v>167</v>
      </c>
      <c r="C19" s="33"/>
      <c r="D19" s="44" t="s">
        <v>130</v>
      </c>
      <c r="E19" s="43">
        <f t="shared" si="0"/>
        <v>80</v>
      </c>
      <c r="F19" s="41" t="s">
        <v>122</v>
      </c>
      <c r="G19" s="43">
        <v>80</v>
      </c>
      <c r="H19" s="53">
        <f t="shared" si="1"/>
        <v>0</v>
      </c>
      <c r="I19" s="40">
        <f t="shared" si="2"/>
        <v>0</v>
      </c>
      <c r="J19" s="40">
        <f t="shared" si="3"/>
        <v>0</v>
      </c>
      <c r="K19" s="54">
        <f>SUMIF(ProductList!$F$4:$F$493,A19,ProductList!$BA$4:$BA$493)</f>
        <v>0</v>
      </c>
      <c r="L19" s="54">
        <f>SUMIF(ProductList!$F$4:$F$493,A19,ProductList!$V$4:$V$493)</f>
        <v>0</v>
      </c>
      <c r="M19" s="54">
        <f>SUMIF(ProductList!$F$4:$F$493,A19,ProductList!$K$4:$K$493)</f>
        <v>0</v>
      </c>
      <c r="N19" s="49" t="s">
        <v>79</v>
      </c>
      <c r="O19" s="81">
        <f t="shared" si="4"/>
        <v>100</v>
      </c>
      <c r="P19" s="56">
        <f t="shared" si="5"/>
        <v>0</v>
      </c>
      <c r="Q19" s="56">
        <f t="shared" si="6"/>
        <v>0</v>
      </c>
      <c r="R19" s="56">
        <f t="shared" si="7"/>
        <v>0</v>
      </c>
      <c r="S19" s="56">
        <f t="shared" si="8"/>
        <v>0</v>
      </c>
      <c r="T19" s="56">
        <f t="shared" si="9"/>
        <v>0</v>
      </c>
      <c r="U19" s="56">
        <f t="shared" si="10"/>
        <v>0</v>
      </c>
      <c r="V19" s="56">
        <f t="shared" si="11"/>
        <v>0</v>
      </c>
      <c r="W19" s="56">
        <f t="shared" si="12"/>
        <v>0</v>
      </c>
      <c r="X19" s="56">
        <f t="shared" si="13"/>
        <v>0</v>
      </c>
      <c r="Y19" s="35"/>
      <c r="Z19" s="35">
        <v>0.2</v>
      </c>
      <c r="AA19" s="35">
        <v>0.18</v>
      </c>
      <c r="AB19" s="35">
        <v>0.1</v>
      </c>
      <c r="AC19" s="35"/>
      <c r="AD19" s="35">
        <v>0.1</v>
      </c>
      <c r="AE19" s="35"/>
      <c r="AF19" s="35"/>
      <c r="AG19" s="35">
        <v>2.5000000000000001E-2</v>
      </c>
      <c r="AH19" s="34"/>
      <c r="AI19" s="34">
        <v>80</v>
      </c>
      <c r="AJ19" s="34"/>
      <c r="AK19" s="34"/>
      <c r="AL19" s="34"/>
      <c r="AM19" s="34">
        <v>40</v>
      </c>
      <c r="AN19" s="34"/>
      <c r="AO19" s="34"/>
      <c r="AP19" s="34"/>
      <c r="AQ19" s="7"/>
      <c r="AR19" s="7"/>
      <c r="AS19" s="7"/>
      <c r="AT19" s="7"/>
      <c r="AU19" s="7"/>
      <c r="AV19" s="7"/>
      <c r="AW19" s="7"/>
      <c r="AX19" s="7"/>
      <c r="AY19" s="7"/>
      <c r="AZ19" s="81">
        <f t="shared" si="14"/>
        <v>80</v>
      </c>
    </row>
    <row r="20" spans="1:52" x14ac:dyDescent="0.25">
      <c r="A20" s="32" t="s">
        <v>62</v>
      </c>
      <c r="B20" s="33" t="s">
        <v>163</v>
      </c>
      <c r="C20" s="33"/>
      <c r="D20" s="44" t="s">
        <v>130</v>
      </c>
      <c r="E20" s="43">
        <f t="shared" si="0"/>
        <v>300</v>
      </c>
      <c r="F20" s="41"/>
      <c r="G20" s="43">
        <v>300</v>
      </c>
      <c r="H20" s="53">
        <f t="shared" si="1"/>
        <v>0</v>
      </c>
      <c r="I20" s="40">
        <f t="shared" si="2"/>
        <v>0</v>
      </c>
      <c r="J20" s="40">
        <f t="shared" si="3"/>
        <v>0</v>
      </c>
      <c r="K20" s="54">
        <f>SUMIF(ProductList!$F$4:$F$493,A20,ProductList!$BA$4:$BA$493)</f>
        <v>0</v>
      </c>
      <c r="L20" s="54">
        <f>SUMIF(ProductList!$F$4:$F$493,A20,ProductList!$V$4:$V$493)</f>
        <v>0</v>
      </c>
      <c r="M20" s="54">
        <f>SUMIF(ProductList!$F$4:$F$493,A20,ProductList!$K$4:$K$493)</f>
        <v>0</v>
      </c>
      <c r="N20" s="49" t="s">
        <v>79</v>
      </c>
      <c r="O20" s="81">
        <f t="shared" si="4"/>
        <v>100</v>
      </c>
      <c r="P20" s="56">
        <f t="shared" si="5"/>
        <v>0</v>
      </c>
      <c r="Q20" s="56">
        <f t="shared" si="6"/>
        <v>0</v>
      </c>
      <c r="R20" s="56">
        <f t="shared" si="7"/>
        <v>0</v>
      </c>
      <c r="S20" s="56">
        <f t="shared" si="8"/>
        <v>0</v>
      </c>
      <c r="T20" s="56">
        <f t="shared" si="9"/>
        <v>0</v>
      </c>
      <c r="U20" s="56">
        <f t="shared" si="10"/>
        <v>0</v>
      </c>
      <c r="V20" s="56">
        <f t="shared" si="11"/>
        <v>0</v>
      </c>
      <c r="W20" s="56">
        <f t="shared" si="12"/>
        <v>0</v>
      </c>
      <c r="X20" s="56">
        <f t="shared" si="13"/>
        <v>0</v>
      </c>
      <c r="Y20" s="34"/>
      <c r="Z20" s="35">
        <v>0.2</v>
      </c>
      <c r="AA20" s="35">
        <v>0.18</v>
      </c>
      <c r="AB20" s="35"/>
      <c r="AC20" s="35"/>
      <c r="AD20" s="35">
        <v>0.1</v>
      </c>
      <c r="AE20" s="35"/>
      <c r="AF20" s="35"/>
      <c r="AG20" s="35">
        <v>2.5000000000000001E-2</v>
      </c>
      <c r="AH20" s="34"/>
      <c r="AI20" s="34"/>
      <c r="AJ20" s="34"/>
      <c r="AK20" s="34"/>
      <c r="AL20" s="34"/>
      <c r="AM20" s="34"/>
      <c r="AN20" s="34"/>
      <c r="AO20" s="34"/>
      <c r="AP20" s="34"/>
      <c r="AQ20" s="7"/>
      <c r="AR20" s="7"/>
      <c r="AS20" s="7"/>
      <c r="AT20" s="7"/>
      <c r="AU20" s="7"/>
      <c r="AV20" s="7"/>
      <c r="AW20" s="7"/>
      <c r="AX20" s="7"/>
      <c r="AY20" s="7"/>
      <c r="AZ20" s="81">
        <f t="shared" si="14"/>
        <v>80</v>
      </c>
    </row>
    <row r="21" spans="1:52" x14ac:dyDescent="0.25">
      <c r="A21" s="32" t="s">
        <v>70</v>
      </c>
      <c r="B21" s="33" t="s">
        <v>115</v>
      </c>
      <c r="C21" s="33"/>
      <c r="D21" s="44"/>
      <c r="E21" s="43">
        <f t="shared" si="0"/>
        <v>0</v>
      </c>
      <c r="F21" s="41"/>
      <c r="G21" s="43">
        <v>107</v>
      </c>
      <c r="H21" s="53">
        <f t="shared" si="1"/>
        <v>0</v>
      </c>
      <c r="I21" s="40">
        <f t="shared" si="2"/>
        <v>0</v>
      </c>
      <c r="J21" s="40">
        <f t="shared" si="3"/>
        <v>0</v>
      </c>
      <c r="K21" s="54">
        <f>SUMIF(ProductList!$F$4:$F$493,A21,ProductList!$BA$4:$BA$493)</f>
        <v>0</v>
      </c>
      <c r="L21" s="54">
        <f>SUMIF(ProductList!$F$4:$F$493,A21,ProductList!$V$4:$V$493)</f>
        <v>0</v>
      </c>
      <c r="M21" s="54">
        <f>SUMIF(ProductList!$F$4:$F$493,A21,ProductList!$K$4:$K$493)</f>
        <v>0</v>
      </c>
      <c r="N21" s="49" t="s">
        <v>79</v>
      </c>
      <c r="O21" s="81">
        <f t="shared" si="4"/>
        <v>80</v>
      </c>
      <c r="P21" s="56">
        <f t="shared" si="5"/>
        <v>0</v>
      </c>
      <c r="Q21" s="56">
        <f t="shared" si="6"/>
        <v>0</v>
      </c>
      <c r="R21" s="56">
        <f t="shared" si="7"/>
        <v>0</v>
      </c>
      <c r="S21" s="56">
        <f t="shared" si="8"/>
        <v>0</v>
      </c>
      <c r="T21" s="56">
        <f t="shared" si="9"/>
        <v>0</v>
      </c>
      <c r="U21" s="56">
        <f t="shared" si="10"/>
        <v>0</v>
      </c>
      <c r="V21" s="56">
        <f t="shared" si="11"/>
        <v>0</v>
      </c>
      <c r="W21" s="56">
        <f t="shared" si="12"/>
        <v>0</v>
      </c>
      <c r="X21" s="56">
        <f t="shared" si="13"/>
        <v>0</v>
      </c>
      <c r="Y21" s="35"/>
      <c r="Z21" s="35"/>
      <c r="AA21" s="35"/>
      <c r="AB21" s="35"/>
      <c r="AC21" s="35"/>
      <c r="AD21" s="35"/>
      <c r="AE21" s="35"/>
      <c r="AF21" s="35"/>
      <c r="AG21" s="35"/>
      <c r="AH21" s="34"/>
      <c r="AI21" s="34"/>
      <c r="AJ21" s="34"/>
      <c r="AK21" s="34"/>
      <c r="AL21" s="34"/>
      <c r="AM21" s="34"/>
      <c r="AN21" s="34"/>
      <c r="AO21" s="34"/>
      <c r="AP21" s="34"/>
      <c r="AQ21" s="7"/>
      <c r="AR21" s="7"/>
      <c r="AS21" s="7"/>
      <c r="AT21" s="7"/>
      <c r="AU21" s="7"/>
      <c r="AV21" s="7"/>
      <c r="AW21" s="7"/>
      <c r="AX21" s="7"/>
      <c r="AY21" s="7"/>
      <c r="AZ21" s="81">
        <f t="shared" si="14"/>
        <v>80</v>
      </c>
    </row>
    <row r="22" spans="1:52" x14ac:dyDescent="0.25">
      <c r="A22" s="32" t="s">
        <v>73</v>
      </c>
      <c r="B22" s="33" t="s">
        <v>112</v>
      </c>
      <c r="C22" s="33"/>
      <c r="D22" s="44" t="s">
        <v>170</v>
      </c>
      <c r="E22" s="43">
        <f t="shared" si="0"/>
        <v>0</v>
      </c>
      <c r="F22" s="41" t="s">
        <v>122</v>
      </c>
      <c r="G22" s="43">
        <v>159</v>
      </c>
      <c r="H22" s="53">
        <f t="shared" si="1"/>
        <v>0</v>
      </c>
      <c r="I22" s="40">
        <f t="shared" si="2"/>
        <v>0</v>
      </c>
      <c r="J22" s="40">
        <f t="shared" si="3"/>
        <v>0</v>
      </c>
      <c r="K22" s="54">
        <f>SUMIF(ProductList!$F$4:$F$493,A22,ProductList!$BA$4:$BA$493)</f>
        <v>0</v>
      </c>
      <c r="L22" s="54">
        <f>SUMIF(ProductList!$F$4:$F$493,A22,ProductList!$V$4:$V$493)</f>
        <v>0</v>
      </c>
      <c r="M22" s="54">
        <f>SUMIF(ProductList!$F$4:$F$493,A22,ProductList!$K$4:$K$493)</f>
        <v>0</v>
      </c>
      <c r="N22" s="49" t="s">
        <v>79</v>
      </c>
      <c r="O22" s="81">
        <f t="shared" si="4"/>
        <v>80</v>
      </c>
      <c r="P22" s="56">
        <f t="shared" si="5"/>
        <v>0</v>
      </c>
      <c r="Q22" s="56">
        <f t="shared" si="6"/>
        <v>0</v>
      </c>
      <c r="R22" s="56">
        <f t="shared" si="7"/>
        <v>0</v>
      </c>
      <c r="S22" s="56">
        <f t="shared" si="8"/>
        <v>0</v>
      </c>
      <c r="T22" s="56">
        <f t="shared" si="9"/>
        <v>0</v>
      </c>
      <c r="U22" s="56">
        <f t="shared" si="10"/>
        <v>0</v>
      </c>
      <c r="V22" s="56">
        <f t="shared" si="11"/>
        <v>0</v>
      </c>
      <c r="W22" s="56">
        <f t="shared" si="12"/>
        <v>0</v>
      </c>
      <c r="X22" s="56">
        <f t="shared" si="13"/>
        <v>0</v>
      </c>
      <c r="Y22" s="35"/>
      <c r="Z22" s="35">
        <v>0.2</v>
      </c>
      <c r="AA22" s="35">
        <v>0.18</v>
      </c>
      <c r="AB22" s="35">
        <v>0.1</v>
      </c>
      <c r="AC22" s="35"/>
      <c r="AD22" s="35">
        <v>0.25</v>
      </c>
      <c r="AE22" s="35"/>
      <c r="AF22" s="35"/>
      <c r="AG22" s="35">
        <v>2.5000000000000001E-2</v>
      </c>
      <c r="AH22" s="34"/>
      <c r="AI22" s="34"/>
      <c r="AJ22" s="34"/>
      <c r="AK22" s="34"/>
      <c r="AL22" s="34"/>
      <c r="AM22" s="34"/>
      <c r="AN22" s="34"/>
      <c r="AO22" s="34"/>
      <c r="AP22" s="34"/>
      <c r="AQ22" s="7"/>
      <c r="AR22" s="7"/>
      <c r="AS22" s="7"/>
      <c r="AT22" s="7"/>
      <c r="AU22" s="7"/>
      <c r="AV22" s="7"/>
      <c r="AW22" s="7"/>
      <c r="AX22" s="7"/>
      <c r="AY22" s="7"/>
      <c r="AZ22" s="81">
        <f t="shared" si="14"/>
        <v>80</v>
      </c>
    </row>
    <row r="23" spans="1:52" x14ac:dyDescent="0.25">
      <c r="A23" s="32" t="s">
        <v>159</v>
      </c>
      <c r="B23" s="33" t="s">
        <v>160</v>
      </c>
      <c r="C23" s="33"/>
      <c r="D23" s="44"/>
      <c r="E23" s="43">
        <f t="shared" si="0"/>
        <v>0</v>
      </c>
      <c r="F23" s="41" t="s">
        <v>122</v>
      </c>
      <c r="G23" s="43"/>
      <c r="H23" s="53">
        <f t="shared" si="1"/>
        <v>0</v>
      </c>
      <c r="I23" s="40">
        <f t="shared" si="2"/>
        <v>0</v>
      </c>
      <c r="J23" s="40">
        <f t="shared" si="3"/>
        <v>0</v>
      </c>
      <c r="K23" s="54">
        <f>SUMIF(ProductList!$F$4:$F$493,A23,ProductList!$BA$4:$BA$493)</f>
        <v>0</v>
      </c>
      <c r="L23" s="54">
        <f>SUMIF(ProductList!$F$4:$F$493,A23,ProductList!$V$4:$V$493)</f>
        <v>0</v>
      </c>
      <c r="M23" s="54">
        <f>SUMIF(ProductList!$F$4:$F$493,A23,ProductList!$K$4:$K$493)</f>
        <v>0</v>
      </c>
      <c r="N23" s="49" t="s">
        <v>79</v>
      </c>
      <c r="O23" s="81">
        <f t="shared" si="4"/>
        <v>80</v>
      </c>
      <c r="P23" s="56">
        <f t="shared" si="5"/>
        <v>0</v>
      </c>
      <c r="Q23" s="56">
        <f t="shared" si="6"/>
        <v>0</v>
      </c>
      <c r="R23" s="56">
        <f t="shared" si="7"/>
        <v>0</v>
      </c>
      <c r="S23" s="56">
        <f t="shared" si="8"/>
        <v>0</v>
      </c>
      <c r="T23" s="56">
        <f t="shared" si="9"/>
        <v>0</v>
      </c>
      <c r="U23" s="56">
        <f t="shared" si="10"/>
        <v>0</v>
      </c>
      <c r="V23" s="56">
        <f t="shared" si="11"/>
        <v>0</v>
      </c>
      <c r="W23" s="56">
        <f t="shared" si="12"/>
        <v>0</v>
      </c>
      <c r="X23" s="56">
        <f t="shared" si="13"/>
        <v>0</v>
      </c>
      <c r="Y23" s="34"/>
      <c r="Z23" s="35">
        <v>0.2</v>
      </c>
      <c r="AA23" s="35">
        <v>0.18</v>
      </c>
      <c r="AB23" s="35"/>
      <c r="AC23" s="35"/>
      <c r="AD23" s="35">
        <v>0.1</v>
      </c>
      <c r="AE23" s="35"/>
      <c r="AF23" s="35"/>
      <c r="AG23" s="35">
        <v>2.5000000000000001E-2</v>
      </c>
      <c r="AH23" s="34"/>
      <c r="AI23" s="34"/>
      <c r="AJ23" s="34"/>
      <c r="AK23" s="34"/>
      <c r="AL23" s="34"/>
      <c r="AM23" s="34"/>
      <c r="AN23" s="34"/>
      <c r="AO23" s="34"/>
      <c r="AP23" s="34"/>
      <c r="AQ23" s="7"/>
      <c r="AR23" s="7"/>
      <c r="AS23" s="7"/>
      <c r="AT23" s="7"/>
      <c r="AU23" s="7"/>
      <c r="AV23" s="7"/>
      <c r="AW23" s="7"/>
      <c r="AX23" s="7"/>
      <c r="AY23" s="7"/>
      <c r="AZ23" s="81">
        <f t="shared" si="14"/>
        <v>80</v>
      </c>
    </row>
    <row r="24" spans="1:52" x14ac:dyDescent="0.25">
      <c r="A24" s="32" t="s">
        <v>74</v>
      </c>
      <c r="B24" s="33"/>
      <c r="C24" s="33"/>
      <c r="D24" s="44"/>
      <c r="E24" s="43">
        <f t="shared" si="0"/>
        <v>0</v>
      </c>
      <c r="F24" s="41"/>
      <c r="G24" s="43">
        <v>334</v>
      </c>
      <c r="H24" s="53">
        <f t="shared" si="1"/>
        <v>0</v>
      </c>
      <c r="I24" s="40">
        <f t="shared" si="2"/>
        <v>0</v>
      </c>
      <c r="J24" s="40">
        <f t="shared" si="3"/>
        <v>0</v>
      </c>
      <c r="K24" s="54">
        <f>SUMIF(ProductList!$F$4:$F$493,A24,ProductList!$BA$4:$BA$493)</f>
        <v>0</v>
      </c>
      <c r="L24" s="54">
        <f>SUMIF(ProductList!$F$4:$F$493,A24,ProductList!$V$4:$V$493)</f>
        <v>0</v>
      </c>
      <c r="M24" s="54">
        <f>SUMIF(ProductList!$F$4:$F$493,A24,ProductList!$K$4:$K$493)</f>
        <v>0</v>
      </c>
      <c r="N24" s="49" t="s">
        <v>79</v>
      </c>
      <c r="O24" s="81">
        <f t="shared" si="4"/>
        <v>80</v>
      </c>
      <c r="P24" s="56">
        <f t="shared" si="5"/>
        <v>0</v>
      </c>
      <c r="Q24" s="56">
        <f t="shared" si="6"/>
        <v>0</v>
      </c>
      <c r="R24" s="56">
        <f t="shared" si="7"/>
        <v>0</v>
      </c>
      <c r="S24" s="56">
        <f t="shared" si="8"/>
        <v>0</v>
      </c>
      <c r="T24" s="56">
        <f t="shared" si="9"/>
        <v>0</v>
      </c>
      <c r="U24" s="56">
        <f t="shared" si="10"/>
        <v>0</v>
      </c>
      <c r="V24" s="56">
        <f t="shared" si="11"/>
        <v>0</v>
      </c>
      <c r="W24" s="56">
        <f t="shared" si="12"/>
        <v>0</v>
      </c>
      <c r="X24" s="56">
        <f t="shared" si="13"/>
        <v>0</v>
      </c>
      <c r="Y24" s="35"/>
      <c r="Z24" s="35"/>
      <c r="AA24" s="35"/>
      <c r="AB24" s="35"/>
      <c r="AC24" s="35"/>
      <c r="AD24" s="35"/>
      <c r="AE24" s="35"/>
      <c r="AF24" s="35"/>
      <c r="AG24" s="35"/>
      <c r="AH24" s="34"/>
      <c r="AI24" s="34"/>
      <c r="AJ24" s="34"/>
      <c r="AK24" s="34"/>
      <c r="AL24" s="34"/>
      <c r="AM24" s="34"/>
      <c r="AN24" s="34"/>
      <c r="AO24" s="34"/>
      <c r="AP24" s="34"/>
      <c r="AQ24" s="7"/>
      <c r="AR24" s="7"/>
      <c r="AS24" s="7"/>
      <c r="AT24" s="7"/>
      <c r="AU24" s="7"/>
      <c r="AV24" s="7"/>
      <c r="AW24" s="7"/>
      <c r="AX24" s="7"/>
      <c r="AY24" s="7"/>
      <c r="AZ24" s="81">
        <f t="shared" si="14"/>
        <v>80</v>
      </c>
    </row>
    <row r="25" spans="1:52" x14ac:dyDescent="0.25">
      <c r="A25" s="32" t="s">
        <v>190</v>
      </c>
      <c r="B25" s="33" t="s">
        <v>191</v>
      </c>
      <c r="C25" s="33"/>
      <c r="D25" s="44" t="s">
        <v>170</v>
      </c>
      <c r="E25" s="43">
        <f t="shared" si="0"/>
        <v>0</v>
      </c>
      <c r="F25" s="41"/>
      <c r="G25" s="43"/>
      <c r="H25" s="53">
        <f t="shared" si="1"/>
        <v>0</v>
      </c>
      <c r="I25" s="40">
        <f t="shared" si="2"/>
        <v>0</v>
      </c>
      <c r="J25" s="40">
        <f t="shared" si="3"/>
        <v>0</v>
      </c>
      <c r="K25" s="54">
        <f>SUMIF(ProductList!$F$4:$F$493,A25,ProductList!$BA$4:$BA$493)</f>
        <v>0</v>
      </c>
      <c r="L25" s="54">
        <f>SUMIF(ProductList!$F$4:$F$493,A25,ProductList!$V$4:$V$493)</f>
        <v>0</v>
      </c>
      <c r="M25" s="54">
        <f>SUMIF(ProductList!$F$4:$F$493,A25,ProductList!$K$4:$K$493)</f>
        <v>0</v>
      </c>
      <c r="N25" s="49" t="s">
        <v>79</v>
      </c>
      <c r="O25" s="81">
        <f t="shared" si="4"/>
        <v>80</v>
      </c>
      <c r="P25" s="56">
        <f t="shared" si="5"/>
        <v>0</v>
      </c>
      <c r="Q25" s="56">
        <f t="shared" si="6"/>
        <v>0</v>
      </c>
      <c r="R25" s="56">
        <f t="shared" si="7"/>
        <v>0</v>
      </c>
      <c r="S25" s="56">
        <f t="shared" si="8"/>
        <v>0</v>
      </c>
      <c r="T25" s="56">
        <f t="shared" si="9"/>
        <v>0</v>
      </c>
      <c r="U25" s="56">
        <f t="shared" si="10"/>
        <v>0</v>
      </c>
      <c r="V25" s="56">
        <f t="shared" si="11"/>
        <v>0</v>
      </c>
      <c r="W25" s="56">
        <f t="shared" si="12"/>
        <v>0</v>
      </c>
      <c r="X25" s="56">
        <f t="shared" si="13"/>
        <v>0</v>
      </c>
      <c r="Y25" s="34"/>
      <c r="Z25" s="35">
        <v>0.2</v>
      </c>
      <c r="AA25" s="35">
        <v>0.18</v>
      </c>
      <c r="AB25" s="35"/>
      <c r="AC25" s="35"/>
      <c r="AD25" s="35">
        <v>0.25</v>
      </c>
      <c r="AE25" s="35"/>
      <c r="AF25" s="35"/>
      <c r="AG25" s="35">
        <v>2.5000000000000001E-2</v>
      </c>
      <c r="AH25" s="34"/>
      <c r="AI25" s="34">
        <v>65</v>
      </c>
      <c r="AJ25" s="34"/>
      <c r="AK25" s="34"/>
      <c r="AL25" s="34"/>
      <c r="AM25" s="34">
        <v>80</v>
      </c>
      <c r="AN25" s="34"/>
      <c r="AO25" s="34"/>
      <c r="AP25" s="34"/>
      <c r="AQ25" s="7"/>
      <c r="AR25" s="7"/>
      <c r="AS25" s="7"/>
      <c r="AT25" s="7"/>
      <c r="AU25" s="7"/>
      <c r="AV25" s="7"/>
      <c r="AW25" s="7"/>
      <c r="AX25" s="7"/>
      <c r="AY25" s="7"/>
      <c r="AZ25" s="81">
        <f t="shared" si="14"/>
        <v>80</v>
      </c>
    </row>
    <row r="26" spans="1:52" x14ac:dyDescent="0.25">
      <c r="A26" s="32" t="s">
        <v>164</v>
      </c>
      <c r="B26" s="33" t="s">
        <v>165</v>
      </c>
      <c r="C26" s="33"/>
      <c r="D26" s="44"/>
      <c r="E26" s="43">
        <f t="shared" si="0"/>
        <v>0</v>
      </c>
      <c r="F26" s="41" t="s">
        <v>122</v>
      </c>
      <c r="G26" s="43"/>
      <c r="H26" s="53">
        <f t="shared" si="1"/>
        <v>0</v>
      </c>
      <c r="I26" s="40">
        <f t="shared" si="2"/>
        <v>0</v>
      </c>
      <c r="J26" s="40">
        <f t="shared" si="3"/>
        <v>0</v>
      </c>
      <c r="K26" s="54">
        <f>SUMIF(ProductList!$F$4:$F$493,A26,ProductList!$BA$4:$BA$493)</f>
        <v>0</v>
      </c>
      <c r="L26" s="54">
        <f>SUMIF(ProductList!$F$4:$F$493,A26,ProductList!$V$4:$V$493)</f>
        <v>0</v>
      </c>
      <c r="M26" s="54">
        <f>SUMIF(ProductList!$F$4:$F$493,A26,ProductList!$K$4:$K$493)</f>
        <v>0</v>
      </c>
      <c r="N26" s="49" t="s">
        <v>79</v>
      </c>
      <c r="O26" s="81">
        <f t="shared" si="4"/>
        <v>80</v>
      </c>
      <c r="P26" s="56">
        <f t="shared" si="5"/>
        <v>0</v>
      </c>
      <c r="Q26" s="56">
        <f t="shared" si="6"/>
        <v>0</v>
      </c>
      <c r="R26" s="56">
        <f t="shared" si="7"/>
        <v>0</v>
      </c>
      <c r="S26" s="56">
        <f t="shared" si="8"/>
        <v>0</v>
      </c>
      <c r="T26" s="56">
        <f t="shared" si="9"/>
        <v>0</v>
      </c>
      <c r="U26" s="56">
        <f t="shared" si="10"/>
        <v>0</v>
      </c>
      <c r="V26" s="56">
        <f t="shared" si="11"/>
        <v>0</v>
      </c>
      <c r="W26" s="56">
        <f t="shared" si="12"/>
        <v>0</v>
      </c>
      <c r="X26" s="56">
        <f t="shared" si="13"/>
        <v>0</v>
      </c>
      <c r="Y26" s="34"/>
      <c r="Z26" s="35">
        <v>0.2</v>
      </c>
      <c r="AA26" s="35">
        <v>0.18</v>
      </c>
      <c r="AB26" s="35"/>
      <c r="AC26" s="35"/>
      <c r="AD26" s="35"/>
      <c r="AE26" s="35"/>
      <c r="AF26" s="35"/>
      <c r="AG26" s="35">
        <v>2.5000000000000001E-2</v>
      </c>
      <c r="AH26" s="34"/>
      <c r="AI26" s="34"/>
      <c r="AJ26" s="34"/>
      <c r="AK26" s="34"/>
      <c r="AL26" s="34"/>
      <c r="AM26" s="34"/>
      <c r="AN26" s="34"/>
      <c r="AO26" s="34"/>
      <c r="AP26" s="34"/>
      <c r="AQ26" s="7"/>
      <c r="AR26" s="7"/>
      <c r="AS26" s="7"/>
      <c r="AT26" s="7"/>
      <c r="AU26" s="7"/>
      <c r="AV26" s="7"/>
      <c r="AW26" s="7"/>
      <c r="AX26" s="7"/>
      <c r="AY26" s="7"/>
      <c r="AZ26" s="81">
        <f t="shared" si="14"/>
        <v>80</v>
      </c>
    </row>
    <row r="27" spans="1:52" x14ac:dyDescent="0.25">
      <c r="A27" s="32" t="s">
        <v>147</v>
      </c>
      <c r="B27" s="33" t="s">
        <v>148</v>
      </c>
      <c r="C27" s="33"/>
      <c r="D27" s="44" t="s">
        <v>170</v>
      </c>
      <c r="E27" s="43">
        <f t="shared" si="0"/>
        <v>1130</v>
      </c>
      <c r="F27" s="41"/>
      <c r="G27" s="43"/>
      <c r="H27" s="53">
        <f t="shared" si="1"/>
        <v>1130</v>
      </c>
      <c r="I27" s="40">
        <f t="shared" si="2"/>
        <v>1130</v>
      </c>
      <c r="J27" s="40">
        <f t="shared" si="3"/>
        <v>67824</v>
      </c>
      <c r="K27" s="54">
        <f>SUMIF(ProductList!$F$4:$F$493,A27,ProductList!$BA$4:$BA$493)</f>
        <v>195178.4</v>
      </c>
      <c r="L27" s="54">
        <f>SUMIF(ProductList!$F$4:$F$493,A27,ProductList!$V$4:$V$493)</f>
        <v>60</v>
      </c>
      <c r="M27" s="54">
        <f>SUMIF(ProductList!$F$4:$F$493,A27,ProductList!$K$4:$K$493)</f>
        <v>0</v>
      </c>
      <c r="N27" s="49" t="s">
        <v>79</v>
      </c>
      <c r="O27" s="81">
        <f t="shared" si="4"/>
        <v>80</v>
      </c>
      <c r="P27" s="56">
        <f t="shared" si="5"/>
        <v>0</v>
      </c>
      <c r="Q27" s="56">
        <f t="shared" si="6"/>
        <v>0</v>
      </c>
      <c r="R27" s="56">
        <f t="shared" si="7"/>
        <v>42158.534400000004</v>
      </c>
      <c r="S27" s="56">
        <f t="shared" si="8"/>
        <v>19517.84</v>
      </c>
      <c r="T27" s="56">
        <f t="shared" si="9"/>
        <v>11710.704</v>
      </c>
      <c r="U27" s="56">
        <f t="shared" si="10"/>
        <v>0</v>
      </c>
      <c r="V27" s="56">
        <f t="shared" si="11"/>
        <v>0</v>
      </c>
      <c r="W27" s="56">
        <f t="shared" si="12"/>
        <v>0</v>
      </c>
      <c r="X27" s="56">
        <f t="shared" si="13"/>
        <v>6148.1196000000009</v>
      </c>
      <c r="Y27" s="35"/>
      <c r="Z27" s="35"/>
      <c r="AA27" s="35">
        <v>0.18</v>
      </c>
      <c r="AB27" s="35">
        <v>0.1</v>
      </c>
      <c r="AC27" s="35">
        <v>0.06</v>
      </c>
      <c r="AD27" s="35"/>
      <c r="AE27" s="35"/>
      <c r="AF27" s="35"/>
      <c r="AG27" s="35">
        <v>2.5000000000000001E-2</v>
      </c>
      <c r="AH27" s="34"/>
      <c r="AI27" s="34"/>
      <c r="AJ27" s="34"/>
      <c r="AK27" s="34"/>
      <c r="AL27" s="34"/>
      <c r="AM27" s="34"/>
      <c r="AN27" s="34"/>
      <c r="AO27" s="34"/>
      <c r="AP27" s="34"/>
      <c r="AQ27" s="7"/>
      <c r="AR27" s="7"/>
      <c r="AS27" s="7"/>
      <c r="AT27" s="7"/>
      <c r="AU27" s="7"/>
      <c r="AV27" s="7"/>
      <c r="AW27" s="7"/>
      <c r="AX27" s="7"/>
      <c r="AY27" s="7"/>
      <c r="AZ27" s="81">
        <f t="shared" si="14"/>
        <v>80</v>
      </c>
    </row>
    <row r="28" spans="1:52" x14ac:dyDescent="0.25">
      <c r="A28" s="32" t="s">
        <v>205</v>
      </c>
      <c r="B28" s="33" t="s">
        <v>124</v>
      </c>
      <c r="C28" s="33"/>
      <c r="D28" s="44" t="s">
        <v>170</v>
      </c>
      <c r="E28" s="43">
        <f t="shared" si="0"/>
        <v>0</v>
      </c>
      <c r="F28" s="41" t="s">
        <v>152</v>
      </c>
      <c r="G28" s="43"/>
      <c r="H28" s="53">
        <f t="shared" si="1"/>
        <v>0</v>
      </c>
      <c r="I28" s="40">
        <f t="shared" si="2"/>
        <v>0</v>
      </c>
      <c r="J28" s="40">
        <f t="shared" si="3"/>
        <v>0</v>
      </c>
      <c r="K28" s="54">
        <f>SUMIF(ProductList!$F$4:$F$493,A28,ProductList!$BA$4:$BA$493)</f>
        <v>0</v>
      </c>
      <c r="L28" s="54">
        <f>SUMIF(ProductList!$F$4:$F$493,A28,ProductList!$V$4:$V$493)</f>
        <v>0</v>
      </c>
      <c r="M28" s="54">
        <f>SUMIF(ProductList!$F$4:$F$493,A28,ProductList!$K$4:$K$493)</f>
        <v>0</v>
      </c>
      <c r="N28" s="49" t="s">
        <v>79</v>
      </c>
      <c r="O28" s="81">
        <f t="shared" si="4"/>
        <v>80</v>
      </c>
      <c r="P28" s="56">
        <f t="shared" si="5"/>
        <v>0</v>
      </c>
      <c r="Q28" s="56">
        <f t="shared" si="6"/>
        <v>0</v>
      </c>
      <c r="R28" s="56">
        <f t="shared" si="7"/>
        <v>0</v>
      </c>
      <c r="S28" s="56">
        <f t="shared" si="8"/>
        <v>0</v>
      </c>
      <c r="T28" s="56">
        <f t="shared" si="9"/>
        <v>0</v>
      </c>
      <c r="U28" s="56">
        <f t="shared" si="10"/>
        <v>0</v>
      </c>
      <c r="V28" s="56">
        <f t="shared" si="11"/>
        <v>0</v>
      </c>
      <c r="W28" s="56">
        <f t="shared" si="12"/>
        <v>0</v>
      </c>
      <c r="X28" s="56">
        <f t="shared" si="13"/>
        <v>0</v>
      </c>
      <c r="Y28" s="34"/>
      <c r="Z28" s="35">
        <v>0.2</v>
      </c>
      <c r="AA28" s="35">
        <v>0.18</v>
      </c>
      <c r="AB28" s="35"/>
      <c r="AC28" s="35"/>
      <c r="AD28" s="35">
        <v>0.1</v>
      </c>
      <c r="AE28" s="35"/>
      <c r="AF28" s="35"/>
      <c r="AG28" s="35"/>
      <c r="AH28" s="34"/>
      <c r="AI28" s="34">
        <v>105</v>
      </c>
      <c r="AJ28" s="34"/>
      <c r="AK28" s="34"/>
      <c r="AL28" s="34"/>
      <c r="AM28" s="34">
        <v>75</v>
      </c>
      <c r="AN28" s="34"/>
      <c r="AO28" s="34"/>
      <c r="AP28" s="34"/>
      <c r="AQ28" s="7"/>
      <c r="AR28" s="7"/>
      <c r="AS28" s="7"/>
      <c r="AT28" s="7"/>
      <c r="AU28" s="7"/>
      <c r="AV28" s="7"/>
      <c r="AW28" s="7"/>
      <c r="AX28" s="7"/>
      <c r="AY28" s="7"/>
      <c r="AZ28" s="81">
        <f t="shared" si="14"/>
        <v>80</v>
      </c>
    </row>
    <row r="29" spans="1:52" x14ac:dyDescent="0.25">
      <c r="A29" s="32" t="s">
        <v>68</v>
      </c>
      <c r="B29" s="33" t="s">
        <v>52</v>
      </c>
      <c r="C29" s="33"/>
      <c r="D29" s="44"/>
      <c r="E29" s="43">
        <f t="shared" si="0"/>
        <v>0</v>
      </c>
      <c r="F29" s="41"/>
      <c r="G29" s="43">
        <v>357</v>
      </c>
      <c r="H29" s="53">
        <f t="shared" si="1"/>
        <v>0</v>
      </c>
      <c r="I29" s="40">
        <f t="shared" si="2"/>
        <v>0</v>
      </c>
      <c r="J29" s="40">
        <f t="shared" si="3"/>
        <v>0</v>
      </c>
      <c r="K29" s="54">
        <f>SUMIF(ProductList!$F$4:$F$493,A29,ProductList!$BA$4:$BA$493)</f>
        <v>0</v>
      </c>
      <c r="L29" s="54">
        <f>SUMIF(ProductList!$F$4:$F$493,A29,ProductList!$V$4:$V$493)</f>
        <v>0</v>
      </c>
      <c r="M29" s="54">
        <f>SUMIF(ProductList!$F$4:$F$493,A29,ProductList!$K$4:$K$493)</f>
        <v>0</v>
      </c>
      <c r="N29" s="49" t="s">
        <v>79</v>
      </c>
      <c r="O29" s="81">
        <f t="shared" si="4"/>
        <v>80</v>
      </c>
      <c r="P29" s="56">
        <f t="shared" si="5"/>
        <v>0</v>
      </c>
      <c r="Q29" s="56">
        <f t="shared" si="6"/>
        <v>0</v>
      </c>
      <c r="R29" s="56">
        <f t="shared" si="7"/>
        <v>0</v>
      </c>
      <c r="S29" s="56">
        <f t="shared" si="8"/>
        <v>0</v>
      </c>
      <c r="T29" s="56">
        <f t="shared" si="9"/>
        <v>0</v>
      </c>
      <c r="U29" s="56">
        <f t="shared" si="10"/>
        <v>0</v>
      </c>
      <c r="V29" s="56">
        <f t="shared" si="11"/>
        <v>0</v>
      </c>
      <c r="W29" s="56">
        <f t="shared" si="12"/>
        <v>0</v>
      </c>
      <c r="X29" s="56">
        <f t="shared" si="13"/>
        <v>0</v>
      </c>
      <c r="Y29" s="35"/>
      <c r="Z29" s="35">
        <v>0.2</v>
      </c>
      <c r="AA29" s="35">
        <v>0.18</v>
      </c>
      <c r="AB29" s="35">
        <v>0.1</v>
      </c>
      <c r="AC29" s="35"/>
      <c r="AD29" s="35">
        <v>0.1</v>
      </c>
      <c r="AE29" s="35"/>
      <c r="AF29" s="35"/>
      <c r="AG29" s="35">
        <v>2.5000000000000001E-2</v>
      </c>
      <c r="AH29" s="34"/>
      <c r="AI29" s="34">
        <v>110</v>
      </c>
      <c r="AJ29" s="34"/>
      <c r="AK29" s="34"/>
      <c r="AL29" s="34"/>
      <c r="AM29" s="34">
        <v>75</v>
      </c>
      <c r="AN29" s="34"/>
      <c r="AO29" s="34"/>
      <c r="AP29" s="34"/>
      <c r="AQ29" s="7"/>
      <c r="AR29" s="7"/>
      <c r="AS29" s="7"/>
      <c r="AT29" s="7"/>
      <c r="AU29" s="7"/>
      <c r="AV29" s="7"/>
      <c r="AW29" s="7"/>
      <c r="AX29" s="7"/>
      <c r="AY29" s="7"/>
      <c r="AZ29" s="81">
        <f t="shared" si="14"/>
        <v>80</v>
      </c>
    </row>
    <row r="30" spans="1:52" x14ac:dyDescent="0.25">
      <c r="A30" s="32" t="s">
        <v>198</v>
      </c>
      <c r="B30" s="33" t="s">
        <v>199</v>
      </c>
      <c r="C30" s="33"/>
      <c r="D30" s="44" t="s">
        <v>170</v>
      </c>
      <c r="E30" s="43">
        <f t="shared" si="0"/>
        <v>0</v>
      </c>
      <c r="F30" s="41"/>
      <c r="G30" s="43"/>
      <c r="H30" s="53">
        <f t="shared" si="1"/>
        <v>0</v>
      </c>
      <c r="I30" s="40">
        <f t="shared" si="2"/>
        <v>0</v>
      </c>
      <c r="J30" s="40">
        <f t="shared" si="3"/>
        <v>0</v>
      </c>
      <c r="K30" s="54">
        <f>SUMIF(ProductList!$F$4:$F$493,A30,ProductList!$BA$4:$BA$493)</f>
        <v>0</v>
      </c>
      <c r="L30" s="54">
        <f>SUMIF(ProductList!$F$4:$F$493,A30,ProductList!$V$4:$V$493)</f>
        <v>0</v>
      </c>
      <c r="M30" s="54">
        <f>SUMIF(ProductList!$F$4:$F$493,A30,ProductList!$K$4:$K$493)</f>
        <v>0</v>
      </c>
      <c r="N30" s="49" t="s">
        <v>79</v>
      </c>
      <c r="O30" s="81">
        <f t="shared" si="4"/>
        <v>80</v>
      </c>
      <c r="P30" s="56">
        <f t="shared" si="5"/>
        <v>0</v>
      </c>
      <c r="Q30" s="56">
        <f t="shared" si="6"/>
        <v>0</v>
      </c>
      <c r="R30" s="56">
        <f t="shared" si="7"/>
        <v>0</v>
      </c>
      <c r="S30" s="56">
        <f t="shared" si="8"/>
        <v>0</v>
      </c>
      <c r="T30" s="56">
        <f t="shared" si="9"/>
        <v>0</v>
      </c>
      <c r="U30" s="56">
        <f t="shared" si="10"/>
        <v>0</v>
      </c>
      <c r="V30" s="56">
        <f t="shared" si="11"/>
        <v>0</v>
      </c>
      <c r="W30" s="56">
        <f t="shared" si="12"/>
        <v>0</v>
      </c>
      <c r="X30" s="56">
        <f t="shared" si="13"/>
        <v>0</v>
      </c>
      <c r="Y30" s="34"/>
      <c r="Z30" s="35">
        <v>0.2</v>
      </c>
      <c r="AA30" s="35">
        <v>0.18</v>
      </c>
      <c r="AB30" s="35">
        <v>0.1</v>
      </c>
      <c r="AC30" s="35">
        <v>0.06</v>
      </c>
      <c r="AD30" s="35">
        <v>0.1</v>
      </c>
      <c r="AE30" s="35"/>
      <c r="AF30" s="35"/>
      <c r="AG30" s="35">
        <v>2.5000000000000001E-2</v>
      </c>
      <c r="AH30" s="34"/>
      <c r="AI30" s="34"/>
      <c r="AJ30" s="34"/>
      <c r="AK30" s="34"/>
      <c r="AL30" s="34"/>
      <c r="AM30" s="34">
        <v>110</v>
      </c>
      <c r="AN30" s="34">
        <v>12</v>
      </c>
      <c r="AO30" s="34"/>
      <c r="AP30" s="34"/>
      <c r="AQ30" s="7"/>
      <c r="AR30" s="7"/>
      <c r="AS30" s="7"/>
      <c r="AT30" s="7"/>
      <c r="AU30" s="7"/>
      <c r="AV30" s="7"/>
      <c r="AW30" s="7"/>
      <c r="AX30" s="7"/>
      <c r="AY30" s="7"/>
      <c r="AZ30" s="81">
        <f t="shared" si="14"/>
        <v>80</v>
      </c>
    </row>
    <row r="31" spans="1:52" x14ac:dyDescent="0.25">
      <c r="A31" s="32" t="s">
        <v>213</v>
      </c>
      <c r="B31" s="33" t="s">
        <v>113</v>
      </c>
      <c r="C31" s="33"/>
      <c r="D31" s="44" t="s">
        <v>170</v>
      </c>
      <c r="E31" s="43">
        <f t="shared" si="0"/>
        <v>0</v>
      </c>
      <c r="F31" s="41" t="s">
        <v>152</v>
      </c>
      <c r="G31" s="43">
        <v>507</v>
      </c>
      <c r="H31" s="53">
        <f t="shared" si="1"/>
        <v>0</v>
      </c>
      <c r="I31" s="40">
        <f t="shared" si="2"/>
        <v>0</v>
      </c>
      <c r="J31" s="40">
        <f t="shared" si="3"/>
        <v>0</v>
      </c>
      <c r="K31" s="54">
        <f>SUMIF(ProductList!$F$4:$F$493,A31,ProductList!$BA$4:$BA$493)</f>
        <v>0</v>
      </c>
      <c r="L31" s="54">
        <f>SUMIF(ProductList!$F$4:$F$493,A31,ProductList!$V$4:$V$493)</f>
        <v>0</v>
      </c>
      <c r="M31" s="54">
        <f>SUMIF(ProductList!$F$4:$F$493,A31,ProductList!$K$4:$K$493)</f>
        <v>0</v>
      </c>
      <c r="N31" s="49" t="s">
        <v>79</v>
      </c>
      <c r="O31" s="81">
        <f t="shared" si="4"/>
        <v>80</v>
      </c>
      <c r="P31" s="56">
        <f t="shared" si="5"/>
        <v>0</v>
      </c>
      <c r="Q31" s="56">
        <f t="shared" si="6"/>
        <v>0</v>
      </c>
      <c r="R31" s="56">
        <f t="shared" si="7"/>
        <v>0</v>
      </c>
      <c r="S31" s="56">
        <f t="shared" si="8"/>
        <v>0</v>
      </c>
      <c r="T31" s="56">
        <f t="shared" si="9"/>
        <v>0</v>
      </c>
      <c r="U31" s="56">
        <f t="shared" si="10"/>
        <v>0</v>
      </c>
      <c r="V31" s="56">
        <f t="shared" si="11"/>
        <v>0</v>
      </c>
      <c r="W31" s="56">
        <f t="shared" si="12"/>
        <v>0</v>
      </c>
      <c r="X31" s="56">
        <f t="shared" si="13"/>
        <v>0</v>
      </c>
      <c r="Y31" s="35"/>
      <c r="Z31" s="35">
        <v>0.2</v>
      </c>
      <c r="AA31" s="35">
        <v>0.18</v>
      </c>
      <c r="AB31" s="35">
        <v>0.1</v>
      </c>
      <c r="AC31" s="35">
        <v>0.06</v>
      </c>
      <c r="AD31" s="35"/>
      <c r="AE31" s="35"/>
      <c r="AF31" s="35"/>
      <c r="AG31" s="35">
        <v>2.5000000000000001E-2</v>
      </c>
      <c r="AH31" s="34"/>
      <c r="AI31" s="34"/>
      <c r="AJ31" s="34"/>
      <c r="AK31" s="34"/>
      <c r="AL31" s="34"/>
      <c r="AM31" s="34">
        <v>30</v>
      </c>
      <c r="AN31" s="34">
        <v>12</v>
      </c>
      <c r="AO31" s="34"/>
      <c r="AP31" s="34"/>
      <c r="AQ31" s="7"/>
      <c r="AR31" s="7"/>
      <c r="AS31" s="7"/>
      <c r="AT31" s="7"/>
      <c r="AU31" s="7"/>
      <c r="AV31" s="7"/>
      <c r="AW31" s="7"/>
      <c r="AX31" s="7"/>
      <c r="AY31" s="7"/>
      <c r="AZ31" s="81">
        <f t="shared" si="14"/>
        <v>80</v>
      </c>
    </row>
    <row r="32" spans="1:52" x14ac:dyDescent="0.25">
      <c r="A32" s="32" t="s">
        <v>77</v>
      </c>
      <c r="B32" s="33" t="s">
        <v>51</v>
      </c>
      <c r="C32" s="33"/>
      <c r="D32" s="44" t="s">
        <v>130</v>
      </c>
      <c r="E32" s="43">
        <f t="shared" si="0"/>
        <v>160</v>
      </c>
      <c r="F32" s="41"/>
      <c r="G32" s="43">
        <v>160</v>
      </c>
      <c r="H32" s="53">
        <f t="shared" si="1"/>
        <v>0</v>
      </c>
      <c r="I32" s="40">
        <f t="shared" si="2"/>
        <v>0</v>
      </c>
      <c r="J32" s="40">
        <f t="shared" si="3"/>
        <v>0</v>
      </c>
      <c r="K32" s="54">
        <f>SUMIF(ProductList!$F$4:$F$493,A32,ProductList!$BA$4:$BA$493)</f>
        <v>0</v>
      </c>
      <c r="L32" s="54">
        <f>SUMIF(ProductList!$F$4:$F$493,A32,ProductList!$V$4:$V$493)</f>
        <v>0</v>
      </c>
      <c r="M32" s="54">
        <f>SUMIF(ProductList!$F$4:$F$493,A32,ProductList!$K$4:$K$493)</f>
        <v>0</v>
      </c>
      <c r="N32" s="49" t="s">
        <v>79</v>
      </c>
      <c r="O32" s="81">
        <f t="shared" si="4"/>
        <v>100</v>
      </c>
      <c r="P32" s="56">
        <f t="shared" si="5"/>
        <v>0</v>
      </c>
      <c r="Q32" s="56">
        <f t="shared" si="6"/>
        <v>0</v>
      </c>
      <c r="R32" s="56">
        <f t="shared" si="7"/>
        <v>0</v>
      </c>
      <c r="S32" s="56">
        <f t="shared" si="8"/>
        <v>0</v>
      </c>
      <c r="T32" s="56">
        <f t="shared" si="9"/>
        <v>0</v>
      </c>
      <c r="U32" s="56">
        <f t="shared" si="10"/>
        <v>0</v>
      </c>
      <c r="V32" s="56">
        <f t="shared" si="11"/>
        <v>0</v>
      </c>
      <c r="W32" s="56">
        <f t="shared" si="12"/>
        <v>0</v>
      </c>
      <c r="X32" s="56">
        <f t="shared" si="13"/>
        <v>0</v>
      </c>
      <c r="Y32" s="35"/>
      <c r="Z32" s="35">
        <v>0.15</v>
      </c>
      <c r="AA32" s="35">
        <v>0.18</v>
      </c>
      <c r="AB32" s="35"/>
      <c r="AC32" s="35"/>
      <c r="AD32" s="35"/>
      <c r="AE32" s="35"/>
      <c r="AF32" s="35"/>
      <c r="AG32" s="35">
        <v>2.5000000000000001E-2</v>
      </c>
      <c r="AH32" s="34"/>
      <c r="AI32" s="34">
        <v>120</v>
      </c>
      <c r="AJ32" s="34"/>
      <c r="AK32" s="34"/>
      <c r="AL32" s="34"/>
      <c r="AM32" s="34">
        <v>145</v>
      </c>
      <c r="AN32" s="34"/>
      <c r="AO32" s="34"/>
      <c r="AP32" s="34"/>
      <c r="AQ32" s="7"/>
      <c r="AR32" s="7"/>
      <c r="AS32" s="7"/>
      <c r="AT32" s="7"/>
      <c r="AU32" s="7"/>
      <c r="AV32" s="7"/>
      <c r="AW32" s="7"/>
      <c r="AX32" s="7"/>
      <c r="AY32" s="7"/>
      <c r="AZ32" s="81">
        <f t="shared" si="14"/>
        <v>80</v>
      </c>
    </row>
    <row r="33" spans="1:52" x14ac:dyDescent="0.25">
      <c r="A33" s="32" t="s">
        <v>177</v>
      </c>
      <c r="B33" s="33" t="s">
        <v>178</v>
      </c>
      <c r="C33" s="33" t="s">
        <v>170</v>
      </c>
      <c r="D33" s="44" t="s">
        <v>170</v>
      </c>
      <c r="E33" s="43">
        <f t="shared" si="0"/>
        <v>0</v>
      </c>
      <c r="F33" s="41"/>
      <c r="G33" s="43">
        <v>364</v>
      </c>
      <c r="H33" s="53">
        <f t="shared" si="1"/>
        <v>0</v>
      </c>
      <c r="I33" s="40">
        <f t="shared" si="2"/>
        <v>0</v>
      </c>
      <c r="J33" s="40">
        <f t="shared" si="3"/>
        <v>0</v>
      </c>
      <c r="K33" s="54">
        <f>SUMIF(ProductList!$F$4:$F$493,A33,ProductList!$BA$4:$BA$493)</f>
        <v>0</v>
      </c>
      <c r="L33" s="54">
        <f>SUMIF(ProductList!$F$4:$F$493,A33,ProductList!$V$4:$V$493)</f>
        <v>0</v>
      </c>
      <c r="M33" s="54">
        <f>SUMIF(ProductList!$F$4:$F$493,A33,ProductList!$K$4:$K$493)</f>
        <v>0</v>
      </c>
      <c r="N33" s="49" t="s">
        <v>79</v>
      </c>
      <c r="O33" s="81">
        <f t="shared" si="4"/>
        <v>80</v>
      </c>
      <c r="P33" s="56">
        <f t="shared" si="5"/>
        <v>0</v>
      </c>
      <c r="Q33" s="56">
        <f t="shared" si="6"/>
        <v>0</v>
      </c>
      <c r="R33" s="56">
        <f t="shared" si="7"/>
        <v>0</v>
      </c>
      <c r="S33" s="56">
        <f t="shared" si="8"/>
        <v>0</v>
      </c>
      <c r="T33" s="56">
        <f t="shared" si="9"/>
        <v>0</v>
      </c>
      <c r="U33" s="56">
        <f t="shared" si="10"/>
        <v>0</v>
      </c>
      <c r="V33" s="56">
        <f t="shared" si="11"/>
        <v>0</v>
      </c>
      <c r="W33" s="56">
        <f t="shared" si="12"/>
        <v>0</v>
      </c>
      <c r="X33" s="56">
        <f t="shared" si="13"/>
        <v>0</v>
      </c>
      <c r="Y33" s="35"/>
      <c r="Z33" s="35">
        <v>0.2</v>
      </c>
      <c r="AA33" s="35">
        <v>0.18</v>
      </c>
      <c r="AB33" s="35">
        <v>0.1</v>
      </c>
      <c r="AC33" s="35">
        <v>0.06</v>
      </c>
      <c r="AD33" s="35"/>
      <c r="AE33" s="35"/>
      <c r="AF33" s="35"/>
      <c r="AG33" s="35">
        <v>2.5000000000000001E-2</v>
      </c>
      <c r="AH33" s="34"/>
      <c r="AI33" s="34"/>
      <c r="AJ33" s="34"/>
      <c r="AK33" s="34"/>
      <c r="AL33" s="34"/>
      <c r="AM33" s="34">
        <v>180</v>
      </c>
      <c r="AN33" s="34">
        <v>200</v>
      </c>
      <c r="AO33" s="34"/>
      <c r="AP33" s="34"/>
      <c r="AQ33" s="7"/>
      <c r="AR33" s="7"/>
      <c r="AS33" s="7"/>
      <c r="AT33" s="7"/>
      <c r="AU33" s="7"/>
      <c r="AV33" s="7"/>
      <c r="AW33" s="7"/>
      <c r="AX33" s="7"/>
      <c r="AY33" s="7"/>
      <c r="AZ33" s="81">
        <f t="shared" si="14"/>
        <v>80</v>
      </c>
    </row>
    <row r="34" spans="1:52" ht="15.75" x14ac:dyDescent="0.25">
      <c r="A34" s="85" t="s">
        <v>226</v>
      </c>
      <c r="B34" s="33" t="s">
        <v>227</v>
      </c>
      <c r="C34" s="33"/>
      <c r="D34" s="44" t="s">
        <v>170</v>
      </c>
      <c r="E34" s="43">
        <f t="shared" si="0"/>
        <v>0</v>
      </c>
      <c r="F34" s="41"/>
      <c r="G34" s="43"/>
      <c r="H34" s="53">
        <f t="shared" si="1"/>
        <v>0</v>
      </c>
      <c r="I34" s="40">
        <f t="shared" si="2"/>
        <v>0</v>
      </c>
      <c r="J34" s="40">
        <f t="shared" si="3"/>
        <v>0</v>
      </c>
      <c r="K34" s="54">
        <f>SUMIF(ProductList!$F$4:$F$493,A34,ProductList!$BA$4:$BA$493)</f>
        <v>0</v>
      </c>
      <c r="L34" s="54">
        <f>SUMIF(ProductList!$F$4:$F$493,A34,ProductList!$V$4:$V$493)</f>
        <v>0</v>
      </c>
      <c r="M34" s="54">
        <f>SUMIF(ProductList!$F$4:$F$493,A34,ProductList!$K$4:$K$493)</f>
        <v>0</v>
      </c>
      <c r="N34" s="49" t="s">
        <v>79</v>
      </c>
      <c r="O34" s="81">
        <f t="shared" si="4"/>
        <v>80</v>
      </c>
      <c r="P34" s="56">
        <f t="shared" si="5"/>
        <v>0</v>
      </c>
      <c r="Q34" s="56">
        <f t="shared" si="6"/>
        <v>0</v>
      </c>
      <c r="R34" s="56">
        <f t="shared" si="7"/>
        <v>0</v>
      </c>
      <c r="S34" s="56">
        <f t="shared" si="8"/>
        <v>0</v>
      </c>
      <c r="T34" s="56">
        <f t="shared" si="9"/>
        <v>0</v>
      </c>
      <c r="U34" s="56">
        <f t="shared" si="10"/>
        <v>0</v>
      </c>
      <c r="V34" s="56">
        <f t="shared" si="11"/>
        <v>0</v>
      </c>
      <c r="W34" s="56">
        <f t="shared" si="12"/>
        <v>0</v>
      </c>
      <c r="X34" s="56">
        <f t="shared" si="13"/>
        <v>0</v>
      </c>
      <c r="Y34" s="34"/>
      <c r="Z34" s="35">
        <v>0.2</v>
      </c>
      <c r="AA34" s="35">
        <v>0.18</v>
      </c>
      <c r="AB34" s="35">
        <v>0.1</v>
      </c>
      <c r="AC34" s="35">
        <v>0.06</v>
      </c>
      <c r="AD34" s="35"/>
      <c r="AE34" s="35"/>
      <c r="AF34" s="35"/>
      <c r="AG34" s="35">
        <v>2.5000000000000001E-2</v>
      </c>
      <c r="AH34" s="34"/>
      <c r="AI34" s="34"/>
      <c r="AJ34" s="34"/>
      <c r="AK34" s="34"/>
      <c r="AL34" s="34"/>
      <c r="AM34" s="34">
        <v>180</v>
      </c>
      <c r="AN34" s="34">
        <v>200</v>
      </c>
      <c r="AO34" s="34"/>
      <c r="AP34" s="34"/>
      <c r="AQ34" s="34"/>
      <c r="AR34" s="34"/>
      <c r="AS34" s="34"/>
      <c r="AT34" s="34"/>
      <c r="AU34" s="34"/>
      <c r="AV34" s="35"/>
      <c r="AW34" s="34"/>
      <c r="AX34" s="34"/>
      <c r="AY34" s="34"/>
      <c r="AZ34" s="81">
        <f t="shared" si="14"/>
        <v>80</v>
      </c>
    </row>
    <row r="35" spans="1:52" x14ac:dyDescent="0.25">
      <c r="A35" s="32" t="s">
        <v>158</v>
      </c>
      <c r="B35" s="33" t="s">
        <v>161</v>
      </c>
      <c r="C35" s="33"/>
      <c r="D35" s="44"/>
      <c r="E35" s="43">
        <f t="shared" si="0"/>
        <v>0</v>
      </c>
      <c r="F35" s="41" t="s">
        <v>152</v>
      </c>
      <c r="G35" s="43"/>
      <c r="H35" s="53">
        <f t="shared" si="1"/>
        <v>0</v>
      </c>
      <c r="I35" s="40">
        <f t="shared" si="2"/>
        <v>0</v>
      </c>
      <c r="J35" s="40">
        <f t="shared" si="3"/>
        <v>0</v>
      </c>
      <c r="K35" s="54">
        <f>SUMIF(ProductList!$F$4:$F$493,A35,ProductList!$BA$4:$BA$493)</f>
        <v>0</v>
      </c>
      <c r="L35" s="54">
        <f>SUMIF(ProductList!$F$4:$F$493,A35,ProductList!$V$4:$V$493)</f>
        <v>0</v>
      </c>
      <c r="M35" s="54">
        <f>SUMIF(ProductList!$F$4:$F$493,A35,ProductList!$K$4:$K$493)</f>
        <v>0</v>
      </c>
      <c r="N35" s="49" t="s">
        <v>79</v>
      </c>
      <c r="O35" s="81">
        <f t="shared" si="4"/>
        <v>80</v>
      </c>
      <c r="P35" s="56">
        <f t="shared" si="5"/>
        <v>0</v>
      </c>
      <c r="Q35" s="56">
        <f t="shared" si="6"/>
        <v>0</v>
      </c>
      <c r="R35" s="56">
        <f t="shared" si="7"/>
        <v>0</v>
      </c>
      <c r="S35" s="56">
        <f t="shared" si="8"/>
        <v>0</v>
      </c>
      <c r="T35" s="56">
        <f t="shared" si="9"/>
        <v>0</v>
      </c>
      <c r="U35" s="56">
        <f t="shared" si="10"/>
        <v>0</v>
      </c>
      <c r="V35" s="56">
        <f t="shared" si="11"/>
        <v>0</v>
      </c>
      <c r="W35" s="56">
        <f t="shared" si="12"/>
        <v>0</v>
      </c>
      <c r="X35" s="56">
        <f t="shared" si="13"/>
        <v>0</v>
      </c>
      <c r="Y35" s="34"/>
      <c r="Z35" s="35">
        <v>0.2</v>
      </c>
      <c r="AA35" s="35">
        <v>0.18</v>
      </c>
      <c r="AB35" s="35">
        <v>0.1</v>
      </c>
      <c r="AC35" s="35"/>
      <c r="AD35" s="35">
        <v>0.45</v>
      </c>
      <c r="AE35" s="35"/>
      <c r="AF35" s="35"/>
      <c r="AG35" s="35">
        <v>2.5000000000000001E-2</v>
      </c>
      <c r="AH35" s="34"/>
      <c r="AI35" s="34">
        <v>100</v>
      </c>
      <c r="AJ35" s="34"/>
      <c r="AK35" s="34"/>
      <c r="AL35" s="34"/>
      <c r="AM35" s="34">
        <v>260</v>
      </c>
      <c r="AN35" s="34"/>
      <c r="AO35" s="34"/>
      <c r="AP35" s="34"/>
      <c r="AQ35" s="7"/>
      <c r="AR35" s="7"/>
      <c r="AS35" s="7"/>
      <c r="AT35" s="7"/>
      <c r="AU35" s="7"/>
      <c r="AV35" s="7"/>
      <c r="AW35" s="7"/>
      <c r="AX35" s="7"/>
      <c r="AY35" s="7"/>
      <c r="AZ35" s="81">
        <f t="shared" si="14"/>
        <v>80</v>
      </c>
    </row>
    <row r="36" spans="1:52" x14ac:dyDescent="0.25">
      <c r="A36" s="36" t="s">
        <v>197</v>
      </c>
      <c r="B36" s="33" t="s">
        <v>125</v>
      </c>
      <c r="C36" s="33"/>
      <c r="D36" s="44" t="s">
        <v>170</v>
      </c>
      <c r="E36" s="43">
        <f t="shared" si="0"/>
        <v>0</v>
      </c>
      <c r="F36" s="41"/>
      <c r="G36" s="43"/>
      <c r="H36" s="53">
        <f t="shared" si="1"/>
        <v>0</v>
      </c>
      <c r="I36" s="40">
        <f t="shared" si="2"/>
        <v>0</v>
      </c>
      <c r="J36" s="40">
        <f t="shared" si="3"/>
        <v>0</v>
      </c>
      <c r="K36" s="54">
        <f>SUMIF(ProductList!$F$4:$F$493,A36,ProductList!$BA$4:$BA$493)</f>
        <v>0</v>
      </c>
      <c r="L36" s="54">
        <f>SUMIF(ProductList!$F$4:$F$493,A36,ProductList!$V$4:$V$493)</f>
        <v>0</v>
      </c>
      <c r="M36" s="54">
        <f>SUMIF(ProductList!$F$4:$F$493,A36,ProductList!$K$4:$K$493)</f>
        <v>0</v>
      </c>
      <c r="N36" s="49" t="s">
        <v>79</v>
      </c>
      <c r="O36" s="81">
        <f t="shared" si="4"/>
        <v>80</v>
      </c>
      <c r="P36" s="56">
        <f t="shared" si="5"/>
        <v>0</v>
      </c>
      <c r="Q36" s="56">
        <f t="shared" si="6"/>
        <v>0</v>
      </c>
      <c r="R36" s="56">
        <f t="shared" si="7"/>
        <v>0</v>
      </c>
      <c r="S36" s="56">
        <f t="shared" si="8"/>
        <v>0</v>
      </c>
      <c r="T36" s="56">
        <f t="shared" si="9"/>
        <v>0</v>
      </c>
      <c r="U36" s="56">
        <f t="shared" si="10"/>
        <v>0</v>
      </c>
      <c r="V36" s="56">
        <f t="shared" si="11"/>
        <v>0</v>
      </c>
      <c r="W36" s="56">
        <f t="shared" si="12"/>
        <v>0</v>
      </c>
      <c r="X36" s="56">
        <f t="shared" si="13"/>
        <v>0</v>
      </c>
      <c r="Y36" s="35"/>
      <c r="Z36" s="35"/>
      <c r="AA36" s="35">
        <v>0.18</v>
      </c>
      <c r="AB36" s="35">
        <v>0.1</v>
      </c>
      <c r="AC36" s="35">
        <v>0.06</v>
      </c>
      <c r="AD36" s="35">
        <v>0.05</v>
      </c>
      <c r="AE36" s="35">
        <v>0.04</v>
      </c>
      <c r="AF36" s="35"/>
      <c r="AG36" s="35">
        <v>2.5000000000000001E-2</v>
      </c>
      <c r="AH36" s="34"/>
      <c r="AI36" s="34"/>
      <c r="AJ36" s="34"/>
      <c r="AK36" s="34"/>
      <c r="AL36" s="34"/>
      <c r="AM36" s="34"/>
      <c r="AN36" s="34"/>
      <c r="AO36" s="34"/>
      <c r="AP36" s="34"/>
      <c r="AQ36" s="7"/>
      <c r="AR36" s="7"/>
      <c r="AS36" s="7"/>
      <c r="AT36" s="7"/>
      <c r="AU36" s="7"/>
      <c r="AV36" s="7"/>
      <c r="AW36" s="7"/>
      <c r="AX36" s="7"/>
      <c r="AY36" s="7"/>
      <c r="AZ36" s="81">
        <f t="shared" si="14"/>
        <v>80</v>
      </c>
    </row>
    <row r="37" spans="1:52" x14ac:dyDescent="0.25">
      <c r="A37" s="32" t="s">
        <v>151</v>
      </c>
      <c r="B37" s="33" t="s">
        <v>153</v>
      </c>
      <c r="C37" s="33"/>
      <c r="D37" s="44"/>
      <c r="E37" s="43">
        <f t="shared" si="0"/>
        <v>0</v>
      </c>
      <c r="F37" s="43" t="s">
        <v>152</v>
      </c>
      <c r="G37" s="43"/>
      <c r="H37" s="53">
        <f t="shared" si="1"/>
        <v>0</v>
      </c>
      <c r="I37" s="40">
        <f t="shared" si="2"/>
        <v>0</v>
      </c>
      <c r="J37" s="40">
        <f t="shared" si="3"/>
        <v>0</v>
      </c>
      <c r="K37" s="54">
        <f>SUMIF(ProductList!$F$4:$F$493,A37,ProductList!$BA$4:$BA$493)</f>
        <v>0</v>
      </c>
      <c r="L37" s="54">
        <f>SUMIF(ProductList!$F$4:$F$493,A37,ProductList!$V$4:$V$493)</f>
        <v>0</v>
      </c>
      <c r="M37" s="54">
        <f>SUMIF(ProductList!$F$4:$F$493,A37,ProductList!$K$4:$K$493)</f>
        <v>0</v>
      </c>
      <c r="N37" s="49" t="s">
        <v>79</v>
      </c>
      <c r="O37" s="81">
        <f t="shared" si="4"/>
        <v>80</v>
      </c>
      <c r="P37" s="56">
        <f t="shared" si="5"/>
        <v>0</v>
      </c>
      <c r="Q37" s="56">
        <f t="shared" si="6"/>
        <v>0</v>
      </c>
      <c r="R37" s="56">
        <f t="shared" si="7"/>
        <v>0</v>
      </c>
      <c r="S37" s="56">
        <f t="shared" si="8"/>
        <v>0</v>
      </c>
      <c r="T37" s="56">
        <f t="shared" si="9"/>
        <v>0</v>
      </c>
      <c r="U37" s="56">
        <f t="shared" si="10"/>
        <v>0</v>
      </c>
      <c r="V37" s="56">
        <f t="shared" si="11"/>
        <v>0</v>
      </c>
      <c r="W37" s="56">
        <f t="shared" si="12"/>
        <v>0</v>
      </c>
      <c r="X37" s="56">
        <f t="shared" si="13"/>
        <v>0</v>
      </c>
      <c r="Y37" s="35"/>
      <c r="Z37" s="35">
        <v>0.2</v>
      </c>
      <c r="AA37" s="35">
        <v>0.18</v>
      </c>
      <c r="AB37" s="35">
        <v>0.1</v>
      </c>
      <c r="AC37" s="35">
        <v>0.06</v>
      </c>
      <c r="AD37" s="35">
        <v>0.3</v>
      </c>
      <c r="AE37" s="35">
        <v>0.24</v>
      </c>
      <c r="AF37" s="35"/>
      <c r="AG37" s="35">
        <v>2.5000000000000001E-2</v>
      </c>
      <c r="AH37" s="34"/>
      <c r="AI37" s="34">
        <v>160</v>
      </c>
      <c r="AJ37" s="34"/>
      <c r="AK37" s="34"/>
      <c r="AL37" s="34"/>
      <c r="AM37" s="34">
        <v>140</v>
      </c>
      <c r="AN37" s="34">
        <v>64</v>
      </c>
      <c r="AO37" s="34"/>
      <c r="AP37" s="34"/>
      <c r="AQ37" s="7"/>
      <c r="AR37" s="7"/>
      <c r="AS37" s="7"/>
      <c r="AT37" s="7"/>
      <c r="AU37" s="7"/>
      <c r="AV37" s="7"/>
      <c r="AW37" s="7"/>
      <c r="AX37" s="7"/>
      <c r="AY37" s="7"/>
      <c r="AZ37" s="81">
        <f t="shared" si="14"/>
        <v>80</v>
      </c>
    </row>
    <row r="38" spans="1:52" x14ac:dyDescent="0.25">
      <c r="A38" s="32" t="s">
        <v>211</v>
      </c>
      <c r="B38" s="33" t="s">
        <v>212</v>
      </c>
      <c r="C38" s="33"/>
      <c r="D38" s="44" t="s">
        <v>170</v>
      </c>
      <c r="E38" s="43">
        <f t="shared" si="0"/>
        <v>0</v>
      </c>
      <c r="F38" s="41"/>
      <c r="G38" s="43"/>
      <c r="H38" s="53">
        <f t="shared" si="1"/>
        <v>0</v>
      </c>
      <c r="I38" s="40">
        <f t="shared" si="2"/>
        <v>0</v>
      </c>
      <c r="J38" s="40">
        <f t="shared" si="3"/>
        <v>0</v>
      </c>
      <c r="K38" s="54">
        <f>SUMIF(ProductList!$F$4:$F$493,A38,ProductList!$BA$4:$BA$493)</f>
        <v>0</v>
      </c>
      <c r="L38" s="54">
        <f>SUMIF(ProductList!$F$4:$F$493,A38,ProductList!$V$4:$V$493)</f>
        <v>0</v>
      </c>
      <c r="M38" s="54">
        <f>SUMIF(ProductList!$F$4:$F$493,A38,ProductList!$K$4:$K$493)</f>
        <v>0</v>
      </c>
      <c r="N38" s="49" t="s">
        <v>79</v>
      </c>
      <c r="O38" s="81">
        <f t="shared" si="4"/>
        <v>80</v>
      </c>
      <c r="P38" s="56">
        <f t="shared" si="5"/>
        <v>0</v>
      </c>
      <c r="Q38" s="56">
        <f t="shared" si="6"/>
        <v>0</v>
      </c>
      <c r="R38" s="56">
        <f t="shared" si="7"/>
        <v>0</v>
      </c>
      <c r="S38" s="56">
        <f t="shared" si="8"/>
        <v>0</v>
      </c>
      <c r="T38" s="56">
        <f t="shared" si="9"/>
        <v>0</v>
      </c>
      <c r="U38" s="56">
        <f t="shared" si="10"/>
        <v>0</v>
      </c>
      <c r="V38" s="56">
        <f t="shared" si="11"/>
        <v>0</v>
      </c>
      <c r="W38" s="56">
        <f t="shared" si="12"/>
        <v>0</v>
      </c>
      <c r="X38" s="56">
        <f t="shared" si="13"/>
        <v>0</v>
      </c>
      <c r="Y38" s="34"/>
      <c r="Z38" s="35">
        <v>0.2</v>
      </c>
      <c r="AA38" s="35">
        <v>0.18</v>
      </c>
      <c r="AB38" s="35">
        <v>0.1</v>
      </c>
      <c r="AC38" s="35">
        <v>0</v>
      </c>
      <c r="AD38" s="35">
        <v>0.3</v>
      </c>
      <c r="AE38" s="35"/>
      <c r="AF38" s="35"/>
      <c r="AG38" s="35">
        <v>2.5000000000000001E-2</v>
      </c>
      <c r="AH38" s="34"/>
      <c r="AI38" s="34">
        <v>230</v>
      </c>
      <c r="AJ38" s="34"/>
      <c r="AK38" s="34"/>
      <c r="AL38" s="34"/>
      <c r="AM38" s="34">
        <v>140</v>
      </c>
      <c r="AN38" s="34"/>
      <c r="AO38" s="34"/>
      <c r="AP38" s="34"/>
      <c r="AQ38" s="7"/>
      <c r="AR38" s="7"/>
      <c r="AS38" s="7"/>
      <c r="AT38" s="7"/>
      <c r="AU38" s="7"/>
      <c r="AV38" s="7"/>
      <c r="AW38" s="7"/>
      <c r="AX38" s="7"/>
      <c r="AY38" s="7"/>
      <c r="AZ38" s="81">
        <f t="shared" si="14"/>
        <v>80</v>
      </c>
    </row>
    <row r="39" spans="1:52" x14ac:dyDescent="0.25">
      <c r="A39" s="32" t="s">
        <v>181</v>
      </c>
      <c r="B39" s="33" t="s">
        <v>182</v>
      </c>
      <c r="C39" s="33"/>
      <c r="D39" s="44"/>
      <c r="E39" s="43">
        <f t="shared" si="0"/>
        <v>0</v>
      </c>
      <c r="F39" s="41"/>
      <c r="G39" s="43"/>
      <c r="H39" s="53">
        <f t="shared" si="1"/>
        <v>0</v>
      </c>
      <c r="I39" s="40">
        <f t="shared" si="2"/>
        <v>0</v>
      </c>
      <c r="J39" s="40">
        <f t="shared" si="3"/>
        <v>0</v>
      </c>
      <c r="K39" s="54">
        <f>SUMIF(ProductList!$F$4:$F$493,A39,ProductList!$BA$4:$BA$493)</f>
        <v>0</v>
      </c>
      <c r="L39" s="54">
        <f>SUMIF(ProductList!$F$4:$F$493,A39,ProductList!$V$4:$V$493)</f>
        <v>0</v>
      </c>
      <c r="M39" s="54">
        <f>SUMIF(ProductList!$F$4:$F$493,A39,ProductList!$K$4:$K$493)</f>
        <v>0</v>
      </c>
      <c r="N39" s="49" t="s">
        <v>79</v>
      </c>
      <c r="O39" s="81">
        <f t="shared" si="4"/>
        <v>80</v>
      </c>
      <c r="P39" s="56">
        <f t="shared" si="5"/>
        <v>0</v>
      </c>
      <c r="Q39" s="56">
        <f t="shared" si="6"/>
        <v>0</v>
      </c>
      <c r="R39" s="56">
        <f t="shared" si="7"/>
        <v>0</v>
      </c>
      <c r="S39" s="56">
        <f t="shared" si="8"/>
        <v>0</v>
      </c>
      <c r="T39" s="56">
        <f t="shared" si="9"/>
        <v>0</v>
      </c>
      <c r="U39" s="56">
        <f t="shared" si="10"/>
        <v>0</v>
      </c>
      <c r="V39" s="56">
        <f t="shared" si="11"/>
        <v>0</v>
      </c>
      <c r="W39" s="56">
        <f t="shared" si="12"/>
        <v>0</v>
      </c>
      <c r="X39" s="56">
        <f t="shared" si="13"/>
        <v>0</v>
      </c>
      <c r="Y39" s="35"/>
      <c r="Z39" s="35">
        <v>0.2</v>
      </c>
      <c r="AA39" s="35">
        <v>0.18</v>
      </c>
      <c r="AB39" s="35">
        <v>0.1</v>
      </c>
      <c r="AC39" s="35"/>
      <c r="AD39" s="35">
        <v>0.3</v>
      </c>
      <c r="AE39" s="35"/>
      <c r="AF39" s="35"/>
      <c r="AG39" s="35">
        <v>2.5000000000000001E-2</v>
      </c>
      <c r="AH39" s="34"/>
      <c r="AI39" s="34">
        <v>230</v>
      </c>
      <c r="AJ39" s="34"/>
      <c r="AK39" s="34"/>
      <c r="AL39" s="34"/>
      <c r="AM39" s="34">
        <v>140</v>
      </c>
      <c r="AN39" s="34"/>
      <c r="AO39" s="34"/>
      <c r="AP39" s="34"/>
      <c r="AQ39" s="7"/>
      <c r="AR39" s="7"/>
      <c r="AS39" s="7"/>
      <c r="AT39" s="7"/>
      <c r="AU39" s="7"/>
      <c r="AV39" s="7"/>
      <c r="AW39" s="7"/>
      <c r="AX39" s="7"/>
      <c r="AY39" s="7"/>
      <c r="AZ39" s="81">
        <f t="shared" si="14"/>
        <v>80</v>
      </c>
    </row>
    <row r="40" spans="1:52" x14ac:dyDescent="0.25">
      <c r="A40" s="36" t="s">
        <v>128</v>
      </c>
      <c r="B40" s="33" t="s">
        <v>129</v>
      </c>
      <c r="C40" s="33"/>
      <c r="D40" s="44" t="s">
        <v>170</v>
      </c>
      <c r="E40" s="43">
        <f t="shared" si="0"/>
        <v>0</v>
      </c>
      <c r="F40" s="41"/>
      <c r="G40" s="43"/>
      <c r="H40" s="53">
        <f t="shared" si="1"/>
        <v>0</v>
      </c>
      <c r="I40" s="40">
        <f t="shared" si="2"/>
        <v>0</v>
      </c>
      <c r="J40" s="40">
        <f t="shared" si="3"/>
        <v>0</v>
      </c>
      <c r="K40" s="54">
        <f>SUMIF(ProductList!$F$4:$F$493,A40,ProductList!$BA$4:$BA$493)</f>
        <v>0</v>
      </c>
      <c r="L40" s="54">
        <f>SUMIF(ProductList!$F$4:$F$493,A40,ProductList!$V$4:$V$493)</f>
        <v>0</v>
      </c>
      <c r="M40" s="54">
        <f>SUMIF(ProductList!$F$4:$F$493,A40,ProductList!$K$4:$K$493)</f>
        <v>0</v>
      </c>
      <c r="N40" s="49" t="s">
        <v>79</v>
      </c>
      <c r="O40" s="81">
        <f t="shared" si="4"/>
        <v>80</v>
      </c>
      <c r="P40" s="56">
        <f t="shared" si="5"/>
        <v>0</v>
      </c>
      <c r="Q40" s="56">
        <f t="shared" si="6"/>
        <v>0</v>
      </c>
      <c r="R40" s="56">
        <f t="shared" si="7"/>
        <v>0</v>
      </c>
      <c r="S40" s="56">
        <f t="shared" si="8"/>
        <v>0</v>
      </c>
      <c r="T40" s="56">
        <f t="shared" si="9"/>
        <v>0</v>
      </c>
      <c r="U40" s="56">
        <f t="shared" si="10"/>
        <v>0</v>
      </c>
      <c r="V40" s="56">
        <f t="shared" si="11"/>
        <v>0</v>
      </c>
      <c r="W40" s="56">
        <f t="shared" si="12"/>
        <v>0</v>
      </c>
      <c r="X40" s="56">
        <f t="shared" si="13"/>
        <v>0</v>
      </c>
      <c r="Y40" s="35"/>
      <c r="Z40" s="35">
        <v>0.2</v>
      </c>
      <c r="AA40" s="35">
        <v>0.18</v>
      </c>
      <c r="AB40" s="35">
        <v>0.1</v>
      </c>
      <c r="AC40" s="35"/>
      <c r="AD40" s="35">
        <v>0.35</v>
      </c>
      <c r="AE40" s="35"/>
      <c r="AF40" s="35"/>
      <c r="AG40" s="35">
        <v>2.5000000000000001E-2</v>
      </c>
      <c r="AH40" s="34"/>
      <c r="AI40" s="34">
        <v>160</v>
      </c>
      <c r="AJ40" s="34"/>
      <c r="AK40" s="34"/>
      <c r="AL40" s="34"/>
      <c r="AM40" s="34"/>
      <c r="AN40" s="34"/>
      <c r="AO40" s="34"/>
      <c r="AP40" s="34"/>
      <c r="AQ40" s="7"/>
      <c r="AR40" s="7"/>
      <c r="AS40" s="7"/>
      <c r="AT40" s="7"/>
      <c r="AU40" s="7"/>
      <c r="AV40" s="7"/>
      <c r="AW40" s="112">
        <f>35%*65%</f>
        <v>0.22749999999999998</v>
      </c>
      <c r="AX40" s="7"/>
      <c r="AY40" s="7"/>
      <c r="AZ40" s="81">
        <f t="shared" si="14"/>
        <v>80</v>
      </c>
    </row>
    <row r="41" spans="1:52" x14ac:dyDescent="0.25">
      <c r="A41" s="32" t="s">
        <v>206</v>
      </c>
      <c r="B41" s="33" t="s">
        <v>207</v>
      </c>
      <c r="C41" s="33"/>
      <c r="D41" s="44" t="s">
        <v>170</v>
      </c>
      <c r="E41" s="43">
        <f t="shared" si="0"/>
        <v>0</v>
      </c>
      <c r="F41" s="41"/>
      <c r="G41" s="43"/>
      <c r="H41" s="53">
        <f t="shared" si="1"/>
        <v>0</v>
      </c>
      <c r="I41" s="40">
        <f t="shared" si="2"/>
        <v>0</v>
      </c>
      <c r="J41" s="40">
        <f t="shared" si="3"/>
        <v>0</v>
      </c>
      <c r="K41" s="54">
        <f>SUMIF(ProductList!$F$4:$F$493,A41,ProductList!$BA$4:$BA$493)</f>
        <v>0</v>
      </c>
      <c r="L41" s="54">
        <f>SUMIF(ProductList!$F$4:$F$493,A41,ProductList!$V$4:$V$493)</f>
        <v>0</v>
      </c>
      <c r="M41" s="54">
        <f>SUMIF(ProductList!$F$4:$F$493,A41,ProductList!$K$4:$K$493)</f>
        <v>0</v>
      </c>
      <c r="N41" s="49" t="s">
        <v>79</v>
      </c>
      <c r="O41" s="81">
        <f t="shared" si="4"/>
        <v>80</v>
      </c>
      <c r="P41" s="56">
        <f t="shared" si="5"/>
        <v>0</v>
      </c>
      <c r="Q41" s="56">
        <f t="shared" si="6"/>
        <v>0</v>
      </c>
      <c r="R41" s="56">
        <f t="shared" si="7"/>
        <v>0</v>
      </c>
      <c r="S41" s="56">
        <f t="shared" si="8"/>
        <v>0</v>
      </c>
      <c r="T41" s="56">
        <f t="shared" si="9"/>
        <v>0</v>
      </c>
      <c r="U41" s="56">
        <f t="shared" si="10"/>
        <v>0</v>
      </c>
      <c r="V41" s="56">
        <f t="shared" si="11"/>
        <v>0</v>
      </c>
      <c r="W41" s="56">
        <f t="shared" si="12"/>
        <v>0</v>
      </c>
      <c r="X41" s="56">
        <f t="shared" si="13"/>
        <v>0</v>
      </c>
      <c r="Y41" s="34"/>
      <c r="Z41" s="35">
        <v>0.2</v>
      </c>
      <c r="AA41" s="35">
        <v>0.18</v>
      </c>
      <c r="AB41" s="35">
        <v>0.1</v>
      </c>
      <c r="AC41" s="35"/>
      <c r="AD41" s="35">
        <v>0.35</v>
      </c>
      <c r="AE41" s="35"/>
      <c r="AF41" s="35"/>
      <c r="AG41" s="35">
        <v>2.5000000000000001E-2</v>
      </c>
      <c r="AH41" s="34"/>
      <c r="AI41" s="34">
        <v>350</v>
      </c>
      <c r="AJ41" s="34"/>
      <c r="AK41" s="34"/>
      <c r="AL41" s="34"/>
      <c r="AM41" s="34">
        <v>160</v>
      </c>
      <c r="AN41" s="34"/>
      <c r="AO41" s="34"/>
      <c r="AP41" s="34"/>
      <c r="AQ41" s="7"/>
      <c r="AR41" s="7"/>
      <c r="AS41" s="7"/>
      <c r="AT41" s="7"/>
      <c r="AU41" s="7"/>
      <c r="AV41" s="7"/>
      <c r="AW41" s="7"/>
      <c r="AX41" s="7"/>
      <c r="AY41" s="7"/>
      <c r="AZ41" s="81">
        <f t="shared" si="14"/>
        <v>80</v>
      </c>
    </row>
    <row r="42" spans="1:52" x14ac:dyDescent="0.25">
      <c r="A42" s="32" t="s">
        <v>69</v>
      </c>
      <c r="B42" s="33" t="s">
        <v>114</v>
      </c>
      <c r="C42" s="33"/>
      <c r="D42" s="44" t="s">
        <v>170</v>
      </c>
      <c r="E42" s="43">
        <f t="shared" si="0"/>
        <v>0</v>
      </c>
      <c r="F42" s="41"/>
      <c r="G42" s="43">
        <v>448</v>
      </c>
      <c r="H42" s="53">
        <f t="shared" si="1"/>
        <v>0</v>
      </c>
      <c r="I42" s="40">
        <f t="shared" si="2"/>
        <v>0</v>
      </c>
      <c r="J42" s="40">
        <f t="shared" si="3"/>
        <v>0</v>
      </c>
      <c r="K42" s="54">
        <f>SUMIF(ProductList!$F$4:$F$493,A42,ProductList!$BA$4:$BA$493)</f>
        <v>0</v>
      </c>
      <c r="L42" s="54">
        <f>SUMIF(ProductList!$F$4:$F$493,A42,ProductList!$V$4:$V$493)</f>
        <v>0</v>
      </c>
      <c r="M42" s="54">
        <f>SUMIF(ProductList!$F$4:$F$493,A42,ProductList!$K$4:$K$493)</f>
        <v>0</v>
      </c>
      <c r="N42" s="49" t="s">
        <v>79</v>
      </c>
      <c r="O42" s="81">
        <f t="shared" si="4"/>
        <v>80</v>
      </c>
      <c r="P42" s="56">
        <f t="shared" si="5"/>
        <v>0</v>
      </c>
      <c r="Q42" s="56">
        <f t="shared" si="6"/>
        <v>0</v>
      </c>
      <c r="R42" s="56">
        <f t="shared" si="7"/>
        <v>0</v>
      </c>
      <c r="S42" s="56">
        <f t="shared" si="8"/>
        <v>0</v>
      </c>
      <c r="T42" s="56">
        <f t="shared" si="9"/>
        <v>0</v>
      </c>
      <c r="U42" s="56">
        <f t="shared" si="10"/>
        <v>0</v>
      </c>
      <c r="V42" s="56">
        <f t="shared" si="11"/>
        <v>0</v>
      </c>
      <c r="W42" s="56">
        <f t="shared" si="12"/>
        <v>0</v>
      </c>
      <c r="X42" s="56">
        <f t="shared" si="13"/>
        <v>0</v>
      </c>
      <c r="Y42" s="35"/>
      <c r="Z42" s="35">
        <v>0.2</v>
      </c>
      <c r="AA42" s="35">
        <v>0.18</v>
      </c>
      <c r="AB42" s="35">
        <v>0.1</v>
      </c>
      <c r="AC42" s="35"/>
      <c r="AD42" s="35">
        <v>0.35</v>
      </c>
      <c r="AE42" s="35"/>
      <c r="AF42" s="35"/>
      <c r="AG42" s="35">
        <v>2.5000000000000001E-2</v>
      </c>
      <c r="AH42" s="34"/>
      <c r="AI42" s="34"/>
      <c r="AJ42" s="34"/>
      <c r="AK42" s="34"/>
      <c r="AL42" s="34"/>
      <c r="AM42" s="34">
        <v>160</v>
      </c>
      <c r="AN42" s="34"/>
      <c r="AO42" s="34"/>
      <c r="AP42" s="34"/>
      <c r="AQ42" s="7"/>
      <c r="AR42" s="7"/>
      <c r="AS42" s="7"/>
      <c r="AT42" s="7"/>
      <c r="AU42" s="7"/>
      <c r="AV42" s="7"/>
      <c r="AW42" s="7"/>
      <c r="AX42" s="7"/>
      <c r="AY42" s="7"/>
      <c r="AZ42" s="81">
        <f t="shared" si="14"/>
        <v>80</v>
      </c>
    </row>
    <row r="43" spans="1:52" x14ac:dyDescent="0.25">
      <c r="A43" s="32" t="s">
        <v>64</v>
      </c>
      <c r="B43" s="33" t="s">
        <v>110</v>
      </c>
      <c r="C43" s="33"/>
      <c r="D43" s="44" t="s">
        <v>170</v>
      </c>
      <c r="E43" s="43">
        <f t="shared" si="0"/>
        <v>561</v>
      </c>
      <c r="F43" s="41"/>
      <c r="G43" s="43">
        <v>574</v>
      </c>
      <c r="H43" s="53">
        <f t="shared" si="1"/>
        <v>561</v>
      </c>
      <c r="I43" s="40">
        <f t="shared" si="2"/>
        <v>561</v>
      </c>
      <c r="J43" s="40">
        <f t="shared" si="3"/>
        <v>716510</v>
      </c>
      <c r="K43" s="54">
        <f>SUMIF(ProductList!$F$4:$F$493,A43,ProductList!$BA$4:$BA$493)</f>
        <v>578590.4</v>
      </c>
      <c r="L43" s="54">
        <f>SUMIF(ProductList!$F$4:$F$493,A43,ProductList!$V$4:$V$493)</f>
        <v>1278</v>
      </c>
      <c r="M43" s="54">
        <f>SUMIF(ProductList!$F$4:$F$493,A43,ProductList!$K$4:$K$493)</f>
        <v>0</v>
      </c>
      <c r="N43" s="49" t="s">
        <v>79</v>
      </c>
      <c r="O43" s="81">
        <f t="shared" si="4"/>
        <v>80</v>
      </c>
      <c r="P43" s="56">
        <f t="shared" si="5"/>
        <v>0</v>
      </c>
      <c r="Q43" s="56">
        <f t="shared" si="6"/>
        <v>115718.08000000002</v>
      </c>
      <c r="R43" s="56">
        <f t="shared" si="7"/>
        <v>202101.7536</v>
      </c>
      <c r="S43" s="56">
        <f t="shared" si="8"/>
        <v>0</v>
      </c>
      <c r="T43" s="56">
        <f t="shared" si="9"/>
        <v>0</v>
      </c>
      <c r="U43" s="56">
        <f t="shared" si="10"/>
        <v>370620</v>
      </c>
      <c r="V43" s="56">
        <f t="shared" si="11"/>
        <v>0</v>
      </c>
      <c r="W43" s="56">
        <f t="shared" si="12"/>
        <v>0</v>
      </c>
      <c r="X43" s="56">
        <f t="shared" si="13"/>
        <v>28069.688000000002</v>
      </c>
      <c r="Y43" s="35"/>
      <c r="Z43" s="35">
        <v>0.2</v>
      </c>
      <c r="AA43" s="35">
        <v>0.18</v>
      </c>
      <c r="AB43" s="35"/>
      <c r="AC43" s="35"/>
      <c r="AD43" s="35">
        <v>0.45</v>
      </c>
      <c r="AE43" s="35"/>
      <c r="AF43" s="35"/>
      <c r="AG43" s="35">
        <v>2.5000000000000001E-2</v>
      </c>
      <c r="AH43" s="34"/>
      <c r="AI43" s="34">
        <v>70</v>
      </c>
      <c r="AJ43" s="34"/>
      <c r="AK43" s="34"/>
      <c r="AL43" s="34"/>
      <c r="AM43" s="34">
        <v>290</v>
      </c>
      <c r="AN43" s="34"/>
      <c r="AO43" s="34"/>
      <c r="AP43" s="34"/>
      <c r="AQ43" s="7"/>
      <c r="AR43" s="7"/>
      <c r="AS43" s="7"/>
      <c r="AT43" s="7"/>
      <c r="AU43" s="7"/>
      <c r="AV43" s="7"/>
      <c r="AW43" s="7"/>
      <c r="AX43" s="7"/>
      <c r="AY43" s="7"/>
      <c r="AZ43" s="81">
        <f t="shared" si="14"/>
        <v>80</v>
      </c>
    </row>
    <row r="44" spans="1:52" x14ac:dyDescent="0.25">
      <c r="A44" s="32" t="s">
        <v>188</v>
      </c>
      <c r="B44" s="33" t="s">
        <v>189</v>
      </c>
      <c r="C44" s="33"/>
      <c r="D44" s="44" t="s">
        <v>170</v>
      </c>
      <c r="E44" s="43">
        <f t="shared" si="0"/>
        <v>0</v>
      </c>
      <c r="F44" s="41"/>
      <c r="G44" s="43"/>
      <c r="H44" s="53">
        <f t="shared" si="1"/>
        <v>0</v>
      </c>
      <c r="I44" s="40">
        <f t="shared" si="2"/>
        <v>0</v>
      </c>
      <c r="J44" s="40">
        <f t="shared" si="3"/>
        <v>0</v>
      </c>
      <c r="K44" s="54">
        <f>SUMIF(ProductList!$F$4:$F$493,A44,ProductList!$BA$4:$BA$493)</f>
        <v>0</v>
      </c>
      <c r="L44" s="54">
        <f>SUMIF(ProductList!$F$4:$F$493,A44,ProductList!$V$4:$V$493)</f>
        <v>0</v>
      </c>
      <c r="M44" s="54">
        <f>SUMIF(ProductList!$F$4:$F$493,A44,ProductList!$K$4:$K$493)</f>
        <v>0</v>
      </c>
      <c r="N44" s="49" t="s">
        <v>79</v>
      </c>
      <c r="O44" s="81">
        <f t="shared" si="4"/>
        <v>80</v>
      </c>
      <c r="P44" s="56">
        <f t="shared" si="5"/>
        <v>0</v>
      </c>
      <c r="Q44" s="56">
        <f t="shared" si="6"/>
        <v>0</v>
      </c>
      <c r="R44" s="56">
        <f t="shared" si="7"/>
        <v>0</v>
      </c>
      <c r="S44" s="56">
        <f t="shared" si="8"/>
        <v>0</v>
      </c>
      <c r="T44" s="56">
        <f t="shared" si="9"/>
        <v>0</v>
      </c>
      <c r="U44" s="56">
        <f t="shared" si="10"/>
        <v>0</v>
      </c>
      <c r="V44" s="56">
        <f t="shared" si="11"/>
        <v>0</v>
      </c>
      <c r="W44" s="56">
        <f t="shared" si="12"/>
        <v>0</v>
      </c>
      <c r="X44" s="56">
        <f t="shared" si="13"/>
        <v>0</v>
      </c>
      <c r="Y44" s="34"/>
      <c r="Z44" s="35">
        <v>0.2</v>
      </c>
      <c r="AA44" s="35">
        <v>0.18</v>
      </c>
      <c r="AB44" s="35">
        <v>0.1</v>
      </c>
      <c r="AC44" s="35"/>
      <c r="AD44" s="35">
        <v>0.45</v>
      </c>
      <c r="AE44" s="35"/>
      <c r="AF44" s="35"/>
      <c r="AG44" s="35">
        <v>2.5000000000000001E-2</v>
      </c>
      <c r="AH44" s="34"/>
      <c r="AI44" s="34">
        <v>370</v>
      </c>
      <c r="AJ44" s="34"/>
      <c r="AK44" s="34"/>
      <c r="AL44" s="34"/>
      <c r="AM44" s="34">
        <v>450</v>
      </c>
      <c r="AN44" s="34"/>
      <c r="AO44" s="34"/>
      <c r="AP44" s="34"/>
      <c r="AQ44" s="7"/>
      <c r="AR44" s="7"/>
      <c r="AS44" s="7"/>
      <c r="AT44" s="7"/>
      <c r="AU44" s="7"/>
      <c r="AV44" s="7"/>
      <c r="AW44" s="7"/>
      <c r="AX44" s="7"/>
      <c r="AY44" s="7"/>
      <c r="AZ44" s="81">
        <f t="shared" si="14"/>
        <v>80</v>
      </c>
    </row>
    <row r="45" spans="1:52" x14ac:dyDescent="0.25">
      <c r="A45" s="32" t="s">
        <v>65</v>
      </c>
      <c r="B45" s="33" t="s">
        <v>116</v>
      </c>
      <c r="C45" s="33"/>
      <c r="D45" s="44" t="s">
        <v>170</v>
      </c>
      <c r="E45" s="43">
        <f t="shared" si="0"/>
        <v>0</v>
      </c>
      <c r="F45" s="41"/>
      <c r="G45" s="43">
        <v>1622</v>
      </c>
      <c r="H45" s="53">
        <f t="shared" si="1"/>
        <v>0</v>
      </c>
      <c r="I45" s="40">
        <f t="shared" si="2"/>
        <v>0</v>
      </c>
      <c r="J45" s="40">
        <f t="shared" si="3"/>
        <v>0</v>
      </c>
      <c r="K45" s="54">
        <f>SUMIF(ProductList!$F$4:$F$493,A45,ProductList!$BA$4:$BA$493)</f>
        <v>0</v>
      </c>
      <c r="L45" s="54">
        <f>SUMIF(ProductList!$F$4:$F$493,A45,ProductList!$V$4:$V$493)</f>
        <v>0</v>
      </c>
      <c r="M45" s="54">
        <f>SUMIF(ProductList!$F$4:$F$493,A45,ProductList!$K$4:$K$493)</f>
        <v>0</v>
      </c>
      <c r="N45" s="49" t="s">
        <v>79</v>
      </c>
      <c r="O45" s="81">
        <f t="shared" si="4"/>
        <v>80</v>
      </c>
      <c r="P45" s="56">
        <f t="shared" si="5"/>
        <v>0</v>
      </c>
      <c r="Q45" s="56">
        <f t="shared" si="6"/>
        <v>0</v>
      </c>
      <c r="R45" s="56">
        <f t="shared" si="7"/>
        <v>0</v>
      </c>
      <c r="S45" s="56">
        <f t="shared" si="8"/>
        <v>0</v>
      </c>
      <c r="T45" s="56">
        <f t="shared" si="9"/>
        <v>0</v>
      </c>
      <c r="U45" s="56">
        <f t="shared" si="10"/>
        <v>0</v>
      </c>
      <c r="V45" s="56">
        <f t="shared" si="11"/>
        <v>0</v>
      </c>
      <c r="W45" s="56">
        <f t="shared" si="12"/>
        <v>0</v>
      </c>
      <c r="X45" s="56">
        <f t="shared" si="13"/>
        <v>0</v>
      </c>
      <c r="Y45" s="35"/>
      <c r="Z45" s="35">
        <v>0.2</v>
      </c>
      <c r="AA45" s="35">
        <v>0.18</v>
      </c>
      <c r="AB45" s="35">
        <v>0.1</v>
      </c>
      <c r="AC45" s="35"/>
      <c r="AD45" s="35">
        <v>0.25</v>
      </c>
      <c r="AE45" s="35"/>
      <c r="AF45" s="35"/>
      <c r="AG45" s="35">
        <v>2.5000000000000001E-2</v>
      </c>
      <c r="AH45" s="34"/>
      <c r="AI45" s="34">
        <v>550</v>
      </c>
      <c r="AJ45" s="34"/>
      <c r="AK45" s="34"/>
      <c r="AL45" s="34"/>
      <c r="AM45" s="34">
        <v>500</v>
      </c>
      <c r="AN45" s="34"/>
      <c r="AO45" s="34"/>
      <c r="AP45" s="34"/>
      <c r="AQ45" s="7"/>
      <c r="AR45" s="7"/>
      <c r="AS45" s="7"/>
      <c r="AT45" s="7"/>
      <c r="AU45" s="7"/>
      <c r="AV45" s="7"/>
      <c r="AW45" s="7"/>
      <c r="AX45" s="7"/>
      <c r="AY45" s="7"/>
      <c r="AZ45" s="81">
        <f t="shared" si="14"/>
        <v>80</v>
      </c>
    </row>
    <row r="46" spans="1:52" x14ac:dyDescent="0.25">
      <c r="A46" s="32" t="s">
        <v>65</v>
      </c>
      <c r="B46" s="33" t="s">
        <v>196</v>
      </c>
      <c r="C46" s="33"/>
      <c r="D46" s="44" t="s">
        <v>170</v>
      </c>
      <c r="E46" s="43">
        <f t="shared" si="0"/>
        <v>0</v>
      </c>
      <c r="F46" s="41"/>
      <c r="G46" s="43"/>
      <c r="H46" s="53">
        <f t="shared" si="1"/>
        <v>0</v>
      </c>
      <c r="I46" s="40">
        <f t="shared" si="2"/>
        <v>0</v>
      </c>
      <c r="J46" s="40">
        <f t="shared" si="3"/>
        <v>0</v>
      </c>
      <c r="K46" s="54">
        <f>SUMIF(ProductList!$F$4:$F$493,A46,ProductList!$BA$4:$BA$493)</f>
        <v>0</v>
      </c>
      <c r="L46" s="54">
        <f>SUMIF(ProductList!$F$4:$F$493,A46,ProductList!$V$4:$V$493)</f>
        <v>0</v>
      </c>
      <c r="M46" s="54">
        <f>SUMIF(ProductList!$F$4:$F$493,A46,ProductList!$K$4:$K$493)</f>
        <v>0</v>
      </c>
      <c r="N46" s="49" t="s">
        <v>79</v>
      </c>
      <c r="O46" s="81">
        <f t="shared" si="4"/>
        <v>80</v>
      </c>
      <c r="P46" s="56">
        <f t="shared" si="5"/>
        <v>0</v>
      </c>
      <c r="Q46" s="56">
        <f t="shared" si="6"/>
        <v>0</v>
      </c>
      <c r="R46" s="56">
        <f t="shared" si="7"/>
        <v>0</v>
      </c>
      <c r="S46" s="56">
        <f t="shared" si="8"/>
        <v>0</v>
      </c>
      <c r="T46" s="56">
        <f t="shared" si="9"/>
        <v>0</v>
      </c>
      <c r="U46" s="56">
        <f t="shared" si="10"/>
        <v>0</v>
      </c>
      <c r="V46" s="56">
        <f t="shared" si="11"/>
        <v>0</v>
      </c>
      <c r="W46" s="56">
        <f t="shared" si="12"/>
        <v>0</v>
      </c>
      <c r="X46" s="56">
        <f t="shared" si="13"/>
        <v>0</v>
      </c>
      <c r="Y46" s="34"/>
      <c r="Z46" s="35">
        <v>0.2</v>
      </c>
      <c r="AA46" s="35">
        <v>0.18</v>
      </c>
      <c r="AB46" s="35">
        <v>0.1</v>
      </c>
      <c r="AC46" s="35"/>
      <c r="AD46" s="35">
        <v>0.25</v>
      </c>
      <c r="AE46" s="35"/>
      <c r="AF46" s="35"/>
      <c r="AG46" s="35">
        <v>2.5000000000000001E-2</v>
      </c>
      <c r="AH46" s="34"/>
      <c r="AI46" s="34">
        <v>550</v>
      </c>
      <c r="AJ46" s="34"/>
      <c r="AK46" s="34"/>
      <c r="AL46" s="34"/>
      <c r="AM46" s="34">
        <v>500</v>
      </c>
      <c r="AN46" s="34"/>
      <c r="AO46" s="34"/>
      <c r="AP46" s="34"/>
      <c r="AQ46" s="7"/>
      <c r="AR46" s="7"/>
      <c r="AS46" s="7"/>
      <c r="AT46" s="7"/>
      <c r="AU46" s="7"/>
      <c r="AV46" s="7"/>
      <c r="AW46" s="7"/>
      <c r="AX46" s="7"/>
      <c r="AY46" s="7"/>
      <c r="AZ46" s="81">
        <f t="shared" si="14"/>
        <v>80</v>
      </c>
    </row>
    <row r="47" spans="1:52" ht="15.75" x14ac:dyDescent="0.25">
      <c r="A47" s="85" t="s">
        <v>228</v>
      </c>
      <c r="B47" s="33" t="s">
        <v>229</v>
      </c>
      <c r="C47" s="33"/>
      <c r="D47" s="44" t="s">
        <v>170</v>
      </c>
      <c r="E47" s="43">
        <f t="shared" si="0"/>
        <v>0</v>
      </c>
      <c r="F47" s="41"/>
      <c r="G47" s="43"/>
      <c r="H47" s="53">
        <f t="shared" si="1"/>
        <v>0</v>
      </c>
      <c r="I47" s="40">
        <f t="shared" si="2"/>
        <v>0</v>
      </c>
      <c r="J47" s="40">
        <f t="shared" si="3"/>
        <v>0</v>
      </c>
      <c r="K47" s="54">
        <f>SUMIF(ProductList!$F$4:$F$493,A47,ProductList!$BA$4:$BA$493)</f>
        <v>0</v>
      </c>
      <c r="L47" s="54">
        <f>SUMIF(ProductList!$F$4:$F$493,A47,ProductList!$V$4:$V$493)</f>
        <v>0</v>
      </c>
      <c r="M47" s="54">
        <f>SUMIF(ProductList!$F$4:$F$493,A47,ProductList!$K$4:$K$493)</f>
        <v>0</v>
      </c>
      <c r="N47" s="49" t="s">
        <v>79</v>
      </c>
      <c r="O47" s="81">
        <f t="shared" si="4"/>
        <v>80</v>
      </c>
      <c r="P47" s="56">
        <f t="shared" si="5"/>
        <v>0</v>
      </c>
      <c r="Q47" s="56">
        <f t="shared" si="6"/>
        <v>0</v>
      </c>
      <c r="R47" s="56">
        <f t="shared" si="7"/>
        <v>0</v>
      </c>
      <c r="S47" s="56">
        <f t="shared" si="8"/>
        <v>0</v>
      </c>
      <c r="T47" s="56">
        <f t="shared" si="9"/>
        <v>0</v>
      </c>
      <c r="U47" s="56">
        <f t="shared" si="10"/>
        <v>0</v>
      </c>
      <c r="V47" s="56">
        <f t="shared" si="11"/>
        <v>0</v>
      </c>
      <c r="W47" s="56">
        <f t="shared" si="12"/>
        <v>0</v>
      </c>
      <c r="X47" s="56">
        <f t="shared" si="13"/>
        <v>0</v>
      </c>
      <c r="Y47" s="34"/>
      <c r="Z47" s="35">
        <v>0.2</v>
      </c>
      <c r="AA47" s="35">
        <v>0.18</v>
      </c>
      <c r="AB47" s="35">
        <v>0.1</v>
      </c>
      <c r="AC47" s="35"/>
      <c r="AD47" s="35">
        <v>0.1</v>
      </c>
      <c r="AE47" s="35"/>
      <c r="AF47" s="35"/>
      <c r="AG47" s="35">
        <v>2.5000000000000001E-2</v>
      </c>
      <c r="AH47" s="34"/>
      <c r="AI47" s="34">
        <v>1500</v>
      </c>
      <c r="AJ47" s="34"/>
      <c r="AK47" s="34"/>
      <c r="AL47" s="34"/>
      <c r="AM47" s="34">
        <v>600</v>
      </c>
      <c r="AN47" s="34"/>
      <c r="AO47" s="34"/>
      <c r="AP47" s="34"/>
      <c r="AQ47" s="34"/>
      <c r="AR47" s="34"/>
      <c r="AS47" s="34"/>
      <c r="AT47" s="34"/>
      <c r="AU47" s="34"/>
      <c r="AV47" s="35"/>
      <c r="AW47" s="34"/>
      <c r="AX47" s="34"/>
      <c r="AY47" s="34"/>
      <c r="AZ47" s="81">
        <f t="shared" si="14"/>
        <v>80</v>
      </c>
    </row>
    <row r="48" spans="1:52" x14ac:dyDescent="0.25">
      <c r="A48" s="32" t="s">
        <v>63</v>
      </c>
      <c r="B48" s="33" t="s">
        <v>108</v>
      </c>
      <c r="C48" s="33"/>
      <c r="D48" s="44" t="s">
        <v>170</v>
      </c>
      <c r="E48" s="43">
        <f t="shared" si="0"/>
        <v>0</v>
      </c>
      <c r="F48" s="48"/>
      <c r="G48" s="45">
        <v>370</v>
      </c>
      <c r="H48" s="53">
        <f t="shared" si="1"/>
        <v>0</v>
      </c>
      <c r="I48" s="40">
        <f t="shared" si="2"/>
        <v>0</v>
      </c>
      <c r="J48" s="40">
        <f t="shared" si="3"/>
        <v>0</v>
      </c>
      <c r="K48" s="54">
        <f>SUMIF(ProductList!$F$4:$F$493,A48,ProductList!$BA$4:$BA$493)</f>
        <v>0</v>
      </c>
      <c r="L48" s="54">
        <f>SUMIF(ProductList!$F$4:$F$493,A48,ProductList!$V$4:$V$493)</f>
        <v>0</v>
      </c>
      <c r="M48" s="54">
        <f>SUMIF(ProductList!$F$4:$F$493,A48,ProductList!$K$4:$K$493)</f>
        <v>0</v>
      </c>
      <c r="N48" s="49" t="s">
        <v>79</v>
      </c>
      <c r="O48" s="81">
        <f t="shared" si="4"/>
        <v>80</v>
      </c>
      <c r="P48" s="56">
        <f t="shared" si="5"/>
        <v>0</v>
      </c>
      <c r="Q48" s="56">
        <f t="shared" si="6"/>
        <v>0</v>
      </c>
      <c r="R48" s="56">
        <f t="shared" si="7"/>
        <v>0</v>
      </c>
      <c r="S48" s="56">
        <f t="shared" si="8"/>
        <v>0</v>
      </c>
      <c r="T48" s="56">
        <f t="shared" si="9"/>
        <v>0</v>
      </c>
      <c r="U48" s="56">
        <f t="shared" si="10"/>
        <v>0</v>
      </c>
      <c r="V48" s="56">
        <f t="shared" si="11"/>
        <v>0</v>
      </c>
      <c r="W48" s="56">
        <f t="shared" si="12"/>
        <v>0</v>
      </c>
      <c r="X48" s="56">
        <f t="shared" si="13"/>
        <v>0</v>
      </c>
      <c r="Y48" s="35"/>
      <c r="Z48" s="35">
        <v>0.2</v>
      </c>
      <c r="AA48" s="35">
        <v>0.18</v>
      </c>
      <c r="AB48" s="35">
        <v>0.1</v>
      </c>
      <c r="AC48" s="35">
        <v>0.06</v>
      </c>
      <c r="AD48" s="35">
        <v>0.25</v>
      </c>
      <c r="AE48" s="35">
        <v>0.24</v>
      </c>
      <c r="AF48" s="35"/>
      <c r="AG48" s="35">
        <v>2.5000000000000001E-2</v>
      </c>
      <c r="AH48" s="34"/>
      <c r="AI48" s="34"/>
      <c r="AJ48" s="34"/>
      <c r="AK48" s="34"/>
      <c r="AL48" s="34"/>
      <c r="AM48" s="34">
        <v>160</v>
      </c>
      <c r="AN48" s="34">
        <v>100</v>
      </c>
      <c r="AO48" s="34"/>
      <c r="AP48" s="34"/>
      <c r="AQ48" s="7"/>
      <c r="AR48" s="7"/>
      <c r="AS48" s="7"/>
      <c r="AT48" s="7"/>
      <c r="AU48" s="7"/>
      <c r="AV48" s="7"/>
      <c r="AW48" s="7"/>
      <c r="AX48" s="7"/>
      <c r="AY48" s="7"/>
      <c r="AZ48" s="81">
        <f t="shared" si="14"/>
        <v>80</v>
      </c>
    </row>
    <row r="49" spans="1:52" x14ac:dyDescent="0.25">
      <c r="A49" s="32" t="s">
        <v>201</v>
      </c>
      <c r="B49" s="33" t="s">
        <v>174</v>
      </c>
      <c r="C49" s="33"/>
      <c r="D49" s="44" t="s">
        <v>170</v>
      </c>
      <c r="E49" s="43">
        <f t="shared" si="0"/>
        <v>1120</v>
      </c>
      <c r="F49" s="41"/>
      <c r="G49" s="43"/>
      <c r="H49" s="53">
        <f t="shared" si="1"/>
        <v>1120</v>
      </c>
      <c r="I49" s="40">
        <f t="shared" si="2"/>
        <v>1120</v>
      </c>
      <c r="J49" s="40">
        <f t="shared" si="3"/>
        <v>534440</v>
      </c>
      <c r="K49" s="54">
        <f>SUMIF(ProductList!$F$4:$F$493,A49,ProductList!$BA$4:$BA$493)</f>
        <v>316660</v>
      </c>
      <c r="L49" s="54">
        <f>SUMIF(ProductList!$F$4:$F$493,A49,ProductList!$V$4:$V$493)</f>
        <v>477.04</v>
      </c>
      <c r="M49" s="54">
        <f>SUMIF(ProductList!$F$4:$F$493,A49,ProductList!$K$4:$K$493)</f>
        <v>0</v>
      </c>
      <c r="N49" s="49" t="s">
        <v>79</v>
      </c>
      <c r="O49" s="81">
        <f t="shared" si="4"/>
        <v>80</v>
      </c>
      <c r="P49" s="56">
        <f t="shared" si="5"/>
        <v>0</v>
      </c>
      <c r="Q49" s="56">
        <f t="shared" si="6"/>
        <v>166964</v>
      </c>
      <c r="R49" s="56">
        <f t="shared" si="7"/>
        <v>131392.44</v>
      </c>
      <c r="S49" s="56">
        <f t="shared" si="8"/>
        <v>0</v>
      </c>
      <c r="T49" s="56">
        <f t="shared" si="9"/>
        <v>126664</v>
      </c>
      <c r="U49" s="56">
        <f t="shared" si="10"/>
        <v>214668</v>
      </c>
      <c r="V49" s="56">
        <f t="shared" si="11"/>
        <v>0</v>
      </c>
      <c r="W49" s="56">
        <f t="shared" si="12"/>
        <v>0</v>
      </c>
      <c r="X49" s="56">
        <f t="shared" si="13"/>
        <v>21415.550000000003</v>
      </c>
      <c r="Y49" s="34"/>
      <c r="Z49" s="35">
        <v>0.2</v>
      </c>
      <c r="AA49" s="35">
        <v>0.18</v>
      </c>
      <c r="AB49" s="35"/>
      <c r="AC49" s="35">
        <v>0.4</v>
      </c>
      <c r="AD49" s="35"/>
      <c r="AE49" s="35"/>
      <c r="AF49" s="35"/>
      <c r="AG49" s="35">
        <v>2.5000000000000001E-2</v>
      </c>
      <c r="AH49" s="34"/>
      <c r="AI49" s="34">
        <v>350</v>
      </c>
      <c r="AJ49" s="34"/>
      <c r="AK49" s="34"/>
      <c r="AL49" s="34"/>
      <c r="AM49" s="34">
        <v>450</v>
      </c>
      <c r="AN49" s="34"/>
      <c r="AO49" s="34"/>
      <c r="AP49" s="34"/>
      <c r="AQ49" s="7"/>
      <c r="AR49" s="7"/>
      <c r="AS49" s="7"/>
      <c r="AT49" s="7"/>
      <c r="AU49" s="7"/>
      <c r="AV49" s="7"/>
      <c r="AW49" s="7"/>
      <c r="AX49" s="7"/>
      <c r="AY49" s="7"/>
      <c r="AZ49" s="81">
        <f t="shared" si="14"/>
        <v>80</v>
      </c>
    </row>
    <row r="50" spans="1:52" x14ac:dyDescent="0.25">
      <c r="A50" s="32" t="s">
        <v>66</v>
      </c>
      <c r="B50" s="33" t="s">
        <v>109</v>
      </c>
      <c r="C50" s="33"/>
      <c r="D50" s="44" t="s">
        <v>170</v>
      </c>
      <c r="E50" s="43">
        <f t="shared" si="0"/>
        <v>570</v>
      </c>
      <c r="F50" s="48"/>
      <c r="G50" s="45">
        <v>539</v>
      </c>
      <c r="H50" s="53">
        <f t="shared" si="1"/>
        <v>570</v>
      </c>
      <c r="I50" s="40">
        <f t="shared" si="2"/>
        <v>570</v>
      </c>
      <c r="J50" s="40">
        <f t="shared" si="3"/>
        <v>1049869</v>
      </c>
      <c r="K50" s="54">
        <f>SUMIF(ProductList!$F$4:$F$493,A50,ProductList!$BA$4:$BA$493)</f>
        <v>1100491.9999999998</v>
      </c>
      <c r="L50" s="54">
        <f>SUMIF(ProductList!$F$4:$F$493,A50,ProductList!$V$4:$V$493)</f>
        <v>1841.6</v>
      </c>
      <c r="M50" s="54">
        <f>SUMIF(ProductList!$F$4:$F$493,A50,ProductList!$K$4:$K$493)</f>
        <v>0</v>
      </c>
      <c r="N50" s="49" t="s">
        <v>79</v>
      </c>
      <c r="O50" s="81">
        <f t="shared" si="4"/>
        <v>80</v>
      </c>
      <c r="P50" s="56">
        <f t="shared" si="5"/>
        <v>0</v>
      </c>
      <c r="Q50" s="56">
        <f t="shared" si="6"/>
        <v>220098.39999999997</v>
      </c>
      <c r="R50" s="56">
        <f t="shared" si="7"/>
        <v>336750.55199999991</v>
      </c>
      <c r="S50" s="56">
        <f t="shared" si="8"/>
        <v>110049.19999999998</v>
      </c>
      <c r="T50" s="56">
        <f t="shared" si="9"/>
        <v>66029.51999999999</v>
      </c>
      <c r="U50" s="56">
        <f t="shared" si="10"/>
        <v>330147.59999999992</v>
      </c>
      <c r="V50" s="56">
        <f t="shared" si="11"/>
        <v>176078.71999999997</v>
      </c>
      <c r="W50" s="56">
        <f t="shared" si="12"/>
        <v>0</v>
      </c>
      <c r="X50" s="56">
        <f t="shared" si="13"/>
        <v>52823.615999999995</v>
      </c>
      <c r="Y50" s="35"/>
      <c r="Z50" s="35">
        <v>0.2</v>
      </c>
      <c r="AA50" s="35">
        <v>0.18</v>
      </c>
      <c r="AB50" s="35">
        <v>0.1</v>
      </c>
      <c r="AC50" s="35">
        <v>0.06</v>
      </c>
      <c r="AD50" s="35">
        <v>0.3</v>
      </c>
      <c r="AE50" s="35">
        <v>0.16</v>
      </c>
      <c r="AF50" s="35"/>
      <c r="AG50" s="35">
        <v>2.5000000000000001E-2</v>
      </c>
      <c r="AH50" s="34"/>
      <c r="AI50" s="34"/>
      <c r="AJ50" s="34"/>
      <c r="AK50" s="34"/>
      <c r="AL50" s="34"/>
      <c r="AM50" s="34"/>
      <c r="AN50" s="34"/>
      <c r="AO50" s="34"/>
      <c r="AP50" s="34"/>
      <c r="AQ50" s="7"/>
      <c r="AR50" s="7"/>
      <c r="AS50" s="7"/>
      <c r="AT50" s="7"/>
      <c r="AU50" s="7"/>
      <c r="AV50" s="7"/>
      <c r="AW50" s="7"/>
      <c r="AX50" s="7"/>
      <c r="AY50" s="7"/>
      <c r="AZ50" s="81">
        <f t="shared" si="14"/>
        <v>80</v>
      </c>
    </row>
    <row r="51" spans="1:52" x14ac:dyDescent="0.25">
      <c r="A51" s="32" t="s">
        <v>149</v>
      </c>
      <c r="B51" s="33" t="s">
        <v>150</v>
      </c>
      <c r="C51" s="33"/>
      <c r="D51" s="44"/>
      <c r="E51" s="43">
        <f t="shared" si="0"/>
        <v>0</v>
      </c>
      <c r="F51" s="43" t="s">
        <v>122</v>
      </c>
      <c r="G51" s="43"/>
      <c r="H51" s="53">
        <f t="shared" si="1"/>
        <v>0</v>
      </c>
      <c r="I51" s="40">
        <f t="shared" si="2"/>
        <v>0</v>
      </c>
      <c r="J51" s="40">
        <f t="shared" si="3"/>
        <v>0</v>
      </c>
      <c r="K51" s="54">
        <f>SUMIF(ProductList!$F$4:$F$493,A51,ProductList!$BA$4:$BA$493)</f>
        <v>0</v>
      </c>
      <c r="L51" s="54">
        <f>SUMIF(ProductList!$F$4:$F$493,A51,ProductList!$V$4:$V$493)</f>
        <v>0</v>
      </c>
      <c r="M51" s="54">
        <f>SUMIF(ProductList!$F$4:$F$493,A51,ProductList!$K$4:$K$493)</f>
        <v>0</v>
      </c>
      <c r="N51" s="49" t="s">
        <v>79</v>
      </c>
      <c r="O51" s="81">
        <f t="shared" si="4"/>
        <v>80</v>
      </c>
      <c r="P51" s="56">
        <f t="shared" si="5"/>
        <v>0</v>
      </c>
      <c r="Q51" s="56">
        <f t="shared" si="6"/>
        <v>0</v>
      </c>
      <c r="R51" s="56">
        <f t="shared" si="7"/>
        <v>0</v>
      </c>
      <c r="S51" s="56">
        <f t="shared" si="8"/>
        <v>0</v>
      </c>
      <c r="T51" s="56">
        <f t="shared" si="9"/>
        <v>0</v>
      </c>
      <c r="U51" s="56">
        <f t="shared" si="10"/>
        <v>0</v>
      </c>
      <c r="V51" s="56">
        <f t="shared" si="11"/>
        <v>0</v>
      </c>
      <c r="W51" s="56">
        <f t="shared" si="12"/>
        <v>0</v>
      </c>
      <c r="X51" s="56">
        <f t="shared" si="13"/>
        <v>0</v>
      </c>
      <c r="Y51" s="35"/>
      <c r="Z51" s="35"/>
      <c r="AA51" s="35">
        <v>0.18</v>
      </c>
      <c r="AB51" s="35"/>
      <c r="AC51" s="35"/>
      <c r="AD51" s="35">
        <v>0.25</v>
      </c>
      <c r="AE51" s="35">
        <v>0.24</v>
      </c>
      <c r="AF51" s="35"/>
      <c r="AG51" s="35"/>
      <c r="AH51" s="34"/>
      <c r="AI51" s="34"/>
      <c r="AJ51" s="34"/>
      <c r="AK51" s="34"/>
      <c r="AL51" s="34"/>
      <c r="AM51" s="34">
        <v>2000</v>
      </c>
      <c r="AN51" s="34">
        <v>1000</v>
      </c>
      <c r="AO51" s="34"/>
      <c r="AP51" s="34"/>
      <c r="AQ51" s="7"/>
      <c r="AR51" s="7"/>
      <c r="AS51" s="7"/>
      <c r="AT51" s="7"/>
      <c r="AU51" s="7"/>
      <c r="AV51" s="7"/>
      <c r="AW51" s="7"/>
      <c r="AX51" s="7"/>
      <c r="AY51" s="7"/>
      <c r="AZ51" s="81">
        <f t="shared" si="14"/>
        <v>80</v>
      </c>
    </row>
    <row r="52" spans="1:52" x14ac:dyDescent="0.25">
      <c r="A52" s="32" t="s">
        <v>154</v>
      </c>
      <c r="B52" s="33" t="s">
        <v>155</v>
      </c>
      <c r="C52" s="33"/>
      <c r="D52" s="44" t="s">
        <v>170</v>
      </c>
      <c r="E52" s="43">
        <f t="shared" si="0"/>
        <v>0</v>
      </c>
      <c r="F52" s="41"/>
      <c r="G52" s="43"/>
      <c r="H52" s="53">
        <f t="shared" si="1"/>
        <v>0</v>
      </c>
      <c r="I52" s="40">
        <f t="shared" si="2"/>
        <v>0</v>
      </c>
      <c r="J52" s="40">
        <f t="shared" si="3"/>
        <v>0</v>
      </c>
      <c r="K52" s="54">
        <f>SUMIF(ProductList!$F$4:$F$493,A52,ProductList!$BA$4:$BA$493)</f>
        <v>0</v>
      </c>
      <c r="L52" s="54">
        <f>SUMIF(ProductList!$F$4:$F$493,A52,ProductList!$V$4:$V$493)</f>
        <v>0</v>
      </c>
      <c r="M52" s="54">
        <f>SUMIF(ProductList!$F$4:$F$493,A52,ProductList!$K$4:$K$493)</f>
        <v>0</v>
      </c>
      <c r="N52" s="49" t="s">
        <v>79</v>
      </c>
      <c r="O52" s="81">
        <f t="shared" si="4"/>
        <v>80</v>
      </c>
      <c r="P52" s="56">
        <f t="shared" si="5"/>
        <v>0</v>
      </c>
      <c r="Q52" s="56">
        <f t="shared" si="6"/>
        <v>0</v>
      </c>
      <c r="R52" s="56">
        <f t="shared" si="7"/>
        <v>0</v>
      </c>
      <c r="S52" s="56">
        <f t="shared" si="8"/>
        <v>0</v>
      </c>
      <c r="T52" s="56">
        <f t="shared" si="9"/>
        <v>0</v>
      </c>
      <c r="U52" s="56">
        <f t="shared" si="10"/>
        <v>0</v>
      </c>
      <c r="V52" s="56">
        <f t="shared" si="11"/>
        <v>0</v>
      </c>
      <c r="W52" s="56">
        <f t="shared" si="12"/>
        <v>0</v>
      </c>
      <c r="X52" s="56">
        <f t="shared" si="13"/>
        <v>0</v>
      </c>
      <c r="Y52" s="35"/>
      <c r="Z52" s="35"/>
      <c r="AA52" s="35">
        <v>0.18</v>
      </c>
      <c r="AB52" s="35">
        <v>0.1</v>
      </c>
      <c r="AC52" s="35">
        <v>0.06</v>
      </c>
      <c r="AD52" s="35"/>
      <c r="AE52" s="35"/>
      <c r="AF52" s="35"/>
      <c r="AG52" s="35">
        <v>2.5000000000000001E-2</v>
      </c>
      <c r="AH52" s="34"/>
      <c r="AI52" s="34"/>
      <c r="AJ52" s="34"/>
      <c r="AK52" s="34"/>
      <c r="AL52" s="34"/>
      <c r="AM52" s="34"/>
      <c r="AN52" s="34"/>
      <c r="AO52" s="34"/>
      <c r="AP52" s="34"/>
      <c r="AQ52" s="7"/>
      <c r="AR52" s="7"/>
      <c r="AS52" s="7"/>
      <c r="AT52" s="7"/>
      <c r="AU52" s="7"/>
      <c r="AV52" s="7"/>
      <c r="AW52" s="7"/>
      <c r="AX52" s="7"/>
      <c r="AY52" s="7"/>
      <c r="AZ52" s="81">
        <f t="shared" si="14"/>
        <v>80</v>
      </c>
    </row>
    <row r="53" spans="1:52" x14ac:dyDescent="0.25">
      <c r="A53" s="32" t="s">
        <v>145</v>
      </c>
      <c r="B53" s="33" t="s">
        <v>146</v>
      </c>
      <c r="C53" s="33"/>
      <c r="D53" s="44" t="s">
        <v>170</v>
      </c>
      <c r="E53" s="43">
        <f t="shared" si="0"/>
        <v>0</v>
      </c>
      <c r="F53" s="41"/>
      <c r="G53" s="43"/>
      <c r="H53" s="53">
        <f t="shared" si="1"/>
        <v>0</v>
      </c>
      <c r="I53" s="40">
        <f t="shared" si="2"/>
        <v>0</v>
      </c>
      <c r="J53" s="40">
        <f t="shared" si="3"/>
        <v>0</v>
      </c>
      <c r="K53" s="54">
        <f>SUMIF(ProductList!$F$4:$F$493,A53,ProductList!$BA$4:$BA$493)</f>
        <v>0</v>
      </c>
      <c r="L53" s="54">
        <f>SUMIF(ProductList!$F$4:$F$493,A53,ProductList!$V$4:$V$493)</f>
        <v>0</v>
      </c>
      <c r="M53" s="54">
        <f>SUMIF(ProductList!$F$4:$F$493,A53,ProductList!$K$4:$K$493)</f>
        <v>0</v>
      </c>
      <c r="N53" s="49" t="s">
        <v>79</v>
      </c>
      <c r="O53" s="81">
        <f t="shared" si="4"/>
        <v>80</v>
      </c>
      <c r="P53" s="56">
        <f t="shared" si="5"/>
        <v>0</v>
      </c>
      <c r="Q53" s="56">
        <f t="shared" si="6"/>
        <v>0</v>
      </c>
      <c r="R53" s="56">
        <f t="shared" si="7"/>
        <v>0</v>
      </c>
      <c r="S53" s="56">
        <f t="shared" si="8"/>
        <v>0</v>
      </c>
      <c r="T53" s="56">
        <f t="shared" si="9"/>
        <v>0</v>
      </c>
      <c r="U53" s="56">
        <f t="shared" si="10"/>
        <v>0</v>
      </c>
      <c r="V53" s="56">
        <f t="shared" si="11"/>
        <v>0</v>
      </c>
      <c r="W53" s="56">
        <f t="shared" si="12"/>
        <v>0</v>
      </c>
      <c r="X53" s="56">
        <f t="shared" si="13"/>
        <v>0</v>
      </c>
      <c r="Y53" s="35"/>
      <c r="Z53" s="35"/>
      <c r="AA53" s="35">
        <v>0.18</v>
      </c>
      <c r="AB53" s="35">
        <v>0.1</v>
      </c>
      <c r="AC53" s="35">
        <v>0.06</v>
      </c>
      <c r="AD53" s="35"/>
      <c r="AE53" s="35"/>
      <c r="AF53" s="35"/>
      <c r="AG53" s="35">
        <v>2.5000000000000001E-2</v>
      </c>
      <c r="AH53" s="34"/>
      <c r="AI53" s="34"/>
      <c r="AJ53" s="34"/>
      <c r="AK53" s="34"/>
      <c r="AL53" s="34"/>
      <c r="AM53" s="34"/>
      <c r="AN53" s="34"/>
      <c r="AO53" s="34"/>
      <c r="AP53" s="34"/>
      <c r="AQ53" s="7"/>
      <c r="AR53" s="7"/>
      <c r="AS53" s="7"/>
      <c r="AT53" s="7"/>
      <c r="AU53" s="7"/>
      <c r="AV53" s="7"/>
      <c r="AW53" s="7"/>
      <c r="AX53" s="7"/>
      <c r="AY53" s="7"/>
      <c r="AZ53" s="81">
        <f t="shared" si="14"/>
        <v>80</v>
      </c>
    </row>
    <row r="54" spans="1:52" x14ac:dyDescent="0.25">
      <c r="A54" s="32" t="s">
        <v>192</v>
      </c>
      <c r="B54" s="33" t="s">
        <v>193</v>
      </c>
      <c r="C54" s="33"/>
      <c r="D54" s="44" t="s">
        <v>170</v>
      </c>
      <c r="E54" s="43">
        <f t="shared" si="0"/>
        <v>0</v>
      </c>
      <c r="F54" s="41"/>
      <c r="G54" s="43"/>
      <c r="H54" s="53">
        <f t="shared" si="1"/>
        <v>0</v>
      </c>
      <c r="I54" s="40">
        <f t="shared" si="2"/>
        <v>0</v>
      </c>
      <c r="J54" s="40">
        <f t="shared" si="3"/>
        <v>0</v>
      </c>
      <c r="K54" s="54">
        <f>SUMIF(ProductList!$F$4:$F$493,A54,ProductList!$BA$4:$BA$493)</f>
        <v>0</v>
      </c>
      <c r="L54" s="54">
        <f>SUMIF(ProductList!$F$4:$F$493,A54,ProductList!$V$4:$V$493)</f>
        <v>0</v>
      </c>
      <c r="M54" s="54">
        <f>SUMIF(ProductList!$F$4:$F$493,A54,ProductList!$K$4:$K$493)</f>
        <v>0</v>
      </c>
      <c r="N54" s="49" t="s">
        <v>79</v>
      </c>
      <c r="O54" s="81">
        <f t="shared" si="4"/>
        <v>80</v>
      </c>
      <c r="P54" s="56">
        <f t="shared" si="5"/>
        <v>0</v>
      </c>
      <c r="Q54" s="56">
        <f t="shared" si="6"/>
        <v>0</v>
      </c>
      <c r="R54" s="56">
        <f t="shared" si="7"/>
        <v>0</v>
      </c>
      <c r="S54" s="56">
        <f t="shared" si="8"/>
        <v>0</v>
      </c>
      <c r="T54" s="56">
        <f t="shared" si="9"/>
        <v>0</v>
      </c>
      <c r="U54" s="56">
        <f t="shared" si="10"/>
        <v>0</v>
      </c>
      <c r="V54" s="56">
        <f t="shared" si="11"/>
        <v>0</v>
      </c>
      <c r="W54" s="56">
        <f t="shared" si="12"/>
        <v>0</v>
      </c>
      <c r="X54" s="56">
        <f t="shared" si="13"/>
        <v>0</v>
      </c>
      <c r="Y54" s="34"/>
      <c r="Z54" s="35"/>
      <c r="AA54" s="35">
        <v>0.18</v>
      </c>
      <c r="AB54" s="35"/>
      <c r="AC54" s="35"/>
      <c r="AD54" s="35"/>
      <c r="AE54" s="35"/>
      <c r="AF54" s="35"/>
      <c r="AG54" s="35">
        <v>2.5000000000000001E-2</v>
      </c>
      <c r="AH54" s="34"/>
      <c r="AI54" s="34">
        <v>200</v>
      </c>
      <c r="AJ54" s="34"/>
      <c r="AK54" s="34"/>
      <c r="AL54" s="34"/>
      <c r="AM54" s="34">
        <v>500</v>
      </c>
      <c r="AN54" s="34"/>
      <c r="AO54" s="34"/>
      <c r="AP54" s="34"/>
      <c r="AQ54" s="7"/>
      <c r="AR54" s="7"/>
      <c r="AS54" s="7"/>
      <c r="AT54" s="7"/>
      <c r="AU54" s="7"/>
      <c r="AV54" s="7"/>
      <c r="AW54" s="7"/>
      <c r="AX54" s="7"/>
      <c r="AY54" s="7"/>
      <c r="AZ54" s="81">
        <f t="shared" si="14"/>
        <v>80</v>
      </c>
    </row>
    <row r="55" spans="1:52" x14ac:dyDescent="0.25">
      <c r="A55" s="32" t="s">
        <v>186</v>
      </c>
      <c r="B55" s="33" t="s">
        <v>187</v>
      </c>
      <c r="C55" s="33"/>
      <c r="D55" s="44" t="s">
        <v>170</v>
      </c>
      <c r="E55" s="43">
        <f t="shared" si="0"/>
        <v>0</v>
      </c>
      <c r="F55" s="41"/>
      <c r="G55" s="43"/>
      <c r="H55" s="53">
        <f t="shared" si="1"/>
        <v>0</v>
      </c>
      <c r="I55" s="40">
        <f t="shared" si="2"/>
        <v>0</v>
      </c>
      <c r="J55" s="40">
        <f t="shared" si="3"/>
        <v>0</v>
      </c>
      <c r="K55" s="54">
        <f>SUMIF(ProductList!$F$4:$F$493,A55,ProductList!$BA$4:$BA$493)</f>
        <v>0</v>
      </c>
      <c r="L55" s="54">
        <f>SUMIF(ProductList!$F$4:$F$493,A55,ProductList!$V$4:$V$493)</f>
        <v>0</v>
      </c>
      <c r="M55" s="54">
        <f>SUMIF(ProductList!$F$4:$F$493,A55,ProductList!$K$4:$K$493)</f>
        <v>0</v>
      </c>
      <c r="N55" s="49" t="s">
        <v>79</v>
      </c>
      <c r="O55" s="81">
        <f t="shared" si="4"/>
        <v>80</v>
      </c>
      <c r="P55" s="56">
        <f t="shared" si="5"/>
        <v>0</v>
      </c>
      <c r="Q55" s="56">
        <f t="shared" si="6"/>
        <v>0</v>
      </c>
      <c r="R55" s="56">
        <f t="shared" si="7"/>
        <v>0</v>
      </c>
      <c r="S55" s="56">
        <f t="shared" si="8"/>
        <v>0</v>
      </c>
      <c r="T55" s="56">
        <f t="shared" si="9"/>
        <v>0</v>
      </c>
      <c r="U55" s="56">
        <f t="shared" si="10"/>
        <v>0</v>
      </c>
      <c r="V55" s="56">
        <f t="shared" si="11"/>
        <v>0</v>
      </c>
      <c r="W55" s="56">
        <f t="shared" si="12"/>
        <v>0</v>
      </c>
      <c r="X55" s="56">
        <f t="shared" si="13"/>
        <v>0</v>
      </c>
      <c r="Y55" s="34"/>
      <c r="Z55" s="35">
        <v>0.2</v>
      </c>
      <c r="AA55" s="35">
        <v>0.18</v>
      </c>
      <c r="AB55" s="35">
        <v>0.1</v>
      </c>
      <c r="AC55" s="35">
        <v>0.06</v>
      </c>
      <c r="AD55" s="35">
        <v>0.3</v>
      </c>
      <c r="AE55" s="35">
        <v>0.12</v>
      </c>
      <c r="AF55" s="35"/>
      <c r="AG55" s="35">
        <v>2.5000000000000001E-2</v>
      </c>
      <c r="AH55" s="34"/>
      <c r="AI55" s="34"/>
      <c r="AJ55" s="34"/>
      <c r="AK55" s="34"/>
      <c r="AL55" s="34"/>
      <c r="AM55" s="34">
        <v>160</v>
      </c>
      <c r="AN55" s="34">
        <v>24</v>
      </c>
      <c r="AO55" s="34"/>
      <c r="AP55" s="34"/>
      <c r="AQ55" s="34"/>
      <c r="AR55" s="34"/>
      <c r="AS55" s="34"/>
      <c r="AT55" s="34"/>
      <c r="AU55" s="34"/>
      <c r="AV55" s="34"/>
      <c r="AW55" s="34"/>
      <c r="AX55" s="34"/>
      <c r="AY55" s="34"/>
      <c r="AZ55" s="81">
        <f t="shared" si="14"/>
        <v>80</v>
      </c>
    </row>
    <row r="56" spans="1:52" x14ac:dyDescent="0.25">
      <c r="A56" s="32" t="s">
        <v>214</v>
      </c>
      <c r="B56" s="33" t="s">
        <v>215</v>
      </c>
      <c r="C56" s="33"/>
      <c r="D56" s="44" t="s">
        <v>170</v>
      </c>
      <c r="E56" s="43">
        <f t="shared" si="0"/>
        <v>0</v>
      </c>
      <c r="F56" s="41"/>
      <c r="G56" s="43"/>
      <c r="H56" s="53">
        <f t="shared" si="1"/>
        <v>0</v>
      </c>
      <c r="I56" s="40">
        <f t="shared" si="2"/>
        <v>0</v>
      </c>
      <c r="J56" s="40">
        <f t="shared" si="3"/>
        <v>0</v>
      </c>
      <c r="K56" s="54">
        <f>SUMIF(ProductList!$F$4:$F$493,A56,ProductList!$BA$4:$BA$493)</f>
        <v>0</v>
      </c>
      <c r="L56" s="54">
        <f>SUMIF(ProductList!$F$4:$F$493,A56,ProductList!$V$4:$V$493)</f>
        <v>0</v>
      </c>
      <c r="M56" s="54">
        <f>SUMIF(ProductList!$F$4:$F$493,A56,ProductList!$K$4:$K$493)</f>
        <v>0</v>
      </c>
      <c r="N56" s="49" t="s">
        <v>79</v>
      </c>
      <c r="O56" s="81">
        <f t="shared" si="4"/>
        <v>80</v>
      </c>
      <c r="P56" s="56">
        <f t="shared" si="5"/>
        <v>0</v>
      </c>
      <c r="Q56" s="56">
        <f t="shared" si="6"/>
        <v>0</v>
      </c>
      <c r="R56" s="56">
        <f t="shared" si="7"/>
        <v>0</v>
      </c>
      <c r="S56" s="56">
        <f t="shared" si="8"/>
        <v>0</v>
      </c>
      <c r="T56" s="56">
        <f t="shared" si="9"/>
        <v>0</v>
      </c>
      <c r="U56" s="56">
        <f t="shared" si="10"/>
        <v>0</v>
      </c>
      <c r="V56" s="56">
        <f t="shared" si="11"/>
        <v>0</v>
      </c>
      <c r="W56" s="56">
        <f t="shared" si="12"/>
        <v>0</v>
      </c>
      <c r="X56" s="56">
        <f t="shared" si="13"/>
        <v>0</v>
      </c>
      <c r="Y56" s="34"/>
      <c r="Z56" s="35">
        <v>0.2</v>
      </c>
      <c r="AA56" s="35">
        <v>0.18</v>
      </c>
      <c r="AB56" s="35">
        <v>0.1</v>
      </c>
      <c r="AC56" s="35">
        <v>0.06</v>
      </c>
      <c r="AD56" s="35">
        <v>0.1</v>
      </c>
      <c r="AE56" s="35">
        <v>0.12</v>
      </c>
      <c r="AF56" s="35"/>
      <c r="AG56" s="35">
        <v>2.5000000000000001E-2</v>
      </c>
      <c r="AH56" s="34"/>
      <c r="AI56" s="34">
        <v>60</v>
      </c>
      <c r="AJ56" s="34"/>
      <c r="AK56" s="34"/>
      <c r="AL56" s="34"/>
      <c r="AM56" s="34">
        <v>16</v>
      </c>
      <c r="AN56" s="34"/>
      <c r="AO56" s="34"/>
      <c r="AP56" s="34"/>
      <c r="AQ56" s="34"/>
      <c r="AR56" s="34"/>
      <c r="AS56" s="34"/>
      <c r="AT56" s="34"/>
      <c r="AU56" s="34"/>
      <c r="AV56" s="34"/>
      <c r="AW56" s="34"/>
      <c r="AX56" s="34"/>
      <c r="AY56" s="34"/>
      <c r="AZ56" s="81">
        <f t="shared" si="14"/>
        <v>80</v>
      </c>
    </row>
    <row r="57" spans="1:52" x14ac:dyDescent="0.25">
      <c r="A57" s="32" t="s">
        <v>194</v>
      </c>
      <c r="B57" s="33" t="s">
        <v>195</v>
      </c>
      <c r="C57" s="33"/>
      <c r="D57" s="44" t="s">
        <v>170</v>
      </c>
      <c r="E57" s="43">
        <f t="shared" si="0"/>
        <v>0</v>
      </c>
      <c r="F57" s="41"/>
      <c r="G57" s="43"/>
      <c r="H57" s="53">
        <f t="shared" si="1"/>
        <v>0</v>
      </c>
      <c r="I57" s="40">
        <f t="shared" si="2"/>
        <v>0</v>
      </c>
      <c r="J57" s="40">
        <f t="shared" si="3"/>
        <v>0</v>
      </c>
      <c r="K57" s="54">
        <f>SUMIF(ProductList!$F$4:$F$493,A57,ProductList!$BA$4:$BA$493)</f>
        <v>0</v>
      </c>
      <c r="L57" s="54">
        <f>SUMIF(ProductList!$F$4:$F$493,A57,ProductList!$V$4:$V$493)</f>
        <v>0</v>
      </c>
      <c r="M57" s="54">
        <f>SUMIF(ProductList!$F$4:$F$493,A57,ProductList!$K$4:$K$493)</f>
        <v>0</v>
      </c>
      <c r="N57" s="49" t="s">
        <v>79</v>
      </c>
      <c r="O57" s="81">
        <f t="shared" si="4"/>
        <v>80</v>
      </c>
      <c r="P57" s="56">
        <f t="shared" si="5"/>
        <v>0</v>
      </c>
      <c r="Q57" s="56">
        <f t="shared" si="6"/>
        <v>0</v>
      </c>
      <c r="R57" s="56">
        <f t="shared" si="7"/>
        <v>0</v>
      </c>
      <c r="S57" s="56">
        <f t="shared" si="8"/>
        <v>0</v>
      </c>
      <c r="T57" s="56">
        <f t="shared" si="9"/>
        <v>0</v>
      </c>
      <c r="U57" s="56">
        <f t="shared" si="10"/>
        <v>0</v>
      </c>
      <c r="V57" s="56">
        <f t="shared" si="11"/>
        <v>0</v>
      </c>
      <c r="W57" s="56">
        <f t="shared" si="12"/>
        <v>0</v>
      </c>
      <c r="X57" s="56">
        <f t="shared" si="13"/>
        <v>0</v>
      </c>
      <c r="Y57" s="34"/>
      <c r="Z57" s="35">
        <v>0.2</v>
      </c>
      <c r="AA57" s="35">
        <v>0.18</v>
      </c>
      <c r="AB57" s="35">
        <v>0.1</v>
      </c>
      <c r="AC57" s="35">
        <v>0.06</v>
      </c>
      <c r="AD57" s="35">
        <v>0.15</v>
      </c>
      <c r="AE57" s="35"/>
      <c r="AF57" s="35"/>
      <c r="AG57" s="35">
        <v>2.5000000000000001E-2</v>
      </c>
      <c r="AH57" s="34"/>
      <c r="AI57" s="34">
        <v>130</v>
      </c>
      <c r="AJ57" s="34"/>
      <c r="AK57" s="34"/>
      <c r="AL57" s="34"/>
      <c r="AM57" s="34">
        <v>70</v>
      </c>
      <c r="AN57" s="34"/>
      <c r="AO57" s="34"/>
      <c r="AP57" s="34"/>
      <c r="AQ57" s="34"/>
      <c r="AR57" s="34"/>
      <c r="AS57" s="34"/>
      <c r="AT57" s="34"/>
      <c r="AU57" s="34"/>
      <c r="AV57" s="35"/>
      <c r="AW57" s="34"/>
      <c r="AX57" s="34"/>
      <c r="AY57" s="34"/>
      <c r="AZ57" s="81">
        <f t="shared" si="14"/>
        <v>80</v>
      </c>
    </row>
    <row r="58" spans="1:52" x14ac:dyDescent="0.25">
      <c r="A58" s="32" t="s">
        <v>230</v>
      </c>
      <c r="B58" s="33" t="s">
        <v>231</v>
      </c>
      <c r="C58" s="33"/>
      <c r="D58" s="44" t="s">
        <v>170</v>
      </c>
      <c r="E58" s="43">
        <f t="shared" si="0"/>
        <v>0</v>
      </c>
      <c r="F58" s="41"/>
      <c r="G58" s="43"/>
      <c r="H58" s="53">
        <f t="shared" si="1"/>
        <v>0</v>
      </c>
      <c r="I58" s="40">
        <f t="shared" si="2"/>
        <v>0</v>
      </c>
      <c r="J58" s="40">
        <f t="shared" si="3"/>
        <v>0</v>
      </c>
      <c r="K58" s="54">
        <f>SUMIF(ProductList!$F$4:$F$493,A58,ProductList!$BA$4:$BA$493)</f>
        <v>0</v>
      </c>
      <c r="L58" s="54">
        <f>SUMIF(ProductList!$F$4:$F$493,A58,ProductList!$V$4:$V$493)</f>
        <v>0</v>
      </c>
      <c r="M58" s="54">
        <f>SUMIF(ProductList!$F$4:$F$493,A58,ProductList!$K$4:$K$493)</f>
        <v>0</v>
      </c>
      <c r="N58" s="49" t="s">
        <v>79</v>
      </c>
      <c r="O58" s="81">
        <f t="shared" si="4"/>
        <v>80</v>
      </c>
      <c r="P58" s="56">
        <f t="shared" si="5"/>
        <v>0</v>
      </c>
      <c r="Q58" s="56">
        <f t="shared" si="6"/>
        <v>0</v>
      </c>
      <c r="R58" s="56">
        <f t="shared" si="7"/>
        <v>0</v>
      </c>
      <c r="S58" s="56">
        <f t="shared" si="8"/>
        <v>0</v>
      </c>
      <c r="T58" s="56">
        <f t="shared" si="9"/>
        <v>0</v>
      </c>
      <c r="U58" s="56">
        <f t="shared" si="10"/>
        <v>0</v>
      </c>
      <c r="V58" s="56">
        <f t="shared" si="11"/>
        <v>0</v>
      </c>
      <c r="W58" s="56">
        <f t="shared" si="12"/>
        <v>0</v>
      </c>
      <c r="X58" s="56">
        <f t="shared" si="13"/>
        <v>0</v>
      </c>
      <c r="Y58" s="34"/>
      <c r="Z58" s="35"/>
      <c r="AA58" s="35">
        <v>0.18</v>
      </c>
      <c r="AB58" s="35">
        <v>7.4999999999999997E-2</v>
      </c>
      <c r="AC58" s="35">
        <v>0.06</v>
      </c>
      <c r="AD58" s="35"/>
      <c r="AE58" s="35"/>
      <c r="AF58" s="35"/>
      <c r="AG58" s="35">
        <v>2.5000000000000001E-2</v>
      </c>
      <c r="AH58" s="34"/>
      <c r="AI58" s="34"/>
      <c r="AJ58" s="34"/>
      <c r="AK58" s="34"/>
      <c r="AL58" s="34"/>
      <c r="AM58" s="34"/>
      <c r="AN58" s="34"/>
      <c r="AO58" s="34"/>
      <c r="AP58" s="34"/>
      <c r="AQ58" s="34"/>
      <c r="AR58" s="34"/>
      <c r="AS58" s="34"/>
      <c r="AT58" s="34"/>
      <c r="AU58" s="34"/>
      <c r="AV58" s="35"/>
      <c r="AW58" s="34"/>
      <c r="AX58" s="34"/>
      <c r="AY58" s="34"/>
      <c r="AZ58" s="81">
        <f t="shared" si="14"/>
        <v>80</v>
      </c>
    </row>
    <row r="59" spans="1:52" x14ac:dyDescent="0.25">
      <c r="A59" s="32" t="s">
        <v>232</v>
      </c>
      <c r="B59" s="33" t="s">
        <v>233</v>
      </c>
      <c r="C59" s="33"/>
      <c r="D59" s="44" t="s">
        <v>170</v>
      </c>
      <c r="E59" s="43">
        <f t="shared" si="0"/>
        <v>0</v>
      </c>
      <c r="F59" s="41"/>
      <c r="G59" s="43"/>
      <c r="H59" s="53">
        <f t="shared" si="1"/>
        <v>0</v>
      </c>
      <c r="I59" s="40">
        <f t="shared" si="2"/>
        <v>0</v>
      </c>
      <c r="J59" s="40">
        <f t="shared" si="3"/>
        <v>0</v>
      </c>
      <c r="K59" s="54">
        <f>SUMIF(ProductList!$F$4:$F$493,A59,ProductList!$BA$4:$BA$493)</f>
        <v>0</v>
      </c>
      <c r="L59" s="54">
        <f>SUMIF(ProductList!$F$4:$F$493,A59,ProductList!$V$4:$V$493)</f>
        <v>0</v>
      </c>
      <c r="M59" s="54">
        <f>SUMIF(ProductList!$F$4:$F$493,A59,ProductList!$K$4:$K$493)</f>
        <v>0</v>
      </c>
      <c r="N59" s="49" t="s">
        <v>79</v>
      </c>
      <c r="O59" s="81">
        <f t="shared" si="4"/>
        <v>80</v>
      </c>
      <c r="P59" s="56">
        <f t="shared" si="5"/>
        <v>0</v>
      </c>
      <c r="Q59" s="56">
        <f t="shared" si="6"/>
        <v>0</v>
      </c>
      <c r="R59" s="56">
        <f t="shared" si="7"/>
        <v>0</v>
      </c>
      <c r="S59" s="56">
        <f t="shared" si="8"/>
        <v>0</v>
      </c>
      <c r="T59" s="56">
        <f t="shared" si="9"/>
        <v>0</v>
      </c>
      <c r="U59" s="56">
        <f t="shared" si="10"/>
        <v>0</v>
      </c>
      <c r="V59" s="56">
        <f t="shared" si="11"/>
        <v>0</v>
      </c>
      <c r="W59" s="56">
        <f t="shared" si="12"/>
        <v>0</v>
      </c>
      <c r="X59" s="56">
        <f t="shared" si="13"/>
        <v>0</v>
      </c>
      <c r="Y59" s="34"/>
      <c r="Z59" s="35">
        <v>0.2</v>
      </c>
      <c r="AA59" s="35">
        <v>0.18</v>
      </c>
      <c r="AB59" s="35"/>
      <c r="AC59" s="35"/>
      <c r="AD59" s="35"/>
      <c r="AE59" s="35"/>
      <c r="AF59" s="35"/>
      <c r="AG59" s="35">
        <v>2.5000000000000001E-2</v>
      </c>
      <c r="AH59" s="34"/>
      <c r="AI59" s="34"/>
      <c r="AJ59" s="34"/>
      <c r="AK59" s="34"/>
      <c r="AL59" s="34"/>
      <c r="AM59" s="34"/>
      <c r="AN59" s="34"/>
      <c r="AO59" s="34"/>
      <c r="AP59" s="34"/>
      <c r="AQ59" s="34"/>
      <c r="AR59" s="34"/>
      <c r="AS59" s="34"/>
      <c r="AT59" s="34"/>
      <c r="AU59" s="34"/>
      <c r="AV59" s="35"/>
      <c r="AW59" s="34"/>
      <c r="AX59" s="34"/>
      <c r="AY59" s="34"/>
      <c r="AZ59" s="81">
        <f t="shared" si="14"/>
        <v>80</v>
      </c>
    </row>
    <row r="60" spans="1:52" x14ac:dyDescent="0.25">
      <c r="A60" s="32" t="s">
        <v>234</v>
      </c>
      <c r="B60" s="33" t="s">
        <v>235</v>
      </c>
      <c r="C60" s="33"/>
      <c r="D60" s="44" t="s">
        <v>170</v>
      </c>
      <c r="E60" s="43">
        <f t="shared" si="0"/>
        <v>0</v>
      </c>
      <c r="F60" s="41"/>
      <c r="G60" s="43"/>
      <c r="H60" s="53">
        <f t="shared" si="1"/>
        <v>0</v>
      </c>
      <c r="I60" s="40">
        <f t="shared" si="2"/>
        <v>0</v>
      </c>
      <c r="J60" s="40">
        <f t="shared" si="3"/>
        <v>0</v>
      </c>
      <c r="K60" s="54">
        <f>SUMIF(ProductList!$F$4:$F$493,A60,ProductList!$BA$4:$BA$493)</f>
        <v>0</v>
      </c>
      <c r="L60" s="54">
        <f>SUMIF(ProductList!$F$4:$F$493,A60,ProductList!$V$4:$V$493)</f>
        <v>0</v>
      </c>
      <c r="M60" s="54">
        <f>SUMIF(ProductList!$F$4:$F$493,A60,ProductList!$K$4:$K$493)</f>
        <v>0</v>
      </c>
      <c r="N60" s="49" t="s">
        <v>79</v>
      </c>
      <c r="O60" s="81">
        <f t="shared" si="4"/>
        <v>80</v>
      </c>
      <c r="P60" s="56">
        <f t="shared" si="5"/>
        <v>0</v>
      </c>
      <c r="Q60" s="56">
        <f t="shared" si="6"/>
        <v>0</v>
      </c>
      <c r="R60" s="56">
        <f t="shared" si="7"/>
        <v>0</v>
      </c>
      <c r="S60" s="56">
        <f t="shared" si="8"/>
        <v>0</v>
      </c>
      <c r="T60" s="56">
        <f t="shared" si="9"/>
        <v>0</v>
      </c>
      <c r="U60" s="56">
        <f t="shared" si="10"/>
        <v>0</v>
      </c>
      <c r="V60" s="56">
        <f t="shared" si="11"/>
        <v>0</v>
      </c>
      <c r="W60" s="56">
        <f t="shared" si="12"/>
        <v>0</v>
      </c>
      <c r="X60" s="56">
        <f t="shared" si="13"/>
        <v>0</v>
      </c>
      <c r="Y60" s="34"/>
      <c r="Z60" s="35">
        <v>0.2</v>
      </c>
      <c r="AA60" s="35">
        <v>0.18</v>
      </c>
      <c r="AB60" s="35">
        <v>0.1</v>
      </c>
      <c r="AC60" s="35"/>
      <c r="AD60" s="35"/>
      <c r="AE60" s="35"/>
      <c r="AF60" s="35"/>
      <c r="AG60" s="35">
        <v>2.5000000000000001E-2</v>
      </c>
      <c r="AH60" s="34"/>
      <c r="AI60" s="34"/>
      <c r="AJ60" s="34"/>
      <c r="AK60" s="34"/>
      <c r="AL60" s="34"/>
      <c r="AM60" s="34"/>
      <c r="AN60" s="34"/>
      <c r="AO60" s="34"/>
      <c r="AP60" s="34"/>
      <c r="AQ60" s="34"/>
      <c r="AR60" s="34"/>
      <c r="AS60" s="34"/>
      <c r="AT60" s="34"/>
      <c r="AU60" s="34"/>
      <c r="AV60" s="35"/>
      <c r="AW60" s="34"/>
      <c r="AX60" s="34"/>
      <c r="AY60" s="34"/>
      <c r="AZ60" s="81">
        <f t="shared" si="14"/>
        <v>80</v>
      </c>
    </row>
    <row r="61" spans="1:52" x14ac:dyDescent="0.25">
      <c r="A61" s="32" t="s">
        <v>236</v>
      </c>
      <c r="B61" s="33" t="s">
        <v>237</v>
      </c>
      <c r="C61" s="33"/>
      <c r="D61" s="44" t="s">
        <v>170</v>
      </c>
      <c r="E61" s="43">
        <f t="shared" si="0"/>
        <v>441</v>
      </c>
      <c r="F61" s="41"/>
      <c r="G61" s="43"/>
      <c r="H61" s="53">
        <f t="shared" si="1"/>
        <v>441</v>
      </c>
      <c r="I61" s="40">
        <f t="shared" si="2"/>
        <v>441</v>
      </c>
      <c r="J61" s="40">
        <f t="shared" si="3"/>
        <v>95211</v>
      </c>
      <c r="K61" s="54">
        <f>SUMIF(ProductList!$F$4:$F$493,A61,ProductList!$BA$4:$BA$493)</f>
        <v>98845.6</v>
      </c>
      <c r="L61" s="54">
        <f>SUMIF(ProductList!$F$4:$F$493,A61,ProductList!$V$4:$V$493)</f>
        <v>216</v>
      </c>
      <c r="M61" s="54">
        <f>SUMIF(ProductList!$F$4:$F$493,A61,ProductList!$K$4:$K$493)</f>
        <v>0</v>
      </c>
      <c r="N61" s="49" t="s">
        <v>79</v>
      </c>
      <c r="O61" s="81">
        <f t="shared" si="4"/>
        <v>80</v>
      </c>
      <c r="P61" s="56">
        <f t="shared" si="5"/>
        <v>0</v>
      </c>
      <c r="Q61" s="56">
        <f t="shared" si="6"/>
        <v>25920</v>
      </c>
      <c r="R61" s="56">
        <f t="shared" si="7"/>
        <v>30464.301600000003</v>
      </c>
      <c r="S61" s="56">
        <f t="shared" si="8"/>
        <v>9884.5600000000013</v>
      </c>
      <c r="T61" s="56">
        <f t="shared" si="9"/>
        <v>0</v>
      </c>
      <c r="U61" s="56">
        <f t="shared" si="10"/>
        <v>24711.4</v>
      </c>
      <c r="V61" s="56">
        <f t="shared" si="11"/>
        <v>0</v>
      </c>
      <c r="W61" s="56">
        <f t="shared" si="12"/>
        <v>0</v>
      </c>
      <c r="X61" s="56">
        <f t="shared" si="13"/>
        <v>4231.1530000000012</v>
      </c>
      <c r="Y61" s="34"/>
      <c r="Z61" s="35">
        <v>0.2</v>
      </c>
      <c r="AA61" s="35">
        <v>0.18</v>
      </c>
      <c r="AB61" s="35">
        <v>0.1</v>
      </c>
      <c r="AC61" s="35"/>
      <c r="AD61" s="35">
        <v>0.25</v>
      </c>
      <c r="AE61" s="35"/>
      <c r="AF61" s="35"/>
      <c r="AG61" s="35">
        <v>2.5000000000000001E-2</v>
      </c>
      <c r="AH61" s="34"/>
      <c r="AI61" s="34">
        <v>120</v>
      </c>
      <c r="AJ61" s="34"/>
      <c r="AK61" s="34"/>
      <c r="AL61" s="34"/>
      <c r="AM61" s="34">
        <v>100</v>
      </c>
      <c r="AN61" s="34"/>
      <c r="AO61" s="34"/>
      <c r="AP61" s="34"/>
      <c r="AQ61" s="34"/>
      <c r="AR61" s="34"/>
      <c r="AS61" s="34"/>
      <c r="AT61" s="34"/>
      <c r="AU61" s="34"/>
      <c r="AV61" s="35"/>
      <c r="AW61" s="34"/>
      <c r="AX61" s="34"/>
      <c r="AY61" s="34"/>
      <c r="AZ61" s="81">
        <f t="shared" si="14"/>
        <v>80</v>
      </c>
    </row>
    <row r="62" spans="1:52" x14ac:dyDescent="0.25">
      <c r="A62" s="32" t="s">
        <v>240</v>
      </c>
      <c r="B62" s="33" t="s">
        <v>241</v>
      </c>
      <c r="C62" s="33"/>
      <c r="D62" s="44" t="s">
        <v>170</v>
      </c>
      <c r="E62" s="43">
        <f t="shared" si="0"/>
        <v>0</v>
      </c>
      <c r="F62" s="41" t="s">
        <v>152</v>
      </c>
      <c r="G62" s="43"/>
      <c r="H62" s="53">
        <f t="shared" si="1"/>
        <v>0</v>
      </c>
      <c r="I62" s="40">
        <f t="shared" si="2"/>
        <v>0</v>
      </c>
      <c r="J62" s="40">
        <f t="shared" si="3"/>
        <v>0</v>
      </c>
      <c r="K62" s="54">
        <f>SUMIF(ProductList!$F$4:$F$493,A62,ProductList!$BA$4:$BA$493)</f>
        <v>0</v>
      </c>
      <c r="L62" s="54">
        <f>SUMIF(ProductList!$F$4:$F$493,A62,ProductList!$V$4:$V$493)</f>
        <v>0</v>
      </c>
      <c r="M62" s="54">
        <f>SUMIF(ProductList!$F$4:$F$493,A62,ProductList!$K$4:$K$493)</f>
        <v>0</v>
      </c>
      <c r="N62" s="49" t="s">
        <v>79</v>
      </c>
      <c r="O62" s="81">
        <f t="shared" si="4"/>
        <v>80</v>
      </c>
      <c r="P62" s="56">
        <f t="shared" si="5"/>
        <v>0</v>
      </c>
      <c r="Q62" s="56">
        <f t="shared" si="6"/>
        <v>0</v>
      </c>
      <c r="R62" s="56">
        <f t="shared" si="7"/>
        <v>0</v>
      </c>
      <c r="S62" s="56">
        <f t="shared" si="8"/>
        <v>0</v>
      </c>
      <c r="T62" s="56">
        <f t="shared" si="9"/>
        <v>0</v>
      </c>
      <c r="U62" s="56">
        <f t="shared" si="10"/>
        <v>0</v>
      </c>
      <c r="V62" s="56">
        <f t="shared" si="11"/>
        <v>0</v>
      </c>
      <c r="W62" s="56">
        <f t="shared" si="12"/>
        <v>0</v>
      </c>
      <c r="X62" s="56">
        <f t="shared" si="13"/>
        <v>0</v>
      </c>
      <c r="Y62" s="34"/>
      <c r="Z62" s="35">
        <v>0.2</v>
      </c>
      <c r="AA62" s="35">
        <v>0.18</v>
      </c>
      <c r="AB62" s="35">
        <v>0.1</v>
      </c>
      <c r="AC62" s="35"/>
      <c r="AD62" s="35">
        <v>0.3</v>
      </c>
      <c r="AE62" s="35">
        <v>0.24</v>
      </c>
      <c r="AF62" s="35"/>
      <c r="AG62" s="35">
        <v>2.5000000000000001E-2</v>
      </c>
      <c r="AH62" s="34"/>
      <c r="AI62" s="34">
        <v>160</v>
      </c>
      <c r="AJ62" s="34"/>
      <c r="AK62" s="34"/>
      <c r="AL62" s="34"/>
      <c r="AM62" s="34">
        <v>140</v>
      </c>
      <c r="AN62" s="34">
        <v>64</v>
      </c>
      <c r="AO62" s="34"/>
      <c r="AP62" s="34"/>
      <c r="AQ62" s="34"/>
      <c r="AR62" s="34"/>
      <c r="AS62" s="34"/>
      <c r="AT62" s="34"/>
      <c r="AU62" s="34"/>
      <c r="AV62" s="35"/>
      <c r="AW62" s="34"/>
      <c r="AX62" s="34"/>
      <c r="AY62" s="34"/>
      <c r="AZ62" s="81">
        <f t="shared" si="14"/>
        <v>80</v>
      </c>
    </row>
    <row r="63" spans="1:52" ht="15.75" customHeight="1" x14ac:dyDescent="0.25">
      <c r="A63" s="32" t="s">
        <v>239</v>
      </c>
      <c r="B63" s="33" t="s">
        <v>242</v>
      </c>
      <c r="C63" s="33"/>
      <c r="D63" s="44" t="s">
        <v>170</v>
      </c>
      <c r="E63" s="43">
        <f t="shared" si="0"/>
        <v>0</v>
      </c>
      <c r="F63" s="41"/>
      <c r="G63" s="43"/>
      <c r="H63" s="53">
        <f t="shared" si="1"/>
        <v>0</v>
      </c>
      <c r="I63" s="40">
        <f t="shared" si="2"/>
        <v>0</v>
      </c>
      <c r="J63" s="40">
        <f t="shared" si="3"/>
        <v>0</v>
      </c>
      <c r="K63" s="54">
        <f>SUMIF(ProductList!$F$4:$F$493,A63,ProductList!$BA$4:$BA$493)</f>
        <v>0</v>
      </c>
      <c r="L63" s="54">
        <f>SUMIF(ProductList!$F$4:$F$493,A63,ProductList!$V$4:$V$493)</f>
        <v>0</v>
      </c>
      <c r="M63" s="54">
        <f>SUMIF(ProductList!$F$4:$F$493,A63,ProductList!$K$4:$K$493)</f>
        <v>0</v>
      </c>
      <c r="N63" s="49" t="s">
        <v>79</v>
      </c>
      <c r="O63" s="81">
        <f t="shared" si="4"/>
        <v>80</v>
      </c>
      <c r="P63" s="56">
        <f t="shared" si="5"/>
        <v>0</v>
      </c>
      <c r="Q63" s="56">
        <f t="shared" si="6"/>
        <v>0</v>
      </c>
      <c r="R63" s="56">
        <f t="shared" si="7"/>
        <v>0</v>
      </c>
      <c r="S63" s="56">
        <f t="shared" si="8"/>
        <v>0</v>
      </c>
      <c r="T63" s="56">
        <f t="shared" si="9"/>
        <v>0</v>
      </c>
      <c r="U63" s="56">
        <f t="shared" si="10"/>
        <v>0</v>
      </c>
      <c r="V63" s="56">
        <f t="shared" si="11"/>
        <v>0</v>
      </c>
      <c r="W63" s="56">
        <f t="shared" si="12"/>
        <v>0</v>
      </c>
      <c r="X63" s="56">
        <f t="shared" si="13"/>
        <v>0</v>
      </c>
      <c r="Y63" s="34"/>
      <c r="Z63" s="35">
        <v>0.2</v>
      </c>
      <c r="AA63" s="35">
        <v>0.18</v>
      </c>
      <c r="AB63" s="35">
        <v>0.1</v>
      </c>
      <c r="AC63" s="35"/>
      <c r="AD63" s="35">
        <v>0.4</v>
      </c>
      <c r="AE63" s="35"/>
      <c r="AF63" s="35"/>
      <c r="AG63" s="35">
        <v>2.5000000000000001E-2</v>
      </c>
      <c r="AH63" s="34"/>
      <c r="AI63" s="34"/>
      <c r="AJ63" s="34"/>
      <c r="AK63" s="34"/>
      <c r="AL63" s="34"/>
      <c r="AM63" s="34">
        <v>270</v>
      </c>
      <c r="AN63" s="34"/>
      <c r="AO63" s="34"/>
      <c r="AP63" s="34"/>
      <c r="AQ63" s="34"/>
      <c r="AR63" s="34"/>
      <c r="AS63" s="34"/>
      <c r="AT63" s="34"/>
      <c r="AU63" s="34"/>
      <c r="AV63" s="35"/>
      <c r="AW63" s="34"/>
      <c r="AX63" s="34"/>
      <c r="AY63" s="34"/>
      <c r="AZ63" s="81">
        <f t="shared" si="14"/>
        <v>80</v>
      </c>
    </row>
    <row r="64" spans="1:52" ht="15.75" customHeight="1" x14ac:dyDescent="0.25">
      <c r="A64" s="32" t="s">
        <v>243</v>
      </c>
      <c r="B64" s="33" t="s">
        <v>244</v>
      </c>
      <c r="C64" s="33"/>
      <c r="D64" s="44" t="s">
        <v>170</v>
      </c>
      <c r="E64" s="43">
        <f t="shared" si="0"/>
        <v>0</v>
      </c>
      <c r="F64" s="41"/>
      <c r="G64" s="43"/>
      <c r="H64" s="53">
        <f t="shared" si="1"/>
        <v>0</v>
      </c>
      <c r="I64" s="40">
        <f t="shared" si="2"/>
        <v>0</v>
      </c>
      <c r="J64" s="40">
        <f t="shared" si="3"/>
        <v>0</v>
      </c>
      <c r="K64" s="54">
        <f>SUMIF(ProductList!$F$4:$F$493,A64,ProductList!$BA$4:$BA$493)</f>
        <v>0</v>
      </c>
      <c r="L64" s="54">
        <f>SUMIF(ProductList!$F$4:$F$493,A64,ProductList!$V$4:$V$493)</f>
        <v>0</v>
      </c>
      <c r="M64" s="54">
        <f>SUMIF(ProductList!$F$4:$F$493,A64,ProductList!$K$4:$K$493)</f>
        <v>0</v>
      </c>
      <c r="N64" s="49" t="s">
        <v>79</v>
      </c>
      <c r="O64" s="81">
        <f t="shared" si="4"/>
        <v>80</v>
      </c>
      <c r="P64" s="56">
        <f t="shared" si="5"/>
        <v>0</v>
      </c>
      <c r="Q64" s="56">
        <f t="shared" si="6"/>
        <v>0</v>
      </c>
      <c r="R64" s="56">
        <f t="shared" si="7"/>
        <v>0</v>
      </c>
      <c r="S64" s="56">
        <f t="shared" si="8"/>
        <v>0</v>
      </c>
      <c r="T64" s="56">
        <f t="shared" si="9"/>
        <v>0</v>
      </c>
      <c r="U64" s="56">
        <f t="shared" si="10"/>
        <v>0</v>
      </c>
      <c r="V64" s="56">
        <f t="shared" si="11"/>
        <v>0</v>
      </c>
      <c r="W64" s="56">
        <f t="shared" si="12"/>
        <v>0</v>
      </c>
      <c r="X64" s="56">
        <f t="shared" si="13"/>
        <v>0</v>
      </c>
      <c r="Y64" s="34"/>
      <c r="Z64" s="35">
        <v>0.2</v>
      </c>
      <c r="AA64" s="35">
        <v>0.18</v>
      </c>
      <c r="AB64" s="35">
        <v>0.1</v>
      </c>
      <c r="AC64" s="35"/>
      <c r="AD64" s="35">
        <v>0.4</v>
      </c>
      <c r="AE64" s="35"/>
      <c r="AF64" s="35"/>
      <c r="AG64" s="35">
        <v>2.5000000000000001E-2</v>
      </c>
      <c r="AH64" s="34"/>
      <c r="AI64" s="34">
        <v>650</v>
      </c>
      <c r="AJ64" s="34"/>
      <c r="AK64" s="34"/>
      <c r="AL64" s="34"/>
      <c r="AM64" s="34">
        <v>800</v>
      </c>
      <c r="AN64" s="34"/>
      <c r="AO64" s="34"/>
      <c r="AP64" s="34"/>
      <c r="AQ64" s="34"/>
      <c r="AR64" s="34"/>
      <c r="AS64" s="34"/>
      <c r="AT64" s="34"/>
      <c r="AU64" s="34"/>
      <c r="AV64" s="35"/>
      <c r="AW64" s="34"/>
      <c r="AX64" s="34"/>
      <c r="AY64" s="34"/>
      <c r="AZ64" s="81">
        <f t="shared" si="14"/>
        <v>80</v>
      </c>
    </row>
    <row r="65" spans="1:52" ht="15.75" customHeight="1" x14ac:dyDescent="0.25">
      <c r="A65" s="32" t="s">
        <v>245</v>
      </c>
      <c r="B65" s="33" t="s">
        <v>246</v>
      </c>
      <c r="C65" s="33"/>
      <c r="D65" s="44" t="s">
        <v>170</v>
      </c>
      <c r="E65" s="43">
        <f t="shared" si="0"/>
        <v>0</v>
      </c>
      <c r="F65" s="41"/>
      <c r="G65" s="43"/>
      <c r="H65" s="53">
        <f t="shared" si="1"/>
        <v>0</v>
      </c>
      <c r="I65" s="40">
        <f t="shared" si="2"/>
        <v>0</v>
      </c>
      <c r="J65" s="40">
        <f t="shared" si="3"/>
        <v>0</v>
      </c>
      <c r="K65" s="54">
        <f>SUMIF(ProductList!$F$4:$F$493,A65,ProductList!$BA$4:$BA$493)</f>
        <v>0</v>
      </c>
      <c r="L65" s="54">
        <f>SUMIF(ProductList!$F$4:$F$493,A65,ProductList!$V$4:$V$493)</f>
        <v>0</v>
      </c>
      <c r="M65" s="54">
        <f>SUMIF(ProductList!$F$4:$F$493,A65,ProductList!$K$4:$K$493)</f>
        <v>0</v>
      </c>
      <c r="N65" s="49" t="s">
        <v>79</v>
      </c>
      <c r="O65" s="81">
        <f t="shared" si="4"/>
        <v>80</v>
      </c>
      <c r="P65" s="56">
        <f t="shared" si="5"/>
        <v>0</v>
      </c>
      <c r="Q65" s="56">
        <f t="shared" si="6"/>
        <v>0</v>
      </c>
      <c r="R65" s="56">
        <f t="shared" si="7"/>
        <v>0</v>
      </c>
      <c r="S65" s="56">
        <f t="shared" si="8"/>
        <v>0</v>
      </c>
      <c r="T65" s="56">
        <f t="shared" si="9"/>
        <v>0</v>
      </c>
      <c r="U65" s="56">
        <f t="shared" si="10"/>
        <v>0</v>
      </c>
      <c r="V65" s="56">
        <f t="shared" si="11"/>
        <v>0</v>
      </c>
      <c r="W65" s="56">
        <f t="shared" si="12"/>
        <v>0</v>
      </c>
      <c r="X65" s="56">
        <f t="shared" si="13"/>
        <v>0</v>
      </c>
      <c r="Y65" s="34"/>
      <c r="Z65" s="35">
        <v>0.2</v>
      </c>
      <c r="AA65" s="35">
        <v>0.18</v>
      </c>
      <c r="AB65" s="35"/>
      <c r="AC65" s="35"/>
      <c r="AD65" s="35">
        <v>0.1</v>
      </c>
      <c r="AE65" s="35"/>
      <c r="AF65" s="35"/>
      <c r="AG65" s="35">
        <v>2.5000000000000001E-2</v>
      </c>
      <c r="AH65" s="34"/>
      <c r="AI65" s="34">
        <v>750</v>
      </c>
      <c r="AJ65" s="34"/>
      <c r="AK65" s="34"/>
      <c r="AL65" s="34"/>
      <c r="AM65" s="34">
        <v>400</v>
      </c>
      <c r="AN65" s="34"/>
      <c r="AO65" s="34"/>
      <c r="AP65" s="34"/>
      <c r="AQ65" s="34"/>
      <c r="AR65" s="34"/>
      <c r="AS65" s="34"/>
      <c r="AT65" s="34"/>
      <c r="AU65" s="34"/>
      <c r="AV65" s="35"/>
      <c r="AW65" s="34"/>
      <c r="AX65" s="34"/>
      <c r="AY65" s="34"/>
      <c r="AZ65" s="81">
        <f t="shared" si="14"/>
        <v>80</v>
      </c>
    </row>
    <row r="66" spans="1:52" ht="15.75" customHeight="1" x14ac:dyDescent="0.25">
      <c r="A66" s="32" t="s">
        <v>247</v>
      </c>
      <c r="B66" s="33" t="s">
        <v>248</v>
      </c>
      <c r="C66" s="33"/>
      <c r="D66" s="44" t="s">
        <v>170</v>
      </c>
      <c r="E66" s="43">
        <f t="shared" ref="E66:E71" si="15">IF(D66="SCL",G66,H66)</f>
        <v>636</v>
      </c>
      <c r="F66" s="41"/>
      <c r="G66" s="43"/>
      <c r="H66" s="53">
        <f t="shared" ref="H66:H71" si="16">ROUND(I66,0)</f>
        <v>636</v>
      </c>
      <c r="I66" s="40">
        <f t="shared" ref="I66:I71" si="17">IF(AND(L66&lt;&gt;"",L66&lt;&gt;0),ROUND(J66/L66,0),0)</f>
        <v>636</v>
      </c>
      <c r="J66" s="40">
        <f t="shared" ref="J66:J73" si="18">IF(C66="SG",ROUND((P66+Q66+R66+T66+V66+W66+X66),0),ROUND((P66+Q66+R66+S66+U66+W66+X66),0))</f>
        <v>127130</v>
      </c>
      <c r="K66" s="54">
        <f>SUMIF(ProductList!$F$4:$F$493,A66,ProductList!$BA$4:$BA$493)</f>
        <v>109828.8</v>
      </c>
      <c r="L66" s="54">
        <f>SUMIF(ProductList!$F$4:$F$493,A66,ProductList!$V$4:$V$493)</f>
        <v>200</v>
      </c>
      <c r="M66" s="54">
        <f>SUMIF(ProductList!$F$4:$F$493,A66,ProductList!$K$4:$K$493)</f>
        <v>0</v>
      </c>
      <c r="N66" s="49" t="s">
        <v>79</v>
      </c>
      <c r="O66" s="81">
        <f t="shared" ref="O66:O71" si="19">IF(D66="SCL",100,AZ66)</f>
        <v>80</v>
      </c>
      <c r="P66" s="56">
        <f t="shared" ref="P66:P71" si="20">IF((K66*Y66)&gt;(L66*AH66),(K66*Y66),(L66*AH66))</f>
        <v>0</v>
      </c>
      <c r="Q66" s="56">
        <f t="shared" ref="Q66:Q71" si="21">IF((K66*Z66)&gt;(L66*AI66),(K66*Z66),(L66*AI66))</f>
        <v>21965.760000000002</v>
      </c>
      <c r="R66" s="56">
        <f t="shared" ref="R66:R71" si="22">IF(C66="SG",
    IF(((K66*1.1+P66+Q66+T66+V66)*AA66)&gt;(L66*AJ66),
       (K66*1.1+P66+Q66+T66+V66)*AA66,
       L66*AJ66),
    IF(((K66*1.1+P66+Q66+S66+U66)*AA66)&gt;(L66*AJ66),
       (K66*1.1+P66+Q66+S66+U66)*AA66,
       L66*AJ66)
)</f>
        <v>37036.857600000003</v>
      </c>
      <c r="S66" s="56">
        <f t="shared" ref="S66:S71" si="23">IF((K66*AB66)&gt;(L66*AK66),(K66*AB66),(L66*AK66))</f>
        <v>10982.880000000001</v>
      </c>
      <c r="T66" s="56">
        <f t="shared" ref="T66:T71" si="24">IF((K66*AC66)&gt;(L66*AL66),(K66*AC66),(L66*AL66))</f>
        <v>0</v>
      </c>
      <c r="U66" s="56">
        <f t="shared" ref="U66:U71" si="25">IF((K66*AD66)&gt;(L66*AM66),(K66*AD66),(L66*AM66))</f>
        <v>52000</v>
      </c>
      <c r="V66" s="56">
        <f t="shared" ref="V66:V71" si="26">IF((K66*AE66)&gt;(L66*AN66),(K66*AE66),(L66*AN66))</f>
        <v>0</v>
      </c>
      <c r="W66" s="56">
        <f t="shared" ref="W66:W71" si="27">IF((K66*AF66)&gt;(L66*AO66),(K66*AF66),(L66*AO66))</f>
        <v>0</v>
      </c>
      <c r="X66" s="56">
        <f t="shared" ref="X66:X71" si="28">IF((((K66)*1.1+P66+Q66+S66+T66+U66+V66)*AG66)&gt;(L66*AP66),(((K66)*1.1+P66+Q66+S66+T66+U66+V66)*AG66),(L66*AP66))</f>
        <v>5144.0080000000007</v>
      </c>
      <c r="Y66" s="34"/>
      <c r="Z66" s="35">
        <v>0.2</v>
      </c>
      <c r="AA66" s="35">
        <v>0.18</v>
      </c>
      <c r="AB66" s="35">
        <v>0.1</v>
      </c>
      <c r="AC66" s="35"/>
      <c r="AD66" s="35">
        <v>0.4</v>
      </c>
      <c r="AE66" s="35"/>
      <c r="AF66" s="35"/>
      <c r="AG66" s="35">
        <v>2.5000000000000001E-2</v>
      </c>
      <c r="AH66" s="34"/>
      <c r="AI66" s="34"/>
      <c r="AJ66" s="34"/>
      <c r="AK66" s="34"/>
      <c r="AL66" s="34"/>
      <c r="AM66" s="34">
        <v>260</v>
      </c>
      <c r="AN66" s="34"/>
      <c r="AO66" s="34"/>
      <c r="AP66" s="34"/>
      <c r="AQ66" s="34"/>
      <c r="AR66" s="34"/>
      <c r="AS66" s="34"/>
      <c r="AT66" s="34"/>
      <c r="AU66" s="34"/>
      <c r="AV66" s="35"/>
      <c r="AW66" s="34"/>
      <c r="AX66" s="34"/>
      <c r="AY66" s="34"/>
      <c r="AZ66" s="81">
        <f t="shared" si="14"/>
        <v>80</v>
      </c>
    </row>
    <row r="67" spans="1:52" ht="15.75" x14ac:dyDescent="0.25">
      <c r="A67" s="114" t="s">
        <v>238</v>
      </c>
      <c r="B67" s="38" t="s">
        <v>249</v>
      </c>
      <c r="C67" s="33"/>
      <c r="D67" s="44" t="s">
        <v>170</v>
      </c>
      <c r="E67" s="43">
        <f t="shared" si="15"/>
        <v>0</v>
      </c>
      <c r="F67" s="41"/>
      <c r="G67" s="43"/>
      <c r="H67" s="53">
        <f t="shared" si="16"/>
        <v>0</v>
      </c>
      <c r="I67" s="40">
        <f t="shared" si="17"/>
        <v>0</v>
      </c>
      <c r="J67" s="40">
        <f t="shared" si="18"/>
        <v>0</v>
      </c>
      <c r="K67" s="54">
        <f>SUMIF(ProductList!$F$4:$F$493,A67,ProductList!$BA$4:$BA$493)</f>
        <v>0</v>
      </c>
      <c r="L67" s="54">
        <f>SUMIF(ProductList!$F$4:$F$493,A67,ProductList!$V$4:$V$493)</f>
        <v>0</v>
      </c>
      <c r="M67" s="54">
        <f>SUMIF(ProductList!$F$4:$F$493,A67,ProductList!$K$4:$K$493)</f>
        <v>0</v>
      </c>
      <c r="N67" s="49" t="s">
        <v>79</v>
      </c>
      <c r="O67" s="81">
        <f t="shared" si="19"/>
        <v>80</v>
      </c>
      <c r="P67" s="56">
        <f t="shared" si="20"/>
        <v>0</v>
      </c>
      <c r="Q67" s="56">
        <f t="shared" si="21"/>
        <v>0</v>
      </c>
      <c r="R67" s="56">
        <f t="shared" si="22"/>
        <v>0</v>
      </c>
      <c r="S67" s="56">
        <f t="shared" si="23"/>
        <v>0</v>
      </c>
      <c r="T67" s="56">
        <f t="shared" si="24"/>
        <v>0</v>
      </c>
      <c r="U67" s="56">
        <f t="shared" si="25"/>
        <v>0</v>
      </c>
      <c r="V67" s="56">
        <f t="shared" si="26"/>
        <v>0</v>
      </c>
      <c r="W67" s="56">
        <f t="shared" si="27"/>
        <v>0</v>
      </c>
      <c r="X67" s="56">
        <f t="shared" si="28"/>
        <v>0</v>
      </c>
      <c r="Z67" s="35">
        <v>0.2</v>
      </c>
      <c r="AA67" s="35">
        <v>0.18</v>
      </c>
      <c r="AB67" s="34"/>
      <c r="AC67" s="34"/>
      <c r="AD67" s="35">
        <v>0.25</v>
      </c>
      <c r="AE67" s="34"/>
      <c r="AF67" s="34"/>
      <c r="AG67" s="35">
        <v>2.5000000000000001E-2</v>
      </c>
      <c r="AH67" s="34"/>
      <c r="AI67" s="34"/>
      <c r="AJ67" s="34"/>
      <c r="AK67" s="34"/>
      <c r="AL67" s="34"/>
      <c r="AM67" s="34">
        <v>275</v>
      </c>
      <c r="AN67" s="34"/>
      <c r="AO67" s="34"/>
      <c r="AP67" s="34"/>
      <c r="AQ67" s="7"/>
      <c r="AR67" s="7"/>
      <c r="AS67" s="7"/>
      <c r="AT67" s="7"/>
      <c r="AU67" s="7"/>
      <c r="AV67" s="7"/>
      <c r="AW67" s="7"/>
      <c r="AX67" s="7"/>
      <c r="AY67" s="7"/>
      <c r="AZ67" s="81">
        <f t="shared" si="14"/>
        <v>80</v>
      </c>
    </row>
    <row r="68" spans="1:52" ht="15.75" x14ac:dyDescent="0.25">
      <c r="A68" s="114" t="s">
        <v>335</v>
      </c>
      <c r="B68" s="33" t="s">
        <v>336</v>
      </c>
      <c r="C68" s="33"/>
      <c r="D68" s="44" t="s">
        <v>170</v>
      </c>
      <c r="E68" s="43">
        <f t="shared" si="15"/>
        <v>0</v>
      </c>
      <c r="F68" s="41"/>
      <c r="G68" s="43"/>
      <c r="H68" s="53">
        <f t="shared" si="16"/>
        <v>0</v>
      </c>
      <c r="I68" s="40">
        <f t="shared" si="17"/>
        <v>0</v>
      </c>
      <c r="J68" s="40">
        <f t="shared" si="18"/>
        <v>0</v>
      </c>
      <c r="K68" s="54">
        <f>SUMIF(ProductList!$F$4:$F$493,A68,ProductList!$BA$4:$BA$493)</f>
        <v>0</v>
      </c>
      <c r="L68" s="54">
        <f>SUMIF(ProductList!$F$4:$F$493,A68,ProductList!$V$4:$V$493)</f>
        <v>0</v>
      </c>
      <c r="M68" s="54">
        <f>SUMIF(ProductList!$F$4:$F$493,A68,ProductList!$K$4:$K$493)</f>
        <v>0</v>
      </c>
      <c r="N68" s="49" t="s">
        <v>79</v>
      </c>
      <c r="O68" s="81">
        <f t="shared" si="19"/>
        <v>80</v>
      </c>
      <c r="P68" s="56">
        <f t="shared" si="20"/>
        <v>0</v>
      </c>
      <c r="Q68" s="56">
        <f t="shared" si="21"/>
        <v>0</v>
      </c>
      <c r="R68" s="56">
        <f t="shared" si="22"/>
        <v>0</v>
      </c>
      <c r="S68" s="56">
        <f t="shared" si="23"/>
        <v>0</v>
      </c>
      <c r="T68" s="56">
        <f t="shared" si="24"/>
        <v>0</v>
      </c>
      <c r="U68" s="56">
        <f t="shared" si="25"/>
        <v>0</v>
      </c>
      <c r="V68" s="56">
        <f t="shared" si="26"/>
        <v>0</v>
      </c>
      <c r="W68" s="56">
        <f t="shared" si="27"/>
        <v>0</v>
      </c>
      <c r="X68" s="56">
        <f t="shared" si="28"/>
        <v>0</v>
      </c>
      <c r="Y68" s="34"/>
      <c r="Z68" s="35"/>
      <c r="AA68" s="35">
        <v>0.18</v>
      </c>
      <c r="AB68" s="35">
        <v>0.1</v>
      </c>
      <c r="AC68" s="35">
        <v>0.06</v>
      </c>
      <c r="AD68" s="35"/>
      <c r="AE68" s="35"/>
      <c r="AF68" s="35"/>
      <c r="AG68" s="35">
        <v>2.5000000000000001E-2</v>
      </c>
      <c r="AH68" s="34"/>
      <c r="AI68" s="34"/>
      <c r="AJ68" s="34"/>
      <c r="AK68" s="34"/>
      <c r="AL68" s="34"/>
      <c r="AM68" s="34"/>
      <c r="AN68" s="34"/>
      <c r="AO68" s="34"/>
      <c r="AP68" s="34"/>
      <c r="AQ68" s="34"/>
      <c r="AR68" s="34"/>
      <c r="AS68" s="7"/>
      <c r="AT68" s="7"/>
      <c r="AU68" s="7"/>
      <c r="AV68" s="7"/>
      <c r="AW68" s="7"/>
      <c r="AX68" s="7"/>
      <c r="AY68" s="7"/>
      <c r="AZ68" s="81">
        <f t="shared" ref="AZ68:AZ75" si="29">AZ67</f>
        <v>80</v>
      </c>
    </row>
    <row r="69" spans="1:52" x14ac:dyDescent="0.25">
      <c r="A69" s="32" t="s">
        <v>344</v>
      </c>
      <c r="B69" s="33" t="s">
        <v>345</v>
      </c>
      <c r="C69" s="33"/>
      <c r="D69" s="44" t="s">
        <v>170</v>
      </c>
      <c r="E69" s="43">
        <f t="shared" si="15"/>
        <v>0</v>
      </c>
      <c r="F69" s="48"/>
      <c r="G69" s="45">
        <v>556</v>
      </c>
      <c r="H69" s="43">
        <f t="shared" si="16"/>
        <v>0</v>
      </c>
      <c r="I69" s="40">
        <f t="shared" si="17"/>
        <v>0</v>
      </c>
      <c r="J69" s="40">
        <f t="shared" si="18"/>
        <v>0</v>
      </c>
      <c r="K69" s="54">
        <f>SUMIF(ProductList!$F$4:$F$493,A69,ProductList!$BA$4:$BA$493)</f>
        <v>0</v>
      </c>
      <c r="L69" s="54">
        <f>SUMIF(ProductList!$F$4:$F$493,A69,ProductList!$V$4:$V$493)</f>
        <v>0</v>
      </c>
      <c r="M69" s="54">
        <f>SUMIF(ProductList!$F$4:$F$493,A69,ProductList!$K$4:$K$493)</f>
        <v>0</v>
      </c>
      <c r="N69" s="49" t="s">
        <v>79</v>
      </c>
      <c r="O69" s="81">
        <f t="shared" si="19"/>
        <v>80</v>
      </c>
      <c r="P69" s="56">
        <f t="shared" si="20"/>
        <v>0</v>
      </c>
      <c r="Q69" s="56">
        <f t="shared" si="21"/>
        <v>0</v>
      </c>
      <c r="R69" s="56">
        <f t="shared" si="22"/>
        <v>0</v>
      </c>
      <c r="S69" s="56">
        <f t="shared" si="23"/>
        <v>0</v>
      </c>
      <c r="T69" s="56">
        <f t="shared" si="24"/>
        <v>0</v>
      </c>
      <c r="U69" s="56">
        <f t="shared" si="25"/>
        <v>0</v>
      </c>
      <c r="V69" s="56">
        <f t="shared" si="26"/>
        <v>0</v>
      </c>
      <c r="W69" s="56">
        <f t="shared" si="27"/>
        <v>0</v>
      </c>
      <c r="X69" s="56">
        <f t="shared" si="28"/>
        <v>0</v>
      </c>
      <c r="Y69" s="34"/>
      <c r="Z69" s="35">
        <v>0.2</v>
      </c>
      <c r="AA69" s="35">
        <v>0.18</v>
      </c>
      <c r="AB69" s="35">
        <v>0.19</v>
      </c>
      <c r="AC69" s="35">
        <v>0.06</v>
      </c>
      <c r="AD69" s="35">
        <v>0.25</v>
      </c>
      <c r="AE69" s="35">
        <v>0.24</v>
      </c>
      <c r="AF69" s="35"/>
      <c r="AG69" s="35">
        <v>2.5000000000000001E-2</v>
      </c>
      <c r="AH69" s="34"/>
      <c r="AI69" s="34"/>
      <c r="AJ69" s="34"/>
      <c r="AK69" s="34"/>
      <c r="AL69" s="34"/>
      <c r="AM69" s="34">
        <v>180</v>
      </c>
      <c r="AN69" s="34">
        <v>88</v>
      </c>
      <c r="AO69" s="34"/>
      <c r="AP69" s="34"/>
      <c r="AQ69" s="7"/>
      <c r="AR69" s="7"/>
      <c r="AS69" s="7"/>
      <c r="AT69" s="7"/>
      <c r="AU69" s="7"/>
      <c r="AV69" s="7"/>
      <c r="AW69" s="7"/>
      <c r="AX69" s="7"/>
      <c r="AY69" s="7"/>
      <c r="AZ69" s="81">
        <f t="shared" si="29"/>
        <v>80</v>
      </c>
    </row>
    <row r="70" spans="1:52" x14ac:dyDescent="0.25">
      <c r="A70" s="299" t="s">
        <v>346</v>
      </c>
      <c r="B70" s="33" t="s">
        <v>347</v>
      </c>
      <c r="C70" s="33"/>
      <c r="D70" s="44" t="s">
        <v>170</v>
      </c>
      <c r="E70" s="43">
        <f t="shared" si="15"/>
        <v>0</v>
      </c>
      <c r="F70" s="48"/>
      <c r="G70" s="45">
        <v>556</v>
      </c>
      <c r="H70" s="43">
        <f t="shared" si="16"/>
        <v>0</v>
      </c>
      <c r="I70" s="40">
        <f t="shared" si="17"/>
        <v>0</v>
      </c>
      <c r="J70" s="40">
        <f t="shared" si="18"/>
        <v>0</v>
      </c>
      <c r="K70" s="54">
        <f>SUMIF(ProductList!$F$4:$F$493,A70,ProductList!$BA$4:$BA$493)</f>
        <v>0</v>
      </c>
      <c r="L70" s="54">
        <f>SUMIF(ProductList!$F$4:$F$493,A70,ProductList!$V$4:$V$493)</f>
        <v>0</v>
      </c>
      <c r="M70" s="54">
        <f>SUMIF(ProductList!$F$4:$F$493,A70,ProductList!$K$4:$K$493)</f>
        <v>0</v>
      </c>
      <c r="N70" s="49" t="s">
        <v>79</v>
      </c>
      <c r="O70" s="81">
        <f t="shared" si="19"/>
        <v>80</v>
      </c>
      <c r="P70" s="56">
        <f t="shared" si="20"/>
        <v>0</v>
      </c>
      <c r="Q70" s="56">
        <f t="shared" si="21"/>
        <v>0</v>
      </c>
      <c r="R70" s="56">
        <f t="shared" si="22"/>
        <v>0</v>
      </c>
      <c r="S70" s="56">
        <f t="shared" si="23"/>
        <v>0</v>
      </c>
      <c r="T70" s="56">
        <f t="shared" si="24"/>
        <v>0</v>
      </c>
      <c r="U70" s="56">
        <f t="shared" si="25"/>
        <v>0</v>
      </c>
      <c r="V70" s="56">
        <f t="shared" si="26"/>
        <v>0</v>
      </c>
      <c r="W70" s="56">
        <f t="shared" si="27"/>
        <v>0</v>
      </c>
      <c r="X70" s="56">
        <f t="shared" si="28"/>
        <v>0</v>
      </c>
      <c r="Y70" s="34"/>
      <c r="Z70" s="35">
        <v>0.2</v>
      </c>
      <c r="AA70" s="35">
        <v>0.18</v>
      </c>
      <c r="AB70" s="35"/>
      <c r="AC70" s="35"/>
      <c r="AD70" s="35">
        <v>0.25</v>
      </c>
      <c r="AE70" s="35"/>
      <c r="AF70" s="35"/>
      <c r="AG70" s="35">
        <v>2.5000000000000001E-2</v>
      </c>
      <c r="AH70" s="34"/>
      <c r="AI70" s="34"/>
      <c r="AJ70" s="34"/>
      <c r="AK70" s="34"/>
      <c r="AL70" s="34"/>
      <c r="AM70" s="34"/>
      <c r="AN70" s="34"/>
      <c r="AO70" s="34"/>
      <c r="AP70" s="34"/>
      <c r="AQ70" s="7"/>
      <c r="AR70" s="7"/>
      <c r="AS70" s="7"/>
      <c r="AT70" s="7"/>
      <c r="AU70" s="7"/>
      <c r="AV70" s="7"/>
      <c r="AW70" s="7"/>
      <c r="AX70" s="7"/>
      <c r="AY70" s="7"/>
      <c r="AZ70" s="81">
        <f t="shared" si="29"/>
        <v>80</v>
      </c>
    </row>
    <row r="71" spans="1:52" x14ac:dyDescent="0.25">
      <c r="A71" s="341" t="s">
        <v>467</v>
      </c>
      <c r="B71" s="38" t="s">
        <v>468</v>
      </c>
      <c r="C71" s="33"/>
      <c r="D71" s="44" t="s">
        <v>170</v>
      </c>
      <c r="E71" s="43">
        <f t="shared" si="15"/>
        <v>107</v>
      </c>
      <c r="F71" s="48" t="s">
        <v>122</v>
      </c>
      <c r="G71" s="45">
        <v>556</v>
      </c>
      <c r="H71" s="43">
        <f t="shared" si="16"/>
        <v>107</v>
      </c>
      <c r="I71" s="40">
        <f t="shared" si="17"/>
        <v>107</v>
      </c>
      <c r="J71" s="40">
        <f t="shared" si="18"/>
        <v>10671</v>
      </c>
      <c r="K71" s="54">
        <f>SUMIF(ProductList!$F$4:$F$493,A71,ProductList!$BA$4:$BA$493)</f>
        <v>18178.400000000001</v>
      </c>
      <c r="L71" s="54">
        <f>SUMIF(ProductList!$F$4:$F$493,A71,ProductList!$V$4:$V$493)</f>
        <v>100</v>
      </c>
      <c r="M71" s="54">
        <f>SUMIF(ProductList!$F$4:$F$493,A71,ProductList!$K$4:$K$493)</f>
        <v>0</v>
      </c>
      <c r="N71" s="49" t="s">
        <v>79</v>
      </c>
      <c r="O71" s="81">
        <f t="shared" si="19"/>
        <v>80</v>
      </c>
      <c r="P71" s="34">
        <f t="shared" si="20"/>
        <v>0</v>
      </c>
      <c r="Q71" s="34">
        <f t="shared" si="21"/>
        <v>3635.6800000000003</v>
      </c>
      <c r="R71" s="34">
        <f t="shared" si="22"/>
        <v>4580.9567999999999</v>
      </c>
      <c r="S71" s="34">
        <f t="shared" si="23"/>
        <v>0</v>
      </c>
      <c r="T71" s="34">
        <f t="shared" si="24"/>
        <v>0</v>
      </c>
      <c r="U71" s="34">
        <f t="shared" si="25"/>
        <v>1817.8400000000001</v>
      </c>
      <c r="V71" s="34">
        <f t="shared" si="26"/>
        <v>0</v>
      </c>
      <c r="W71" s="34">
        <f t="shared" si="27"/>
        <v>0</v>
      </c>
      <c r="X71" s="34">
        <f t="shared" si="28"/>
        <v>636.24400000000014</v>
      </c>
      <c r="Y71" s="34"/>
      <c r="Z71" s="35">
        <v>0.2</v>
      </c>
      <c r="AA71" s="35">
        <v>0.18</v>
      </c>
      <c r="AB71" s="35"/>
      <c r="AC71" s="35"/>
      <c r="AD71" s="35">
        <v>0.1</v>
      </c>
      <c r="AE71" s="35"/>
      <c r="AF71" s="35"/>
      <c r="AG71" s="35">
        <v>2.5000000000000001E-2</v>
      </c>
      <c r="AH71" s="34"/>
      <c r="AI71" s="34"/>
      <c r="AJ71" s="34"/>
      <c r="AK71" s="34"/>
      <c r="AL71" s="34"/>
      <c r="AM71" s="34"/>
      <c r="AN71" s="34"/>
      <c r="AO71" s="34"/>
      <c r="AP71" s="34"/>
      <c r="AQ71" s="7"/>
      <c r="AR71" s="7"/>
      <c r="AS71" s="7"/>
      <c r="AT71" s="7"/>
      <c r="AU71" s="7"/>
      <c r="AV71" s="7"/>
      <c r="AW71" s="7"/>
      <c r="AX71" s="7"/>
      <c r="AY71" s="7"/>
      <c r="AZ71" s="81">
        <f t="shared" si="29"/>
        <v>80</v>
      </c>
    </row>
    <row r="72" spans="1:52" x14ac:dyDescent="0.25">
      <c r="A72" s="301" t="s">
        <v>491</v>
      </c>
      <c r="B72" s="33" t="s">
        <v>492</v>
      </c>
      <c r="C72" s="33"/>
      <c r="D72" s="44" t="s">
        <v>130</v>
      </c>
      <c r="E72" s="43">
        <f t="shared" ref="E72" si="30">IF(D72="SCL",G72,H72)</f>
        <v>40</v>
      </c>
      <c r="F72" s="48" t="s">
        <v>493</v>
      </c>
      <c r="G72" s="45">
        <v>40</v>
      </c>
      <c r="H72" s="43">
        <f t="shared" ref="H72" si="31">ROUND(I72,0)</f>
        <v>0</v>
      </c>
      <c r="I72" s="40">
        <f t="shared" ref="I72" si="32">IF(AND(L72&lt;&gt;"",L72&lt;&gt;0),ROUND(J72/L72,0),0)</f>
        <v>0</v>
      </c>
      <c r="J72" s="40">
        <f t="shared" si="18"/>
        <v>0</v>
      </c>
      <c r="K72" s="326">
        <f>SUMIF(ProductList!$F$4:$F$493,A72,ProductList!$BA$4:$BA$493)</f>
        <v>0</v>
      </c>
      <c r="L72" s="326">
        <f>SUMIF(ProductList!$F$4:$F$493,A72,ProductList!$V$4:$V$493)</f>
        <v>0</v>
      </c>
      <c r="M72" s="326"/>
      <c r="N72" s="49" t="s">
        <v>79</v>
      </c>
      <c r="O72" s="81">
        <f t="shared" ref="O72" si="33">IF(D72="SCL",100,AZ72)</f>
        <v>100</v>
      </c>
      <c r="P72" s="34">
        <f t="shared" ref="P72" si="34">IF((K72*Y72)&gt;(L72*AH72),(K72*Y72),(L72*AH72))</f>
        <v>0</v>
      </c>
      <c r="Q72" s="34">
        <f t="shared" ref="Q72" si="35">IF((K72*Z72)&gt;(L72*AI72),(K72*Z72),(L72*AI72))</f>
        <v>0</v>
      </c>
      <c r="R72" s="34">
        <f t="shared" ref="R72" si="36">IF(C72="SG",
    IF(((K72*1.1+P72+Q72+T72+V72)*AA72)&gt;(L72*AJ72),
       (K72*1.1+P72+Q72+T72+V72)*AA72,
       L72*AJ72),
    IF(((K72*1.1+P72+Q72+S72+U72)*AA72)&gt;(L72*AJ72),
       (K72*1.1+P72+Q72+S72+U72)*AA72,
       L72*AJ72)
)</f>
        <v>0</v>
      </c>
      <c r="S72" s="34">
        <f t="shared" ref="S72" si="37">IF((K72*AB72)&gt;(L72*AK72),(K72*AB72),(L72*AK72))</f>
        <v>0</v>
      </c>
      <c r="T72" s="34">
        <f t="shared" ref="T72" si="38">IF((K72*AC72)&gt;(L72*AL72),(K72*AC72),(L72*AL72))</f>
        <v>0</v>
      </c>
      <c r="U72" s="34">
        <f t="shared" ref="U72" si="39">IF((K72*AD72)&gt;(L72*AM72),(K72*AD72),(L72*AM72))</f>
        <v>0</v>
      </c>
      <c r="V72" s="34">
        <f t="shared" ref="V72" si="40">IF((K72*AE72)&gt;(L72*AN72),(K72*AE72),(L72*AN72))</f>
        <v>0</v>
      </c>
      <c r="W72" s="34">
        <f t="shared" ref="W72" si="41">IF((K72*AF72)&gt;(L72*AO72),(K72*AF72),(L72*AO72))</f>
        <v>0</v>
      </c>
      <c r="X72" s="34">
        <f t="shared" ref="X72" si="42">IF((((K72)*1.1+P72+Q72+S72+T72+U72+V72)*AG72)&gt;(L72*AP72),(((K72)*1.1+P72+Q72+S72+T72+U72+V72)*AG72),(L72*AP72))</f>
        <v>0</v>
      </c>
      <c r="Y72" s="34"/>
      <c r="Z72" s="35">
        <v>0.2</v>
      </c>
      <c r="AA72" s="35">
        <v>0.18</v>
      </c>
      <c r="AB72" s="35"/>
      <c r="AC72" s="35"/>
      <c r="AD72" s="35">
        <v>0.2</v>
      </c>
      <c r="AE72" s="35"/>
      <c r="AF72" s="35"/>
      <c r="AG72" s="35">
        <v>2.5000000000000001E-2</v>
      </c>
      <c r="AH72" s="34"/>
      <c r="AI72" s="34">
        <v>40</v>
      </c>
      <c r="AJ72" s="34"/>
      <c r="AK72" s="34"/>
      <c r="AL72" s="34"/>
      <c r="AM72" s="34">
        <v>40</v>
      </c>
      <c r="AN72" s="34"/>
      <c r="AO72" s="34"/>
      <c r="AP72" s="34"/>
      <c r="AQ72" s="7"/>
      <c r="AR72" s="7"/>
      <c r="AS72" s="7"/>
      <c r="AT72" s="7"/>
      <c r="AU72" s="7"/>
      <c r="AV72" s="7"/>
      <c r="AW72" s="7"/>
      <c r="AX72" s="7"/>
      <c r="AY72" s="7"/>
      <c r="AZ72" s="81">
        <f t="shared" si="29"/>
        <v>80</v>
      </c>
    </row>
    <row r="73" spans="1:52" x14ac:dyDescent="0.25">
      <c r="A73" s="301" t="s">
        <v>497</v>
      </c>
      <c r="B73" s="33" t="s">
        <v>498</v>
      </c>
      <c r="C73" s="33"/>
      <c r="D73" s="44" t="s">
        <v>170</v>
      </c>
      <c r="E73" s="43">
        <f t="shared" ref="E73" si="43">IF(D73="SCL",G73,H73)</f>
        <v>0</v>
      </c>
      <c r="F73" s="48" t="s">
        <v>493</v>
      </c>
      <c r="G73" s="45">
        <v>40</v>
      </c>
      <c r="H73" s="43">
        <f t="shared" ref="H73" si="44">ROUND(I73,0)</f>
        <v>0</v>
      </c>
      <c r="I73" s="40">
        <f t="shared" ref="I73" si="45">IF(AND(L73&lt;&gt;"",L73&lt;&gt;0),ROUND(J73/L73,0),0)</f>
        <v>0</v>
      </c>
      <c r="J73" s="40">
        <f t="shared" si="18"/>
        <v>0</v>
      </c>
      <c r="K73" s="326">
        <f>SUMIF(ProductList!$F$4:$F$493,A73,ProductList!$BA$4:$BA$493)</f>
        <v>0</v>
      </c>
      <c r="L73" s="326">
        <f>SUMIF(ProductList!$F$4:$F$493,A73,ProductList!$V$4:$V$493)</f>
        <v>0</v>
      </c>
      <c r="M73" s="326"/>
      <c r="N73" s="49" t="s">
        <v>79</v>
      </c>
      <c r="O73" s="81">
        <f t="shared" ref="O73" si="46">IF(D73="SCL",100,AZ73)</f>
        <v>80</v>
      </c>
      <c r="P73" s="34">
        <f t="shared" ref="P73" si="47">IF((K73*Y73)&gt;(L73*AH73),(K73*Y73),(L73*AH73))</f>
        <v>0</v>
      </c>
      <c r="Q73" s="34">
        <f t="shared" ref="Q73" si="48">IF((K73*Z73)&gt;(L73*AI73),(K73*Z73),(L73*AI73))</f>
        <v>0</v>
      </c>
      <c r="R73" s="34">
        <f t="shared" ref="R73" si="49">IF(C73="SG",
    IF(((K73*1.1+P73+Q73+T73+V73)*AA73)&gt;(L73*AJ73),
       (K73*1.1+P73+Q73+T73+V73)*AA73,
       L73*AJ73),
    IF(((K73*1.1+P73+Q73+S73+U73)*AA73)&gt;(L73*AJ73),
       (K73*1.1+P73+Q73+S73+U73)*AA73,
       L73*AJ73)
)</f>
        <v>0</v>
      </c>
      <c r="S73" s="34">
        <f t="shared" ref="S73" si="50">IF((K73*AB73)&gt;(L73*AK73),(K73*AB73),(L73*AK73))</f>
        <v>0</v>
      </c>
      <c r="T73" s="34">
        <f t="shared" ref="T73" si="51">IF((K73*AC73)&gt;(L73*AL73),(K73*AC73),(L73*AL73))</f>
        <v>0</v>
      </c>
      <c r="U73" s="34">
        <f t="shared" ref="U73" si="52">IF((K73*AD73)&gt;(L73*AM73),(K73*AD73),(L73*AM73))</f>
        <v>0</v>
      </c>
      <c r="V73" s="34">
        <f t="shared" ref="V73" si="53">IF((K73*AE73)&gt;(L73*AN73),(K73*AE73),(L73*AN73))</f>
        <v>0</v>
      </c>
      <c r="W73" s="34">
        <f t="shared" ref="W73" si="54">IF((K73*AF73)&gt;(L73*AO73),(K73*AF73),(L73*AO73))</f>
        <v>0</v>
      </c>
      <c r="X73" s="34">
        <f t="shared" ref="X73" si="55">IF((((K73)*1.1+P73+Q73+S73+T73+U73+V73)*AG73)&gt;(L73*AP73),(((K73)*1.1+P73+Q73+S73+T73+U73+V73)*AG73),(L73*AP73))</f>
        <v>0</v>
      </c>
      <c r="Y73" s="34"/>
      <c r="Z73" s="35">
        <v>0.2</v>
      </c>
      <c r="AA73" s="35">
        <v>0.18</v>
      </c>
      <c r="AB73" s="35">
        <v>0.1</v>
      </c>
      <c r="AC73" s="35"/>
      <c r="AD73" s="35">
        <v>0.45</v>
      </c>
      <c r="AE73" s="35"/>
      <c r="AF73" s="35"/>
      <c r="AG73" s="35">
        <v>2.5000000000000001E-2</v>
      </c>
      <c r="AH73" s="34"/>
      <c r="AI73" s="34">
        <v>260</v>
      </c>
      <c r="AJ73" s="34"/>
      <c r="AK73" s="34"/>
      <c r="AL73" s="34"/>
      <c r="AM73" s="34">
        <v>360</v>
      </c>
      <c r="AN73" s="34"/>
      <c r="AO73" s="34"/>
      <c r="AP73" s="34"/>
      <c r="AQ73" s="7"/>
      <c r="AR73" s="7"/>
      <c r="AS73" s="7"/>
      <c r="AT73" s="7"/>
      <c r="AU73" s="7"/>
      <c r="AV73" s="7"/>
      <c r="AW73" s="7"/>
      <c r="AX73" s="7"/>
      <c r="AY73" s="7"/>
      <c r="AZ73" s="81">
        <f t="shared" si="29"/>
        <v>80</v>
      </c>
    </row>
    <row r="74" spans="1:52" x14ac:dyDescent="0.25">
      <c r="A74" s="301" t="s">
        <v>578</v>
      </c>
      <c r="B74" s="33" t="s">
        <v>579</v>
      </c>
      <c r="C74" s="33"/>
      <c r="D74" s="44" t="s">
        <v>170</v>
      </c>
      <c r="E74" s="43">
        <f t="shared" ref="E74:E75" si="56">IF(D74="SCL",G74,H74)</f>
        <v>103</v>
      </c>
      <c r="F74" s="48"/>
      <c r="G74" s="45"/>
      <c r="H74" s="43">
        <f t="shared" ref="H74:H75" si="57">ROUND(I74,0)</f>
        <v>103</v>
      </c>
      <c r="I74" s="40">
        <f t="shared" ref="I74:I75" si="58">IF(AND(L74&lt;&gt;"",L74&lt;&gt;0),ROUND(J74/L74,0),0)</f>
        <v>103</v>
      </c>
      <c r="J74" s="40">
        <f t="shared" ref="J74:J75" si="59">IF(C74="SG",ROUND((P74+Q74+R74+T74+V74+W74+X74),0),ROUND((P74+Q74+R74+S74+U74+W74+X74),0))</f>
        <v>975</v>
      </c>
      <c r="K74" s="326">
        <f>SUMIF(ProductList!$F$4:$F$493,A74,ProductList!$BA$4:$BA$493)</f>
        <v>1375.2</v>
      </c>
      <c r="L74" s="326">
        <f>SUMIF(ProductList!$F$4:$F$493,A74,ProductList!$V$4:$V$493)</f>
        <v>9.5</v>
      </c>
      <c r="M74" s="326"/>
      <c r="N74" s="49" t="s">
        <v>79</v>
      </c>
      <c r="O74" s="81">
        <f t="shared" ref="O74:O75" si="60">IF(D74="SCL",100,AZ74)</f>
        <v>80</v>
      </c>
      <c r="P74" s="34">
        <f t="shared" ref="P74:P75" si="61">IF((K74*Y74)&gt;(L74*AH74),(K74*Y74),(L74*AH74))</f>
        <v>0</v>
      </c>
      <c r="Q74" s="34">
        <f t="shared" ref="Q74:Q75" si="62">IF((K74*Z74)&gt;(L74*AI74),(K74*Z74),(L74*AI74))</f>
        <v>275.04000000000002</v>
      </c>
      <c r="R74" s="34">
        <f t="shared" ref="R74:R75" si="63">IF(C74="SG",
    IF(((K74*1.1+P74+Q74+T74+V74)*AA74)&gt;(L74*AJ74),
       (K74*1.1+P74+Q74+T74+V74)*AA74,
       L74*AJ74),
    IF(((K74*1.1+P74+Q74+S74+U74)*AA74)&gt;(L74*AJ74),
       (K74*1.1+P74+Q74+S74+U74)*AA74,
       L74*AJ74)
)</f>
        <v>371.30400000000003</v>
      </c>
      <c r="S74" s="34">
        <f t="shared" ref="S74:S75" si="64">IF((K74*AB74)&gt;(L74*AK74),(K74*AB74),(L74*AK74))</f>
        <v>137.52000000000001</v>
      </c>
      <c r="T74" s="34">
        <f t="shared" ref="T74:T75" si="65">IF((K74*AC74)&gt;(L74*AL74),(K74*AC74),(L74*AL74))</f>
        <v>82.512</v>
      </c>
      <c r="U74" s="34">
        <f t="shared" ref="U74:U75" si="66">IF((K74*AD74)&gt;(L74*AM74),(K74*AD74),(L74*AM74))</f>
        <v>137.52000000000001</v>
      </c>
      <c r="V74" s="34">
        <f t="shared" ref="V74:V75" si="67">IF((K74*AE74)&gt;(L74*AN74),(K74*AE74),(L74*AN74))</f>
        <v>0</v>
      </c>
      <c r="W74" s="34">
        <f t="shared" ref="W74:W75" si="68">IF((K74*AF74)&gt;(L74*AO74),(K74*AF74),(L74*AO74))</f>
        <v>0</v>
      </c>
      <c r="X74" s="34">
        <f t="shared" ref="X74:X75" si="69">IF((((K74)*1.1+P74+Q74+S74+T74+U74+V74)*AG74)&gt;(L74*AP74),(((K74)*1.1+P74+Q74+S74+T74+U74+V74)*AG74),(L74*AP74))</f>
        <v>53.63280000000001</v>
      </c>
      <c r="Y74" s="34"/>
      <c r="Z74" s="35">
        <v>0.2</v>
      </c>
      <c r="AA74" s="35">
        <v>0.18</v>
      </c>
      <c r="AB74" s="35">
        <v>0.1</v>
      </c>
      <c r="AC74" s="35">
        <v>0.06</v>
      </c>
      <c r="AD74" s="35">
        <v>0.1</v>
      </c>
      <c r="AE74" s="35"/>
      <c r="AF74" s="35"/>
      <c r="AG74" s="35">
        <v>2.5000000000000001E-2</v>
      </c>
      <c r="AH74" s="34"/>
      <c r="AI74" s="34"/>
      <c r="AJ74" s="34"/>
      <c r="AK74" s="34"/>
      <c r="AL74" s="34"/>
      <c r="AM74" s="34"/>
      <c r="AN74" s="34"/>
      <c r="AO74" s="34"/>
      <c r="AP74" s="34"/>
      <c r="AQ74" s="7"/>
      <c r="AR74" s="7"/>
      <c r="AS74" s="7"/>
      <c r="AT74" s="7"/>
      <c r="AU74" s="7"/>
      <c r="AV74" s="7"/>
      <c r="AW74" s="7"/>
      <c r="AX74" s="7"/>
      <c r="AY74" s="7"/>
      <c r="AZ74" s="81">
        <f t="shared" si="29"/>
        <v>80</v>
      </c>
    </row>
    <row r="75" spans="1:52" x14ac:dyDescent="0.25">
      <c r="A75" s="301" t="s">
        <v>580</v>
      </c>
      <c r="B75" s="33" t="s">
        <v>548</v>
      </c>
      <c r="C75" s="33"/>
      <c r="D75" s="44" t="s">
        <v>170</v>
      </c>
      <c r="E75" s="43">
        <f t="shared" si="56"/>
        <v>1304</v>
      </c>
      <c r="F75" s="48"/>
      <c r="G75" s="45">
        <v>40</v>
      </c>
      <c r="H75" s="43">
        <f t="shared" si="57"/>
        <v>1304</v>
      </c>
      <c r="I75" s="40">
        <f t="shared" si="58"/>
        <v>1304</v>
      </c>
      <c r="J75" s="40">
        <f t="shared" si="59"/>
        <v>67808</v>
      </c>
      <c r="K75" s="326">
        <f>SUMIF(ProductList!$F$4:$F$493,A75,ProductList!$BA$4:$BA$493)</f>
        <v>75869.600000000006</v>
      </c>
      <c r="L75" s="326">
        <f>SUMIF(ProductList!$F$4:$F$493,A75,ProductList!$V$4:$V$493)</f>
        <v>52</v>
      </c>
      <c r="M75" s="326"/>
      <c r="N75" s="49" t="s">
        <v>79</v>
      </c>
      <c r="O75" s="81">
        <f t="shared" si="60"/>
        <v>80</v>
      </c>
      <c r="P75" s="34">
        <f t="shared" si="61"/>
        <v>0</v>
      </c>
      <c r="Q75" s="34">
        <f t="shared" si="62"/>
        <v>15173.920000000002</v>
      </c>
      <c r="R75" s="34">
        <f t="shared" si="63"/>
        <v>22533.271200000003</v>
      </c>
      <c r="S75" s="34">
        <f t="shared" si="64"/>
        <v>7586.9600000000009</v>
      </c>
      <c r="T75" s="34">
        <f t="shared" si="65"/>
        <v>4552.1760000000004</v>
      </c>
      <c r="U75" s="34">
        <f t="shared" si="66"/>
        <v>18967.400000000001</v>
      </c>
      <c r="V75" s="34">
        <f t="shared" si="67"/>
        <v>12139.136</v>
      </c>
      <c r="W75" s="34">
        <f t="shared" si="68"/>
        <v>0</v>
      </c>
      <c r="X75" s="34">
        <f t="shared" si="69"/>
        <v>3546.903800000001</v>
      </c>
      <c r="Y75" s="34"/>
      <c r="Z75" s="35">
        <v>0.2</v>
      </c>
      <c r="AA75" s="35">
        <v>0.18</v>
      </c>
      <c r="AB75" s="35">
        <v>0.1</v>
      </c>
      <c r="AC75" s="35">
        <v>0.06</v>
      </c>
      <c r="AD75" s="35">
        <v>0.25</v>
      </c>
      <c r="AE75" s="35">
        <v>0.16</v>
      </c>
      <c r="AF75" s="35"/>
      <c r="AG75" s="35">
        <v>2.5000000000000001E-2</v>
      </c>
      <c r="AH75" s="34"/>
      <c r="AI75" s="34">
        <v>70</v>
      </c>
      <c r="AJ75" s="34"/>
      <c r="AK75" s="34"/>
      <c r="AL75" s="34"/>
      <c r="AM75" s="34">
        <v>40</v>
      </c>
      <c r="AN75" s="34"/>
      <c r="AO75" s="34"/>
      <c r="AP75" s="34"/>
      <c r="AQ75" s="7"/>
      <c r="AR75" s="7"/>
      <c r="AS75" s="7"/>
      <c r="AT75" s="7"/>
      <c r="AU75" s="7"/>
      <c r="AV75" s="7"/>
      <c r="AW75" s="7"/>
      <c r="AX75" s="7"/>
      <c r="AY75" s="7"/>
      <c r="AZ75" s="81">
        <f t="shared" si="29"/>
        <v>80</v>
      </c>
    </row>
  </sheetData>
  <autoFilter ref="A1:AZ1" xr:uid="{D674D6EA-7CF8-4958-9D25-FFC846F541EC}">
    <sortState xmlns:xlrd2="http://schemas.microsoft.com/office/spreadsheetml/2017/richdata2" ref="A2:AZ54">
      <sortCondition ref="A1"/>
    </sortState>
  </autoFilter>
  <dataValidations count="2">
    <dataValidation type="list" allowBlank="1" showInputMessage="1" showErrorMessage="1" sqref="D2:D1048576" xr:uid="{CC932DFE-56C2-4770-86E0-CE38CDE22BA9}">
      <formula1>"SCL,NORM"</formula1>
    </dataValidation>
    <dataValidation type="list" allowBlank="1" showInputMessage="1" showErrorMessage="1" sqref="C2:C1048576" xr:uid="{45DB330D-9C16-46D2-83D1-2EE16A232C4B}">
      <formula1>"NORM,SG"</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DC134-7EB1-4C66-9040-886EF64993A2}">
  <sheetPr>
    <pageSetUpPr fitToPage="1"/>
  </sheetPr>
  <dimension ref="A1:T50"/>
  <sheetViews>
    <sheetView topLeftCell="A15" zoomScale="85" zoomScaleNormal="85" workbookViewId="0">
      <selection activeCell="J29" sqref="J29"/>
    </sheetView>
  </sheetViews>
  <sheetFormatPr defaultRowHeight="15" x14ac:dyDescent="0.25"/>
  <cols>
    <col min="1" max="1" width="2.5703125" customWidth="1"/>
    <col min="2" max="2" width="59.85546875" bestFit="1" customWidth="1"/>
    <col min="3" max="4" width="14.140625" customWidth="1"/>
    <col min="5" max="6" width="15.140625" bestFit="1" customWidth="1"/>
    <col min="7" max="8" width="14.140625" customWidth="1"/>
    <col min="9" max="10" width="15.140625" bestFit="1" customWidth="1"/>
    <col min="11" max="14" width="14.140625" customWidth="1"/>
    <col min="15" max="15" width="2.5703125" customWidth="1"/>
  </cols>
  <sheetData>
    <row r="1" spans="1:20" ht="15.75" thickBot="1" x14ac:dyDescent="0.3"/>
    <row r="2" spans="1:20" ht="15" customHeight="1" x14ac:dyDescent="0.25">
      <c r="B2" s="359" t="s">
        <v>500</v>
      </c>
      <c r="C2" s="360"/>
      <c r="D2" s="360"/>
      <c r="E2" s="360"/>
      <c r="F2" s="360"/>
      <c r="G2" s="360"/>
      <c r="H2" s="360"/>
      <c r="I2" s="360"/>
      <c r="J2" s="360"/>
      <c r="K2" s="360"/>
      <c r="L2" s="360"/>
      <c r="M2" s="360"/>
      <c r="N2" s="361"/>
    </row>
    <row r="3" spans="1:20" ht="15" customHeight="1" thickBot="1" x14ac:dyDescent="0.3">
      <c r="B3" s="362"/>
      <c r="C3" s="363"/>
      <c r="D3" s="363"/>
      <c r="E3" s="363"/>
      <c r="F3" s="363"/>
      <c r="G3" s="363"/>
      <c r="H3" s="363"/>
      <c r="I3" s="363"/>
      <c r="J3" s="363"/>
      <c r="K3" s="363"/>
      <c r="L3" s="363"/>
      <c r="M3" s="363"/>
      <c r="N3" s="364"/>
    </row>
    <row r="4" spans="1:20" ht="15.75" thickBot="1" x14ac:dyDescent="0.3">
      <c r="Q4" t="s">
        <v>341</v>
      </c>
      <c r="R4" t="s">
        <v>252</v>
      </c>
    </row>
    <row r="5" spans="1:20" x14ac:dyDescent="0.25">
      <c r="B5" s="171" t="s">
        <v>24</v>
      </c>
      <c r="C5" s="171" t="s">
        <v>38</v>
      </c>
      <c r="D5" s="171" t="s">
        <v>39</v>
      </c>
      <c r="E5" s="171" t="s">
        <v>40</v>
      </c>
      <c r="F5" s="171" t="s">
        <v>31</v>
      </c>
      <c r="G5" s="171" t="s">
        <v>29</v>
      </c>
      <c r="H5" s="172" t="s">
        <v>28</v>
      </c>
      <c r="I5" s="171" t="s">
        <v>19</v>
      </c>
      <c r="J5" s="171" t="s">
        <v>32</v>
      </c>
      <c r="K5" s="171" t="s">
        <v>41</v>
      </c>
      <c r="L5" s="171" t="s">
        <v>42</v>
      </c>
      <c r="M5" s="172" t="s">
        <v>20</v>
      </c>
      <c r="N5" s="173" t="s">
        <v>43</v>
      </c>
      <c r="Q5">
        <v>1</v>
      </c>
      <c r="R5" t="s">
        <v>469</v>
      </c>
      <c r="T5" t="s">
        <v>469</v>
      </c>
    </row>
    <row r="6" spans="1:20" ht="15.75" thickBot="1" x14ac:dyDescent="0.3">
      <c r="B6" s="174"/>
      <c r="C6" s="174"/>
      <c r="D6" s="174"/>
      <c r="E6" s="174"/>
      <c r="F6" s="174">
        <f>C21</f>
        <v>2574356</v>
      </c>
      <c r="G6" s="174">
        <f>C30</f>
        <v>2483298</v>
      </c>
      <c r="H6" s="174">
        <f>F6+G6</f>
        <v>5057654</v>
      </c>
      <c r="I6" s="174">
        <f ca="1">C33</f>
        <v>6113256</v>
      </c>
      <c r="J6" s="174">
        <f>C42</f>
        <v>135223</v>
      </c>
      <c r="K6" s="174">
        <f>C39</f>
        <v>135223</v>
      </c>
      <c r="L6" s="174">
        <f>C36</f>
        <v>128715</v>
      </c>
      <c r="M6" s="174">
        <f ca="1">I6-(H6+J6+K6)+L6</f>
        <v>913871</v>
      </c>
      <c r="N6" s="175">
        <f ca="1">ROUND(M6*100/(H6+J6+K6),2)</f>
        <v>17.149999999999999</v>
      </c>
      <c r="Q6">
        <v>2</v>
      </c>
      <c r="R6" t="s">
        <v>499</v>
      </c>
      <c r="T6" t="s">
        <v>221</v>
      </c>
    </row>
    <row r="7" spans="1:20" x14ac:dyDescent="0.25">
      <c r="R7" t="s">
        <v>123</v>
      </c>
      <c r="T7" t="s">
        <v>123</v>
      </c>
    </row>
    <row r="8" spans="1:20" ht="15.75" thickBot="1" x14ac:dyDescent="0.3">
      <c r="R8" t="s">
        <v>496</v>
      </c>
      <c r="T8" t="s">
        <v>52</v>
      </c>
    </row>
    <row r="9" spans="1:20" ht="15.75" x14ac:dyDescent="0.25">
      <c r="B9" s="181" t="s">
        <v>256</v>
      </c>
      <c r="C9" s="182">
        <v>3.52</v>
      </c>
      <c r="D9" s="10"/>
      <c r="E9" s="10"/>
      <c r="F9" s="353" t="s">
        <v>22</v>
      </c>
      <c r="G9" s="176" t="s">
        <v>223</v>
      </c>
      <c r="H9" s="171">
        <v>1</v>
      </c>
      <c r="I9" s="171">
        <v>2</v>
      </c>
      <c r="J9" s="177"/>
      <c r="K9" s="177"/>
      <c r="L9" s="177"/>
      <c r="M9" s="177"/>
      <c r="N9" s="178"/>
      <c r="R9" t="s">
        <v>475</v>
      </c>
      <c r="T9" t="s">
        <v>475</v>
      </c>
    </row>
    <row r="10" spans="1:20" ht="15.75" x14ac:dyDescent="0.25">
      <c r="B10" s="183" t="s">
        <v>54</v>
      </c>
      <c r="C10" s="184">
        <v>95.19</v>
      </c>
      <c r="D10" s="10"/>
      <c r="E10" s="10"/>
      <c r="F10" s="354"/>
      <c r="G10" s="11" t="s">
        <v>224</v>
      </c>
      <c r="H10" s="9"/>
      <c r="I10" s="9"/>
      <c r="J10" s="9"/>
      <c r="K10" s="9"/>
      <c r="L10" s="9"/>
      <c r="M10" s="9"/>
      <c r="N10" s="179"/>
      <c r="R10" t="s">
        <v>495</v>
      </c>
      <c r="T10" t="s">
        <v>125</v>
      </c>
    </row>
    <row r="11" spans="1:20" ht="15.75" x14ac:dyDescent="0.25">
      <c r="B11" s="183" t="s">
        <v>55</v>
      </c>
      <c r="C11" s="184">
        <v>15</v>
      </c>
      <c r="D11" s="10"/>
      <c r="E11" s="10"/>
      <c r="F11" s="354"/>
      <c r="G11" s="11" t="s">
        <v>225</v>
      </c>
      <c r="H11" s="8"/>
      <c r="I11" s="8"/>
      <c r="J11" s="8"/>
      <c r="K11" s="8"/>
      <c r="L11" s="8"/>
      <c r="M11" s="8"/>
      <c r="N11" s="113"/>
      <c r="R11" t="s">
        <v>482</v>
      </c>
      <c r="T11" t="s">
        <v>482</v>
      </c>
    </row>
    <row r="12" spans="1:20" ht="15.75" x14ac:dyDescent="0.25">
      <c r="B12" s="183" t="s">
        <v>101</v>
      </c>
      <c r="C12" s="184">
        <v>30</v>
      </c>
      <c r="D12" s="10"/>
      <c r="E12" s="10"/>
      <c r="F12" s="354"/>
      <c r="G12" s="11" t="s">
        <v>44</v>
      </c>
      <c r="H12" s="8"/>
      <c r="I12" s="8"/>
      <c r="J12" s="8"/>
      <c r="K12" s="8"/>
      <c r="L12" s="8"/>
      <c r="M12" s="8"/>
      <c r="N12" s="113"/>
      <c r="R12" t="s">
        <v>476</v>
      </c>
      <c r="T12" t="s">
        <v>476</v>
      </c>
    </row>
    <row r="13" spans="1:20" ht="15.75" x14ac:dyDescent="0.25">
      <c r="B13" s="183" t="s">
        <v>259</v>
      </c>
      <c r="C13" s="184">
        <v>200000</v>
      </c>
      <c r="D13" s="10"/>
      <c r="E13" s="10"/>
      <c r="F13" s="354"/>
      <c r="G13" s="11" t="s">
        <v>25</v>
      </c>
      <c r="H13" s="8"/>
      <c r="I13" s="8"/>
      <c r="J13" s="8" t="str">
        <f>IF(AND(J12&lt;&gt;"",J11&lt;&gt;""),J12/J11,"")</f>
        <v/>
      </c>
      <c r="K13" s="8" t="str">
        <f>IF(AND(K12&lt;&gt;"",K11&lt;&gt;""),K12/K11,"")</f>
        <v/>
      </c>
      <c r="L13" s="8" t="str">
        <f>IF(AND(L12&lt;&gt;"",L11&lt;&gt;""),L12/L11,"")</f>
        <v/>
      </c>
      <c r="M13" s="8" t="str">
        <f>IF(AND(M12&lt;&gt;"",M11&lt;&gt;""),M12/M11,"")</f>
        <v/>
      </c>
      <c r="N13" s="113" t="str">
        <f>IF(AND(N12&lt;&gt;"",N11&lt;&gt;""),N12/N11,"")</f>
        <v/>
      </c>
      <c r="R13" t="s">
        <v>477</v>
      </c>
      <c r="T13" t="s">
        <v>477</v>
      </c>
    </row>
    <row r="14" spans="1:20" ht="16.5" thickBot="1" x14ac:dyDescent="0.3">
      <c r="B14" s="185" t="s">
        <v>258</v>
      </c>
      <c r="C14" s="186">
        <v>2000000</v>
      </c>
      <c r="D14" s="10"/>
      <c r="E14" s="10"/>
      <c r="F14" s="355"/>
      <c r="G14" s="180" t="s">
        <v>26</v>
      </c>
      <c r="H14" s="174"/>
      <c r="I14" s="174"/>
      <c r="J14" s="174"/>
      <c r="K14" s="174"/>
      <c r="L14" s="174"/>
      <c r="M14" s="174"/>
      <c r="N14" s="175"/>
      <c r="R14" t="s">
        <v>115</v>
      </c>
      <c r="T14" t="s">
        <v>115</v>
      </c>
    </row>
    <row r="15" spans="1:20" ht="15.75" thickBot="1" x14ac:dyDescent="0.3">
      <c r="R15" t="s">
        <v>110</v>
      </c>
      <c r="T15" t="s">
        <v>110</v>
      </c>
    </row>
    <row r="16" spans="1:20" ht="16.5" thickBot="1" x14ac:dyDescent="0.3">
      <c r="A16" s="10"/>
      <c r="B16" s="385" t="s">
        <v>222</v>
      </c>
      <c r="C16" s="380" t="s">
        <v>30</v>
      </c>
      <c r="D16" s="381"/>
      <c r="E16" s="381"/>
      <c r="F16" s="382"/>
      <c r="G16" s="372">
        <v>1</v>
      </c>
      <c r="H16" s="372"/>
      <c r="I16" s="372"/>
      <c r="J16" s="372"/>
      <c r="K16" s="371">
        <v>2</v>
      </c>
      <c r="L16" s="372"/>
      <c r="M16" s="372"/>
      <c r="N16" s="373"/>
      <c r="R16" t="s">
        <v>109</v>
      </c>
      <c r="T16" t="s">
        <v>109</v>
      </c>
    </row>
    <row r="17" spans="1:20" ht="15.75" x14ac:dyDescent="0.25">
      <c r="B17" s="386"/>
      <c r="C17" s="374" t="s">
        <v>25</v>
      </c>
      <c r="D17" s="375"/>
      <c r="E17" s="375" t="s">
        <v>44</v>
      </c>
      <c r="F17" s="376"/>
      <c r="G17" s="383" t="s">
        <v>25</v>
      </c>
      <c r="H17" s="375"/>
      <c r="I17" s="375" t="s">
        <v>44</v>
      </c>
      <c r="J17" s="384"/>
      <c r="K17" s="374" t="s">
        <v>25</v>
      </c>
      <c r="L17" s="375"/>
      <c r="M17" s="375" t="s">
        <v>44</v>
      </c>
      <c r="N17" s="376"/>
      <c r="R17" t="s">
        <v>481</v>
      </c>
      <c r="T17" t="s">
        <v>481</v>
      </c>
    </row>
    <row r="18" spans="1:20" ht="16.5" thickBot="1" x14ac:dyDescent="0.3">
      <c r="B18" s="387"/>
      <c r="C18" s="220" t="s">
        <v>34</v>
      </c>
      <c r="D18" s="221" t="s">
        <v>250</v>
      </c>
      <c r="E18" s="221" t="s">
        <v>34</v>
      </c>
      <c r="F18" s="222" t="s">
        <v>250</v>
      </c>
      <c r="G18" s="137" t="s">
        <v>34</v>
      </c>
      <c r="H18" s="120" t="s">
        <v>250</v>
      </c>
      <c r="I18" s="120" t="s">
        <v>34</v>
      </c>
      <c r="J18" s="217" t="s">
        <v>250</v>
      </c>
      <c r="K18" s="139" t="s">
        <v>34</v>
      </c>
      <c r="L18" s="120" t="s">
        <v>250</v>
      </c>
      <c r="M18" s="120" t="s">
        <v>34</v>
      </c>
      <c r="N18" s="138" t="s">
        <v>250</v>
      </c>
      <c r="R18" t="s">
        <v>501</v>
      </c>
      <c r="T18" t="s">
        <v>483</v>
      </c>
    </row>
    <row r="19" spans="1:20" s="10" customFormat="1" ht="15.75" x14ac:dyDescent="0.25">
      <c r="A19"/>
      <c r="B19" s="289" t="s">
        <v>31</v>
      </c>
      <c r="C19" s="143">
        <f>SUM(G19+K19)</f>
        <v>2574356</v>
      </c>
      <c r="D19" s="141">
        <f>SUM(H19+L19)</f>
        <v>2574356</v>
      </c>
      <c r="E19" s="141">
        <f>ROUND(C19*$C$9,0)</f>
        <v>9061733</v>
      </c>
      <c r="F19" s="142">
        <f>ROUND(D19*$C$9,0)</f>
        <v>9061733</v>
      </c>
      <c r="G19" s="140">
        <f>SUMIF(ProductList!$C$5:$C$493,G16,ProductList!$AA$5:$AA$493)</f>
        <v>2574356</v>
      </c>
      <c r="H19" s="141">
        <f>SUMIF(ProductList!$C$5:$C$493,G16,ProductList!$AA$5:$AA$493)</f>
        <v>2574356</v>
      </c>
      <c r="I19" s="141">
        <f>ROUND(G19*$C$9,0)</f>
        <v>9061733</v>
      </c>
      <c r="J19" s="218">
        <f>ROUND(H19*$C$9,0)</f>
        <v>9061733</v>
      </c>
      <c r="K19" s="143">
        <f>SUMIF(ProductList!$C$5:$C$493,K16,ProductList!$AA$5:$AA$493)</f>
        <v>0</v>
      </c>
      <c r="L19" s="141">
        <f>SUMIF(ProductList!$C$5:$C$493,K16,ProductList!$AA$5:$AA$493)</f>
        <v>0</v>
      </c>
      <c r="M19" s="141">
        <f>ROUND(K19*$C$9,0)</f>
        <v>0</v>
      </c>
      <c r="N19" s="142">
        <f>ROUND(L19*$C$9,0)</f>
        <v>0</v>
      </c>
      <c r="R19" t="s">
        <v>237</v>
      </c>
      <c r="T19" t="s">
        <v>494</v>
      </c>
    </row>
    <row r="20" spans="1:20" s="10" customFormat="1" ht="15.75" x14ac:dyDescent="0.25">
      <c r="A20"/>
      <c r="B20" s="290" t="s">
        <v>8</v>
      </c>
      <c r="C20" s="146">
        <f>SUM(G20+K20)</f>
        <v>128715</v>
      </c>
      <c r="D20" s="136">
        <f>SUM(H20+L20)</f>
        <v>128715</v>
      </c>
      <c r="E20" s="136">
        <f>ROUND(C20*$C$9,0)</f>
        <v>453077</v>
      </c>
      <c r="F20" s="145">
        <f>ROUND(D20*$C$9,0)</f>
        <v>453077</v>
      </c>
      <c r="G20" s="144">
        <f>ROUND(SUMIF(ProductList!$C$5:$C$493,G16,ProductList!$AB$5:$AB$493),0)</f>
        <v>128715</v>
      </c>
      <c r="H20" s="136">
        <f>ROUND(SUMIF(ProductList!$C$5:$C$493,G16,ProductList!$AB$5:$AB$493),0)</f>
        <v>128715</v>
      </c>
      <c r="I20" s="136">
        <f>ROUND(G20*$C$9,0)</f>
        <v>453077</v>
      </c>
      <c r="J20" s="150">
        <f>ROUND(H20*$C$9,0)</f>
        <v>453077</v>
      </c>
      <c r="K20" s="146">
        <f>ROUND(SUMIF(ProductList!$C$5:$C$493,K16,ProductList!$AB$5:$AB$493),0)</f>
        <v>0</v>
      </c>
      <c r="L20" s="136">
        <f>ROUND(SUMIF(ProductList!$C$5:$C$493,K16,ProductList!$AB$5:$AB$493),0)</f>
        <v>0</v>
      </c>
      <c r="M20" s="136">
        <f>ROUND(K20*$C$9,0)</f>
        <v>0</v>
      </c>
      <c r="N20" s="145">
        <f>ROUND(L20*$C$9,0)</f>
        <v>0</v>
      </c>
    </row>
    <row r="21" spans="1:20" s="10" customFormat="1" ht="18.75" x14ac:dyDescent="0.25">
      <c r="A21"/>
      <c r="B21" s="291" t="s">
        <v>343</v>
      </c>
      <c r="C21" s="149">
        <f>ROUND(C19,0)</f>
        <v>2574356</v>
      </c>
      <c r="D21" s="239">
        <f t="shared" ref="D21:N21" si="0">ROUND(D19,0)</f>
        <v>2574356</v>
      </c>
      <c r="E21" s="134">
        <f t="shared" si="0"/>
        <v>9061733</v>
      </c>
      <c r="F21" s="148">
        <f t="shared" si="0"/>
        <v>9061733</v>
      </c>
      <c r="G21" s="147">
        <f t="shared" si="0"/>
        <v>2574356</v>
      </c>
      <c r="H21" s="239">
        <f t="shared" si="0"/>
        <v>2574356</v>
      </c>
      <c r="I21" s="134">
        <f t="shared" si="0"/>
        <v>9061733</v>
      </c>
      <c r="J21" s="223">
        <f t="shared" si="0"/>
        <v>9061733</v>
      </c>
      <c r="K21" s="149">
        <f t="shared" si="0"/>
        <v>0</v>
      </c>
      <c r="L21" s="239">
        <f t="shared" si="0"/>
        <v>0</v>
      </c>
      <c r="M21" s="134">
        <f t="shared" si="0"/>
        <v>0</v>
      </c>
      <c r="N21" s="148">
        <f t="shared" si="0"/>
        <v>0</v>
      </c>
    </row>
    <row r="22" spans="1:20" s="10" customFormat="1" ht="15.75" x14ac:dyDescent="0.25">
      <c r="A22"/>
      <c r="B22" s="292"/>
      <c r="C22" s="356"/>
      <c r="D22" s="357"/>
      <c r="E22" s="357"/>
      <c r="F22" s="358"/>
      <c r="G22" s="215"/>
      <c r="H22" s="215"/>
      <c r="I22" s="215"/>
      <c r="J22" s="215"/>
      <c r="K22" s="214"/>
      <c r="L22" s="215"/>
      <c r="M22" s="215"/>
      <c r="N22" s="216"/>
    </row>
    <row r="23" spans="1:20" s="10" customFormat="1" ht="15.75" x14ac:dyDescent="0.25">
      <c r="A23"/>
      <c r="B23" s="293" t="s">
        <v>262</v>
      </c>
      <c r="C23" s="146">
        <f>C13</f>
        <v>200000</v>
      </c>
      <c r="D23" s="136">
        <f>C13</f>
        <v>200000</v>
      </c>
      <c r="E23" s="136">
        <f>C23*$C$9</f>
        <v>704000</v>
      </c>
      <c r="F23" s="145">
        <f>D23*$C$9</f>
        <v>704000</v>
      </c>
      <c r="G23" s="144">
        <f>C13</f>
        <v>200000</v>
      </c>
      <c r="H23" s="136">
        <f>C13</f>
        <v>200000</v>
      </c>
      <c r="I23" s="136">
        <f>ROUND(SUMIF(ProductList!$C$5:$C$493,G$16,ProductList!$AE$5:$AE$493),0)</f>
        <v>703998</v>
      </c>
      <c r="J23" s="150">
        <f>ROUND(SUMIF(ProductList!$C$5:$C$493,G$16,ProductList!$AE$5:$AE$493),0)</f>
        <v>703998</v>
      </c>
      <c r="K23" s="146"/>
      <c r="L23" s="136"/>
      <c r="M23" s="136">
        <f>ROUND(SUMIF(ProductList!$C$5:$C$493,K$16,ProductList!$AE$5:$AE$493),0)</f>
        <v>0</v>
      </c>
      <c r="N23" s="145"/>
    </row>
    <row r="24" spans="1:20" s="10" customFormat="1" ht="15.75" x14ac:dyDescent="0.25">
      <c r="A24"/>
      <c r="B24" s="291" t="s">
        <v>255</v>
      </c>
      <c r="C24" s="170">
        <f t="shared" ref="C24:N24" si="1">C23+C21</f>
        <v>2774356</v>
      </c>
      <c r="D24" s="151">
        <f t="shared" si="1"/>
        <v>2774356</v>
      </c>
      <c r="E24" s="151">
        <f t="shared" si="1"/>
        <v>9765733</v>
      </c>
      <c r="F24" s="152">
        <f t="shared" si="1"/>
        <v>9765733</v>
      </c>
      <c r="G24" s="169">
        <f t="shared" si="1"/>
        <v>2774356</v>
      </c>
      <c r="H24" s="154">
        <f t="shared" si="1"/>
        <v>2774356</v>
      </c>
      <c r="I24" s="154">
        <f t="shared" si="1"/>
        <v>9765731</v>
      </c>
      <c r="J24" s="238">
        <f t="shared" si="1"/>
        <v>9765731</v>
      </c>
      <c r="K24" s="153">
        <f t="shared" si="1"/>
        <v>0</v>
      </c>
      <c r="L24" s="154">
        <f t="shared" si="1"/>
        <v>0</v>
      </c>
      <c r="M24" s="154">
        <f t="shared" si="1"/>
        <v>0</v>
      </c>
      <c r="N24" s="155">
        <f t="shared" si="1"/>
        <v>0</v>
      </c>
    </row>
    <row r="25" spans="1:20" s="10" customFormat="1" ht="15.75" x14ac:dyDescent="0.25">
      <c r="A25"/>
      <c r="B25" s="290" t="s">
        <v>263</v>
      </c>
      <c r="C25" s="377">
        <f>SUMIF(ProductList!$C$5:$C$493,G16,ProductList!$BB$5:$BB$493)</f>
        <v>24771.609999999993</v>
      </c>
      <c r="D25" s="378"/>
      <c r="E25" s="378"/>
      <c r="F25" s="379"/>
      <c r="G25" s="388"/>
      <c r="H25" s="388"/>
      <c r="I25" s="388"/>
      <c r="J25" s="388"/>
      <c r="K25" s="390"/>
      <c r="L25" s="388"/>
      <c r="M25" s="388"/>
      <c r="N25" s="391"/>
    </row>
    <row r="26" spans="1:20" s="10" customFormat="1" ht="15.75" x14ac:dyDescent="0.25">
      <c r="A26"/>
      <c r="B26" s="290"/>
      <c r="C26" s="356"/>
      <c r="D26" s="357"/>
      <c r="E26" s="357"/>
      <c r="F26" s="358"/>
      <c r="G26" s="389"/>
      <c r="H26" s="389"/>
      <c r="I26" s="389"/>
      <c r="J26" s="389"/>
      <c r="K26" s="392"/>
      <c r="L26" s="389"/>
      <c r="M26" s="389"/>
      <c r="N26" s="393"/>
    </row>
    <row r="27" spans="1:20" s="10" customFormat="1" ht="15.75" x14ac:dyDescent="0.25">
      <c r="A27"/>
      <c r="B27" s="290" t="s">
        <v>253</v>
      </c>
      <c r="C27" s="146">
        <f>SUM(G27+K27)</f>
        <v>1715116</v>
      </c>
      <c r="D27" s="136">
        <f>SUM(H27+L27)</f>
        <v>1676136</v>
      </c>
      <c r="E27" s="136">
        <f>SUM(I27+M27)</f>
        <v>6037207</v>
      </c>
      <c r="F27" s="145">
        <f>SUM(J27+N27)</f>
        <v>5900000</v>
      </c>
      <c r="G27" s="158">
        <f>ROUND(SUMIF(ProductList!$C$5:$C$493,G16,ProductList!$AP$5:$AP$493),0)</f>
        <v>1715116</v>
      </c>
      <c r="H27" s="136">
        <f>ROUND(J27/$C$9,0)</f>
        <v>1676136</v>
      </c>
      <c r="I27" s="159">
        <f>ROUND(SUMIF(ProductList!$C$5:$C$493,G16,ProductList!$AG$5:$AG$493),0)</f>
        <v>6037207</v>
      </c>
      <c r="J27" s="284">
        <v>5900000</v>
      </c>
      <c r="K27" s="160">
        <f>ROUND(SUMIF(ProductList!$C$5:$C$493,K16,ProductList!$AP$5:$AP$493),0)</f>
        <v>0</v>
      </c>
      <c r="L27" s="136">
        <f>ROUND(N27/$C$9,0)</f>
        <v>0</v>
      </c>
      <c r="M27" s="159">
        <f>ROUND(SUMIF(ProductList!$C$5:$C$493,K16,ProductList!$AG$5:$AG$493),0)</f>
        <v>0</v>
      </c>
      <c r="N27" s="168">
        <v>0</v>
      </c>
    </row>
    <row r="28" spans="1:20" s="10" customFormat="1" ht="15.75" x14ac:dyDescent="0.25">
      <c r="A28"/>
      <c r="B28" s="293" t="s">
        <v>254</v>
      </c>
      <c r="C28" s="146">
        <f>ROUND($C$14/$C$9,0)</f>
        <v>568182</v>
      </c>
      <c r="D28" s="136">
        <f>SUM(H28+L28)</f>
        <v>568182</v>
      </c>
      <c r="E28" s="136">
        <f>ROUND(C28*$C$9,0)</f>
        <v>2000001</v>
      </c>
      <c r="F28" s="168">
        <f>J28+N28</f>
        <v>2000000</v>
      </c>
      <c r="G28" s="144">
        <f>ROUND(SUMIF(ProductList!$C$5:$C$493,G16,ProductList!$AR$5:$AR$493),0)</f>
        <v>568181</v>
      </c>
      <c r="H28" s="136">
        <f>ROUND(J28/$C$9,0)</f>
        <v>568182</v>
      </c>
      <c r="I28" s="136">
        <f>ROUND(SUMIF(ProductList!$C$5:$C$493,G16,ProductList!$AI$5:$AI$493),0)</f>
        <v>1999998</v>
      </c>
      <c r="J28" s="284">
        <v>2000000</v>
      </c>
      <c r="K28" s="146"/>
      <c r="L28" s="136">
        <f>ROUND(N28/$C$9,0)</f>
        <v>0</v>
      </c>
      <c r="M28" s="136"/>
      <c r="N28" s="145"/>
    </row>
    <row r="29" spans="1:20" s="10" customFormat="1" ht="15.75" x14ac:dyDescent="0.25">
      <c r="A29"/>
      <c r="B29" s="290" t="s">
        <v>267</v>
      </c>
      <c r="C29" s="146">
        <f>SUM(C27:C28)</f>
        <v>2283298</v>
      </c>
      <c r="D29" s="136">
        <f>SUM(H29+L29)</f>
        <v>2244318</v>
      </c>
      <c r="E29" s="136">
        <f>SUM(I29+M29)</f>
        <v>8037205</v>
      </c>
      <c r="F29" s="145">
        <f>SUM(J29+N29)</f>
        <v>7900000</v>
      </c>
      <c r="G29" s="144">
        <f>SUM(G27:G28)</f>
        <v>2283297</v>
      </c>
      <c r="H29" s="136">
        <f>ROUND(J29/$C$9,0)</f>
        <v>2244318</v>
      </c>
      <c r="I29" s="136">
        <f t="shared" ref="I29:N29" si="2">SUM(I27:I28)</f>
        <v>8037205</v>
      </c>
      <c r="J29" s="150">
        <f t="shared" si="2"/>
        <v>7900000</v>
      </c>
      <c r="K29" s="146">
        <f t="shared" si="2"/>
        <v>0</v>
      </c>
      <c r="L29" s="136">
        <f>ROUND(N29/$C$9,0)</f>
        <v>0</v>
      </c>
      <c r="M29" s="136">
        <f t="shared" si="2"/>
        <v>0</v>
      </c>
      <c r="N29" s="145">
        <f t="shared" si="2"/>
        <v>0</v>
      </c>
    </row>
    <row r="30" spans="1:20" s="10" customFormat="1" ht="15.75" x14ac:dyDescent="0.25">
      <c r="A30"/>
      <c r="B30" s="290" t="s">
        <v>260</v>
      </c>
      <c r="C30" s="146">
        <f>C29+C23</f>
        <v>2483298</v>
      </c>
      <c r="D30" s="136">
        <f>SUM(H30+L30)</f>
        <v>2444318</v>
      </c>
      <c r="E30" s="136">
        <f>E23+E28</f>
        <v>2704001</v>
      </c>
      <c r="F30" s="145">
        <f>SUM(J30+N30)</f>
        <v>8603998</v>
      </c>
      <c r="G30" s="144">
        <f>G29+G23</f>
        <v>2483297</v>
      </c>
      <c r="H30" s="136">
        <f>ROUND(J30/$C$9,0)</f>
        <v>2444318</v>
      </c>
      <c r="I30" s="136">
        <f t="shared" ref="I30:N30" si="3">I29+I23</f>
        <v>8741203</v>
      </c>
      <c r="J30" s="150">
        <f t="shared" si="3"/>
        <v>8603998</v>
      </c>
      <c r="K30" s="146">
        <f t="shared" si="3"/>
        <v>0</v>
      </c>
      <c r="L30" s="136">
        <f>ROUND(N30/$C$9,0)</f>
        <v>0</v>
      </c>
      <c r="M30" s="136">
        <f t="shared" si="3"/>
        <v>0</v>
      </c>
      <c r="N30" s="145">
        <f t="shared" si="3"/>
        <v>0</v>
      </c>
    </row>
    <row r="31" spans="1:20" s="10" customFormat="1" ht="16.5" thickBot="1" x14ac:dyDescent="0.3">
      <c r="A31"/>
      <c r="B31" s="294"/>
      <c r="C31" s="228"/>
      <c r="D31" s="229"/>
      <c r="E31" s="229"/>
      <c r="F31" s="230"/>
      <c r="G31" s="231"/>
      <c r="H31" s="231"/>
      <c r="I31" s="231"/>
      <c r="J31" s="156"/>
      <c r="K31" s="228"/>
      <c r="L31" s="231"/>
      <c r="M31" s="231"/>
      <c r="N31" s="157"/>
    </row>
    <row r="32" spans="1:20" s="10" customFormat="1" ht="19.5" thickBot="1" x14ac:dyDescent="0.3">
      <c r="A32"/>
      <c r="B32" s="295" t="s">
        <v>261</v>
      </c>
      <c r="C32" s="232">
        <f>C21+C30</f>
        <v>5057654</v>
      </c>
      <c r="D32" s="240">
        <f>D21+D30</f>
        <v>5018674</v>
      </c>
      <c r="E32" s="241">
        <f>E21+E30</f>
        <v>11765734</v>
      </c>
      <c r="F32" s="251">
        <f>F21+F30</f>
        <v>17665731</v>
      </c>
      <c r="G32" s="237">
        <f t="shared" ref="G32:N32" si="4">G21+G30</f>
        <v>5057653</v>
      </c>
      <c r="H32" s="242">
        <f t="shared" si="4"/>
        <v>5018674</v>
      </c>
      <c r="I32" s="237">
        <f>I21+I30</f>
        <v>17802936</v>
      </c>
      <c r="J32" s="252">
        <f t="shared" si="4"/>
        <v>17665731</v>
      </c>
      <c r="K32" s="232">
        <f t="shared" si="4"/>
        <v>0</v>
      </c>
      <c r="L32" s="243">
        <f t="shared" si="4"/>
        <v>0</v>
      </c>
      <c r="M32" s="233">
        <f t="shared" si="4"/>
        <v>0</v>
      </c>
      <c r="N32" s="253">
        <f t="shared" si="4"/>
        <v>0</v>
      </c>
    </row>
    <row r="33" spans="1:14" s="10" customFormat="1" ht="18.75" x14ac:dyDescent="0.25">
      <c r="A33"/>
      <c r="B33" s="296" t="s">
        <v>19</v>
      </c>
      <c r="C33" s="160">
        <f ca="1">SUM(G33+K33)</f>
        <v>6113256</v>
      </c>
      <c r="D33" s="249">
        <f ca="1">SUM(H33+L33)</f>
        <v>6113256</v>
      </c>
      <c r="E33" s="159">
        <f ca="1">SUM(I33+M33)</f>
        <v>21518660</v>
      </c>
      <c r="F33" s="250">
        <f ca="1">SUM(J33+N33)</f>
        <v>21518660</v>
      </c>
      <c r="G33" s="226">
        <f ca="1">ROUND(I33/$C$9,0)</f>
        <v>6113256</v>
      </c>
      <c r="H33" s="245">
        <f ca="1">ROUND(J33/$C$9,0)</f>
        <v>6113256</v>
      </c>
      <c r="I33" s="227">
        <f ca="1">ROUND(SUM(INDIRECT("'P_"&amp;G16&amp;"'!$l$5:$l$494")),0)</f>
        <v>21518660</v>
      </c>
      <c r="J33" s="246">
        <f ca="1">ROUND(SUM(INDIRECT("'P_"&amp;G$16&amp;"'!$l$5:$l$494")),0)</f>
        <v>21518660</v>
      </c>
      <c r="K33" s="209">
        <f ca="1">ROUND(M33/$C$9,0)</f>
        <v>0</v>
      </c>
      <c r="L33" s="247">
        <f ca="1">ROUND(N33/$C$9,0)</f>
        <v>0</v>
      </c>
      <c r="M33" s="210">
        <f ca="1">ROUND(SUM(INDIRECT("'P_"&amp;K16&amp;"'!$l$5:$l$494")),0)</f>
        <v>0</v>
      </c>
      <c r="N33" s="248">
        <f ca="1">ROUND(SUM(INDIRECT("'P_"&amp;K$16&amp;"'!$s$5:$s$494")),0)</f>
        <v>0</v>
      </c>
    </row>
    <row r="34" spans="1:14" s="10" customFormat="1" ht="15.75" x14ac:dyDescent="0.25">
      <c r="A34"/>
      <c r="B34" s="293"/>
      <c r="C34" s="394"/>
      <c r="D34" s="395"/>
      <c r="E34" s="395"/>
      <c r="F34" s="397"/>
      <c r="G34" s="394"/>
      <c r="H34" s="395"/>
      <c r="I34" s="395"/>
      <c r="J34" s="396"/>
      <c r="K34" s="398"/>
      <c r="L34" s="398"/>
      <c r="M34" s="398"/>
      <c r="N34" s="399"/>
    </row>
    <row r="35" spans="1:14" s="10" customFormat="1" ht="15.75" x14ac:dyDescent="0.25">
      <c r="A35"/>
      <c r="B35" s="290" t="s">
        <v>45</v>
      </c>
      <c r="C35" s="146">
        <f ca="1">SUM(G35+K35)</f>
        <v>1055603</v>
      </c>
      <c r="D35" s="136">
        <f ca="1">SUM(H35+L35)</f>
        <v>1094582</v>
      </c>
      <c r="E35" s="136">
        <f ca="1">SUM(I35+M35)</f>
        <v>3715724</v>
      </c>
      <c r="F35" s="150">
        <f ca="1">SUM(J35+N35)</f>
        <v>3852929</v>
      </c>
      <c r="G35" s="146">
        <f t="shared" ref="G35:N35" ca="1" si="5">G33-G32</f>
        <v>1055603</v>
      </c>
      <c r="H35" s="206">
        <f t="shared" ca="1" si="5"/>
        <v>1094582</v>
      </c>
      <c r="I35" s="136">
        <f t="shared" ca="1" si="5"/>
        <v>3715724</v>
      </c>
      <c r="J35" s="207">
        <f t="shared" ca="1" si="5"/>
        <v>3852929</v>
      </c>
      <c r="K35" s="144">
        <f t="shared" ca="1" si="5"/>
        <v>0</v>
      </c>
      <c r="L35" s="206">
        <f t="shared" ca="1" si="5"/>
        <v>0</v>
      </c>
      <c r="M35" s="136">
        <f t="shared" ca="1" si="5"/>
        <v>0</v>
      </c>
      <c r="N35" s="207">
        <f t="shared" ca="1" si="5"/>
        <v>0</v>
      </c>
    </row>
    <row r="36" spans="1:14" s="10" customFormat="1" ht="15.75" x14ac:dyDescent="0.25">
      <c r="A36"/>
      <c r="B36" s="290" t="s">
        <v>49</v>
      </c>
      <c r="C36" s="146">
        <f>C20</f>
        <v>128715</v>
      </c>
      <c r="D36" s="136">
        <f t="shared" ref="D36:N36" si="6">D20</f>
        <v>128715</v>
      </c>
      <c r="E36" s="136">
        <f t="shared" si="6"/>
        <v>453077</v>
      </c>
      <c r="F36" s="150">
        <f t="shared" si="6"/>
        <v>453077</v>
      </c>
      <c r="G36" s="146">
        <f t="shared" si="6"/>
        <v>128715</v>
      </c>
      <c r="H36" s="136">
        <f t="shared" si="6"/>
        <v>128715</v>
      </c>
      <c r="I36" s="136">
        <f t="shared" si="6"/>
        <v>453077</v>
      </c>
      <c r="J36" s="145">
        <f t="shared" si="6"/>
        <v>453077</v>
      </c>
      <c r="K36" s="144">
        <f t="shared" si="6"/>
        <v>0</v>
      </c>
      <c r="L36" s="136">
        <f t="shared" si="6"/>
        <v>0</v>
      </c>
      <c r="M36" s="136">
        <f t="shared" si="6"/>
        <v>0</v>
      </c>
      <c r="N36" s="145">
        <f t="shared" si="6"/>
        <v>0</v>
      </c>
    </row>
    <row r="37" spans="1:14" s="10" customFormat="1" ht="19.5" thickBot="1" x14ac:dyDescent="0.3">
      <c r="A37"/>
      <c r="B37" s="297" t="s">
        <v>50</v>
      </c>
      <c r="C37" s="188">
        <f t="shared" ref="C37:N37" ca="1" si="7">C36+C35</f>
        <v>1184318</v>
      </c>
      <c r="D37" s="244">
        <f t="shared" ca="1" si="7"/>
        <v>1223297</v>
      </c>
      <c r="E37" s="234">
        <f t="shared" ca="1" si="7"/>
        <v>4168801</v>
      </c>
      <c r="F37" s="235">
        <f t="shared" ca="1" si="7"/>
        <v>4306006</v>
      </c>
      <c r="G37" s="188">
        <f t="shared" ca="1" si="7"/>
        <v>1184318</v>
      </c>
      <c r="H37" s="244">
        <f t="shared" ca="1" si="7"/>
        <v>1223297</v>
      </c>
      <c r="I37" s="234">
        <f t="shared" ca="1" si="7"/>
        <v>4168801</v>
      </c>
      <c r="J37" s="236">
        <f t="shared" ca="1" si="7"/>
        <v>4306006</v>
      </c>
      <c r="K37" s="187">
        <f t="shared" ca="1" si="7"/>
        <v>0</v>
      </c>
      <c r="L37" s="244">
        <f t="shared" ca="1" si="7"/>
        <v>0</v>
      </c>
      <c r="M37" s="234">
        <f t="shared" ca="1" si="7"/>
        <v>0</v>
      </c>
      <c r="N37" s="236">
        <f t="shared" ca="1" si="7"/>
        <v>0</v>
      </c>
    </row>
    <row r="38" spans="1:14" s="10" customFormat="1" ht="15.75" x14ac:dyDescent="0.25">
      <c r="A38"/>
      <c r="B38" s="289"/>
      <c r="C38" s="368"/>
      <c r="D38" s="369"/>
      <c r="E38" s="369"/>
      <c r="F38" s="370"/>
      <c r="G38" s="365"/>
      <c r="H38" s="366"/>
      <c r="I38" s="366"/>
      <c r="J38" s="367"/>
      <c r="K38" s="421"/>
      <c r="L38" s="421"/>
      <c r="M38" s="421"/>
      <c r="N38" s="422"/>
    </row>
    <row r="39" spans="1:14" s="10" customFormat="1" ht="15.75" x14ac:dyDescent="0.25">
      <c r="A39"/>
      <c r="B39" s="290" t="s">
        <v>47</v>
      </c>
      <c r="C39" s="146">
        <f>SUM(G39+K39)</f>
        <v>135223</v>
      </c>
      <c r="D39" s="136">
        <f>SUM(H39+L39)</f>
        <v>9083</v>
      </c>
      <c r="E39" s="136">
        <f>SUM(I39+M39)</f>
        <v>475985</v>
      </c>
      <c r="F39" s="150">
        <f>SUM(J39+N39)</f>
        <v>31972</v>
      </c>
      <c r="G39" s="146">
        <f>ROUND(SUMIF(ProductList!$C$4:$C$493,G16,ProductList!$AQ$4:$AQ$493),0)</f>
        <v>135223</v>
      </c>
      <c r="H39" s="136">
        <f>ROUND(J39/$C$9,0)</f>
        <v>9083</v>
      </c>
      <c r="I39" s="136">
        <f>ROUND(SUMIF(ProductList!$C$4:$C$493,G16,ProductList!$AH$4:$AH$493),0)</f>
        <v>475985</v>
      </c>
      <c r="J39" s="283">
        <v>31972</v>
      </c>
      <c r="K39" s="144">
        <f>ROUND(SUMIF(ProductList!$C$5:$C$493,K16,ProductList!$AQ$5:$AQ$493),0)</f>
        <v>0</v>
      </c>
      <c r="L39" s="167"/>
      <c r="M39" s="146">
        <f>ROUND(SUMIF(ProductList!$C$5:$C$493,K16,ProductList!$AH$5:$AH$493),0)</f>
        <v>0</v>
      </c>
      <c r="N39" s="168"/>
    </row>
    <row r="40" spans="1:14" s="10" customFormat="1" ht="15.75" x14ac:dyDescent="0.25">
      <c r="A40"/>
      <c r="B40" s="290" t="s">
        <v>48</v>
      </c>
      <c r="C40" s="146">
        <f>G40+K40</f>
        <v>0</v>
      </c>
      <c r="D40" s="136">
        <f ca="1">H40+L40</f>
        <v>8884</v>
      </c>
      <c r="E40" s="136">
        <f>I40+M40</f>
        <v>0</v>
      </c>
      <c r="F40" s="150">
        <f ca="1">J40+N40</f>
        <v>31270</v>
      </c>
      <c r="G40" s="146">
        <v>0</v>
      </c>
      <c r="H40" s="136">
        <f>ROUND(J40/$C$9,0)</f>
        <v>8884</v>
      </c>
      <c r="I40" s="136">
        <v>0</v>
      </c>
      <c r="J40" s="145">
        <v>31270</v>
      </c>
      <c r="K40" s="144">
        <v>0</v>
      </c>
      <c r="L40" s="136">
        <f ca="1">ROUND(N40/$C$9,0)</f>
        <v>0</v>
      </c>
      <c r="M40" s="136">
        <v>0</v>
      </c>
      <c r="N40" s="145">
        <f ca="1">ROUND(SUM(INDIRECT("'P_"&amp;K16&amp;"'!$R$5:$R$494")),0)</f>
        <v>0</v>
      </c>
    </row>
    <row r="41" spans="1:14" s="10" customFormat="1" ht="15.75" x14ac:dyDescent="0.25">
      <c r="A41"/>
      <c r="B41" s="290" t="s">
        <v>268</v>
      </c>
      <c r="C41" s="146">
        <v>0</v>
      </c>
      <c r="D41" s="136">
        <f ca="1">H41+L41</f>
        <v>0</v>
      </c>
      <c r="E41" s="136">
        <v>0</v>
      </c>
      <c r="F41" s="150">
        <f ca="1">J41+N41</f>
        <v>0</v>
      </c>
      <c r="G41" s="146">
        <v>0</v>
      </c>
      <c r="H41" s="136">
        <f ca="1">ROUND(J41/$C$9,0)</f>
        <v>0</v>
      </c>
      <c r="I41" s="136">
        <v>0</v>
      </c>
      <c r="J41" s="145">
        <f ca="1">ROUND(SUM(INDIRECT("'P_"&amp;G$16&amp;"'!$n$5:$n$494")),0)</f>
        <v>0</v>
      </c>
      <c r="K41" s="144">
        <v>0</v>
      </c>
      <c r="L41" s="136">
        <v>0</v>
      </c>
      <c r="M41" s="136">
        <v>0</v>
      </c>
      <c r="N41" s="145">
        <v>0</v>
      </c>
    </row>
    <row r="42" spans="1:14" s="10" customFormat="1" ht="15.75" x14ac:dyDescent="0.25">
      <c r="A42"/>
      <c r="B42" s="293" t="s">
        <v>36</v>
      </c>
      <c r="C42" s="205">
        <f t="shared" ref="C42:N42" si="8">SUM(C39:C41)</f>
        <v>135223</v>
      </c>
      <c r="D42" s="206">
        <f t="shared" ca="1" si="8"/>
        <v>17967</v>
      </c>
      <c r="E42" s="206">
        <f t="shared" si="8"/>
        <v>475985</v>
      </c>
      <c r="F42" s="219">
        <f t="shared" ca="1" si="8"/>
        <v>63242</v>
      </c>
      <c r="G42" s="205">
        <f t="shared" si="8"/>
        <v>135223</v>
      </c>
      <c r="H42" s="206">
        <f t="shared" ca="1" si="8"/>
        <v>17967</v>
      </c>
      <c r="I42" s="206">
        <f t="shared" si="8"/>
        <v>475985</v>
      </c>
      <c r="J42" s="207">
        <f t="shared" ca="1" si="8"/>
        <v>63242</v>
      </c>
      <c r="K42" s="208">
        <f t="shared" si="8"/>
        <v>0</v>
      </c>
      <c r="L42" s="206">
        <f t="shared" ca="1" si="8"/>
        <v>0</v>
      </c>
      <c r="M42" s="206">
        <f t="shared" si="8"/>
        <v>0</v>
      </c>
      <c r="N42" s="207">
        <f t="shared" ca="1" si="8"/>
        <v>0</v>
      </c>
    </row>
    <row r="43" spans="1:14" s="10" customFormat="1" ht="18.75" x14ac:dyDescent="0.25">
      <c r="A43"/>
      <c r="B43" s="291" t="s">
        <v>46</v>
      </c>
      <c r="C43" s="239">
        <f ca="1">C35-C42</f>
        <v>920380</v>
      </c>
      <c r="D43" s="239">
        <f ca="1">D35-D42</f>
        <v>1076615</v>
      </c>
      <c r="E43" s="239">
        <f ca="1">E35-E42</f>
        <v>3239739</v>
      </c>
      <c r="F43" s="285">
        <f t="shared" ref="F43:N43" ca="1" si="9">F35-F42</f>
        <v>3789687</v>
      </c>
      <c r="G43" s="286">
        <f t="shared" ca="1" si="9"/>
        <v>920380</v>
      </c>
      <c r="H43" s="239">
        <f t="shared" ca="1" si="9"/>
        <v>1076615</v>
      </c>
      <c r="I43" s="239">
        <f t="shared" ca="1" si="9"/>
        <v>3239739</v>
      </c>
      <c r="J43" s="287">
        <f t="shared" ca="1" si="9"/>
        <v>3789687</v>
      </c>
      <c r="K43" s="288">
        <f t="shared" ca="1" si="9"/>
        <v>0</v>
      </c>
      <c r="L43" s="239">
        <f t="shared" ca="1" si="9"/>
        <v>0</v>
      </c>
      <c r="M43" s="239">
        <f t="shared" ca="1" si="9"/>
        <v>0</v>
      </c>
      <c r="N43" s="287">
        <f t="shared" ca="1" si="9"/>
        <v>0</v>
      </c>
    </row>
    <row r="44" spans="1:14" s="10" customFormat="1" ht="15.75" x14ac:dyDescent="0.25">
      <c r="A44"/>
      <c r="B44" s="425" t="s">
        <v>277</v>
      </c>
      <c r="C44" s="417" t="s">
        <v>34</v>
      </c>
      <c r="D44" s="418"/>
      <c r="E44" s="423" t="s">
        <v>250</v>
      </c>
      <c r="F44" s="424"/>
      <c r="G44" s="417" t="s">
        <v>34</v>
      </c>
      <c r="H44" s="418"/>
      <c r="I44" s="423" t="s">
        <v>250</v>
      </c>
      <c r="J44" s="424"/>
      <c r="K44" s="417" t="s">
        <v>34</v>
      </c>
      <c r="L44" s="418"/>
      <c r="M44" s="423" t="s">
        <v>250</v>
      </c>
      <c r="N44" s="424"/>
    </row>
    <row r="45" spans="1:14" s="10" customFormat="1" ht="19.5" thickBot="1" x14ac:dyDescent="0.3">
      <c r="A45"/>
      <c r="B45" s="426"/>
      <c r="C45" s="403">
        <f ca="1">ROUND(C43/C32%,2)</f>
        <v>18.2</v>
      </c>
      <c r="D45" s="404"/>
      <c r="E45" s="404">
        <f ca="1">ROUND(D43/D32%,2)</f>
        <v>21.45</v>
      </c>
      <c r="F45" s="405"/>
      <c r="G45" s="403">
        <f ca="1">ROUND(G43/G32%,2)</f>
        <v>18.2</v>
      </c>
      <c r="H45" s="404"/>
      <c r="I45" s="404">
        <f ca="1">ROUND(H43/H32%,2)</f>
        <v>21.45</v>
      </c>
      <c r="J45" s="409"/>
      <c r="K45" s="410" t="e">
        <f ca="1">ROUND(K43/K32%,2)</f>
        <v>#DIV/0!</v>
      </c>
      <c r="L45" s="404"/>
      <c r="M45" s="404" t="e">
        <f ca="1">ROUND(L43/L32%,2)</f>
        <v>#DIV/0!</v>
      </c>
      <c r="N45" s="409"/>
    </row>
    <row r="46" spans="1:14" s="10" customFormat="1" ht="15.75" x14ac:dyDescent="0.25">
      <c r="A46"/>
      <c r="B46" s="296"/>
      <c r="C46" s="406"/>
      <c r="D46" s="407"/>
      <c r="E46" s="407"/>
      <c r="F46" s="408"/>
      <c r="G46" s="213"/>
      <c r="H46" s="211"/>
      <c r="I46" s="211"/>
      <c r="J46" s="212"/>
      <c r="K46" s="211"/>
      <c r="L46" s="211"/>
      <c r="M46" s="211"/>
      <c r="N46" s="212"/>
    </row>
    <row r="47" spans="1:14" s="10" customFormat="1" ht="15.75" x14ac:dyDescent="0.25">
      <c r="A47"/>
      <c r="B47" s="293" t="s">
        <v>37</v>
      </c>
      <c r="C47" s="162">
        <f ca="1">C35+C32-C42+C39</f>
        <v>6113257</v>
      </c>
      <c r="D47" s="161">
        <f ca="1">D35+D32-D42+D39</f>
        <v>6104372</v>
      </c>
      <c r="E47" s="161">
        <f ca="1">E35+E32-E42+E39</f>
        <v>15481458</v>
      </c>
      <c r="F47" s="224">
        <f ca="1">F35+F32-F42+F39</f>
        <v>21487390</v>
      </c>
      <c r="G47" s="205">
        <f t="shared" ref="G47:N47" ca="1" si="10">G35+G32-G42+G39</f>
        <v>6113256</v>
      </c>
      <c r="H47" s="206">
        <f t="shared" ca="1" si="10"/>
        <v>6104372</v>
      </c>
      <c r="I47" s="206">
        <f t="shared" ca="1" si="10"/>
        <v>21518660</v>
      </c>
      <c r="J47" s="207">
        <f t="shared" ca="1" si="10"/>
        <v>21487390</v>
      </c>
      <c r="K47" s="208">
        <f t="shared" ca="1" si="10"/>
        <v>0</v>
      </c>
      <c r="L47" s="206">
        <f t="shared" ca="1" si="10"/>
        <v>0</v>
      </c>
      <c r="M47" s="206">
        <f t="shared" ca="1" si="10"/>
        <v>0</v>
      </c>
      <c r="N47" s="207">
        <f t="shared" ca="1" si="10"/>
        <v>0</v>
      </c>
    </row>
    <row r="48" spans="1:14" s="10" customFormat="1" ht="15.75" x14ac:dyDescent="0.25">
      <c r="A48"/>
      <c r="B48" s="293" t="s">
        <v>27</v>
      </c>
      <c r="C48" s="166">
        <f t="shared" ref="C48:N48" ca="1" si="11">C47</f>
        <v>6113257</v>
      </c>
      <c r="D48" s="164">
        <f t="shared" ca="1" si="11"/>
        <v>6104372</v>
      </c>
      <c r="E48" s="164">
        <f t="shared" ca="1" si="11"/>
        <v>15481458</v>
      </c>
      <c r="F48" s="225">
        <f t="shared" ca="1" si="11"/>
        <v>21487390</v>
      </c>
      <c r="G48" s="205">
        <f t="shared" ca="1" si="11"/>
        <v>6113256</v>
      </c>
      <c r="H48" s="206">
        <f t="shared" ca="1" si="11"/>
        <v>6104372</v>
      </c>
      <c r="I48" s="206">
        <f t="shared" ca="1" si="11"/>
        <v>21518660</v>
      </c>
      <c r="J48" s="207">
        <f t="shared" ca="1" si="11"/>
        <v>21487390</v>
      </c>
      <c r="K48" s="163">
        <f t="shared" ca="1" si="11"/>
        <v>0</v>
      </c>
      <c r="L48" s="164">
        <f t="shared" ca="1" si="11"/>
        <v>0</v>
      </c>
      <c r="M48" s="164">
        <f t="shared" ca="1" si="11"/>
        <v>0</v>
      </c>
      <c r="N48" s="165">
        <f t="shared" ca="1" si="11"/>
        <v>0</v>
      </c>
    </row>
    <row r="49" spans="2:14" ht="18.75" x14ac:dyDescent="0.25">
      <c r="B49" s="293" t="s">
        <v>33</v>
      </c>
      <c r="C49" s="419">
        <f>SUM(H13:N13)</f>
        <v>0</v>
      </c>
      <c r="D49" s="420"/>
      <c r="E49" s="415">
        <f>SUM(H12:N12)</f>
        <v>0</v>
      </c>
      <c r="F49" s="416"/>
      <c r="G49" s="390"/>
      <c r="H49" s="388"/>
      <c r="I49" s="388"/>
      <c r="J49" s="391"/>
      <c r="K49" s="388"/>
      <c r="L49" s="388"/>
      <c r="M49" s="388"/>
      <c r="N49" s="391"/>
    </row>
    <row r="50" spans="2:14" ht="19.5" thickBot="1" x14ac:dyDescent="0.3">
      <c r="B50" s="298" t="s">
        <v>23</v>
      </c>
      <c r="C50" s="411">
        <f ca="1">D48+C49</f>
        <v>6104372</v>
      </c>
      <c r="D50" s="412"/>
      <c r="E50" s="413">
        <f ca="1">F48+E49</f>
        <v>21487390</v>
      </c>
      <c r="F50" s="414"/>
      <c r="G50" s="400"/>
      <c r="H50" s="401"/>
      <c r="I50" s="401"/>
      <c r="J50" s="402"/>
      <c r="K50" s="401"/>
      <c r="L50" s="401"/>
      <c r="M50" s="401"/>
      <c r="N50" s="402"/>
    </row>
  </sheetData>
  <mergeCells count="43">
    <mergeCell ref="M44:N44"/>
    <mergeCell ref="B44:B45"/>
    <mergeCell ref="C44:D44"/>
    <mergeCell ref="E44:F44"/>
    <mergeCell ref="G44:H44"/>
    <mergeCell ref="I44:J44"/>
    <mergeCell ref="G49:J50"/>
    <mergeCell ref="K49:N50"/>
    <mergeCell ref="C26:F26"/>
    <mergeCell ref="C45:D45"/>
    <mergeCell ref="E45:F45"/>
    <mergeCell ref="C46:F46"/>
    <mergeCell ref="G45:H45"/>
    <mergeCell ref="I45:J45"/>
    <mergeCell ref="K45:L45"/>
    <mergeCell ref="M45:N45"/>
    <mergeCell ref="C50:D50"/>
    <mergeCell ref="E50:F50"/>
    <mergeCell ref="E49:F49"/>
    <mergeCell ref="K44:L44"/>
    <mergeCell ref="C49:D49"/>
    <mergeCell ref="K38:N38"/>
    <mergeCell ref="G25:J26"/>
    <mergeCell ref="K25:N26"/>
    <mergeCell ref="G34:J34"/>
    <mergeCell ref="C34:F34"/>
    <mergeCell ref="K34:N34"/>
    <mergeCell ref="F9:F14"/>
    <mergeCell ref="C22:F22"/>
    <mergeCell ref="B2:N3"/>
    <mergeCell ref="G38:J38"/>
    <mergeCell ref="C38:F38"/>
    <mergeCell ref="K16:N16"/>
    <mergeCell ref="K17:L17"/>
    <mergeCell ref="M17:N17"/>
    <mergeCell ref="C25:F25"/>
    <mergeCell ref="C17:D17"/>
    <mergeCell ref="E17:F17"/>
    <mergeCell ref="C16:F16"/>
    <mergeCell ref="G16:J16"/>
    <mergeCell ref="G17:H17"/>
    <mergeCell ref="I17:J17"/>
    <mergeCell ref="B16:B18"/>
  </mergeCells>
  <conditionalFormatting sqref="C45:N45">
    <cfRule type="cellIs" dxfId="18" priority="1" operator="between">
      <formula>0</formula>
      <formula>5</formula>
    </cfRule>
    <cfRule type="cellIs" dxfId="17" priority="2" operator="greaterThan">
      <formula>5</formula>
    </cfRule>
    <cfRule type="cellIs" dxfId="16" priority="3" operator="lessThan">
      <formula>0</formula>
    </cfRule>
  </conditionalFormatting>
  <pageMargins left="0.25" right="0.25" top="0.25" bottom="0.25" header="0" footer="0"/>
  <pageSetup paperSize="9"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05FE-D1C0-4D47-8FA8-D579F6D31AAD}">
  <dimension ref="B2:N134"/>
  <sheetViews>
    <sheetView zoomScale="115" zoomScaleNormal="115" workbookViewId="0">
      <selection activeCell="H3" sqref="H3:H12"/>
    </sheetView>
  </sheetViews>
  <sheetFormatPr defaultRowHeight="15" x14ac:dyDescent="0.25"/>
  <cols>
    <col min="3" max="3" width="51.140625" bestFit="1" customWidth="1"/>
    <col min="10" max="10" width="9.140625" style="319"/>
  </cols>
  <sheetData>
    <row r="2" spans="2:14" ht="47.25" x14ac:dyDescent="0.25">
      <c r="J2" s="318" t="s">
        <v>13</v>
      </c>
      <c r="K2" s="26" t="s">
        <v>18</v>
      </c>
      <c r="L2" s="26" t="s">
        <v>9</v>
      </c>
      <c r="M2" s="26" t="s">
        <v>8</v>
      </c>
      <c r="N2" s="26" t="s">
        <v>80</v>
      </c>
    </row>
    <row r="3" spans="2:14" x14ac:dyDescent="0.25">
      <c r="B3" s="308">
        <v>1</v>
      </c>
      <c r="C3" s="338" t="s">
        <v>505</v>
      </c>
      <c r="D3" s="327" t="s">
        <v>128</v>
      </c>
      <c r="E3" s="339">
        <v>400</v>
      </c>
      <c r="F3" s="310" t="s">
        <v>216</v>
      </c>
      <c r="G3" s="311">
        <v>0.22</v>
      </c>
      <c r="H3" s="312">
        <v>88</v>
      </c>
      <c r="I3" s="332">
        <v>10</v>
      </c>
      <c r="J3" s="319">
        <v>140.6</v>
      </c>
      <c r="K3">
        <f>I3</f>
        <v>10</v>
      </c>
      <c r="L3">
        <f t="shared" ref="L3:L66" si="0">IF(AND(B3&lt;&gt;"",I3=0),E3,IF(F3="KGS",(E3*1000)/(K3*J3),E3/K3))</f>
        <v>40</v>
      </c>
    </row>
    <row r="4" spans="2:14" x14ac:dyDescent="0.25">
      <c r="B4" s="308">
        <v>2</v>
      </c>
      <c r="C4" s="337" t="s">
        <v>506</v>
      </c>
      <c r="D4" s="327" t="s">
        <v>128</v>
      </c>
      <c r="E4" s="339">
        <v>600</v>
      </c>
      <c r="F4" s="310" t="s">
        <v>216</v>
      </c>
      <c r="G4" s="311">
        <v>0.44</v>
      </c>
      <c r="H4" s="312">
        <v>264</v>
      </c>
      <c r="I4" s="332">
        <v>10</v>
      </c>
      <c r="J4" s="319">
        <v>150</v>
      </c>
      <c r="K4">
        <f t="shared" ref="K4:K67" si="1">I4</f>
        <v>10</v>
      </c>
      <c r="L4">
        <f t="shared" si="0"/>
        <v>60</v>
      </c>
    </row>
    <row r="5" spans="2:14" x14ac:dyDescent="0.25">
      <c r="B5" s="308">
        <v>3</v>
      </c>
      <c r="C5" s="337" t="s">
        <v>507</v>
      </c>
      <c r="D5" s="327" t="s">
        <v>128</v>
      </c>
      <c r="E5" s="339">
        <v>450</v>
      </c>
      <c r="F5" s="310" t="s">
        <v>216</v>
      </c>
      <c r="G5" s="311">
        <v>0.09</v>
      </c>
      <c r="H5" s="312">
        <v>40.5</v>
      </c>
      <c r="I5" s="332">
        <v>5</v>
      </c>
      <c r="J5" s="319">
        <v>60</v>
      </c>
      <c r="K5">
        <f t="shared" si="1"/>
        <v>5</v>
      </c>
      <c r="L5">
        <f t="shared" si="0"/>
        <v>90</v>
      </c>
    </row>
    <row r="6" spans="2:14" x14ac:dyDescent="0.25">
      <c r="B6" s="308">
        <v>4</v>
      </c>
      <c r="C6" s="334" t="s">
        <v>508</v>
      </c>
      <c r="D6" s="327" t="s">
        <v>128</v>
      </c>
      <c r="E6" s="339">
        <v>1200</v>
      </c>
      <c r="F6" s="310" t="s">
        <v>216</v>
      </c>
      <c r="G6" s="311">
        <v>0.18</v>
      </c>
      <c r="H6" s="312">
        <v>216</v>
      </c>
      <c r="I6" s="340">
        <v>20</v>
      </c>
      <c r="J6" s="319">
        <v>82.7</v>
      </c>
      <c r="K6">
        <f t="shared" si="1"/>
        <v>20</v>
      </c>
      <c r="L6">
        <f t="shared" si="0"/>
        <v>60</v>
      </c>
    </row>
    <row r="7" spans="2:14" x14ac:dyDescent="0.25">
      <c r="B7" s="308">
        <v>5</v>
      </c>
      <c r="C7" s="338" t="s">
        <v>509</v>
      </c>
      <c r="D7" s="327" t="s">
        <v>128</v>
      </c>
      <c r="E7" s="339">
        <v>1200</v>
      </c>
      <c r="F7" s="310" t="s">
        <v>216</v>
      </c>
      <c r="G7" s="311">
        <v>0.22</v>
      </c>
      <c r="H7" s="312">
        <v>264</v>
      </c>
      <c r="I7" s="340">
        <v>20</v>
      </c>
      <c r="J7" s="319">
        <v>112.7</v>
      </c>
      <c r="K7">
        <f t="shared" si="1"/>
        <v>20</v>
      </c>
      <c r="L7">
        <f t="shared" si="0"/>
        <v>60</v>
      </c>
    </row>
    <row r="8" spans="2:14" x14ac:dyDescent="0.25">
      <c r="B8" s="308">
        <v>6</v>
      </c>
      <c r="C8" s="334" t="s">
        <v>510</v>
      </c>
      <c r="D8" s="327" t="s">
        <v>128</v>
      </c>
      <c r="E8" s="339">
        <v>2400</v>
      </c>
      <c r="F8" s="310" t="s">
        <v>216</v>
      </c>
      <c r="G8" s="311">
        <v>0.32</v>
      </c>
      <c r="H8" s="312">
        <v>768</v>
      </c>
      <c r="I8" s="340">
        <v>20</v>
      </c>
      <c r="J8" s="319">
        <v>69</v>
      </c>
      <c r="K8">
        <f t="shared" si="1"/>
        <v>20</v>
      </c>
      <c r="L8">
        <f t="shared" si="0"/>
        <v>120</v>
      </c>
    </row>
    <row r="9" spans="2:14" x14ac:dyDescent="0.25">
      <c r="B9" s="308">
        <v>7</v>
      </c>
      <c r="C9" s="334" t="s">
        <v>512</v>
      </c>
      <c r="D9" s="327" t="s">
        <v>128</v>
      </c>
      <c r="E9" s="339">
        <v>300</v>
      </c>
      <c r="F9" s="310" t="s">
        <v>216</v>
      </c>
      <c r="G9" s="311">
        <v>0.36</v>
      </c>
      <c r="H9" s="312">
        <v>108</v>
      </c>
      <c r="I9" s="340">
        <v>5</v>
      </c>
      <c r="J9" s="319">
        <v>144</v>
      </c>
      <c r="K9">
        <f t="shared" si="1"/>
        <v>5</v>
      </c>
      <c r="L9">
        <f t="shared" si="0"/>
        <v>60</v>
      </c>
    </row>
    <row r="10" spans="2:14" x14ac:dyDescent="0.25">
      <c r="B10" s="308">
        <v>8</v>
      </c>
      <c r="C10" s="334" t="s">
        <v>513</v>
      </c>
      <c r="D10" s="327" t="s">
        <v>128</v>
      </c>
      <c r="E10" s="339">
        <v>300</v>
      </c>
      <c r="F10" s="310" t="s">
        <v>216</v>
      </c>
      <c r="G10" s="311">
        <v>0.36</v>
      </c>
      <c r="H10" s="312">
        <v>108</v>
      </c>
      <c r="I10" s="340">
        <v>5</v>
      </c>
      <c r="J10" s="319">
        <v>144</v>
      </c>
      <c r="K10">
        <f t="shared" si="1"/>
        <v>5</v>
      </c>
      <c r="L10">
        <f t="shared" si="0"/>
        <v>60</v>
      </c>
    </row>
    <row r="11" spans="2:14" x14ac:dyDescent="0.25">
      <c r="B11" s="308">
        <v>9</v>
      </c>
      <c r="C11" s="334" t="s">
        <v>511</v>
      </c>
      <c r="D11" s="327" t="s">
        <v>128</v>
      </c>
      <c r="E11" s="339">
        <v>480</v>
      </c>
      <c r="F11" s="310" t="s">
        <v>216</v>
      </c>
      <c r="G11" s="311">
        <v>0.28000000000000003</v>
      </c>
      <c r="H11" s="312">
        <v>134.4</v>
      </c>
      <c r="I11" s="340">
        <v>8</v>
      </c>
      <c r="J11" s="319">
        <v>116.9</v>
      </c>
      <c r="K11">
        <f t="shared" si="1"/>
        <v>8</v>
      </c>
      <c r="L11">
        <f t="shared" si="0"/>
        <v>60</v>
      </c>
    </row>
    <row r="12" spans="2:14" x14ac:dyDescent="0.25">
      <c r="B12" s="308">
        <v>10</v>
      </c>
      <c r="C12" s="334" t="s">
        <v>502</v>
      </c>
      <c r="D12" s="327" t="s">
        <v>128</v>
      </c>
      <c r="E12" s="339">
        <v>240</v>
      </c>
      <c r="F12" s="310" t="s">
        <v>216</v>
      </c>
      <c r="G12" s="311">
        <v>0.18</v>
      </c>
      <c r="H12" s="312">
        <v>43.199999999999996</v>
      </c>
      <c r="I12" s="340">
        <v>4</v>
      </c>
      <c r="J12" s="319">
        <v>150</v>
      </c>
      <c r="K12">
        <f t="shared" si="1"/>
        <v>4</v>
      </c>
      <c r="L12">
        <f t="shared" si="0"/>
        <v>60</v>
      </c>
    </row>
    <row r="13" spans="2:14" x14ac:dyDescent="0.25">
      <c r="B13" s="308">
        <v>11</v>
      </c>
      <c r="C13" s="334"/>
      <c r="D13" s="328"/>
      <c r="E13" s="339"/>
      <c r="F13" s="310"/>
      <c r="G13" s="311"/>
      <c r="H13" s="312"/>
      <c r="I13" s="340"/>
      <c r="K13">
        <f t="shared" si="1"/>
        <v>0</v>
      </c>
      <c r="L13">
        <f t="shared" si="0"/>
        <v>0</v>
      </c>
    </row>
    <row r="14" spans="2:14" x14ac:dyDescent="0.25">
      <c r="B14" s="308">
        <v>12</v>
      </c>
      <c r="C14" s="337"/>
      <c r="D14" s="328"/>
      <c r="E14" s="339"/>
      <c r="F14" s="310"/>
      <c r="G14" s="311"/>
      <c r="H14" s="312"/>
      <c r="I14" s="340"/>
      <c r="K14">
        <f t="shared" si="1"/>
        <v>0</v>
      </c>
      <c r="L14">
        <f t="shared" si="0"/>
        <v>0</v>
      </c>
    </row>
    <row r="15" spans="2:14" x14ac:dyDescent="0.25">
      <c r="B15" s="308">
        <v>13</v>
      </c>
      <c r="C15" s="336"/>
      <c r="D15" s="328"/>
      <c r="E15" s="339"/>
      <c r="F15" s="310"/>
      <c r="G15" s="311"/>
      <c r="H15" s="312"/>
      <c r="I15" s="340"/>
      <c r="K15">
        <f t="shared" si="1"/>
        <v>0</v>
      </c>
      <c r="L15">
        <f t="shared" si="0"/>
        <v>0</v>
      </c>
    </row>
    <row r="16" spans="2:14" x14ac:dyDescent="0.25">
      <c r="B16" s="308">
        <v>14</v>
      </c>
      <c r="C16" s="337"/>
      <c r="D16" s="328"/>
      <c r="E16" s="339"/>
      <c r="F16" s="310"/>
      <c r="G16" s="311"/>
      <c r="H16" s="312"/>
      <c r="I16" s="340"/>
      <c r="K16">
        <f t="shared" si="1"/>
        <v>0</v>
      </c>
      <c r="L16">
        <f t="shared" si="0"/>
        <v>0</v>
      </c>
    </row>
    <row r="17" spans="2:12" x14ac:dyDescent="0.25">
      <c r="B17" s="308">
        <v>15</v>
      </c>
      <c r="C17" s="337"/>
      <c r="D17" s="328"/>
      <c r="E17" s="339"/>
      <c r="F17" s="310"/>
      <c r="G17" s="311"/>
      <c r="H17" s="312"/>
      <c r="I17" s="340"/>
      <c r="K17">
        <f t="shared" si="1"/>
        <v>0</v>
      </c>
      <c r="L17">
        <f t="shared" si="0"/>
        <v>0</v>
      </c>
    </row>
    <row r="18" spans="2:12" s="321" customFormat="1" x14ac:dyDescent="0.25">
      <c r="B18" s="322">
        <v>16</v>
      </c>
      <c r="C18" s="337"/>
      <c r="D18" s="328"/>
      <c r="E18" s="339"/>
      <c r="F18" s="310"/>
      <c r="G18" s="323"/>
      <c r="H18" s="324"/>
      <c r="I18" s="340"/>
      <c r="J18" s="325"/>
      <c r="K18" s="321">
        <f t="shared" si="1"/>
        <v>0</v>
      </c>
      <c r="L18" s="321">
        <f t="shared" si="0"/>
        <v>0</v>
      </c>
    </row>
    <row r="19" spans="2:12" x14ac:dyDescent="0.25">
      <c r="B19" s="308">
        <v>17</v>
      </c>
      <c r="C19" s="337"/>
      <c r="D19" s="328"/>
      <c r="E19" s="339"/>
      <c r="F19" s="310"/>
      <c r="G19" s="315"/>
      <c r="H19" s="312"/>
      <c r="I19" s="340"/>
      <c r="K19">
        <f t="shared" si="1"/>
        <v>0</v>
      </c>
      <c r="L19">
        <f t="shared" si="0"/>
        <v>0</v>
      </c>
    </row>
    <row r="20" spans="2:12" x14ac:dyDescent="0.25">
      <c r="B20" s="308">
        <v>18</v>
      </c>
      <c r="C20" s="337"/>
      <c r="D20" s="327"/>
      <c r="E20" s="339"/>
      <c r="F20" s="310"/>
      <c r="G20" s="315"/>
      <c r="H20" s="312"/>
      <c r="I20" s="340"/>
      <c r="K20">
        <f t="shared" si="1"/>
        <v>0</v>
      </c>
      <c r="L20">
        <f t="shared" si="0"/>
        <v>0</v>
      </c>
    </row>
    <row r="21" spans="2:12" x14ac:dyDescent="0.25">
      <c r="B21" s="308">
        <v>19</v>
      </c>
      <c r="C21" s="337"/>
      <c r="D21" s="329"/>
      <c r="E21" s="339"/>
      <c r="F21" s="310"/>
      <c r="G21" s="315"/>
      <c r="H21" s="312"/>
      <c r="I21" s="340"/>
      <c r="K21">
        <f t="shared" si="1"/>
        <v>0</v>
      </c>
      <c r="L21">
        <f t="shared" si="0"/>
        <v>0</v>
      </c>
    </row>
    <row r="22" spans="2:12" x14ac:dyDescent="0.25">
      <c r="B22" s="308">
        <v>20</v>
      </c>
      <c r="C22" s="335"/>
      <c r="D22" s="329"/>
      <c r="E22" s="339"/>
      <c r="F22" s="310"/>
      <c r="G22" s="315"/>
      <c r="H22" s="312"/>
      <c r="I22" s="340"/>
      <c r="K22">
        <f t="shared" si="1"/>
        <v>0</v>
      </c>
      <c r="L22">
        <f t="shared" si="0"/>
        <v>0</v>
      </c>
    </row>
    <row r="23" spans="2:12" x14ac:dyDescent="0.25">
      <c r="B23" s="308">
        <v>21</v>
      </c>
      <c r="C23" s="335"/>
      <c r="D23" s="329"/>
      <c r="E23" s="339"/>
      <c r="F23" s="310"/>
      <c r="G23" s="315"/>
      <c r="H23" s="312"/>
      <c r="I23" s="340"/>
      <c r="K23">
        <f t="shared" si="1"/>
        <v>0</v>
      </c>
      <c r="L23">
        <f t="shared" si="0"/>
        <v>0</v>
      </c>
    </row>
    <row r="24" spans="2:12" x14ac:dyDescent="0.25">
      <c r="B24" s="308">
        <v>22</v>
      </c>
      <c r="C24" s="335"/>
      <c r="D24" s="329"/>
      <c r="E24" s="339"/>
      <c r="F24" s="310"/>
      <c r="G24" s="315"/>
      <c r="H24" s="312"/>
      <c r="I24" s="340"/>
      <c r="K24">
        <f t="shared" si="1"/>
        <v>0</v>
      </c>
      <c r="L24">
        <f t="shared" si="0"/>
        <v>0</v>
      </c>
    </row>
    <row r="25" spans="2:12" x14ac:dyDescent="0.25">
      <c r="B25" s="308">
        <v>23</v>
      </c>
      <c r="C25" s="335"/>
      <c r="D25" s="329"/>
      <c r="E25" s="339"/>
      <c r="F25" s="310"/>
      <c r="G25" s="315"/>
      <c r="H25" s="312"/>
      <c r="I25" s="340"/>
      <c r="K25">
        <f t="shared" si="1"/>
        <v>0</v>
      </c>
      <c r="L25">
        <f t="shared" si="0"/>
        <v>0</v>
      </c>
    </row>
    <row r="26" spans="2:12" x14ac:dyDescent="0.25">
      <c r="B26" s="308">
        <v>24</v>
      </c>
      <c r="C26" s="335"/>
      <c r="D26" s="328"/>
      <c r="E26" s="339"/>
      <c r="F26" s="310"/>
      <c r="G26" s="315"/>
      <c r="H26" s="312"/>
      <c r="I26" s="340"/>
      <c r="K26">
        <f t="shared" si="1"/>
        <v>0</v>
      </c>
      <c r="L26">
        <f t="shared" si="0"/>
        <v>0</v>
      </c>
    </row>
    <row r="27" spans="2:12" x14ac:dyDescent="0.25">
      <c r="B27" s="308">
        <v>25</v>
      </c>
      <c r="C27" s="335"/>
      <c r="D27" s="328"/>
      <c r="E27" s="339"/>
      <c r="F27" s="310"/>
      <c r="G27" s="315"/>
      <c r="H27" s="312"/>
      <c r="I27" s="340"/>
      <c r="K27">
        <f t="shared" si="1"/>
        <v>0</v>
      </c>
      <c r="L27">
        <f t="shared" si="0"/>
        <v>0</v>
      </c>
    </row>
    <row r="28" spans="2:12" x14ac:dyDescent="0.25">
      <c r="B28" s="308">
        <v>26</v>
      </c>
      <c r="C28" s="335"/>
      <c r="D28" s="328"/>
      <c r="E28" s="339"/>
      <c r="F28" s="310"/>
      <c r="G28" s="315"/>
      <c r="H28" s="312"/>
      <c r="I28" s="340"/>
      <c r="K28">
        <f t="shared" si="1"/>
        <v>0</v>
      </c>
      <c r="L28">
        <f t="shared" si="0"/>
        <v>0</v>
      </c>
    </row>
    <row r="29" spans="2:12" x14ac:dyDescent="0.25">
      <c r="B29" s="308">
        <v>27</v>
      </c>
      <c r="C29" s="337"/>
      <c r="D29" s="328"/>
      <c r="E29" s="339"/>
      <c r="F29" s="310"/>
      <c r="G29" s="315"/>
      <c r="H29" s="312"/>
      <c r="I29" s="340"/>
      <c r="K29">
        <f t="shared" si="1"/>
        <v>0</v>
      </c>
      <c r="L29">
        <f t="shared" si="0"/>
        <v>0</v>
      </c>
    </row>
    <row r="30" spans="2:12" x14ac:dyDescent="0.25">
      <c r="B30" s="308">
        <v>28</v>
      </c>
      <c r="C30" s="336"/>
      <c r="D30" s="328"/>
      <c r="E30" s="339"/>
      <c r="F30" s="310"/>
      <c r="G30" s="315"/>
      <c r="H30" s="312"/>
      <c r="I30" s="340"/>
      <c r="K30">
        <f t="shared" si="1"/>
        <v>0</v>
      </c>
      <c r="L30">
        <f t="shared" si="0"/>
        <v>0</v>
      </c>
    </row>
    <row r="31" spans="2:12" x14ac:dyDescent="0.25">
      <c r="B31" s="308">
        <v>29</v>
      </c>
      <c r="C31" s="336"/>
      <c r="D31" s="328"/>
      <c r="E31" s="339"/>
      <c r="F31" s="310"/>
      <c r="G31" s="315"/>
      <c r="H31" s="312"/>
      <c r="I31" s="340"/>
      <c r="K31">
        <f t="shared" si="1"/>
        <v>0</v>
      </c>
      <c r="L31">
        <f t="shared" si="0"/>
        <v>0</v>
      </c>
    </row>
    <row r="32" spans="2:12" x14ac:dyDescent="0.25">
      <c r="B32" s="308">
        <v>30</v>
      </c>
      <c r="C32" s="336"/>
      <c r="D32" s="328"/>
      <c r="E32" s="339"/>
      <c r="F32" s="310"/>
      <c r="G32" s="315"/>
      <c r="H32" s="312"/>
      <c r="I32" s="340"/>
      <c r="K32">
        <f t="shared" si="1"/>
        <v>0</v>
      </c>
      <c r="L32">
        <f t="shared" si="0"/>
        <v>0</v>
      </c>
    </row>
    <row r="33" spans="2:12" x14ac:dyDescent="0.25">
      <c r="B33" s="308">
        <v>31</v>
      </c>
      <c r="C33" s="336"/>
      <c r="D33" s="328"/>
      <c r="E33" s="339"/>
      <c r="F33" s="310"/>
      <c r="G33" s="315"/>
      <c r="H33" s="312"/>
      <c r="I33" s="340"/>
      <c r="K33">
        <f t="shared" si="1"/>
        <v>0</v>
      </c>
      <c r="L33">
        <f t="shared" si="0"/>
        <v>0</v>
      </c>
    </row>
    <row r="34" spans="2:12" x14ac:dyDescent="0.25">
      <c r="B34" s="308">
        <v>32</v>
      </c>
      <c r="C34" s="336"/>
      <c r="D34" s="328"/>
      <c r="E34" s="339"/>
      <c r="F34" s="310"/>
      <c r="G34" s="315"/>
      <c r="H34" s="312"/>
      <c r="I34" s="340"/>
      <c r="K34">
        <f t="shared" si="1"/>
        <v>0</v>
      </c>
      <c r="L34">
        <f t="shared" si="0"/>
        <v>0</v>
      </c>
    </row>
    <row r="35" spans="2:12" x14ac:dyDescent="0.25">
      <c r="B35" s="308">
        <v>33</v>
      </c>
      <c r="C35" s="336"/>
      <c r="D35" s="328"/>
      <c r="E35" s="339"/>
      <c r="F35" s="310"/>
      <c r="G35" s="315"/>
      <c r="H35" s="312"/>
      <c r="I35" s="340"/>
      <c r="K35">
        <f t="shared" si="1"/>
        <v>0</v>
      </c>
      <c r="L35">
        <f t="shared" si="0"/>
        <v>0</v>
      </c>
    </row>
    <row r="36" spans="2:12" x14ac:dyDescent="0.25">
      <c r="B36" s="308">
        <v>34</v>
      </c>
      <c r="C36" s="336"/>
      <c r="D36" s="328"/>
      <c r="E36" s="339"/>
      <c r="F36" s="310"/>
      <c r="G36" s="315"/>
      <c r="H36" s="312"/>
      <c r="I36" s="340"/>
      <c r="J36" s="320"/>
      <c r="K36">
        <f t="shared" si="1"/>
        <v>0</v>
      </c>
      <c r="L36">
        <f t="shared" si="0"/>
        <v>0</v>
      </c>
    </row>
    <row r="37" spans="2:12" x14ac:dyDescent="0.25">
      <c r="B37" s="308">
        <v>35</v>
      </c>
      <c r="C37" s="336"/>
      <c r="D37" s="330"/>
      <c r="E37" s="339"/>
      <c r="F37" s="310"/>
      <c r="G37" s="315"/>
      <c r="H37" s="312"/>
      <c r="I37" s="340"/>
      <c r="J37" s="320"/>
      <c r="K37">
        <f t="shared" si="1"/>
        <v>0</v>
      </c>
      <c r="L37">
        <f t="shared" si="0"/>
        <v>0</v>
      </c>
    </row>
    <row r="38" spans="2:12" x14ac:dyDescent="0.25">
      <c r="B38" s="308">
        <v>36</v>
      </c>
      <c r="C38" s="336"/>
      <c r="D38" s="330"/>
      <c r="E38" s="339"/>
      <c r="F38" s="310"/>
      <c r="G38" s="315"/>
      <c r="H38" s="312"/>
      <c r="I38" s="340"/>
      <c r="J38" s="320"/>
      <c r="K38">
        <f t="shared" si="1"/>
        <v>0</v>
      </c>
      <c r="L38">
        <f t="shared" si="0"/>
        <v>0</v>
      </c>
    </row>
    <row r="39" spans="2:12" x14ac:dyDescent="0.25">
      <c r="B39" s="308">
        <v>37</v>
      </c>
      <c r="C39" s="336"/>
      <c r="D39" s="330"/>
      <c r="E39" s="339"/>
      <c r="F39" s="310"/>
      <c r="G39" s="315"/>
      <c r="H39" s="312"/>
      <c r="I39" s="340"/>
      <c r="J39" s="320"/>
      <c r="K39">
        <f t="shared" si="1"/>
        <v>0</v>
      </c>
      <c r="L39">
        <f t="shared" si="0"/>
        <v>0</v>
      </c>
    </row>
    <row r="40" spans="2:12" x14ac:dyDescent="0.25">
      <c r="B40" s="308">
        <v>38</v>
      </c>
      <c r="C40" s="336"/>
      <c r="D40" s="330"/>
      <c r="E40" s="339"/>
      <c r="F40" s="310"/>
      <c r="G40" s="315"/>
      <c r="H40" s="312"/>
      <c r="I40" s="340"/>
      <c r="J40" s="320"/>
      <c r="K40">
        <f t="shared" si="1"/>
        <v>0</v>
      </c>
      <c r="L40">
        <f t="shared" si="0"/>
        <v>0</v>
      </c>
    </row>
    <row r="41" spans="2:12" x14ac:dyDescent="0.25">
      <c r="B41" s="308">
        <v>39</v>
      </c>
      <c r="C41" s="336"/>
      <c r="D41" s="328"/>
      <c r="E41" s="339"/>
      <c r="F41" s="310"/>
      <c r="G41" s="315"/>
      <c r="H41" s="312"/>
      <c r="I41" s="340"/>
      <c r="J41" s="320"/>
      <c r="K41">
        <f t="shared" si="1"/>
        <v>0</v>
      </c>
      <c r="L41">
        <f t="shared" si="0"/>
        <v>0</v>
      </c>
    </row>
    <row r="42" spans="2:12" x14ac:dyDescent="0.25">
      <c r="B42" s="308">
        <v>40</v>
      </c>
      <c r="C42" s="336"/>
      <c r="D42" s="328"/>
      <c r="E42" s="339"/>
      <c r="F42" s="310"/>
      <c r="G42" s="315"/>
      <c r="H42" s="312"/>
      <c r="I42" s="340"/>
      <c r="K42">
        <f t="shared" si="1"/>
        <v>0</v>
      </c>
      <c r="L42">
        <f t="shared" si="0"/>
        <v>0</v>
      </c>
    </row>
    <row r="43" spans="2:12" x14ac:dyDescent="0.25">
      <c r="B43" s="308">
        <v>41</v>
      </c>
      <c r="C43" s="337"/>
      <c r="D43" s="328"/>
      <c r="E43" s="339"/>
      <c r="F43" s="310"/>
      <c r="G43" s="315"/>
      <c r="H43" s="312"/>
      <c r="I43" s="340"/>
      <c r="K43">
        <f t="shared" si="1"/>
        <v>0</v>
      </c>
      <c r="L43">
        <f t="shared" si="0"/>
        <v>0</v>
      </c>
    </row>
    <row r="44" spans="2:12" x14ac:dyDescent="0.25">
      <c r="B44" s="308">
        <v>42</v>
      </c>
      <c r="C44" s="337"/>
      <c r="D44" s="331"/>
      <c r="E44" s="339"/>
      <c r="F44" s="310"/>
      <c r="G44" s="315"/>
      <c r="H44" s="312"/>
      <c r="I44" s="340"/>
      <c r="K44">
        <f t="shared" si="1"/>
        <v>0</v>
      </c>
      <c r="L44">
        <f t="shared" si="0"/>
        <v>0</v>
      </c>
    </row>
    <row r="45" spans="2:12" x14ac:dyDescent="0.25">
      <c r="B45" s="308">
        <v>43</v>
      </c>
      <c r="C45" s="337"/>
      <c r="D45" s="328"/>
      <c r="E45" s="339"/>
      <c r="F45" s="310"/>
      <c r="G45" s="311"/>
      <c r="H45" s="312"/>
      <c r="I45" s="340"/>
      <c r="K45">
        <f t="shared" si="1"/>
        <v>0</v>
      </c>
      <c r="L45">
        <f t="shared" si="0"/>
        <v>0</v>
      </c>
    </row>
    <row r="46" spans="2:12" x14ac:dyDescent="0.25">
      <c r="B46" s="308">
        <v>44</v>
      </c>
      <c r="C46" s="309"/>
      <c r="D46" s="328"/>
      <c r="E46" s="313"/>
      <c r="F46" s="310"/>
      <c r="G46" s="311"/>
      <c r="H46" s="312"/>
      <c r="I46" s="340"/>
      <c r="K46">
        <f t="shared" si="1"/>
        <v>0</v>
      </c>
      <c r="L46">
        <f t="shared" si="0"/>
        <v>0</v>
      </c>
    </row>
    <row r="47" spans="2:12" x14ac:dyDescent="0.25">
      <c r="B47" s="308">
        <v>45</v>
      </c>
      <c r="C47" s="309"/>
      <c r="D47" s="328"/>
      <c r="E47" s="313"/>
      <c r="F47" s="310"/>
      <c r="G47" s="311"/>
      <c r="H47" s="312"/>
      <c r="I47" s="332"/>
      <c r="K47">
        <f t="shared" si="1"/>
        <v>0</v>
      </c>
      <c r="L47">
        <f t="shared" si="0"/>
        <v>0</v>
      </c>
    </row>
    <row r="48" spans="2:12" x14ac:dyDescent="0.25">
      <c r="B48" s="308">
        <v>46</v>
      </c>
      <c r="C48" s="309"/>
      <c r="D48" s="328"/>
      <c r="E48" s="313"/>
      <c r="F48" s="310"/>
      <c r="G48" s="311"/>
      <c r="H48" s="312"/>
      <c r="I48" s="332"/>
      <c r="K48">
        <f t="shared" si="1"/>
        <v>0</v>
      </c>
      <c r="L48">
        <f t="shared" si="0"/>
        <v>0</v>
      </c>
    </row>
    <row r="49" spans="2:12" x14ac:dyDescent="0.25">
      <c r="B49" s="308">
        <v>47</v>
      </c>
      <c r="C49" s="309"/>
      <c r="D49" s="313"/>
      <c r="E49" s="313"/>
      <c r="F49" s="310"/>
      <c r="G49" s="311"/>
      <c r="H49" s="312"/>
      <c r="I49" s="310"/>
      <c r="K49">
        <f t="shared" si="1"/>
        <v>0</v>
      </c>
      <c r="L49">
        <f t="shared" si="0"/>
        <v>0</v>
      </c>
    </row>
    <row r="50" spans="2:12" x14ac:dyDescent="0.25">
      <c r="B50" s="308">
        <v>48</v>
      </c>
      <c r="C50" s="309"/>
      <c r="D50" s="313"/>
      <c r="E50" s="313"/>
      <c r="F50" s="310"/>
      <c r="G50" s="311"/>
      <c r="H50" s="312"/>
      <c r="I50" s="310"/>
      <c r="K50">
        <f t="shared" si="1"/>
        <v>0</v>
      </c>
      <c r="L50">
        <f t="shared" si="0"/>
        <v>0</v>
      </c>
    </row>
    <row r="51" spans="2:12" x14ac:dyDescent="0.25">
      <c r="B51" s="308">
        <v>49</v>
      </c>
      <c r="C51" s="309"/>
      <c r="D51" s="313"/>
      <c r="E51" s="313"/>
      <c r="F51" s="310"/>
      <c r="G51" s="311"/>
      <c r="H51" s="312"/>
      <c r="I51" s="310"/>
      <c r="K51">
        <f t="shared" si="1"/>
        <v>0</v>
      </c>
      <c r="L51">
        <f t="shared" si="0"/>
        <v>0</v>
      </c>
    </row>
    <row r="52" spans="2:12" x14ac:dyDescent="0.25">
      <c r="B52" s="308">
        <v>50</v>
      </c>
      <c r="C52" s="309"/>
      <c r="D52" s="313"/>
      <c r="E52" s="313"/>
      <c r="F52" s="310"/>
      <c r="G52" s="311"/>
      <c r="H52" s="312"/>
      <c r="I52" s="310"/>
      <c r="K52">
        <f t="shared" si="1"/>
        <v>0</v>
      </c>
      <c r="L52">
        <f t="shared" si="0"/>
        <v>0</v>
      </c>
    </row>
    <row r="53" spans="2:12" x14ac:dyDescent="0.25">
      <c r="B53" s="308">
        <v>51</v>
      </c>
      <c r="C53" s="309"/>
      <c r="D53" s="313"/>
      <c r="E53" s="313"/>
      <c r="F53" s="310"/>
      <c r="G53" s="311"/>
      <c r="H53" s="312"/>
      <c r="I53" s="310"/>
      <c r="K53">
        <f t="shared" si="1"/>
        <v>0</v>
      </c>
      <c r="L53">
        <f t="shared" si="0"/>
        <v>0</v>
      </c>
    </row>
    <row r="54" spans="2:12" x14ac:dyDescent="0.25">
      <c r="B54" s="308">
        <v>52</v>
      </c>
      <c r="C54" s="309"/>
      <c r="D54" s="313"/>
      <c r="E54" s="313"/>
      <c r="F54" s="310"/>
      <c r="G54" s="311"/>
      <c r="H54" s="312"/>
      <c r="I54" s="310"/>
      <c r="K54">
        <f t="shared" si="1"/>
        <v>0</v>
      </c>
      <c r="L54">
        <f t="shared" si="0"/>
        <v>0</v>
      </c>
    </row>
    <row r="55" spans="2:12" x14ac:dyDescent="0.25">
      <c r="B55" s="308">
        <v>53</v>
      </c>
      <c r="C55" s="309"/>
      <c r="D55" s="313"/>
      <c r="E55" s="313"/>
      <c r="F55" s="310"/>
      <c r="G55" s="311"/>
      <c r="H55" s="312"/>
      <c r="I55" s="310"/>
      <c r="K55">
        <f t="shared" si="1"/>
        <v>0</v>
      </c>
      <c r="L55">
        <f t="shared" si="0"/>
        <v>0</v>
      </c>
    </row>
    <row r="56" spans="2:12" x14ac:dyDescent="0.25">
      <c r="B56" s="308">
        <v>54</v>
      </c>
      <c r="C56" s="309"/>
      <c r="D56" s="313"/>
      <c r="E56" s="313"/>
      <c r="F56" s="310"/>
      <c r="G56" s="315"/>
      <c r="H56" s="312"/>
      <c r="I56" s="310"/>
      <c r="K56">
        <f t="shared" si="1"/>
        <v>0</v>
      </c>
      <c r="L56">
        <f t="shared" si="0"/>
        <v>0</v>
      </c>
    </row>
    <row r="57" spans="2:12" x14ac:dyDescent="0.25">
      <c r="B57" s="308">
        <v>55</v>
      </c>
      <c r="C57" s="309"/>
      <c r="D57" s="313"/>
      <c r="E57" s="313"/>
      <c r="F57" s="310"/>
      <c r="G57" s="315"/>
      <c r="H57" s="312"/>
      <c r="I57" s="310"/>
      <c r="K57">
        <f t="shared" si="1"/>
        <v>0</v>
      </c>
      <c r="L57">
        <f t="shared" si="0"/>
        <v>0</v>
      </c>
    </row>
    <row r="58" spans="2:12" x14ac:dyDescent="0.25">
      <c r="B58" s="308">
        <v>56</v>
      </c>
      <c r="C58" s="309"/>
      <c r="D58" s="313"/>
      <c r="E58" s="313"/>
      <c r="F58" s="310"/>
      <c r="G58" s="315"/>
      <c r="H58" s="312"/>
      <c r="I58" s="310"/>
      <c r="K58">
        <f t="shared" si="1"/>
        <v>0</v>
      </c>
      <c r="L58">
        <f t="shared" si="0"/>
        <v>0</v>
      </c>
    </row>
    <row r="59" spans="2:12" x14ac:dyDescent="0.25">
      <c r="B59" s="308">
        <v>57</v>
      </c>
      <c r="C59" s="309"/>
      <c r="D59" s="313"/>
      <c r="E59" s="313"/>
      <c r="F59" s="310"/>
      <c r="G59" s="311"/>
      <c r="H59" s="312"/>
      <c r="I59" s="310"/>
      <c r="K59">
        <f t="shared" si="1"/>
        <v>0</v>
      </c>
      <c r="L59">
        <f t="shared" si="0"/>
        <v>0</v>
      </c>
    </row>
    <row r="60" spans="2:12" x14ac:dyDescent="0.25">
      <c r="B60" s="308">
        <v>58</v>
      </c>
      <c r="C60" s="309"/>
      <c r="D60" s="313"/>
      <c r="E60" s="313"/>
      <c r="F60" s="310"/>
      <c r="G60" s="311"/>
      <c r="H60" s="312"/>
      <c r="I60" s="310"/>
      <c r="K60">
        <f t="shared" si="1"/>
        <v>0</v>
      </c>
      <c r="L60">
        <f t="shared" si="0"/>
        <v>0</v>
      </c>
    </row>
    <row r="61" spans="2:12" x14ac:dyDescent="0.25">
      <c r="B61" s="308">
        <v>59</v>
      </c>
      <c r="C61" s="309"/>
      <c r="D61" s="313"/>
      <c r="E61" s="313"/>
      <c r="F61" s="310"/>
      <c r="G61" s="311"/>
      <c r="H61" s="312"/>
      <c r="I61" s="310"/>
      <c r="K61">
        <f t="shared" si="1"/>
        <v>0</v>
      </c>
      <c r="L61">
        <f t="shared" si="0"/>
        <v>0</v>
      </c>
    </row>
    <row r="62" spans="2:12" x14ac:dyDescent="0.25">
      <c r="B62" s="308">
        <v>60</v>
      </c>
      <c r="C62" s="309"/>
      <c r="D62" s="313"/>
      <c r="E62" s="313"/>
      <c r="F62" s="310"/>
      <c r="G62" s="311"/>
      <c r="H62" s="312"/>
      <c r="I62" s="310"/>
      <c r="K62">
        <f t="shared" si="1"/>
        <v>0</v>
      </c>
      <c r="L62">
        <f t="shared" si="0"/>
        <v>0</v>
      </c>
    </row>
    <row r="63" spans="2:12" x14ac:dyDescent="0.25">
      <c r="B63" s="308">
        <v>61</v>
      </c>
      <c r="C63" s="309"/>
      <c r="D63" s="313"/>
      <c r="E63" s="313"/>
      <c r="F63" s="310"/>
      <c r="G63" s="315"/>
      <c r="H63" s="312"/>
      <c r="I63" s="310"/>
      <c r="K63">
        <f t="shared" si="1"/>
        <v>0</v>
      </c>
      <c r="L63">
        <f t="shared" si="0"/>
        <v>0</v>
      </c>
    </row>
    <row r="64" spans="2:12" x14ac:dyDescent="0.25">
      <c r="B64" s="308">
        <v>62</v>
      </c>
      <c r="C64" s="309"/>
      <c r="D64" s="313"/>
      <c r="E64" s="310"/>
      <c r="F64" s="310"/>
      <c r="G64" s="315"/>
      <c r="H64" s="312"/>
      <c r="I64" s="310"/>
      <c r="K64">
        <f t="shared" si="1"/>
        <v>0</v>
      </c>
      <c r="L64">
        <f t="shared" si="0"/>
        <v>0</v>
      </c>
    </row>
    <row r="65" spans="2:12" x14ac:dyDescent="0.25">
      <c r="B65" s="308">
        <v>63</v>
      </c>
      <c r="C65" s="309"/>
      <c r="D65" s="313"/>
      <c r="E65" s="310"/>
      <c r="F65" s="310"/>
      <c r="G65" s="315"/>
      <c r="H65" s="312"/>
      <c r="I65" s="310"/>
      <c r="K65">
        <f t="shared" si="1"/>
        <v>0</v>
      </c>
      <c r="L65">
        <f t="shared" si="0"/>
        <v>0</v>
      </c>
    </row>
    <row r="66" spans="2:12" x14ac:dyDescent="0.25">
      <c r="B66" s="308">
        <v>64</v>
      </c>
      <c r="C66" s="309"/>
      <c r="D66" s="313"/>
      <c r="E66" s="310"/>
      <c r="F66" s="310"/>
      <c r="G66" s="315"/>
      <c r="H66" s="312"/>
      <c r="I66" s="310"/>
      <c r="K66">
        <f t="shared" si="1"/>
        <v>0</v>
      </c>
      <c r="L66">
        <f t="shared" si="0"/>
        <v>0</v>
      </c>
    </row>
    <row r="67" spans="2:12" x14ac:dyDescent="0.25">
      <c r="B67" s="308">
        <v>65</v>
      </c>
      <c r="C67" s="309"/>
      <c r="D67" s="313"/>
      <c r="E67" s="310"/>
      <c r="F67" s="310"/>
      <c r="G67" s="315"/>
      <c r="H67" s="312"/>
      <c r="I67" s="310"/>
      <c r="K67">
        <f t="shared" si="1"/>
        <v>0</v>
      </c>
      <c r="L67">
        <f t="shared" ref="L67:L70" si="2">IF(AND(B67&lt;&gt;"",I67=0),E67,IF(F67="KGS",(E67*1000)/(K67*J67),E67/K67))</f>
        <v>0</v>
      </c>
    </row>
    <row r="68" spans="2:12" x14ac:dyDescent="0.25">
      <c r="B68" s="308">
        <v>66</v>
      </c>
      <c r="C68" s="309"/>
      <c r="D68" s="313"/>
      <c r="E68" s="316"/>
      <c r="F68" s="314"/>
      <c r="G68" s="315"/>
      <c r="H68" s="312"/>
      <c r="I68" s="310"/>
      <c r="K68">
        <f t="shared" ref="K68:K131" si="3">I68</f>
        <v>0</v>
      </c>
      <c r="L68">
        <f t="shared" si="2"/>
        <v>0</v>
      </c>
    </row>
    <row r="69" spans="2:12" x14ac:dyDescent="0.25">
      <c r="B69" s="308">
        <v>67</v>
      </c>
      <c r="C69" s="309"/>
      <c r="D69" s="313"/>
      <c r="E69" s="316"/>
      <c r="F69" s="314"/>
      <c r="G69" s="315"/>
      <c r="H69" s="312"/>
      <c r="I69" s="310"/>
      <c r="K69">
        <f t="shared" si="3"/>
        <v>0</v>
      </c>
      <c r="L69">
        <f t="shared" si="2"/>
        <v>0</v>
      </c>
    </row>
    <row r="70" spans="2:12" x14ac:dyDescent="0.25">
      <c r="B70" s="308">
        <v>68</v>
      </c>
      <c r="C70" s="309"/>
      <c r="D70" s="313"/>
      <c r="E70" s="316"/>
      <c r="F70" s="314"/>
      <c r="G70" s="315"/>
      <c r="H70" s="312"/>
      <c r="I70" s="310"/>
      <c r="K70">
        <f t="shared" si="3"/>
        <v>0</v>
      </c>
      <c r="L70">
        <f t="shared" si="2"/>
        <v>0</v>
      </c>
    </row>
    <row r="71" spans="2:12" x14ac:dyDescent="0.25">
      <c r="B71" s="308">
        <v>69</v>
      </c>
      <c r="C71" s="309"/>
      <c r="D71" s="313"/>
      <c r="E71" s="310"/>
      <c r="F71" s="310"/>
      <c r="G71" s="315"/>
      <c r="H71" s="312"/>
      <c r="I71" s="310"/>
      <c r="K71">
        <f t="shared" si="3"/>
        <v>0</v>
      </c>
      <c r="L71">
        <f>IF(AND(B71&lt;&gt;"",I71=0),E71,IF(F71="KGS",(E71*1000)/(K71*J71),E71/K71))</f>
        <v>0</v>
      </c>
    </row>
    <row r="72" spans="2:12" x14ac:dyDescent="0.25">
      <c r="B72" s="308">
        <v>70</v>
      </c>
      <c r="C72" s="309"/>
      <c r="D72" s="313"/>
      <c r="E72" s="310"/>
      <c r="F72" s="310"/>
      <c r="G72" s="315"/>
      <c r="H72" s="312"/>
      <c r="K72">
        <f t="shared" si="3"/>
        <v>0</v>
      </c>
      <c r="L72">
        <f>IF(AND(B72&lt;&gt;"",I72=0),E72,IF(F72="KGS",(E72*1000)/(K72*J72),E72/K72))</f>
        <v>0</v>
      </c>
    </row>
    <row r="73" spans="2:12" x14ac:dyDescent="0.25">
      <c r="B73" s="308">
        <v>71</v>
      </c>
      <c r="C73" s="309"/>
      <c r="D73" s="313"/>
      <c r="E73" s="310"/>
      <c r="F73" s="310"/>
      <c r="G73" s="315"/>
      <c r="H73" s="312"/>
      <c r="K73">
        <f t="shared" si="3"/>
        <v>0</v>
      </c>
      <c r="L73">
        <f t="shared" ref="L73:L134" si="4">IF(AND(B73&lt;&gt;"",I73=0),E73,IF(F73="KGS",(E73*1000)/(K73*J73),E73/K73))</f>
        <v>0</v>
      </c>
    </row>
    <row r="74" spans="2:12" x14ac:dyDescent="0.25">
      <c r="B74" s="308">
        <v>72</v>
      </c>
      <c r="C74" s="309"/>
      <c r="D74" s="313"/>
      <c r="E74" s="310"/>
      <c r="F74" s="310"/>
      <c r="G74" s="315"/>
      <c r="H74" s="312"/>
      <c r="I74" s="310"/>
      <c r="K74">
        <f t="shared" si="3"/>
        <v>0</v>
      </c>
      <c r="L74">
        <f t="shared" si="4"/>
        <v>0</v>
      </c>
    </row>
    <row r="75" spans="2:12" x14ac:dyDescent="0.25">
      <c r="B75" s="308">
        <v>73</v>
      </c>
      <c r="C75" s="309"/>
      <c r="D75" s="313"/>
      <c r="E75" s="310"/>
      <c r="F75" s="310"/>
      <c r="G75" s="315"/>
      <c r="H75" s="312"/>
      <c r="I75" s="310"/>
      <c r="K75">
        <f t="shared" si="3"/>
        <v>0</v>
      </c>
      <c r="L75">
        <f t="shared" si="4"/>
        <v>0</v>
      </c>
    </row>
    <row r="76" spans="2:12" x14ac:dyDescent="0.25">
      <c r="B76" s="308">
        <v>74</v>
      </c>
      <c r="C76" s="309"/>
      <c r="D76" s="313"/>
      <c r="E76" s="310"/>
      <c r="F76" s="310"/>
      <c r="G76" s="315"/>
      <c r="H76" s="312"/>
      <c r="K76">
        <f t="shared" si="3"/>
        <v>0</v>
      </c>
      <c r="L76">
        <f t="shared" si="4"/>
        <v>0</v>
      </c>
    </row>
    <row r="77" spans="2:12" x14ac:dyDescent="0.25">
      <c r="B77" s="308">
        <v>75</v>
      </c>
      <c r="C77" s="309"/>
      <c r="D77" s="313"/>
      <c r="E77" s="310"/>
      <c r="F77" s="310"/>
      <c r="G77" s="315"/>
      <c r="H77" s="312"/>
      <c r="K77">
        <f t="shared" si="3"/>
        <v>0</v>
      </c>
      <c r="L77">
        <f t="shared" si="4"/>
        <v>0</v>
      </c>
    </row>
    <row r="78" spans="2:12" x14ac:dyDescent="0.25">
      <c r="B78" s="308">
        <v>76</v>
      </c>
      <c r="C78" s="309"/>
      <c r="D78" s="313"/>
      <c r="E78" s="310"/>
      <c r="F78" s="310"/>
      <c r="G78" s="315"/>
      <c r="H78" s="312"/>
      <c r="K78">
        <f t="shared" si="3"/>
        <v>0</v>
      </c>
      <c r="L78">
        <f t="shared" si="4"/>
        <v>0</v>
      </c>
    </row>
    <row r="79" spans="2:12" x14ac:dyDescent="0.25">
      <c r="B79" s="308">
        <v>77</v>
      </c>
      <c r="C79" s="309"/>
      <c r="D79" s="313"/>
      <c r="E79" s="310"/>
      <c r="F79" s="310"/>
      <c r="G79" s="315"/>
      <c r="H79" s="312"/>
      <c r="K79">
        <f t="shared" si="3"/>
        <v>0</v>
      </c>
      <c r="L79">
        <f t="shared" si="4"/>
        <v>0</v>
      </c>
    </row>
    <row r="80" spans="2:12" x14ac:dyDescent="0.25">
      <c r="B80" s="308">
        <v>78</v>
      </c>
      <c r="C80" s="309"/>
      <c r="D80" s="313"/>
      <c r="E80" s="310"/>
      <c r="F80" s="310"/>
      <c r="G80" s="315"/>
      <c r="H80" s="312"/>
      <c r="I80" s="310"/>
      <c r="K80">
        <f t="shared" si="3"/>
        <v>0</v>
      </c>
      <c r="L80">
        <f t="shared" si="4"/>
        <v>0</v>
      </c>
    </row>
    <row r="81" spans="2:12" x14ac:dyDescent="0.25">
      <c r="B81" s="308">
        <v>79</v>
      </c>
      <c r="C81" s="309"/>
      <c r="D81" s="313"/>
      <c r="E81" s="310"/>
      <c r="F81" s="310"/>
      <c r="G81" s="315"/>
      <c r="H81" s="312"/>
      <c r="I81" s="310"/>
      <c r="K81">
        <f t="shared" si="3"/>
        <v>0</v>
      </c>
      <c r="L81">
        <f t="shared" si="4"/>
        <v>0</v>
      </c>
    </row>
    <row r="82" spans="2:12" x14ac:dyDescent="0.25">
      <c r="B82" s="308">
        <v>80</v>
      </c>
      <c r="C82" s="309"/>
      <c r="D82" s="313"/>
      <c r="E82" s="310"/>
      <c r="F82" s="310"/>
      <c r="G82" s="315"/>
      <c r="H82" s="312"/>
      <c r="I82" s="310"/>
      <c r="K82">
        <f t="shared" si="3"/>
        <v>0</v>
      </c>
      <c r="L82">
        <f t="shared" si="4"/>
        <v>0</v>
      </c>
    </row>
    <row r="83" spans="2:12" x14ac:dyDescent="0.25">
      <c r="B83" s="317">
        <v>81</v>
      </c>
      <c r="C83" s="309"/>
      <c r="D83" s="313"/>
      <c r="E83" s="310"/>
      <c r="F83" s="310"/>
      <c r="G83" s="315"/>
      <c r="H83" s="312"/>
      <c r="I83" s="310"/>
      <c r="K83">
        <f t="shared" si="3"/>
        <v>0</v>
      </c>
      <c r="L83">
        <f t="shared" si="4"/>
        <v>0</v>
      </c>
    </row>
    <row r="84" spans="2:12" x14ac:dyDescent="0.25">
      <c r="B84" s="308">
        <v>82</v>
      </c>
      <c r="C84" s="309"/>
      <c r="D84" s="313"/>
      <c r="E84" s="310"/>
      <c r="F84" s="310"/>
      <c r="G84" s="315"/>
      <c r="H84" s="312"/>
      <c r="I84" s="310"/>
      <c r="K84">
        <f t="shared" si="3"/>
        <v>0</v>
      </c>
      <c r="L84">
        <f t="shared" si="4"/>
        <v>0</v>
      </c>
    </row>
    <row r="85" spans="2:12" x14ac:dyDescent="0.25">
      <c r="B85" s="308">
        <v>83</v>
      </c>
      <c r="C85" s="309"/>
      <c r="D85" s="313"/>
      <c r="E85" s="310"/>
      <c r="F85" s="310"/>
      <c r="G85" s="315"/>
      <c r="H85" s="312"/>
      <c r="I85" s="310"/>
      <c r="K85">
        <f t="shared" si="3"/>
        <v>0</v>
      </c>
      <c r="L85">
        <f t="shared" si="4"/>
        <v>0</v>
      </c>
    </row>
    <row r="86" spans="2:12" x14ac:dyDescent="0.25">
      <c r="B86" s="308">
        <v>84</v>
      </c>
      <c r="C86" s="309"/>
      <c r="D86" s="313"/>
      <c r="E86" s="310"/>
      <c r="F86" s="310"/>
      <c r="G86" s="315"/>
      <c r="H86" s="312"/>
      <c r="I86" s="310"/>
      <c r="K86">
        <f t="shared" si="3"/>
        <v>0</v>
      </c>
      <c r="L86">
        <f t="shared" si="4"/>
        <v>0</v>
      </c>
    </row>
    <row r="87" spans="2:12" x14ac:dyDescent="0.25">
      <c r="B87" s="308">
        <v>85</v>
      </c>
      <c r="C87" s="309"/>
      <c r="D87" s="313"/>
      <c r="E87" s="310"/>
      <c r="F87" s="310"/>
      <c r="G87" s="315"/>
      <c r="H87" s="312"/>
      <c r="I87" s="310"/>
      <c r="K87">
        <f t="shared" si="3"/>
        <v>0</v>
      </c>
      <c r="L87">
        <f t="shared" si="4"/>
        <v>0</v>
      </c>
    </row>
    <row r="88" spans="2:12" x14ac:dyDescent="0.25">
      <c r="B88" s="308">
        <v>86</v>
      </c>
      <c r="C88" s="309"/>
      <c r="D88" s="313"/>
      <c r="E88" s="310"/>
      <c r="F88" s="310"/>
      <c r="G88" s="315"/>
      <c r="H88" s="312"/>
      <c r="I88" s="310"/>
      <c r="K88">
        <f t="shared" si="3"/>
        <v>0</v>
      </c>
      <c r="L88">
        <f t="shared" si="4"/>
        <v>0</v>
      </c>
    </row>
    <row r="89" spans="2:12" x14ac:dyDescent="0.25">
      <c r="B89" s="308">
        <v>87</v>
      </c>
      <c r="C89" s="309"/>
      <c r="D89" s="313"/>
      <c r="E89" s="310"/>
      <c r="F89" s="310"/>
      <c r="G89" s="315"/>
      <c r="H89" s="312"/>
      <c r="I89" s="310"/>
      <c r="K89">
        <f t="shared" si="3"/>
        <v>0</v>
      </c>
      <c r="L89">
        <f t="shared" si="4"/>
        <v>0</v>
      </c>
    </row>
    <row r="90" spans="2:12" x14ac:dyDescent="0.25">
      <c r="B90" s="308">
        <v>88</v>
      </c>
      <c r="C90" s="309"/>
      <c r="D90" s="313"/>
      <c r="E90" s="310"/>
      <c r="F90" s="310"/>
      <c r="G90" s="315"/>
      <c r="H90" s="312"/>
      <c r="I90" s="310"/>
      <c r="K90">
        <f t="shared" si="3"/>
        <v>0</v>
      </c>
      <c r="L90">
        <f t="shared" si="4"/>
        <v>0</v>
      </c>
    </row>
    <row r="91" spans="2:12" x14ac:dyDescent="0.25">
      <c r="B91" s="308">
        <v>89</v>
      </c>
      <c r="C91" s="309"/>
      <c r="D91" s="313"/>
      <c r="E91" s="310"/>
      <c r="F91" s="310"/>
      <c r="G91" s="315"/>
      <c r="H91" s="312"/>
      <c r="I91" s="310"/>
      <c r="K91">
        <f t="shared" si="3"/>
        <v>0</v>
      </c>
      <c r="L91">
        <f t="shared" si="4"/>
        <v>0</v>
      </c>
    </row>
    <row r="92" spans="2:12" x14ac:dyDescent="0.25">
      <c r="B92" s="308">
        <v>90</v>
      </c>
      <c r="C92" s="309"/>
      <c r="D92" s="313"/>
      <c r="E92" s="310"/>
      <c r="F92" s="310"/>
      <c r="G92" s="315"/>
      <c r="H92" s="312"/>
      <c r="I92" s="310"/>
      <c r="K92">
        <f t="shared" si="3"/>
        <v>0</v>
      </c>
      <c r="L92">
        <f t="shared" si="4"/>
        <v>0</v>
      </c>
    </row>
    <row r="93" spans="2:12" x14ac:dyDescent="0.25">
      <c r="B93" s="308">
        <v>91</v>
      </c>
      <c r="C93" s="309"/>
      <c r="D93" s="310"/>
      <c r="E93" s="310"/>
      <c r="F93" s="310"/>
      <c r="G93" s="315"/>
      <c r="H93" s="312"/>
      <c r="I93" s="310"/>
      <c r="K93">
        <f t="shared" si="3"/>
        <v>0</v>
      </c>
      <c r="L93">
        <f t="shared" si="4"/>
        <v>0</v>
      </c>
    </row>
    <row r="94" spans="2:12" x14ac:dyDescent="0.25">
      <c r="B94" s="308">
        <v>92</v>
      </c>
      <c r="C94" s="309"/>
      <c r="D94" s="310"/>
      <c r="E94" s="310"/>
      <c r="F94" s="310"/>
      <c r="G94" s="315"/>
      <c r="H94" s="312"/>
      <c r="I94" s="310"/>
      <c r="K94">
        <f t="shared" si="3"/>
        <v>0</v>
      </c>
      <c r="L94">
        <f t="shared" si="4"/>
        <v>0</v>
      </c>
    </row>
    <row r="95" spans="2:12" x14ac:dyDescent="0.25">
      <c r="B95" s="308">
        <v>93</v>
      </c>
      <c r="C95" s="309"/>
      <c r="D95" s="310"/>
      <c r="E95" s="310"/>
      <c r="F95" s="310"/>
      <c r="G95" s="315"/>
      <c r="H95" s="312"/>
      <c r="I95" s="310"/>
      <c r="K95">
        <f t="shared" si="3"/>
        <v>0</v>
      </c>
      <c r="L95">
        <f t="shared" si="4"/>
        <v>0</v>
      </c>
    </row>
    <row r="96" spans="2:12" x14ac:dyDescent="0.25">
      <c r="B96" s="308">
        <v>94</v>
      </c>
      <c r="C96" s="309"/>
      <c r="D96" s="310"/>
      <c r="E96" s="310"/>
      <c r="F96" s="310"/>
      <c r="G96" s="315"/>
      <c r="H96" s="312"/>
      <c r="I96" s="310"/>
      <c r="K96">
        <f t="shared" si="3"/>
        <v>0</v>
      </c>
      <c r="L96">
        <f t="shared" si="4"/>
        <v>0</v>
      </c>
    </row>
    <row r="97" spans="2:12" x14ac:dyDescent="0.25">
      <c r="B97" s="308">
        <v>95</v>
      </c>
      <c r="C97" s="309"/>
      <c r="D97" s="310"/>
      <c r="E97" s="310"/>
      <c r="F97" s="310"/>
      <c r="G97" s="315"/>
      <c r="H97" s="312"/>
      <c r="I97" s="310"/>
      <c r="K97">
        <f t="shared" si="3"/>
        <v>0</v>
      </c>
      <c r="L97">
        <f t="shared" si="4"/>
        <v>0</v>
      </c>
    </row>
    <row r="98" spans="2:12" x14ac:dyDescent="0.25">
      <c r="B98" s="308">
        <v>96</v>
      </c>
      <c r="C98" s="309"/>
      <c r="D98" s="310"/>
      <c r="E98" s="310"/>
      <c r="F98" s="310"/>
      <c r="G98" s="315"/>
      <c r="H98" s="312"/>
      <c r="I98" s="310"/>
      <c r="K98">
        <f t="shared" si="3"/>
        <v>0</v>
      </c>
      <c r="L98">
        <f t="shared" si="4"/>
        <v>0</v>
      </c>
    </row>
    <row r="99" spans="2:12" x14ac:dyDescent="0.25">
      <c r="B99" s="308">
        <v>97</v>
      </c>
      <c r="C99" s="309"/>
      <c r="D99" s="310"/>
      <c r="E99" s="310"/>
      <c r="F99" s="310"/>
      <c r="G99" s="315"/>
      <c r="H99" s="312"/>
      <c r="I99" s="310"/>
      <c r="K99">
        <f t="shared" si="3"/>
        <v>0</v>
      </c>
      <c r="L99">
        <f t="shared" si="4"/>
        <v>0</v>
      </c>
    </row>
    <row r="100" spans="2:12" x14ac:dyDescent="0.25">
      <c r="B100" s="308">
        <v>98</v>
      </c>
      <c r="C100" s="309"/>
      <c r="D100" s="310"/>
      <c r="E100" s="310"/>
      <c r="F100" s="310"/>
      <c r="G100" s="315"/>
      <c r="H100" s="312"/>
      <c r="I100" s="310"/>
      <c r="K100">
        <f t="shared" si="3"/>
        <v>0</v>
      </c>
      <c r="L100">
        <f t="shared" si="4"/>
        <v>0</v>
      </c>
    </row>
    <row r="101" spans="2:12" x14ac:dyDescent="0.25">
      <c r="B101" s="308">
        <v>99</v>
      </c>
      <c r="C101" s="309"/>
      <c r="D101" s="310"/>
      <c r="E101" s="310"/>
      <c r="F101" s="310"/>
      <c r="G101" s="315"/>
      <c r="H101" s="312"/>
      <c r="I101" s="310"/>
      <c r="K101">
        <f t="shared" si="3"/>
        <v>0</v>
      </c>
      <c r="L101">
        <f t="shared" si="4"/>
        <v>0</v>
      </c>
    </row>
    <row r="102" spans="2:12" x14ac:dyDescent="0.25">
      <c r="B102" s="308">
        <v>100</v>
      </c>
      <c r="C102" s="309"/>
      <c r="D102" s="310"/>
      <c r="E102" s="310"/>
      <c r="F102" s="310"/>
      <c r="G102" s="315"/>
      <c r="H102" s="312"/>
      <c r="I102" s="314"/>
      <c r="K102">
        <f t="shared" si="3"/>
        <v>0</v>
      </c>
      <c r="L102">
        <f t="shared" si="4"/>
        <v>0</v>
      </c>
    </row>
    <row r="103" spans="2:12" x14ac:dyDescent="0.25">
      <c r="B103" s="308">
        <v>101</v>
      </c>
      <c r="C103" s="309"/>
      <c r="D103" s="310"/>
      <c r="E103" s="310"/>
      <c r="F103" s="310"/>
      <c r="G103" s="315"/>
      <c r="H103" s="312"/>
      <c r="I103" s="310"/>
      <c r="K103">
        <f t="shared" si="3"/>
        <v>0</v>
      </c>
      <c r="L103">
        <f t="shared" si="4"/>
        <v>0</v>
      </c>
    </row>
    <row r="104" spans="2:12" x14ac:dyDescent="0.25">
      <c r="B104" s="308">
        <v>102</v>
      </c>
      <c r="C104" s="309"/>
      <c r="D104" s="310"/>
      <c r="E104" s="310"/>
      <c r="F104" s="310"/>
      <c r="G104" s="315"/>
      <c r="H104" s="312"/>
      <c r="I104" s="310"/>
      <c r="K104">
        <f t="shared" si="3"/>
        <v>0</v>
      </c>
      <c r="L104">
        <f t="shared" si="4"/>
        <v>0</v>
      </c>
    </row>
    <row r="105" spans="2:12" x14ac:dyDescent="0.25">
      <c r="B105" s="308">
        <v>103</v>
      </c>
      <c r="C105" s="309"/>
      <c r="D105" s="310"/>
      <c r="E105" s="310"/>
      <c r="F105" s="310"/>
      <c r="G105" s="315"/>
      <c r="H105" s="312"/>
      <c r="I105" s="310"/>
      <c r="K105">
        <f t="shared" si="3"/>
        <v>0</v>
      </c>
      <c r="L105">
        <f t="shared" si="4"/>
        <v>0</v>
      </c>
    </row>
    <row r="106" spans="2:12" x14ac:dyDescent="0.25">
      <c r="B106" s="308">
        <v>104</v>
      </c>
      <c r="C106" s="309"/>
      <c r="D106" s="310"/>
      <c r="E106" s="310"/>
      <c r="F106" s="310"/>
      <c r="G106" s="315"/>
      <c r="H106" s="312"/>
      <c r="I106" s="310"/>
      <c r="K106">
        <f t="shared" si="3"/>
        <v>0</v>
      </c>
      <c r="L106">
        <f t="shared" si="4"/>
        <v>0</v>
      </c>
    </row>
    <row r="107" spans="2:12" x14ac:dyDescent="0.25">
      <c r="B107" s="308">
        <v>105</v>
      </c>
      <c r="C107" s="309"/>
      <c r="D107" s="310"/>
      <c r="E107" s="310"/>
      <c r="F107" s="310"/>
      <c r="G107" s="315"/>
      <c r="H107" s="312"/>
      <c r="I107" s="310"/>
      <c r="K107">
        <f t="shared" si="3"/>
        <v>0</v>
      </c>
      <c r="L107">
        <f t="shared" si="4"/>
        <v>0</v>
      </c>
    </row>
    <row r="108" spans="2:12" x14ac:dyDescent="0.25">
      <c r="B108" s="308">
        <v>106</v>
      </c>
      <c r="C108" s="309"/>
      <c r="D108" s="310"/>
      <c r="E108" s="310"/>
      <c r="F108" s="310"/>
      <c r="G108" s="315"/>
      <c r="H108" s="312"/>
      <c r="I108" s="310"/>
      <c r="K108">
        <f t="shared" si="3"/>
        <v>0</v>
      </c>
      <c r="L108">
        <f t="shared" si="4"/>
        <v>0</v>
      </c>
    </row>
    <row r="109" spans="2:12" x14ac:dyDescent="0.25">
      <c r="B109" s="308">
        <v>107</v>
      </c>
      <c r="C109" s="309"/>
      <c r="D109" s="310"/>
      <c r="E109" s="310"/>
      <c r="F109" s="310"/>
      <c r="G109" s="315"/>
      <c r="H109" s="312"/>
      <c r="I109" s="310"/>
      <c r="K109">
        <f t="shared" si="3"/>
        <v>0</v>
      </c>
      <c r="L109">
        <f t="shared" si="4"/>
        <v>0</v>
      </c>
    </row>
    <row r="110" spans="2:12" x14ac:dyDescent="0.25">
      <c r="B110" s="308">
        <v>108</v>
      </c>
      <c r="C110" s="309"/>
      <c r="D110" s="310"/>
      <c r="E110" s="310"/>
      <c r="F110" s="310"/>
      <c r="G110" s="315"/>
      <c r="H110" s="312"/>
      <c r="I110" s="310"/>
      <c r="K110">
        <f t="shared" si="3"/>
        <v>0</v>
      </c>
      <c r="L110">
        <f t="shared" si="4"/>
        <v>0</v>
      </c>
    </row>
    <row r="111" spans="2:12" x14ac:dyDescent="0.25">
      <c r="B111" s="308">
        <v>109</v>
      </c>
      <c r="C111" s="309"/>
      <c r="D111" s="310"/>
      <c r="E111" s="310"/>
      <c r="F111" s="310"/>
      <c r="G111" s="315"/>
      <c r="H111" s="312"/>
      <c r="I111" s="310"/>
      <c r="K111">
        <f t="shared" si="3"/>
        <v>0</v>
      </c>
      <c r="L111">
        <f t="shared" si="4"/>
        <v>0</v>
      </c>
    </row>
    <row r="112" spans="2:12" x14ac:dyDescent="0.25">
      <c r="B112" s="308">
        <v>110</v>
      </c>
      <c r="C112" s="309"/>
      <c r="D112" s="310"/>
      <c r="E112" s="310"/>
      <c r="F112" s="310"/>
      <c r="G112" s="315"/>
      <c r="H112" s="312"/>
      <c r="I112" s="310"/>
      <c r="K112">
        <f t="shared" si="3"/>
        <v>0</v>
      </c>
      <c r="L112">
        <f t="shared" si="4"/>
        <v>0</v>
      </c>
    </row>
    <row r="113" spans="2:12" x14ac:dyDescent="0.25">
      <c r="B113" s="308">
        <v>111</v>
      </c>
      <c r="C113" s="309"/>
      <c r="D113" s="310"/>
      <c r="E113" s="310"/>
      <c r="F113" s="310"/>
      <c r="G113" s="315"/>
      <c r="H113" s="312"/>
      <c r="I113" s="310"/>
      <c r="K113">
        <f t="shared" si="3"/>
        <v>0</v>
      </c>
      <c r="L113">
        <f t="shared" si="4"/>
        <v>0</v>
      </c>
    </row>
    <row r="114" spans="2:12" x14ac:dyDescent="0.25">
      <c r="B114" s="308">
        <v>112</v>
      </c>
      <c r="C114" s="309"/>
      <c r="D114" s="310"/>
      <c r="E114" s="310"/>
      <c r="F114" s="310"/>
      <c r="G114" s="315"/>
      <c r="H114" s="312"/>
      <c r="I114" s="310"/>
      <c r="K114">
        <f t="shared" si="3"/>
        <v>0</v>
      </c>
      <c r="L114">
        <f t="shared" si="4"/>
        <v>0</v>
      </c>
    </row>
    <row r="115" spans="2:12" x14ac:dyDescent="0.25">
      <c r="B115" s="308">
        <v>113</v>
      </c>
      <c r="C115" s="309"/>
      <c r="D115" s="310"/>
      <c r="E115" s="310"/>
      <c r="F115" s="310"/>
      <c r="G115" s="315"/>
      <c r="H115" s="312"/>
      <c r="I115" s="310"/>
      <c r="K115">
        <f t="shared" si="3"/>
        <v>0</v>
      </c>
      <c r="L115">
        <f t="shared" si="4"/>
        <v>0</v>
      </c>
    </row>
    <row r="116" spans="2:12" x14ac:dyDescent="0.25">
      <c r="B116" s="308">
        <v>114</v>
      </c>
      <c r="C116" s="309"/>
      <c r="D116" s="310"/>
      <c r="E116" s="310"/>
      <c r="F116" s="310"/>
      <c r="G116" s="315"/>
      <c r="H116" s="312"/>
      <c r="I116" s="310"/>
      <c r="K116">
        <f t="shared" si="3"/>
        <v>0</v>
      </c>
      <c r="L116">
        <f t="shared" si="4"/>
        <v>0</v>
      </c>
    </row>
    <row r="117" spans="2:12" x14ac:dyDescent="0.25">
      <c r="B117" s="308">
        <v>115</v>
      </c>
      <c r="C117" s="309"/>
      <c r="D117" s="310"/>
      <c r="E117" s="310"/>
      <c r="F117" s="310"/>
      <c r="G117" s="315"/>
      <c r="H117" s="312"/>
      <c r="I117" s="310"/>
      <c r="K117">
        <f t="shared" si="3"/>
        <v>0</v>
      </c>
      <c r="L117">
        <f t="shared" si="4"/>
        <v>0</v>
      </c>
    </row>
    <row r="118" spans="2:12" x14ac:dyDescent="0.25">
      <c r="B118" s="308">
        <v>116</v>
      </c>
      <c r="C118" s="309"/>
      <c r="D118" s="310"/>
      <c r="E118" s="310"/>
      <c r="F118" s="310"/>
      <c r="G118" s="315"/>
      <c r="H118" s="312"/>
      <c r="I118" s="310"/>
      <c r="K118">
        <f t="shared" si="3"/>
        <v>0</v>
      </c>
      <c r="L118">
        <f t="shared" si="4"/>
        <v>0</v>
      </c>
    </row>
    <row r="119" spans="2:12" x14ac:dyDescent="0.25">
      <c r="B119" s="308">
        <v>117</v>
      </c>
      <c r="C119" s="309"/>
      <c r="D119" s="310"/>
      <c r="E119" s="310"/>
      <c r="F119" s="310"/>
      <c r="G119" s="315"/>
      <c r="H119" s="312"/>
      <c r="I119" s="310"/>
      <c r="K119">
        <f t="shared" si="3"/>
        <v>0</v>
      </c>
      <c r="L119">
        <f t="shared" si="4"/>
        <v>0</v>
      </c>
    </row>
    <row r="120" spans="2:12" x14ac:dyDescent="0.25">
      <c r="B120" s="308">
        <v>118</v>
      </c>
      <c r="C120" s="309"/>
      <c r="D120" s="310"/>
      <c r="E120" s="310"/>
      <c r="F120" s="310"/>
      <c r="G120" s="315"/>
      <c r="H120" s="312"/>
      <c r="I120" s="310"/>
      <c r="K120">
        <f t="shared" si="3"/>
        <v>0</v>
      </c>
      <c r="L120">
        <f t="shared" si="4"/>
        <v>0</v>
      </c>
    </row>
    <row r="121" spans="2:12" x14ac:dyDescent="0.25">
      <c r="B121" s="308">
        <v>119</v>
      </c>
      <c r="C121" s="309"/>
      <c r="D121" s="310"/>
      <c r="E121" s="310"/>
      <c r="F121" s="310"/>
      <c r="G121" s="315"/>
      <c r="H121" s="312"/>
      <c r="I121" s="310"/>
      <c r="K121">
        <f t="shared" si="3"/>
        <v>0</v>
      </c>
      <c r="L121">
        <f t="shared" si="4"/>
        <v>0</v>
      </c>
    </row>
    <row r="122" spans="2:12" x14ac:dyDescent="0.25">
      <c r="B122" s="308">
        <v>120</v>
      </c>
      <c r="C122" s="309"/>
      <c r="D122" s="310"/>
      <c r="E122" s="310"/>
      <c r="F122" s="310"/>
      <c r="G122" s="315"/>
      <c r="H122" s="312"/>
      <c r="I122" s="310"/>
      <c r="K122">
        <f t="shared" si="3"/>
        <v>0</v>
      </c>
      <c r="L122">
        <f t="shared" si="4"/>
        <v>0</v>
      </c>
    </row>
    <row r="123" spans="2:12" x14ac:dyDescent="0.25">
      <c r="B123" s="308">
        <v>121</v>
      </c>
      <c r="C123" s="309"/>
      <c r="D123" s="310"/>
      <c r="E123" s="310"/>
      <c r="F123" s="310"/>
      <c r="G123" s="315"/>
      <c r="H123" s="312"/>
      <c r="I123" s="310"/>
      <c r="K123">
        <f t="shared" si="3"/>
        <v>0</v>
      </c>
      <c r="L123">
        <f t="shared" si="4"/>
        <v>0</v>
      </c>
    </row>
    <row r="124" spans="2:12" x14ac:dyDescent="0.25">
      <c r="B124" s="308">
        <v>122</v>
      </c>
      <c r="C124" s="309"/>
      <c r="D124" s="310"/>
      <c r="E124" s="310"/>
      <c r="F124" s="310"/>
      <c r="G124" s="315"/>
      <c r="H124" s="312"/>
      <c r="I124" s="310"/>
      <c r="K124">
        <f t="shared" si="3"/>
        <v>0</v>
      </c>
      <c r="L124">
        <f t="shared" si="4"/>
        <v>0</v>
      </c>
    </row>
    <row r="125" spans="2:12" x14ac:dyDescent="0.25">
      <c r="B125" s="317">
        <v>123</v>
      </c>
      <c r="C125" s="309"/>
      <c r="D125" s="310"/>
      <c r="E125" s="310"/>
      <c r="F125" s="310"/>
      <c r="G125" s="315"/>
      <c r="H125" s="312"/>
      <c r="I125" s="310"/>
      <c r="K125">
        <f t="shared" si="3"/>
        <v>0</v>
      </c>
      <c r="L125">
        <f t="shared" si="4"/>
        <v>0</v>
      </c>
    </row>
    <row r="126" spans="2:12" x14ac:dyDescent="0.25">
      <c r="B126" s="308">
        <v>124</v>
      </c>
      <c r="C126" s="309"/>
      <c r="D126" s="310"/>
      <c r="E126" s="310"/>
      <c r="F126" s="310"/>
      <c r="G126" s="315"/>
      <c r="H126" s="312"/>
      <c r="I126" s="310"/>
      <c r="K126">
        <f t="shared" si="3"/>
        <v>0</v>
      </c>
      <c r="L126">
        <f t="shared" si="4"/>
        <v>0</v>
      </c>
    </row>
    <row r="127" spans="2:12" x14ac:dyDescent="0.25">
      <c r="B127" s="308">
        <v>125</v>
      </c>
      <c r="C127" s="309"/>
      <c r="D127" s="310"/>
      <c r="E127" s="310"/>
      <c r="F127" s="310"/>
      <c r="G127" s="315"/>
      <c r="H127" s="312"/>
      <c r="I127" s="310"/>
      <c r="K127">
        <f t="shared" si="3"/>
        <v>0</v>
      </c>
      <c r="L127">
        <f t="shared" si="4"/>
        <v>0</v>
      </c>
    </row>
    <row r="128" spans="2:12" x14ac:dyDescent="0.25">
      <c r="B128" s="308">
        <v>126</v>
      </c>
      <c r="C128" s="309"/>
      <c r="D128" s="310"/>
      <c r="E128" s="310"/>
      <c r="F128" s="310"/>
      <c r="G128" s="315"/>
      <c r="H128" s="312"/>
      <c r="I128" s="310"/>
      <c r="K128">
        <f t="shared" si="3"/>
        <v>0</v>
      </c>
      <c r="L128">
        <f t="shared" si="4"/>
        <v>0</v>
      </c>
    </row>
    <row r="129" spans="2:12" x14ac:dyDescent="0.25">
      <c r="B129" s="308">
        <v>127</v>
      </c>
      <c r="C129" s="309"/>
      <c r="D129" s="310"/>
      <c r="E129" s="310"/>
      <c r="F129" s="310"/>
      <c r="G129" s="315"/>
      <c r="H129" s="312"/>
      <c r="I129" s="310"/>
      <c r="K129">
        <f t="shared" si="3"/>
        <v>0</v>
      </c>
      <c r="L129">
        <f t="shared" si="4"/>
        <v>0</v>
      </c>
    </row>
    <row r="130" spans="2:12" x14ac:dyDescent="0.25">
      <c r="B130" s="308">
        <v>128</v>
      </c>
      <c r="C130" s="309"/>
      <c r="D130" s="310"/>
      <c r="E130" s="310"/>
      <c r="F130" s="310"/>
      <c r="G130" s="315"/>
      <c r="H130" s="312"/>
      <c r="I130" s="310"/>
      <c r="K130">
        <f t="shared" si="3"/>
        <v>0</v>
      </c>
      <c r="L130">
        <f t="shared" si="4"/>
        <v>0</v>
      </c>
    </row>
    <row r="131" spans="2:12" x14ac:dyDescent="0.25">
      <c r="B131" s="308">
        <v>129</v>
      </c>
      <c r="C131" s="309"/>
      <c r="D131" s="313"/>
      <c r="E131" s="313"/>
      <c r="F131" s="314"/>
      <c r="G131" s="315"/>
      <c r="H131" s="312"/>
      <c r="I131" s="310"/>
      <c r="K131">
        <f t="shared" si="3"/>
        <v>0</v>
      </c>
      <c r="L131">
        <f t="shared" si="4"/>
        <v>0</v>
      </c>
    </row>
    <row r="132" spans="2:12" x14ac:dyDescent="0.25">
      <c r="B132" s="308">
        <v>130</v>
      </c>
      <c r="C132" s="309"/>
      <c r="D132" s="313"/>
      <c r="E132" s="313"/>
      <c r="F132" s="314"/>
      <c r="G132" s="315"/>
      <c r="H132" s="312"/>
      <c r="I132" s="310"/>
      <c r="K132">
        <f t="shared" ref="K132:K134" si="5">I132</f>
        <v>0</v>
      </c>
      <c r="L132">
        <f t="shared" si="4"/>
        <v>0</v>
      </c>
    </row>
    <row r="133" spans="2:12" x14ac:dyDescent="0.25">
      <c r="B133" s="308">
        <v>131</v>
      </c>
      <c r="C133" s="309"/>
      <c r="D133" s="313"/>
      <c r="E133" s="313"/>
      <c r="F133" s="314"/>
      <c r="G133" s="315"/>
      <c r="H133" s="312"/>
      <c r="I133" s="310"/>
      <c r="K133">
        <f t="shared" si="5"/>
        <v>0</v>
      </c>
      <c r="L133">
        <f t="shared" si="4"/>
        <v>0</v>
      </c>
    </row>
    <row r="134" spans="2:12" x14ac:dyDescent="0.25">
      <c r="B134" s="308">
        <v>132</v>
      </c>
      <c r="C134" s="309"/>
      <c r="D134" s="313"/>
      <c r="E134" s="313"/>
      <c r="F134" s="314"/>
      <c r="G134" s="315"/>
      <c r="H134" s="312"/>
      <c r="I134" s="310"/>
      <c r="K134">
        <f t="shared" si="5"/>
        <v>0</v>
      </c>
      <c r="L134">
        <f t="shared" si="4"/>
        <v>0</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4EBFE-86F8-46A4-A9FB-6D2D7FEB612B}">
  <dimension ref="A1:BH493"/>
  <sheetViews>
    <sheetView topLeftCell="D1" zoomScaleNormal="100" workbookViewId="0">
      <pane ySplit="3" topLeftCell="A4" activePane="bottomLeft" state="frozen"/>
      <selection activeCell="D1" sqref="D1"/>
      <selection pane="bottomLeft" activeCell="F46" sqref="F46"/>
    </sheetView>
  </sheetViews>
  <sheetFormatPr defaultColWidth="9.140625" defaultRowHeight="15.75" x14ac:dyDescent="0.25"/>
  <cols>
    <col min="1" max="1" width="3.28515625" style="133" bestFit="1" customWidth="1"/>
    <col min="2" max="2" width="5.28515625" style="108" customWidth="1"/>
    <col min="3" max="3" width="5.28515625" style="132" customWidth="1"/>
    <col min="4" max="4" width="27.28515625" style="132" bestFit="1" customWidth="1"/>
    <col min="5" max="5" width="6.42578125" style="20" customWidth="1"/>
    <col min="6" max="6" width="11" style="303" customWidth="1"/>
    <col min="7" max="7" width="5.28515625" style="20" customWidth="1"/>
    <col min="8" max="8" width="6.42578125" style="20" customWidth="1"/>
    <col min="9" max="9" width="47.28515625" style="109" bestFit="1" customWidth="1"/>
    <col min="10" max="10" width="69.85546875" style="20" bestFit="1" customWidth="1"/>
    <col min="11" max="11" width="10.140625" style="20" customWidth="1"/>
    <col min="12" max="12" width="9.140625" style="20" bestFit="1" customWidth="1"/>
    <col min="13" max="13" width="8.85546875" style="109" bestFit="1" customWidth="1"/>
    <col min="14" max="15" width="9.140625" style="20" bestFit="1" customWidth="1"/>
    <col min="16" max="16" width="11.28515625" style="119" bestFit="1" customWidth="1"/>
    <col min="17" max="17" width="9.140625" style="20"/>
    <col min="18" max="18" width="9.140625" style="109"/>
    <col min="19" max="20" width="9.140625" style="20" bestFit="1" customWidth="1"/>
    <col min="21" max="21" width="14.85546875" style="20" bestFit="1" customWidth="1"/>
    <col min="22" max="22" width="11.85546875" style="20" bestFit="1" customWidth="1"/>
    <col min="23" max="23" width="13.42578125" style="20" bestFit="1" customWidth="1"/>
    <col min="24" max="24" width="11.85546875" style="20" bestFit="1" customWidth="1"/>
    <col min="25" max="25" width="10.140625" style="21" customWidth="1"/>
    <col min="26" max="26" width="8.42578125" style="1" bestFit="1" customWidth="1"/>
    <col min="27" max="27" width="8.7109375" style="1" customWidth="1"/>
    <col min="28" max="28" width="14.140625" style="1" bestFit="1" customWidth="1"/>
    <col min="29" max="29" width="14.42578125" style="1" bestFit="1" customWidth="1"/>
    <col min="30" max="30" width="10" style="1" bestFit="1" customWidth="1"/>
    <col min="31" max="31" width="10" style="1" customWidth="1"/>
    <col min="32" max="32" width="11.5703125" style="192" bestFit="1" customWidth="1"/>
    <col min="33" max="33" width="8.7109375" style="5" customWidth="1"/>
    <col min="34" max="34" width="8.7109375" style="1" customWidth="1"/>
    <col min="35" max="35" width="9.28515625" style="19" customWidth="1"/>
    <col min="36" max="40" width="8.7109375" style="1" customWidth="1"/>
    <col min="41" max="41" width="10.140625" style="194" bestFit="1" customWidth="1"/>
    <col min="42" max="42" width="8.7109375" style="5" customWidth="1"/>
    <col min="43" max="43" width="8.7109375" style="1" customWidth="1"/>
    <col min="44" max="44" width="9.28515625" style="19" customWidth="1"/>
    <col min="45" max="46" width="8.7109375" style="1" customWidth="1"/>
    <col min="47" max="49" width="8.7109375" style="5" customWidth="1"/>
    <col min="50" max="50" width="10.140625" style="194" bestFit="1" customWidth="1"/>
    <col min="51" max="59" width="8.7109375" style="5" customWidth="1"/>
    <col min="60" max="60" width="9.140625" style="1"/>
    <col min="61" max="16384" width="9.140625" style="20"/>
  </cols>
  <sheetData>
    <row r="1" spans="1:60" ht="16.5" thickBot="1" x14ac:dyDescent="0.3">
      <c r="B1" s="348" t="s">
        <v>53</v>
      </c>
      <c r="C1" s="348"/>
      <c r="D1" s="348"/>
      <c r="E1" s="348"/>
      <c r="F1" s="348"/>
      <c r="G1" s="348"/>
      <c r="H1" s="348"/>
      <c r="I1" s="348"/>
      <c r="J1" s="348"/>
      <c r="K1" s="333"/>
      <c r="L1" s="105"/>
      <c r="M1" s="106"/>
      <c r="N1" s="105"/>
      <c r="O1" s="105"/>
      <c r="P1" s="115"/>
      <c r="Q1" s="105"/>
      <c r="R1" s="105"/>
      <c r="S1" s="105"/>
      <c r="T1" s="105"/>
      <c r="U1" s="105"/>
      <c r="V1" s="105"/>
      <c r="W1" s="105"/>
      <c r="X1" s="105"/>
      <c r="Y1" s="105"/>
      <c r="Z1" s="14"/>
      <c r="AA1" s="14"/>
      <c r="AB1" s="14"/>
      <c r="AC1" s="14"/>
      <c r="AD1" s="14"/>
      <c r="AE1" s="14"/>
      <c r="AF1" s="191"/>
      <c r="AG1" s="14"/>
      <c r="AH1" s="14"/>
      <c r="AI1" s="14"/>
      <c r="AJ1" s="14"/>
      <c r="AK1" s="14"/>
      <c r="AL1" s="14"/>
      <c r="AM1" s="14"/>
      <c r="AN1" s="14"/>
      <c r="AO1" s="193"/>
      <c r="AP1" s="14"/>
      <c r="AQ1" s="14"/>
      <c r="AR1" s="14"/>
      <c r="AS1" s="14"/>
      <c r="AT1" s="14"/>
      <c r="AU1" s="14"/>
      <c r="AV1" s="14"/>
      <c r="AW1" s="14"/>
      <c r="AX1" s="193"/>
      <c r="AY1" s="14"/>
      <c r="AZ1" s="14"/>
      <c r="BA1" s="14"/>
      <c r="BB1" s="14"/>
      <c r="BC1" s="14"/>
      <c r="BD1" s="14"/>
      <c r="BE1" s="14"/>
      <c r="BF1" s="14"/>
      <c r="BG1" s="14"/>
      <c r="BH1" s="14"/>
    </row>
    <row r="2" spans="1:60" x14ac:dyDescent="0.25">
      <c r="B2" s="349"/>
      <c r="C2" s="349"/>
      <c r="D2" s="349"/>
      <c r="E2" s="349"/>
      <c r="F2" s="349"/>
      <c r="G2" s="349"/>
      <c r="H2" s="349"/>
      <c r="I2" s="349"/>
      <c r="J2" s="349"/>
      <c r="K2" s="333"/>
      <c r="L2" s="105"/>
      <c r="M2" s="106"/>
      <c r="N2" s="105"/>
      <c r="O2" s="105"/>
      <c r="P2" s="115"/>
      <c r="Q2" s="105"/>
      <c r="R2" s="105"/>
      <c r="S2" s="105"/>
      <c r="T2" s="105"/>
      <c r="U2" s="105"/>
      <c r="V2" s="105"/>
      <c r="W2" s="105"/>
      <c r="X2" s="105"/>
      <c r="Y2" s="105"/>
      <c r="Z2" s="20"/>
      <c r="AA2" s="268"/>
      <c r="AB2" s="72"/>
      <c r="AC2" s="72"/>
      <c r="AD2" s="72"/>
      <c r="AE2" s="189"/>
      <c r="AF2" s="269"/>
      <c r="AG2" s="342" t="s">
        <v>44</v>
      </c>
      <c r="AH2" s="343"/>
      <c r="AI2" s="343"/>
      <c r="AJ2" s="343"/>
      <c r="AK2" s="343"/>
      <c r="AL2" s="343"/>
      <c r="AM2" s="343"/>
      <c r="AN2" s="343"/>
      <c r="AO2" s="344"/>
      <c r="AP2" s="345" t="s">
        <v>25</v>
      </c>
      <c r="AQ2" s="346"/>
      <c r="AR2" s="346"/>
      <c r="AS2" s="346"/>
      <c r="AT2" s="346"/>
      <c r="AU2" s="346"/>
      <c r="AV2" s="346"/>
      <c r="AW2" s="346"/>
      <c r="AX2" s="347"/>
      <c r="AY2" s="350" t="s">
        <v>98</v>
      </c>
      <c r="AZ2" s="351"/>
      <c r="BA2" s="351"/>
      <c r="BB2" s="351"/>
      <c r="BC2" s="351"/>
      <c r="BD2" s="351"/>
      <c r="BE2" s="351"/>
      <c r="BF2" s="351"/>
      <c r="BG2" s="352"/>
    </row>
    <row r="3" spans="1:60" ht="63.75" thickBot="1" x14ac:dyDescent="0.3">
      <c r="B3" s="18" t="s">
        <v>21</v>
      </c>
      <c r="C3" s="125" t="s">
        <v>251</v>
      </c>
      <c r="D3" s="125" t="s">
        <v>252</v>
      </c>
      <c r="E3" s="26" t="s">
        <v>75</v>
      </c>
      <c r="F3" s="302" t="s">
        <v>16</v>
      </c>
      <c r="G3" s="26" t="s">
        <v>126</v>
      </c>
      <c r="H3" s="26" t="s">
        <v>127</v>
      </c>
      <c r="I3" s="26" t="s">
        <v>35</v>
      </c>
      <c r="J3" s="26" t="s">
        <v>0</v>
      </c>
      <c r="K3" s="26" t="s">
        <v>503</v>
      </c>
      <c r="L3" s="26" t="s">
        <v>13</v>
      </c>
      <c r="M3" s="26" t="s">
        <v>18</v>
      </c>
      <c r="N3" s="26" t="s">
        <v>9</v>
      </c>
      <c r="O3" s="26" t="s">
        <v>8</v>
      </c>
      <c r="P3" s="26" t="s">
        <v>80</v>
      </c>
      <c r="Q3" s="26" t="s">
        <v>1</v>
      </c>
      <c r="R3" s="26" t="s">
        <v>78</v>
      </c>
      <c r="S3" s="26" t="s">
        <v>10</v>
      </c>
      <c r="T3" s="26" t="s">
        <v>14</v>
      </c>
      <c r="U3" s="26" t="s">
        <v>17</v>
      </c>
      <c r="V3" s="26" t="s">
        <v>11</v>
      </c>
      <c r="W3" s="26" t="s">
        <v>15</v>
      </c>
      <c r="X3" s="26" t="s">
        <v>7</v>
      </c>
      <c r="Y3" s="26" t="s">
        <v>56</v>
      </c>
      <c r="Z3" s="266" t="s">
        <v>257</v>
      </c>
      <c r="AA3" s="68" t="s">
        <v>107</v>
      </c>
      <c r="AB3" s="69" t="s">
        <v>106</v>
      </c>
      <c r="AC3" s="69" t="s">
        <v>85</v>
      </c>
      <c r="AD3" s="69" t="s">
        <v>2</v>
      </c>
      <c r="AE3" s="190" t="s">
        <v>265</v>
      </c>
      <c r="AF3" s="270" t="s">
        <v>266</v>
      </c>
      <c r="AG3" s="68" t="s">
        <v>87</v>
      </c>
      <c r="AH3" s="69" t="s">
        <v>86</v>
      </c>
      <c r="AI3" s="70" t="s">
        <v>88</v>
      </c>
      <c r="AJ3" s="69" t="s">
        <v>89</v>
      </c>
      <c r="AK3" s="69" t="s">
        <v>90</v>
      </c>
      <c r="AL3" s="69" t="s">
        <v>91</v>
      </c>
      <c r="AM3" s="69" t="s">
        <v>93</v>
      </c>
      <c r="AN3" s="69" t="s">
        <v>270</v>
      </c>
      <c r="AO3" s="265" t="s">
        <v>97</v>
      </c>
      <c r="AP3" s="258" t="s">
        <v>4</v>
      </c>
      <c r="AQ3" s="135" t="s">
        <v>3</v>
      </c>
      <c r="AR3" s="257" t="s">
        <v>94</v>
      </c>
      <c r="AS3" s="135" t="s">
        <v>5</v>
      </c>
      <c r="AT3" s="135" t="s">
        <v>105</v>
      </c>
      <c r="AU3" s="135" t="s">
        <v>96</v>
      </c>
      <c r="AV3" s="135" t="s">
        <v>95</v>
      </c>
      <c r="AW3" s="135" t="s">
        <v>269</v>
      </c>
      <c r="AX3" s="259" t="s">
        <v>92</v>
      </c>
      <c r="AY3" s="258" t="s">
        <v>99</v>
      </c>
      <c r="AZ3" s="135" t="s">
        <v>100</v>
      </c>
      <c r="BA3" s="135" t="s">
        <v>104</v>
      </c>
      <c r="BB3" s="135" t="s">
        <v>102</v>
      </c>
      <c r="BC3" s="135" t="s">
        <v>218</v>
      </c>
      <c r="BD3" s="135" t="s">
        <v>219</v>
      </c>
      <c r="BE3" s="135" t="s">
        <v>278</v>
      </c>
      <c r="BF3" s="135" t="s">
        <v>279</v>
      </c>
      <c r="BG3" s="262" t="s">
        <v>280</v>
      </c>
      <c r="BH3" s="2"/>
    </row>
    <row r="4" spans="1:60" x14ac:dyDescent="0.25">
      <c r="B4" s="83"/>
      <c r="C4" s="126"/>
      <c r="D4" s="127"/>
      <c r="E4" s="84"/>
      <c r="F4" s="85"/>
      <c r="G4" s="84"/>
      <c r="H4" s="85" t="s">
        <v>133</v>
      </c>
      <c r="I4" s="27" t="str">
        <f>IF(F4&lt;&gt;"",IFERROR(VLOOKUP(F4,DUTY_2025!A:H,2,FALSE),""),"")</f>
        <v/>
      </c>
      <c r="J4" s="23"/>
      <c r="K4" s="23"/>
      <c r="L4" s="84"/>
      <c r="M4" s="22"/>
      <c r="N4" s="84"/>
      <c r="O4" s="22"/>
      <c r="P4" s="116"/>
      <c r="Q4" s="23"/>
      <c r="R4" s="27"/>
      <c r="S4" s="86" t="str">
        <f>IF(AND(H4&lt;&gt;"YES",N4&lt;&gt;""),N4*L4/1000,"")</f>
        <v/>
      </c>
      <c r="T4" s="87" t="str">
        <f>IF(S4&lt;&gt;"",S4*1.1,"")</f>
        <v/>
      </c>
      <c r="U4" s="87" t="str" cm="1">
        <f t="array" ref="U4">IF(AND(H4&lt;&gt;"YES",P4&lt;&gt;"",R4&lt;&gt;"",Q4&lt;&gt;""),
_xlfn.SWITCH(Q4,
"INR",_xlfn.SWITCH(R4,"KG",P4*S4,"CTN",P4,"UNIT",P4*N4,"NET",P4/M4,0),
"USD",_xlfn.SWITCH(R4,"KG",P4*S4*SI!$C$10,"CTN",P4*SI!$C$10,"UNIT",P4*N4*SI!$C$10,"NET",P4*SI!$C$10/M4,0),
"LKR",_xlfn.SWITCH(R4,"KG",P4*S4/SI!$C$9,"CTN",P4/SI!$C$9,"UNIT",P4*N4/SI!$C$9,"NET",P4/(M4*SI!$C$9),0),
0),
"")</f>
        <v/>
      </c>
      <c r="V4" s="87" t="str">
        <f>IF(AND(S4&lt;&gt;"",M4&lt;&gt;"",N4&lt;&gt;""),S4*M4,"")</f>
        <v/>
      </c>
      <c r="W4" s="87" t="str">
        <f>IF(V4&lt;&gt;"",V4*1.1,"")</f>
        <v/>
      </c>
      <c r="X4" s="88" t="str">
        <f>IF(AND(U4&lt;&gt;"",M4&lt;&gt;""),U4*M4,"")</f>
        <v/>
      </c>
      <c r="Y4" s="24" t="str">
        <f>IF(AND(H4&lt;&gt;"YES",M4&lt;&gt;"",N4&lt;&gt;""),IF(E4=1,(N4*M4)/2,N4*M4),"")</f>
        <v/>
      </c>
      <c r="Z4" s="267" t="str">
        <f>IF(AND(H4&lt;&gt;"yes",F4&lt;&gt;""),IFERROR(VLOOKUP(F4,DUTY_2025!A:F,5,FALSE),""),"")</f>
        <v/>
      </c>
      <c r="AA4" s="271" t="str">
        <f>IF(B4&lt;&gt;"",IF(AND(X4&lt;&gt;"", O4&lt;&gt;""),IF(ROUND(X4*100/(100+O4),0)=0,"",ROUND(X4*100/(100+O4),0)),""),"")</f>
        <v/>
      </c>
      <c r="AB4" s="16" t="str">
        <f>IF(M4&lt;&gt;"",IF(AND(X4&lt;&gt;"",AA4&lt;&gt;""),X4-AA4,""),"")</f>
        <v/>
      </c>
      <c r="AC4" s="16" t="str">
        <f>IF(AA4&lt;&gt;"",ROUND(AA4*SI!$C$9,2),"")</f>
        <v/>
      </c>
      <c r="AD4" s="4" t="str">
        <f>IF(AC4&lt;&gt;"",ROUND(AC4/(SI!$C$9*SI!$C$10),2),"")</f>
        <v/>
      </c>
      <c r="AE4" s="30" t="str">
        <f>IF(B4&lt;&gt;"",SI!$E$23,"")</f>
        <v/>
      </c>
      <c r="AF4" s="272" t="str">
        <f>IF(AND(AC4&lt;&gt;"",AE4&lt;&gt;""),ROUND(AC4+AE4,0),"")</f>
        <v/>
      </c>
      <c r="AG4" s="28" t="str">
        <f>IF(AND(Z4&lt;&gt;"",S4&lt;&gt;""),Z4*S4,"")</f>
        <v/>
      </c>
      <c r="AH4" s="4" t="str">
        <f>IF(AD4&lt;&gt;"",ROUND(AD4*10*SI!$C$9/2,2),"")</f>
        <v/>
      </c>
      <c r="AI4" s="29" t="str">
        <f>IF(AND(Y4&lt;&gt;"",S4&lt;&gt;""), ROUND((SI!$E$30)*(X4/SUM($X$5:$X$493)),2),"")</f>
        <v/>
      </c>
      <c r="AJ4" s="4" t="str">
        <f>IF(AND(AG4&lt;&gt;"",AI4&lt;&gt;"",AH4&lt;&gt;""),AG4+AI4+AH4,"")</f>
        <v/>
      </c>
      <c r="AK4" s="4" t="str">
        <f>IF(AND(AJ4&lt;&gt;"",Y4&lt;&gt;""),ROUND(AJ4/Y4,2),"")</f>
        <v/>
      </c>
      <c r="AL4" s="4" t="str">
        <f>IF(AND(AC4&lt;&gt;"",Y4&lt;&gt;""),ROUND(AF4/Y4,0),"")</f>
        <v/>
      </c>
      <c r="AM4" s="4" t="str">
        <f>IF(AND(AK4&lt;&gt;"",AL4&lt;&gt;""),AK4+AL4,"")</f>
        <v/>
      </c>
      <c r="AN4" s="4"/>
      <c r="AO4" s="261" t="str">
        <f>IF(AND(AM4&lt;&gt;"",P4&lt;&gt;""),ROUND((AM4*((100+SI!$C$11)/100)),2),"")</f>
        <v/>
      </c>
      <c r="AP4" s="254" t="str">
        <f>IF(AG4&lt;&gt;"",ROUND(AG4/SI!$C$9,2),"")</f>
        <v/>
      </c>
      <c r="AQ4" s="255" t="str">
        <f>IF(AH4&lt;&gt;"",ROUND(AH4/SI!$C$9,2),"")</f>
        <v/>
      </c>
      <c r="AR4" s="256" t="str">
        <f>IF(AI4&lt;&gt;"",ROUND(AI4/SI!$C$9,2),"")</f>
        <v/>
      </c>
      <c r="AS4" s="255" t="str">
        <f>IF(AND(AP4&lt;&gt;"",AR4&lt;&gt;"",AQ4&lt;&gt;""),AP4+AR4+AQ4,"")</f>
        <v/>
      </c>
      <c r="AT4" s="255" t="str">
        <f>IF(AND(AS4&lt;&gt;"",S4&lt;&gt;""),ROUND(AS4/S4,2),"")</f>
        <v/>
      </c>
      <c r="AU4" s="255" t="str">
        <f>IF(AL4&lt;&gt;"",ROUND(AL4/SI!$C$9,2),"")</f>
        <v/>
      </c>
      <c r="AV4" s="255" t="str">
        <f>IF(AM4&lt;&gt;"",ROUND(AM4/SI!$C$9,2),"")</f>
        <v/>
      </c>
      <c r="AW4" s="255"/>
      <c r="AX4" s="260" t="str">
        <f>IF(AO4&lt;&gt;"",ROUND(AO4/SI!$C$9,2),"")</f>
        <v/>
      </c>
      <c r="AY4" s="254" t="str">
        <f>IF(AND(AC4&lt;&gt;"",AI4&lt;&gt;""),AC4+AI4,"")</f>
        <v/>
      </c>
      <c r="AZ4" s="255" t="str">
        <f>IF(AY4&lt;&gt;"",ROUND(AY4/(SI!$C$9*SI!$C$10),2),"")</f>
        <v/>
      </c>
      <c r="BA4" s="255" t="str">
        <f>IF(AND(AY4&lt;&gt;"",BH4&lt;&gt;""),ROUND(AY4*BH4/100,2),"")</f>
        <v/>
      </c>
      <c r="BB4" s="255" t="str">
        <f>IF(AND(AZ4&lt;&gt;"",BH4&lt;&gt;""),ROUND(AZ4*BH4/100,2),"")</f>
        <v/>
      </c>
      <c r="BC4" s="255" t="str">
        <f>IF(AND(BB4&lt;&gt;"",S4&lt;&gt;""),ROUND(BB4/Y4,3),"")</f>
        <v/>
      </c>
      <c r="BD4" s="255" t="str">
        <f>IF(AND(BB4&lt;&gt;"",T4&lt;&gt;""),ROUND(BB4/S4,3),"")</f>
        <v/>
      </c>
      <c r="BE4" s="4"/>
      <c r="BF4" s="255" t="str">
        <f>IF(AND(BE4&lt;&gt;"",AB4&lt;&gt;""),ROUND(BE4/AB4,3),"")</f>
        <v/>
      </c>
      <c r="BG4" s="263" t="str">
        <f>IF(AND(BE4&lt;&gt;"",W4&lt;&gt;""),ROUND(BE4/Y4,3),"")</f>
        <v/>
      </c>
      <c r="BH4" s="71" t="str">
        <f>IF(F4&lt;&gt;"",VLOOKUP(F4,DUTY_2025!A:O,14,FALSE),"")</f>
        <v/>
      </c>
    </row>
    <row r="5" spans="1:60" x14ac:dyDescent="0.25">
      <c r="A5" s="133">
        <f>IF(AND(F5&lt;&gt;"",H5&lt;&gt;"YES"),IF(A4&lt;&gt;"",A4,0)+1,A4)</f>
        <v>1</v>
      </c>
      <c r="B5" s="83">
        <f>IF(AND(F5&lt;&gt;"",H5&lt;&gt;"YES"),IF(B4&lt;&gt;"",B4,A4)+1,"")</f>
        <v>1</v>
      </c>
      <c r="C5" s="126">
        <v>1</v>
      </c>
      <c r="D5" s="127"/>
      <c r="E5" s="84"/>
      <c r="F5" s="32" t="s">
        <v>184</v>
      </c>
      <c r="G5" s="27">
        <f>IF(F5&lt;&gt;"",IFERROR(VLOOKUP(F5,DUTY_2025!A:I,6,FALSE),""),"")</f>
        <v>0</v>
      </c>
      <c r="H5" s="85" t="s">
        <v>133</v>
      </c>
      <c r="I5" s="27" t="str">
        <f>IF(F5&lt;&gt;"",IFERROR(VLOOKUP(F5,DUTY_2025!A:H,2,FALSE),""),"")</f>
        <v>CHILLIES- OTHER</v>
      </c>
      <c r="J5" s="7" t="s">
        <v>516</v>
      </c>
      <c r="K5" s="90">
        <v>0</v>
      </c>
      <c r="L5" s="8">
        <v>200</v>
      </c>
      <c r="M5" s="8">
        <v>2</v>
      </c>
      <c r="N5" s="8">
        <v>50</v>
      </c>
      <c r="O5" s="25">
        <v>5</v>
      </c>
      <c r="P5" s="116">
        <v>5212</v>
      </c>
      <c r="Q5" s="23" t="s">
        <v>25</v>
      </c>
      <c r="R5" s="27" t="s">
        <v>337</v>
      </c>
      <c r="S5" s="86">
        <f>IF(AND(H5&lt;&gt;"YES",N5&lt;&gt;""),N5*L5/1000,"")</f>
        <v>10</v>
      </c>
      <c r="T5" s="87">
        <f>IF(S5&lt;&gt;"",S5*1.1,"")</f>
        <v>11</v>
      </c>
      <c r="U5" s="87" cm="1">
        <f t="array" ref="U5">IF(AND(H5&lt;&gt;"YES",P5&lt;&gt;"",R5&lt;&gt;"",Q5&lt;&gt;""),
_xlfn.SWITCH(Q5,
"INR",_xlfn.SWITCH(R5,"KG",P5*S5,"CTN",P5,"UNIT",P5*N5,"NET",P5/M5,0),
"USD",_xlfn.SWITCH(R5,"KG",P5*S5*SI!$C$10,"CTN",P5*SI!$C$10,"UNIT",P5*N5*SI!$C$10,"NET",P5*SI!$C$10/M5,0),
"LKR",_xlfn.SWITCH(R5,"KG",P5*S5/SI!$C$9,"CTN",P5/SI!$C$9,"UNIT",P5*N5/SI!$C$9,"NET",P5/(M5*SI!$C$9),0),
0),
"")</f>
        <v>2606</v>
      </c>
      <c r="V5" s="87">
        <f>IF(AND(S5&lt;&gt;"",M5&lt;&gt;"",N5&lt;&gt;""),S5*M5,"")</f>
        <v>20</v>
      </c>
      <c r="W5" s="87">
        <f>IF(V5&lt;&gt;"",V5*1.1,"")</f>
        <v>22</v>
      </c>
      <c r="X5" s="88">
        <f>IF(AND(U5&lt;&gt;"",M5&lt;&gt;""),U5*M5,"")</f>
        <v>5212</v>
      </c>
      <c r="Y5" s="24">
        <f>IF(AND(H5&lt;&gt;"YES",M5&lt;&gt;"",N5&lt;&gt;""),IF(E5=1,(N5*M5)/2,N5*M5),"")</f>
        <v>100</v>
      </c>
      <c r="Z5" s="267">
        <f>IF(AND(H5&lt;&gt;"yes",F5&lt;&gt;""),IFERROR(VLOOKUP(F5,DUTY_2025!A:F,5,FALSE),""),"")</f>
        <v>705</v>
      </c>
      <c r="AA5" s="271">
        <f>IF(B5&lt;&gt;"",IF(AND(X5&lt;&gt;"", O5&lt;&gt;""),IF(ROUND(X5*100/(100+O5),0)=0,"",ROUND(X5*100/(100+O5),0)),""),"")</f>
        <v>4964</v>
      </c>
      <c r="AB5" s="16">
        <f>IF(M5&lt;&gt;"",IF(AND(X5&lt;&gt;"",AA5&lt;&gt;""),X5-AA5,""),"")</f>
        <v>248</v>
      </c>
      <c r="AC5" s="16">
        <f>IF(AA5&lt;&gt;"",ROUND(AA5*SI!$C$9,0),"")</f>
        <v>17473</v>
      </c>
      <c r="AD5" s="4">
        <f>IF(AC5&lt;&gt;"",ROUND(AC5/(SI!$C$9*SI!$C$10),2),"")</f>
        <v>52.15</v>
      </c>
      <c r="AE5" s="30">
        <f>IF(AND(X5&lt;&gt;""), ROUND((SI!$E$23)*(X5/SUM($X$5:$X$493)),0),"")</f>
        <v>1357</v>
      </c>
      <c r="AF5" s="272">
        <f>IF(AND(AC5&lt;&gt;"",AE5&lt;&gt;""),ROUND(AC5+AE5,0),"")</f>
        <v>18830</v>
      </c>
      <c r="AG5" s="28">
        <f>IF(AND(Z5&lt;&gt;"",V5&lt;&gt;""),Z5*V5,"")</f>
        <v>14100</v>
      </c>
      <c r="AH5" s="4">
        <f>IF(AD5&lt;&gt;"",ROUND(AD5*10*SI!$C$9/2,0),"")</f>
        <v>918</v>
      </c>
      <c r="AI5" s="29">
        <f>IF(AND(X5&lt;&gt;""), ROUND((SI!$E$28)*(X5/SUM($X$5:$X$493)),0),"")</f>
        <v>3856</v>
      </c>
      <c r="AJ5" s="4">
        <f>IF(AND(AG5&lt;&gt;"",AI5&lt;&gt;"",AH5&lt;&gt;""),AG5+AI5+AH5,"")</f>
        <v>18874</v>
      </c>
      <c r="AK5" s="4">
        <f>IF(AND(AJ5&lt;&gt;"",Y5&lt;&gt;""),ROUND(AJ5/Y5,0),"")</f>
        <v>189</v>
      </c>
      <c r="AL5" s="4">
        <f>IF(AND(AC5&lt;&gt;"",Y5&lt;&gt;""),ROUND(AF5/Y5,0),"")</f>
        <v>188</v>
      </c>
      <c r="AM5" s="4">
        <f>IF(AND(AK5&lt;&gt;"",AL5&lt;&gt;""),AK5+AL5,"")</f>
        <v>377</v>
      </c>
      <c r="AN5" s="195">
        <f>IF(AND(AF5&lt;&gt;"",AG5&lt;&gt;"",AH5&lt;&gt;"",AI5&lt;&gt;""),AF5+AG5+AH5+AI5,"")</f>
        <v>37704</v>
      </c>
      <c r="AO5" s="261">
        <f>IF(AND(AM5&lt;&gt;"",P5&lt;&gt;""),ROUND((AM5*((100+SI!$C$11)/100)),0),"")</f>
        <v>434</v>
      </c>
      <c r="AP5" s="28">
        <f>IF(AG5&lt;&gt;"",ROUND(AG5/SI!$C$9,2),"")</f>
        <v>4005.68</v>
      </c>
      <c r="AQ5" s="4">
        <f>IF(AH5&lt;&gt;"",ROUND(AH5/SI!$C$9,2),"")</f>
        <v>260.8</v>
      </c>
      <c r="AR5" s="29">
        <f>IF(AI5&lt;&gt;"",ROUND(AI5/SI!$C$9,2),"")</f>
        <v>1095.45</v>
      </c>
      <c r="AS5" s="4">
        <f>IF(AND(AP5&lt;&gt;"",AR5&lt;&gt;"",AQ5&lt;&gt;""),AP5+AR5+AQ5,"")</f>
        <v>5361.93</v>
      </c>
      <c r="AT5" s="4">
        <f>IF(AND(AS5&lt;&gt;"",Y5&lt;&gt;""),ROUND(AS5/Y5,2),"")</f>
        <v>53.62</v>
      </c>
      <c r="AU5" s="4">
        <f>IF(AL5&lt;&gt;"",ROUND(AL5/SI!$C$9,2),"")</f>
        <v>53.41</v>
      </c>
      <c r="AV5" s="4">
        <f>IF(AM5&lt;&gt;"",ROUND(AM5/SI!$C$9,2),"")</f>
        <v>107.1</v>
      </c>
      <c r="AW5" s="4">
        <f>IF(AN5&lt;&gt;"",ROUND(AN5/SI!$C$9,2),"")</f>
        <v>10711.36</v>
      </c>
      <c r="AX5" s="261">
        <f>IF(AO5&lt;&gt;"",ROUND(AO5/SI!$C$9,2),"")</f>
        <v>123.3</v>
      </c>
      <c r="AY5" s="28">
        <f>IF(AF5&lt;&gt;"",AF5,"")</f>
        <v>18830</v>
      </c>
      <c r="AZ5" s="4">
        <f>IF(AY5&lt;&gt;"",ROUND(AY5/(SI!$C$9*SI!$C$10),2),"")</f>
        <v>56.2</v>
      </c>
      <c r="BA5" s="4">
        <f>IF(AND(AY5&lt;&gt;"",BH5&lt;&gt;""),ROUND(AY5*BH5/100,2),"")</f>
        <v>15064</v>
      </c>
      <c r="BB5" s="4">
        <f>IF(AND(AZ5&lt;&gt;"",BH5&lt;&gt;""),ROUND(AZ5*BH5/100,2),"")</f>
        <v>44.96</v>
      </c>
      <c r="BC5" s="4">
        <f>IF(AND(BB5&lt;&gt;"",Y5&lt;&gt;""),ROUND(BB5/Y5,3),"")</f>
        <v>0.45</v>
      </c>
      <c r="BD5" s="4">
        <f>IF(AND(BB5&lt;&gt;"",T5&lt;&gt;""),ROUND(BB5/V5,3),"")</f>
        <v>2.2480000000000002</v>
      </c>
      <c r="BE5" s="4">
        <f>IF(AND(X5&lt;&gt;""),ROUND(X5/SI!$C$10,2),"")</f>
        <v>54.75</v>
      </c>
      <c r="BF5" s="4">
        <f>IF(AND(BE5&lt;&gt;"",Y5&lt;&gt;""),ROUND(BE5/Y5,3),"")</f>
        <v>0.54800000000000004</v>
      </c>
      <c r="BG5" s="264">
        <f>IF(AND(BE5&lt;&gt;"",V5&lt;&gt;""),ROUND(BE5/V5,3),"")</f>
        <v>2.738</v>
      </c>
      <c r="BH5" s="71">
        <f>IF(F5&lt;&gt;"",VLOOKUP(F5,DUTY_2025!A:O,15,FALSE),"")</f>
        <v>80</v>
      </c>
    </row>
    <row r="6" spans="1:60" x14ac:dyDescent="0.25">
      <c r="A6" s="133">
        <f t="shared" ref="A6:A69" si="0">IF(AND(F6&lt;&gt;"",H6&lt;&gt;"YES"),IF(A5&lt;&gt;"",A5,0)+1,A5)</f>
        <v>2</v>
      </c>
      <c r="B6" s="83">
        <f t="shared" ref="B6:B69" si="1">IF(AND(F6&lt;&gt;"",H6&lt;&gt;"YES"),IF(B5&lt;&gt;"",B5,A5)+1,"")</f>
        <v>2</v>
      </c>
      <c r="C6" s="126">
        <v>1</v>
      </c>
      <c r="D6" s="127"/>
      <c r="E6" s="84"/>
      <c r="F6" s="32" t="s">
        <v>184</v>
      </c>
      <c r="G6" s="27">
        <f>IF(F6&lt;&gt;"",IFERROR(VLOOKUP(F6,DUTY_2025!A:I,6,FALSE),""),"")</f>
        <v>0</v>
      </c>
      <c r="H6" s="85" t="s">
        <v>133</v>
      </c>
      <c r="I6" s="27" t="str">
        <f>IF(F6&lt;&gt;"",IFERROR(VLOOKUP(F6,DUTY_2025!A:H,2,FALSE),""),"")</f>
        <v>CHILLIES- OTHER</v>
      </c>
      <c r="J6" s="7" t="s">
        <v>517</v>
      </c>
      <c r="K6" s="90">
        <v>0</v>
      </c>
      <c r="L6" s="8">
        <v>500</v>
      </c>
      <c r="M6" s="8">
        <v>30</v>
      </c>
      <c r="N6" s="8">
        <v>40</v>
      </c>
      <c r="O6" s="25">
        <v>5</v>
      </c>
      <c r="P6" s="116">
        <v>156330</v>
      </c>
      <c r="Q6" s="23" t="s">
        <v>25</v>
      </c>
      <c r="R6" s="27" t="s">
        <v>337</v>
      </c>
      <c r="S6" s="86">
        <f t="shared" ref="S6:S69" si="2">IF(AND(H6&lt;&gt;"YES",N6&lt;&gt;""),N6*L6/1000,"")</f>
        <v>20</v>
      </c>
      <c r="T6" s="87">
        <f t="shared" ref="T6:T69" si="3">IF(S6&lt;&gt;"",S6*1.1,"")</f>
        <v>22</v>
      </c>
      <c r="U6" s="87" cm="1">
        <f t="array" ref="U6">IF(AND(H6&lt;&gt;"YES",P6&lt;&gt;"",R6&lt;&gt;"",Q6&lt;&gt;""),
_xlfn.SWITCH(Q6,
"INR",_xlfn.SWITCH(R6,"KG",P6*S6,"CTN",P6,"UNIT",P6*N6,"NET",P6/M6,0),
"USD",_xlfn.SWITCH(R6,"KG",P6*S6*SI!$C$10,"CTN",P6*SI!$C$10,"UNIT",P6*N6*SI!$C$10,"NET",P6*SI!$C$10/M6,0),
"LKR",_xlfn.SWITCH(R6,"KG",P6*S6/SI!$C$9,"CTN",P6/SI!$C$9,"UNIT",P6*N6/SI!$C$9,"NET",P6/(M6*SI!$C$9),0),
0),
"")</f>
        <v>5211</v>
      </c>
      <c r="V6" s="87">
        <f t="shared" ref="V6:V69" si="4">IF(AND(S6&lt;&gt;"",M6&lt;&gt;"",N6&lt;&gt;""),S6*M6,"")</f>
        <v>600</v>
      </c>
      <c r="W6" s="87">
        <f t="shared" ref="W6:W69" si="5">IF(V6&lt;&gt;"",V6*1.1,"")</f>
        <v>660</v>
      </c>
      <c r="X6" s="88">
        <f t="shared" ref="X6:X69" si="6">IF(AND(U6&lt;&gt;"",M6&lt;&gt;""),U6*M6,"")</f>
        <v>156330</v>
      </c>
      <c r="Y6" s="24">
        <f t="shared" ref="Y6:Y69" si="7">IF(AND(H6&lt;&gt;"YES",M6&lt;&gt;"",N6&lt;&gt;""),IF(E6=1,(N6*M6)/2,N6*M6),"")</f>
        <v>1200</v>
      </c>
      <c r="Z6" s="267">
        <f>IF(AND(H6&lt;&gt;"yes",F6&lt;&gt;""),IFERROR(VLOOKUP(F6,DUTY_2025!A:F,5,FALSE),""),"")</f>
        <v>705</v>
      </c>
      <c r="AA6" s="271">
        <f t="shared" ref="AA6:AA69" si="8">IF(B6&lt;&gt;"",IF(AND(X6&lt;&gt;"", O6&lt;&gt;""),IF(ROUND(X6*100/(100+O6),0)=0,"",ROUND(X6*100/(100+O6),0)),""),"")</f>
        <v>148886</v>
      </c>
      <c r="AB6" s="16">
        <f t="shared" ref="AB6:AB69" si="9">IF(M6&lt;&gt;"",IF(AND(X6&lt;&gt;"",AA6&lt;&gt;""),X6-AA6,""),"")</f>
        <v>7444</v>
      </c>
      <c r="AC6" s="16">
        <f>IF(AA6&lt;&gt;"",ROUND(AA6*SI!$C$9,0),"")</f>
        <v>524079</v>
      </c>
      <c r="AD6" s="4">
        <f>IF(AC6&lt;&gt;"",ROUND(AC6/(SI!$C$9*SI!$C$10),2),"")</f>
        <v>1564.09</v>
      </c>
      <c r="AE6" s="30">
        <f>IF(AND(X6&lt;&gt;""), ROUND((SI!$E$23)*(X6/SUM($X$5:$X$493)),0),"")</f>
        <v>40715</v>
      </c>
      <c r="AF6" s="272">
        <f t="shared" ref="AF6:AF69" si="10">IF(AND(AC6&lt;&gt;"",AE6&lt;&gt;""),ROUND(AC6+AE6,0),"")</f>
        <v>564794</v>
      </c>
      <c r="AG6" s="28">
        <f t="shared" ref="AG6:AG69" si="11">IF(AND(Z6&lt;&gt;"",V6&lt;&gt;""),Z6*V6,"")</f>
        <v>423000</v>
      </c>
      <c r="AH6" s="4">
        <f>IF(AD6&lt;&gt;"",ROUND(AD6*10*SI!$C$9/2,0),"")</f>
        <v>27528</v>
      </c>
      <c r="AI6" s="29">
        <f>IF(AND(X6&lt;&gt;""), ROUND((SI!$E$28)*(X6/SUM($X$5:$X$493)),0),"")</f>
        <v>115668</v>
      </c>
      <c r="AJ6" s="4">
        <f t="shared" ref="AJ6:AJ69" si="12">IF(AND(AG6&lt;&gt;"",AI6&lt;&gt;"",AH6&lt;&gt;""),AG6+AI6+AH6,"")</f>
        <v>566196</v>
      </c>
      <c r="AK6" s="4">
        <f t="shared" ref="AK6:AK69" si="13">IF(AND(AJ6&lt;&gt;"",Y6&lt;&gt;""),ROUND(AJ6/Y6,0),"")</f>
        <v>472</v>
      </c>
      <c r="AL6" s="4">
        <f t="shared" ref="AL6:AL69" si="14">IF(AND(AC6&lt;&gt;"",Y6&lt;&gt;""),ROUND(AF6/Y6,0),"")</f>
        <v>471</v>
      </c>
      <c r="AM6" s="4">
        <f t="shared" ref="AM6:AM69" si="15">IF(AND(AK6&lt;&gt;"",AL6&lt;&gt;""),AK6+AL6,"")</f>
        <v>943</v>
      </c>
      <c r="AN6" s="195">
        <f t="shared" ref="AN6:AN69" si="16">IF(AND(AF6&lt;&gt;"",AG6&lt;&gt;"",AH6&lt;&gt;"",AI6&lt;&gt;""),AF6+AG6+AH6+AI6,"")</f>
        <v>1130990</v>
      </c>
      <c r="AO6" s="261">
        <f>IF(AND(AM6&lt;&gt;"",P6&lt;&gt;""),ROUND((AM6*((100+SI!$C$11)/100)),0),"")</f>
        <v>1084</v>
      </c>
      <c r="AP6" s="28">
        <f>IF(AG6&lt;&gt;"",ROUND(AG6/SI!$C$9,2),"")</f>
        <v>120170.45</v>
      </c>
      <c r="AQ6" s="4">
        <f>IF(AH6&lt;&gt;"",ROUND(AH6/SI!$C$9,2),"")</f>
        <v>7820.45</v>
      </c>
      <c r="AR6" s="29">
        <f>IF(AI6&lt;&gt;"",ROUND(AI6/SI!$C$9,2),"")</f>
        <v>32860.230000000003</v>
      </c>
      <c r="AS6" s="4">
        <f t="shared" ref="AS6:AS69" si="17">IF(AND(AP6&lt;&gt;"",AR6&lt;&gt;"",AQ6&lt;&gt;""),AP6+AR6+AQ6,"")</f>
        <v>160851.13</v>
      </c>
      <c r="AT6" s="4">
        <f t="shared" ref="AT6:AT69" si="18">IF(AND(AS6&lt;&gt;"",Y6&lt;&gt;""),ROUND(AS6/Y6,2),"")</f>
        <v>134.04</v>
      </c>
      <c r="AU6" s="4">
        <f>IF(AL6&lt;&gt;"",ROUND(AL6/SI!$C$9,2),"")</f>
        <v>133.81</v>
      </c>
      <c r="AV6" s="4">
        <f>IF(AM6&lt;&gt;"",ROUND(AM6/SI!$C$9,2),"")</f>
        <v>267.89999999999998</v>
      </c>
      <c r="AW6" s="4">
        <f>IF(AN6&lt;&gt;"",ROUND(AN6/SI!$C$9,2),"")</f>
        <v>321303.98</v>
      </c>
      <c r="AX6" s="261">
        <f>IF(AO6&lt;&gt;"",ROUND(AO6/SI!$C$9,2),"")</f>
        <v>307.95</v>
      </c>
      <c r="AY6" s="28">
        <f t="shared" ref="AY6:AY69" si="19">IF(AF6&lt;&gt;"",AF6,"")</f>
        <v>564794</v>
      </c>
      <c r="AZ6" s="4">
        <f>IF(AY6&lt;&gt;"",ROUND(AY6/(SI!$C$9*SI!$C$10),2),"")</f>
        <v>1685.61</v>
      </c>
      <c r="BA6" s="4">
        <f t="shared" ref="BA6:BA69" si="20">IF(AND(AY6&lt;&gt;"",BH6&lt;&gt;""),ROUND(AY6*BH6/100,2),"")</f>
        <v>451835.2</v>
      </c>
      <c r="BB6" s="4">
        <f t="shared" ref="BB6:BB69" si="21">IF(AND(AZ6&lt;&gt;"",BH6&lt;&gt;""),ROUND(AZ6*BH6/100,2),"")</f>
        <v>1348.49</v>
      </c>
      <c r="BC6" s="4">
        <f t="shared" ref="BC6:BC69" si="22">IF(AND(BB6&lt;&gt;"",Y6&lt;&gt;""),ROUND(BB6/Y6,3),"")</f>
        <v>1.1240000000000001</v>
      </c>
      <c r="BD6" s="4">
        <f t="shared" ref="BD6:BD69" si="23">IF(AND(BB6&lt;&gt;"",T6&lt;&gt;""),ROUND(BB6/V6,3),"")</f>
        <v>2.2469999999999999</v>
      </c>
      <c r="BE6" s="4">
        <f>IF(AND(X6&lt;&gt;""),ROUND(X6/SI!$C$10,2),"")</f>
        <v>1642.29</v>
      </c>
      <c r="BF6" s="4">
        <f>IF(AND(BE6&lt;&gt;"",Y6&lt;&gt;""),ROUND(BE6/Y6,3),"")</f>
        <v>1.369</v>
      </c>
      <c r="BG6" s="264">
        <f t="shared" ref="BG6:BG69" si="24">IF(AND(BE6&lt;&gt;"",V6&lt;&gt;""),ROUND(BE6/V6,3),"")</f>
        <v>2.7370000000000001</v>
      </c>
      <c r="BH6" s="71">
        <f>IF(F6&lt;&gt;"",VLOOKUP(F6,DUTY_2025!A:O,15,FALSE),"")</f>
        <v>80</v>
      </c>
    </row>
    <row r="7" spans="1:60" x14ac:dyDescent="0.25">
      <c r="A7" s="133">
        <f t="shared" si="0"/>
        <v>3</v>
      </c>
      <c r="B7" s="83">
        <f t="shared" si="1"/>
        <v>3</v>
      </c>
      <c r="C7" s="126">
        <v>1</v>
      </c>
      <c r="D7" s="127"/>
      <c r="E7" s="84"/>
      <c r="F7" s="341" t="s">
        <v>467</v>
      </c>
      <c r="G7" s="27" t="str">
        <f>IF(F7&lt;&gt;"",IFERROR(VLOOKUP(F7,DUTY_2025!A:I,6,FALSE),""),"")</f>
        <v>L</v>
      </c>
      <c r="H7" s="85" t="s">
        <v>133</v>
      </c>
      <c r="I7" s="27" t="str">
        <f>IF(F7&lt;&gt;"",IFERROR(VLOOKUP(F7,DUTY_2025!A:H,2,FALSE),""),"")</f>
        <v>KURAKKAN FLOUR</v>
      </c>
      <c r="J7" s="7" t="s">
        <v>518</v>
      </c>
      <c r="K7" s="90">
        <v>0</v>
      </c>
      <c r="L7" s="8">
        <v>500</v>
      </c>
      <c r="M7" s="8">
        <v>10</v>
      </c>
      <c r="N7" s="8">
        <v>20</v>
      </c>
      <c r="O7" s="25">
        <v>5</v>
      </c>
      <c r="P7" s="116">
        <v>6290</v>
      </c>
      <c r="Q7" s="23" t="s">
        <v>25</v>
      </c>
      <c r="R7" s="27" t="s">
        <v>337</v>
      </c>
      <c r="S7" s="86">
        <f t="shared" si="2"/>
        <v>10</v>
      </c>
      <c r="T7" s="87">
        <f t="shared" si="3"/>
        <v>11</v>
      </c>
      <c r="U7" s="87" cm="1">
        <f t="array" ref="U7">IF(AND(H7&lt;&gt;"YES",P7&lt;&gt;"",R7&lt;&gt;"",Q7&lt;&gt;""),
_xlfn.SWITCH(Q7,
"INR",_xlfn.SWITCH(R7,"KG",P7*S7,"CTN",P7,"UNIT",P7*N7,"NET",P7/M7,0),
"USD",_xlfn.SWITCH(R7,"KG",P7*S7*SI!$C$10,"CTN",P7*SI!$C$10,"UNIT",P7*N7*SI!$C$10,"NET",P7*SI!$C$10/M7,0),
"LKR",_xlfn.SWITCH(R7,"KG",P7*S7/SI!$C$9,"CTN",P7/SI!$C$9,"UNIT",P7*N7/SI!$C$9,"NET",P7/(M7*SI!$C$9),0),
0),
"")</f>
        <v>629</v>
      </c>
      <c r="V7" s="87">
        <f t="shared" si="4"/>
        <v>100</v>
      </c>
      <c r="W7" s="87">
        <f t="shared" si="5"/>
        <v>110.00000000000001</v>
      </c>
      <c r="X7" s="88">
        <f t="shared" si="6"/>
        <v>6290</v>
      </c>
      <c r="Y7" s="24">
        <f t="shared" si="7"/>
        <v>200</v>
      </c>
      <c r="Z7" s="267">
        <f>IF(AND(H7&lt;&gt;"yes",F7&lt;&gt;""),IFERROR(VLOOKUP(F7,DUTY_2025!A:F,5,FALSE),""),"")</f>
        <v>107</v>
      </c>
      <c r="AA7" s="271">
        <f t="shared" si="8"/>
        <v>5990</v>
      </c>
      <c r="AB7" s="16">
        <f t="shared" si="9"/>
        <v>300</v>
      </c>
      <c r="AC7" s="16">
        <f>IF(AA7&lt;&gt;"",ROUND(AA7*SI!$C$9,0),"")</f>
        <v>21085</v>
      </c>
      <c r="AD7" s="4">
        <f>IF(AC7&lt;&gt;"",ROUND(AC7/(SI!$C$9*SI!$C$10),2),"")</f>
        <v>62.93</v>
      </c>
      <c r="AE7" s="30">
        <f>IF(AND(X7&lt;&gt;""), ROUND((SI!$E$23)*(X7/SUM($X$5:$X$493)),0),"")</f>
        <v>1638</v>
      </c>
      <c r="AF7" s="272">
        <f t="shared" si="10"/>
        <v>22723</v>
      </c>
      <c r="AG7" s="28">
        <f t="shared" si="11"/>
        <v>10700</v>
      </c>
      <c r="AH7" s="4">
        <f>IF(AD7&lt;&gt;"",ROUND(AD7*10*SI!$C$9/2,0),"")</f>
        <v>1108</v>
      </c>
      <c r="AI7" s="29">
        <f>IF(AND(X7&lt;&gt;""), ROUND((SI!$E$28)*(X7/SUM($X$5:$X$493)),0),"")</f>
        <v>4654</v>
      </c>
      <c r="AJ7" s="4">
        <f t="shared" si="12"/>
        <v>16462</v>
      </c>
      <c r="AK7" s="4">
        <f t="shared" si="13"/>
        <v>82</v>
      </c>
      <c r="AL7" s="4">
        <f t="shared" si="14"/>
        <v>114</v>
      </c>
      <c r="AM7" s="4">
        <f t="shared" si="15"/>
        <v>196</v>
      </c>
      <c r="AN7" s="195">
        <f t="shared" si="16"/>
        <v>39185</v>
      </c>
      <c r="AO7" s="261">
        <f>IF(AND(AM7&lt;&gt;"",P7&lt;&gt;""),ROUND((AM7*((100+SI!$C$11)/100)),0),"")</f>
        <v>225</v>
      </c>
      <c r="AP7" s="28">
        <f>IF(AG7&lt;&gt;"",ROUND(AG7/SI!$C$9,2),"")</f>
        <v>3039.77</v>
      </c>
      <c r="AQ7" s="4">
        <f>IF(AH7&lt;&gt;"",ROUND(AH7/SI!$C$9,2),"")</f>
        <v>314.77</v>
      </c>
      <c r="AR7" s="29">
        <f>IF(AI7&lt;&gt;"",ROUND(AI7/SI!$C$9,2),"")</f>
        <v>1322.16</v>
      </c>
      <c r="AS7" s="4">
        <f t="shared" si="17"/>
        <v>4676.7000000000007</v>
      </c>
      <c r="AT7" s="4">
        <f t="shared" si="18"/>
        <v>23.38</v>
      </c>
      <c r="AU7" s="4">
        <f>IF(AL7&lt;&gt;"",ROUND(AL7/SI!$C$9,2),"")</f>
        <v>32.39</v>
      </c>
      <c r="AV7" s="4">
        <f>IF(AM7&lt;&gt;"",ROUND(AM7/SI!$C$9,2),"")</f>
        <v>55.68</v>
      </c>
      <c r="AW7" s="4">
        <f>IF(AN7&lt;&gt;"",ROUND(AN7/SI!$C$9,2),"")</f>
        <v>11132.1</v>
      </c>
      <c r="AX7" s="261">
        <f>IF(AO7&lt;&gt;"",ROUND(AO7/SI!$C$9,2),"")</f>
        <v>63.92</v>
      </c>
      <c r="AY7" s="28">
        <f t="shared" si="19"/>
        <v>22723</v>
      </c>
      <c r="AZ7" s="4">
        <f>IF(AY7&lt;&gt;"",ROUND(AY7/(SI!$C$9*SI!$C$10),2),"")</f>
        <v>67.819999999999993</v>
      </c>
      <c r="BA7" s="4">
        <f t="shared" si="20"/>
        <v>18178.400000000001</v>
      </c>
      <c r="BB7" s="4">
        <f t="shared" si="21"/>
        <v>54.26</v>
      </c>
      <c r="BC7" s="4">
        <f t="shared" si="22"/>
        <v>0.27100000000000002</v>
      </c>
      <c r="BD7" s="4">
        <f t="shared" si="23"/>
        <v>0.54300000000000004</v>
      </c>
      <c r="BE7" s="4">
        <f>IF(AND(X7&lt;&gt;""),ROUND(X7/SI!$C$10,2),"")</f>
        <v>66.08</v>
      </c>
      <c r="BF7" s="4">
        <f t="shared" ref="BF7:BF70" si="25">IF(AND(BE7&lt;&gt;"",Y7&lt;&gt;""),ROUND(BE7/Y7,3),"")</f>
        <v>0.33</v>
      </c>
      <c r="BG7" s="264">
        <f t="shared" si="24"/>
        <v>0.66100000000000003</v>
      </c>
      <c r="BH7" s="71">
        <f>IF(F7&lt;&gt;"",VLOOKUP(F7,DUTY_2025!A:O,15,FALSE),"")</f>
        <v>80</v>
      </c>
    </row>
    <row r="8" spans="1:60" x14ac:dyDescent="0.25">
      <c r="A8" s="133">
        <f t="shared" si="0"/>
        <v>4</v>
      </c>
      <c r="B8" s="83">
        <f t="shared" si="1"/>
        <v>4</v>
      </c>
      <c r="C8" s="126">
        <v>1</v>
      </c>
      <c r="D8" s="127"/>
      <c r="E8" s="84"/>
      <c r="F8" s="36" t="s">
        <v>202</v>
      </c>
      <c r="G8" s="27" t="str">
        <f>IF(F8&lt;&gt;"",IFERROR(VLOOKUP(F8,DUTY_2025!A:I,6,FALSE),""),"")</f>
        <v>S</v>
      </c>
      <c r="H8" s="85" t="s">
        <v>133</v>
      </c>
      <c r="I8" s="27" t="str">
        <f>IF(F8&lt;&gt;"",IFERROR(VLOOKUP(F8,DUTY_2025!A:H,2,FALSE),""),"")</f>
        <v>DHANIYA POWDER</v>
      </c>
      <c r="J8" s="7" t="s">
        <v>519</v>
      </c>
      <c r="K8" s="90">
        <v>0</v>
      </c>
      <c r="L8" s="8">
        <v>500</v>
      </c>
      <c r="M8" s="8">
        <v>10</v>
      </c>
      <c r="N8" s="8">
        <v>40</v>
      </c>
      <c r="O8" s="25">
        <v>5</v>
      </c>
      <c r="P8" s="116">
        <v>43130</v>
      </c>
      <c r="Q8" s="23" t="s">
        <v>25</v>
      </c>
      <c r="R8" s="27" t="s">
        <v>337</v>
      </c>
      <c r="S8" s="86">
        <f t="shared" si="2"/>
        <v>20</v>
      </c>
      <c r="T8" s="87">
        <f t="shared" si="3"/>
        <v>22</v>
      </c>
      <c r="U8" s="87" cm="1">
        <f t="array" ref="U8">IF(AND(H8&lt;&gt;"YES",P8&lt;&gt;"",R8&lt;&gt;"",Q8&lt;&gt;""),
_xlfn.SWITCH(Q8,
"INR",_xlfn.SWITCH(R8,"KG",P8*S8,"CTN",P8,"UNIT",P8*N8,"NET",P8/M8,0),
"USD",_xlfn.SWITCH(R8,"KG",P8*S8*SI!$C$10,"CTN",P8*SI!$C$10,"UNIT",P8*N8*SI!$C$10,"NET",P8*SI!$C$10/M8,0),
"LKR",_xlfn.SWITCH(R8,"KG",P8*S8/SI!$C$9,"CTN",P8/SI!$C$9,"UNIT",P8*N8/SI!$C$9,"NET",P8/(M8*SI!$C$9),0),
0),
"")</f>
        <v>4313</v>
      </c>
      <c r="V8" s="87">
        <f t="shared" si="4"/>
        <v>200</v>
      </c>
      <c r="W8" s="87">
        <f t="shared" si="5"/>
        <v>220.00000000000003</v>
      </c>
      <c r="X8" s="88">
        <f t="shared" si="6"/>
        <v>43130</v>
      </c>
      <c r="Y8" s="24">
        <f t="shared" si="7"/>
        <v>400</v>
      </c>
      <c r="Z8" s="267">
        <f>IF(AND(H8&lt;&gt;"yes",F8&lt;&gt;""),IFERROR(VLOOKUP(F8,DUTY_2025!A:F,5,FALSE),""),"")</f>
        <v>52</v>
      </c>
      <c r="AA8" s="271">
        <f t="shared" si="8"/>
        <v>41076</v>
      </c>
      <c r="AB8" s="16">
        <f t="shared" si="9"/>
        <v>2054</v>
      </c>
      <c r="AC8" s="16">
        <f>IF(AA8&lt;&gt;"",ROUND(AA8*SI!$C$9,0),"")</f>
        <v>144588</v>
      </c>
      <c r="AD8" s="4">
        <f>IF(AC8&lt;&gt;"",ROUND(AC8/(SI!$C$9*SI!$C$10),2),"")</f>
        <v>431.52</v>
      </c>
      <c r="AE8" s="30">
        <f>IF(AND(X8&lt;&gt;""), ROUND((SI!$E$23)*(X8/SUM($X$5:$X$493)),0),"")</f>
        <v>11233</v>
      </c>
      <c r="AF8" s="272">
        <f t="shared" si="10"/>
        <v>155821</v>
      </c>
      <c r="AG8" s="28">
        <f t="shared" si="11"/>
        <v>10400</v>
      </c>
      <c r="AH8" s="4">
        <f>IF(AD8&lt;&gt;"",ROUND(AD8*10*SI!$C$9/2,0),"")</f>
        <v>7595</v>
      </c>
      <c r="AI8" s="29">
        <f>IF(AND(X8&lt;&gt;""), ROUND((SI!$E$28)*(X8/SUM($X$5:$X$493)),0),"")</f>
        <v>31912</v>
      </c>
      <c r="AJ8" s="4">
        <f t="shared" si="12"/>
        <v>49907</v>
      </c>
      <c r="AK8" s="4">
        <f t="shared" si="13"/>
        <v>125</v>
      </c>
      <c r="AL8" s="4">
        <f t="shared" si="14"/>
        <v>390</v>
      </c>
      <c r="AM8" s="4">
        <f t="shared" si="15"/>
        <v>515</v>
      </c>
      <c r="AN8" s="195">
        <f t="shared" si="16"/>
        <v>205728</v>
      </c>
      <c r="AO8" s="261">
        <f>IF(AND(AM8&lt;&gt;"",P8&lt;&gt;""),ROUND((AM8*((100+SI!$C$11)/100)),0),"")</f>
        <v>592</v>
      </c>
      <c r="AP8" s="28">
        <f>IF(AG8&lt;&gt;"",ROUND(AG8/SI!$C$9,2),"")</f>
        <v>2954.55</v>
      </c>
      <c r="AQ8" s="4">
        <f>IF(AH8&lt;&gt;"",ROUND(AH8/SI!$C$9,2),"")</f>
        <v>2157.67</v>
      </c>
      <c r="AR8" s="29">
        <f>IF(AI8&lt;&gt;"",ROUND(AI8/SI!$C$9,2),"")</f>
        <v>9065.91</v>
      </c>
      <c r="AS8" s="4">
        <f t="shared" si="17"/>
        <v>14178.13</v>
      </c>
      <c r="AT8" s="4">
        <f t="shared" si="18"/>
        <v>35.450000000000003</v>
      </c>
      <c r="AU8" s="4">
        <f>IF(AL8&lt;&gt;"",ROUND(AL8/SI!$C$9,2),"")</f>
        <v>110.8</v>
      </c>
      <c r="AV8" s="4">
        <f>IF(AM8&lt;&gt;"",ROUND(AM8/SI!$C$9,2),"")</f>
        <v>146.31</v>
      </c>
      <c r="AW8" s="4">
        <f>IF(AN8&lt;&gt;"",ROUND(AN8/SI!$C$9,2),"")</f>
        <v>58445.45</v>
      </c>
      <c r="AX8" s="261">
        <f>IF(AO8&lt;&gt;"",ROUND(AO8/SI!$C$9,2),"")</f>
        <v>168.18</v>
      </c>
      <c r="AY8" s="28">
        <f t="shared" si="19"/>
        <v>155821</v>
      </c>
      <c r="AZ8" s="4">
        <f>IF(AY8&lt;&gt;"",ROUND(AY8/(SI!$C$9*SI!$C$10),2),"")</f>
        <v>465.04</v>
      </c>
      <c r="BA8" s="4">
        <f t="shared" si="20"/>
        <v>155821</v>
      </c>
      <c r="BB8" s="4">
        <f t="shared" si="21"/>
        <v>465.04</v>
      </c>
      <c r="BC8" s="4">
        <f t="shared" si="22"/>
        <v>1.163</v>
      </c>
      <c r="BD8" s="4">
        <f t="shared" si="23"/>
        <v>2.3250000000000002</v>
      </c>
      <c r="BE8" s="4">
        <f>IF(AND(X8&lt;&gt;""),ROUND(X8/SI!$C$10,2),"")</f>
        <v>453.09</v>
      </c>
      <c r="BF8" s="4">
        <f t="shared" si="25"/>
        <v>1.133</v>
      </c>
      <c r="BG8" s="264">
        <f t="shared" si="24"/>
        <v>2.2650000000000001</v>
      </c>
      <c r="BH8" s="71">
        <f>IF(F8&lt;&gt;"",VLOOKUP(F8,DUTY_2025!A:O,15,FALSE),"")</f>
        <v>100</v>
      </c>
    </row>
    <row r="9" spans="1:60" x14ac:dyDescent="0.25">
      <c r="A9" s="133">
        <f t="shared" si="0"/>
        <v>5</v>
      </c>
      <c r="B9" s="83">
        <f t="shared" si="1"/>
        <v>5</v>
      </c>
      <c r="C9" s="126">
        <v>1</v>
      </c>
      <c r="D9" s="127"/>
      <c r="E9" s="84"/>
      <c r="F9" s="36" t="s">
        <v>66</v>
      </c>
      <c r="G9" s="27">
        <f>IF(F9&lt;&gt;"",IFERROR(VLOOKUP(F9,DUTY_2025!A:I,6,FALSE),""),"")</f>
        <v>0</v>
      </c>
      <c r="H9" s="85" t="s">
        <v>133</v>
      </c>
      <c r="I9" s="27" t="str">
        <f>IF(F9&lt;&gt;"",IFERROR(VLOOKUP(F9,DUTY_2025!A:H,2,FALSE),""),"")</f>
        <v>HEALTH MIXES</v>
      </c>
      <c r="J9" s="7" t="s">
        <v>520</v>
      </c>
      <c r="K9" s="90">
        <v>0</v>
      </c>
      <c r="L9" s="8">
        <v>200</v>
      </c>
      <c r="M9" s="8">
        <v>13</v>
      </c>
      <c r="N9" s="8">
        <v>40</v>
      </c>
      <c r="O9" s="25">
        <v>5</v>
      </c>
      <c r="P9" s="116">
        <v>25980</v>
      </c>
      <c r="Q9" s="23" t="s">
        <v>25</v>
      </c>
      <c r="R9" s="27" t="s">
        <v>337</v>
      </c>
      <c r="S9" s="86">
        <f t="shared" si="2"/>
        <v>8</v>
      </c>
      <c r="T9" s="87">
        <f t="shared" si="3"/>
        <v>8.8000000000000007</v>
      </c>
      <c r="U9" s="87" cm="1">
        <f t="array" ref="U9">IF(AND(H9&lt;&gt;"YES",P9&lt;&gt;"",R9&lt;&gt;"",Q9&lt;&gt;""),
_xlfn.SWITCH(Q9,
"INR",_xlfn.SWITCH(R9,"KG",P9*S9,"CTN",P9,"UNIT",P9*N9,"NET",P9/M9,0),
"USD",_xlfn.SWITCH(R9,"KG",P9*S9*SI!$C$10,"CTN",P9*SI!$C$10,"UNIT",P9*N9*SI!$C$10,"NET",P9*SI!$C$10/M9,0),
"LKR",_xlfn.SWITCH(R9,"KG",P9*S9/SI!$C$9,"CTN",P9/SI!$C$9,"UNIT",P9*N9/SI!$C$9,"NET",P9/(M9*SI!$C$9),0),
0),
"")</f>
        <v>1998.4615384615386</v>
      </c>
      <c r="V9" s="87">
        <f t="shared" si="4"/>
        <v>104</v>
      </c>
      <c r="W9" s="87">
        <f t="shared" si="5"/>
        <v>114.4</v>
      </c>
      <c r="X9" s="88">
        <f t="shared" si="6"/>
        <v>25980</v>
      </c>
      <c r="Y9" s="24">
        <f t="shared" si="7"/>
        <v>520</v>
      </c>
      <c r="Z9" s="267">
        <f>IF(AND(H9&lt;&gt;"yes",F9&lt;&gt;""),IFERROR(VLOOKUP(F9,DUTY_2025!A:F,5,FALSE),""),"")</f>
        <v>570</v>
      </c>
      <c r="AA9" s="271">
        <f t="shared" si="8"/>
        <v>24743</v>
      </c>
      <c r="AB9" s="16">
        <f t="shared" si="9"/>
        <v>1237</v>
      </c>
      <c r="AC9" s="16">
        <f>IF(AA9&lt;&gt;"",ROUND(AA9*SI!$C$9,0),"")</f>
        <v>87095</v>
      </c>
      <c r="AD9" s="4">
        <f>IF(AC9&lt;&gt;"",ROUND(AC9/(SI!$C$9*SI!$C$10),2),"")</f>
        <v>259.93</v>
      </c>
      <c r="AE9" s="30">
        <f>IF(AND(X9&lt;&gt;""), ROUND((SI!$E$23)*(X9/SUM($X$5:$X$493)),0),"")</f>
        <v>6766</v>
      </c>
      <c r="AF9" s="272">
        <f t="shared" si="10"/>
        <v>93861</v>
      </c>
      <c r="AG9" s="28">
        <f t="shared" si="11"/>
        <v>59280</v>
      </c>
      <c r="AH9" s="4">
        <f>IF(AD9&lt;&gt;"",ROUND(AD9*10*SI!$C$9/2,0),"")</f>
        <v>4575</v>
      </c>
      <c r="AI9" s="29">
        <f>IF(AND(X9&lt;&gt;""), ROUND((SI!$E$28)*(X9/SUM($X$5:$X$493)),0),"")</f>
        <v>19223</v>
      </c>
      <c r="AJ9" s="4">
        <f t="shared" si="12"/>
        <v>83078</v>
      </c>
      <c r="AK9" s="4">
        <f t="shared" si="13"/>
        <v>160</v>
      </c>
      <c r="AL9" s="4">
        <f t="shared" si="14"/>
        <v>181</v>
      </c>
      <c r="AM9" s="4">
        <f t="shared" si="15"/>
        <v>341</v>
      </c>
      <c r="AN9" s="195">
        <f t="shared" si="16"/>
        <v>176939</v>
      </c>
      <c r="AO9" s="261">
        <f>IF(AND(AM9&lt;&gt;"",P9&lt;&gt;""),ROUND((AM9*((100+SI!$C$11)/100)),0),"")</f>
        <v>392</v>
      </c>
      <c r="AP9" s="28">
        <f>IF(AG9&lt;&gt;"",ROUND(AG9/SI!$C$9,2),"")</f>
        <v>16840.91</v>
      </c>
      <c r="AQ9" s="4">
        <f>IF(AH9&lt;&gt;"",ROUND(AH9/SI!$C$9,2),"")</f>
        <v>1299.72</v>
      </c>
      <c r="AR9" s="29">
        <f>IF(AI9&lt;&gt;"",ROUND(AI9/SI!$C$9,2),"")</f>
        <v>5461.08</v>
      </c>
      <c r="AS9" s="4">
        <f t="shared" si="17"/>
        <v>23601.71</v>
      </c>
      <c r="AT9" s="4">
        <f t="shared" si="18"/>
        <v>45.39</v>
      </c>
      <c r="AU9" s="4">
        <f>IF(AL9&lt;&gt;"",ROUND(AL9/SI!$C$9,2),"")</f>
        <v>51.42</v>
      </c>
      <c r="AV9" s="4">
        <f>IF(AM9&lt;&gt;"",ROUND(AM9/SI!$C$9,2),"")</f>
        <v>96.88</v>
      </c>
      <c r="AW9" s="4">
        <f>IF(AN9&lt;&gt;"",ROUND(AN9/SI!$C$9,2),"")</f>
        <v>50266.76</v>
      </c>
      <c r="AX9" s="261">
        <f>IF(AO9&lt;&gt;"",ROUND(AO9/SI!$C$9,2),"")</f>
        <v>111.36</v>
      </c>
      <c r="AY9" s="28">
        <f t="shared" si="19"/>
        <v>93861</v>
      </c>
      <c r="AZ9" s="4">
        <f>IF(AY9&lt;&gt;"",ROUND(AY9/(SI!$C$9*SI!$C$10),2),"")</f>
        <v>280.12</v>
      </c>
      <c r="BA9" s="4">
        <f t="shared" si="20"/>
        <v>75088.800000000003</v>
      </c>
      <c r="BB9" s="4">
        <f t="shared" si="21"/>
        <v>224.1</v>
      </c>
      <c r="BC9" s="4">
        <f t="shared" si="22"/>
        <v>0.43099999999999999</v>
      </c>
      <c r="BD9" s="4">
        <f t="shared" si="23"/>
        <v>2.1549999999999998</v>
      </c>
      <c r="BE9" s="4">
        <f>IF(AND(X9&lt;&gt;""),ROUND(X9/SI!$C$10,2),"")</f>
        <v>272.93</v>
      </c>
      <c r="BF9" s="4">
        <f t="shared" si="25"/>
        <v>0.52500000000000002</v>
      </c>
      <c r="BG9" s="264">
        <f t="shared" si="24"/>
        <v>2.6240000000000001</v>
      </c>
      <c r="BH9" s="71">
        <f>IF(F9&lt;&gt;"",VLOOKUP(F9,DUTY_2025!A:O,15,FALSE),"")</f>
        <v>80</v>
      </c>
    </row>
    <row r="10" spans="1:60" x14ac:dyDescent="0.25">
      <c r="A10" s="133">
        <f t="shared" si="0"/>
        <v>6</v>
      </c>
      <c r="B10" s="83">
        <f t="shared" si="1"/>
        <v>6</v>
      </c>
      <c r="C10" s="126">
        <v>1</v>
      </c>
      <c r="D10" s="127"/>
      <c r="E10" s="91"/>
      <c r="F10" s="32" t="s">
        <v>147</v>
      </c>
      <c r="G10" s="27">
        <f>IF(F10&lt;&gt;"",IFERROR(VLOOKUP(F10,DUTY_2025!A:I,6,FALSE),""),"")</f>
        <v>0</v>
      </c>
      <c r="H10" s="85" t="s">
        <v>133</v>
      </c>
      <c r="I10" s="27" t="str">
        <f>IF(F10&lt;&gt;"",IFERROR(VLOOKUP(F10,DUTY_2025!A:H,2,FALSE),""),"")</f>
        <v>GUM ARABIC</v>
      </c>
      <c r="J10" s="7" t="s">
        <v>521</v>
      </c>
      <c r="K10" s="90">
        <v>0</v>
      </c>
      <c r="L10" s="8">
        <v>50</v>
      </c>
      <c r="M10" s="8">
        <v>10</v>
      </c>
      <c r="N10" s="8">
        <v>120</v>
      </c>
      <c r="O10" s="25">
        <v>5</v>
      </c>
      <c r="P10" s="116">
        <v>67530</v>
      </c>
      <c r="Q10" s="23" t="s">
        <v>25</v>
      </c>
      <c r="R10" s="27" t="s">
        <v>337</v>
      </c>
      <c r="S10" s="86">
        <f t="shared" si="2"/>
        <v>6</v>
      </c>
      <c r="T10" s="87">
        <f t="shared" si="3"/>
        <v>6.6000000000000005</v>
      </c>
      <c r="U10" s="87" cm="1">
        <f t="array" ref="U10">IF(AND(H10&lt;&gt;"YES",P10&lt;&gt;"",R10&lt;&gt;"",Q10&lt;&gt;""),
_xlfn.SWITCH(Q10,
"INR",_xlfn.SWITCH(R10,"KG",P10*S10,"CTN",P10,"UNIT",P10*N10,"NET",P10/M10,0),
"USD",_xlfn.SWITCH(R10,"KG",P10*S10*SI!$C$10,"CTN",P10*SI!$C$10,"UNIT",P10*N10*SI!$C$10,"NET",P10*SI!$C$10/M10,0),
"LKR",_xlfn.SWITCH(R10,"KG",P10*S10/SI!$C$9,"CTN",P10/SI!$C$9,"UNIT",P10*N10/SI!$C$9,"NET",P10/(M10*SI!$C$9),0),
0),
"")</f>
        <v>6753</v>
      </c>
      <c r="V10" s="87">
        <f t="shared" si="4"/>
        <v>60</v>
      </c>
      <c r="W10" s="87">
        <f t="shared" si="5"/>
        <v>66</v>
      </c>
      <c r="X10" s="88">
        <f t="shared" si="6"/>
        <v>67530</v>
      </c>
      <c r="Y10" s="24">
        <f t="shared" si="7"/>
        <v>1200</v>
      </c>
      <c r="Z10" s="267">
        <f>IF(AND(H10&lt;&gt;"yes",F10&lt;&gt;""),IFERROR(VLOOKUP(F10,DUTY_2025!A:F,5,FALSE),""),"")</f>
        <v>1130</v>
      </c>
      <c r="AA10" s="271">
        <f t="shared" si="8"/>
        <v>64314</v>
      </c>
      <c r="AB10" s="16">
        <f t="shared" si="9"/>
        <v>3216</v>
      </c>
      <c r="AC10" s="16">
        <f>IF(AA10&lt;&gt;"",ROUND(AA10*SI!$C$9,0),"")</f>
        <v>226385</v>
      </c>
      <c r="AD10" s="4">
        <f>IF(AC10&lt;&gt;"",ROUND(AC10/(SI!$C$9*SI!$C$10),2),"")</f>
        <v>675.64</v>
      </c>
      <c r="AE10" s="30">
        <f>IF(AND(X10&lt;&gt;""), ROUND((SI!$E$23)*(X10/SUM($X$5:$X$493)),0),"")</f>
        <v>17588</v>
      </c>
      <c r="AF10" s="272">
        <f t="shared" si="10"/>
        <v>243973</v>
      </c>
      <c r="AG10" s="28">
        <f t="shared" si="11"/>
        <v>67800</v>
      </c>
      <c r="AH10" s="4">
        <f>IF(AD10&lt;&gt;"",ROUND(AD10*10*SI!$C$9/2,0),"")</f>
        <v>11891</v>
      </c>
      <c r="AI10" s="29">
        <f>IF(AND(X10&lt;&gt;""), ROUND((SI!$E$28)*(X10/SUM($X$5:$X$493)),0),"")</f>
        <v>49965</v>
      </c>
      <c r="AJ10" s="4">
        <f t="shared" si="12"/>
        <v>129656</v>
      </c>
      <c r="AK10" s="4">
        <f t="shared" si="13"/>
        <v>108</v>
      </c>
      <c r="AL10" s="4">
        <f t="shared" si="14"/>
        <v>203</v>
      </c>
      <c r="AM10" s="4">
        <f t="shared" si="15"/>
        <v>311</v>
      </c>
      <c r="AN10" s="195">
        <f t="shared" si="16"/>
        <v>373629</v>
      </c>
      <c r="AO10" s="261">
        <f>IF(AND(AM10&lt;&gt;"",P10&lt;&gt;""),ROUND((AM10*((100+SI!$C$11)/100)),0),"")</f>
        <v>358</v>
      </c>
      <c r="AP10" s="28">
        <f>IF(AG10&lt;&gt;"",ROUND(AG10/SI!$C$9,2),"")</f>
        <v>19261.36</v>
      </c>
      <c r="AQ10" s="4">
        <f>IF(AH10&lt;&gt;"",ROUND(AH10/SI!$C$9,2),"")</f>
        <v>3378.13</v>
      </c>
      <c r="AR10" s="29">
        <f>IF(AI10&lt;&gt;"",ROUND(AI10/SI!$C$9,2),"")</f>
        <v>14194.6</v>
      </c>
      <c r="AS10" s="4">
        <f t="shared" si="17"/>
        <v>36834.089999999997</v>
      </c>
      <c r="AT10" s="4">
        <f t="shared" si="18"/>
        <v>30.7</v>
      </c>
      <c r="AU10" s="4">
        <f>IF(AL10&lt;&gt;"",ROUND(AL10/SI!$C$9,2),"")</f>
        <v>57.67</v>
      </c>
      <c r="AV10" s="4">
        <f>IF(AM10&lt;&gt;"",ROUND(AM10/SI!$C$9,2),"")</f>
        <v>88.35</v>
      </c>
      <c r="AW10" s="4">
        <f>IF(AN10&lt;&gt;"",ROUND(AN10/SI!$C$9,2),"")</f>
        <v>106144.6</v>
      </c>
      <c r="AX10" s="261">
        <f>IF(AO10&lt;&gt;"",ROUND(AO10/SI!$C$9,2),"")</f>
        <v>101.7</v>
      </c>
      <c r="AY10" s="28">
        <f t="shared" si="19"/>
        <v>243973</v>
      </c>
      <c r="AZ10" s="4">
        <f>IF(AY10&lt;&gt;"",ROUND(AY10/(SI!$C$9*SI!$C$10),2),"")</f>
        <v>728.13</v>
      </c>
      <c r="BA10" s="4">
        <f t="shared" si="20"/>
        <v>195178.4</v>
      </c>
      <c r="BB10" s="4">
        <f t="shared" si="21"/>
        <v>582.5</v>
      </c>
      <c r="BC10" s="4">
        <f t="shared" si="22"/>
        <v>0.48499999999999999</v>
      </c>
      <c r="BD10" s="4">
        <f t="shared" si="23"/>
        <v>9.7080000000000002</v>
      </c>
      <c r="BE10" s="4">
        <f>IF(AND(X10&lt;&gt;""),ROUND(X10/SI!$C$10,2),"")</f>
        <v>709.42</v>
      </c>
      <c r="BF10" s="4">
        <f t="shared" si="25"/>
        <v>0.59099999999999997</v>
      </c>
      <c r="BG10" s="264">
        <f t="shared" si="24"/>
        <v>11.824</v>
      </c>
      <c r="BH10" s="71">
        <f>IF(F10&lt;&gt;"",VLOOKUP(F10,DUTY_2025!A:O,15,FALSE),"")</f>
        <v>80</v>
      </c>
    </row>
    <row r="11" spans="1:60" x14ac:dyDescent="0.25">
      <c r="A11" s="133">
        <f t="shared" si="0"/>
        <v>7</v>
      </c>
      <c r="B11" s="83">
        <f t="shared" si="1"/>
        <v>7</v>
      </c>
      <c r="C11" s="126">
        <v>1</v>
      </c>
      <c r="D11" s="127"/>
      <c r="E11" s="22"/>
      <c r="F11" s="36" t="s">
        <v>66</v>
      </c>
      <c r="G11" s="27">
        <f>IF(F11&lt;&gt;"",IFERROR(VLOOKUP(F11,DUTY_2025!A:I,6,FALSE),""),"")</f>
        <v>0</v>
      </c>
      <c r="H11" s="85" t="s">
        <v>133</v>
      </c>
      <c r="I11" s="27" t="str">
        <f>IF(F11&lt;&gt;"",IFERROR(VLOOKUP(F11,DUTY_2025!A:H,2,FALSE),""),"")</f>
        <v>HEALTH MIXES</v>
      </c>
      <c r="J11" s="7" t="s">
        <v>522</v>
      </c>
      <c r="K11" s="90">
        <v>0</v>
      </c>
      <c r="L11" s="8">
        <v>175</v>
      </c>
      <c r="M11" s="8">
        <v>10</v>
      </c>
      <c r="N11" s="8">
        <v>40</v>
      </c>
      <c r="O11" s="25">
        <v>5</v>
      </c>
      <c r="P11" s="116">
        <v>17840</v>
      </c>
      <c r="Q11" s="23" t="s">
        <v>25</v>
      </c>
      <c r="R11" s="27" t="s">
        <v>337</v>
      </c>
      <c r="S11" s="86">
        <f t="shared" si="2"/>
        <v>7</v>
      </c>
      <c r="T11" s="87">
        <f t="shared" si="3"/>
        <v>7.7000000000000011</v>
      </c>
      <c r="U11" s="87" cm="1">
        <f t="array" ref="U11">IF(AND(H11&lt;&gt;"YES",P11&lt;&gt;"",R11&lt;&gt;"",Q11&lt;&gt;""),
_xlfn.SWITCH(Q11,
"INR",_xlfn.SWITCH(R11,"KG",P11*S11,"CTN",P11,"UNIT",P11*N11,"NET",P11/M11,0),
"USD",_xlfn.SWITCH(R11,"KG",P11*S11*SI!$C$10,"CTN",P11*SI!$C$10,"UNIT",P11*N11*SI!$C$10,"NET",P11*SI!$C$10/M11,0),
"LKR",_xlfn.SWITCH(R11,"KG",P11*S11/SI!$C$9,"CTN",P11/SI!$C$9,"UNIT",P11*N11/SI!$C$9,"NET",P11/(M11*SI!$C$9),0),
0),
"")</f>
        <v>1784</v>
      </c>
      <c r="V11" s="87">
        <f t="shared" si="4"/>
        <v>70</v>
      </c>
      <c r="W11" s="87">
        <f t="shared" si="5"/>
        <v>77</v>
      </c>
      <c r="X11" s="88">
        <f t="shared" si="6"/>
        <v>17840</v>
      </c>
      <c r="Y11" s="24">
        <f t="shared" si="7"/>
        <v>400</v>
      </c>
      <c r="Z11" s="267">
        <f>IF(AND(H11&lt;&gt;"yes",F11&lt;&gt;""),IFERROR(VLOOKUP(F11,DUTY_2025!A:F,5,FALSE),""),"")</f>
        <v>570</v>
      </c>
      <c r="AA11" s="271">
        <f t="shared" si="8"/>
        <v>16990</v>
      </c>
      <c r="AB11" s="16">
        <f t="shared" si="9"/>
        <v>850</v>
      </c>
      <c r="AC11" s="16">
        <f>IF(AA11&lt;&gt;"",ROUND(AA11*SI!$C$9,0),"")</f>
        <v>59805</v>
      </c>
      <c r="AD11" s="4">
        <f>IF(AC11&lt;&gt;"",ROUND(AC11/(SI!$C$9*SI!$C$10),2),"")</f>
        <v>178.49</v>
      </c>
      <c r="AE11" s="30">
        <f>IF(AND(X11&lt;&gt;""), ROUND((SI!$E$23)*(X11/SUM($X$5:$X$493)),0),"")</f>
        <v>4646</v>
      </c>
      <c r="AF11" s="272">
        <f t="shared" si="10"/>
        <v>64451</v>
      </c>
      <c r="AG11" s="28">
        <f t="shared" si="11"/>
        <v>39900</v>
      </c>
      <c r="AH11" s="4">
        <f>IF(AD11&lt;&gt;"",ROUND(AD11*10*SI!$C$9/2,0),"")</f>
        <v>3141</v>
      </c>
      <c r="AI11" s="29">
        <f>IF(AND(X11&lt;&gt;""), ROUND((SI!$E$28)*(X11/SUM($X$5:$X$493)),0),"")</f>
        <v>13200</v>
      </c>
      <c r="AJ11" s="4">
        <f t="shared" si="12"/>
        <v>56241</v>
      </c>
      <c r="AK11" s="4">
        <f t="shared" si="13"/>
        <v>141</v>
      </c>
      <c r="AL11" s="4">
        <f t="shared" si="14"/>
        <v>161</v>
      </c>
      <c r="AM11" s="4">
        <f t="shared" si="15"/>
        <v>302</v>
      </c>
      <c r="AN11" s="195">
        <f t="shared" si="16"/>
        <v>120692</v>
      </c>
      <c r="AO11" s="261">
        <f>IF(AND(AM11&lt;&gt;"",P11&lt;&gt;""),ROUND((AM11*((100+SI!$C$11)/100)),0),"")</f>
        <v>347</v>
      </c>
      <c r="AP11" s="28">
        <f>IF(AG11&lt;&gt;"",ROUND(AG11/SI!$C$9,2),"")</f>
        <v>11335.23</v>
      </c>
      <c r="AQ11" s="4">
        <f>IF(AH11&lt;&gt;"",ROUND(AH11/SI!$C$9,2),"")</f>
        <v>892.33</v>
      </c>
      <c r="AR11" s="29">
        <f>IF(AI11&lt;&gt;"",ROUND(AI11/SI!$C$9,2),"")</f>
        <v>3750</v>
      </c>
      <c r="AS11" s="4">
        <f t="shared" si="17"/>
        <v>15977.56</v>
      </c>
      <c r="AT11" s="4">
        <f t="shared" si="18"/>
        <v>39.94</v>
      </c>
      <c r="AU11" s="4">
        <f>IF(AL11&lt;&gt;"",ROUND(AL11/SI!$C$9,2),"")</f>
        <v>45.74</v>
      </c>
      <c r="AV11" s="4">
        <f>IF(AM11&lt;&gt;"",ROUND(AM11/SI!$C$9,2),"")</f>
        <v>85.8</v>
      </c>
      <c r="AW11" s="4">
        <f>IF(AN11&lt;&gt;"",ROUND(AN11/SI!$C$9,2),"")</f>
        <v>34287.5</v>
      </c>
      <c r="AX11" s="261">
        <f>IF(AO11&lt;&gt;"",ROUND(AO11/SI!$C$9,2),"")</f>
        <v>98.58</v>
      </c>
      <c r="AY11" s="28">
        <f t="shared" si="19"/>
        <v>64451</v>
      </c>
      <c r="AZ11" s="4">
        <f>IF(AY11&lt;&gt;"",ROUND(AY11/(SI!$C$9*SI!$C$10),2),"")</f>
        <v>192.35</v>
      </c>
      <c r="BA11" s="4">
        <f t="shared" si="20"/>
        <v>51560.800000000003</v>
      </c>
      <c r="BB11" s="4">
        <f t="shared" si="21"/>
        <v>153.88</v>
      </c>
      <c r="BC11" s="4">
        <f t="shared" si="22"/>
        <v>0.38500000000000001</v>
      </c>
      <c r="BD11" s="4">
        <f t="shared" si="23"/>
        <v>2.198</v>
      </c>
      <c r="BE11" s="4">
        <f>IF(AND(X11&lt;&gt;""),ROUND(X11/SI!$C$10,2),"")</f>
        <v>187.41</v>
      </c>
      <c r="BF11" s="4">
        <f t="shared" si="25"/>
        <v>0.46899999999999997</v>
      </c>
      <c r="BG11" s="264">
        <f t="shared" si="24"/>
        <v>2.677</v>
      </c>
      <c r="BH11" s="71">
        <f>IF(F11&lt;&gt;"",VLOOKUP(F11,DUTY_2025!A:O,15,FALSE),"")</f>
        <v>80</v>
      </c>
    </row>
    <row r="12" spans="1:60" x14ac:dyDescent="0.25">
      <c r="A12" s="133">
        <f t="shared" si="0"/>
        <v>8</v>
      </c>
      <c r="B12" s="83">
        <f t="shared" si="1"/>
        <v>8</v>
      </c>
      <c r="C12" s="126">
        <v>1</v>
      </c>
      <c r="D12" s="127"/>
      <c r="E12" s="91"/>
      <c r="F12" s="32" t="s">
        <v>201</v>
      </c>
      <c r="G12" s="27">
        <f>IF(F12&lt;&gt;"",IFERROR(VLOOKUP(F12,DUTY_2025!A:I,6,FALSE),""),"")</f>
        <v>0</v>
      </c>
      <c r="H12" s="85" t="s">
        <v>133</v>
      </c>
      <c r="I12" s="27" t="str">
        <f>IF(F12&lt;&gt;"",IFERROR(VLOOKUP(F12,DUTY_2025!A:H,2,FALSE),""),"")</f>
        <v>PAPADS - OTHERS</v>
      </c>
      <c r="J12" s="7" t="s">
        <v>523</v>
      </c>
      <c r="K12" s="90">
        <v>0</v>
      </c>
      <c r="L12" s="8">
        <v>266</v>
      </c>
      <c r="M12" s="8">
        <v>22</v>
      </c>
      <c r="N12" s="8">
        <v>20</v>
      </c>
      <c r="O12" s="25">
        <v>5</v>
      </c>
      <c r="P12" s="116">
        <v>22500</v>
      </c>
      <c r="Q12" s="23" t="s">
        <v>25</v>
      </c>
      <c r="R12" s="27" t="s">
        <v>337</v>
      </c>
      <c r="S12" s="86">
        <f t="shared" si="2"/>
        <v>5.32</v>
      </c>
      <c r="T12" s="87">
        <f t="shared" si="3"/>
        <v>5.8520000000000012</v>
      </c>
      <c r="U12" s="87" cm="1">
        <f t="array" ref="U12">IF(AND(H12&lt;&gt;"YES",P12&lt;&gt;"",R12&lt;&gt;"",Q12&lt;&gt;""),
_xlfn.SWITCH(Q12,
"INR",_xlfn.SWITCH(R12,"KG",P12*S12,"CTN",P12,"UNIT",P12*N12,"NET",P12/M12,0),
"USD",_xlfn.SWITCH(R12,"KG",P12*S12*SI!$C$10,"CTN",P12*SI!$C$10,"UNIT",P12*N12*SI!$C$10,"NET",P12*SI!$C$10/M12,0),
"LKR",_xlfn.SWITCH(R12,"KG",P12*S12/SI!$C$9,"CTN",P12/SI!$C$9,"UNIT",P12*N12/SI!$C$9,"NET",P12/(M12*SI!$C$9),0),
0),
"")</f>
        <v>1022.7272727272727</v>
      </c>
      <c r="V12" s="87">
        <f t="shared" si="4"/>
        <v>117.04</v>
      </c>
      <c r="W12" s="87">
        <f t="shared" si="5"/>
        <v>128.74400000000003</v>
      </c>
      <c r="X12" s="88">
        <f t="shared" si="6"/>
        <v>22500</v>
      </c>
      <c r="Y12" s="24">
        <f t="shared" si="7"/>
        <v>440</v>
      </c>
      <c r="Z12" s="267">
        <f>IF(AND(H12&lt;&gt;"yes",F12&lt;&gt;""),IFERROR(VLOOKUP(F12,DUTY_2025!A:F,5,FALSE),""),"")</f>
        <v>1120</v>
      </c>
      <c r="AA12" s="271">
        <f t="shared" si="8"/>
        <v>21429</v>
      </c>
      <c r="AB12" s="16">
        <f t="shared" si="9"/>
        <v>1071</v>
      </c>
      <c r="AC12" s="16">
        <f>IF(AA12&lt;&gt;"",ROUND(AA12*SI!$C$9,0),"")</f>
        <v>75430</v>
      </c>
      <c r="AD12" s="4">
        <f>IF(AC12&lt;&gt;"",ROUND(AC12/(SI!$C$9*SI!$C$10),2),"")</f>
        <v>225.12</v>
      </c>
      <c r="AE12" s="30">
        <f>IF(AND(X12&lt;&gt;""), ROUND((SI!$E$23)*(X12/SUM($X$5:$X$493)),0),"")</f>
        <v>5860</v>
      </c>
      <c r="AF12" s="272">
        <f t="shared" si="10"/>
        <v>81290</v>
      </c>
      <c r="AG12" s="28">
        <f t="shared" si="11"/>
        <v>131084.80000000002</v>
      </c>
      <c r="AH12" s="4">
        <f>IF(AD12&lt;&gt;"",ROUND(AD12*10*SI!$C$9/2,0),"")</f>
        <v>3962</v>
      </c>
      <c r="AI12" s="29">
        <f>IF(AND(X12&lt;&gt;""), ROUND((SI!$E$28)*(X12/SUM($X$5:$X$493)),0),"")</f>
        <v>16648</v>
      </c>
      <c r="AJ12" s="4">
        <f t="shared" si="12"/>
        <v>151694.80000000002</v>
      </c>
      <c r="AK12" s="4">
        <f t="shared" si="13"/>
        <v>345</v>
      </c>
      <c r="AL12" s="4">
        <f t="shared" si="14"/>
        <v>185</v>
      </c>
      <c r="AM12" s="4">
        <f t="shared" si="15"/>
        <v>530</v>
      </c>
      <c r="AN12" s="195">
        <f t="shared" si="16"/>
        <v>232984.80000000002</v>
      </c>
      <c r="AO12" s="261">
        <f>IF(AND(AM12&lt;&gt;"",P12&lt;&gt;""),ROUND((AM12*((100+SI!$C$11)/100)),0),"")</f>
        <v>610</v>
      </c>
      <c r="AP12" s="28">
        <f>IF(AG12&lt;&gt;"",ROUND(AG12/SI!$C$9,2),"")</f>
        <v>37240</v>
      </c>
      <c r="AQ12" s="4">
        <f>IF(AH12&lt;&gt;"",ROUND(AH12/SI!$C$9,2),"")</f>
        <v>1125.57</v>
      </c>
      <c r="AR12" s="29">
        <f>IF(AI12&lt;&gt;"",ROUND(AI12/SI!$C$9,2),"")</f>
        <v>4729.55</v>
      </c>
      <c r="AS12" s="4">
        <f t="shared" si="17"/>
        <v>43095.12</v>
      </c>
      <c r="AT12" s="4">
        <f t="shared" si="18"/>
        <v>97.94</v>
      </c>
      <c r="AU12" s="4">
        <f>IF(AL12&lt;&gt;"",ROUND(AL12/SI!$C$9,2),"")</f>
        <v>52.56</v>
      </c>
      <c r="AV12" s="4">
        <f>IF(AM12&lt;&gt;"",ROUND(AM12/SI!$C$9,2),"")</f>
        <v>150.57</v>
      </c>
      <c r="AW12" s="4">
        <f>IF(AN12&lt;&gt;"",ROUND(AN12/SI!$C$9,2),"")</f>
        <v>66188.86</v>
      </c>
      <c r="AX12" s="261">
        <f>IF(AO12&lt;&gt;"",ROUND(AO12/SI!$C$9,2),"")</f>
        <v>173.3</v>
      </c>
      <c r="AY12" s="28">
        <f t="shared" si="19"/>
        <v>81290</v>
      </c>
      <c r="AZ12" s="4">
        <f>IF(AY12&lt;&gt;"",ROUND(AY12/(SI!$C$9*SI!$C$10),2),"")</f>
        <v>242.61</v>
      </c>
      <c r="BA12" s="4">
        <f t="shared" si="20"/>
        <v>65032</v>
      </c>
      <c r="BB12" s="4">
        <f t="shared" si="21"/>
        <v>194.09</v>
      </c>
      <c r="BC12" s="4">
        <f t="shared" si="22"/>
        <v>0.441</v>
      </c>
      <c r="BD12" s="4">
        <f t="shared" si="23"/>
        <v>1.6579999999999999</v>
      </c>
      <c r="BE12" s="4">
        <f>IF(AND(X12&lt;&gt;""),ROUND(X12/SI!$C$10,2),"")</f>
        <v>236.37</v>
      </c>
      <c r="BF12" s="4">
        <f t="shared" si="25"/>
        <v>0.53700000000000003</v>
      </c>
      <c r="BG12" s="264">
        <f t="shared" si="24"/>
        <v>2.02</v>
      </c>
      <c r="BH12" s="71">
        <f>IF(F12&lt;&gt;"",VLOOKUP(F12,DUTY_2025!A:O,15,FALSE),"")</f>
        <v>80</v>
      </c>
    </row>
    <row r="13" spans="1:60" x14ac:dyDescent="0.25">
      <c r="A13" s="133">
        <f t="shared" si="0"/>
        <v>9</v>
      </c>
      <c r="B13" s="83">
        <f t="shared" si="1"/>
        <v>9</v>
      </c>
      <c r="C13" s="126">
        <v>1</v>
      </c>
      <c r="D13" s="127"/>
      <c r="E13" s="91"/>
      <c r="F13" s="32" t="s">
        <v>64</v>
      </c>
      <c r="G13" s="27">
        <f>IF(F13&lt;&gt;"",IFERROR(VLOOKUP(F13,DUTY_2025!A:I,6,FALSE),""),"")</f>
        <v>0</v>
      </c>
      <c r="H13" s="85" t="s">
        <v>133</v>
      </c>
      <c r="I13" s="27" t="str">
        <f>IF(F13&lt;&gt;"",IFERROR(VLOOKUP(F13,DUTY_2025!A:H,2,FALSE),""),"")</f>
        <v>ASSORTED PICKLES</v>
      </c>
      <c r="J13" s="7" t="s">
        <v>524</v>
      </c>
      <c r="K13" s="90">
        <v>0</v>
      </c>
      <c r="L13" s="8">
        <v>200</v>
      </c>
      <c r="M13" s="8">
        <v>43</v>
      </c>
      <c r="N13" s="8">
        <v>30</v>
      </c>
      <c r="O13" s="25">
        <v>5</v>
      </c>
      <c r="P13" s="116">
        <v>36880</v>
      </c>
      <c r="Q13" s="23" t="s">
        <v>25</v>
      </c>
      <c r="R13" s="27" t="s">
        <v>337</v>
      </c>
      <c r="S13" s="86">
        <f t="shared" si="2"/>
        <v>6</v>
      </c>
      <c r="T13" s="87">
        <f t="shared" si="3"/>
        <v>6.6000000000000005</v>
      </c>
      <c r="U13" s="87" cm="1">
        <f t="array" ref="U13">IF(AND(H13&lt;&gt;"YES",P13&lt;&gt;"",R13&lt;&gt;"",Q13&lt;&gt;""),
_xlfn.SWITCH(Q13,
"INR",_xlfn.SWITCH(R13,"KG",P13*S13,"CTN",P13,"UNIT",P13*N13,"NET",P13/M13,0),
"USD",_xlfn.SWITCH(R13,"KG",P13*S13*SI!$C$10,"CTN",P13*SI!$C$10,"UNIT",P13*N13*SI!$C$10,"NET",P13*SI!$C$10/M13,0),
"LKR",_xlfn.SWITCH(R13,"KG",P13*S13/SI!$C$9,"CTN",P13/SI!$C$9,"UNIT",P13*N13/SI!$C$9,"NET",P13/(M13*SI!$C$9),0),
0),
"")</f>
        <v>857.67441860465112</v>
      </c>
      <c r="V13" s="87">
        <f t="shared" si="4"/>
        <v>258</v>
      </c>
      <c r="W13" s="87">
        <f t="shared" si="5"/>
        <v>283.8</v>
      </c>
      <c r="X13" s="88">
        <f t="shared" si="6"/>
        <v>36880</v>
      </c>
      <c r="Y13" s="24">
        <f t="shared" si="7"/>
        <v>1290</v>
      </c>
      <c r="Z13" s="267">
        <f>IF(AND(H13&lt;&gt;"yes",F13&lt;&gt;""),IFERROR(VLOOKUP(F13,DUTY_2025!A:F,5,FALSE),""),"")</f>
        <v>561</v>
      </c>
      <c r="AA13" s="271">
        <f t="shared" si="8"/>
        <v>35124</v>
      </c>
      <c r="AB13" s="16">
        <f t="shared" si="9"/>
        <v>1756</v>
      </c>
      <c r="AC13" s="16">
        <f>IF(AA13&lt;&gt;"",ROUND(AA13*SI!$C$9,0),"")</f>
        <v>123636</v>
      </c>
      <c r="AD13" s="4">
        <f>IF(AC13&lt;&gt;"",ROUND(AC13/(SI!$C$9*SI!$C$10),2),"")</f>
        <v>368.99</v>
      </c>
      <c r="AE13" s="30">
        <f>IF(AND(X13&lt;&gt;""), ROUND((SI!$E$23)*(X13/SUM($X$5:$X$493)),0),"")</f>
        <v>9605</v>
      </c>
      <c r="AF13" s="272">
        <f t="shared" si="10"/>
        <v>133241</v>
      </c>
      <c r="AG13" s="28">
        <f t="shared" si="11"/>
        <v>144738</v>
      </c>
      <c r="AH13" s="4">
        <f>IF(AD13&lt;&gt;"",ROUND(AD13*10*SI!$C$9/2,0),"")</f>
        <v>6494</v>
      </c>
      <c r="AI13" s="29">
        <f>IF(AND(X13&lt;&gt;""), ROUND((SI!$E$28)*(X13/SUM($X$5:$X$493)),0),"")</f>
        <v>27287</v>
      </c>
      <c r="AJ13" s="4">
        <f t="shared" si="12"/>
        <v>178519</v>
      </c>
      <c r="AK13" s="4">
        <f t="shared" si="13"/>
        <v>138</v>
      </c>
      <c r="AL13" s="4">
        <f t="shared" si="14"/>
        <v>103</v>
      </c>
      <c r="AM13" s="4">
        <f t="shared" si="15"/>
        <v>241</v>
      </c>
      <c r="AN13" s="195">
        <f t="shared" si="16"/>
        <v>311760</v>
      </c>
      <c r="AO13" s="261">
        <f>IF(AND(AM13&lt;&gt;"",P13&lt;&gt;""),ROUND((AM13*((100+SI!$C$11)/100)),0),"")</f>
        <v>277</v>
      </c>
      <c r="AP13" s="28">
        <f>IF(AG13&lt;&gt;"",ROUND(AG13/SI!$C$9,2),"")</f>
        <v>41118.75</v>
      </c>
      <c r="AQ13" s="4">
        <f>IF(AH13&lt;&gt;"",ROUND(AH13/SI!$C$9,2),"")</f>
        <v>1844.89</v>
      </c>
      <c r="AR13" s="29">
        <f>IF(AI13&lt;&gt;"",ROUND(AI13/SI!$C$9,2),"")</f>
        <v>7751.99</v>
      </c>
      <c r="AS13" s="4">
        <f t="shared" si="17"/>
        <v>50715.63</v>
      </c>
      <c r="AT13" s="4">
        <f t="shared" si="18"/>
        <v>39.31</v>
      </c>
      <c r="AU13" s="4">
        <f>IF(AL13&lt;&gt;"",ROUND(AL13/SI!$C$9,2),"")</f>
        <v>29.26</v>
      </c>
      <c r="AV13" s="4">
        <f>IF(AM13&lt;&gt;"",ROUND(AM13/SI!$C$9,2),"")</f>
        <v>68.47</v>
      </c>
      <c r="AW13" s="4">
        <f>IF(AN13&lt;&gt;"",ROUND(AN13/SI!$C$9,2),"")</f>
        <v>88568.18</v>
      </c>
      <c r="AX13" s="261">
        <f>IF(AO13&lt;&gt;"",ROUND(AO13/SI!$C$9,2),"")</f>
        <v>78.69</v>
      </c>
      <c r="AY13" s="28">
        <f t="shared" si="19"/>
        <v>133241</v>
      </c>
      <c r="AZ13" s="4">
        <f>IF(AY13&lt;&gt;"",ROUND(AY13/(SI!$C$9*SI!$C$10),2),"")</f>
        <v>397.65</v>
      </c>
      <c r="BA13" s="4">
        <f t="shared" si="20"/>
        <v>106592.8</v>
      </c>
      <c r="BB13" s="4">
        <f t="shared" si="21"/>
        <v>318.12</v>
      </c>
      <c r="BC13" s="4">
        <f t="shared" si="22"/>
        <v>0.247</v>
      </c>
      <c r="BD13" s="4">
        <f t="shared" si="23"/>
        <v>1.2330000000000001</v>
      </c>
      <c r="BE13" s="4">
        <f>IF(AND(X13&lt;&gt;""),ROUND(X13/SI!$C$10,2),"")</f>
        <v>387.44</v>
      </c>
      <c r="BF13" s="4">
        <f t="shared" si="25"/>
        <v>0.3</v>
      </c>
      <c r="BG13" s="264">
        <f t="shared" si="24"/>
        <v>1.502</v>
      </c>
      <c r="BH13" s="71">
        <f>IF(F13&lt;&gt;"",VLOOKUP(F13,DUTY_2025!A:O,15,FALSE),"")</f>
        <v>80</v>
      </c>
    </row>
    <row r="14" spans="1:60" x14ac:dyDescent="0.25">
      <c r="A14" s="133">
        <f t="shared" si="0"/>
        <v>10</v>
      </c>
      <c r="B14" s="83">
        <f t="shared" si="1"/>
        <v>10</v>
      </c>
      <c r="C14" s="126">
        <v>1</v>
      </c>
      <c r="D14" s="127"/>
      <c r="E14" s="91"/>
      <c r="F14" s="32" t="s">
        <v>64</v>
      </c>
      <c r="G14" s="27">
        <f>IF(F14&lt;&gt;"",IFERROR(VLOOKUP(F14,DUTY_2025!A:I,6,FALSE),""),"")</f>
        <v>0</v>
      </c>
      <c r="H14" s="85" t="s">
        <v>133</v>
      </c>
      <c r="I14" s="27" t="str">
        <f>IF(F14&lt;&gt;"",IFERROR(VLOOKUP(F14,DUTY_2025!A:H,2,FALSE),""),"")</f>
        <v>ASSORTED PICKLES</v>
      </c>
      <c r="J14" s="7" t="s">
        <v>525</v>
      </c>
      <c r="K14" s="90">
        <v>0</v>
      </c>
      <c r="L14" s="8">
        <v>200</v>
      </c>
      <c r="M14" s="8">
        <v>43</v>
      </c>
      <c r="N14" s="8">
        <v>30</v>
      </c>
      <c r="O14" s="25">
        <v>5</v>
      </c>
      <c r="P14" s="116">
        <v>36880</v>
      </c>
      <c r="Q14" s="23" t="s">
        <v>25</v>
      </c>
      <c r="R14" s="27" t="s">
        <v>337</v>
      </c>
      <c r="S14" s="86">
        <f t="shared" si="2"/>
        <v>6</v>
      </c>
      <c r="T14" s="87">
        <f t="shared" si="3"/>
        <v>6.6000000000000005</v>
      </c>
      <c r="U14" s="87" cm="1">
        <f t="array" ref="U14">IF(AND(H14&lt;&gt;"YES",P14&lt;&gt;"",R14&lt;&gt;"",Q14&lt;&gt;""),
_xlfn.SWITCH(Q14,
"INR",_xlfn.SWITCH(R14,"KG",P14*S14,"CTN",P14,"UNIT",P14*N14,"NET",P14/M14,0),
"USD",_xlfn.SWITCH(R14,"KG",P14*S14*SI!$C$10,"CTN",P14*SI!$C$10,"UNIT",P14*N14*SI!$C$10,"NET",P14*SI!$C$10/M14,0),
"LKR",_xlfn.SWITCH(R14,"KG",P14*S14/SI!$C$9,"CTN",P14/SI!$C$9,"UNIT",P14*N14/SI!$C$9,"NET",P14/(M14*SI!$C$9),0),
0),
"")</f>
        <v>857.67441860465112</v>
      </c>
      <c r="V14" s="87">
        <f t="shared" si="4"/>
        <v>258</v>
      </c>
      <c r="W14" s="87">
        <f t="shared" si="5"/>
        <v>283.8</v>
      </c>
      <c r="X14" s="88">
        <f t="shared" si="6"/>
        <v>36880</v>
      </c>
      <c r="Y14" s="24">
        <f t="shared" si="7"/>
        <v>1290</v>
      </c>
      <c r="Z14" s="267">
        <f>IF(AND(H14&lt;&gt;"yes",F14&lt;&gt;""),IFERROR(VLOOKUP(F14,DUTY_2025!A:F,5,FALSE),""),"")</f>
        <v>561</v>
      </c>
      <c r="AA14" s="271">
        <f t="shared" si="8"/>
        <v>35124</v>
      </c>
      <c r="AB14" s="16">
        <f t="shared" si="9"/>
        <v>1756</v>
      </c>
      <c r="AC14" s="16">
        <f>IF(AA14&lt;&gt;"",ROUND(AA14*SI!$C$9,0),"")</f>
        <v>123636</v>
      </c>
      <c r="AD14" s="4">
        <f>IF(AC14&lt;&gt;"",ROUND(AC14/(SI!$C$9*SI!$C$10),2),"")</f>
        <v>368.99</v>
      </c>
      <c r="AE14" s="30">
        <f>IF(AND(X14&lt;&gt;""), ROUND((SI!$E$23)*(X14/SUM($X$5:$X$493)),0),"")</f>
        <v>9605</v>
      </c>
      <c r="AF14" s="272">
        <f t="shared" si="10"/>
        <v>133241</v>
      </c>
      <c r="AG14" s="28">
        <f t="shared" si="11"/>
        <v>144738</v>
      </c>
      <c r="AH14" s="4">
        <f>IF(AD14&lt;&gt;"",ROUND(AD14*10*SI!$C$9/2,0),"")</f>
        <v>6494</v>
      </c>
      <c r="AI14" s="29">
        <f>IF(AND(X14&lt;&gt;""), ROUND((SI!$E$28)*(X14/SUM($X$5:$X$493)),0),"")</f>
        <v>27287</v>
      </c>
      <c r="AJ14" s="4">
        <f t="shared" si="12"/>
        <v>178519</v>
      </c>
      <c r="AK14" s="4">
        <f t="shared" si="13"/>
        <v>138</v>
      </c>
      <c r="AL14" s="4">
        <f t="shared" si="14"/>
        <v>103</v>
      </c>
      <c r="AM14" s="4">
        <f t="shared" si="15"/>
        <v>241</v>
      </c>
      <c r="AN14" s="195">
        <f t="shared" si="16"/>
        <v>311760</v>
      </c>
      <c r="AO14" s="261">
        <f>IF(AND(AM14&lt;&gt;"",P14&lt;&gt;""),ROUND((AM14*((100+SI!$C$11)/100)),0),"")</f>
        <v>277</v>
      </c>
      <c r="AP14" s="28">
        <f>IF(AG14&lt;&gt;"",ROUND(AG14/SI!$C$9,2),"")</f>
        <v>41118.75</v>
      </c>
      <c r="AQ14" s="4">
        <f>IF(AH14&lt;&gt;"",ROUND(AH14/SI!$C$9,2),"")</f>
        <v>1844.89</v>
      </c>
      <c r="AR14" s="29">
        <f>IF(AI14&lt;&gt;"",ROUND(AI14/SI!$C$9,2),"")</f>
        <v>7751.99</v>
      </c>
      <c r="AS14" s="4">
        <f t="shared" si="17"/>
        <v>50715.63</v>
      </c>
      <c r="AT14" s="4">
        <f t="shared" si="18"/>
        <v>39.31</v>
      </c>
      <c r="AU14" s="4">
        <f>IF(AL14&lt;&gt;"",ROUND(AL14/SI!$C$9,2),"")</f>
        <v>29.26</v>
      </c>
      <c r="AV14" s="4">
        <f>IF(AM14&lt;&gt;"",ROUND(AM14/SI!$C$9,2),"")</f>
        <v>68.47</v>
      </c>
      <c r="AW14" s="4">
        <f>IF(AN14&lt;&gt;"",ROUND(AN14/SI!$C$9,2),"")</f>
        <v>88568.18</v>
      </c>
      <c r="AX14" s="261">
        <f>IF(AO14&lt;&gt;"",ROUND(AO14/SI!$C$9,2),"")</f>
        <v>78.69</v>
      </c>
      <c r="AY14" s="28">
        <f t="shared" si="19"/>
        <v>133241</v>
      </c>
      <c r="AZ14" s="4">
        <f>IF(AY14&lt;&gt;"",ROUND(AY14/(SI!$C$9*SI!$C$10),2),"")</f>
        <v>397.65</v>
      </c>
      <c r="BA14" s="4">
        <f t="shared" si="20"/>
        <v>106592.8</v>
      </c>
      <c r="BB14" s="4">
        <f t="shared" si="21"/>
        <v>318.12</v>
      </c>
      <c r="BC14" s="4">
        <f t="shared" si="22"/>
        <v>0.247</v>
      </c>
      <c r="BD14" s="4">
        <f t="shared" si="23"/>
        <v>1.2330000000000001</v>
      </c>
      <c r="BE14" s="4">
        <f>IF(AND(X14&lt;&gt;""),ROUND(X14/SI!$C$10,2),"")</f>
        <v>387.44</v>
      </c>
      <c r="BF14" s="4">
        <f t="shared" si="25"/>
        <v>0.3</v>
      </c>
      <c r="BG14" s="264">
        <f t="shared" si="24"/>
        <v>1.502</v>
      </c>
      <c r="BH14" s="71">
        <f>IF(F14&lt;&gt;"",VLOOKUP(F14,DUTY_2025!A:O,15,FALSE),"")</f>
        <v>80</v>
      </c>
    </row>
    <row r="15" spans="1:60" x14ac:dyDescent="0.25">
      <c r="A15" s="133">
        <f t="shared" si="0"/>
        <v>11</v>
      </c>
      <c r="B15" s="83">
        <f t="shared" si="1"/>
        <v>11</v>
      </c>
      <c r="C15" s="126">
        <v>1</v>
      </c>
      <c r="D15" s="127"/>
      <c r="E15" s="91"/>
      <c r="F15" s="32" t="s">
        <v>64</v>
      </c>
      <c r="G15" s="27">
        <f>IF(F15&lt;&gt;"",IFERROR(VLOOKUP(F15,DUTY_2025!A:I,6,FALSE),""),"")</f>
        <v>0</v>
      </c>
      <c r="H15" s="85" t="s">
        <v>133</v>
      </c>
      <c r="I15" s="27" t="str">
        <f>IF(F15&lt;&gt;"",IFERROR(VLOOKUP(F15,DUTY_2025!A:H,2,FALSE),""),"")</f>
        <v>ASSORTED PICKLES</v>
      </c>
      <c r="J15" s="7" t="s">
        <v>526</v>
      </c>
      <c r="K15" s="90">
        <v>0</v>
      </c>
      <c r="L15" s="8">
        <v>200</v>
      </c>
      <c r="M15" s="8">
        <v>43</v>
      </c>
      <c r="N15" s="8">
        <v>30</v>
      </c>
      <c r="O15" s="25">
        <v>5</v>
      </c>
      <c r="P15" s="116">
        <v>39480</v>
      </c>
      <c r="Q15" s="23" t="s">
        <v>25</v>
      </c>
      <c r="R15" s="27" t="s">
        <v>337</v>
      </c>
      <c r="S15" s="86">
        <f t="shared" si="2"/>
        <v>6</v>
      </c>
      <c r="T15" s="87">
        <f t="shared" si="3"/>
        <v>6.6000000000000005</v>
      </c>
      <c r="U15" s="87" cm="1">
        <f t="array" ref="U15">IF(AND(H15&lt;&gt;"YES",P15&lt;&gt;"",R15&lt;&gt;"",Q15&lt;&gt;""),
_xlfn.SWITCH(Q15,
"INR",_xlfn.SWITCH(R15,"KG",P15*S15,"CTN",P15,"UNIT",P15*N15,"NET",P15/M15,0),
"USD",_xlfn.SWITCH(R15,"KG",P15*S15*SI!$C$10,"CTN",P15*SI!$C$10,"UNIT",P15*N15*SI!$C$10,"NET",P15*SI!$C$10/M15,0),
"LKR",_xlfn.SWITCH(R15,"KG",P15*S15/SI!$C$9,"CTN",P15/SI!$C$9,"UNIT",P15*N15/SI!$C$9,"NET",P15/(M15*SI!$C$9),0),
0),
"")</f>
        <v>918.1395348837209</v>
      </c>
      <c r="V15" s="87">
        <f t="shared" si="4"/>
        <v>258</v>
      </c>
      <c r="W15" s="87">
        <f t="shared" si="5"/>
        <v>283.8</v>
      </c>
      <c r="X15" s="88">
        <f t="shared" si="6"/>
        <v>39480</v>
      </c>
      <c r="Y15" s="24">
        <f t="shared" si="7"/>
        <v>1290</v>
      </c>
      <c r="Z15" s="267">
        <f>IF(AND(H15&lt;&gt;"yes",F15&lt;&gt;""),IFERROR(VLOOKUP(F15,DUTY_2025!A:F,5,FALSE),""),"")</f>
        <v>561</v>
      </c>
      <c r="AA15" s="271">
        <f t="shared" si="8"/>
        <v>37600</v>
      </c>
      <c r="AB15" s="16">
        <f t="shared" si="9"/>
        <v>1880</v>
      </c>
      <c r="AC15" s="16">
        <f>IF(AA15&lt;&gt;"",ROUND(AA15*SI!$C$9,0),"")</f>
        <v>132352</v>
      </c>
      <c r="AD15" s="4">
        <f>IF(AC15&lt;&gt;"",ROUND(AC15/(SI!$C$9*SI!$C$10),2),"")</f>
        <v>395</v>
      </c>
      <c r="AE15" s="30">
        <f>IF(AND(X15&lt;&gt;""), ROUND((SI!$E$23)*(X15/SUM($X$5:$X$493)),0),"")</f>
        <v>10282</v>
      </c>
      <c r="AF15" s="272">
        <f t="shared" si="10"/>
        <v>142634</v>
      </c>
      <c r="AG15" s="28">
        <f t="shared" si="11"/>
        <v>144738</v>
      </c>
      <c r="AH15" s="4">
        <f>IF(AD15&lt;&gt;"",ROUND(AD15*10*SI!$C$9/2,0),"")</f>
        <v>6952</v>
      </c>
      <c r="AI15" s="29">
        <f>IF(AND(X15&lt;&gt;""), ROUND((SI!$E$28)*(X15/SUM($X$5:$X$493)),0),"")</f>
        <v>29211</v>
      </c>
      <c r="AJ15" s="4">
        <f t="shared" si="12"/>
        <v>180901</v>
      </c>
      <c r="AK15" s="4">
        <f t="shared" si="13"/>
        <v>140</v>
      </c>
      <c r="AL15" s="4">
        <f t="shared" si="14"/>
        <v>111</v>
      </c>
      <c r="AM15" s="4">
        <f t="shared" si="15"/>
        <v>251</v>
      </c>
      <c r="AN15" s="195">
        <f t="shared" si="16"/>
        <v>323535</v>
      </c>
      <c r="AO15" s="261">
        <f>IF(AND(AM15&lt;&gt;"",P15&lt;&gt;""),ROUND((AM15*((100+SI!$C$11)/100)),0),"")</f>
        <v>289</v>
      </c>
      <c r="AP15" s="28">
        <f>IF(AG15&lt;&gt;"",ROUND(AG15/SI!$C$9,2),"")</f>
        <v>41118.75</v>
      </c>
      <c r="AQ15" s="4">
        <f>IF(AH15&lt;&gt;"",ROUND(AH15/SI!$C$9,2),"")</f>
        <v>1975</v>
      </c>
      <c r="AR15" s="29">
        <f>IF(AI15&lt;&gt;"",ROUND(AI15/SI!$C$9,2),"")</f>
        <v>8298.58</v>
      </c>
      <c r="AS15" s="4">
        <f t="shared" si="17"/>
        <v>51392.33</v>
      </c>
      <c r="AT15" s="4">
        <f t="shared" si="18"/>
        <v>39.840000000000003</v>
      </c>
      <c r="AU15" s="4">
        <f>IF(AL15&lt;&gt;"",ROUND(AL15/SI!$C$9,2),"")</f>
        <v>31.53</v>
      </c>
      <c r="AV15" s="4">
        <f>IF(AM15&lt;&gt;"",ROUND(AM15/SI!$C$9,2),"")</f>
        <v>71.31</v>
      </c>
      <c r="AW15" s="4">
        <f>IF(AN15&lt;&gt;"",ROUND(AN15/SI!$C$9,2),"")</f>
        <v>91913.35</v>
      </c>
      <c r="AX15" s="261">
        <f>IF(AO15&lt;&gt;"",ROUND(AO15/SI!$C$9,2),"")</f>
        <v>82.1</v>
      </c>
      <c r="AY15" s="28">
        <f t="shared" si="19"/>
        <v>142634</v>
      </c>
      <c r="AZ15" s="4">
        <f>IF(AY15&lt;&gt;"",ROUND(AY15/(SI!$C$9*SI!$C$10),2),"")</f>
        <v>425.69</v>
      </c>
      <c r="BA15" s="4">
        <f t="shared" si="20"/>
        <v>114107.2</v>
      </c>
      <c r="BB15" s="4">
        <f t="shared" si="21"/>
        <v>340.55</v>
      </c>
      <c r="BC15" s="4">
        <f t="shared" si="22"/>
        <v>0.26400000000000001</v>
      </c>
      <c r="BD15" s="4">
        <f t="shared" si="23"/>
        <v>1.32</v>
      </c>
      <c r="BE15" s="4">
        <f>IF(AND(X15&lt;&gt;""),ROUND(X15/SI!$C$10,2),"")</f>
        <v>414.75</v>
      </c>
      <c r="BF15" s="4">
        <f t="shared" si="25"/>
        <v>0.32200000000000001</v>
      </c>
      <c r="BG15" s="264">
        <f t="shared" si="24"/>
        <v>1.6080000000000001</v>
      </c>
      <c r="BH15" s="71">
        <f>IF(F15&lt;&gt;"",VLOOKUP(F15,DUTY_2025!A:O,15,FALSE),"")</f>
        <v>80</v>
      </c>
    </row>
    <row r="16" spans="1:60" x14ac:dyDescent="0.25">
      <c r="A16" s="133">
        <f t="shared" si="0"/>
        <v>12</v>
      </c>
      <c r="B16" s="83">
        <f t="shared" si="1"/>
        <v>12</v>
      </c>
      <c r="C16" s="126">
        <v>1</v>
      </c>
      <c r="D16" s="127"/>
      <c r="E16" s="91"/>
      <c r="F16" s="32" t="s">
        <v>64</v>
      </c>
      <c r="G16" s="27">
        <f>IF(F16&lt;&gt;"",IFERROR(VLOOKUP(F16,DUTY_2025!A:I,6,FALSE),""),"")</f>
        <v>0</v>
      </c>
      <c r="H16" s="85" t="s">
        <v>133</v>
      </c>
      <c r="I16" s="27" t="str">
        <f>IF(F16&lt;&gt;"",IFERROR(VLOOKUP(F16,DUTY_2025!A:H,2,FALSE),""),"")</f>
        <v>ASSORTED PICKLES</v>
      </c>
      <c r="J16" s="7" t="s">
        <v>527</v>
      </c>
      <c r="K16" s="90">
        <v>0</v>
      </c>
      <c r="L16" s="8">
        <v>200</v>
      </c>
      <c r="M16" s="8">
        <v>16</v>
      </c>
      <c r="N16" s="8">
        <v>30</v>
      </c>
      <c r="O16" s="25">
        <v>5</v>
      </c>
      <c r="P16" s="116">
        <v>128.64000000000001</v>
      </c>
      <c r="Q16" s="23" t="s">
        <v>577</v>
      </c>
      <c r="R16" s="27" t="s">
        <v>337</v>
      </c>
      <c r="S16" s="86">
        <f t="shared" si="2"/>
        <v>6</v>
      </c>
      <c r="T16" s="87">
        <f t="shared" si="3"/>
        <v>6.6000000000000005</v>
      </c>
      <c r="U16" s="87" cm="1">
        <f t="array" ref="U16">IF(AND(H16&lt;&gt;"YES",P16&lt;&gt;"",R16&lt;&gt;"",Q16&lt;&gt;""),
_xlfn.SWITCH(Q16,
"INR",_xlfn.SWITCH(R16,"KG",P16*S16,"CTN",P16,"UNIT",P16*N16,"NET",P16/M16,0),
"USD",_xlfn.SWITCH(R16,"KG",P16*S16*SI!$C$10,"CTN",P16*SI!$C$10,"UNIT",P16*N16*SI!$C$10,"NET",P16*SI!$C$10/M16,0),
"LKR",_xlfn.SWITCH(R16,"KG",P16*S16/SI!$C$9,"CTN",P16/SI!$C$9,"UNIT",P16*N16/SI!$C$9,"NET",P16/(M16*SI!$C$9),0),
0),
"")</f>
        <v>765.32760000000007</v>
      </c>
      <c r="V16" s="87">
        <f t="shared" si="4"/>
        <v>96</v>
      </c>
      <c r="W16" s="87">
        <f t="shared" si="5"/>
        <v>105.60000000000001</v>
      </c>
      <c r="X16" s="88">
        <f t="shared" si="6"/>
        <v>12245.241600000001</v>
      </c>
      <c r="Y16" s="24">
        <f t="shared" si="7"/>
        <v>480</v>
      </c>
      <c r="Z16" s="267">
        <f>IF(AND(H16&lt;&gt;"yes",F16&lt;&gt;""),IFERROR(VLOOKUP(F16,DUTY_2025!A:F,5,FALSE),""),"")</f>
        <v>561</v>
      </c>
      <c r="AA16" s="271">
        <f t="shared" si="8"/>
        <v>11662</v>
      </c>
      <c r="AB16" s="16">
        <f t="shared" si="9"/>
        <v>583.2416000000012</v>
      </c>
      <c r="AC16" s="16">
        <f>IF(AA16&lt;&gt;"",ROUND(AA16*SI!$C$9,0),"")</f>
        <v>41050</v>
      </c>
      <c r="AD16" s="4">
        <f>IF(AC16&lt;&gt;"",ROUND(AC16/(SI!$C$9*SI!$C$10),2),"")</f>
        <v>122.51</v>
      </c>
      <c r="AE16" s="30">
        <f>IF(AND(X16&lt;&gt;""), ROUND((SI!$E$23)*(X16/SUM($X$5:$X$493)),0),"")</f>
        <v>3189</v>
      </c>
      <c r="AF16" s="272">
        <f t="shared" si="10"/>
        <v>44239</v>
      </c>
      <c r="AG16" s="28">
        <f t="shared" si="11"/>
        <v>53856</v>
      </c>
      <c r="AH16" s="4">
        <f>IF(AD16&lt;&gt;"",ROUND(AD16*10*SI!$C$9/2,0),"")</f>
        <v>2156</v>
      </c>
      <c r="AI16" s="29">
        <f>IF(AND(X16&lt;&gt;""), ROUND((SI!$E$28)*(X16/SUM($X$5:$X$493)),0),"")</f>
        <v>9060</v>
      </c>
      <c r="AJ16" s="4">
        <f t="shared" si="12"/>
        <v>65072</v>
      </c>
      <c r="AK16" s="4">
        <f t="shared" si="13"/>
        <v>136</v>
      </c>
      <c r="AL16" s="4">
        <f t="shared" si="14"/>
        <v>92</v>
      </c>
      <c r="AM16" s="4">
        <f t="shared" si="15"/>
        <v>228</v>
      </c>
      <c r="AN16" s="195">
        <f t="shared" si="16"/>
        <v>109311</v>
      </c>
      <c r="AO16" s="261">
        <f>IF(AND(AM16&lt;&gt;"",P16&lt;&gt;""),ROUND((AM16*((100+SI!$C$11)/100)),0),"")</f>
        <v>262</v>
      </c>
      <c r="AP16" s="28">
        <f>IF(AG16&lt;&gt;"",ROUND(AG16/SI!$C$9,2),"")</f>
        <v>15300</v>
      </c>
      <c r="AQ16" s="4">
        <f>IF(AH16&lt;&gt;"",ROUND(AH16/SI!$C$9,2),"")</f>
        <v>612.5</v>
      </c>
      <c r="AR16" s="29">
        <f>IF(AI16&lt;&gt;"",ROUND(AI16/SI!$C$9,2),"")</f>
        <v>2573.86</v>
      </c>
      <c r="AS16" s="4">
        <f t="shared" si="17"/>
        <v>18486.36</v>
      </c>
      <c r="AT16" s="4">
        <f t="shared" si="18"/>
        <v>38.51</v>
      </c>
      <c r="AU16" s="4">
        <f>IF(AL16&lt;&gt;"",ROUND(AL16/SI!$C$9,2),"")</f>
        <v>26.14</v>
      </c>
      <c r="AV16" s="4">
        <f>IF(AM16&lt;&gt;"",ROUND(AM16/SI!$C$9,2),"")</f>
        <v>64.77</v>
      </c>
      <c r="AW16" s="4">
        <f>IF(AN16&lt;&gt;"",ROUND(AN16/SI!$C$9,2),"")</f>
        <v>31054.26</v>
      </c>
      <c r="AX16" s="261">
        <f>IF(AO16&lt;&gt;"",ROUND(AO16/SI!$C$9,2),"")</f>
        <v>74.430000000000007</v>
      </c>
      <c r="AY16" s="28">
        <f t="shared" si="19"/>
        <v>44239</v>
      </c>
      <c r="AZ16" s="4">
        <f>IF(AY16&lt;&gt;"",ROUND(AY16/(SI!$C$9*SI!$C$10),2),"")</f>
        <v>132.03</v>
      </c>
      <c r="BA16" s="4">
        <f t="shared" si="20"/>
        <v>35391.199999999997</v>
      </c>
      <c r="BB16" s="4">
        <f t="shared" si="21"/>
        <v>105.62</v>
      </c>
      <c r="BC16" s="4">
        <f t="shared" si="22"/>
        <v>0.22</v>
      </c>
      <c r="BD16" s="4">
        <f t="shared" si="23"/>
        <v>1.1000000000000001</v>
      </c>
      <c r="BE16" s="4">
        <f>IF(AND(X16&lt;&gt;""),ROUND(X16/SI!$C$10,2),"")</f>
        <v>128.63999999999999</v>
      </c>
      <c r="BF16" s="4">
        <f t="shared" si="25"/>
        <v>0.26800000000000002</v>
      </c>
      <c r="BG16" s="264">
        <f t="shared" si="24"/>
        <v>1.34</v>
      </c>
      <c r="BH16" s="71">
        <f>IF(F16&lt;&gt;"",VLOOKUP(F16,DUTY_2025!A:O,15,FALSE),"")</f>
        <v>80</v>
      </c>
    </row>
    <row r="17" spans="1:60" x14ac:dyDescent="0.25">
      <c r="A17" s="133">
        <f t="shared" si="0"/>
        <v>13</v>
      </c>
      <c r="B17" s="83">
        <f t="shared" si="1"/>
        <v>13</v>
      </c>
      <c r="C17" s="126">
        <v>1</v>
      </c>
      <c r="D17" s="127"/>
      <c r="E17" s="91"/>
      <c r="F17" s="32" t="s">
        <v>64</v>
      </c>
      <c r="G17" s="27">
        <f>IF(F17&lt;&gt;"",IFERROR(VLOOKUP(F17,DUTY_2025!A:I,6,FALSE),""),"")</f>
        <v>0</v>
      </c>
      <c r="H17" s="85" t="s">
        <v>133</v>
      </c>
      <c r="I17" s="27" t="str">
        <f>IF(F17&lt;&gt;"",IFERROR(VLOOKUP(F17,DUTY_2025!A:H,2,FALSE),""),"")</f>
        <v>ASSORTED PICKLES</v>
      </c>
      <c r="J17" s="7" t="s">
        <v>528</v>
      </c>
      <c r="K17" s="90">
        <v>0</v>
      </c>
      <c r="L17" s="8">
        <v>200</v>
      </c>
      <c r="M17" s="8">
        <v>5</v>
      </c>
      <c r="N17" s="8">
        <v>30</v>
      </c>
      <c r="O17" s="25">
        <v>5</v>
      </c>
      <c r="P17" s="116">
        <v>40.200000000000003</v>
      </c>
      <c r="Q17" s="23" t="s">
        <v>577</v>
      </c>
      <c r="R17" s="27" t="s">
        <v>337</v>
      </c>
      <c r="S17" s="86">
        <f t="shared" si="2"/>
        <v>6</v>
      </c>
      <c r="T17" s="87">
        <f t="shared" si="3"/>
        <v>6.6000000000000005</v>
      </c>
      <c r="U17" s="87" cm="1">
        <f t="array" ref="U17">IF(AND(H17&lt;&gt;"YES",P17&lt;&gt;"",R17&lt;&gt;"",Q17&lt;&gt;""),
_xlfn.SWITCH(Q17,
"INR",_xlfn.SWITCH(R17,"KG",P17*S17,"CTN",P17,"UNIT",P17*N17,"NET",P17/M17,0),
"USD",_xlfn.SWITCH(R17,"KG",P17*S17*SI!$C$10,"CTN",P17*SI!$C$10,"UNIT",P17*N17*SI!$C$10,"NET",P17*SI!$C$10/M17,0),
"LKR",_xlfn.SWITCH(R17,"KG",P17*S17/SI!$C$9,"CTN",P17/SI!$C$9,"UNIT",P17*N17/SI!$C$9,"NET",P17/(M17*SI!$C$9),0),
0),
"")</f>
        <v>765.32760000000007</v>
      </c>
      <c r="V17" s="87">
        <f t="shared" si="4"/>
        <v>30</v>
      </c>
      <c r="W17" s="87">
        <f t="shared" si="5"/>
        <v>33</v>
      </c>
      <c r="X17" s="88">
        <f t="shared" si="6"/>
        <v>3826.6380000000004</v>
      </c>
      <c r="Y17" s="24">
        <f t="shared" si="7"/>
        <v>150</v>
      </c>
      <c r="Z17" s="267">
        <f>IF(AND(H17&lt;&gt;"yes",F17&lt;&gt;""),IFERROR(VLOOKUP(F17,DUTY_2025!A:F,5,FALSE),""),"")</f>
        <v>561</v>
      </c>
      <c r="AA17" s="271">
        <f t="shared" si="8"/>
        <v>3644</v>
      </c>
      <c r="AB17" s="16">
        <f t="shared" si="9"/>
        <v>182.63800000000037</v>
      </c>
      <c r="AC17" s="16">
        <f>IF(AA17&lt;&gt;"",ROUND(AA17*SI!$C$9,0),"")</f>
        <v>12827</v>
      </c>
      <c r="AD17" s="4">
        <f>IF(AC17&lt;&gt;"",ROUND(AC17/(SI!$C$9*SI!$C$10),2),"")</f>
        <v>38.28</v>
      </c>
      <c r="AE17" s="30">
        <f>IF(AND(X17&lt;&gt;""), ROUND((SI!$E$23)*(X17/SUM($X$5:$X$493)),0),"")</f>
        <v>997</v>
      </c>
      <c r="AF17" s="272">
        <f t="shared" si="10"/>
        <v>13824</v>
      </c>
      <c r="AG17" s="28">
        <f t="shared" si="11"/>
        <v>16830</v>
      </c>
      <c r="AH17" s="4">
        <f>IF(AD17&lt;&gt;"",ROUND(AD17*10*SI!$C$9/2,0),"")</f>
        <v>674</v>
      </c>
      <c r="AI17" s="29">
        <f>IF(AND(X17&lt;&gt;""), ROUND((SI!$E$28)*(X17/SUM($X$5:$X$493)),0),"")</f>
        <v>2831</v>
      </c>
      <c r="AJ17" s="4">
        <f t="shared" si="12"/>
        <v>20335</v>
      </c>
      <c r="AK17" s="4">
        <f t="shared" si="13"/>
        <v>136</v>
      </c>
      <c r="AL17" s="4">
        <f t="shared" si="14"/>
        <v>92</v>
      </c>
      <c r="AM17" s="4">
        <f t="shared" si="15"/>
        <v>228</v>
      </c>
      <c r="AN17" s="195">
        <f t="shared" si="16"/>
        <v>34159</v>
      </c>
      <c r="AO17" s="261">
        <f>IF(AND(AM17&lt;&gt;"",P17&lt;&gt;""),ROUND((AM17*((100+SI!$C$11)/100)),0),"")</f>
        <v>262</v>
      </c>
      <c r="AP17" s="28">
        <f>IF(AG17&lt;&gt;"",ROUND(AG17/SI!$C$9,2),"")</f>
        <v>4781.25</v>
      </c>
      <c r="AQ17" s="4">
        <f>IF(AH17&lt;&gt;"",ROUND(AH17/SI!$C$9,2),"")</f>
        <v>191.48</v>
      </c>
      <c r="AR17" s="29">
        <f>IF(AI17&lt;&gt;"",ROUND(AI17/SI!$C$9,2),"")</f>
        <v>804.26</v>
      </c>
      <c r="AS17" s="4">
        <f t="shared" si="17"/>
        <v>5776.99</v>
      </c>
      <c r="AT17" s="4">
        <f t="shared" si="18"/>
        <v>38.51</v>
      </c>
      <c r="AU17" s="4">
        <f>IF(AL17&lt;&gt;"",ROUND(AL17/SI!$C$9,2),"")</f>
        <v>26.14</v>
      </c>
      <c r="AV17" s="4">
        <f>IF(AM17&lt;&gt;"",ROUND(AM17/SI!$C$9,2),"")</f>
        <v>64.77</v>
      </c>
      <c r="AW17" s="4">
        <f>IF(AN17&lt;&gt;"",ROUND(AN17/SI!$C$9,2),"")</f>
        <v>9704.26</v>
      </c>
      <c r="AX17" s="261">
        <f>IF(AO17&lt;&gt;"",ROUND(AO17/SI!$C$9,2),"")</f>
        <v>74.430000000000007</v>
      </c>
      <c r="AY17" s="28">
        <f t="shared" si="19"/>
        <v>13824</v>
      </c>
      <c r="AZ17" s="4">
        <f>IF(AY17&lt;&gt;"",ROUND(AY17/(SI!$C$9*SI!$C$10),2),"")</f>
        <v>41.26</v>
      </c>
      <c r="BA17" s="4">
        <f t="shared" si="20"/>
        <v>11059.2</v>
      </c>
      <c r="BB17" s="4">
        <f t="shared" si="21"/>
        <v>33.01</v>
      </c>
      <c r="BC17" s="4">
        <f t="shared" si="22"/>
        <v>0.22</v>
      </c>
      <c r="BD17" s="4">
        <f t="shared" si="23"/>
        <v>1.1000000000000001</v>
      </c>
      <c r="BE17" s="4">
        <f>IF(AND(X17&lt;&gt;""),ROUND(X17/SI!$C$10,2),"")</f>
        <v>40.200000000000003</v>
      </c>
      <c r="BF17" s="4">
        <f t="shared" si="25"/>
        <v>0.26800000000000002</v>
      </c>
      <c r="BG17" s="264">
        <f t="shared" si="24"/>
        <v>1.34</v>
      </c>
      <c r="BH17" s="71">
        <f>IF(F17&lt;&gt;"",VLOOKUP(F17,DUTY_2025!A:O,15,FALSE),"")</f>
        <v>80</v>
      </c>
    </row>
    <row r="18" spans="1:60" x14ac:dyDescent="0.25">
      <c r="A18" s="133">
        <f t="shared" si="0"/>
        <v>14</v>
      </c>
      <c r="B18" s="83">
        <f t="shared" si="1"/>
        <v>14</v>
      </c>
      <c r="C18" s="126">
        <v>1</v>
      </c>
      <c r="D18" s="127"/>
      <c r="E18" s="91"/>
      <c r="F18" s="36" t="s">
        <v>66</v>
      </c>
      <c r="G18" s="27">
        <f>IF(F18&lt;&gt;"",IFERROR(VLOOKUP(F18,DUTY_2025!A:I,6,FALSE),""),"")</f>
        <v>0</v>
      </c>
      <c r="H18" s="85" t="s">
        <v>133</v>
      </c>
      <c r="I18" s="27" t="str">
        <f>IF(F18&lt;&gt;"",IFERROR(VLOOKUP(F18,DUTY_2025!A:H,2,FALSE),""),"")</f>
        <v>HEALTH MIXES</v>
      </c>
      <c r="J18" s="7" t="s">
        <v>529</v>
      </c>
      <c r="K18" s="90">
        <v>0</v>
      </c>
      <c r="L18" s="8">
        <v>50</v>
      </c>
      <c r="M18" s="8">
        <v>1</v>
      </c>
      <c r="N18" s="8">
        <v>600</v>
      </c>
      <c r="O18" s="25">
        <v>5</v>
      </c>
      <c r="P18" s="116">
        <f>ROUND(12205.5*1.05,2)</f>
        <v>12815.78</v>
      </c>
      <c r="Q18" s="23" t="s">
        <v>25</v>
      </c>
      <c r="R18" s="27" t="s">
        <v>337</v>
      </c>
      <c r="S18" s="86">
        <f t="shared" si="2"/>
        <v>30</v>
      </c>
      <c r="T18" s="87">
        <f t="shared" si="3"/>
        <v>33</v>
      </c>
      <c r="U18" s="87" cm="1">
        <f t="array" ref="U18">IF(AND(H18&lt;&gt;"YES",P18&lt;&gt;"",R18&lt;&gt;"",Q18&lt;&gt;""),
_xlfn.SWITCH(Q18,
"INR",_xlfn.SWITCH(R18,"KG",P18*S18,"CTN",P18,"UNIT",P18*N18,"NET",P18/M18,0),
"USD",_xlfn.SWITCH(R18,"KG",P18*S18*SI!$C$10,"CTN",P18*SI!$C$10,"UNIT",P18*N18*SI!$C$10,"NET",P18*SI!$C$10/M18,0),
"LKR",_xlfn.SWITCH(R18,"KG",P18*S18/SI!$C$9,"CTN",P18/SI!$C$9,"UNIT",P18*N18/SI!$C$9,"NET",P18/(M18*SI!$C$9),0),
0),
"")</f>
        <v>12815.78</v>
      </c>
      <c r="V18" s="87">
        <f t="shared" si="4"/>
        <v>30</v>
      </c>
      <c r="W18" s="87">
        <f t="shared" si="5"/>
        <v>33</v>
      </c>
      <c r="X18" s="88">
        <f t="shared" si="6"/>
        <v>12815.78</v>
      </c>
      <c r="Y18" s="24">
        <f t="shared" si="7"/>
        <v>600</v>
      </c>
      <c r="Z18" s="267">
        <f>IF(AND(H18&lt;&gt;"yes",F18&lt;&gt;""),IFERROR(VLOOKUP(F18,DUTY_2025!A:F,5,FALSE),""),"")</f>
        <v>570</v>
      </c>
      <c r="AA18" s="271">
        <f t="shared" si="8"/>
        <v>12206</v>
      </c>
      <c r="AB18" s="16">
        <f t="shared" si="9"/>
        <v>609.78000000000065</v>
      </c>
      <c r="AC18" s="16">
        <f>IF(AA18&lt;&gt;"",ROUND(AA18*SI!$C$9,0),"")</f>
        <v>42965</v>
      </c>
      <c r="AD18" s="4">
        <f>IF(AC18&lt;&gt;"",ROUND(AC18/(SI!$C$9*SI!$C$10),2),"")</f>
        <v>128.22999999999999</v>
      </c>
      <c r="AE18" s="30">
        <f>IF(AND(X18&lt;&gt;""), ROUND((SI!$E$23)*(X18/SUM($X$5:$X$493)),0),"")</f>
        <v>3338</v>
      </c>
      <c r="AF18" s="272">
        <f t="shared" si="10"/>
        <v>46303</v>
      </c>
      <c r="AG18" s="28">
        <f t="shared" si="11"/>
        <v>17100</v>
      </c>
      <c r="AH18" s="4">
        <f>IF(AD18&lt;&gt;"",ROUND(AD18*10*SI!$C$9/2,0),"")</f>
        <v>2257</v>
      </c>
      <c r="AI18" s="29">
        <f>IF(AND(X18&lt;&gt;""), ROUND((SI!$E$28)*(X18/SUM($X$5:$X$493)),0),"")</f>
        <v>9482</v>
      </c>
      <c r="AJ18" s="4">
        <f t="shared" si="12"/>
        <v>28839</v>
      </c>
      <c r="AK18" s="4">
        <f t="shared" si="13"/>
        <v>48</v>
      </c>
      <c r="AL18" s="4">
        <f t="shared" si="14"/>
        <v>77</v>
      </c>
      <c r="AM18" s="4">
        <f t="shared" si="15"/>
        <v>125</v>
      </c>
      <c r="AN18" s="195">
        <f t="shared" si="16"/>
        <v>75142</v>
      </c>
      <c r="AO18" s="261">
        <f>IF(AND(AM18&lt;&gt;"",P18&lt;&gt;""),ROUND((AM18*((100+SI!$C$11)/100)),0),"")</f>
        <v>144</v>
      </c>
      <c r="AP18" s="28">
        <f>IF(AG18&lt;&gt;"",ROUND(AG18/SI!$C$9,2),"")</f>
        <v>4857.95</v>
      </c>
      <c r="AQ18" s="4">
        <f>IF(AH18&lt;&gt;"",ROUND(AH18/SI!$C$9,2),"")</f>
        <v>641.19000000000005</v>
      </c>
      <c r="AR18" s="29">
        <f>IF(AI18&lt;&gt;"",ROUND(AI18/SI!$C$9,2),"")</f>
        <v>2693.75</v>
      </c>
      <c r="AS18" s="4">
        <f t="shared" si="17"/>
        <v>8192.89</v>
      </c>
      <c r="AT18" s="4">
        <f t="shared" si="18"/>
        <v>13.65</v>
      </c>
      <c r="AU18" s="4">
        <f>IF(AL18&lt;&gt;"",ROUND(AL18/SI!$C$9,2),"")</f>
        <v>21.88</v>
      </c>
      <c r="AV18" s="4">
        <f>IF(AM18&lt;&gt;"",ROUND(AM18/SI!$C$9,2),"")</f>
        <v>35.51</v>
      </c>
      <c r="AW18" s="4">
        <f>IF(AN18&lt;&gt;"",ROUND(AN18/SI!$C$9,2),"")</f>
        <v>21347.16</v>
      </c>
      <c r="AX18" s="261">
        <f>IF(AO18&lt;&gt;"",ROUND(AO18/SI!$C$9,2),"")</f>
        <v>40.909999999999997</v>
      </c>
      <c r="AY18" s="28">
        <f t="shared" si="19"/>
        <v>46303</v>
      </c>
      <c r="AZ18" s="4">
        <f>IF(AY18&lt;&gt;"",ROUND(AY18/(SI!$C$9*SI!$C$10),2),"")</f>
        <v>138.19</v>
      </c>
      <c r="BA18" s="4">
        <f t="shared" si="20"/>
        <v>37042.400000000001</v>
      </c>
      <c r="BB18" s="4">
        <f t="shared" si="21"/>
        <v>110.55</v>
      </c>
      <c r="BC18" s="4">
        <f t="shared" si="22"/>
        <v>0.184</v>
      </c>
      <c r="BD18" s="4">
        <f t="shared" si="23"/>
        <v>3.6850000000000001</v>
      </c>
      <c r="BE18" s="4">
        <f>IF(AND(X18&lt;&gt;""),ROUND(X18/SI!$C$10,2),"")</f>
        <v>134.63</v>
      </c>
      <c r="BF18" s="4">
        <f t="shared" si="25"/>
        <v>0.224</v>
      </c>
      <c r="BG18" s="264">
        <f t="shared" si="24"/>
        <v>4.4880000000000004</v>
      </c>
      <c r="BH18" s="71">
        <f>IF(F18&lt;&gt;"",VLOOKUP(F18,DUTY_2025!A:O,15,FALSE),"")</f>
        <v>80</v>
      </c>
    </row>
    <row r="19" spans="1:60" x14ac:dyDescent="0.25">
      <c r="A19" s="133">
        <f t="shared" si="0"/>
        <v>15</v>
      </c>
      <c r="B19" s="83">
        <f t="shared" si="1"/>
        <v>15</v>
      </c>
      <c r="C19" s="126">
        <v>1</v>
      </c>
      <c r="D19" s="127"/>
      <c r="E19" s="91"/>
      <c r="F19" s="36" t="s">
        <v>66</v>
      </c>
      <c r="G19" s="27">
        <f>IF(F19&lt;&gt;"",IFERROR(VLOOKUP(F19,DUTY_2025!A:I,6,FALSE),""),"")</f>
        <v>0</v>
      </c>
      <c r="H19" s="85" t="s">
        <v>133</v>
      </c>
      <c r="I19" s="27" t="str">
        <f>IF(F19&lt;&gt;"",IFERROR(VLOOKUP(F19,DUTY_2025!A:H,2,FALSE),""),"")</f>
        <v>HEALTH MIXES</v>
      </c>
      <c r="J19" s="7" t="s">
        <v>530</v>
      </c>
      <c r="K19" s="90">
        <v>0</v>
      </c>
      <c r="L19" s="8">
        <v>50</v>
      </c>
      <c r="M19" s="8">
        <v>1</v>
      </c>
      <c r="N19" s="8">
        <v>600</v>
      </c>
      <c r="O19" s="25">
        <v>5</v>
      </c>
      <c r="P19" s="116">
        <f>ROUND(13592.4*1.05,2)</f>
        <v>14272.02</v>
      </c>
      <c r="Q19" s="23" t="s">
        <v>25</v>
      </c>
      <c r="R19" s="27" t="s">
        <v>337</v>
      </c>
      <c r="S19" s="86">
        <f t="shared" si="2"/>
        <v>30</v>
      </c>
      <c r="T19" s="87">
        <f t="shared" si="3"/>
        <v>33</v>
      </c>
      <c r="U19" s="87" cm="1">
        <f t="array" ref="U19">IF(AND(H19&lt;&gt;"YES",P19&lt;&gt;"",R19&lt;&gt;"",Q19&lt;&gt;""),
_xlfn.SWITCH(Q19,
"INR",_xlfn.SWITCH(R19,"KG",P19*S19,"CTN",P19,"UNIT",P19*N19,"NET",P19/M19,0),
"USD",_xlfn.SWITCH(R19,"KG",P19*S19*SI!$C$10,"CTN",P19*SI!$C$10,"UNIT",P19*N19*SI!$C$10,"NET",P19*SI!$C$10/M19,0),
"LKR",_xlfn.SWITCH(R19,"KG",P19*S19/SI!$C$9,"CTN",P19/SI!$C$9,"UNIT",P19*N19/SI!$C$9,"NET",P19/(M19*SI!$C$9),0),
0),
"")</f>
        <v>14272.02</v>
      </c>
      <c r="V19" s="87">
        <f t="shared" si="4"/>
        <v>30</v>
      </c>
      <c r="W19" s="87">
        <f t="shared" si="5"/>
        <v>33</v>
      </c>
      <c r="X19" s="88">
        <f t="shared" si="6"/>
        <v>14272.02</v>
      </c>
      <c r="Y19" s="24">
        <f t="shared" si="7"/>
        <v>600</v>
      </c>
      <c r="Z19" s="267">
        <f>IF(AND(H19&lt;&gt;"yes",F19&lt;&gt;""),IFERROR(VLOOKUP(F19,DUTY_2025!A:F,5,FALSE),""),"")</f>
        <v>570</v>
      </c>
      <c r="AA19" s="271">
        <f t="shared" si="8"/>
        <v>13592</v>
      </c>
      <c r="AB19" s="16">
        <f t="shared" si="9"/>
        <v>680.02000000000044</v>
      </c>
      <c r="AC19" s="16">
        <f>IF(AA19&lt;&gt;"",ROUND(AA19*SI!$C$9,0),"")</f>
        <v>47844</v>
      </c>
      <c r="AD19" s="4">
        <f>IF(AC19&lt;&gt;"",ROUND(AC19/(SI!$C$9*SI!$C$10),2),"")</f>
        <v>142.79</v>
      </c>
      <c r="AE19" s="30">
        <f>IF(AND(X19&lt;&gt;""), ROUND((SI!$E$23)*(X19/SUM($X$5:$X$493)),0),"")</f>
        <v>3717</v>
      </c>
      <c r="AF19" s="272">
        <f t="shared" si="10"/>
        <v>51561</v>
      </c>
      <c r="AG19" s="28">
        <f t="shared" si="11"/>
        <v>17100</v>
      </c>
      <c r="AH19" s="4">
        <f>IF(AD19&lt;&gt;"",ROUND(AD19*10*SI!$C$9/2,0),"")</f>
        <v>2513</v>
      </c>
      <c r="AI19" s="29">
        <f>IF(AND(X19&lt;&gt;""), ROUND((SI!$E$28)*(X19/SUM($X$5:$X$493)),0),"")</f>
        <v>10560</v>
      </c>
      <c r="AJ19" s="4">
        <f t="shared" si="12"/>
        <v>30173</v>
      </c>
      <c r="AK19" s="4">
        <f t="shared" si="13"/>
        <v>50</v>
      </c>
      <c r="AL19" s="4">
        <f t="shared" si="14"/>
        <v>86</v>
      </c>
      <c r="AM19" s="4">
        <f t="shared" si="15"/>
        <v>136</v>
      </c>
      <c r="AN19" s="195">
        <f t="shared" si="16"/>
        <v>81734</v>
      </c>
      <c r="AO19" s="261">
        <f>IF(AND(AM19&lt;&gt;"",P19&lt;&gt;""),ROUND((AM19*((100+SI!$C$11)/100)),0),"")</f>
        <v>156</v>
      </c>
      <c r="AP19" s="28">
        <f>IF(AG19&lt;&gt;"",ROUND(AG19/SI!$C$9,2),"")</f>
        <v>4857.95</v>
      </c>
      <c r="AQ19" s="4">
        <f>IF(AH19&lt;&gt;"",ROUND(AH19/SI!$C$9,2),"")</f>
        <v>713.92</v>
      </c>
      <c r="AR19" s="29">
        <f>IF(AI19&lt;&gt;"",ROUND(AI19/SI!$C$9,2),"")</f>
        <v>3000</v>
      </c>
      <c r="AS19" s="4">
        <f t="shared" si="17"/>
        <v>8571.869999999999</v>
      </c>
      <c r="AT19" s="4">
        <f t="shared" si="18"/>
        <v>14.29</v>
      </c>
      <c r="AU19" s="4">
        <f>IF(AL19&lt;&gt;"",ROUND(AL19/SI!$C$9,2),"")</f>
        <v>24.43</v>
      </c>
      <c r="AV19" s="4">
        <f>IF(AM19&lt;&gt;"",ROUND(AM19/SI!$C$9,2),"")</f>
        <v>38.64</v>
      </c>
      <c r="AW19" s="4">
        <f>IF(AN19&lt;&gt;"",ROUND(AN19/SI!$C$9,2),"")</f>
        <v>23219.89</v>
      </c>
      <c r="AX19" s="261">
        <f>IF(AO19&lt;&gt;"",ROUND(AO19/SI!$C$9,2),"")</f>
        <v>44.32</v>
      </c>
      <c r="AY19" s="28">
        <f t="shared" si="19"/>
        <v>51561</v>
      </c>
      <c r="AZ19" s="4">
        <f>IF(AY19&lt;&gt;"",ROUND(AY19/(SI!$C$9*SI!$C$10),2),"")</f>
        <v>153.88</v>
      </c>
      <c r="BA19" s="4">
        <f t="shared" si="20"/>
        <v>41248.800000000003</v>
      </c>
      <c r="BB19" s="4">
        <f t="shared" si="21"/>
        <v>123.1</v>
      </c>
      <c r="BC19" s="4">
        <f t="shared" si="22"/>
        <v>0.20499999999999999</v>
      </c>
      <c r="BD19" s="4">
        <f t="shared" si="23"/>
        <v>4.1029999999999998</v>
      </c>
      <c r="BE19" s="4">
        <f>IF(AND(X19&lt;&gt;""),ROUND(X19/SI!$C$10,2),"")</f>
        <v>149.93</v>
      </c>
      <c r="BF19" s="4">
        <f t="shared" si="25"/>
        <v>0.25</v>
      </c>
      <c r="BG19" s="264">
        <f t="shared" si="24"/>
        <v>4.9980000000000002</v>
      </c>
      <c r="BH19" s="71">
        <f>IF(F19&lt;&gt;"",VLOOKUP(F19,DUTY_2025!A:O,15,FALSE),"")</f>
        <v>80</v>
      </c>
    </row>
    <row r="20" spans="1:60" x14ac:dyDescent="0.25">
      <c r="A20" s="133">
        <f t="shared" si="0"/>
        <v>16</v>
      </c>
      <c r="B20" s="83">
        <f t="shared" si="1"/>
        <v>16</v>
      </c>
      <c r="C20" s="126">
        <v>1</v>
      </c>
      <c r="D20" s="127"/>
      <c r="E20" s="91"/>
      <c r="F20" s="36" t="s">
        <v>66</v>
      </c>
      <c r="G20" s="27">
        <f>IF(F20&lt;&gt;"",IFERROR(VLOOKUP(F20,DUTY_2025!A:I,6,FALSE),""),"")</f>
        <v>0</v>
      </c>
      <c r="H20" s="85" t="s">
        <v>133</v>
      </c>
      <c r="I20" s="27" t="str">
        <f>IF(F20&lt;&gt;"",IFERROR(VLOOKUP(F20,DUTY_2025!A:H,2,FALSE),""),"")</f>
        <v>HEALTH MIXES</v>
      </c>
      <c r="J20" s="7" t="s">
        <v>531</v>
      </c>
      <c r="K20" s="90">
        <v>0</v>
      </c>
      <c r="L20" s="8">
        <v>50</v>
      </c>
      <c r="M20" s="8">
        <v>1</v>
      </c>
      <c r="N20" s="8">
        <v>600</v>
      </c>
      <c r="O20" s="25">
        <v>5</v>
      </c>
      <c r="P20" s="116">
        <f>ROUND(11928*1.05,2)</f>
        <v>12524.4</v>
      </c>
      <c r="Q20" s="23" t="s">
        <v>25</v>
      </c>
      <c r="R20" s="27" t="s">
        <v>337</v>
      </c>
      <c r="S20" s="86">
        <f t="shared" si="2"/>
        <v>30</v>
      </c>
      <c r="T20" s="87">
        <f t="shared" si="3"/>
        <v>33</v>
      </c>
      <c r="U20" s="87" cm="1">
        <f t="array" ref="U20">IF(AND(H20&lt;&gt;"YES",P20&lt;&gt;"",R20&lt;&gt;"",Q20&lt;&gt;""),
_xlfn.SWITCH(Q20,
"INR",_xlfn.SWITCH(R20,"KG",P20*S20,"CTN",P20,"UNIT",P20*N20,"NET",P20/M20,0),
"USD",_xlfn.SWITCH(R20,"KG",P20*S20*SI!$C$10,"CTN",P20*SI!$C$10,"UNIT",P20*N20*SI!$C$10,"NET",P20*SI!$C$10/M20,0),
"LKR",_xlfn.SWITCH(R20,"KG",P20*S20/SI!$C$9,"CTN",P20/SI!$C$9,"UNIT",P20*N20/SI!$C$9,"NET",P20/(M20*SI!$C$9),0),
0),
"")</f>
        <v>12524.4</v>
      </c>
      <c r="V20" s="87">
        <f t="shared" si="4"/>
        <v>30</v>
      </c>
      <c r="W20" s="87">
        <f t="shared" si="5"/>
        <v>33</v>
      </c>
      <c r="X20" s="88">
        <f t="shared" si="6"/>
        <v>12524.4</v>
      </c>
      <c r="Y20" s="24">
        <f t="shared" si="7"/>
        <v>600</v>
      </c>
      <c r="Z20" s="267">
        <f>IF(AND(H20&lt;&gt;"yes",F20&lt;&gt;""),IFERROR(VLOOKUP(F20,DUTY_2025!A:F,5,FALSE),""),"")</f>
        <v>570</v>
      </c>
      <c r="AA20" s="271">
        <f t="shared" si="8"/>
        <v>11928</v>
      </c>
      <c r="AB20" s="16">
        <f t="shared" si="9"/>
        <v>596.39999999999964</v>
      </c>
      <c r="AC20" s="16">
        <f>IF(AA20&lt;&gt;"",ROUND(AA20*SI!$C$9,0),"")</f>
        <v>41987</v>
      </c>
      <c r="AD20" s="4">
        <f>IF(AC20&lt;&gt;"",ROUND(AC20/(SI!$C$9*SI!$C$10),2),"")</f>
        <v>125.31</v>
      </c>
      <c r="AE20" s="30">
        <f>IF(AND(X20&lt;&gt;""), ROUND((SI!$E$23)*(X20/SUM($X$5:$X$493)),0),"")</f>
        <v>3262</v>
      </c>
      <c r="AF20" s="272">
        <f t="shared" si="10"/>
        <v>45249</v>
      </c>
      <c r="AG20" s="28">
        <f t="shared" si="11"/>
        <v>17100</v>
      </c>
      <c r="AH20" s="4">
        <f>IF(AD20&lt;&gt;"",ROUND(AD20*10*SI!$C$9/2,0),"")</f>
        <v>2205</v>
      </c>
      <c r="AI20" s="29">
        <f>IF(AND(X20&lt;&gt;""), ROUND((SI!$E$28)*(X20/SUM($X$5:$X$493)),0),"")</f>
        <v>9267</v>
      </c>
      <c r="AJ20" s="4">
        <f t="shared" si="12"/>
        <v>28572</v>
      </c>
      <c r="AK20" s="4">
        <f t="shared" si="13"/>
        <v>48</v>
      </c>
      <c r="AL20" s="4">
        <f t="shared" si="14"/>
        <v>75</v>
      </c>
      <c r="AM20" s="4">
        <f t="shared" si="15"/>
        <v>123</v>
      </c>
      <c r="AN20" s="195">
        <f t="shared" si="16"/>
        <v>73821</v>
      </c>
      <c r="AO20" s="261">
        <f>IF(AND(AM20&lt;&gt;"",P20&lt;&gt;""),ROUND((AM20*((100+SI!$C$11)/100)),0),"")</f>
        <v>141</v>
      </c>
      <c r="AP20" s="28">
        <f>IF(AG20&lt;&gt;"",ROUND(AG20/SI!$C$9,2),"")</f>
        <v>4857.95</v>
      </c>
      <c r="AQ20" s="4">
        <f>IF(AH20&lt;&gt;"",ROUND(AH20/SI!$C$9,2),"")</f>
        <v>626.41999999999996</v>
      </c>
      <c r="AR20" s="29">
        <f>IF(AI20&lt;&gt;"",ROUND(AI20/SI!$C$9,2),"")</f>
        <v>2632.67</v>
      </c>
      <c r="AS20" s="4">
        <f t="shared" si="17"/>
        <v>8117.04</v>
      </c>
      <c r="AT20" s="4">
        <f t="shared" si="18"/>
        <v>13.53</v>
      </c>
      <c r="AU20" s="4">
        <f>IF(AL20&lt;&gt;"",ROUND(AL20/SI!$C$9,2),"")</f>
        <v>21.31</v>
      </c>
      <c r="AV20" s="4">
        <f>IF(AM20&lt;&gt;"",ROUND(AM20/SI!$C$9,2),"")</f>
        <v>34.94</v>
      </c>
      <c r="AW20" s="4">
        <f>IF(AN20&lt;&gt;"",ROUND(AN20/SI!$C$9,2),"")</f>
        <v>20971.88</v>
      </c>
      <c r="AX20" s="261">
        <f>IF(AO20&lt;&gt;"",ROUND(AO20/SI!$C$9,2),"")</f>
        <v>40.06</v>
      </c>
      <c r="AY20" s="28">
        <f t="shared" si="19"/>
        <v>45249</v>
      </c>
      <c r="AZ20" s="4">
        <f>IF(AY20&lt;&gt;"",ROUND(AY20/(SI!$C$9*SI!$C$10),2),"")</f>
        <v>135.04</v>
      </c>
      <c r="BA20" s="4">
        <f t="shared" si="20"/>
        <v>36199.199999999997</v>
      </c>
      <c r="BB20" s="4">
        <f t="shared" si="21"/>
        <v>108.03</v>
      </c>
      <c r="BC20" s="4">
        <f t="shared" si="22"/>
        <v>0.18</v>
      </c>
      <c r="BD20" s="4">
        <f t="shared" si="23"/>
        <v>3.601</v>
      </c>
      <c r="BE20" s="4">
        <f>IF(AND(X20&lt;&gt;""),ROUND(X20/SI!$C$10,2),"")</f>
        <v>131.57</v>
      </c>
      <c r="BF20" s="4">
        <f t="shared" si="25"/>
        <v>0.219</v>
      </c>
      <c r="BG20" s="264">
        <f t="shared" si="24"/>
        <v>4.3860000000000001</v>
      </c>
      <c r="BH20" s="71">
        <f>IF(F20&lt;&gt;"",VLOOKUP(F20,DUTY_2025!A:O,15,FALSE),"")</f>
        <v>80</v>
      </c>
    </row>
    <row r="21" spans="1:60" x14ac:dyDescent="0.25">
      <c r="A21" s="133">
        <f t="shared" si="0"/>
        <v>17</v>
      </c>
      <c r="B21" s="83">
        <f t="shared" si="1"/>
        <v>17</v>
      </c>
      <c r="C21" s="126">
        <v>1</v>
      </c>
      <c r="D21" s="127"/>
      <c r="E21" s="91"/>
      <c r="F21" s="36" t="s">
        <v>66</v>
      </c>
      <c r="G21" s="27">
        <f>IF(F21&lt;&gt;"",IFERROR(VLOOKUP(F21,DUTY_2025!A:I,6,FALSE),""),"")</f>
        <v>0</v>
      </c>
      <c r="H21" s="85" t="s">
        <v>133</v>
      </c>
      <c r="I21" s="27" t="str">
        <f>IF(F21&lt;&gt;"",IFERROR(VLOOKUP(F21,DUTY_2025!A:H,2,FALSE),""),"")</f>
        <v>HEALTH MIXES</v>
      </c>
      <c r="J21" s="7" t="s">
        <v>532</v>
      </c>
      <c r="K21" s="90">
        <v>0</v>
      </c>
      <c r="L21" s="8">
        <v>50</v>
      </c>
      <c r="M21" s="8">
        <v>1</v>
      </c>
      <c r="N21" s="8">
        <v>600</v>
      </c>
      <c r="O21" s="25">
        <v>5</v>
      </c>
      <c r="P21" s="116">
        <f>ROUND(9292.8*1.05,2)</f>
        <v>9757.44</v>
      </c>
      <c r="Q21" s="23" t="s">
        <v>25</v>
      </c>
      <c r="R21" s="27" t="s">
        <v>337</v>
      </c>
      <c r="S21" s="86">
        <f t="shared" si="2"/>
        <v>30</v>
      </c>
      <c r="T21" s="87">
        <f t="shared" si="3"/>
        <v>33</v>
      </c>
      <c r="U21" s="87" cm="1">
        <f t="array" ref="U21">IF(AND(H21&lt;&gt;"YES",P21&lt;&gt;"",R21&lt;&gt;"",Q21&lt;&gt;""),
_xlfn.SWITCH(Q21,
"INR",_xlfn.SWITCH(R21,"KG",P21*S21,"CTN",P21,"UNIT",P21*N21,"NET",P21/M21,0),
"USD",_xlfn.SWITCH(R21,"KG",P21*S21*SI!$C$10,"CTN",P21*SI!$C$10,"UNIT",P21*N21*SI!$C$10,"NET",P21*SI!$C$10/M21,0),
"LKR",_xlfn.SWITCH(R21,"KG",P21*S21/SI!$C$9,"CTN",P21/SI!$C$9,"UNIT",P21*N21/SI!$C$9,"NET",P21/(M21*SI!$C$9),0),
0),
"")</f>
        <v>9757.44</v>
      </c>
      <c r="V21" s="87">
        <f t="shared" si="4"/>
        <v>30</v>
      </c>
      <c r="W21" s="87">
        <f t="shared" si="5"/>
        <v>33</v>
      </c>
      <c r="X21" s="88">
        <f t="shared" si="6"/>
        <v>9757.44</v>
      </c>
      <c r="Y21" s="24">
        <f t="shared" si="7"/>
        <v>600</v>
      </c>
      <c r="Z21" s="267">
        <f>IF(AND(H21&lt;&gt;"yes",F21&lt;&gt;""),IFERROR(VLOOKUP(F21,DUTY_2025!A:F,5,FALSE),""),"")</f>
        <v>570</v>
      </c>
      <c r="AA21" s="271">
        <f t="shared" si="8"/>
        <v>9293</v>
      </c>
      <c r="AB21" s="16">
        <f t="shared" si="9"/>
        <v>464.44000000000051</v>
      </c>
      <c r="AC21" s="16">
        <f>IF(AA21&lt;&gt;"",ROUND(AA21*SI!$C$9,0),"")</f>
        <v>32711</v>
      </c>
      <c r="AD21" s="4">
        <f>IF(AC21&lt;&gt;"",ROUND(AC21/(SI!$C$9*SI!$C$10),2),"")</f>
        <v>97.62</v>
      </c>
      <c r="AE21" s="30">
        <f>IF(AND(X21&lt;&gt;""), ROUND((SI!$E$23)*(X21/SUM($X$5:$X$493)),0),"")</f>
        <v>2541</v>
      </c>
      <c r="AF21" s="272">
        <f t="shared" si="10"/>
        <v>35252</v>
      </c>
      <c r="AG21" s="28">
        <f t="shared" si="11"/>
        <v>17100</v>
      </c>
      <c r="AH21" s="4">
        <f>IF(AD21&lt;&gt;"",ROUND(AD21*10*SI!$C$9/2,0),"")</f>
        <v>1718</v>
      </c>
      <c r="AI21" s="29">
        <f>IF(AND(X21&lt;&gt;""), ROUND((SI!$E$28)*(X21/SUM($X$5:$X$493)),0),"")</f>
        <v>7220</v>
      </c>
      <c r="AJ21" s="4">
        <f t="shared" si="12"/>
        <v>26038</v>
      </c>
      <c r="AK21" s="4">
        <f t="shared" si="13"/>
        <v>43</v>
      </c>
      <c r="AL21" s="4">
        <f t="shared" si="14"/>
        <v>59</v>
      </c>
      <c r="AM21" s="4">
        <f t="shared" si="15"/>
        <v>102</v>
      </c>
      <c r="AN21" s="195">
        <f t="shared" si="16"/>
        <v>61290</v>
      </c>
      <c r="AO21" s="261">
        <f>IF(AND(AM21&lt;&gt;"",P21&lt;&gt;""),ROUND((AM21*((100+SI!$C$11)/100)),0),"")</f>
        <v>117</v>
      </c>
      <c r="AP21" s="28">
        <f>IF(AG21&lt;&gt;"",ROUND(AG21/SI!$C$9,2),"")</f>
        <v>4857.95</v>
      </c>
      <c r="AQ21" s="4">
        <f>IF(AH21&lt;&gt;"",ROUND(AH21/SI!$C$9,2),"")</f>
        <v>488.07</v>
      </c>
      <c r="AR21" s="29">
        <f>IF(AI21&lt;&gt;"",ROUND(AI21/SI!$C$9,2),"")</f>
        <v>2051.14</v>
      </c>
      <c r="AS21" s="4">
        <f t="shared" si="17"/>
        <v>7397.16</v>
      </c>
      <c r="AT21" s="4">
        <f t="shared" si="18"/>
        <v>12.33</v>
      </c>
      <c r="AU21" s="4">
        <f>IF(AL21&lt;&gt;"",ROUND(AL21/SI!$C$9,2),"")</f>
        <v>16.760000000000002</v>
      </c>
      <c r="AV21" s="4">
        <f>IF(AM21&lt;&gt;"",ROUND(AM21/SI!$C$9,2),"")</f>
        <v>28.98</v>
      </c>
      <c r="AW21" s="4">
        <f>IF(AN21&lt;&gt;"",ROUND(AN21/SI!$C$9,2),"")</f>
        <v>17411.93</v>
      </c>
      <c r="AX21" s="261">
        <f>IF(AO21&lt;&gt;"",ROUND(AO21/SI!$C$9,2),"")</f>
        <v>33.24</v>
      </c>
      <c r="AY21" s="28">
        <f t="shared" si="19"/>
        <v>35252</v>
      </c>
      <c r="AZ21" s="4">
        <f>IF(AY21&lt;&gt;"",ROUND(AY21/(SI!$C$9*SI!$C$10),2),"")</f>
        <v>105.21</v>
      </c>
      <c r="BA21" s="4">
        <f t="shared" si="20"/>
        <v>28201.599999999999</v>
      </c>
      <c r="BB21" s="4">
        <f t="shared" si="21"/>
        <v>84.17</v>
      </c>
      <c r="BC21" s="4">
        <f t="shared" si="22"/>
        <v>0.14000000000000001</v>
      </c>
      <c r="BD21" s="4">
        <f t="shared" si="23"/>
        <v>2.806</v>
      </c>
      <c r="BE21" s="4">
        <f>IF(AND(X21&lt;&gt;""),ROUND(X21/SI!$C$10,2),"")</f>
        <v>102.5</v>
      </c>
      <c r="BF21" s="4">
        <f t="shared" si="25"/>
        <v>0.17100000000000001</v>
      </c>
      <c r="BG21" s="264">
        <f t="shared" si="24"/>
        <v>3.4169999999999998</v>
      </c>
      <c r="BH21" s="71">
        <f>IF(F21&lt;&gt;"",VLOOKUP(F21,DUTY_2025!A:O,15,FALSE),"")</f>
        <v>80</v>
      </c>
    </row>
    <row r="22" spans="1:60" x14ac:dyDescent="0.25">
      <c r="A22" s="133">
        <f t="shared" si="0"/>
        <v>18</v>
      </c>
      <c r="B22" s="83">
        <f t="shared" si="1"/>
        <v>18</v>
      </c>
      <c r="C22" s="126">
        <v>1</v>
      </c>
      <c r="D22" s="127"/>
      <c r="E22" s="91"/>
      <c r="F22" s="36" t="s">
        <v>66</v>
      </c>
      <c r="G22" s="27">
        <f>IF(F22&lt;&gt;"",IFERROR(VLOOKUP(F22,DUTY_2025!A:I,6,FALSE),""),"")</f>
        <v>0</v>
      </c>
      <c r="H22" s="85" t="s">
        <v>133</v>
      </c>
      <c r="I22" s="27" t="str">
        <f>IF(F22&lt;&gt;"",IFERROR(VLOOKUP(F22,DUTY_2025!A:H,2,FALSE),""),"")</f>
        <v>HEALTH MIXES</v>
      </c>
      <c r="J22" s="7" t="s">
        <v>533</v>
      </c>
      <c r="K22" s="90">
        <v>0</v>
      </c>
      <c r="L22" s="8">
        <v>50</v>
      </c>
      <c r="M22" s="8">
        <v>1</v>
      </c>
      <c r="N22" s="8">
        <v>600</v>
      </c>
      <c r="O22" s="25">
        <v>5</v>
      </c>
      <c r="P22" s="116">
        <f>ROUND(12898.8*1.05,2)</f>
        <v>13543.74</v>
      </c>
      <c r="Q22" s="23" t="s">
        <v>25</v>
      </c>
      <c r="R22" s="27" t="s">
        <v>337</v>
      </c>
      <c r="S22" s="86">
        <f t="shared" si="2"/>
        <v>30</v>
      </c>
      <c r="T22" s="87">
        <f t="shared" si="3"/>
        <v>33</v>
      </c>
      <c r="U22" s="87" cm="1">
        <f t="array" ref="U22">IF(AND(H22&lt;&gt;"YES",P22&lt;&gt;"",R22&lt;&gt;"",Q22&lt;&gt;""),
_xlfn.SWITCH(Q22,
"INR",_xlfn.SWITCH(R22,"KG",P22*S22,"CTN",P22,"UNIT",P22*N22,"NET",P22/M22,0),
"USD",_xlfn.SWITCH(R22,"KG",P22*S22*SI!$C$10,"CTN",P22*SI!$C$10,"UNIT",P22*N22*SI!$C$10,"NET",P22*SI!$C$10/M22,0),
"LKR",_xlfn.SWITCH(R22,"KG",P22*S22/SI!$C$9,"CTN",P22/SI!$C$9,"UNIT",P22*N22/SI!$C$9,"NET",P22/(M22*SI!$C$9),0),
0),
"")</f>
        <v>13543.74</v>
      </c>
      <c r="V22" s="87">
        <f t="shared" si="4"/>
        <v>30</v>
      </c>
      <c r="W22" s="87">
        <f t="shared" si="5"/>
        <v>33</v>
      </c>
      <c r="X22" s="88">
        <f t="shared" si="6"/>
        <v>13543.74</v>
      </c>
      <c r="Y22" s="24">
        <f t="shared" si="7"/>
        <v>600</v>
      </c>
      <c r="Z22" s="267">
        <f>IF(AND(H22&lt;&gt;"yes",F22&lt;&gt;""),IFERROR(VLOOKUP(F22,DUTY_2025!A:F,5,FALSE),""),"")</f>
        <v>570</v>
      </c>
      <c r="AA22" s="271">
        <f t="shared" si="8"/>
        <v>12899</v>
      </c>
      <c r="AB22" s="16">
        <f t="shared" si="9"/>
        <v>644.73999999999978</v>
      </c>
      <c r="AC22" s="16">
        <f>IF(AA22&lt;&gt;"",ROUND(AA22*SI!$C$9,0),"")</f>
        <v>45404</v>
      </c>
      <c r="AD22" s="4">
        <f>IF(AC22&lt;&gt;"",ROUND(AC22/(SI!$C$9*SI!$C$10),2),"")</f>
        <v>135.51</v>
      </c>
      <c r="AE22" s="30">
        <f>IF(AND(X22&lt;&gt;""), ROUND((SI!$E$23)*(X22/SUM($X$5:$X$493)),0),"")</f>
        <v>3527</v>
      </c>
      <c r="AF22" s="272">
        <f t="shared" si="10"/>
        <v>48931</v>
      </c>
      <c r="AG22" s="28">
        <f t="shared" si="11"/>
        <v>17100</v>
      </c>
      <c r="AH22" s="4">
        <f>IF(AD22&lt;&gt;"",ROUND(AD22*10*SI!$C$9/2,0),"")</f>
        <v>2385</v>
      </c>
      <c r="AI22" s="29">
        <f>IF(AND(X22&lt;&gt;""), ROUND((SI!$E$28)*(X22/SUM($X$5:$X$493)),0),"")</f>
        <v>10021</v>
      </c>
      <c r="AJ22" s="4">
        <f t="shared" si="12"/>
        <v>29506</v>
      </c>
      <c r="AK22" s="4">
        <f t="shared" si="13"/>
        <v>49</v>
      </c>
      <c r="AL22" s="4">
        <f t="shared" si="14"/>
        <v>82</v>
      </c>
      <c r="AM22" s="4">
        <f t="shared" si="15"/>
        <v>131</v>
      </c>
      <c r="AN22" s="195">
        <f t="shared" si="16"/>
        <v>78437</v>
      </c>
      <c r="AO22" s="261">
        <f>IF(AND(AM22&lt;&gt;"",P22&lt;&gt;""),ROUND((AM22*((100+SI!$C$11)/100)),0),"")</f>
        <v>151</v>
      </c>
      <c r="AP22" s="28">
        <f>IF(AG22&lt;&gt;"",ROUND(AG22/SI!$C$9,2),"")</f>
        <v>4857.95</v>
      </c>
      <c r="AQ22" s="4">
        <f>IF(AH22&lt;&gt;"",ROUND(AH22/SI!$C$9,2),"")</f>
        <v>677.56</v>
      </c>
      <c r="AR22" s="29">
        <f>IF(AI22&lt;&gt;"",ROUND(AI22/SI!$C$9,2),"")</f>
        <v>2846.88</v>
      </c>
      <c r="AS22" s="4">
        <f t="shared" si="17"/>
        <v>8382.39</v>
      </c>
      <c r="AT22" s="4">
        <f t="shared" si="18"/>
        <v>13.97</v>
      </c>
      <c r="AU22" s="4">
        <f>IF(AL22&lt;&gt;"",ROUND(AL22/SI!$C$9,2),"")</f>
        <v>23.3</v>
      </c>
      <c r="AV22" s="4">
        <f>IF(AM22&lt;&gt;"",ROUND(AM22/SI!$C$9,2),"")</f>
        <v>37.22</v>
      </c>
      <c r="AW22" s="4">
        <f>IF(AN22&lt;&gt;"",ROUND(AN22/SI!$C$9,2),"")</f>
        <v>22283.24</v>
      </c>
      <c r="AX22" s="261">
        <f>IF(AO22&lt;&gt;"",ROUND(AO22/SI!$C$9,2),"")</f>
        <v>42.9</v>
      </c>
      <c r="AY22" s="28">
        <f t="shared" si="19"/>
        <v>48931</v>
      </c>
      <c r="AZ22" s="4">
        <f>IF(AY22&lt;&gt;"",ROUND(AY22/(SI!$C$9*SI!$C$10),2),"")</f>
        <v>146.03</v>
      </c>
      <c r="BA22" s="4">
        <f t="shared" si="20"/>
        <v>39144.800000000003</v>
      </c>
      <c r="BB22" s="4">
        <f t="shared" si="21"/>
        <v>116.82</v>
      </c>
      <c r="BC22" s="4">
        <f t="shared" si="22"/>
        <v>0.19500000000000001</v>
      </c>
      <c r="BD22" s="4">
        <f t="shared" si="23"/>
        <v>3.8940000000000001</v>
      </c>
      <c r="BE22" s="4">
        <f>IF(AND(X22&lt;&gt;""),ROUND(X22/SI!$C$10,2),"")</f>
        <v>142.28</v>
      </c>
      <c r="BF22" s="4">
        <f t="shared" si="25"/>
        <v>0.23699999999999999</v>
      </c>
      <c r="BG22" s="264">
        <f t="shared" si="24"/>
        <v>4.7430000000000003</v>
      </c>
      <c r="BH22" s="71">
        <f>IF(F22&lt;&gt;"",VLOOKUP(F22,DUTY_2025!A:O,15,FALSE),"")</f>
        <v>80</v>
      </c>
    </row>
    <row r="23" spans="1:60" x14ac:dyDescent="0.25">
      <c r="A23" s="133">
        <f t="shared" si="0"/>
        <v>19</v>
      </c>
      <c r="B23" s="83">
        <f t="shared" si="1"/>
        <v>19</v>
      </c>
      <c r="C23" s="126">
        <v>1</v>
      </c>
      <c r="D23" s="127"/>
      <c r="E23" s="91"/>
      <c r="F23" s="36" t="s">
        <v>66</v>
      </c>
      <c r="G23" s="27">
        <f>IF(F23&lt;&gt;"",IFERROR(VLOOKUP(F23,DUTY_2025!A:I,6,FALSE),""),"")</f>
        <v>0</v>
      </c>
      <c r="H23" s="85" t="s">
        <v>133</v>
      </c>
      <c r="I23" s="27" t="str">
        <f>IF(F23&lt;&gt;"",IFERROR(VLOOKUP(F23,DUTY_2025!A:H,2,FALSE),""),"")</f>
        <v>HEALTH MIXES</v>
      </c>
      <c r="J23" s="7" t="s">
        <v>534</v>
      </c>
      <c r="K23" s="90">
        <v>0</v>
      </c>
      <c r="L23" s="8">
        <v>50</v>
      </c>
      <c r="M23" s="8">
        <v>2</v>
      </c>
      <c r="N23" s="8">
        <v>600</v>
      </c>
      <c r="O23" s="25">
        <v>5</v>
      </c>
      <c r="P23" s="116">
        <f>ROUND(14979.6*1.05,2)</f>
        <v>15728.58</v>
      </c>
      <c r="Q23" s="23" t="s">
        <v>25</v>
      </c>
      <c r="R23" s="27" t="s">
        <v>337</v>
      </c>
      <c r="S23" s="86">
        <f t="shared" si="2"/>
        <v>30</v>
      </c>
      <c r="T23" s="87">
        <f t="shared" si="3"/>
        <v>33</v>
      </c>
      <c r="U23" s="87" cm="1">
        <f t="array" ref="U23">IF(AND(H23&lt;&gt;"YES",P23&lt;&gt;"",R23&lt;&gt;"",Q23&lt;&gt;""),
_xlfn.SWITCH(Q23,
"INR",_xlfn.SWITCH(R23,"KG",P23*S23,"CTN",P23,"UNIT",P23*N23,"NET",P23/M23,0),
"USD",_xlfn.SWITCH(R23,"KG",P23*S23*SI!$C$10,"CTN",P23*SI!$C$10,"UNIT",P23*N23*SI!$C$10,"NET",P23*SI!$C$10/M23,0),
"LKR",_xlfn.SWITCH(R23,"KG",P23*S23/SI!$C$9,"CTN",P23/SI!$C$9,"UNIT",P23*N23/SI!$C$9,"NET",P23/(M23*SI!$C$9),0),
0),
"")</f>
        <v>7864.29</v>
      </c>
      <c r="V23" s="87">
        <f t="shared" si="4"/>
        <v>60</v>
      </c>
      <c r="W23" s="87">
        <f t="shared" si="5"/>
        <v>66</v>
      </c>
      <c r="X23" s="88">
        <f t="shared" si="6"/>
        <v>15728.58</v>
      </c>
      <c r="Y23" s="24">
        <f t="shared" si="7"/>
        <v>1200</v>
      </c>
      <c r="Z23" s="267">
        <f>IF(AND(H23&lt;&gt;"yes",F23&lt;&gt;""),IFERROR(VLOOKUP(F23,DUTY_2025!A:F,5,FALSE),""),"")</f>
        <v>570</v>
      </c>
      <c r="AA23" s="271">
        <f t="shared" si="8"/>
        <v>14980</v>
      </c>
      <c r="AB23" s="16">
        <f t="shared" si="9"/>
        <v>748.57999999999993</v>
      </c>
      <c r="AC23" s="16">
        <f>IF(AA23&lt;&gt;"",ROUND(AA23*SI!$C$9,0),"")</f>
        <v>52730</v>
      </c>
      <c r="AD23" s="4">
        <f>IF(AC23&lt;&gt;"",ROUND(AC23/(SI!$C$9*SI!$C$10),2),"")</f>
        <v>157.37</v>
      </c>
      <c r="AE23" s="30">
        <f>IF(AND(X23&lt;&gt;""), ROUND((SI!$E$23)*(X23/SUM($X$5:$X$493)),0),"")</f>
        <v>4096</v>
      </c>
      <c r="AF23" s="272">
        <f t="shared" si="10"/>
        <v>56826</v>
      </c>
      <c r="AG23" s="28">
        <f t="shared" si="11"/>
        <v>34200</v>
      </c>
      <c r="AH23" s="4">
        <f>IF(AD23&lt;&gt;"",ROUND(AD23*10*SI!$C$9/2,0),"")</f>
        <v>2770</v>
      </c>
      <c r="AI23" s="29">
        <f>IF(AND(X23&lt;&gt;""), ROUND((SI!$E$28)*(X23/SUM($X$5:$X$493)),0),"")</f>
        <v>11638</v>
      </c>
      <c r="AJ23" s="4">
        <f t="shared" si="12"/>
        <v>48608</v>
      </c>
      <c r="AK23" s="4">
        <f t="shared" si="13"/>
        <v>41</v>
      </c>
      <c r="AL23" s="4">
        <f t="shared" si="14"/>
        <v>47</v>
      </c>
      <c r="AM23" s="4">
        <f t="shared" si="15"/>
        <v>88</v>
      </c>
      <c r="AN23" s="195">
        <f t="shared" si="16"/>
        <v>105434</v>
      </c>
      <c r="AO23" s="261">
        <f>IF(AND(AM23&lt;&gt;"",P23&lt;&gt;""),ROUND((AM23*((100+SI!$C$11)/100)),0),"")</f>
        <v>101</v>
      </c>
      <c r="AP23" s="28">
        <f>IF(AG23&lt;&gt;"",ROUND(AG23/SI!$C$9,2),"")</f>
        <v>9715.91</v>
      </c>
      <c r="AQ23" s="4">
        <f>IF(AH23&lt;&gt;"",ROUND(AH23/SI!$C$9,2),"")</f>
        <v>786.93</v>
      </c>
      <c r="AR23" s="29">
        <f>IF(AI23&lt;&gt;"",ROUND(AI23/SI!$C$9,2),"")</f>
        <v>3306.25</v>
      </c>
      <c r="AS23" s="4">
        <f t="shared" si="17"/>
        <v>13809.09</v>
      </c>
      <c r="AT23" s="4">
        <f t="shared" si="18"/>
        <v>11.51</v>
      </c>
      <c r="AU23" s="4">
        <f>IF(AL23&lt;&gt;"",ROUND(AL23/SI!$C$9,2),"")</f>
        <v>13.35</v>
      </c>
      <c r="AV23" s="4">
        <f>IF(AM23&lt;&gt;"",ROUND(AM23/SI!$C$9,2),"")</f>
        <v>25</v>
      </c>
      <c r="AW23" s="4">
        <f>IF(AN23&lt;&gt;"",ROUND(AN23/SI!$C$9,2),"")</f>
        <v>29952.84</v>
      </c>
      <c r="AX23" s="261">
        <f>IF(AO23&lt;&gt;"",ROUND(AO23/SI!$C$9,2),"")</f>
        <v>28.69</v>
      </c>
      <c r="AY23" s="28">
        <f t="shared" si="19"/>
        <v>56826</v>
      </c>
      <c r="AZ23" s="4">
        <f>IF(AY23&lt;&gt;"",ROUND(AY23/(SI!$C$9*SI!$C$10),2),"")</f>
        <v>169.6</v>
      </c>
      <c r="BA23" s="4">
        <f t="shared" si="20"/>
        <v>45460.800000000003</v>
      </c>
      <c r="BB23" s="4">
        <f t="shared" si="21"/>
        <v>135.68</v>
      </c>
      <c r="BC23" s="4">
        <f t="shared" si="22"/>
        <v>0.113</v>
      </c>
      <c r="BD23" s="4">
        <f t="shared" si="23"/>
        <v>2.2610000000000001</v>
      </c>
      <c r="BE23" s="4">
        <f>IF(AND(X23&lt;&gt;""),ROUND(X23/SI!$C$10,2),"")</f>
        <v>165.23</v>
      </c>
      <c r="BF23" s="4">
        <f t="shared" si="25"/>
        <v>0.13800000000000001</v>
      </c>
      <c r="BG23" s="264">
        <f t="shared" si="24"/>
        <v>2.754</v>
      </c>
      <c r="BH23" s="71">
        <f>IF(F23&lt;&gt;"",VLOOKUP(F23,DUTY_2025!A:O,15,FALSE),"")</f>
        <v>80</v>
      </c>
    </row>
    <row r="24" spans="1:60" x14ac:dyDescent="0.25">
      <c r="A24" s="133">
        <f t="shared" si="0"/>
        <v>20</v>
      </c>
      <c r="B24" s="83">
        <f t="shared" si="1"/>
        <v>20</v>
      </c>
      <c r="C24" s="126">
        <v>1</v>
      </c>
      <c r="D24" s="127"/>
      <c r="E24" s="91"/>
      <c r="F24" s="36" t="s">
        <v>202</v>
      </c>
      <c r="G24" s="27" t="str">
        <f>IF(F24&lt;&gt;"",IFERROR(VLOOKUP(F24,DUTY_2025!A:I,6,FALSE),""),"")</f>
        <v>S</v>
      </c>
      <c r="H24" s="85" t="s">
        <v>133</v>
      </c>
      <c r="I24" s="27" t="str">
        <f>IF(F24&lt;&gt;"",IFERROR(VLOOKUP(F24,DUTY_2025!A:H,2,FALSE),""),"")</f>
        <v>DHANIYA POWDER</v>
      </c>
      <c r="J24" s="7" t="s">
        <v>535</v>
      </c>
      <c r="K24" s="90">
        <v>0</v>
      </c>
      <c r="L24" s="8">
        <v>500</v>
      </c>
      <c r="M24" s="8">
        <v>42</v>
      </c>
      <c r="N24" s="8">
        <v>60</v>
      </c>
      <c r="O24" s="25">
        <v>5</v>
      </c>
      <c r="P24" s="116">
        <f>ROUND(306406.8*1.05,2)</f>
        <v>321727.14</v>
      </c>
      <c r="Q24" s="23" t="s">
        <v>25</v>
      </c>
      <c r="R24" s="27" t="s">
        <v>337</v>
      </c>
      <c r="S24" s="86">
        <f t="shared" si="2"/>
        <v>30</v>
      </c>
      <c r="T24" s="87">
        <f t="shared" si="3"/>
        <v>33</v>
      </c>
      <c r="U24" s="87" cm="1">
        <f t="array" ref="U24">IF(AND(H24&lt;&gt;"YES",P24&lt;&gt;"",R24&lt;&gt;"",Q24&lt;&gt;""),
_xlfn.SWITCH(Q24,
"INR",_xlfn.SWITCH(R24,"KG",P24*S24,"CTN",P24,"UNIT",P24*N24,"NET",P24/M24,0),
"USD",_xlfn.SWITCH(R24,"KG",P24*S24*SI!$C$10,"CTN",P24*SI!$C$10,"UNIT",P24*N24*SI!$C$10,"NET",P24*SI!$C$10/M24,0),
"LKR",_xlfn.SWITCH(R24,"KG",P24*S24/SI!$C$9,"CTN",P24/SI!$C$9,"UNIT",P24*N24/SI!$C$9,"NET",P24/(M24*SI!$C$9),0),
0),
"")</f>
        <v>7660.17</v>
      </c>
      <c r="V24" s="87">
        <f t="shared" si="4"/>
        <v>1260</v>
      </c>
      <c r="W24" s="87">
        <f t="shared" si="5"/>
        <v>1386</v>
      </c>
      <c r="X24" s="88">
        <f t="shared" si="6"/>
        <v>321727.14</v>
      </c>
      <c r="Y24" s="24">
        <f t="shared" si="7"/>
        <v>2520</v>
      </c>
      <c r="Z24" s="267">
        <f>IF(AND(H24&lt;&gt;"yes",F24&lt;&gt;""),IFERROR(VLOOKUP(F24,DUTY_2025!A:F,5,FALSE),""),"")</f>
        <v>52</v>
      </c>
      <c r="AA24" s="271">
        <f t="shared" si="8"/>
        <v>306407</v>
      </c>
      <c r="AB24" s="16">
        <f t="shared" si="9"/>
        <v>15320.140000000014</v>
      </c>
      <c r="AC24" s="16">
        <f>IF(AA24&lt;&gt;"",ROUND(AA24*SI!$C$9,0),"")</f>
        <v>1078553</v>
      </c>
      <c r="AD24" s="4">
        <f>IF(AC24&lt;&gt;"",ROUND(AC24/(SI!$C$9*SI!$C$10),2),"")</f>
        <v>3218.9</v>
      </c>
      <c r="AE24" s="30">
        <f>IF(AND(X24&lt;&gt;""), ROUND((SI!$E$23)*(X24/SUM($X$5:$X$493)),0),"")</f>
        <v>83792</v>
      </c>
      <c r="AF24" s="272">
        <f t="shared" si="10"/>
        <v>1162345</v>
      </c>
      <c r="AG24" s="28">
        <f t="shared" si="11"/>
        <v>65520</v>
      </c>
      <c r="AH24" s="4">
        <f>IF(AD24&lt;&gt;"",ROUND(AD24*10*SI!$C$9/2,0),"")</f>
        <v>56653</v>
      </c>
      <c r="AI24" s="29">
        <f>IF(AND(X24&lt;&gt;""), ROUND((SI!$E$28)*(X24/SUM($X$5:$X$493)),0),"")</f>
        <v>238046</v>
      </c>
      <c r="AJ24" s="4">
        <f t="shared" si="12"/>
        <v>360219</v>
      </c>
      <c r="AK24" s="4">
        <f t="shared" si="13"/>
        <v>143</v>
      </c>
      <c r="AL24" s="4">
        <f t="shared" si="14"/>
        <v>461</v>
      </c>
      <c r="AM24" s="4">
        <f t="shared" si="15"/>
        <v>604</v>
      </c>
      <c r="AN24" s="195">
        <f t="shared" si="16"/>
        <v>1522564</v>
      </c>
      <c r="AO24" s="261">
        <f>IF(AND(AM24&lt;&gt;"",P24&lt;&gt;""),ROUND((AM24*((100+SI!$C$11)/100)),0),"")</f>
        <v>695</v>
      </c>
      <c r="AP24" s="28">
        <f>IF(AG24&lt;&gt;"",ROUND(AG24/SI!$C$9,2),"")</f>
        <v>18613.64</v>
      </c>
      <c r="AQ24" s="4">
        <f>IF(AH24&lt;&gt;"",ROUND(AH24/SI!$C$9,2),"")</f>
        <v>16094.6</v>
      </c>
      <c r="AR24" s="29">
        <f>IF(AI24&lt;&gt;"",ROUND(AI24/SI!$C$9,2),"")</f>
        <v>67626.7</v>
      </c>
      <c r="AS24" s="4">
        <f t="shared" si="17"/>
        <v>102334.94</v>
      </c>
      <c r="AT24" s="4">
        <f t="shared" si="18"/>
        <v>40.61</v>
      </c>
      <c r="AU24" s="4">
        <f>IF(AL24&lt;&gt;"",ROUND(AL24/SI!$C$9,2),"")</f>
        <v>130.97</v>
      </c>
      <c r="AV24" s="4">
        <f>IF(AM24&lt;&gt;"",ROUND(AM24/SI!$C$9,2),"")</f>
        <v>171.59</v>
      </c>
      <c r="AW24" s="4">
        <f>IF(AN24&lt;&gt;"",ROUND(AN24/SI!$C$9,2),"")</f>
        <v>432546.59</v>
      </c>
      <c r="AX24" s="261">
        <f>IF(AO24&lt;&gt;"",ROUND(AO24/SI!$C$9,2),"")</f>
        <v>197.44</v>
      </c>
      <c r="AY24" s="28">
        <f t="shared" si="19"/>
        <v>1162345</v>
      </c>
      <c r="AZ24" s="4">
        <f>IF(AY24&lt;&gt;"",ROUND(AY24/(SI!$C$9*SI!$C$10),2),"")</f>
        <v>3468.97</v>
      </c>
      <c r="BA24" s="4">
        <f t="shared" si="20"/>
        <v>1162345</v>
      </c>
      <c r="BB24" s="4">
        <f t="shared" si="21"/>
        <v>3468.97</v>
      </c>
      <c r="BC24" s="4">
        <f t="shared" si="22"/>
        <v>1.377</v>
      </c>
      <c r="BD24" s="4">
        <f t="shared" si="23"/>
        <v>2.7530000000000001</v>
      </c>
      <c r="BE24" s="4">
        <f>IF(AND(X24&lt;&gt;""),ROUND(X24/SI!$C$10,2),"")</f>
        <v>3379.84</v>
      </c>
      <c r="BF24" s="4">
        <f t="shared" si="25"/>
        <v>1.341</v>
      </c>
      <c r="BG24" s="264">
        <f t="shared" si="24"/>
        <v>2.6819999999999999</v>
      </c>
      <c r="BH24" s="71">
        <f>IF(F24&lt;&gt;"",VLOOKUP(F24,DUTY_2025!A:O,15,FALSE),"")</f>
        <v>100</v>
      </c>
    </row>
    <row r="25" spans="1:60" x14ac:dyDescent="0.25">
      <c r="A25" s="133">
        <f t="shared" si="0"/>
        <v>21</v>
      </c>
      <c r="B25" s="83">
        <f t="shared" si="1"/>
        <v>21</v>
      </c>
      <c r="C25" s="126">
        <v>1</v>
      </c>
      <c r="D25" s="127"/>
      <c r="E25" s="91"/>
      <c r="F25" s="32" t="s">
        <v>184</v>
      </c>
      <c r="G25" s="27">
        <f>IF(F25&lt;&gt;"",IFERROR(VLOOKUP(F25,DUTY_2025!A:I,6,FALSE),""),"")</f>
        <v>0</v>
      </c>
      <c r="H25" s="85" t="s">
        <v>133</v>
      </c>
      <c r="I25" s="27" t="str">
        <f>IF(F25&lt;&gt;"",IFERROR(VLOOKUP(F25,DUTY_2025!A:H,2,FALSE),""),"")</f>
        <v>CHILLIES- OTHER</v>
      </c>
      <c r="J25" s="7" t="s">
        <v>536</v>
      </c>
      <c r="K25" s="90">
        <v>0</v>
      </c>
      <c r="L25" s="8">
        <v>500</v>
      </c>
      <c r="M25" s="8">
        <v>15</v>
      </c>
      <c r="N25" s="8">
        <v>60</v>
      </c>
      <c r="O25" s="25">
        <v>5</v>
      </c>
      <c r="P25" s="116">
        <f>ROUND(126081*1.05,2)</f>
        <v>132385.04999999999</v>
      </c>
      <c r="Q25" s="23" t="s">
        <v>25</v>
      </c>
      <c r="R25" s="27" t="s">
        <v>337</v>
      </c>
      <c r="S25" s="86">
        <f t="shared" si="2"/>
        <v>30</v>
      </c>
      <c r="T25" s="87">
        <f t="shared" si="3"/>
        <v>33</v>
      </c>
      <c r="U25" s="87" cm="1">
        <f t="array" ref="U25">IF(AND(H25&lt;&gt;"YES",P25&lt;&gt;"",R25&lt;&gt;"",Q25&lt;&gt;""),
_xlfn.SWITCH(Q25,
"INR",_xlfn.SWITCH(R25,"KG",P25*S25,"CTN",P25,"UNIT",P25*N25,"NET",P25/M25,0),
"USD",_xlfn.SWITCH(R25,"KG",P25*S25*SI!$C$10,"CTN",P25*SI!$C$10,"UNIT",P25*N25*SI!$C$10,"NET",P25*SI!$C$10/M25,0),
"LKR",_xlfn.SWITCH(R25,"KG",P25*S25/SI!$C$9,"CTN",P25/SI!$C$9,"UNIT",P25*N25/SI!$C$9,"NET",P25/(M25*SI!$C$9),0),
0),
"")</f>
        <v>8825.67</v>
      </c>
      <c r="V25" s="87">
        <f t="shared" si="4"/>
        <v>450</v>
      </c>
      <c r="W25" s="87">
        <f t="shared" si="5"/>
        <v>495.00000000000006</v>
      </c>
      <c r="X25" s="88">
        <f t="shared" si="6"/>
        <v>132385.04999999999</v>
      </c>
      <c r="Y25" s="24">
        <f t="shared" si="7"/>
        <v>900</v>
      </c>
      <c r="Z25" s="267">
        <f>IF(AND(H25&lt;&gt;"yes",F25&lt;&gt;""),IFERROR(VLOOKUP(F25,DUTY_2025!A:F,5,FALSE),""),"")</f>
        <v>705</v>
      </c>
      <c r="AA25" s="271">
        <f t="shared" si="8"/>
        <v>126081</v>
      </c>
      <c r="AB25" s="16">
        <f t="shared" si="9"/>
        <v>6304.0499999999884</v>
      </c>
      <c r="AC25" s="16">
        <f>IF(AA25&lt;&gt;"",ROUND(AA25*SI!$C$9,0),"")</f>
        <v>443805</v>
      </c>
      <c r="AD25" s="4">
        <f>IF(AC25&lt;&gt;"",ROUND(AC25/(SI!$C$9*SI!$C$10),2),"")</f>
        <v>1324.52</v>
      </c>
      <c r="AE25" s="30">
        <f>IF(AND(X25&lt;&gt;""), ROUND((SI!$E$23)*(X25/SUM($X$5:$X$493)),0),"")</f>
        <v>34479</v>
      </c>
      <c r="AF25" s="272">
        <f t="shared" si="10"/>
        <v>478284</v>
      </c>
      <c r="AG25" s="28">
        <f t="shared" si="11"/>
        <v>317250</v>
      </c>
      <c r="AH25" s="4">
        <f>IF(AD25&lt;&gt;"",ROUND(AD25*10*SI!$C$9/2,0),"")</f>
        <v>23312</v>
      </c>
      <c r="AI25" s="29">
        <f>IF(AND(X25&lt;&gt;""), ROUND((SI!$E$28)*(X25/SUM($X$5:$X$493)),0),"")</f>
        <v>97952</v>
      </c>
      <c r="AJ25" s="4">
        <f t="shared" si="12"/>
        <v>438514</v>
      </c>
      <c r="AK25" s="4">
        <f t="shared" si="13"/>
        <v>487</v>
      </c>
      <c r="AL25" s="4">
        <f t="shared" si="14"/>
        <v>531</v>
      </c>
      <c r="AM25" s="4">
        <f t="shared" si="15"/>
        <v>1018</v>
      </c>
      <c r="AN25" s="195">
        <f t="shared" si="16"/>
        <v>916798</v>
      </c>
      <c r="AO25" s="261">
        <f>IF(AND(AM25&lt;&gt;"",P25&lt;&gt;""),ROUND((AM25*((100+SI!$C$11)/100)),0),"")</f>
        <v>1171</v>
      </c>
      <c r="AP25" s="28">
        <f>IF(AG25&lt;&gt;"",ROUND(AG25/SI!$C$9,2),"")</f>
        <v>90127.84</v>
      </c>
      <c r="AQ25" s="4">
        <f>IF(AH25&lt;&gt;"",ROUND(AH25/SI!$C$9,2),"")</f>
        <v>6622.73</v>
      </c>
      <c r="AR25" s="29">
        <f>IF(AI25&lt;&gt;"",ROUND(AI25/SI!$C$9,2),"")</f>
        <v>27827.27</v>
      </c>
      <c r="AS25" s="4">
        <f t="shared" si="17"/>
        <v>124577.84</v>
      </c>
      <c r="AT25" s="4">
        <f t="shared" si="18"/>
        <v>138.41999999999999</v>
      </c>
      <c r="AU25" s="4">
        <f>IF(AL25&lt;&gt;"",ROUND(AL25/SI!$C$9,2),"")</f>
        <v>150.85</v>
      </c>
      <c r="AV25" s="4">
        <f>IF(AM25&lt;&gt;"",ROUND(AM25/SI!$C$9,2),"")</f>
        <v>289.2</v>
      </c>
      <c r="AW25" s="4">
        <f>IF(AN25&lt;&gt;"",ROUND(AN25/SI!$C$9,2),"")</f>
        <v>260453.98</v>
      </c>
      <c r="AX25" s="261">
        <f>IF(AO25&lt;&gt;"",ROUND(AO25/SI!$C$9,2),"")</f>
        <v>332.67</v>
      </c>
      <c r="AY25" s="28">
        <f t="shared" si="19"/>
        <v>478284</v>
      </c>
      <c r="AZ25" s="4">
        <f>IF(AY25&lt;&gt;"",ROUND(AY25/(SI!$C$9*SI!$C$10),2),"")</f>
        <v>1427.42</v>
      </c>
      <c r="BA25" s="4">
        <f t="shared" si="20"/>
        <v>382627.2</v>
      </c>
      <c r="BB25" s="4">
        <f t="shared" si="21"/>
        <v>1141.94</v>
      </c>
      <c r="BC25" s="4">
        <f t="shared" si="22"/>
        <v>1.2689999999999999</v>
      </c>
      <c r="BD25" s="4">
        <f t="shared" si="23"/>
        <v>2.5379999999999998</v>
      </c>
      <c r="BE25" s="4">
        <f>IF(AND(X25&lt;&gt;""),ROUND(X25/SI!$C$10,2),"")</f>
        <v>1390.75</v>
      </c>
      <c r="BF25" s="4">
        <f t="shared" si="25"/>
        <v>1.5449999999999999</v>
      </c>
      <c r="BG25" s="264">
        <f t="shared" si="24"/>
        <v>3.0910000000000002</v>
      </c>
      <c r="BH25" s="71">
        <f>IF(F25&lt;&gt;"",VLOOKUP(F25,DUTY_2025!A:O,15,FALSE),"")</f>
        <v>80</v>
      </c>
    </row>
    <row r="26" spans="1:60" x14ac:dyDescent="0.25">
      <c r="A26" s="133">
        <f t="shared" si="0"/>
        <v>22</v>
      </c>
      <c r="B26" s="83">
        <f t="shared" si="1"/>
        <v>22</v>
      </c>
      <c r="C26" s="126">
        <v>1</v>
      </c>
      <c r="D26" s="127"/>
      <c r="E26" s="91"/>
      <c r="F26" s="32" t="s">
        <v>236</v>
      </c>
      <c r="G26" s="27">
        <f>IF(F26&lt;&gt;"",IFERROR(VLOOKUP(F26,DUTY_2025!A:I,6,FALSE),""),"")</f>
        <v>0</v>
      </c>
      <c r="H26" s="85" t="s">
        <v>133</v>
      </c>
      <c r="I26" s="27" t="str">
        <f>IF(F26&lt;&gt;"",IFERROR(VLOOKUP(F26,DUTY_2025!A:H,2,FALSE),""),"")</f>
        <v>OATS</v>
      </c>
      <c r="J26" s="7" t="s">
        <v>537</v>
      </c>
      <c r="K26" s="90">
        <v>0</v>
      </c>
      <c r="L26" s="8">
        <v>400</v>
      </c>
      <c r="M26" s="8">
        <v>10</v>
      </c>
      <c r="N26" s="8">
        <v>24</v>
      </c>
      <c r="O26" s="25">
        <v>5</v>
      </c>
      <c r="P26" s="116">
        <v>15600</v>
      </c>
      <c r="Q26" s="23" t="s">
        <v>25</v>
      </c>
      <c r="R26" s="27" t="s">
        <v>337</v>
      </c>
      <c r="S26" s="86">
        <f t="shared" si="2"/>
        <v>9.6</v>
      </c>
      <c r="T26" s="87">
        <f t="shared" si="3"/>
        <v>10.56</v>
      </c>
      <c r="U26" s="87" cm="1">
        <f t="array" ref="U26">IF(AND(H26&lt;&gt;"YES",P26&lt;&gt;"",R26&lt;&gt;"",Q26&lt;&gt;""),
_xlfn.SWITCH(Q26,
"INR",_xlfn.SWITCH(R26,"KG",P26*S26,"CTN",P26,"UNIT",P26*N26,"NET",P26/M26,0),
"USD",_xlfn.SWITCH(R26,"KG",P26*S26*SI!$C$10,"CTN",P26*SI!$C$10,"UNIT",P26*N26*SI!$C$10,"NET",P26*SI!$C$10/M26,0),
"LKR",_xlfn.SWITCH(R26,"KG",P26*S26/SI!$C$9,"CTN",P26/SI!$C$9,"UNIT",P26*N26/SI!$C$9,"NET",P26/(M26*SI!$C$9),0),
0),
"")</f>
        <v>1560</v>
      </c>
      <c r="V26" s="87">
        <f t="shared" si="4"/>
        <v>96</v>
      </c>
      <c r="W26" s="87">
        <f t="shared" si="5"/>
        <v>105.60000000000001</v>
      </c>
      <c r="X26" s="88">
        <f t="shared" si="6"/>
        <v>15600</v>
      </c>
      <c r="Y26" s="24">
        <f t="shared" si="7"/>
        <v>240</v>
      </c>
      <c r="Z26" s="267">
        <f>IF(AND(H26&lt;&gt;"yes",F26&lt;&gt;""),IFERROR(VLOOKUP(F26,DUTY_2025!A:F,5,FALSE),""),"")</f>
        <v>441</v>
      </c>
      <c r="AA26" s="271">
        <f t="shared" si="8"/>
        <v>14857</v>
      </c>
      <c r="AB26" s="16">
        <f t="shared" si="9"/>
        <v>743</v>
      </c>
      <c r="AC26" s="16">
        <f>IF(AA26&lt;&gt;"",ROUND(AA26*SI!$C$9,0),"")</f>
        <v>52297</v>
      </c>
      <c r="AD26" s="4">
        <f>IF(AC26&lt;&gt;"",ROUND(AC26/(SI!$C$9*SI!$C$10),2),"")</f>
        <v>156.08000000000001</v>
      </c>
      <c r="AE26" s="30">
        <f>IF(AND(X26&lt;&gt;""), ROUND((SI!$E$23)*(X26/SUM($X$5:$X$493)),0),"")</f>
        <v>4063</v>
      </c>
      <c r="AF26" s="272">
        <f t="shared" si="10"/>
        <v>56360</v>
      </c>
      <c r="AG26" s="28">
        <f t="shared" si="11"/>
        <v>42336</v>
      </c>
      <c r="AH26" s="4">
        <f>IF(AD26&lt;&gt;"",ROUND(AD26*10*SI!$C$9/2,0),"")</f>
        <v>2747</v>
      </c>
      <c r="AI26" s="29">
        <f>IF(AND(X26&lt;&gt;""), ROUND((SI!$E$28)*(X26/SUM($X$5:$X$493)),0),"")</f>
        <v>11542</v>
      </c>
      <c r="AJ26" s="4">
        <f t="shared" si="12"/>
        <v>56625</v>
      </c>
      <c r="AK26" s="4">
        <f t="shared" si="13"/>
        <v>236</v>
      </c>
      <c r="AL26" s="4">
        <f t="shared" si="14"/>
        <v>235</v>
      </c>
      <c r="AM26" s="4">
        <f t="shared" si="15"/>
        <v>471</v>
      </c>
      <c r="AN26" s="195">
        <f t="shared" si="16"/>
        <v>112985</v>
      </c>
      <c r="AO26" s="261">
        <f>IF(AND(AM26&lt;&gt;"",P26&lt;&gt;""),ROUND((AM26*((100+SI!$C$11)/100)),0),"")</f>
        <v>542</v>
      </c>
      <c r="AP26" s="28">
        <f>IF(AG26&lt;&gt;"",ROUND(AG26/SI!$C$9,2),"")</f>
        <v>12027.27</v>
      </c>
      <c r="AQ26" s="4">
        <f>IF(AH26&lt;&gt;"",ROUND(AH26/SI!$C$9,2),"")</f>
        <v>780.4</v>
      </c>
      <c r="AR26" s="29">
        <f>IF(AI26&lt;&gt;"",ROUND(AI26/SI!$C$9,2),"")</f>
        <v>3278.98</v>
      </c>
      <c r="AS26" s="4">
        <f t="shared" si="17"/>
        <v>16086.65</v>
      </c>
      <c r="AT26" s="4">
        <f t="shared" si="18"/>
        <v>67.03</v>
      </c>
      <c r="AU26" s="4">
        <f>IF(AL26&lt;&gt;"",ROUND(AL26/SI!$C$9,2),"")</f>
        <v>66.760000000000005</v>
      </c>
      <c r="AV26" s="4">
        <f>IF(AM26&lt;&gt;"",ROUND(AM26/SI!$C$9,2),"")</f>
        <v>133.81</v>
      </c>
      <c r="AW26" s="4">
        <f>IF(AN26&lt;&gt;"",ROUND(AN26/SI!$C$9,2),"")</f>
        <v>32098.01</v>
      </c>
      <c r="AX26" s="261">
        <f>IF(AO26&lt;&gt;"",ROUND(AO26/SI!$C$9,2),"")</f>
        <v>153.97999999999999</v>
      </c>
      <c r="AY26" s="28">
        <f t="shared" si="19"/>
        <v>56360</v>
      </c>
      <c r="AZ26" s="4">
        <f>IF(AY26&lt;&gt;"",ROUND(AY26/(SI!$C$9*SI!$C$10),2),"")</f>
        <v>168.2</v>
      </c>
      <c r="BA26" s="4">
        <f t="shared" si="20"/>
        <v>45088</v>
      </c>
      <c r="BB26" s="4">
        <f t="shared" si="21"/>
        <v>134.56</v>
      </c>
      <c r="BC26" s="4">
        <f t="shared" si="22"/>
        <v>0.56100000000000005</v>
      </c>
      <c r="BD26" s="4">
        <f t="shared" si="23"/>
        <v>1.4019999999999999</v>
      </c>
      <c r="BE26" s="4">
        <f>IF(AND(X26&lt;&gt;""),ROUND(X26/SI!$C$10,2),"")</f>
        <v>163.88</v>
      </c>
      <c r="BF26" s="4">
        <f t="shared" si="25"/>
        <v>0.68300000000000005</v>
      </c>
      <c r="BG26" s="264">
        <f t="shared" si="24"/>
        <v>1.7070000000000001</v>
      </c>
      <c r="BH26" s="71">
        <f>IF(F26&lt;&gt;"",VLOOKUP(F26,DUTY_2025!A:O,15,FALSE),"")</f>
        <v>80</v>
      </c>
    </row>
    <row r="27" spans="1:60" x14ac:dyDescent="0.25">
      <c r="A27" s="133">
        <f t="shared" si="0"/>
        <v>23</v>
      </c>
      <c r="B27" s="83">
        <f t="shared" si="1"/>
        <v>23</v>
      </c>
      <c r="C27" s="126">
        <v>1</v>
      </c>
      <c r="D27" s="127"/>
      <c r="E27" s="91"/>
      <c r="F27" s="32" t="s">
        <v>236</v>
      </c>
      <c r="G27" s="27">
        <f>IF(F27&lt;&gt;"",IFERROR(VLOOKUP(F27,DUTY_2025!A:I,6,FALSE),""),"")</f>
        <v>0</v>
      </c>
      <c r="H27" s="85" t="s">
        <v>133</v>
      </c>
      <c r="I27" s="27" t="str">
        <f>IF(F27&lt;&gt;"",IFERROR(VLOOKUP(F27,DUTY_2025!A:H,2,FALSE),""),"")</f>
        <v>OATS</v>
      </c>
      <c r="J27" s="7" t="s">
        <v>463</v>
      </c>
      <c r="K27" s="90">
        <v>0</v>
      </c>
      <c r="L27" s="8">
        <v>1000</v>
      </c>
      <c r="M27" s="8">
        <v>10</v>
      </c>
      <c r="N27" s="8">
        <v>12</v>
      </c>
      <c r="O27" s="25">
        <v>5</v>
      </c>
      <c r="P27" s="116">
        <v>18600</v>
      </c>
      <c r="Q27" s="23" t="s">
        <v>25</v>
      </c>
      <c r="R27" s="27" t="s">
        <v>337</v>
      </c>
      <c r="S27" s="86">
        <f t="shared" si="2"/>
        <v>12</v>
      </c>
      <c r="T27" s="87">
        <f t="shared" si="3"/>
        <v>13.200000000000001</v>
      </c>
      <c r="U27" s="87" cm="1">
        <f t="array" ref="U27">IF(AND(H27&lt;&gt;"YES",P27&lt;&gt;"",R27&lt;&gt;"",Q27&lt;&gt;""),
_xlfn.SWITCH(Q27,
"INR",_xlfn.SWITCH(R27,"KG",P27*S27,"CTN",P27,"UNIT",P27*N27,"NET",P27/M27,0),
"USD",_xlfn.SWITCH(R27,"KG",P27*S27*SI!$C$10,"CTN",P27*SI!$C$10,"UNIT",P27*N27*SI!$C$10,"NET",P27*SI!$C$10/M27,0),
"LKR",_xlfn.SWITCH(R27,"KG",P27*S27/SI!$C$9,"CTN",P27/SI!$C$9,"UNIT",P27*N27/SI!$C$9,"NET",P27/(M27*SI!$C$9),0),
0),
"")</f>
        <v>1860</v>
      </c>
      <c r="V27" s="87">
        <f t="shared" si="4"/>
        <v>120</v>
      </c>
      <c r="W27" s="87">
        <f t="shared" si="5"/>
        <v>132</v>
      </c>
      <c r="X27" s="88">
        <f t="shared" si="6"/>
        <v>18600</v>
      </c>
      <c r="Y27" s="24">
        <f t="shared" si="7"/>
        <v>120</v>
      </c>
      <c r="Z27" s="267">
        <f>IF(AND(H27&lt;&gt;"yes",F27&lt;&gt;""),IFERROR(VLOOKUP(F27,DUTY_2025!A:F,5,FALSE),""),"")</f>
        <v>441</v>
      </c>
      <c r="AA27" s="271">
        <f t="shared" si="8"/>
        <v>17714</v>
      </c>
      <c r="AB27" s="16">
        <f t="shared" si="9"/>
        <v>886</v>
      </c>
      <c r="AC27" s="16">
        <f>IF(AA27&lt;&gt;"",ROUND(AA27*SI!$C$9,0),"")</f>
        <v>62353</v>
      </c>
      <c r="AD27" s="4">
        <f>IF(AC27&lt;&gt;"",ROUND(AC27/(SI!$C$9*SI!$C$10),2),"")</f>
        <v>186.09</v>
      </c>
      <c r="AE27" s="30">
        <f>IF(AND(X27&lt;&gt;""), ROUND((SI!$E$23)*(X27/SUM($X$5:$X$493)),0),"")</f>
        <v>4844</v>
      </c>
      <c r="AF27" s="272">
        <f t="shared" si="10"/>
        <v>67197</v>
      </c>
      <c r="AG27" s="28">
        <f t="shared" si="11"/>
        <v>52920</v>
      </c>
      <c r="AH27" s="4">
        <f>IF(AD27&lt;&gt;"",ROUND(AD27*10*SI!$C$9/2,0),"")</f>
        <v>3275</v>
      </c>
      <c r="AI27" s="29">
        <f>IF(AND(X27&lt;&gt;""), ROUND((SI!$E$28)*(X27/SUM($X$5:$X$493)),0),"")</f>
        <v>13762</v>
      </c>
      <c r="AJ27" s="4">
        <f t="shared" si="12"/>
        <v>69957</v>
      </c>
      <c r="AK27" s="4">
        <f t="shared" si="13"/>
        <v>583</v>
      </c>
      <c r="AL27" s="4">
        <f t="shared" si="14"/>
        <v>560</v>
      </c>
      <c r="AM27" s="4">
        <f t="shared" si="15"/>
        <v>1143</v>
      </c>
      <c r="AN27" s="195">
        <f t="shared" si="16"/>
        <v>137154</v>
      </c>
      <c r="AO27" s="261">
        <f>IF(AND(AM27&lt;&gt;"",P27&lt;&gt;""),ROUND((AM27*((100+SI!$C$11)/100)),0),"")</f>
        <v>1314</v>
      </c>
      <c r="AP27" s="28">
        <f>IF(AG27&lt;&gt;"",ROUND(AG27/SI!$C$9,2),"")</f>
        <v>15034.09</v>
      </c>
      <c r="AQ27" s="4">
        <f>IF(AH27&lt;&gt;"",ROUND(AH27/SI!$C$9,2),"")</f>
        <v>930.4</v>
      </c>
      <c r="AR27" s="29">
        <f>IF(AI27&lt;&gt;"",ROUND(AI27/SI!$C$9,2),"")</f>
        <v>3909.66</v>
      </c>
      <c r="AS27" s="4">
        <f t="shared" si="17"/>
        <v>19874.150000000001</v>
      </c>
      <c r="AT27" s="4">
        <f t="shared" si="18"/>
        <v>165.62</v>
      </c>
      <c r="AU27" s="4">
        <f>IF(AL27&lt;&gt;"",ROUND(AL27/SI!$C$9,2),"")</f>
        <v>159.09</v>
      </c>
      <c r="AV27" s="4">
        <f>IF(AM27&lt;&gt;"",ROUND(AM27/SI!$C$9,2),"")</f>
        <v>324.72000000000003</v>
      </c>
      <c r="AW27" s="4">
        <f>IF(AN27&lt;&gt;"",ROUND(AN27/SI!$C$9,2),"")</f>
        <v>38964.199999999997</v>
      </c>
      <c r="AX27" s="261">
        <f>IF(AO27&lt;&gt;"",ROUND(AO27/SI!$C$9,2),"")</f>
        <v>373.3</v>
      </c>
      <c r="AY27" s="28">
        <f t="shared" si="19"/>
        <v>67197</v>
      </c>
      <c r="AZ27" s="4">
        <f>IF(AY27&lt;&gt;"",ROUND(AY27/(SI!$C$9*SI!$C$10),2),"")</f>
        <v>200.55</v>
      </c>
      <c r="BA27" s="4">
        <f t="shared" si="20"/>
        <v>53757.599999999999</v>
      </c>
      <c r="BB27" s="4">
        <f t="shared" si="21"/>
        <v>160.44</v>
      </c>
      <c r="BC27" s="4">
        <f t="shared" si="22"/>
        <v>1.337</v>
      </c>
      <c r="BD27" s="4">
        <f t="shared" si="23"/>
        <v>1.337</v>
      </c>
      <c r="BE27" s="4">
        <f>IF(AND(X27&lt;&gt;""),ROUND(X27/SI!$C$10,2),"")</f>
        <v>195.4</v>
      </c>
      <c r="BF27" s="4">
        <f t="shared" si="25"/>
        <v>1.6279999999999999</v>
      </c>
      <c r="BG27" s="264">
        <f t="shared" si="24"/>
        <v>1.6279999999999999</v>
      </c>
      <c r="BH27" s="71">
        <f>IF(F27&lt;&gt;"",VLOOKUP(F27,DUTY_2025!A:O,15,FALSE),"")</f>
        <v>80</v>
      </c>
    </row>
    <row r="28" spans="1:60" x14ac:dyDescent="0.25">
      <c r="A28" s="133">
        <f t="shared" si="0"/>
        <v>24</v>
      </c>
      <c r="B28" s="83">
        <f t="shared" si="1"/>
        <v>24</v>
      </c>
      <c r="C28" s="126">
        <v>1</v>
      </c>
      <c r="D28" s="127"/>
      <c r="E28" s="91"/>
      <c r="F28" s="32" t="s">
        <v>201</v>
      </c>
      <c r="G28" s="27">
        <f>IF(F28&lt;&gt;"",IFERROR(VLOOKUP(F28,DUTY_2025!A:I,6,FALSE),""),"")</f>
        <v>0</v>
      </c>
      <c r="H28" s="85" t="s">
        <v>133</v>
      </c>
      <c r="I28" s="27" t="str">
        <f>IF(F28&lt;&gt;"",IFERROR(VLOOKUP(F28,DUTY_2025!A:H,2,FALSE),""),"")</f>
        <v>PAPADS - OTHERS</v>
      </c>
      <c r="J28" s="7" t="s">
        <v>538</v>
      </c>
      <c r="K28" s="90">
        <v>0</v>
      </c>
      <c r="L28" s="8">
        <v>100</v>
      </c>
      <c r="M28" s="8">
        <v>15</v>
      </c>
      <c r="N28" s="8">
        <v>150</v>
      </c>
      <c r="O28" s="25">
        <v>5</v>
      </c>
      <c r="P28" s="116">
        <v>38250</v>
      </c>
      <c r="Q28" s="23" t="s">
        <v>25</v>
      </c>
      <c r="R28" s="27" t="s">
        <v>337</v>
      </c>
      <c r="S28" s="86">
        <f t="shared" si="2"/>
        <v>15</v>
      </c>
      <c r="T28" s="87">
        <f t="shared" si="3"/>
        <v>16.5</v>
      </c>
      <c r="U28" s="87" cm="1">
        <f t="array" ref="U28">IF(AND(H28&lt;&gt;"YES",P28&lt;&gt;"",R28&lt;&gt;"",Q28&lt;&gt;""),
_xlfn.SWITCH(Q28,
"INR",_xlfn.SWITCH(R28,"KG",P28*S28,"CTN",P28,"UNIT",P28*N28,"NET",P28/M28,0),
"USD",_xlfn.SWITCH(R28,"KG",P28*S28*SI!$C$10,"CTN",P28*SI!$C$10,"UNIT",P28*N28*SI!$C$10,"NET",P28*SI!$C$10/M28,0),
"LKR",_xlfn.SWITCH(R28,"KG",P28*S28/SI!$C$9,"CTN",P28/SI!$C$9,"UNIT",P28*N28/SI!$C$9,"NET",P28/(M28*SI!$C$9),0),
0),
"")</f>
        <v>2550</v>
      </c>
      <c r="V28" s="87">
        <f t="shared" si="4"/>
        <v>225</v>
      </c>
      <c r="W28" s="87">
        <f t="shared" si="5"/>
        <v>247.50000000000003</v>
      </c>
      <c r="X28" s="88">
        <f t="shared" si="6"/>
        <v>38250</v>
      </c>
      <c r="Y28" s="24">
        <f t="shared" si="7"/>
        <v>2250</v>
      </c>
      <c r="Z28" s="267">
        <f>IF(AND(H28&lt;&gt;"yes",F28&lt;&gt;""),IFERROR(VLOOKUP(F28,DUTY_2025!A:F,5,FALSE),""),"")</f>
        <v>1120</v>
      </c>
      <c r="AA28" s="271">
        <f t="shared" si="8"/>
        <v>36429</v>
      </c>
      <c r="AB28" s="16">
        <f t="shared" si="9"/>
        <v>1821</v>
      </c>
      <c r="AC28" s="16">
        <f>IF(AA28&lt;&gt;"",ROUND(AA28*SI!$C$9,0),"")</f>
        <v>128230</v>
      </c>
      <c r="AD28" s="4">
        <f>IF(AC28&lt;&gt;"",ROUND(AC28/(SI!$C$9*SI!$C$10),2),"")</f>
        <v>382.7</v>
      </c>
      <c r="AE28" s="30">
        <f>IF(AND(X28&lt;&gt;""), ROUND((SI!$E$23)*(X28/SUM($X$5:$X$493)),0),"")</f>
        <v>9962</v>
      </c>
      <c r="AF28" s="272">
        <f t="shared" si="10"/>
        <v>138192</v>
      </c>
      <c r="AG28" s="28">
        <f t="shared" si="11"/>
        <v>252000</v>
      </c>
      <c r="AH28" s="4">
        <f>IF(AD28&lt;&gt;"",ROUND(AD28*10*SI!$C$9/2,0),"")</f>
        <v>6736</v>
      </c>
      <c r="AI28" s="29">
        <f>IF(AND(X28&lt;&gt;""), ROUND((SI!$E$28)*(X28/SUM($X$5:$X$493)),0),"")</f>
        <v>28301</v>
      </c>
      <c r="AJ28" s="4">
        <f t="shared" si="12"/>
        <v>287037</v>
      </c>
      <c r="AK28" s="4">
        <f t="shared" si="13"/>
        <v>128</v>
      </c>
      <c r="AL28" s="4">
        <f t="shared" si="14"/>
        <v>61</v>
      </c>
      <c r="AM28" s="4">
        <f t="shared" si="15"/>
        <v>189</v>
      </c>
      <c r="AN28" s="195">
        <f t="shared" si="16"/>
        <v>425229</v>
      </c>
      <c r="AO28" s="261">
        <f>IF(AND(AM28&lt;&gt;"",P28&lt;&gt;""),ROUND((AM28*((100+SI!$C$11)/100)),0),"")</f>
        <v>217</v>
      </c>
      <c r="AP28" s="28">
        <f>IF(AG28&lt;&gt;"",ROUND(AG28/SI!$C$9,2),"")</f>
        <v>71590.91</v>
      </c>
      <c r="AQ28" s="4">
        <f>IF(AH28&lt;&gt;"",ROUND(AH28/SI!$C$9,2),"")</f>
        <v>1913.64</v>
      </c>
      <c r="AR28" s="29">
        <f>IF(AI28&lt;&gt;"",ROUND(AI28/SI!$C$9,2),"")</f>
        <v>8040.06</v>
      </c>
      <c r="AS28" s="4">
        <f t="shared" si="17"/>
        <v>81544.61</v>
      </c>
      <c r="AT28" s="4">
        <f t="shared" si="18"/>
        <v>36.24</v>
      </c>
      <c r="AU28" s="4">
        <f>IF(AL28&lt;&gt;"",ROUND(AL28/SI!$C$9,2),"")</f>
        <v>17.329999999999998</v>
      </c>
      <c r="AV28" s="4">
        <f>IF(AM28&lt;&gt;"",ROUND(AM28/SI!$C$9,2),"")</f>
        <v>53.69</v>
      </c>
      <c r="AW28" s="4">
        <f>IF(AN28&lt;&gt;"",ROUND(AN28/SI!$C$9,2),"")</f>
        <v>120803.69</v>
      </c>
      <c r="AX28" s="261">
        <f>IF(AO28&lt;&gt;"",ROUND(AO28/SI!$C$9,2),"")</f>
        <v>61.65</v>
      </c>
      <c r="AY28" s="28">
        <f t="shared" si="19"/>
        <v>138192</v>
      </c>
      <c r="AZ28" s="4">
        <f>IF(AY28&lt;&gt;"",ROUND(AY28/(SI!$C$9*SI!$C$10),2),"")</f>
        <v>412.43</v>
      </c>
      <c r="BA28" s="4">
        <f t="shared" si="20"/>
        <v>110553.60000000001</v>
      </c>
      <c r="BB28" s="4">
        <f t="shared" si="21"/>
        <v>329.94</v>
      </c>
      <c r="BC28" s="4">
        <f t="shared" si="22"/>
        <v>0.14699999999999999</v>
      </c>
      <c r="BD28" s="4">
        <f t="shared" si="23"/>
        <v>1.466</v>
      </c>
      <c r="BE28" s="4">
        <f>IF(AND(X28&lt;&gt;""),ROUND(X28/SI!$C$10,2),"")</f>
        <v>401.83</v>
      </c>
      <c r="BF28" s="4">
        <f t="shared" si="25"/>
        <v>0.17899999999999999</v>
      </c>
      <c r="BG28" s="264">
        <f t="shared" si="24"/>
        <v>1.786</v>
      </c>
      <c r="BH28" s="71">
        <f>IF(F28&lt;&gt;"",VLOOKUP(F28,DUTY_2025!A:O,15,FALSE),"")</f>
        <v>80</v>
      </c>
    </row>
    <row r="29" spans="1:60" x14ac:dyDescent="0.25">
      <c r="A29" s="133">
        <f t="shared" si="0"/>
        <v>25</v>
      </c>
      <c r="B29" s="83">
        <f t="shared" si="1"/>
        <v>25</v>
      </c>
      <c r="C29" s="126">
        <v>1</v>
      </c>
      <c r="D29" s="127"/>
      <c r="E29" s="91"/>
      <c r="F29" s="32" t="s">
        <v>201</v>
      </c>
      <c r="G29" s="27">
        <f>IF(F29&lt;&gt;"",IFERROR(VLOOKUP(F29,DUTY_2025!A:I,6,FALSE),""),"")</f>
        <v>0</v>
      </c>
      <c r="H29" s="85" t="s">
        <v>133</v>
      </c>
      <c r="I29" s="27" t="str">
        <f>IF(F29&lt;&gt;"",IFERROR(VLOOKUP(F29,DUTY_2025!A:H,2,FALSE),""),"")</f>
        <v>PAPADS - OTHERS</v>
      </c>
      <c r="J29" s="7" t="s">
        <v>539</v>
      </c>
      <c r="K29" s="90">
        <v>0</v>
      </c>
      <c r="L29" s="8">
        <v>200</v>
      </c>
      <c r="M29" s="8">
        <v>5</v>
      </c>
      <c r="N29" s="8">
        <v>75</v>
      </c>
      <c r="O29" s="25">
        <v>5</v>
      </c>
      <c r="P29" s="116">
        <v>12750</v>
      </c>
      <c r="Q29" s="23" t="s">
        <v>25</v>
      </c>
      <c r="R29" s="27" t="s">
        <v>337</v>
      </c>
      <c r="S29" s="86">
        <f t="shared" si="2"/>
        <v>15</v>
      </c>
      <c r="T29" s="87">
        <f t="shared" si="3"/>
        <v>16.5</v>
      </c>
      <c r="U29" s="87" cm="1">
        <f t="array" ref="U29">IF(AND(H29&lt;&gt;"YES",P29&lt;&gt;"",R29&lt;&gt;"",Q29&lt;&gt;""),
_xlfn.SWITCH(Q29,
"INR",_xlfn.SWITCH(R29,"KG",P29*S29,"CTN",P29,"UNIT",P29*N29,"NET",P29/M29,0),
"USD",_xlfn.SWITCH(R29,"KG",P29*S29*SI!$C$10,"CTN",P29*SI!$C$10,"UNIT",P29*N29*SI!$C$10,"NET",P29*SI!$C$10/M29,0),
"LKR",_xlfn.SWITCH(R29,"KG",P29*S29/SI!$C$9,"CTN",P29/SI!$C$9,"UNIT",P29*N29/SI!$C$9,"NET",P29/(M29*SI!$C$9),0),
0),
"")</f>
        <v>2550</v>
      </c>
      <c r="V29" s="87">
        <f t="shared" si="4"/>
        <v>75</v>
      </c>
      <c r="W29" s="87">
        <f t="shared" si="5"/>
        <v>82.5</v>
      </c>
      <c r="X29" s="88">
        <f t="shared" si="6"/>
        <v>12750</v>
      </c>
      <c r="Y29" s="24">
        <f t="shared" si="7"/>
        <v>375</v>
      </c>
      <c r="Z29" s="267">
        <f>IF(AND(H29&lt;&gt;"yes",F29&lt;&gt;""),IFERROR(VLOOKUP(F29,DUTY_2025!A:F,5,FALSE),""),"")</f>
        <v>1120</v>
      </c>
      <c r="AA29" s="271">
        <f t="shared" si="8"/>
        <v>12143</v>
      </c>
      <c r="AB29" s="16">
        <f t="shared" si="9"/>
        <v>607</v>
      </c>
      <c r="AC29" s="16">
        <f>IF(AA29&lt;&gt;"",ROUND(AA29*SI!$C$9,0),"")</f>
        <v>42743</v>
      </c>
      <c r="AD29" s="4">
        <f>IF(AC29&lt;&gt;"",ROUND(AC29/(SI!$C$9*SI!$C$10),2),"")</f>
        <v>127.56</v>
      </c>
      <c r="AE29" s="30">
        <f>IF(AND(X29&lt;&gt;""), ROUND((SI!$E$23)*(X29/SUM($X$5:$X$493)),0),"")</f>
        <v>3321</v>
      </c>
      <c r="AF29" s="272">
        <f t="shared" si="10"/>
        <v>46064</v>
      </c>
      <c r="AG29" s="28">
        <f t="shared" si="11"/>
        <v>84000</v>
      </c>
      <c r="AH29" s="4">
        <f>IF(AD29&lt;&gt;"",ROUND(AD29*10*SI!$C$9/2,0),"")</f>
        <v>2245</v>
      </c>
      <c r="AI29" s="29">
        <f>IF(AND(X29&lt;&gt;""), ROUND((SI!$E$28)*(X29/SUM($X$5:$X$493)),0),"")</f>
        <v>9434</v>
      </c>
      <c r="AJ29" s="4">
        <f t="shared" si="12"/>
        <v>95679</v>
      </c>
      <c r="AK29" s="4">
        <f t="shared" si="13"/>
        <v>255</v>
      </c>
      <c r="AL29" s="4">
        <f t="shared" si="14"/>
        <v>123</v>
      </c>
      <c r="AM29" s="4">
        <f t="shared" si="15"/>
        <v>378</v>
      </c>
      <c r="AN29" s="195">
        <f t="shared" si="16"/>
        <v>141743</v>
      </c>
      <c r="AO29" s="261">
        <f>IF(AND(AM29&lt;&gt;"",P29&lt;&gt;""),ROUND((AM29*((100+SI!$C$11)/100)),0),"")</f>
        <v>435</v>
      </c>
      <c r="AP29" s="28">
        <f>IF(AG29&lt;&gt;"",ROUND(AG29/SI!$C$9,2),"")</f>
        <v>23863.64</v>
      </c>
      <c r="AQ29" s="4">
        <f>IF(AH29&lt;&gt;"",ROUND(AH29/SI!$C$9,2),"")</f>
        <v>637.78</v>
      </c>
      <c r="AR29" s="29">
        <f>IF(AI29&lt;&gt;"",ROUND(AI29/SI!$C$9,2),"")</f>
        <v>2680.11</v>
      </c>
      <c r="AS29" s="4">
        <f t="shared" si="17"/>
        <v>27181.53</v>
      </c>
      <c r="AT29" s="4">
        <f t="shared" si="18"/>
        <v>72.48</v>
      </c>
      <c r="AU29" s="4">
        <f>IF(AL29&lt;&gt;"",ROUND(AL29/SI!$C$9,2),"")</f>
        <v>34.94</v>
      </c>
      <c r="AV29" s="4">
        <f>IF(AM29&lt;&gt;"",ROUND(AM29/SI!$C$9,2),"")</f>
        <v>107.39</v>
      </c>
      <c r="AW29" s="4">
        <f>IF(AN29&lt;&gt;"",ROUND(AN29/SI!$C$9,2),"")</f>
        <v>40267.9</v>
      </c>
      <c r="AX29" s="261">
        <f>IF(AO29&lt;&gt;"",ROUND(AO29/SI!$C$9,2),"")</f>
        <v>123.58</v>
      </c>
      <c r="AY29" s="28">
        <f t="shared" si="19"/>
        <v>46064</v>
      </c>
      <c r="AZ29" s="4">
        <f>IF(AY29&lt;&gt;"",ROUND(AY29/(SI!$C$9*SI!$C$10),2),"")</f>
        <v>137.47999999999999</v>
      </c>
      <c r="BA29" s="4">
        <f t="shared" si="20"/>
        <v>36851.199999999997</v>
      </c>
      <c r="BB29" s="4">
        <f t="shared" si="21"/>
        <v>109.98</v>
      </c>
      <c r="BC29" s="4">
        <f t="shared" si="22"/>
        <v>0.29299999999999998</v>
      </c>
      <c r="BD29" s="4">
        <f t="shared" si="23"/>
        <v>1.466</v>
      </c>
      <c r="BE29" s="4">
        <f>IF(AND(X29&lt;&gt;""),ROUND(X29/SI!$C$10,2),"")</f>
        <v>133.94</v>
      </c>
      <c r="BF29" s="4">
        <f t="shared" si="25"/>
        <v>0.35699999999999998</v>
      </c>
      <c r="BG29" s="264">
        <f t="shared" si="24"/>
        <v>1.786</v>
      </c>
      <c r="BH29" s="71">
        <f>IF(F29&lt;&gt;"",VLOOKUP(F29,DUTY_2025!A:O,15,FALSE),"")</f>
        <v>80</v>
      </c>
    </row>
    <row r="30" spans="1:60" x14ac:dyDescent="0.25">
      <c r="A30" s="133">
        <f t="shared" si="0"/>
        <v>26</v>
      </c>
      <c r="B30" s="83">
        <f t="shared" si="1"/>
        <v>26</v>
      </c>
      <c r="C30" s="126">
        <v>1</v>
      </c>
      <c r="D30" s="127"/>
      <c r="E30" s="91"/>
      <c r="F30" s="50" t="s">
        <v>67</v>
      </c>
      <c r="G30" s="27">
        <f>IF(F30&lt;&gt;"",IFERROR(VLOOKUP(F30,DUTY_2025!A:I,6,FALSE),""),"")</f>
        <v>0</v>
      </c>
      <c r="H30" s="85" t="s">
        <v>133</v>
      </c>
      <c r="I30" s="27" t="str">
        <f>IF(F30&lt;&gt;"",IFERROR(VLOOKUP(F30,DUTY_2025!A:H,2,FALSE),""),"")</f>
        <v>GHEE</v>
      </c>
      <c r="J30" s="7" t="s">
        <v>540</v>
      </c>
      <c r="K30" s="90">
        <v>0</v>
      </c>
      <c r="L30" s="8">
        <v>100</v>
      </c>
      <c r="M30" s="8">
        <v>15</v>
      </c>
      <c r="N30" s="8">
        <v>120</v>
      </c>
      <c r="O30" s="25">
        <v>5</v>
      </c>
      <c r="P30" s="116">
        <f>ROUND(143460*1.05,2)</f>
        <v>150633</v>
      </c>
      <c r="Q30" s="23" t="s">
        <v>25</v>
      </c>
      <c r="R30" s="27" t="s">
        <v>337</v>
      </c>
      <c r="S30" s="86">
        <f t="shared" si="2"/>
        <v>12</v>
      </c>
      <c r="T30" s="87">
        <f t="shared" si="3"/>
        <v>13.200000000000001</v>
      </c>
      <c r="U30" s="87" cm="1">
        <f t="array" ref="U30">IF(AND(H30&lt;&gt;"YES",P30&lt;&gt;"",R30&lt;&gt;"",Q30&lt;&gt;""),
_xlfn.SWITCH(Q30,
"INR",_xlfn.SWITCH(R30,"KG",P30*S30,"CTN",P30,"UNIT",P30*N30,"NET",P30/M30,0),
"USD",_xlfn.SWITCH(R30,"KG",P30*S30*SI!$C$10,"CTN",P30*SI!$C$10,"UNIT",P30*N30*SI!$C$10,"NET",P30*SI!$C$10/M30,0),
"LKR",_xlfn.SWITCH(R30,"KG",P30*S30/SI!$C$9,"CTN",P30/SI!$C$9,"UNIT",P30*N30/SI!$C$9,"NET",P30/(M30*SI!$C$9),0),
0),
"")</f>
        <v>10042.200000000001</v>
      </c>
      <c r="V30" s="87">
        <f t="shared" si="4"/>
        <v>180</v>
      </c>
      <c r="W30" s="87">
        <f t="shared" si="5"/>
        <v>198.00000000000003</v>
      </c>
      <c r="X30" s="88">
        <f t="shared" si="6"/>
        <v>150633</v>
      </c>
      <c r="Y30" s="24">
        <f t="shared" si="7"/>
        <v>1800</v>
      </c>
      <c r="Z30" s="267">
        <f>IF(AND(H30&lt;&gt;"yes",F30&lt;&gt;""),IFERROR(VLOOKUP(F30,DUTY_2025!A:F,5,FALSE),""),"")</f>
        <v>2000</v>
      </c>
      <c r="AA30" s="271">
        <f t="shared" si="8"/>
        <v>143460</v>
      </c>
      <c r="AB30" s="16">
        <f t="shared" si="9"/>
        <v>7173</v>
      </c>
      <c r="AC30" s="16">
        <f>IF(AA30&lt;&gt;"",ROUND(AA30*SI!$C$9,0),"")</f>
        <v>504979</v>
      </c>
      <c r="AD30" s="4">
        <f>IF(AC30&lt;&gt;"",ROUND(AC30/(SI!$C$9*SI!$C$10),2),"")</f>
        <v>1507.09</v>
      </c>
      <c r="AE30" s="30">
        <f>IF(AND(X30&lt;&gt;""), ROUND((SI!$E$23)*(X30/SUM($X$5:$X$493)),0),"")</f>
        <v>39232</v>
      </c>
      <c r="AF30" s="272">
        <f t="shared" si="10"/>
        <v>544211</v>
      </c>
      <c r="AG30" s="28">
        <f t="shared" si="11"/>
        <v>360000</v>
      </c>
      <c r="AH30" s="4">
        <f>IF(AD30&lt;&gt;"",ROUND(AD30*10*SI!$C$9/2,0),"")</f>
        <v>26525</v>
      </c>
      <c r="AI30" s="29">
        <f>IF(AND(X30&lt;&gt;""), ROUND((SI!$E$28)*(X30/SUM($X$5:$X$493)),0),"")</f>
        <v>111453</v>
      </c>
      <c r="AJ30" s="4">
        <f t="shared" si="12"/>
        <v>497978</v>
      </c>
      <c r="AK30" s="4">
        <f t="shared" si="13"/>
        <v>277</v>
      </c>
      <c r="AL30" s="4">
        <f t="shared" si="14"/>
        <v>302</v>
      </c>
      <c r="AM30" s="4">
        <f t="shared" si="15"/>
        <v>579</v>
      </c>
      <c r="AN30" s="195">
        <f t="shared" si="16"/>
        <v>1042189</v>
      </c>
      <c r="AO30" s="261">
        <f>IF(AND(AM30&lt;&gt;"",P30&lt;&gt;""),ROUND((AM30*((100+SI!$C$11)/100)),0),"")</f>
        <v>666</v>
      </c>
      <c r="AP30" s="28">
        <f>IF(AG30&lt;&gt;"",ROUND(AG30/SI!$C$9,2),"")</f>
        <v>102272.73</v>
      </c>
      <c r="AQ30" s="4">
        <f>IF(AH30&lt;&gt;"",ROUND(AH30/SI!$C$9,2),"")</f>
        <v>7535.51</v>
      </c>
      <c r="AR30" s="29">
        <f>IF(AI30&lt;&gt;"",ROUND(AI30/SI!$C$9,2),"")</f>
        <v>31662.78</v>
      </c>
      <c r="AS30" s="4">
        <f t="shared" si="17"/>
        <v>141471.02000000002</v>
      </c>
      <c r="AT30" s="4">
        <f t="shared" si="18"/>
        <v>78.599999999999994</v>
      </c>
      <c r="AU30" s="4">
        <f>IF(AL30&lt;&gt;"",ROUND(AL30/SI!$C$9,2),"")</f>
        <v>85.8</v>
      </c>
      <c r="AV30" s="4">
        <f>IF(AM30&lt;&gt;"",ROUND(AM30/SI!$C$9,2),"")</f>
        <v>164.49</v>
      </c>
      <c r="AW30" s="4">
        <f>IF(AN30&lt;&gt;"",ROUND(AN30/SI!$C$9,2),"")</f>
        <v>296076.42</v>
      </c>
      <c r="AX30" s="261">
        <f>IF(AO30&lt;&gt;"",ROUND(AO30/SI!$C$9,2),"")</f>
        <v>189.2</v>
      </c>
      <c r="AY30" s="28">
        <f t="shared" si="19"/>
        <v>544211</v>
      </c>
      <c r="AZ30" s="4">
        <f>IF(AY30&lt;&gt;"",ROUND(AY30/(SI!$C$9*SI!$C$10),2),"")</f>
        <v>1624.18</v>
      </c>
      <c r="BA30" s="4">
        <f t="shared" si="20"/>
        <v>544211</v>
      </c>
      <c r="BB30" s="4">
        <f t="shared" si="21"/>
        <v>1624.18</v>
      </c>
      <c r="BC30" s="4">
        <f t="shared" si="22"/>
        <v>0.90200000000000002</v>
      </c>
      <c r="BD30" s="4">
        <f t="shared" si="23"/>
        <v>9.0229999999999997</v>
      </c>
      <c r="BE30" s="4">
        <f>IF(AND(X30&lt;&gt;""),ROUND(X30/SI!$C$10,2),"")</f>
        <v>1582.45</v>
      </c>
      <c r="BF30" s="4">
        <f t="shared" si="25"/>
        <v>0.879</v>
      </c>
      <c r="BG30" s="264">
        <f t="shared" si="24"/>
        <v>8.7910000000000004</v>
      </c>
      <c r="BH30" s="71">
        <f>IF(F30&lt;&gt;"",VLOOKUP(F30,DUTY_2025!A:O,15,FALSE),"")</f>
        <v>100</v>
      </c>
    </row>
    <row r="31" spans="1:60" x14ac:dyDescent="0.25">
      <c r="A31" s="133">
        <f t="shared" si="0"/>
        <v>27</v>
      </c>
      <c r="B31" s="83">
        <f t="shared" si="1"/>
        <v>27</v>
      </c>
      <c r="C31" s="126">
        <v>1</v>
      </c>
      <c r="D31" s="127"/>
      <c r="E31" s="91"/>
      <c r="F31" s="50" t="s">
        <v>67</v>
      </c>
      <c r="G31" s="27">
        <f>IF(F31&lt;&gt;"",IFERROR(VLOOKUP(F31,DUTY_2025!A:I,6,FALSE),""),"")</f>
        <v>0</v>
      </c>
      <c r="H31" s="85" t="s">
        <v>133</v>
      </c>
      <c r="I31" s="27" t="str">
        <f>IF(F31&lt;&gt;"",IFERROR(VLOOKUP(F31,DUTY_2025!A:H,2,FALSE),""),"")</f>
        <v>GHEE</v>
      </c>
      <c r="J31" s="7" t="s">
        <v>541</v>
      </c>
      <c r="K31" s="90">
        <v>0</v>
      </c>
      <c r="L31" s="8">
        <v>200</v>
      </c>
      <c r="M31" s="8">
        <v>15</v>
      </c>
      <c r="N31" s="8">
        <v>60</v>
      </c>
      <c r="O31" s="25">
        <v>5</v>
      </c>
      <c r="P31" s="116">
        <f>ROUND(139887*1.05,2)</f>
        <v>146881.35</v>
      </c>
      <c r="Q31" s="23" t="s">
        <v>25</v>
      </c>
      <c r="R31" s="27" t="s">
        <v>337</v>
      </c>
      <c r="S31" s="86">
        <f t="shared" si="2"/>
        <v>12</v>
      </c>
      <c r="T31" s="87">
        <f t="shared" si="3"/>
        <v>13.200000000000001</v>
      </c>
      <c r="U31" s="87" cm="1">
        <f t="array" ref="U31">IF(AND(H31&lt;&gt;"YES",P31&lt;&gt;"",R31&lt;&gt;"",Q31&lt;&gt;""),
_xlfn.SWITCH(Q31,
"INR",_xlfn.SWITCH(R31,"KG",P31*S31,"CTN",P31,"UNIT",P31*N31,"NET",P31/M31,0),
"USD",_xlfn.SWITCH(R31,"KG",P31*S31*SI!$C$10,"CTN",P31*SI!$C$10,"UNIT",P31*N31*SI!$C$10,"NET",P31*SI!$C$10/M31,0),
"LKR",_xlfn.SWITCH(R31,"KG",P31*S31/SI!$C$9,"CTN",P31/SI!$C$9,"UNIT",P31*N31/SI!$C$9,"NET",P31/(M31*SI!$C$9),0),
0),
"")</f>
        <v>9792.09</v>
      </c>
      <c r="V31" s="87">
        <f t="shared" si="4"/>
        <v>180</v>
      </c>
      <c r="W31" s="87">
        <f t="shared" si="5"/>
        <v>198.00000000000003</v>
      </c>
      <c r="X31" s="88">
        <f t="shared" si="6"/>
        <v>146881.35</v>
      </c>
      <c r="Y31" s="24">
        <f t="shared" si="7"/>
        <v>900</v>
      </c>
      <c r="Z31" s="267">
        <f>IF(AND(H31&lt;&gt;"yes",F31&lt;&gt;""),IFERROR(VLOOKUP(F31,DUTY_2025!A:F,5,FALSE),""),"")</f>
        <v>2000</v>
      </c>
      <c r="AA31" s="271">
        <f t="shared" si="8"/>
        <v>139887</v>
      </c>
      <c r="AB31" s="16">
        <f t="shared" si="9"/>
        <v>6994.3500000000058</v>
      </c>
      <c r="AC31" s="16">
        <f>IF(AA31&lt;&gt;"",ROUND(AA31*SI!$C$9,0),"")</f>
        <v>492402</v>
      </c>
      <c r="AD31" s="4">
        <f>IF(AC31&lt;&gt;"",ROUND(AC31/(SI!$C$9*SI!$C$10),2),"")</f>
        <v>1469.55</v>
      </c>
      <c r="AE31" s="30">
        <f>IF(AND(X31&lt;&gt;""), ROUND((SI!$E$23)*(X31/SUM($X$5:$X$493)),0),"")</f>
        <v>38254</v>
      </c>
      <c r="AF31" s="272">
        <f t="shared" si="10"/>
        <v>530656</v>
      </c>
      <c r="AG31" s="28">
        <f t="shared" si="11"/>
        <v>360000</v>
      </c>
      <c r="AH31" s="4">
        <f>IF(AD31&lt;&gt;"",ROUND(AD31*10*SI!$C$9/2,0),"")</f>
        <v>25864</v>
      </c>
      <c r="AI31" s="29">
        <f>IF(AND(X31&lt;&gt;""), ROUND((SI!$E$28)*(X31/SUM($X$5:$X$493)),0),"")</f>
        <v>108677</v>
      </c>
      <c r="AJ31" s="4">
        <f t="shared" si="12"/>
        <v>494541</v>
      </c>
      <c r="AK31" s="4">
        <f t="shared" si="13"/>
        <v>549</v>
      </c>
      <c r="AL31" s="4">
        <f t="shared" si="14"/>
        <v>590</v>
      </c>
      <c r="AM31" s="4">
        <f t="shared" si="15"/>
        <v>1139</v>
      </c>
      <c r="AN31" s="195">
        <f t="shared" si="16"/>
        <v>1025197</v>
      </c>
      <c r="AO31" s="261">
        <f>IF(AND(AM31&lt;&gt;"",P31&lt;&gt;""),ROUND((AM31*((100+SI!$C$11)/100)),0),"")</f>
        <v>1310</v>
      </c>
      <c r="AP31" s="28">
        <f>IF(AG31&lt;&gt;"",ROUND(AG31/SI!$C$9,2),"")</f>
        <v>102272.73</v>
      </c>
      <c r="AQ31" s="4">
        <f>IF(AH31&lt;&gt;"",ROUND(AH31/SI!$C$9,2),"")</f>
        <v>7347.73</v>
      </c>
      <c r="AR31" s="29">
        <f>IF(AI31&lt;&gt;"",ROUND(AI31/SI!$C$9,2),"")</f>
        <v>30874.15</v>
      </c>
      <c r="AS31" s="4">
        <f t="shared" si="17"/>
        <v>140494.61000000002</v>
      </c>
      <c r="AT31" s="4">
        <f t="shared" si="18"/>
        <v>156.11000000000001</v>
      </c>
      <c r="AU31" s="4">
        <f>IF(AL31&lt;&gt;"",ROUND(AL31/SI!$C$9,2),"")</f>
        <v>167.61</v>
      </c>
      <c r="AV31" s="4">
        <f>IF(AM31&lt;&gt;"",ROUND(AM31/SI!$C$9,2),"")</f>
        <v>323.58</v>
      </c>
      <c r="AW31" s="4">
        <f>IF(AN31&lt;&gt;"",ROUND(AN31/SI!$C$9,2),"")</f>
        <v>291249.15000000002</v>
      </c>
      <c r="AX31" s="261">
        <f>IF(AO31&lt;&gt;"",ROUND(AO31/SI!$C$9,2),"")</f>
        <v>372.16</v>
      </c>
      <c r="AY31" s="28">
        <f t="shared" si="19"/>
        <v>530656</v>
      </c>
      <c r="AZ31" s="4">
        <f>IF(AY31&lt;&gt;"",ROUND(AY31/(SI!$C$9*SI!$C$10),2),"")</f>
        <v>1583.72</v>
      </c>
      <c r="BA31" s="4">
        <f t="shared" si="20"/>
        <v>530656</v>
      </c>
      <c r="BB31" s="4">
        <f t="shared" si="21"/>
        <v>1583.72</v>
      </c>
      <c r="BC31" s="4">
        <f t="shared" si="22"/>
        <v>1.76</v>
      </c>
      <c r="BD31" s="4">
        <f t="shared" si="23"/>
        <v>8.798</v>
      </c>
      <c r="BE31" s="4">
        <f>IF(AND(X31&lt;&gt;""),ROUND(X31/SI!$C$10,2),"")</f>
        <v>1543.03</v>
      </c>
      <c r="BF31" s="4">
        <f t="shared" si="25"/>
        <v>1.714</v>
      </c>
      <c r="BG31" s="264">
        <f t="shared" si="24"/>
        <v>8.5719999999999992</v>
      </c>
      <c r="BH31" s="71">
        <f>IF(F31&lt;&gt;"",VLOOKUP(F31,DUTY_2025!A:O,15,FALSE),"")</f>
        <v>100</v>
      </c>
    </row>
    <row r="32" spans="1:60" x14ac:dyDescent="0.25">
      <c r="A32" s="133">
        <f t="shared" si="0"/>
        <v>28</v>
      </c>
      <c r="B32" s="83">
        <f t="shared" si="1"/>
        <v>28</v>
      </c>
      <c r="C32" s="126">
        <v>1</v>
      </c>
      <c r="D32" s="127"/>
      <c r="E32" s="91"/>
      <c r="F32" s="32" t="s">
        <v>64</v>
      </c>
      <c r="G32" s="27">
        <f>IF(F32&lt;&gt;"",IFERROR(VLOOKUP(F32,DUTY_2025!A:I,6,FALSE),""),"")</f>
        <v>0</v>
      </c>
      <c r="H32" s="85" t="s">
        <v>133</v>
      </c>
      <c r="I32" s="27" t="str">
        <f>IF(F32&lt;&gt;"",IFERROR(VLOOKUP(F32,DUTY_2025!A:H,2,FALSE),""),"")</f>
        <v>ASSORTED PICKLES</v>
      </c>
      <c r="J32" s="7" t="s">
        <v>542</v>
      </c>
      <c r="K32" s="90">
        <v>0</v>
      </c>
      <c r="L32" s="8">
        <v>300</v>
      </c>
      <c r="M32" s="8">
        <v>15</v>
      </c>
      <c r="N32" s="8">
        <v>30</v>
      </c>
      <c r="O32" s="25">
        <v>5</v>
      </c>
      <c r="P32" s="116">
        <f>ROUND(27000*1.05,2)</f>
        <v>28350</v>
      </c>
      <c r="Q32" s="23" t="s">
        <v>25</v>
      </c>
      <c r="R32" s="27" t="s">
        <v>337</v>
      </c>
      <c r="S32" s="86">
        <f t="shared" si="2"/>
        <v>9</v>
      </c>
      <c r="T32" s="87">
        <f t="shared" si="3"/>
        <v>9.9</v>
      </c>
      <c r="U32" s="87" cm="1">
        <f t="array" ref="U32">IF(AND(H32&lt;&gt;"YES",P32&lt;&gt;"",R32&lt;&gt;"",Q32&lt;&gt;""),
_xlfn.SWITCH(Q32,
"INR",_xlfn.SWITCH(R32,"KG",P32*S32,"CTN",P32,"UNIT",P32*N32,"NET",P32/M32,0),
"USD",_xlfn.SWITCH(R32,"KG",P32*S32*SI!$C$10,"CTN",P32*SI!$C$10,"UNIT",P32*N32*SI!$C$10,"NET",P32*SI!$C$10/M32,0),
"LKR",_xlfn.SWITCH(R32,"KG",P32*S32/SI!$C$9,"CTN",P32/SI!$C$9,"UNIT",P32*N32/SI!$C$9,"NET",P32/(M32*SI!$C$9),0),
0),
"")</f>
        <v>1890</v>
      </c>
      <c r="V32" s="87">
        <f t="shared" si="4"/>
        <v>135</v>
      </c>
      <c r="W32" s="87">
        <f t="shared" si="5"/>
        <v>148.5</v>
      </c>
      <c r="X32" s="88">
        <f t="shared" si="6"/>
        <v>28350</v>
      </c>
      <c r="Y32" s="24">
        <f t="shared" si="7"/>
        <v>450</v>
      </c>
      <c r="Z32" s="267">
        <f>IF(AND(H32&lt;&gt;"yes",F32&lt;&gt;""),IFERROR(VLOOKUP(F32,DUTY_2025!A:F,5,FALSE),""),"")</f>
        <v>561</v>
      </c>
      <c r="AA32" s="271">
        <f t="shared" si="8"/>
        <v>27000</v>
      </c>
      <c r="AB32" s="16">
        <f t="shared" si="9"/>
        <v>1350</v>
      </c>
      <c r="AC32" s="16">
        <f>IF(AA32&lt;&gt;"",ROUND(AA32*SI!$C$9,0),"")</f>
        <v>95040</v>
      </c>
      <c r="AD32" s="4">
        <f>IF(AC32&lt;&gt;"",ROUND(AC32/(SI!$C$9*SI!$C$10),2),"")</f>
        <v>283.64</v>
      </c>
      <c r="AE32" s="30">
        <f>IF(AND(X32&lt;&gt;""), ROUND((SI!$E$23)*(X32/SUM($X$5:$X$493)),0),"")</f>
        <v>7384</v>
      </c>
      <c r="AF32" s="272">
        <f t="shared" si="10"/>
        <v>102424</v>
      </c>
      <c r="AG32" s="28">
        <f t="shared" si="11"/>
        <v>75735</v>
      </c>
      <c r="AH32" s="4">
        <f>IF(AD32&lt;&gt;"",ROUND(AD32*10*SI!$C$9/2,0),"")</f>
        <v>4992</v>
      </c>
      <c r="AI32" s="29">
        <f>IF(AND(X32&lt;&gt;""), ROUND((SI!$E$28)*(X32/SUM($X$5:$X$493)),0),"")</f>
        <v>20976</v>
      </c>
      <c r="AJ32" s="4">
        <f t="shared" si="12"/>
        <v>101703</v>
      </c>
      <c r="AK32" s="4">
        <f t="shared" si="13"/>
        <v>226</v>
      </c>
      <c r="AL32" s="4">
        <f t="shared" si="14"/>
        <v>228</v>
      </c>
      <c r="AM32" s="4">
        <f t="shared" si="15"/>
        <v>454</v>
      </c>
      <c r="AN32" s="195">
        <f t="shared" si="16"/>
        <v>204127</v>
      </c>
      <c r="AO32" s="261">
        <f>IF(AND(AM32&lt;&gt;"",P32&lt;&gt;""),ROUND((AM32*((100+SI!$C$11)/100)),0),"")</f>
        <v>522</v>
      </c>
      <c r="AP32" s="28">
        <f>IF(AG32&lt;&gt;"",ROUND(AG32/SI!$C$9,2),"")</f>
        <v>21515.63</v>
      </c>
      <c r="AQ32" s="4">
        <f>IF(AH32&lt;&gt;"",ROUND(AH32/SI!$C$9,2),"")</f>
        <v>1418.18</v>
      </c>
      <c r="AR32" s="29">
        <f>IF(AI32&lt;&gt;"",ROUND(AI32/SI!$C$9,2),"")</f>
        <v>5959.09</v>
      </c>
      <c r="AS32" s="4">
        <f t="shared" si="17"/>
        <v>28892.9</v>
      </c>
      <c r="AT32" s="4">
        <f t="shared" si="18"/>
        <v>64.209999999999994</v>
      </c>
      <c r="AU32" s="4">
        <f>IF(AL32&lt;&gt;"",ROUND(AL32/SI!$C$9,2),"")</f>
        <v>64.77</v>
      </c>
      <c r="AV32" s="4">
        <f>IF(AM32&lt;&gt;"",ROUND(AM32/SI!$C$9,2),"")</f>
        <v>128.97999999999999</v>
      </c>
      <c r="AW32" s="4">
        <f>IF(AN32&lt;&gt;"",ROUND(AN32/SI!$C$9,2),"")</f>
        <v>57990.63</v>
      </c>
      <c r="AX32" s="261">
        <f>IF(AO32&lt;&gt;"",ROUND(AO32/SI!$C$9,2),"")</f>
        <v>148.30000000000001</v>
      </c>
      <c r="AY32" s="28">
        <f t="shared" si="19"/>
        <v>102424</v>
      </c>
      <c r="AZ32" s="4">
        <f>IF(AY32&lt;&gt;"",ROUND(AY32/(SI!$C$9*SI!$C$10),2),"")</f>
        <v>305.68</v>
      </c>
      <c r="BA32" s="4">
        <f t="shared" si="20"/>
        <v>81939.199999999997</v>
      </c>
      <c r="BB32" s="4">
        <f t="shared" si="21"/>
        <v>244.54</v>
      </c>
      <c r="BC32" s="4">
        <f t="shared" si="22"/>
        <v>0.54300000000000004</v>
      </c>
      <c r="BD32" s="4">
        <f t="shared" si="23"/>
        <v>1.8109999999999999</v>
      </c>
      <c r="BE32" s="4">
        <f>IF(AND(X32&lt;&gt;""),ROUND(X32/SI!$C$10,2),"")</f>
        <v>297.83</v>
      </c>
      <c r="BF32" s="4">
        <f t="shared" si="25"/>
        <v>0.66200000000000003</v>
      </c>
      <c r="BG32" s="264">
        <f t="shared" si="24"/>
        <v>2.206</v>
      </c>
      <c r="BH32" s="71">
        <f>IF(F32&lt;&gt;"",VLOOKUP(F32,DUTY_2025!A:O,15,FALSE),"")</f>
        <v>80</v>
      </c>
    </row>
    <row r="33" spans="1:60" x14ac:dyDescent="0.25">
      <c r="A33" s="133">
        <f t="shared" si="0"/>
        <v>29</v>
      </c>
      <c r="B33" s="83">
        <f t="shared" si="1"/>
        <v>29</v>
      </c>
      <c r="C33" s="126">
        <v>1</v>
      </c>
      <c r="D33" s="127"/>
      <c r="E33" s="91"/>
      <c r="F33" s="32" t="s">
        <v>64</v>
      </c>
      <c r="G33" s="27">
        <f>IF(F33&lt;&gt;"",IFERROR(VLOOKUP(F33,DUTY_2025!A:I,6,FALSE),""),"")</f>
        <v>0</v>
      </c>
      <c r="H33" s="85" t="s">
        <v>133</v>
      </c>
      <c r="I33" s="27" t="str">
        <f>IF(F33&lt;&gt;"",IFERROR(VLOOKUP(F33,DUTY_2025!A:H,2,FALSE),""),"")</f>
        <v>ASSORTED PICKLES</v>
      </c>
      <c r="J33" s="23" t="s">
        <v>543</v>
      </c>
      <c r="K33" s="90">
        <v>0</v>
      </c>
      <c r="L33" s="90">
        <v>300</v>
      </c>
      <c r="M33" s="22">
        <v>11</v>
      </c>
      <c r="N33" s="25">
        <v>30</v>
      </c>
      <c r="O33" s="25">
        <v>5</v>
      </c>
      <c r="P33" s="116">
        <f>ROUND(18000*1.05,2)</f>
        <v>18900</v>
      </c>
      <c r="Q33" s="23" t="s">
        <v>25</v>
      </c>
      <c r="R33" s="27" t="s">
        <v>337</v>
      </c>
      <c r="S33" s="86">
        <f t="shared" si="2"/>
        <v>9</v>
      </c>
      <c r="T33" s="87">
        <f t="shared" si="3"/>
        <v>9.9</v>
      </c>
      <c r="U33" s="87" cm="1">
        <f t="array" ref="U33">IF(AND(H33&lt;&gt;"YES",P33&lt;&gt;"",R33&lt;&gt;"",Q33&lt;&gt;""),
_xlfn.SWITCH(Q33,
"INR",_xlfn.SWITCH(R33,"KG",P33*S33,"CTN",P33,"UNIT",P33*N33,"NET",P33/M33,0),
"USD",_xlfn.SWITCH(R33,"KG",P33*S33*SI!$C$10,"CTN",P33*SI!$C$10,"UNIT",P33*N33*SI!$C$10,"NET",P33*SI!$C$10/M33,0),
"LKR",_xlfn.SWITCH(R33,"KG",P33*S33/SI!$C$9,"CTN",P33/SI!$C$9,"UNIT",P33*N33/SI!$C$9,"NET",P33/(M33*SI!$C$9),0),
0),
"")</f>
        <v>1718.1818181818182</v>
      </c>
      <c r="V33" s="87">
        <f t="shared" si="4"/>
        <v>99</v>
      </c>
      <c r="W33" s="87">
        <f t="shared" si="5"/>
        <v>108.9</v>
      </c>
      <c r="X33" s="88">
        <f t="shared" si="6"/>
        <v>18900</v>
      </c>
      <c r="Y33" s="24">
        <f t="shared" si="7"/>
        <v>330</v>
      </c>
      <c r="Z33" s="267">
        <f>IF(AND(H33&lt;&gt;"yes",F33&lt;&gt;""),IFERROR(VLOOKUP(F33,DUTY_2025!A:F,5,FALSE),""),"")</f>
        <v>561</v>
      </c>
      <c r="AA33" s="271">
        <f t="shared" si="8"/>
        <v>18000</v>
      </c>
      <c r="AB33" s="16">
        <f t="shared" si="9"/>
        <v>900</v>
      </c>
      <c r="AC33" s="16">
        <f>IF(AA33&lt;&gt;"",ROUND(AA33*SI!$C$9,0),"")</f>
        <v>63360</v>
      </c>
      <c r="AD33" s="4">
        <f>IF(AC33&lt;&gt;"",ROUND(AC33/(SI!$C$9*SI!$C$10),2),"")</f>
        <v>189.1</v>
      </c>
      <c r="AE33" s="30">
        <f>IF(AND(X33&lt;&gt;""), ROUND((SI!$E$23)*(X33/SUM($X$5:$X$493)),0),"")</f>
        <v>4922</v>
      </c>
      <c r="AF33" s="272">
        <f t="shared" si="10"/>
        <v>68282</v>
      </c>
      <c r="AG33" s="28">
        <f t="shared" si="11"/>
        <v>55539</v>
      </c>
      <c r="AH33" s="4">
        <f>IF(AD33&lt;&gt;"",ROUND(AD33*10*SI!$C$9/2,0),"")</f>
        <v>3328</v>
      </c>
      <c r="AI33" s="29">
        <f>IF(AND(X33&lt;&gt;""), ROUND((SI!$E$28)*(X33/SUM($X$5:$X$493)),0),"")</f>
        <v>13984</v>
      </c>
      <c r="AJ33" s="4">
        <f t="shared" si="12"/>
        <v>72851</v>
      </c>
      <c r="AK33" s="4">
        <f t="shared" si="13"/>
        <v>221</v>
      </c>
      <c r="AL33" s="4">
        <f t="shared" si="14"/>
        <v>207</v>
      </c>
      <c r="AM33" s="4">
        <f t="shared" si="15"/>
        <v>428</v>
      </c>
      <c r="AN33" s="195">
        <f t="shared" si="16"/>
        <v>141133</v>
      </c>
      <c r="AO33" s="261">
        <f>IF(AND(AM33&lt;&gt;"",P33&lt;&gt;""),ROUND((AM33*((100+SI!$C$11)/100)),0),"")</f>
        <v>492</v>
      </c>
      <c r="AP33" s="28">
        <f>IF(AG33&lt;&gt;"",ROUND(AG33/SI!$C$9,2),"")</f>
        <v>15778.13</v>
      </c>
      <c r="AQ33" s="4">
        <f>IF(AH33&lt;&gt;"",ROUND(AH33/SI!$C$9,2),"")</f>
        <v>945.45</v>
      </c>
      <c r="AR33" s="29">
        <f>IF(AI33&lt;&gt;"",ROUND(AI33/SI!$C$9,2),"")</f>
        <v>3972.73</v>
      </c>
      <c r="AS33" s="4">
        <f t="shared" si="17"/>
        <v>20696.310000000001</v>
      </c>
      <c r="AT33" s="4">
        <f t="shared" si="18"/>
        <v>62.72</v>
      </c>
      <c r="AU33" s="4">
        <f>IF(AL33&lt;&gt;"",ROUND(AL33/SI!$C$9,2),"")</f>
        <v>58.81</v>
      </c>
      <c r="AV33" s="4">
        <f>IF(AM33&lt;&gt;"",ROUND(AM33/SI!$C$9,2),"")</f>
        <v>121.59</v>
      </c>
      <c r="AW33" s="4">
        <f>IF(AN33&lt;&gt;"",ROUND(AN33/SI!$C$9,2),"")</f>
        <v>40094.6</v>
      </c>
      <c r="AX33" s="261">
        <f>IF(AO33&lt;&gt;"",ROUND(AO33/SI!$C$9,2),"")</f>
        <v>139.77000000000001</v>
      </c>
      <c r="AY33" s="28">
        <f t="shared" si="19"/>
        <v>68282</v>
      </c>
      <c r="AZ33" s="4">
        <f>IF(AY33&lt;&gt;"",ROUND(AY33/(SI!$C$9*SI!$C$10),2),"")</f>
        <v>203.79</v>
      </c>
      <c r="BA33" s="4">
        <f t="shared" si="20"/>
        <v>54625.599999999999</v>
      </c>
      <c r="BB33" s="4">
        <f t="shared" si="21"/>
        <v>163.03</v>
      </c>
      <c r="BC33" s="4">
        <f t="shared" si="22"/>
        <v>0.49399999999999999</v>
      </c>
      <c r="BD33" s="4">
        <f t="shared" si="23"/>
        <v>1.647</v>
      </c>
      <c r="BE33" s="4">
        <f>IF(AND(X33&lt;&gt;""),ROUND(X33/SI!$C$10,2),"")</f>
        <v>198.55</v>
      </c>
      <c r="BF33" s="4">
        <f t="shared" si="25"/>
        <v>0.60199999999999998</v>
      </c>
      <c r="BG33" s="264">
        <f t="shared" si="24"/>
        <v>2.0059999999999998</v>
      </c>
      <c r="BH33" s="71">
        <f>IF(F33&lt;&gt;"",VLOOKUP(F33,DUTY_2025!A:O,15,FALSE),"")</f>
        <v>80</v>
      </c>
    </row>
    <row r="34" spans="1:60" x14ac:dyDescent="0.25">
      <c r="A34" s="133">
        <f t="shared" si="0"/>
        <v>30</v>
      </c>
      <c r="B34" s="83">
        <f t="shared" si="1"/>
        <v>30</v>
      </c>
      <c r="C34" s="126">
        <v>1</v>
      </c>
      <c r="D34" s="127"/>
      <c r="E34" s="91"/>
      <c r="F34" s="32" t="s">
        <v>64</v>
      </c>
      <c r="G34" s="27">
        <f>IF(F34&lt;&gt;"",IFERROR(VLOOKUP(F34,DUTY_2025!A:I,6,FALSE),""),"")</f>
        <v>0</v>
      </c>
      <c r="H34" s="85" t="s">
        <v>133</v>
      </c>
      <c r="I34" s="27" t="str">
        <f>IF(F34&lt;&gt;"",IFERROR(VLOOKUP(F34,DUTY_2025!A:H,2,FALSE),""),"")</f>
        <v>ASSORTED PICKLES</v>
      </c>
      <c r="J34" s="23" t="s">
        <v>544</v>
      </c>
      <c r="K34" s="90">
        <v>0</v>
      </c>
      <c r="L34" s="90">
        <v>300</v>
      </c>
      <c r="M34" s="22">
        <v>16</v>
      </c>
      <c r="N34" s="25">
        <v>30</v>
      </c>
      <c r="O34" s="25">
        <v>5</v>
      </c>
      <c r="P34" s="116">
        <f>ROUND(22500*1.05,2)</f>
        <v>23625</v>
      </c>
      <c r="Q34" s="23" t="s">
        <v>25</v>
      </c>
      <c r="R34" s="27" t="s">
        <v>337</v>
      </c>
      <c r="S34" s="86">
        <f t="shared" si="2"/>
        <v>9</v>
      </c>
      <c r="T34" s="87">
        <f t="shared" si="3"/>
        <v>9.9</v>
      </c>
      <c r="U34" s="87" cm="1">
        <f t="array" ref="U34">IF(AND(H34&lt;&gt;"YES",P34&lt;&gt;"",R34&lt;&gt;"",Q34&lt;&gt;""),
_xlfn.SWITCH(Q34,
"INR",_xlfn.SWITCH(R34,"KG",P34*S34,"CTN",P34,"UNIT",P34*N34,"NET",P34/M34,0),
"USD",_xlfn.SWITCH(R34,"KG",P34*S34*SI!$C$10,"CTN",P34*SI!$C$10,"UNIT",P34*N34*SI!$C$10,"NET",P34*SI!$C$10/M34,0),
"LKR",_xlfn.SWITCH(R34,"KG",P34*S34/SI!$C$9,"CTN",P34/SI!$C$9,"UNIT",P34*N34/SI!$C$9,"NET",P34/(M34*SI!$C$9),0),
0),
"")</f>
        <v>1476.5625</v>
      </c>
      <c r="V34" s="87">
        <f t="shared" si="4"/>
        <v>144</v>
      </c>
      <c r="W34" s="87">
        <f t="shared" si="5"/>
        <v>158.4</v>
      </c>
      <c r="X34" s="88">
        <f t="shared" si="6"/>
        <v>23625</v>
      </c>
      <c r="Y34" s="24">
        <f t="shared" si="7"/>
        <v>480</v>
      </c>
      <c r="Z34" s="267">
        <f>IF(AND(H34&lt;&gt;"yes",F34&lt;&gt;""),IFERROR(VLOOKUP(F34,DUTY_2025!A:F,5,FALSE),""),"")</f>
        <v>561</v>
      </c>
      <c r="AA34" s="271">
        <f t="shared" si="8"/>
        <v>22500</v>
      </c>
      <c r="AB34" s="16">
        <f t="shared" si="9"/>
        <v>1125</v>
      </c>
      <c r="AC34" s="16">
        <f>IF(AA34&lt;&gt;"",ROUND(AA34*SI!$C$9,0),"")</f>
        <v>79200</v>
      </c>
      <c r="AD34" s="4">
        <f>IF(AC34&lt;&gt;"",ROUND(AC34/(SI!$C$9*SI!$C$10),2),"")</f>
        <v>236.37</v>
      </c>
      <c r="AE34" s="30">
        <f>IF(AND(X34&lt;&gt;""), ROUND((SI!$E$23)*(X34/SUM($X$5:$X$493)),0),"")</f>
        <v>6153</v>
      </c>
      <c r="AF34" s="272">
        <f t="shared" si="10"/>
        <v>85353</v>
      </c>
      <c r="AG34" s="28">
        <f t="shared" si="11"/>
        <v>80784</v>
      </c>
      <c r="AH34" s="4">
        <f>IF(AD34&lt;&gt;"",ROUND(AD34*10*SI!$C$9/2,0),"")</f>
        <v>4160</v>
      </c>
      <c r="AI34" s="29">
        <f>IF(AND(X34&lt;&gt;""), ROUND((SI!$E$28)*(X34/SUM($X$5:$X$493)),0),"")</f>
        <v>17480</v>
      </c>
      <c r="AJ34" s="4">
        <f t="shared" si="12"/>
        <v>102424</v>
      </c>
      <c r="AK34" s="4">
        <f t="shared" si="13"/>
        <v>213</v>
      </c>
      <c r="AL34" s="4">
        <f t="shared" si="14"/>
        <v>178</v>
      </c>
      <c r="AM34" s="4">
        <f t="shared" si="15"/>
        <v>391</v>
      </c>
      <c r="AN34" s="195">
        <f t="shared" si="16"/>
        <v>187777</v>
      </c>
      <c r="AO34" s="261">
        <f>IF(AND(AM34&lt;&gt;"",P34&lt;&gt;""),ROUND((AM34*((100+SI!$C$11)/100)),0),"")</f>
        <v>450</v>
      </c>
      <c r="AP34" s="28">
        <f>IF(AG34&lt;&gt;"",ROUND(AG34/SI!$C$9,2),"")</f>
        <v>22950</v>
      </c>
      <c r="AQ34" s="4">
        <f>IF(AH34&lt;&gt;"",ROUND(AH34/SI!$C$9,2),"")</f>
        <v>1181.82</v>
      </c>
      <c r="AR34" s="29">
        <f>IF(AI34&lt;&gt;"",ROUND(AI34/SI!$C$9,2),"")</f>
        <v>4965.91</v>
      </c>
      <c r="AS34" s="4">
        <f t="shared" si="17"/>
        <v>29097.73</v>
      </c>
      <c r="AT34" s="4">
        <f t="shared" si="18"/>
        <v>60.62</v>
      </c>
      <c r="AU34" s="4">
        <f>IF(AL34&lt;&gt;"",ROUND(AL34/SI!$C$9,2),"")</f>
        <v>50.57</v>
      </c>
      <c r="AV34" s="4">
        <f>IF(AM34&lt;&gt;"",ROUND(AM34/SI!$C$9,2),"")</f>
        <v>111.08</v>
      </c>
      <c r="AW34" s="4">
        <f>IF(AN34&lt;&gt;"",ROUND(AN34/SI!$C$9,2),"")</f>
        <v>53345.74</v>
      </c>
      <c r="AX34" s="261">
        <f>IF(AO34&lt;&gt;"",ROUND(AO34/SI!$C$9,2),"")</f>
        <v>127.84</v>
      </c>
      <c r="AY34" s="28">
        <f t="shared" si="19"/>
        <v>85353</v>
      </c>
      <c r="AZ34" s="4">
        <f>IF(AY34&lt;&gt;"",ROUND(AY34/(SI!$C$9*SI!$C$10),2),"")</f>
        <v>254.73</v>
      </c>
      <c r="BA34" s="4">
        <f t="shared" si="20"/>
        <v>68282.399999999994</v>
      </c>
      <c r="BB34" s="4">
        <f t="shared" si="21"/>
        <v>203.78</v>
      </c>
      <c r="BC34" s="4">
        <f t="shared" si="22"/>
        <v>0.42499999999999999</v>
      </c>
      <c r="BD34" s="4">
        <f t="shared" si="23"/>
        <v>1.415</v>
      </c>
      <c r="BE34" s="4">
        <f>IF(AND(X34&lt;&gt;""),ROUND(X34/SI!$C$10,2),"")</f>
        <v>248.19</v>
      </c>
      <c r="BF34" s="4">
        <f t="shared" si="25"/>
        <v>0.51700000000000002</v>
      </c>
      <c r="BG34" s="264">
        <f t="shared" si="24"/>
        <v>1.724</v>
      </c>
      <c r="BH34" s="71">
        <f>IF(F34&lt;&gt;"",VLOOKUP(F34,DUTY_2025!A:O,15,FALSE),"")</f>
        <v>80</v>
      </c>
    </row>
    <row r="35" spans="1:60" x14ac:dyDescent="0.25">
      <c r="A35" s="133">
        <f t="shared" si="0"/>
        <v>31</v>
      </c>
      <c r="B35" s="83">
        <f t="shared" si="1"/>
        <v>31</v>
      </c>
      <c r="C35" s="126">
        <v>1</v>
      </c>
      <c r="D35" s="127"/>
      <c r="E35" s="91"/>
      <c r="F35" s="32" t="s">
        <v>247</v>
      </c>
      <c r="G35" s="27">
        <f>IF(F35&lt;&gt;"",IFERROR(VLOOKUP(F35,DUTY_2025!A:I,6,FALSE),""),"")</f>
        <v>0</v>
      </c>
      <c r="H35" s="85" t="s">
        <v>133</v>
      </c>
      <c r="I35" s="27" t="str">
        <f>IF(F35&lt;&gt;"",IFERROR(VLOOKUP(F35,DUTY_2025!A:H,2,FALSE),""),"")</f>
        <v>FRUITES DRIED - OTHER</v>
      </c>
      <c r="J35" s="23" t="s">
        <v>574</v>
      </c>
      <c r="K35" s="90">
        <v>0</v>
      </c>
      <c r="L35" s="25">
        <v>500</v>
      </c>
      <c r="M35" s="22">
        <v>10</v>
      </c>
      <c r="N35" s="25">
        <v>40</v>
      </c>
      <c r="O35" s="25">
        <v>5</v>
      </c>
      <c r="P35" s="116">
        <v>38000</v>
      </c>
      <c r="Q35" s="23" t="s">
        <v>25</v>
      </c>
      <c r="R35" s="27" t="s">
        <v>337</v>
      </c>
      <c r="S35" s="86">
        <f t="shared" si="2"/>
        <v>20</v>
      </c>
      <c r="T35" s="87">
        <f t="shared" si="3"/>
        <v>22</v>
      </c>
      <c r="U35" s="87" cm="1">
        <f t="array" ref="U35">IF(AND(H35&lt;&gt;"YES",P35&lt;&gt;"",R35&lt;&gt;"",Q35&lt;&gt;""),
_xlfn.SWITCH(Q35,
"INR",_xlfn.SWITCH(R35,"KG",P35*S35,"CTN",P35,"UNIT",P35*N35,"NET",P35/M35,0),
"USD",_xlfn.SWITCH(R35,"KG",P35*S35*SI!$C$10,"CTN",P35*SI!$C$10,"UNIT",P35*N35*SI!$C$10,"NET",P35*SI!$C$10/M35,0),
"LKR",_xlfn.SWITCH(R35,"KG",P35*S35/SI!$C$9,"CTN",P35/SI!$C$9,"UNIT",P35*N35/SI!$C$9,"NET",P35/(M35*SI!$C$9),0),
0),
"")</f>
        <v>3800</v>
      </c>
      <c r="V35" s="87">
        <f t="shared" si="4"/>
        <v>200</v>
      </c>
      <c r="W35" s="87">
        <f t="shared" si="5"/>
        <v>220.00000000000003</v>
      </c>
      <c r="X35" s="88">
        <f t="shared" si="6"/>
        <v>38000</v>
      </c>
      <c r="Y35" s="24">
        <f t="shared" si="7"/>
        <v>400</v>
      </c>
      <c r="Z35" s="267">
        <f>IF(AND(H35&lt;&gt;"yes",F35&lt;&gt;""),IFERROR(VLOOKUP(F35,DUTY_2025!A:F,5,FALSE),""),"")</f>
        <v>636</v>
      </c>
      <c r="AA35" s="271">
        <f t="shared" si="8"/>
        <v>36190</v>
      </c>
      <c r="AB35" s="16">
        <f t="shared" si="9"/>
        <v>1810</v>
      </c>
      <c r="AC35" s="16">
        <f>IF(AA35&lt;&gt;"",ROUND(AA35*SI!$C$9,0),"")</f>
        <v>127389</v>
      </c>
      <c r="AD35" s="4">
        <f>IF(AC35&lt;&gt;"",ROUND(AC35/(SI!$C$9*SI!$C$10),2),"")</f>
        <v>380.19</v>
      </c>
      <c r="AE35" s="30">
        <f>IF(AND(X35&lt;&gt;""), ROUND((SI!$E$23)*(X35/SUM($X$5:$X$493)),0),"")</f>
        <v>9897</v>
      </c>
      <c r="AF35" s="272">
        <f t="shared" si="10"/>
        <v>137286</v>
      </c>
      <c r="AG35" s="28">
        <f t="shared" si="11"/>
        <v>127200</v>
      </c>
      <c r="AH35" s="4">
        <f>IF(AD35&lt;&gt;"",ROUND(AD35*10*SI!$C$9/2,0),"")</f>
        <v>6691</v>
      </c>
      <c r="AI35" s="29">
        <f>IF(AND(X35&lt;&gt;""), ROUND((SI!$E$28)*(X35/SUM($X$5:$X$493)),0),"")</f>
        <v>28116</v>
      </c>
      <c r="AJ35" s="4">
        <f t="shared" si="12"/>
        <v>162007</v>
      </c>
      <c r="AK35" s="4">
        <f t="shared" si="13"/>
        <v>405</v>
      </c>
      <c r="AL35" s="4">
        <f t="shared" si="14"/>
        <v>343</v>
      </c>
      <c r="AM35" s="4">
        <f t="shared" si="15"/>
        <v>748</v>
      </c>
      <c r="AN35" s="195">
        <f t="shared" si="16"/>
        <v>299293</v>
      </c>
      <c r="AO35" s="261">
        <f>IF(AND(AM35&lt;&gt;"",P35&lt;&gt;""),ROUND((AM35*((100+SI!$C$11)/100)),0),"")</f>
        <v>860</v>
      </c>
      <c r="AP35" s="28">
        <f>IF(AG35&lt;&gt;"",ROUND(AG35/SI!$C$9,2),"")</f>
        <v>36136.36</v>
      </c>
      <c r="AQ35" s="4">
        <f>IF(AH35&lt;&gt;"",ROUND(AH35/SI!$C$9,2),"")</f>
        <v>1900.85</v>
      </c>
      <c r="AR35" s="29">
        <f>IF(AI35&lt;&gt;"",ROUND(AI35/SI!$C$9,2),"")</f>
        <v>7987.5</v>
      </c>
      <c r="AS35" s="4">
        <f t="shared" si="17"/>
        <v>46024.71</v>
      </c>
      <c r="AT35" s="4">
        <f t="shared" si="18"/>
        <v>115.06</v>
      </c>
      <c r="AU35" s="4">
        <f>IF(AL35&lt;&gt;"",ROUND(AL35/SI!$C$9,2),"")</f>
        <v>97.44</v>
      </c>
      <c r="AV35" s="4">
        <f>IF(AM35&lt;&gt;"",ROUND(AM35/SI!$C$9,2),"")</f>
        <v>212.5</v>
      </c>
      <c r="AW35" s="4">
        <f>IF(AN35&lt;&gt;"",ROUND(AN35/SI!$C$9,2),"")</f>
        <v>85026.42</v>
      </c>
      <c r="AX35" s="261">
        <f>IF(AO35&lt;&gt;"",ROUND(AO35/SI!$C$9,2),"")</f>
        <v>244.32</v>
      </c>
      <c r="AY35" s="28">
        <f t="shared" si="19"/>
        <v>137286</v>
      </c>
      <c r="AZ35" s="4">
        <f>IF(AY35&lt;&gt;"",ROUND(AY35/(SI!$C$9*SI!$C$10),2),"")</f>
        <v>409.72</v>
      </c>
      <c r="BA35" s="4">
        <f t="shared" si="20"/>
        <v>109828.8</v>
      </c>
      <c r="BB35" s="4">
        <f t="shared" si="21"/>
        <v>327.78</v>
      </c>
      <c r="BC35" s="4">
        <f t="shared" si="22"/>
        <v>0.81899999999999995</v>
      </c>
      <c r="BD35" s="4">
        <f t="shared" si="23"/>
        <v>1.639</v>
      </c>
      <c r="BE35" s="4">
        <f>IF(AND(X35&lt;&gt;""),ROUND(X35/SI!$C$10,2),"")</f>
        <v>399.2</v>
      </c>
      <c r="BF35" s="4">
        <f t="shared" si="25"/>
        <v>0.998</v>
      </c>
      <c r="BG35" s="264">
        <f t="shared" si="24"/>
        <v>1.996</v>
      </c>
      <c r="BH35" s="71">
        <f>IF(F35&lt;&gt;"",VLOOKUP(F35,DUTY_2025!A:O,15,FALSE),"")</f>
        <v>80</v>
      </c>
    </row>
    <row r="36" spans="1:60" x14ac:dyDescent="0.25">
      <c r="A36" s="133">
        <f t="shared" si="0"/>
        <v>32</v>
      </c>
      <c r="B36" s="83">
        <f t="shared" si="1"/>
        <v>32</v>
      </c>
      <c r="C36" s="126">
        <v>1</v>
      </c>
      <c r="D36" s="127"/>
      <c r="E36" s="91"/>
      <c r="F36" s="32" t="s">
        <v>166</v>
      </c>
      <c r="G36" s="27">
        <f>IF(F36&lt;&gt;"",IFERROR(VLOOKUP(F36,DUTY_2025!A:I,6,FALSE),""),"")</f>
        <v>0</v>
      </c>
      <c r="H36" s="85" t="s">
        <v>133</v>
      </c>
      <c r="I36" s="27" t="str">
        <f>IF(F36&lt;&gt;"",IFERROR(VLOOKUP(F36,DUTY_2025!A:H,2,FALSE),""),"")</f>
        <v>BASMATI RICE</v>
      </c>
      <c r="J36" s="23" t="s">
        <v>514</v>
      </c>
      <c r="K36" s="90">
        <v>0</v>
      </c>
      <c r="L36" s="25">
        <v>1000</v>
      </c>
      <c r="M36" s="22">
        <v>150</v>
      </c>
      <c r="N36" s="25">
        <v>21</v>
      </c>
      <c r="O36" s="25">
        <v>5</v>
      </c>
      <c r="P36" s="116">
        <f>562650+3375</f>
        <v>566025</v>
      </c>
      <c r="Q36" s="23" t="s">
        <v>25</v>
      </c>
      <c r="R36" s="27" t="s">
        <v>337</v>
      </c>
      <c r="S36" s="86">
        <f t="shared" si="2"/>
        <v>21</v>
      </c>
      <c r="T36" s="87">
        <f t="shared" si="3"/>
        <v>23.1</v>
      </c>
      <c r="U36" s="87" cm="1">
        <f t="array" ref="U36">IF(AND(H36&lt;&gt;"YES",P36&lt;&gt;"",R36&lt;&gt;"",Q36&lt;&gt;""),
_xlfn.SWITCH(Q36,
"INR",_xlfn.SWITCH(R36,"KG",P36*S36,"CTN",P36,"UNIT",P36*N36,"NET",P36/M36,0),
"USD",_xlfn.SWITCH(R36,"KG",P36*S36*SI!$C$10,"CTN",P36*SI!$C$10,"UNIT",P36*N36*SI!$C$10,"NET",P36*SI!$C$10/M36,0),
"LKR",_xlfn.SWITCH(R36,"KG",P36*S36/SI!$C$9,"CTN",P36/SI!$C$9,"UNIT",P36*N36/SI!$C$9,"NET",P36/(M36*SI!$C$9),0),
0),
"")</f>
        <v>3773.5</v>
      </c>
      <c r="V36" s="87">
        <f t="shared" si="4"/>
        <v>3150</v>
      </c>
      <c r="W36" s="87">
        <f t="shared" si="5"/>
        <v>3465.0000000000005</v>
      </c>
      <c r="X36" s="88">
        <f t="shared" si="6"/>
        <v>566025</v>
      </c>
      <c r="Y36" s="24">
        <f t="shared" si="7"/>
        <v>3150</v>
      </c>
      <c r="Z36" s="267">
        <f>IF(AND(H36&lt;&gt;"yes",F36&lt;&gt;""),IFERROR(VLOOKUP(F36,DUTY_2025!A:F,5,FALSE),""),"")</f>
        <v>374</v>
      </c>
      <c r="AA36" s="271">
        <f t="shared" si="8"/>
        <v>539071</v>
      </c>
      <c r="AB36" s="16">
        <f t="shared" si="9"/>
        <v>26954</v>
      </c>
      <c r="AC36" s="16">
        <f>IF(AA36&lt;&gt;"",ROUND(AA36*SI!$C$9,0),"")</f>
        <v>1897530</v>
      </c>
      <c r="AD36" s="4">
        <f>IF(AC36&lt;&gt;"",ROUND(AC36/(SI!$C$9*SI!$C$10),2),"")</f>
        <v>5663.11</v>
      </c>
      <c r="AE36" s="30">
        <f>IF(AND(X36&lt;&gt;""), ROUND((SI!$E$23)*(X36/SUM($X$5:$X$493)),0),"")</f>
        <v>147418</v>
      </c>
      <c r="AF36" s="272">
        <f t="shared" si="10"/>
        <v>2044948</v>
      </c>
      <c r="AG36" s="28">
        <f t="shared" si="11"/>
        <v>1178100</v>
      </c>
      <c r="AH36" s="4">
        <f>IF(AD36&lt;&gt;"",ROUND(AD36*10*SI!$C$9/2,0),"")</f>
        <v>99671</v>
      </c>
      <c r="AI36" s="29">
        <f>IF(AND(X36&lt;&gt;""), ROUND((SI!$E$28)*(X36/SUM($X$5:$X$493)),0),"")</f>
        <v>418802</v>
      </c>
      <c r="AJ36" s="4">
        <f t="shared" si="12"/>
        <v>1696573</v>
      </c>
      <c r="AK36" s="4">
        <f t="shared" si="13"/>
        <v>539</v>
      </c>
      <c r="AL36" s="4">
        <f t="shared" si="14"/>
        <v>649</v>
      </c>
      <c r="AM36" s="4">
        <f t="shared" si="15"/>
        <v>1188</v>
      </c>
      <c r="AN36" s="195">
        <f t="shared" si="16"/>
        <v>3741521</v>
      </c>
      <c r="AO36" s="261">
        <f>IF(AND(AM36&lt;&gt;"",P36&lt;&gt;""),ROUND((AM36*((100+SI!$C$11)/100)),0),"")</f>
        <v>1366</v>
      </c>
      <c r="AP36" s="28">
        <f>IF(AG36&lt;&gt;"",ROUND(AG36/SI!$C$9,2),"")</f>
        <v>334687.5</v>
      </c>
      <c r="AQ36" s="4">
        <f>IF(AH36&lt;&gt;"",ROUND(AH36/SI!$C$9,2),"")</f>
        <v>28315.63</v>
      </c>
      <c r="AR36" s="29">
        <f>IF(AI36&lt;&gt;"",ROUND(AI36/SI!$C$9,2),"")</f>
        <v>118977.84</v>
      </c>
      <c r="AS36" s="4">
        <f t="shared" si="17"/>
        <v>481980.97</v>
      </c>
      <c r="AT36" s="4">
        <f t="shared" si="18"/>
        <v>153.01</v>
      </c>
      <c r="AU36" s="4">
        <f>IF(AL36&lt;&gt;"",ROUND(AL36/SI!$C$9,2),"")</f>
        <v>184.38</v>
      </c>
      <c r="AV36" s="4">
        <f>IF(AM36&lt;&gt;"",ROUND(AM36/SI!$C$9,2),"")</f>
        <v>337.5</v>
      </c>
      <c r="AW36" s="4">
        <f>IF(AN36&lt;&gt;"",ROUND(AN36/SI!$C$9,2),"")</f>
        <v>1062932.1000000001</v>
      </c>
      <c r="AX36" s="261">
        <f>IF(AO36&lt;&gt;"",ROUND(AO36/SI!$C$9,2),"")</f>
        <v>388.07</v>
      </c>
      <c r="AY36" s="28">
        <f t="shared" si="19"/>
        <v>2044948</v>
      </c>
      <c r="AZ36" s="4">
        <f>IF(AY36&lt;&gt;"",ROUND(AY36/(SI!$C$9*SI!$C$10),2),"")</f>
        <v>6103.07</v>
      </c>
      <c r="BA36" s="4">
        <f t="shared" si="20"/>
        <v>1635958.4</v>
      </c>
      <c r="BB36" s="4">
        <f t="shared" si="21"/>
        <v>4882.46</v>
      </c>
      <c r="BC36" s="4">
        <f t="shared" si="22"/>
        <v>1.55</v>
      </c>
      <c r="BD36" s="4">
        <f t="shared" si="23"/>
        <v>1.55</v>
      </c>
      <c r="BE36" s="4">
        <f>IF(AND(X36&lt;&gt;""),ROUND(X36/SI!$C$10,2),"")</f>
        <v>5946.27</v>
      </c>
      <c r="BF36" s="4">
        <f t="shared" si="25"/>
        <v>1.8879999999999999</v>
      </c>
      <c r="BG36" s="264">
        <f t="shared" si="24"/>
        <v>1.8879999999999999</v>
      </c>
      <c r="BH36" s="71">
        <f>IF(F36&lt;&gt;"",VLOOKUP(F36,DUTY_2025!A:O,15,FALSE),"")</f>
        <v>80</v>
      </c>
    </row>
    <row r="37" spans="1:60" x14ac:dyDescent="0.25">
      <c r="A37" s="133">
        <f t="shared" si="0"/>
        <v>33</v>
      </c>
      <c r="B37" s="83">
        <f t="shared" si="1"/>
        <v>33</v>
      </c>
      <c r="C37" s="126">
        <v>1</v>
      </c>
      <c r="D37" s="127"/>
      <c r="E37" s="91"/>
      <c r="F37" s="32" t="s">
        <v>166</v>
      </c>
      <c r="G37" s="27">
        <f>IF(F37&lt;&gt;"",IFERROR(VLOOKUP(F37,DUTY_2025!A:I,6,FALSE),""),"")</f>
        <v>0</v>
      </c>
      <c r="H37" s="85" t="s">
        <v>133</v>
      </c>
      <c r="I37" s="27" t="str">
        <f>IF(F37&lt;&gt;"",IFERROR(VLOOKUP(F37,DUTY_2025!A:H,2,FALSE),""),"")</f>
        <v>BASMATI RICE</v>
      </c>
      <c r="J37" s="23" t="s">
        <v>514</v>
      </c>
      <c r="K37" s="90">
        <v>0</v>
      </c>
      <c r="L37" s="92">
        <v>1000</v>
      </c>
      <c r="M37" s="22">
        <v>25</v>
      </c>
      <c r="N37" s="25">
        <v>20</v>
      </c>
      <c r="O37" s="25">
        <v>5</v>
      </c>
      <c r="P37" s="116">
        <f>104025+1000</f>
        <v>105025</v>
      </c>
      <c r="Q37" s="23" t="s">
        <v>25</v>
      </c>
      <c r="R37" s="27" t="s">
        <v>337</v>
      </c>
      <c r="S37" s="86">
        <f t="shared" si="2"/>
        <v>20</v>
      </c>
      <c r="T37" s="87">
        <f t="shared" si="3"/>
        <v>22</v>
      </c>
      <c r="U37" s="87" cm="1">
        <f t="array" ref="U37">IF(AND(H37&lt;&gt;"YES",P37&lt;&gt;"",R37&lt;&gt;"",Q37&lt;&gt;""),
_xlfn.SWITCH(Q37,
"INR",_xlfn.SWITCH(R37,"KG",P37*S37,"CTN",P37,"UNIT",P37*N37,"NET",P37/M37,0),
"USD",_xlfn.SWITCH(R37,"KG",P37*S37*SI!$C$10,"CTN",P37*SI!$C$10,"UNIT",P37*N37*SI!$C$10,"NET",P37*SI!$C$10/M37,0),
"LKR",_xlfn.SWITCH(R37,"KG",P37*S37/SI!$C$9,"CTN",P37/SI!$C$9,"UNIT",P37*N37/SI!$C$9,"NET",P37/(M37*SI!$C$9),0),
0),
"")</f>
        <v>4201</v>
      </c>
      <c r="V37" s="87">
        <f t="shared" si="4"/>
        <v>500</v>
      </c>
      <c r="W37" s="87">
        <f t="shared" si="5"/>
        <v>550</v>
      </c>
      <c r="X37" s="88">
        <f t="shared" si="6"/>
        <v>105025</v>
      </c>
      <c r="Y37" s="24">
        <f t="shared" si="7"/>
        <v>500</v>
      </c>
      <c r="Z37" s="267">
        <f>IF(AND(H37&lt;&gt;"yes",F37&lt;&gt;""),IFERROR(VLOOKUP(F37,DUTY_2025!A:F,5,FALSE),""),"")</f>
        <v>374</v>
      </c>
      <c r="AA37" s="271">
        <f t="shared" si="8"/>
        <v>100024</v>
      </c>
      <c r="AB37" s="16">
        <f t="shared" si="9"/>
        <v>5001</v>
      </c>
      <c r="AC37" s="16">
        <f>IF(AA37&lt;&gt;"",ROUND(AA37*SI!$C$9,0),"")</f>
        <v>352084</v>
      </c>
      <c r="AD37" s="4">
        <f>IF(AC37&lt;&gt;"",ROUND(AC37/(SI!$C$9*SI!$C$10),2),"")</f>
        <v>1050.78</v>
      </c>
      <c r="AE37" s="30">
        <f>IF(AND(X37&lt;&gt;""), ROUND((SI!$E$23)*(X37/SUM($X$5:$X$493)),0),"")</f>
        <v>27353</v>
      </c>
      <c r="AF37" s="272">
        <f t="shared" si="10"/>
        <v>379437</v>
      </c>
      <c r="AG37" s="28">
        <f t="shared" si="11"/>
        <v>187000</v>
      </c>
      <c r="AH37" s="4">
        <f>IF(AD37&lt;&gt;"",ROUND(AD37*10*SI!$C$9/2,0),"")</f>
        <v>18494</v>
      </c>
      <c r="AI37" s="29">
        <f>IF(AND(X37&lt;&gt;""), ROUND((SI!$E$28)*(X37/SUM($X$5:$X$493)),0),"")</f>
        <v>77708</v>
      </c>
      <c r="AJ37" s="4">
        <f t="shared" si="12"/>
        <v>283202</v>
      </c>
      <c r="AK37" s="4">
        <f t="shared" si="13"/>
        <v>566</v>
      </c>
      <c r="AL37" s="4">
        <f t="shared" si="14"/>
        <v>759</v>
      </c>
      <c r="AM37" s="4">
        <f t="shared" si="15"/>
        <v>1325</v>
      </c>
      <c r="AN37" s="195">
        <f t="shared" si="16"/>
        <v>662639</v>
      </c>
      <c r="AO37" s="261">
        <f>IF(AND(AM37&lt;&gt;"",P37&lt;&gt;""),ROUND((AM37*((100+SI!$C$11)/100)),0),"")</f>
        <v>1524</v>
      </c>
      <c r="AP37" s="28">
        <f>IF(AG37&lt;&gt;"",ROUND(AG37/SI!$C$9,2),"")</f>
        <v>53125</v>
      </c>
      <c r="AQ37" s="4">
        <f>IF(AH37&lt;&gt;"",ROUND(AH37/SI!$C$9,2),"")</f>
        <v>5253.98</v>
      </c>
      <c r="AR37" s="29">
        <f>IF(AI37&lt;&gt;"",ROUND(AI37/SI!$C$9,2),"")</f>
        <v>22076.14</v>
      </c>
      <c r="AS37" s="4">
        <f t="shared" si="17"/>
        <v>80455.12</v>
      </c>
      <c r="AT37" s="4">
        <f t="shared" si="18"/>
        <v>160.91</v>
      </c>
      <c r="AU37" s="4">
        <f>IF(AL37&lt;&gt;"",ROUND(AL37/SI!$C$9,2),"")</f>
        <v>215.63</v>
      </c>
      <c r="AV37" s="4">
        <f>IF(AM37&lt;&gt;"",ROUND(AM37/SI!$C$9,2),"")</f>
        <v>376.42</v>
      </c>
      <c r="AW37" s="4">
        <f>IF(AN37&lt;&gt;"",ROUND(AN37/SI!$C$9,2),"")</f>
        <v>188249.72</v>
      </c>
      <c r="AX37" s="261">
        <f>IF(AO37&lt;&gt;"",ROUND(AO37/SI!$C$9,2),"")</f>
        <v>432.95</v>
      </c>
      <c r="AY37" s="28">
        <f t="shared" si="19"/>
        <v>379437</v>
      </c>
      <c r="AZ37" s="4">
        <f>IF(AY37&lt;&gt;"",ROUND(AY37/(SI!$C$9*SI!$C$10),2),"")</f>
        <v>1132.42</v>
      </c>
      <c r="BA37" s="4">
        <f t="shared" si="20"/>
        <v>303549.59999999998</v>
      </c>
      <c r="BB37" s="4">
        <f t="shared" si="21"/>
        <v>905.94</v>
      </c>
      <c r="BC37" s="4">
        <f t="shared" si="22"/>
        <v>1.8120000000000001</v>
      </c>
      <c r="BD37" s="4">
        <f t="shared" si="23"/>
        <v>1.8120000000000001</v>
      </c>
      <c r="BE37" s="4">
        <f>IF(AND(X37&lt;&gt;""),ROUND(X37/SI!$C$10,2),"")</f>
        <v>1103.32</v>
      </c>
      <c r="BF37" s="4">
        <f t="shared" si="25"/>
        <v>2.2069999999999999</v>
      </c>
      <c r="BG37" s="264">
        <f t="shared" si="24"/>
        <v>2.2069999999999999</v>
      </c>
      <c r="BH37" s="71">
        <f>IF(F37&lt;&gt;"",VLOOKUP(F37,DUTY_2025!A:O,15,FALSE),"")</f>
        <v>80</v>
      </c>
    </row>
    <row r="38" spans="1:60" x14ac:dyDescent="0.25">
      <c r="A38" s="133">
        <f t="shared" si="0"/>
        <v>34</v>
      </c>
      <c r="B38" s="83">
        <f t="shared" si="1"/>
        <v>34</v>
      </c>
      <c r="C38" s="126">
        <v>1</v>
      </c>
      <c r="D38" s="127"/>
      <c r="E38" s="91"/>
      <c r="F38" s="50" t="s">
        <v>67</v>
      </c>
      <c r="G38" s="27">
        <f>IF(F38&lt;&gt;"",IFERROR(VLOOKUP(F38,DUTY_2025!A:I,6,FALSE),""),"")</f>
        <v>0</v>
      </c>
      <c r="H38" s="85" t="s">
        <v>133</v>
      </c>
      <c r="I38" s="27" t="str">
        <f>IF(F38&lt;&gt;"",IFERROR(VLOOKUP(F38,DUTY_2025!A:H,2,FALSE),""),"")</f>
        <v>GHEE</v>
      </c>
      <c r="J38" s="23" t="s">
        <v>575</v>
      </c>
      <c r="K38" s="90">
        <v>0</v>
      </c>
      <c r="L38" s="90">
        <v>1000</v>
      </c>
      <c r="M38" s="22">
        <v>1</v>
      </c>
      <c r="N38" s="25">
        <v>18</v>
      </c>
      <c r="O38" s="25">
        <v>5</v>
      </c>
      <c r="P38" s="116">
        <v>12462</v>
      </c>
      <c r="Q38" s="23" t="s">
        <v>25</v>
      </c>
      <c r="R38" s="27" t="s">
        <v>337</v>
      </c>
      <c r="S38" s="86">
        <f t="shared" si="2"/>
        <v>18</v>
      </c>
      <c r="T38" s="87">
        <f t="shared" si="3"/>
        <v>19.8</v>
      </c>
      <c r="U38" s="87" cm="1">
        <f t="array" ref="U38">IF(AND(H38&lt;&gt;"YES",P38&lt;&gt;"",R38&lt;&gt;"",Q38&lt;&gt;""),
_xlfn.SWITCH(Q38,
"INR",_xlfn.SWITCH(R38,"KG",P38*S38,"CTN",P38,"UNIT",P38*N38,"NET",P38/M38,0),
"USD",_xlfn.SWITCH(R38,"KG",P38*S38*SI!$C$10,"CTN",P38*SI!$C$10,"UNIT",P38*N38*SI!$C$10,"NET",P38*SI!$C$10/M38,0),
"LKR",_xlfn.SWITCH(R38,"KG",P38*S38/SI!$C$9,"CTN",P38/SI!$C$9,"UNIT",P38*N38/SI!$C$9,"NET",P38/(M38*SI!$C$9),0),
0),
"")</f>
        <v>12462</v>
      </c>
      <c r="V38" s="87">
        <f t="shared" si="4"/>
        <v>18</v>
      </c>
      <c r="W38" s="87">
        <f t="shared" si="5"/>
        <v>19.8</v>
      </c>
      <c r="X38" s="88">
        <f t="shared" si="6"/>
        <v>12462</v>
      </c>
      <c r="Y38" s="24">
        <f t="shared" si="7"/>
        <v>18</v>
      </c>
      <c r="Z38" s="267">
        <f>IF(AND(H38&lt;&gt;"yes",F38&lt;&gt;""),IFERROR(VLOOKUP(F38,DUTY_2025!A:F,5,FALSE),""),"")</f>
        <v>2000</v>
      </c>
      <c r="AA38" s="271">
        <f t="shared" si="8"/>
        <v>11869</v>
      </c>
      <c r="AB38" s="16">
        <f t="shared" si="9"/>
        <v>593</v>
      </c>
      <c r="AC38" s="16">
        <f>IF(AA38&lt;&gt;"",ROUND(AA38*SI!$C$9,0),"")</f>
        <v>41779</v>
      </c>
      <c r="AD38" s="4">
        <f>IF(AC38&lt;&gt;"",ROUND(AC38/(SI!$C$9*SI!$C$10),2),"")</f>
        <v>124.69</v>
      </c>
      <c r="AE38" s="30">
        <f>IF(AND(X38&lt;&gt;""), ROUND((SI!$E$23)*(X38/SUM($X$5:$X$493)),0),"")</f>
        <v>3246</v>
      </c>
      <c r="AF38" s="272">
        <f t="shared" si="10"/>
        <v>45025</v>
      </c>
      <c r="AG38" s="28">
        <f t="shared" si="11"/>
        <v>36000</v>
      </c>
      <c r="AH38" s="4">
        <f>IF(AD38&lt;&gt;"",ROUND(AD38*10*SI!$C$9/2,0),"")</f>
        <v>2195</v>
      </c>
      <c r="AI38" s="29">
        <f>IF(AND(X38&lt;&gt;""), ROUND((SI!$E$28)*(X38/SUM($X$5:$X$493)),0),"")</f>
        <v>9221</v>
      </c>
      <c r="AJ38" s="4">
        <f t="shared" si="12"/>
        <v>47416</v>
      </c>
      <c r="AK38" s="4">
        <f t="shared" si="13"/>
        <v>2634</v>
      </c>
      <c r="AL38" s="4">
        <f t="shared" si="14"/>
        <v>2501</v>
      </c>
      <c r="AM38" s="4">
        <f t="shared" si="15"/>
        <v>5135</v>
      </c>
      <c r="AN38" s="195">
        <f t="shared" si="16"/>
        <v>92441</v>
      </c>
      <c r="AO38" s="261">
        <f>IF(AND(AM38&lt;&gt;"",P38&lt;&gt;""),ROUND((AM38*((100+SI!$C$11)/100)),0),"")</f>
        <v>5905</v>
      </c>
      <c r="AP38" s="28">
        <f>IF(AG38&lt;&gt;"",ROUND(AG38/SI!$C$9,2),"")</f>
        <v>10227.27</v>
      </c>
      <c r="AQ38" s="4">
        <f>IF(AH38&lt;&gt;"",ROUND(AH38/SI!$C$9,2),"")</f>
        <v>623.58000000000004</v>
      </c>
      <c r="AR38" s="29">
        <f>IF(AI38&lt;&gt;"",ROUND(AI38/SI!$C$9,2),"")</f>
        <v>2619.6</v>
      </c>
      <c r="AS38" s="4">
        <f t="shared" si="17"/>
        <v>13470.45</v>
      </c>
      <c r="AT38" s="4">
        <f t="shared" si="18"/>
        <v>748.36</v>
      </c>
      <c r="AU38" s="4">
        <f>IF(AL38&lt;&gt;"",ROUND(AL38/SI!$C$9,2),"")</f>
        <v>710.51</v>
      </c>
      <c r="AV38" s="4">
        <f>IF(AM38&lt;&gt;"",ROUND(AM38/SI!$C$9,2),"")</f>
        <v>1458.81</v>
      </c>
      <c r="AW38" s="4">
        <f>IF(AN38&lt;&gt;"",ROUND(AN38/SI!$C$9,2),"")</f>
        <v>26261.65</v>
      </c>
      <c r="AX38" s="261">
        <f>IF(AO38&lt;&gt;"",ROUND(AO38/SI!$C$9,2),"")</f>
        <v>1677.56</v>
      </c>
      <c r="AY38" s="28">
        <f t="shared" si="19"/>
        <v>45025</v>
      </c>
      <c r="AZ38" s="4">
        <f>IF(AY38&lt;&gt;"",ROUND(AY38/(SI!$C$9*SI!$C$10),2),"")</f>
        <v>134.38</v>
      </c>
      <c r="BA38" s="4">
        <f t="shared" si="20"/>
        <v>45025</v>
      </c>
      <c r="BB38" s="4">
        <f t="shared" si="21"/>
        <v>134.38</v>
      </c>
      <c r="BC38" s="4">
        <f t="shared" si="22"/>
        <v>7.4660000000000002</v>
      </c>
      <c r="BD38" s="4">
        <f t="shared" si="23"/>
        <v>7.4660000000000002</v>
      </c>
      <c r="BE38" s="4">
        <f>IF(AND(X38&lt;&gt;""),ROUND(X38/SI!$C$10,2),"")</f>
        <v>130.91999999999999</v>
      </c>
      <c r="BF38" s="4">
        <f t="shared" si="25"/>
        <v>7.2729999999999997</v>
      </c>
      <c r="BG38" s="264">
        <f t="shared" si="24"/>
        <v>7.2729999999999997</v>
      </c>
      <c r="BH38" s="71">
        <f>IF(F38&lt;&gt;"",VLOOKUP(F38,DUTY_2025!A:O,15,FALSE),"")</f>
        <v>100</v>
      </c>
    </row>
    <row r="39" spans="1:60" x14ac:dyDescent="0.25">
      <c r="A39" s="133">
        <f t="shared" si="0"/>
        <v>35</v>
      </c>
      <c r="B39" s="83">
        <f t="shared" si="1"/>
        <v>35</v>
      </c>
      <c r="C39" s="126">
        <v>1</v>
      </c>
      <c r="D39" s="127"/>
      <c r="E39" s="91"/>
      <c r="F39" s="301" t="s">
        <v>66</v>
      </c>
      <c r="G39" s="27">
        <f>IF(F39&lt;&gt;"",IFERROR(VLOOKUP(F39,DUTY_2025!A:I,6,FALSE),""),"")</f>
        <v>0</v>
      </c>
      <c r="H39" s="85" t="s">
        <v>133</v>
      </c>
      <c r="I39" s="27" t="str">
        <f>IF(F39&lt;&gt;"",IFERROR(VLOOKUP(F39,DUTY_2025!A:H,2,FALSE),""),"")</f>
        <v>HEALTH MIXES</v>
      </c>
      <c r="J39" s="23" t="s">
        <v>545</v>
      </c>
      <c r="K39" s="90">
        <v>0</v>
      </c>
      <c r="L39" s="90">
        <v>75</v>
      </c>
      <c r="M39" s="22">
        <v>20</v>
      </c>
      <c r="N39" s="25">
        <v>96</v>
      </c>
      <c r="O39" s="25">
        <v>5</v>
      </c>
      <c r="P39" s="116">
        <v>25502</v>
      </c>
      <c r="Q39" s="23" t="s">
        <v>25</v>
      </c>
      <c r="R39" s="27" t="s">
        <v>337</v>
      </c>
      <c r="S39" s="86">
        <f t="shared" si="2"/>
        <v>7.2</v>
      </c>
      <c r="T39" s="87">
        <f t="shared" si="3"/>
        <v>7.9200000000000008</v>
      </c>
      <c r="U39" s="87" cm="1">
        <f t="array" ref="U39">IF(AND(H39&lt;&gt;"YES",P39&lt;&gt;"",R39&lt;&gt;"",Q39&lt;&gt;""),
_xlfn.SWITCH(Q39,
"INR",_xlfn.SWITCH(R39,"KG",P39*S39,"CTN",P39,"UNIT",P39*N39,"NET",P39/M39,0),
"USD",_xlfn.SWITCH(R39,"KG",P39*S39*SI!$C$10,"CTN",P39*SI!$C$10,"UNIT",P39*N39*SI!$C$10,"NET",P39*SI!$C$10/M39,0),
"LKR",_xlfn.SWITCH(R39,"KG",P39*S39/SI!$C$9,"CTN",P39/SI!$C$9,"UNIT",P39*N39/SI!$C$9,"NET",P39/(M39*SI!$C$9),0),
0),
"")</f>
        <v>1275.0999999999999</v>
      </c>
      <c r="V39" s="87">
        <f t="shared" si="4"/>
        <v>144</v>
      </c>
      <c r="W39" s="87">
        <f t="shared" si="5"/>
        <v>158.4</v>
      </c>
      <c r="X39" s="88">
        <f t="shared" si="6"/>
        <v>25502</v>
      </c>
      <c r="Y39" s="24">
        <f t="shared" si="7"/>
        <v>1920</v>
      </c>
      <c r="Z39" s="267">
        <f>IF(AND(H39&lt;&gt;"yes",F39&lt;&gt;""),IFERROR(VLOOKUP(F39,DUTY_2025!A:F,5,FALSE),""),"")</f>
        <v>570</v>
      </c>
      <c r="AA39" s="271">
        <f t="shared" si="8"/>
        <v>24288</v>
      </c>
      <c r="AB39" s="16">
        <f t="shared" si="9"/>
        <v>1214</v>
      </c>
      <c r="AC39" s="16">
        <f>IF(AA39&lt;&gt;"",ROUND(AA39*SI!$C$9,0),"")</f>
        <v>85494</v>
      </c>
      <c r="AD39" s="4">
        <f>IF(AC39&lt;&gt;"",ROUND(AC39/(SI!$C$9*SI!$C$10),2),"")</f>
        <v>255.15</v>
      </c>
      <c r="AE39" s="30">
        <f>IF(AND(X39&lt;&gt;""), ROUND((SI!$E$23)*(X39/SUM($X$5:$X$493)),0),"")</f>
        <v>6642</v>
      </c>
      <c r="AF39" s="272">
        <f t="shared" si="10"/>
        <v>92136</v>
      </c>
      <c r="AG39" s="28">
        <f t="shared" si="11"/>
        <v>82080</v>
      </c>
      <c r="AH39" s="4">
        <f>IF(AD39&lt;&gt;"",ROUND(AD39*10*SI!$C$9/2,0),"")</f>
        <v>4491</v>
      </c>
      <c r="AI39" s="29">
        <f>IF(AND(X39&lt;&gt;""), ROUND((SI!$E$28)*(X39/SUM($X$5:$X$493)),0),"")</f>
        <v>18869</v>
      </c>
      <c r="AJ39" s="4">
        <f t="shared" si="12"/>
        <v>105440</v>
      </c>
      <c r="AK39" s="4">
        <f t="shared" si="13"/>
        <v>55</v>
      </c>
      <c r="AL39" s="4">
        <f t="shared" si="14"/>
        <v>48</v>
      </c>
      <c r="AM39" s="4">
        <f t="shared" si="15"/>
        <v>103</v>
      </c>
      <c r="AN39" s="195">
        <f t="shared" si="16"/>
        <v>197576</v>
      </c>
      <c r="AO39" s="261">
        <f>IF(AND(AM39&lt;&gt;"",P39&lt;&gt;""),ROUND((AM39*((100+SI!$C$11)/100)),0),"")</f>
        <v>118</v>
      </c>
      <c r="AP39" s="28">
        <f>IF(AG39&lt;&gt;"",ROUND(AG39/SI!$C$9,2),"")</f>
        <v>23318.18</v>
      </c>
      <c r="AQ39" s="4">
        <f>IF(AH39&lt;&gt;"",ROUND(AH39/SI!$C$9,2),"")</f>
        <v>1275.8499999999999</v>
      </c>
      <c r="AR39" s="29">
        <f>IF(AI39&lt;&gt;"",ROUND(AI39/SI!$C$9,2),"")</f>
        <v>5360.51</v>
      </c>
      <c r="AS39" s="4">
        <f t="shared" si="17"/>
        <v>29954.54</v>
      </c>
      <c r="AT39" s="4">
        <f t="shared" si="18"/>
        <v>15.6</v>
      </c>
      <c r="AU39" s="4">
        <f>IF(AL39&lt;&gt;"",ROUND(AL39/SI!$C$9,2),"")</f>
        <v>13.64</v>
      </c>
      <c r="AV39" s="4">
        <f>IF(AM39&lt;&gt;"",ROUND(AM39/SI!$C$9,2),"")</f>
        <v>29.26</v>
      </c>
      <c r="AW39" s="4">
        <f>IF(AN39&lt;&gt;"",ROUND(AN39/SI!$C$9,2),"")</f>
        <v>56129.55</v>
      </c>
      <c r="AX39" s="261">
        <f>IF(AO39&lt;&gt;"",ROUND(AO39/SI!$C$9,2),"")</f>
        <v>33.520000000000003</v>
      </c>
      <c r="AY39" s="28">
        <f t="shared" si="19"/>
        <v>92136</v>
      </c>
      <c r="AZ39" s="4">
        <f>IF(AY39&lt;&gt;"",ROUND(AY39/(SI!$C$9*SI!$C$10),2),"")</f>
        <v>274.98</v>
      </c>
      <c r="BA39" s="4">
        <f t="shared" si="20"/>
        <v>73708.800000000003</v>
      </c>
      <c r="BB39" s="4">
        <f t="shared" si="21"/>
        <v>219.98</v>
      </c>
      <c r="BC39" s="4">
        <f t="shared" si="22"/>
        <v>0.115</v>
      </c>
      <c r="BD39" s="4">
        <f t="shared" si="23"/>
        <v>1.528</v>
      </c>
      <c r="BE39" s="4">
        <f>IF(AND(X39&lt;&gt;""),ROUND(X39/SI!$C$10,2),"")</f>
        <v>267.91000000000003</v>
      </c>
      <c r="BF39" s="4">
        <f t="shared" si="25"/>
        <v>0.14000000000000001</v>
      </c>
      <c r="BG39" s="264">
        <f t="shared" si="24"/>
        <v>1.86</v>
      </c>
      <c r="BH39" s="71">
        <f>IF(F39&lt;&gt;"",VLOOKUP(F39,DUTY_2025!A:O,15,FALSE),"")</f>
        <v>80</v>
      </c>
    </row>
    <row r="40" spans="1:60" x14ac:dyDescent="0.25">
      <c r="A40" s="133">
        <f t="shared" si="0"/>
        <v>36</v>
      </c>
      <c r="B40" s="83">
        <f t="shared" si="1"/>
        <v>36</v>
      </c>
      <c r="C40" s="126">
        <v>1</v>
      </c>
      <c r="D40" s="127"/>
      <c r="E40" s="91"/>
      <c r="F40" s="301" t="s">
        <v>66</v>
      </c>
      <c r="G40" s="27">
        <f>IF(F40&lt;&gt;"",IFERROR(VLOOKUP(F40,DUTY_2025!A:I,6,FALSE),""),"")</f>
        <v>0</v>
      </c>
      <c r="H40" s="85" t="s">
        <v>133</v>
      </c>
      <c r="I40" s="27" t="str">
        <f>IF(F40&lt;&gt;"",IFERROR(VLOOKUP(F40,DUTY_2025!A:H,2,FALSE),""),"")</f>
        <v>HEALTH MIXES</v>
      </c>
      <c r="J40" s="23" t="s">
        <v>546</v>
      </c>
      <c r="K40" s="90">
        <v>0</v>
      </c>
      <c r="L40" s="90">
        <v>6</v>
      </c>
      <c r="M40" s="22">
        <v>1</v>
      </c>
      <c r="N40" s="25">
        <v>60000</v>
      </c>
      <c r="O40" s="25">
        <v>5</v>
      </c>
      <c r="P40" s="116">
        <v>8367</v>
      </c>
      <c r="Q40" s="23" t="s">
        <v>25</v>
      </c>
      <c r="R40" s="27" t="s">
        <v>337</v>
      </c>
      <c r="S40" s="86">
        <f t="shared" si="2"/>
        <v>360</v>
      </c>
      <c r="T40" s="87">
        <f t="shared" si="3"/>
        <v>396.00000000000006</v>
      </c>
      <c r="U40" s="87" cm="1">
        <f t="array" ref="U40">IF(AND(H40&lt;&gt;"YES",P40&lt;&gt;"",R40&lt;&gt;"",Q40&lt;&gt;""),
_xlfn.SWITCH(Q40,
"INR",_xlfn.SWITCH(R40,"KG",P40*S40,"CTN",P40,"UNIT",P40*N40,"NET",P40/M40,0),
"USD",_xlfn.SWITCH(R40,"KG",P40*S40*SI!$C$10,"CTN",P40*SI!$C$10,"UNIT",P40*N40*SI!$C$10,"NET",P40*SI!$C$10/M40,0),
"LKR",_xlfn.SWITCH(R40,"KG",P40*S40/SI!$C$9,"CTN",P40/SI!$C$9,"UNIT",P40*N40/SI!$C$9,"NET",P40/(M40*SI!$C$9),0),
0),
"")</f>
        <v>8367</v>
      </c>
      <c r="V40" s="87">
        <f t="shared" si="4"/>
        <v>360</v>
      </c>
      <c r="W40" s="87">
        <f t="shared" si="5"/>
        <v>396.00000000000006</v>
      </c>
      <c r="X40" s="88">
        <f t="shared" si="6"/>
        <v>8367</v>
      </c>
      <c r="Y40" s="24">
        <f t="shared" si="7"/>
        <v>60000</v>
      </c>
      <c r="Z40" s="267">
        <f>IF(AND(H40&lt;&gt;"yes",F40&lt;&gt;""),IFERROR(VLOOKUP(F40,DUTY_2025!A:F,5,FALSE),""),"")</f>
        <v>570</v>
      </c>
      <c r="AA40" s="271">
        <f t="shared" si="8"/>
        <v>7969</v>
      </c>
      <c r="AB40" s="16">
        <f t="shared" si="9"/>
        <v>398</v>
      </c>
      <c r="AC40" s="16">
        <f>IF(AA40&lt;&gt;"",ROUND(AA40*SI!$C$9,0),"")</f>
        <v>28051</v>
      </c>
      <c r="AD40" s="4">
        <f>IF(AC40&lt;&gt;"",ROUND(AC40/(SI!$C$9*SI!$C$10),2),"")</f>
        <v>83.72</v>
      </c>
      <c r="AE40" s="30">
        <f>IF(AND(X40&lt;&gt;""), ROUND((SI!$E$23)*(X40/SUM($X$5:$X$493)),0),"")</f>
        <v>2179</v>
      </c>
      <c r="AF40" s="272">
        <f t="shared" si="10"/>
        <v>30230</v>
      </c>
      <c r="AG40" s="28">
        <f t="shared" si="11"/>
        <v>205200</v>
      </c>
      <c r="AH40" s="4">
        <f>IF(AD40&lt;&gt;"",ROUND(AD40*10*SI!$C$9/2,0),"")</f>
        <v>1473</v>
      </c>
      <c r="AI40" s="29">
        <f>IF(AND(X40&lt;&gt;""), ROUND((SI!$E$28)*(X40/SUM($X$5:$X$493)),0),"")</f>
        <v>6191</v>
      </c>
      <c r="AJ40" s="4">
        <f t="shared" si="12"/>
        <v>212864</v>
      </c>
      <c r="AK40" s="4">
        <f t="shared" si="13"/>
        <v>4</v>
      </c>
      <c r="AL40" s="4">
        <f t="shared" si="14"/>
        <v>1</v>
      </c>
      <c r="AM40" s="4">
        <f t="shared" si="15"/>
        <v>5</v>
      </c>
      <c r="AN40" s="195">
        <f t="shared" si="16"/>
        <v>243094</v>
      </c>
      <c r="AO40" s="261">
        <f>IF(AND(AM40&lt;&gt;"",P40&lt;&gt;""),ROUND((AM40*((100+SI!$C$11)/100)),0),"")</f>
        <v>6</v>
      </c>
      <c r="AP40" s="28">
        <f>IF(AG40&lt;&gt;"",ROUND(AG40/SI!$C$9,2),"")</f>
        <v>58295.45</v>
      </c>
      <c r="AQ40" s="4">
        <f>IF(AH40&lt;&gt;"",ROUND(AH40/SI!$C$9,2),"")</f>
        <v>418.47</v>
      </c>
      <c r="AR40" s="29">
        <f>IF(AI40&lt;&gt;"",ROUND(AI40/SI!$C$9,2),"")</f>
        <v>1758.81</v>
      </c>
      <c r="AS40" s="4">
        <f t="shared" si="17"/>
        <v>60472.729999999996</v>
      </c>
      <c r="AT40" s="4">
        <f t="shared" si="18"/>
        <v>1.01</v>
      </c>
      <c r="AU40" s="4">
        <f>IF(AL40&lt;&gt;"",ROUND(AL40/SI!$C$9,2),"")</f>
        <v>0.28000000000000003</v>
      </c>
      <c r="AV40" s="4">
        <f>IF(AM40&lt;&gt;"",ROUND(AM40/SI!$C$9,2),"")</f>
        <v>1.42</v>
      </c>
      <c r="AW40" s="4">
        <f>IF(AN40&lt;&gt;"",ROUND(AN40/SI!$C$9,2),"")</f>
        <v>69060.800000000003</v>
      </c>
      <c r="AX40" s="261">
        <f>IF(AO40&lt;&gt;"",ROUND(AO40/SI!$C$9,2),"")</f>
        <v>1.7</v>
      </c>
      <c r="AY40" s="28">
        <f t="shared" si="19"/>
        <v>30230</v>
      </c>
      <c r="AZ40" s="4">
        <f>IF(AY40&lt;&gt;"",ROUND(AY40/(SI!$C$9*SI!$C$10),2),"")</f>
        <v>90.22</v>
      </c>
      <c r="BA40" s="4">
        <f t="shared" si="20"/>
        <v>24184</v>
      </c>
      <c r="BB40" s="4">
        <f t="shared" si="21"/>
        <v>72.180000000000007</v>
      </c>
      <c r="BC40" s="4">
        <f t="shared" si="22"/>
        <v>1E-3</v>
      </c>
      <c r="BD40" s="4">
        <f t="shared" si="23"/>
        <v>0.20100000000000001</v>
      </c>
      <c r="BE40" s="4">
        <f>IF(AND(X40&lt;&gt;""),ROUND(X40/SI!$C$10,2),"")</f>
        <v>87.9</v>
      </c>
      <c r="BF40" s="4">
        <f t="shared" si="25"/>
        <v>1E-3</v>
      </c>
      <c r="BG40" s="264">
        <f t="shared" si="24"/>
        <v>0.24399999999999999</v>
      </c>
      <c r="BH40" s="71">
        <f>IF(F40&lt;&gt;"",VLOOKUP(F40,DUTY_2025!A:O,15,FALSE),"")</f>
        <v>80</v>
      </c>
    </row>
    <row r="41" spans="1:60" x14ac:dyDescent="0.25">
      <c r="A41" s="133">
        <f t="shared" si="0"/>
        <v>37</v>
      </c>
      <c r="B41" s="83">
        <f t="shared" si="1"/>
        <v>37</v>
      </c>
      <c r="C41" s="126">
        <v>1</v>
      </c>
      <c r="D41" s="127"/>
      <c r="E41" s="91"/>
      <c r="F41" s="32" t="s">
        <v>166</v>
      </c>
      <c r="G41" s="27">
        <f>IF(F41&lt;&gt;"",IFERROR(VLOOKUP(F41,DUTY_2025!A:I,6,FALSE),""),"")</f>
        <v>0</v>
      </c>
      <c r="H41" s="85" t="s">
        <v>133</v>
      </c>
      <c r="I41" s="27" t="str">
        <f>IF(F41&lt;&gt;"",IFERROR(VLOOKUP(F41,DUTY_2025!A:H,2,FALSE),""),"")</f>
        <v>BASMATI RICE</v>
      </c>
      <c r="J41" s="23" t="s">
        <v>576</v>
      </c>
      <c r="K41" s="90">
        <v>0</v>
      </c>
      <c r="L41" s="90">
        <v>1000</v>
      </c>
      <c r="M41" s="22">
        <v>5</v>
      </c>
      <c r="N41" s="25">
        <v>12</v>
      </c>
      <c r="O41" s="25">
        <v>5</v>
      </c>
      <c r="P41" s="116">
        <v>10211</v>
      </c>
      <c r="Q41" s="23" t="s">
        <v>25</v>
      </c>
      <c r="R41" s="27" t="s">
        <v>337</v>
      </c>
      <c r="S41" s="86">
        <f t="shared" si="2"/>
        <v>12</v>
      </c>
      <c r="T41" s="87">
        <f t="shared" si="3"/>
        <v>13.200000000000001</v>
      </c>
      <c r="U41" s="87" cm="1">
        <f t="array" ref="U41">IF(AND(H41&lt;&gt;"YES",P41&lt;&gt;"",R41&lt;&gt;"",Q41&lt;&gt;""),
_xlfn.SWITCH(Q41,
"INR",_xlfn.SWITCH(R41,"KG",P41*S41,"CTN",P41,"UNIT",P41*N41,"NET",P41/M41,0),
"USD",_xlfn.SWITCH(R41,"KG",P41*S41*SI!$C$10,"CTN",P41*SI!$C$10,"UNIT",P41*N41*SI!$C$10,"NET",P41*SI!$C$10/M41,0),
"LKR",_xlfn.SWITCH(R41,"KG",P41*S41/SI!$C$9,"CTN",P41/SI!$C$9,"UNIT",P41*N41/SI!$C$9,"NET",P41/(M41*SI!$C$9),0),
0),
"")</f>
        <v>2042.2</v>
      </c>
      <c r="V41" s="87">
        <f t="shared" si="4"/>
        <v>60</v>
      </c>
      <c r="W41" s="87">
        <f t="shared" si="5"/>
        <v>66</v>
      </c>
      <c r="X41" s="88">
        <f t="shared" si="6"/>
        <v>10211</v>
      </c>
      <c r="Y41" s="24">
        <f t="shared" si="7"/>
        <v>60</v>
      </c>
      <c r="Z41" s="267">
        <f>IF(AND(H41&lt;&gt;"yes",F41&lt;&gt;""),IFERROR(VLOOKUP(F41,DUTY_2025!A:F,5,FALSE),""),"")</f>
        <v>374</v>
      </c>
      <c r="AA41" s="271">
        <f t="shared" si="8"/>
        <v>9725</v>
      </c>
      <c r="AB41" s="16">
        <f t="shared" si="9"/>
        <v>486</v>
      </c>
      <c r="AC41" s="16">
        <f>IF(AA41&lt;&gt;"",ROUND(AA41*SI!$C$9,0),"")</f>
        <v>34232</v>
      </c>
      <c r="AD41" s="4">
        <f>IF(AC41&lt;&gt;"",ROUND(AC41/(SI!$C$9*SI!$C$10),2),"")</f>
        <v>102.16</v>
      </c>
      <c r="AE41" s="30">
        <f>IF(AND(X41&lt;&gt;""), ROUND((SI!$E$23)*(X41/SUM($X$5:$X$493)),0),"")</f>
        <v>2659</v>
      </c>
      <c r="AF41" s="272">
        <f t="shared" si="10"/>
        <v>36891</v>
      </c>
      <c r="AG41" s="28">
        <f t="shared" si="11"/>
        <v>22440</v>
      </c>
      <c r="AH41" s="4">
        <f>IF(AD41&lt;&gt;"",ROUND(AD41*10*SI!$C$9/2,0),"")</f>
        <v>1798</v>
      </c>
      <c r="AI41" s="29">
        <f>IF(AND(X41&lt;&gt;""), ROUND((SI!$E$28)*(X41/SUM($X$5:$X$493)),0),"")</f>
        <v>7555</v>
      </c>
      <c r="AJ41" s="4">
        <f t="shared" si="12"/>
        <v>31793</v>
      </c>
      <c r="AK41" s="4">
        <f t="shared" si="13"/>
        <v>530</v>
      </c>
      <c r="AL41" s="4">
        <f t="shared" si="14"/>
        <v>615</v>
      </c>
      <c r="AM41" s="4">
        <f t="shared" si="15"/>
        <v>1145</v>
      </c>
      <c r="AN41" s="195">
        <f t="shared" si="16"/>
        <v>68684</v>
      </c>
      <c r="AO41" s="261">
        <f>IF(AND(AM41&lt;&gt;"",P41&lt;&gt;""),ROUND((AM41*((100+SI!$C$11)/100)),0),"")</f>
        <v>1317</v>
      </c>
      <c r="AP41" s="28">
        <f>IF(AG41&lt;&gt;"",ROUND(AG41/SI!$C$9,2),"")</f>
        <v>6375</v>
      </c>
      <c r="AQ41" s="4">
        <f>IF(AH41&lt;&gt;"",ROUND(AH41/SI!$C$9,2),"")</f>
        <v>510.8</v>
      </c>
      <c r="AR41" s="29">
        <f>IF(AI41&lt;&gt;"",ROUND(AI41/SI!$C$9,2),"")</f>
        <v>2146.31</v>
      </c>
      <c r="AS41" s="4">
        <f t="shared" si="17"/>
        <v>9032.1099999999988</v>
      </c>
      <c r="AT41" s="4">
        <f t="shared" si="18"/>
        <v>150.54</v>
      </c>
      <c r="AU41" s="4">
        <f>IF(AL41&lt;&gt;"",ROUND(AL41/SI!$C$9,2),"")</f>
        <v>174.72</v>
      </c>
      <c r="AV41" s="4">
        <f>IF(AM41&lt;&gt;"",ROUND(AM41/SI!$C$9,2),"")</f>
        <v>325.27999999999997</v>
      </c>
      <c r="AW41" s="4">
        <f>IF(AN41&lt;&gt;"",ROUND(AN41/SI!$C$9,2),"")</f>
        <v>19512.5</v>
      </c>
      <c r="AX41" s="261">
        <f>IF(AO41&lt;&gt;"",ROUND(AO41/SI!$C$9,2),"")</f>
        <v>374.15</v>
      </c>
      <c r="AY41" s="28">
        <f t="shared" si="19"/>
        <v>36891</v>
      </c>
      <c r="AZ41" s="4">
        <f>IF(AY41&lt;&gt;"",ROUND(AY41/(SI!$C$9*SI!$C$10),2),"")</f>
        <v>110.1</v>
      </c>
      <c r="BA41" s="4">
        <f t="shared" si="20"/>
        <v>29512.799999999999</v>
      </c>
      <c r="BB41" s="4">
        <f t="shared" si="21"/>
        <v>88.08</v>
      </c>
      <c r="BC41" s="4">
        <f t="shared" si="22"/>
        <v>1.468</v>
      </c>
      <c r="BD41" s="4">
        <f t="shared" si="23"/>
        <v>1.468</v>
      </c>
      <c r="BE41" s="4">
        <f>IF(AND(X41&lt;&gt;""),ROUND(X41/SI!$C$10,2),"")</f>
        <v>107.27</v>
      </c>
      <c r="BF41" s="4">
        <f t="shared" si="25"/>
        <v>1.788</v>
      </c>
      <c r="BG41" s="264">
        <f t="shared" si="24"/>
        <v>1.788</v>
      </c>
      <c r="BH41" s="71">
        <f>IF(F41&lt;&gt;"",VLOOKUP(F41,DUTY_2025!A:O,15,FALSE),"")</f>
        <v>80</v>
      </c>
    </row>
    <row r="42" spans="1:60" x14ac:dyDescent="0.25">
      <c r="A42" s="133">
        <f t="shared" si="0"/>
        <v>38</v>
      </c>
      <c r="B42" s="83">
        <f t="shared" si="1"/>
        <v>38</v>
      </c>
      <c r="C42" s="126">
        <v>1</v>
      </c>
      <c r="D42" s="127"/>
      <c r="E42" s="91"/>
      <c r="F42" s="32" t="s">
        <v>166</v>
      </c>
      <c r="G42" s="27">
        <f>IF(F42&lt;&gt;"",IFERROR(VLOOKUP(F42,DUTY_2025!A:I,6,FALSE),""),"")</f>
        <v>0</v>
      </c>
      <c r="H42" s="85" t="s">
        <v>133</v>
      </c>
      <c r="I42" s="27" t="str">
        <f>IF(F42&lt;&gt;"",IFERROR(VLOOKUP(F42,DUTY_2025!A:H,2,FALSE),""),"")</f>
        <v>BASMATI RICE</v>
      </c>
      <c r="J42" s="23" t="s">
        <v>514</v>
      </c>
      <c r="K42" s="90">
        <v>0</v>
      </c>
      <c r="L42" s="90">
        <v>1000</v>
      </c>
      <c r="M42" s="22">
        <v>50</v>
      </c>
      <c r="N42" s="25">
        <v>21</v>
      </c>
      <c r="O42" s="25">
        <v>5</v>
      </c>
      <c r="P42" s="116">
        <v>189800</v>
      </c>
      <c r="Q42" s="23" t="s">
        <v>25</v>
      </c>
      <c r="R42" s="27" t="s">
        <v>337</v>
      </c>
      <c r="S42" s="86">
        <f t="shared" si="2"/>
        <v>21</v>
      </c>
      <c r="T42" s="87">
        <f t="shared" si="3"/>
        <v>23.1</v>
      </c>
      <c r="U42" s="87" cm="1">
        <f t="array" ref="U42">IF(AND(H42&lt;&gt;"YES",P42&lt;&gt;"",R42&lt;&gt;"",Q42&lt;&gt;""),
_xlfn.SWITCH(Q42,
"INR",_xlfn.SWITCH(R42,"KG",P42*S42,"CTN",P42,"UNIT",P42*N42,"NET",P42/M42,0),
"USD",_xlfn.SWITCH(R42,"KG",P42*S42*SI!$C$10,"CTN",P42*SI!$C$10,"UNIT",P42*N42*SI!$C$10,"NET",P42*SI!$C$10/M42,0),
"LKR",_xlfn.SWITCH(R42,"KG",P42*S42/SI!$C$9,"CTN",P42/SI!$C$9,"UNIT",P42*N42/SI!$C$9,"NET",P42/(M42*SI!$C$9),0),
0),
"")</f>
        <v>3796</v>
      </c>
      <c r="V42" s="87">
        <f t="shared" si="4"/>
        <v>1050</v>
      </c>
      <c r="W42" s="87">
        <f t="shared" si="5"/>
        <v>1155</v>
      </c>
      <c r="X42" s="88">
        <f t="shared" si="6"/>
        <v>189800</v>
      </c>
      <c r="Y42" s="24">
        <f t="shared" si="7"/>
        <v>1050</v>
      </c>
      <c r="Z42" s="267">
        <f>IF(AND(H42&lt;&gt;"yes",F42&lt;&gt;""),IFERROR(VLOOKUP(F42,DUTY_2025!A:F,5,FALSE),""),"")</f>
        <v>374</v>
      </c>
      <c r="AA42" s="271">
        <f t="shared" si="8"/>
        <v>180762</v>
      </c>
      <c r="AB42" s="16">
        <f t="shared" si="9"/>
        <v>9038</v>
      </c>
      <c r="AC42" s="16">
        <f>IF(AA42&lt;&gt;"",ROUND(AA42*SI!$C$9,0),"")</f>
        <v>636282</v>
      </c>
      <c r="AD42" s="4">
        <f>IF(AC42&lt;&gt;"",ROUND(AC42/(SI!$C$9*SI!$C$10),2),"")</f>
        <v>1898.96</v>
      </c>
      <c r="AE42" s="30">
        <f>IF(AND(X42&lt;&gt;""), ROUND((SI!$E$23)*(X42/SUM($X$5:$X$493)),0),"")</f>
        <v>49432</v>
      </c>
      <c r="AF42" s="272">
        <f t="shared" si="10"/>
        <v>685714</v>
      </c>
      <c r="AG42" s="28">
        <f t="shared" si="11"/>
        <v>392700</v>
      </c>
      <c r="AH42" s="4">
        <f>IF(AD42&lt;&gt;"",ROUND(AD42*10*SI!$C$9/2,0),"")</f>
        <v>33422</v>
      </c>
      <c r="AI42" s="29">
        <f>IF(AND(X42&lt;&gt;""), ROUND((SI!$E$28)*(X42/SUM($X$5:$X$493)),0),"")</f>
        <v>140433</v>
      </c>
      <c r="AJ42" s="4">
        <f t="shared" si="12"/>
        <v>566555</v>
      </c>
      <c r="AK42" s="4">
        <f t="shared" si="13"/>
        <v>540</v>
      </c>
      <c r="AL42" s="4">
        <f t="shared" si="14"/>
        <v>653</v>
      </c>
      <c r="AM42" s="4">
        <f t="shared" si="15"/>
        <v>1193</v>
      </c>
      <c r="AN42" s="195">
        <f t="shared" si="16"/>
        <v>1252269</v>
      </c>
      <c r="AO42" s="261">
        <f>IF(AND(AM42&lt;&gt;"",P42&lt;&gt;""),ROUND((AM42*((100+SI!$C$11)/100)),0),"")</f>
        <v>1372</v>
      </c>
      <c r="AP42" s="28">
        <f>IF(AG42&lt;&gt;"",ROUND(AG42/SI!$C$9,2),"")</f>
        <v>111562.5</v>
      </c>
      <c r="AQ42" s="4">
        <f>IF(AH42&lt;&gt;"",ROUND(AH42/SI!$C$9,2),"")</f>
        <v>9494.89</v>
      </c>
      <c r="AR42" s="29">
        <f>IF(AI42&lt;&gt;"",ROUND(AI42/SI!$C$9,2),"")</f>
        <v>39895.74</v>
      </c>
      <c r="AS42" s="4">
        <f t="shared" si="17"/>
        <v>160953.13</v>
      </c>
      <c r="AT42" s="4">
        <f t="shared" si="18"/>
        <v>153.29</v>
      </c>
      <c r="AU42" s="4">
        <f>IF(AL42&lt;&gt;"",ROUND(AL42/SI!$C$9,2),"")</f>
        <v>185.51</v>
      </c>
      <c r="AV42" s="4">
        <f>IF(AM42&lt;&gt;"",ROUND(AM42/SI!$C$9,2),"")</f>
        <v>338.92</v>
      </c>
      <c r="AW42" s="4">
        <f>IF(AN42&lt;&gt;"",ROUND(AN42/SI!$C$9,2),"")</f>
        <v>355758.24</v>
      </c>
      <c r="AX42" s="261">
        <f>IF(AO42&lt;&gt;"",ROUND(AO42/SI!$C$9,2),"")</f>
        <v>389.77</v>
      </c>
      <c r="AY42" s="28">
        <f t="shared" si="19"/>
        <v>685714</v>
      </c>
      <c r="AZ42" s="4">
        <f>IF(AY42&lt;&gt;"",ROUND(AY42/(SI!$C$9*SI!$C$10),2),"")</f>
        <v>2046.49</v>
      </c>
      <c r="BA42" s="4">
        <f t="shared" si="20"/>
        <v>548571.19999999995</v>
      </c>
      <c r="BB42" s="4">
        <f t="shared" si="21"/>
        <v>1637.19</v>
      </c>
      <c r="BC42" s="4">
        <f t="shared" si="22"/>
        <v>1.5589999999999999</v>
      </c>
      <c r="BD42" s="4">
        <f t="shared" si="23"/>
        <v>1.5589999999999999</v>
      </c>
      <c r="BE42" s="4">
        <f>IF(AND(X42&lt;&gt;""),ROUND(X42/SI!$C$10,2),"")</f>
        <v>1993.91</v>
      </c>
      <c r="BF42" s="4">
        <f t="shared" si="25"/>
        <v>1.899</v>
      </c>
      <c r="BG42" s="264">
        <f t="shared" si="24"/>
        <v>1.899</v>
      </c>
      <c r="BH42" s="71">
        <f>IF(F42&lt;&gt;"",VLOOKUP(F42,DUTY_2025!A:O,15,FALSE),"")</f>
        <v>80</v>
      </c>
    </row>
    <row r="43" spans="1:60" x14ac:dyDescent="0.25">
      <c r="A43" s="133">
        <f t="shared" si="0"/>
        <v>39</v>
      </c>
      <c r="B43" s="83">
        <f t="shared" si="1"/>
        <v>39</v>
      </c>
      <c r="C43" s="126">
        <v>1</v>
      </c>
      <c r="D43" s="127"/>
      <c r="E43" s="91"/>
      <c r="F43" s="32" t="s">
        <v>201</v>
      </c>
      <c r="G43" s="27">
        <f>IF(F43&lt;&gt;"",IFERROR(VLOOKUP(F43,DUTY_2025!A:I,6,FALSE),""),"")</f>
        <v>0</v>
      </c>
      <c r="H43" s="85" t="s">
        <v>133</v>
      </c>
      <c r="I43" s="27" t="str">
        <f>IF(F43&lt;&gt;"",IFERROR(VLOOKUP(F43,DUTY_2025!A:H,2,FALSE),""),"")</f>
        <v>PAPADS - OTHERS</v>
      </c>
      <c r="J43" s="23" t="s">
        <v>547</v>
      </c>
      <c r="K43" s="90">
        <v>0</v>
      </c>
      <c r="L43" s="90">
        <v>200</v>
      </c>
      <c r="M43" s="22">
        <v>3</v>
      </c>
      <c r="N43" s="25">
        <v>100</v>
      </c>
      <c r="O43" s="25">
        <v>5</v>
      </c>
      <c r="P43" s="116">
        <v>36060</v>
      </c>
      <c r="Q43" s="23" t="s">
        <v>25</v>
      </c>
      <c r="R43" s="27" t="s">
        <v>337</v>
      </c>
      <c r="S43" s="86">
        <f t="shared" si="2"/>
        <v>20</v>
      </c>
      <c r="T43" s="87">
        <f t="shared" si="3"/>
        <v>22</v>
      </c>
      <c r="U43" s="87" cm="1">
        <f t="array" ref="U43">IF(AND(H43&lt;&gt;"YES",P43&lt;&gt;"",R43&lt;&gt;"",Q43&lt;&gt;""),
_xlfn.SWITCH(Q43,
"INR",_xlfn.SWITCH(R43,"KG",P43*S43,"CTN",P43,"UNIT",P43*N43,"NET",P43/M43,0),
"USD",_xlfn.SWITCH(R43,"KG",P43*S43*SI!$C$10,"CTN",P43*SI!$C$10,"UNIT",P43*N43*SI!$C$10,"NET",P43*SI!$C$10/M43,0),
"LKR",_xlfn.SWITCH(R43,"KG",P43*S43/SI!$C$9,"CTN",P43/SI!$C$9,"UNIT",P43*N43/SI!$C$9,"NET",P43/(M43*SI!$C$9),0),
0),
"")</f>
        <v>12020</v>
      </c>
      <c r="V43" s="87">
        <f t="shared" si="4"/>
        <v>60</v>
      </c>
      <c r="W43" s="87">
        <f t="shared" si="5"/>
        <v>66</v>
      </c>
      <c r="X43" s="88">
        <f t="shared" si="6"/>
        <v>36060</v>
      </c>
      <c r="Y43" s="24">
        <f t="shared" si="7"/>
        <v>300</v>
      </c>
      <c r="Z43" s="267">
        <f>IF(AND(H43&lt;&gt;"yes",F43&lt;&gt;""),IFERROR(VLOOKUP(F43,DUTY_2025!A:F,5,FALSE),""),"")</f>
        <v>1120</v>
      </c>
      <c r="AA43" s="271">
        <f t="shared" si="8"/>
        <v>34343</v>
      </c>
      <c r="AB43" s="16">
        <f t="shared" si="9"/>
        <v>1717</v>
      </c>
      <c r="AC43" s="16">
        <f>IF(AA43&lt;&gt;"",ROUND(AA43*SI!$C$9,0),"")</f>
        <v>120887</v>
      </c>
      <c r="AD43" s="4">
        <f>IF(AC43&lt;&gt;"",ROUND(AC43/(SI!$C$9*SI!$C$10),2),"")</f>
        <v>360.78</v>
      </c>
      <c r="AE43" s="30">
        <f>IF(AND(X43&lt;&gt;""), ROUND((SI!$E$23)*(X43/SUM($X$5:$X$493)),0),"")</f>
        <v>9392</v>
      </c>
      <c r="AF43" s="272">
        <f t="shared" si="10"/>
        <v>130279</v>
      </c>
      <c r="AG43" s="28">
        <f t="shared" si="11"/>
        <v>67200</v>
      </c>
      <c r="AH43" s="4">
        <f>IF(AD43&lt;&gt;"",ROUND(AD43*10*SI!$C$9/2,0),"")</f>
        <v>6350</v>
      </c>
      <c r="AI43" s="29">
        <f>IF(AND(X43&lt;&gt;""), ROUND((SI!$E$28)*(X43/SUM($X$5:$X$493)),0),"")</f>
        <v>26681</v>
      </c>
      <c r="AJ43" s="4">
        <f t="shared" si="12"/>
        <v>100231</v>
      </c>
      <c r="AK43" s="4">
        <f t="shared" si="13"/>
        <v>334</v>
      </c>
      <c r="AL43" s="4">
        <f t="shared" si="14"/>
        <v>434</v>
      </c>
      <c r="AM43" s="4">
        <f t="shared" si="15"/>
        <v>768</v>
      </c>
      <c r="AN43" s="195">
        <f t="shared" si="16"/>
        <v>230510</v>
      </c>
      <c r="AO43" s="261">
        <f>IF(AND(AM43&lt;&gt;"",P43&lt;&gt;""),ROUND((AM43*((100+SI!$C$11)/100)),0),"")</f>
        <v>883</v>
      </c>
      <c r="AP43" s="28">
        <f>IF(AG43&lt;&gt;"",ROUND(AG43/SI!$C$9,2),"")</f>
        <v>19090.91</v>
      </c>
      <c r="AQ43" s="4">
        <f>IF(AH43&lt;&gt;"",ROUND(AH43/SI!$C$9,2),"")</f>
        <v>1803.98</v>
      </c>
      <c r="AR43" s="29">
        <f>IF(AI43&lt;&gt;"",ROUND(AI43/SI!$C$9,2),"")</f>
        <v>7579.83</v>
      </c>
      <c r="AS43" s="4">
        <f t="shared" si="17"/>
        <v>28474.719999999998</v>
      </c>
      <c r="AT43" s="4">
        <f t="shared" si="18"/>
        <v>94.92</v>
      </c>
      <c r="AU43" s="4">
        <f>IF(AL43&lt;&gt;"",ROUND(AL43/SI!$C$9,2),"")</f>
        <v>123.3</v>
      </c>
      <c r="AV43" s="4">
        <f>IF(AM43&lt;&gt;"",ROUND(AM43/SI!$C$9,2),"")</f>
        <v>218.18</v>
      </c>
      <c r="AW43" s="4">
        <f>IF(AN43&lt;&gt;"",ROUND(AN43/SI!$C$9,2),"")</f>
        <v>65485.8</v>
      </c>
      <c r="AX43" s="261">
        <f>IF(AO43&lt;&gt;"",ROUND(AO43/SI!$C$9,2),"")</f>
        <v>250.85</v>
      </c>
      <c r="AY43" s="28">
        <f t="shared" si="19"/>
        <v>130279</v>
      </c>
      <c r="AZ43" s="4">
        <f>IF(AY43&lt;&gt;"",ROUND(AY43/(SI!$C$9*SI!$C$10),2),"")</f>
        <v>388.81</v>
      </c>
      <c r="BA43" s="4">
        <f t="shared" si="20"/>
        <v>104223.2</v>
      </c>
      <c r="BB43" s="4">
        <f t="shared" si="21"/>
        <v>311.05</v>
      </c>
      <c r="BC43" s="4">
        <f t="shared" si="22"/>
        <v>1.0369999999999999</v>
      </c>
      <c r="BD43" s="4">
        <f t="shared" si="23"/>
        <v>5.1840000000000002</v>
      </c>
      <c r="BE43" s="4">
        <f>IF(AND(X43&lt;&gt;""),ROUND(X43/SI!$C$10,2),"")</f>
        <v>378.82</v>
      </c>
      <c r="BF43" s="4">
        <f t="shared" si="25"/>
        <v>1.2629999999999999</v>
      </c>
      <c r="BG43" s="264">
        <f t="shared" si="24"/>
        <v>6.3140000000000001</v>
      </c>
      <c r="BH43" s="71">
        <f>IF(F43&lt;&gt;"",VLOOKUP(F43,DUTY_2025!A:O,15,FALSE),"")</f>
        <v>80</v>
      </c>
    </row>
    <row r="44" spans="1:60" x14ac:dyDescent="0.25">
      <c r="A44" s="133">
        <f t="shared" si="0"/>
        <v>40</v>
      </c>
      <c r="B44" s="83">
        <f t="shared" si="1"/>
        <v>40</v>
      </c>
      <c r="C44" s="126">
        <v>1</v>
      </c>
      <c r="D44" s="127"/>
      <c r="E44" s="91"/>
      <c r="F44" s="32" t="s">
        <v>578</v>
      </c>
      <c r="G44" s="27">
        <f>IF(F44&lt;&gt;"",IFERROR(VLOOKUP(F44,DUTY_2025!A:I,6,FALSE),""),"")</f>
        <v>0</v>
      </c>
      <c r="H44" s="85" t="s">
        <v>133</v>
      </c>
      <c r="I44" s="27" t="str">
        <f>IF(F44&lt;&gt;"",IFERROR(VLOOKUP(F44,DUTY_2025!A:H,2,FALSE),""),"")</f>
        <v>SACKS - GIFT COVERS</v>
      </c>
      <c r="J44" s="23" t="s">
        <v>515</v>
      </c>
      <c r="K44" s="90">
        <v>0</v>
      </c>
      <c r="L44" s="90">
        <v>9500</v>
      </c>
      <c r="M44" s="22">
        <v>1</v>
      </c>
      <c r="N44" s="25">
        <v>1</v>
      </c>
      <c r="O44" s="25">
        <v>5</v>
      </c>
      <c r="P44" s="116">
        <v>5</v>
      </c>
      <c r="Q44" s="23" t="s">
        <v>577</v>
      </c>
      <c r="R44" s="27" t="s">
        <v>337</v>
      </c>
      <c r="S44" s="86">
        <f t="shared" si="2"/>
        <v>9.5</v>
      </c>
      <c r="T44" s="87">
        <f t="shared" si="3"/>
        <v>10.450000000000001</v>
      </c>
      <c r="U44" s="87" cm="1">
        <f t="array" ref="U44">IF(AND(H44&lt;&gt;"YES",P44&lt;&gt;"",R44&lt;&gt;"",Q44&lt;&gt;""),
_xlfn.SWITCH(Q44,
"INR",_xlfn.SWITCH(R44,"KG",P44*S44,"CTN",P44,"UNIT",P44*N44,"NET",P44/M44,0),
"USD",_xlfn.SWITCH(R44,"KG",P44*S44*SI!$C$10,"CTN",P44*SI!$C$10,"UNIT",P44*N44*SI!$C$10,"NET",P44*SI!$C$10/M44,0),
"LKR",_xlfn.SWITCH(R44,"KG",P44*S44/SI!$C$9,"CTN",P44/SI!$C$9,"UNIT",P44*N44/SI!$C$9,"NET",P44/(M44*SI!$C$9),0),
0),
"")</f>
        <v>475.95</v>
      </c>
      <c r="V44" s="87">
        <f t="shared" si="4"/>
        <v>9.5</v>
      </c>
      <c r="W44" s="87">
        <f t="shared" si="5"/>
        <v>10.450000000000001</v>
      </c>
      <c r="X44" s="88">
        <f t="shared" si="6"/>
        <v>475.95</v>
      </c>
      <c r="Y44" s="24">
        <f t="shared" si="7"/>
        <v>1</v>
      </c>
      <c r="Z44" s="267">
        <f>IF(AND(H44&lt;&gt;"yes",F44&lt;&gt;""),IFERROR(VLOOKUP(F44,DUTY_2025!A:F,5,FALSE),""),"")</f>
        <v>103</v>
      </c>
      <c r="AA44" s="271">
        <f t="shared" si="8"/>
        <v>453</v>
      </c>
      <c r="AB44" s="16">
        <f t="shared" si="9"/>
        <v>22.949999999999989</v>
      </c>
      <c r="AC44" s="16">
        <f>IF(AA44&lt;&gt;"",ROUND(AA44*SI!$C$9,0),"")</f>
        <v>1595</v>
      </c>
      <c r="AD44" s="4">
        <f>IF(AC44&lt;&gt;"",ROUND(AC44/(SI!$C$9*SI!$C$10),2),"")</f>
        <v>4.76</v>
      </c>
      <c r="AE44" s="30">
        <f>IF(AND(X44&lt;&gt;""), ROUND((SI!$E$23)*(X44/SUM($X$5:$X$493)),0),"")</f>
        <v>124</v>
      </c>
      <c r="AF44" s="272">
        <f t="shared" si="10"/>
        <v>1719</v>
      </c>
      <c r="AG44" s="28">
        <f t="shared" si="11"/>
        <v>978.5</v>
      </c>
      <c r="AH44" s="4">
        <f>IF(AD44&lt;&gt;"",ROUND(AD44*10*SI!$C$9/2,0),"")</f>
        <v>84</v>
      </c>
      <c r="AI44" s="29">
        <f>IF(AND(X44&lt;&gt;""), ROUND((SI!$E$28)*(X44/SUM($X$5:$X$493)),0),"")</f>
        <v>352</v>
      </c>
      <c r="AJ44" s="4">
        <f t="shared" si="12"/>
        <v>1414.5</v>
      </c>
      <c r="AK44" s="4">
        <f t="shared" si="13"/>
        <v>1415</v>
      </c>
      <c r="AL44" s="4">
        <f t="shared" si="14"/>
        <v>1719</v>
      </c>
      <c r="AM44" s="4">
        <f t="shared" si="15"/>
        <v>3134</v>
      </c>
      <c r="AN44" s="195">
        <f t="shared" si="16"/>
        <v>3133.5</v>
      </c>
      <c r="AO44" s="261">
        <f>IF(AND(AM44&lt;&gt;"",P44&lt;&gt;""),ROUND((AM44*((100+SI!$C$11)/100)),0),"")</f>
        <v>3604</v>
      </c>
      <c r="AP44" s="28">
        <f>IF(AG44&lt;&gt;"",ROUND(AG44/SI!$C$9,2),"")</f>
        <v>277.98</v>
      </c>
      <c r="AQ44" s="4">
        <f>IF(AH44&lt;&gt;"",ROUND(AH44/SI!$C$9,2),"")</f>
        <v>23.86</v>
      </c>
      <c r="AR44" s="29">
        <f>IF(AI44&lt;&gt;"",ROUND(AI44/SI!$C$9,2),"")</f>
        <v>100</v>
      </c>
      <c r="AS44" s="4">
        <f t="shared" si="17"/>
        <v>401.84000000000003</v>
      </c>
      <c r="AT44" s="4">
        <f t="shared" si="18"/>
        <v>401.84</v>
      </c>
      <c r="AU44" s="4">
        <f>IF(AL44&lt;&gt;"",ROUND(AL44/SI!$C$9,2),"")</f>
        <v>488.35</v>
      </c>
      <c r="AV44" s="4">
        <f>IF(AM44&lt;&gt;"",ROUND(AM44/SI!$C$9,2),"")</f>
        <v>890.34</v>
      </c>
      <c r="AW44" s="4">
        <f>IF(AN44&lt;&gt;"",ROUND(AN44/SI!$C$9,2),"")</f>
        <v>890.2</v>
      </c>
      <c r="AX44" s="261">
        <f>IF(AO44&lt;&gt;"",ROUND(AO44/SI!$C$9,2),"")</f>
        <v>1023.86</v>
      </c>
      <c r="AY44" s="28">
        <f t="shared" si="19"/>
        <v>1719</v>
      </c>
      <c r="AZ44" s="4">
        <f>IF(AY44&lt;&gt;"",ROUND(AY44/(SI!$C$9*SI!$C$10),2),"")</f>
        <v>5.13</v>
      </c>
      <c r="BA44" s="4">
        <f t="shared" si="20"/>
        <v>1375.2</v>
      </c>
      <c r="BB44" s="4">
        <f t="shared" si="21"/>
        <v>4.0999999999999996</v>
      </c>
      <c r="BC44" s="4">
        <f t="shared" si="22"/>
        <v>4.0999999999999996</v>
      </c>
      <c r="BD44" s="4">
        <f t="shared" si="23"/>
        <v>0.432</v>
      </c>
      <c r="BE44" s="4">
        <f>IF(AND(X44&lt;&gt;""),ROUND(X44/SI!$C$10,2),"")</f>
        <v>5</v>
      </c>
      <c r="BF44" s="4">
        <f t="shared" si="25"/>
        <v>5</v>
      </c>
      <c r="BG44" s="264">
        <f t="shared" si="24"/>
        <v>0.52600000000000002</v>
      </c>
      <c r="BH44" s="71">
        <f>IF(F44&lt;&gt;"",VLOOKUP(F44,DUTY_2025!A:O,15,FALSE),"")</f>
        <v>80</v>
      </c>
    </row>
    <row r="45" spans="1:60" x14ac:dyDescent="0.25">
      <c r="A45" s="133">
        <f t="shared" si="0"/>
        <v>41</v>
      </c>
      <c r="B45" s="83">
        <f t="shared" si="1"/>
        <v>41</v>
      </c>
      <c r="C45" s="126">
        <v>1</v>
      </c>
      <c r="D45" s="127"/>
      <c r="E45" s="91"/>
      <c r="F45" s="32" t="s">
        <v>580</v>
      </c>
      <c r="G45" s="27">
        <f>IF(F45&lt;&gt;"",IFERROR(VLOOKUP(F45,DUTY_2025!A:I,6,FALSE),""),"")</f>
        <v>0</v>
      </c>
      <c r="H45" s="85" t="s">
        <v>133</v>
      </c>
      <c r="I45" s="27" t="str">
        <f>IF(F45&lt;&gt;"",IFERROR(VLOOKUP(F45,DUTY_2025!A:H,2,FALSE),""),"")</f>
        <v>PLATES</v>
      </c>
      <c r="J45" s="23" t="s">
        <v>548</v>
      </c>
      <c r="K45" s="90">
        <v>0</v>
      </c>
      <c r="L45" s="90">
        <f>52000/500</f>
        <v>104</v>
      </c>
      <c r="M45" s="22">
        <v>2</v>
      </c>
      <c r="N45" s="25">
        <v>250</v>
      </c>
      <c r="O45" s="25">
        <v>5</v>
      </c>
      <c r="P45" s="116">
        <v>26250</v>
      </c>
      <c r="Q45" s="23" t="s">
        <v>25</v>
      </c>
      <c r="R45" s="27" t="s">
        <v>337</v>
      </c>
      <c r="S45" s="86">
        <f t="shared" si="2"/>
        <v>26</v>
      </c>
      <c r="T45" s="87">
        <f t="shared" si="3"/>
        <v>28.6</v>
      </c>
      <c r="U45" s="87" cm="1">
        <f t="array" ref="U45">IF(AND(H45&lt;&gt;"YES",P45&lt;&gt;"",R45&lt;&gt;"",Q45&lt;&gt;""),
_xlfn.SWITCH(Q45,
"INR",_xlfn.SWITCH(R45,"KG",P45*S45,"CTN",P45,"UNIT",P45*N45,"NET",P45/M45,0),
"USD",_xlfn.SWITCH(R45,"KG",P45*S45*SI!$C$10,"CTN",P45*SI!$C$10,"UNIT",P45*N45*SI!$C$10,"NET",P45*SI!$C$10/M45,0),
"LKR",_xlfn.SWITCH(R45,"KG",P45*S45/SI!$C$9,"CTN",P45/SI!$C$9,"UNIT",P45*N45/SI!$C$9,"NET",P45/(M45*SI!$C$9),0),
0),
"")</f>
        <v>13125</v>
      </c>
      <c r="V45" s="87">
        <f t="shared" si="4"/>
        <v>52</v>
      </c>
      <c r="W45" s="87">
        <f t="shared" si="5"/>
        <v>57.2</v>
      </c>
      <c r="X45" s="88">
        <f t="shared" si="6"/>
        <v>26250</v>
      </c>
      <c r="Y45" s="24">
        <f t="shared" si="7"/>
        <v>500</v>
      </c>
      <c r="Z45" s="267">
        <f>IF(AND(H45&lt;&gt;"yes",F45&lt;&gt;""),IFERROR(VLOOKUP(F45,DUTY_2025!A:F,5,FALSE),""),"")</f>
        <v>1304</v>
      </c>
      <c r="AA45" s="271">
        <f t="shared" si="8"/>
        <v>25000</v>
      </c>
      <c r="AB45" s="16">
        <f t="shared" si="9"/>
        <v>1250</v>
      </c>
      <c r="AC45" s="16">
        <f>IF(AA45&lt;&gt;"",ROUND(AA45*SI!$C$9,0),"")</f>
        <v>88000</v>
      </c>
      <c r="AD45" s="4">
        <f>IF(AC45&lt;&gt;"",ROUND(AC45/(SI!$C$9*SI!$C$10),2),"")</f>
        <v>262.63</v>
      </c>
      <c r="AE45" s="30">
        <f>IF(AND(X45&lt;&gt;""), ROUND((SI!$E$23)*(X45/SUM($X$5:$X$493)),0),"")</f>
        <v>6837</v>
      </c>
      <c r="AF45" s="272">
        <f t="shared" si="10"/>
        <v>94837</v>
      </c>
      <c r="AG45" s="28">
        <f t="shared" si="11"/>
        <v>67808</v>
      </c>
      <c r="AH45" s="4">
        <f>IF(AD45&lt;&gt;"",ROUND(AD45*10*SI!$C$9/2,0),"")</f>
        <v>4622</v>
      </c>
      <c r="AI45" s="29">
        <f>IF(AND(X45&lt;&gt;""), ROUND((SI!$E$28)*(X45/SUM($X$5:$X$493)),0),"")</f>
        <v>19422</v>
      </c>
      <c r="AJ45" s="4">
        <f t="shared" si="12"/>
        <v>91852</v>
      </c>
      <c r="AK45" s="4">
        <f t="shared" si="13"/>
        <v>184</v>
      </c>
      <c r="AL45" s="4">
        <f t="shared" si="14"/>
        <v>190</v>
      </c>
      <c r="AM45" s="4">
        <f t="shared" si="15"/>
        <v>374</v>
      </c>
      <c r="AN45" s="195">
        <f t="shared" si="16"/>
        <v>186689</v>
      </c>
      <c r="AO45" s="261">
        <f>IF(AND(AM45&lt;&gt;"",P45&lt;&gt;""),ROUND((AM45*((100+SI!$C$11)/100)),0),"")</f>
        <v>430</v>
      </c>
      <c r="AP45" s="28">
        <f>IF(AG45&lt;&gt;"",ROUND(AG45/SI!$C$9,2),"")</f>
        <v>19263.64</v>
      </c>
      <c r="AQ45" s="4">
        <f>IF(AH45&lt;&gt;"",ROUND(AH45/SI!$C$9,2),"")</f>
        <v>1313.07</v>
      </c>
      <c r="AR45" s="29">
        <f>IF(AI45&lt;&gt;"",ROUND(AI45/SI!$C$9,2),"")</f>
        <v>5517.61</v>
      </c>
      <c r="AS45" s="4">
        <f t="shared" si="17"/>
        <v>26094.32</v>
      </c>
      <c r="AT45" s="4">
        <f t="shared" si="18"/>
        <v>52.19</v>
      </c>
      <c r="AU45" s="4">
        <f>IF(AL45&lt;&gt;"",ROUND(AL45/SI!$C$9,2),"")</f>
        <v>53.98</v>
      </c>
      <c r="AV45" s="4">
        <f>IF(AM45&lt;&gt;"",ROUND(AM45/SI!$C$9,2),"")</f>
        <v>106.25</v>
      </c>
      <c r="AW45" s="4">
        <f>IF(AN45&lt;&gt;"",ROUND(AN45/SI!$C$9,2),"")</f>
        <v>53036.65</v>
      </c>
      <c r="AX45" s="261">
        <f>IF(AO45&lt;&gt;"",ROUND(AO45/SI!$C$9,2),"")</f>
        <v>122.16</v>
      </c>
      <c r="AY45" s="28">
        <f t="shared" si="19"/>
        <v>94837</v>
      </c>
      <c r="AZ45" s="4">
        <f>IF(AY45&lt;&gt;"",ROUND(AY45/(SI!$C$9*SI!$C$10),2),"")</f>
        <v>283.04000000000002</v>
      </c>
      <c r="BA45" s="4">
        <f t="shared" si="20"/>
        <v>75869.600000000006</v>
      </c>
      <c r="BB45" s="4">
        <f t="shared" si="21"/>
        <v>226.43</v>
      </c>
      <c r="BC45" s="4">
        <f t="shared" si="22"/>
        <v>0.45300000000000001</v>
      </c>
      <c r="BD45" s="4">
        <f t="shared" si="23"/>
        <v>4.3540000000000001</v>
      </c>
      <c r="BE45" s="4">
        <f>IF(AND(X45&lt;&gt;""),ROUND(X45/SI!$C$10,2),"")</f>
        <v>275.76</v>
      </c>
      <c r="BF45" s="4">
        <f t="shared" si="25"/>
        <v>0.55200000000000005</v>
      </c>
      <c r="BG45" s="264">
        <f t="shared" si="24"/>
        <v>5.3029999999999999</v>
      </c>
      <c r="BH45" s="71">
        <f>IF(F45&lt;&gt;"",VLOOKUP(F45,DUTY_2025!A:O,15,FALSE),"")</f>
        <v>80</v>
      </c>
    </row>
    <row r="46" spans="1:60" x14ac:dyDescent="0.25">
      <c r="A46" s="133">
        <f t="shared" si="0"/>
        <v>42</v>
      </c>
      <c r="B46" s="83">
        <f t="shared" si="1"/>
        <v>42</v>
      </c>
      <c r="C46" s="126">
        <v>1</v>
      </c>
      <c r="D46" s="127"/>
      <c r="E46" s="91"/>
      <c r="F46" s="301" t="s">
        <v>66</v>
      </c>
      <c r="G46" s="27">
        <f>IF(F46&lt;&gt;"",IFERROR(VLOOKUP(F46,DUTY_2025!A:I,6,FALSE),""),"")</f>
        <v>0</v>
      </c>
      <c r="H46" s="85" t="s">
        <v>133</v>
      </c>
      <c r="I46" s="27" t="str">
        <f>IF(F46&lt;&gt;"",IFERROR(VLOOKUP(F46,DUTY_2025!A:H,2,FALSE),""),"")</f>
        <v>HEALTH MIXES</v>
      </c>
      <c r="J46" s="23" t="s">
        <v>549</v>
      </c>
      <c r="K46" s="90">
        <v>0</v>
      </c>
      <c r="L46" s="90">
        <v>200</v>
      </c>
      <c r="M46" s="22">
        <v>4</v>
      </c>
      <c r="N46" s="90">
        <v>24</v>
      </c>
      <c r="O46" s="25">
        <v>5</v>
      </c>
      <c r="P46" s="116">
        <v>66.239999999999995</v>
      </c>
      <c r="Q46" s="23" t="s">
        <v>577</v>
      </c>
      <c r="R46" s="27" t="s">
        <v>337</v>
      </c>
      <c r="S46" s="86">
        <f t="shared" si="2"/>
        <v>4.8</v>
      </c>
      <c r="T46" s="87">
        <f t="shared" si="3"/>
        <v>5.28</v>
      </c>
      <c r="U46" s="87" cm="1">
        <f t="array" ref="U46">IF(AND(H46&lt;&gt;"YES",P46&lt;&gt;"",R46&lt;&gt;"",Q46&lt;&gt;""),
_xlfn.SWITCH(Q46,
"INR",_xlfn.SWITCH(R46,"KG",P46*S46,"CTN",P46,"UNIT",P46*N46,"NET",P46/M46,0),
"USD",_xlfn.SWITCH(R46,"KG",P46*S46*SI!$C$10,"CTN",P46*SI!$C$10,"UNIT",P46*N46*SI!$C$10,"NET",P46*SI!$C$10/M46,0),
"LKR",_xlfn.SWITCH(R46,"KG",P46*S46/SI!$C$9,"CTN",P46/SI!$C$9,"UNIT",P46*N46/SI!$C$9,"NET",P46/(M46*SI!$C$9),0),
0),
"")</f>
        <v>1576.3463999999999</v>
      </c>
      <c r="V46" s="87">
        <f t="shared" si="4"/>
        <v>19.2</v>
      </c>
      <c r="W46" s="87">
        <f t="shared" si="5"/>
        <v>21.12</v>
      </c>
      <c r="X46" s="88">
        <f t="shared" si="6"/>
        <v>6305.3855999999996</v>
      </c>
      <c r="Y46" s="24">
        <f t="shared" si="7"/>
        <v>96</v>
      </c>
      <c r="Z46" s="267">
        <f>IF(AND(H46&lt;&gt;"yes",F46&lt;&gt;""),IFERROR(VLOOKUP(F46,DUTY_2025!A:F,5,FALSE),""),"")</f>
        <v>570</v>
      </c>
      <c r="AA46" s="271">
        <f t="shared" si="8"/>
        <v>6005</v>
      </c>
      <c r="AB46" s="16">
        <f t="shared" si="9"/>
        <v>300.38559999999961</v>
      </c>
      <c r="AC46" s="16">
        <f>IF(AA46&lt;&gt;"",ROUND(AA46*SI!$C$9,0),"")</f>
        <v>21138</v>
      </c>
      <c r="AD46" s="4">
        <f>IF(AC46&lt;&gt;"",ROUND(AC46/(SI!$C$9*SI!$C$10),2),"")</f>
        <v>63.09</v>
      </c>
      <c r="AE46" s="30">
        <f>IF(AND(X46&lt;&gt;""), ROUND((SI!$E$23)*(X46/SUM($X$5:$X$493)),0),"")</f>
        <v>1642</v>
      </c>
      <c r="AF46" s="272">
        <f t="shared" si="10"/>
        <v>22780</v>
      </c>
      <c r="AG46" s="28">
        <f t="shared" si="11"/>
        <v>10944</v>
      </c>
      <c r="AH46" s="4">
        <f>IF(AD46&lt;&gt;"",ROUND(AD46*10*SI!$C$9/2,0),"")</f>
        <v>1110</v>
      </c>
      <c r="AI46" s="29">
        <f>IF(AND(X46&lt;&gt;""), ROUND((SI!$E$28)*(X46/SUM($X$5:$X$493)),0),"")</f>
        <v>4665</v>
      </c>
      <c r="AJ46" s="4">
        <f t="shared" si="12"/>
        <v>16719</v>
      </c>
      <c r="AK46" s="4">
        <f t="shared" si="13"/>
        <v>174</v>
      </c>
      <c r="AL46" s="4">
        <f t="shared" si="14"/>
        <v>237</v>
      </c>
      <c r="AM46" s="4">
        <f t="shared" si="15"/>
        <v>411</v>
      </c>
      <c r="AN46" s="195">
        <f t="shared" si="16"/>
        <v>39499</v>
      </c>
      <c r="AO46" s="261">
        <f>IF(AND(AM46&lt;&gt;"",P46&lt;&gt;""),ROUND((AM46*((100+SI!$C$11)/100)),0),"")</f>
        <v>473</v>
      </c>
      <c r="AP46" s="28">
        <f>IF(AG46&lt;&gt;"",ROUND(AG46/SI!$C$9,2),"")</f>
        <v>3109.09</v>
      </c>
      <c r="AQ46" s="4">
        <f>IF(AH46&lt;&gt;"",ROUND(AH46/SI!$C$9,2),"")</f>
        <v>315.33999999999997</v>
      </c>
      <c r="AR46" s="29">
        <f>IF(AI46&lt;&gt;"",ROUND(AI46/SI!$C$9,2),"")</f>
        <v>1325.28</v>
      </c>
      <c r="AS46" s="4">
        <f t="shared" si="17"/>
        <v>4749.71</v>
      </c>
      <c r="AT46" s="4">
        <f t="shared" si="18"/>
        <v>49.48</v>
      </c>
      <c r="AU46" s="4">
        <f>IF(AL46&lt;&gt;"",ROUND(AL46/SI!$C$9,2),"")</f>
        <v>67.33</v>
      </c>
      <c r="AV46" s="4">
        <f>IF(AM46&lt;&gt;"",ROUND(AM46/SI!$C$9,2),"")</f>
        <v>116.76</v>
      </c>
      <c r="AW46" s="4">
        <f>IF(AN46&lt;&gt;"",ROUND(AN46/SI!$C$9,2),"")</f>
        <v>11221.31</v>
      </c>
      <c r="AX46" s="261">
        <f>IF(AO46&lt;&gt;"",ROUND(AO46/SI!$C$9,2),"")</f>
        <v>134.38</v>
      </c>
      <c r="AY46" s="28">
        <f t="shared" si="19"/>
        <v>22780</v>
      </c>
      <c r="AZ46" s="4">
        <f>IF(AY46&lt;&gt;"",ROUND(AY46/(SI!$C$9*SI!$C$10),2),"")</f>
        <v>67.989999999999995</v>
      </c>
      <c r="BA46" s="4">
        <f t="shared" si="20"/>
        <v>18224</v>
      </c>
      <c r="BB46" s="4">
        <f t="shared" si="21"/>
        <v>54.39</v>
      </c>
      <c r="BC46" s="4">
        <f t="shared" si="22"/>
        <v>0.56699999999999995</v>
      </c>
      <c r="BD46" s="4">
        <f t="shared" si="23"/>
        <v>2.8330000000000002</v>
      </c>
      <c r="BE46" s="4">
        <f>IF(AND(X46&lt;&gt;""),ROUND(X46/SI!$C$10,2),"")</f>
        <v>66.239999999999995</v>
      </c>
      <c r="BF46" s="4">
        <f t="shared" si="25"/>
        <v>0.69</v>
      </c>
      <c r="BG46" s="264">
        <f t="shared" si="24"/>
        <v>3.45</v>
      </c>
      <c r="BH46" s="71">
        <f>IF(F46&lt;&gt;"",VLOOKUP(F46,DUTY_2025!A:O,15,FALSE),"")</f>
        <v>80</v>
      </c>
    </row>
    <row r="47" spans="1:60" x14ac:dyDescent="0.25">
      <c r="A47" s="133">
        <f t="shared" si="0"/>
        <v>43</v>
      </c>
      <c r="B47" s="83">
        <f t="shared" si="1"/>
        <v>43</v>
      </c>
      <c r="C47" s="126">
        <v>1</v>
      </c>
      <c r="D47" s="127"/>
      <c r="E47" s="91"/>
      <c r="F47" s="301" t="s">
        <v>66</v>
      </c>
      <c r="G47" s="27">
        <f>IF(F47&lt;&gt;"",IFERROR(VLOOKUP(F47,DUTY_2025!A:I,6,FALSE),""),"")</f>
        <v>0</v>
      </c>
      <c r="H47" s="85" t="s">
        <v>133</v>
      </c>
      <c r="I47" s="27" t="str">
        <f>IF(F47&lt;&gt;"",IFERROR(VLOOKUP(F47,DUTY_2025!A:H,2,FALSE),""),"")</f>
        <v>HEALTH MIXES</v>
      </c>
      <c r="J47" s="23" t="s">
        <v>550</v>
      </c>
      <c r="K47" s="90">
        <v>0</v>
      </c>
      <c r="L47" s="90">
        <v>200</v>
      </c>
      <c r="M47" s="22">
        <v>5</v>
      </c>
      <c r="N47" s="90">
        <v>60</v>
      </c>
      <c r="O47" s="25">
        <v>5</v>
      </c>
      <c r="P47" s="116">
        <v>156</v>
      </c>
      <c r="Q47" s="23" t="s">
        <v>577</v>
      </c>
      <c r="R47" s="27" t="s">
        <v>337</v>
      </c>
      <c r="S47" s="86">
        <f t="shared" si="2"/>
        <v>12</v>
      </c>
      <c r="T47" s="87">
        <f t="shared" si="3"/>
        <v>13.200000000000001</v>
      </c>
      <c r="U47" s="87" cm="1">
        <f t="array" ref="U47">IF(AND(H47&lt;&gt;"YES",P47&lt;&gt;"",R47&lt;&gt;"",Q47&lt;&gt;""),
_xlfn.SWITCH(Q47,
"INR",_xlfn.SWITCH(R47,"KG",P47*S47,"CTN",P47,"UNIT",P47*N47,"NET",P47/M47,0),
"USD",_xlfn.SWITCH(R47,"KG",P47*S47*SI!$C$10,"CTN",P47*SI!$C$10,"UNIT",P47*N47*SI!$C$10,"NET",P47*SI!$C$10/M47,0),
"LKR",_xlfn.SWITCH(R47,"KG",P47*S47/SI!$C$9,"CTN",P47/SI!$C$9,"UNIT",P47*N47/SI!$C$9,"NET",P47/(M47*SI!$C$9),0),
0),
"")</f>
        <v>2969.9279999999999</v>
      </c>
      <c r="V47" s="87">
        <f t="shared" si="4"/>
        <v>60</v>
      </c>
      <c r="W47" s="87">
        <f t="shared" si="5"/>
        <v>66</v>
      </c>
      <c r="X47" s="88">
        <f t="shared" si="6"/>
        <v>14849.64</v>
      </c>
      <c r="Y47" s="24">
        <f t="shared" si="7"/>
        <v>300</v>
      </c>
      <c r="Z47" s="267">
        <f>IF(AND(H47&lt;&gt;"yes",F47&lt;&gt;""),IFERROR(VLOOKUP(F47,DUTY_2025!A:F,5,FALSE),""),"")</f>
        <v>570</v>
      </c>
      <c r="AA47" s="271">
        <f t="shared" si="8"/>
        <v>14143</v>
      </c>
      <c r="AB47" s="16">
        <f t="shared" si="9"/>
        <v>706.63999999999942</v>
      </c>
      <c r="AC47" s="16">
        <f>IF(AA47&lt;&gt;"",ROUND(AA47*SI!$C$9,0),"")</f>
        <v>49783</v>
      </c>
      <c r="AD47" s="4">
        <f>IF(AC47&lt;&gt;"",ROUND(AC47/(SI!$C$9*SI!$C$10),2),"")</f>
        <v>148.58000000000001</v>
      </c>
      <c r="AE47" s="30">
        <f>IF(AND(X47&lt;&gt;""), ROUND((SI!$E$23)*(X47/SUM($X$5:$X$493)),0),"")</f>
        <v>3868</v>
      </c>
      <c r="AF47" s="272">
        <f t="shared" si="10"/>
        <v>53651</v>
      </c>
      <c r="AG47" s="28">
        <f t="shared" si="11"/>
        <v>34200</v>
      </c>
      <c r="AH47" s="4">
        <f>IF(AD47&lt;&gt;"",ROUND(AD47*10*SI!$C$9/2,0),"")</f>
        <v>2615</v>
      </c>
      <c r="AI47" s="29">
        <f>IF(AND(X47&lt;&gt;""), ROUND((SI!$E$28)*(X47/SUM($X$5:$X$493)),0),"")</f>
        <v>10987</v>
      </c>
      <c r="AJ47" s="4">
        <f t="shared" si="12"/>
        <v>47802</v>
      </c>
      <c r="AK47" s="4">
        <f t="shared" si="13"/>
        <v>159</v>
      </c>
      <c r="AL47" s="4">
        <f t="shared" si="14"/>
        <v>179</v>
      </c>
      <c r="AM47" s="4">
        <f t="shared" si="15"/>
        <v>338</v>
      </c>
      <c r="AN47" s="195">
        <f t="shared" si="16"/>
        <v>101453</v>
      </c>
      <c r="AO47" s="261">
        <f>IF(AND(AM47&lt;&gt;"",P47&lt;&gt;""),ROUND((AM47*((100+SI!$C$11)/100)),0),"")</f>
        <v>389</v>
      </c>
      <c r="AP47" s="28">
        <f>IF(AG47&lt;&gt;"",ROUND(AG47/SI!$C$9,2),"")</f>
        <v>9715.91</v>
      </c>
      <c r="AQ47" s="4">
        <f>IF(AH47&lt;&gt;"",ROUND(AH47/SI!$C$9,2),"")</f>
        <v>742.9</v>
      </c>
      <c r="AR47" s="29">
        <f>IF(AI47&lt;&gt;"",ROUND(AI47/SI!$C$9,2),"")</f>
        <v>3121.31</v>
      </c>
      <c r="AS47" s="4">
        <f t="shared" si="17"/>
        <v>13580.119999999999</v>
      </c>
      <c r="AT47" s="4">
        <f t="shared" si="18"/>
        <v>45.27</v>
      </c>
      <c r="AU47" s="4">
        <f>IF(AL47&lt;&gt;"",ROUND(AL47/SI!$C$9,2),"")</f>
        <v>50.85</v>
      </c>
      <c r="AV47" s="4">
        <f>IF(AM47&lt;&gt;"",ROUND(AM47/SI!$C$9,2),"")</f>
        <v>96.02</v>
      </c>
      <c r="AW47" s="4">
        <f>IF(AN47&lt;&gt;"",ROUND(AN47/SI!$C$9,2),"")</f>
        <v>28821.88</v>
      </c>
      <c r="AX47" s="261">
        <f>IF(AO47&lt;&gt;"",ROUND(AO47/SI!$C$9,2),"")</f>
        <v>110.51</v>
      </c>
      <c r="AY47" s="28">
        <f t="shared" si="19"/>
        <v>53651</v>
      </c>
      <c r="AZ47" s="4">
        <f>IF(AY47&lt;&gt;"",ROUND(AY47/(SI!$C$9*SI!$C$10),2),"")</f>
        <v>160.12</v>
      </c>
      <c r="BA47" s="4">
        <f t="shared" si="20"/>
        <v>42920.800000000003</v>
      </c>
      <c r="BB47" s="4">
        <f t="shared" si="21"/>
        <v>128.1</v>
      </c>
      <c r="BC47" s="4">
        <f t="shared" si="22"/>
        <v>0.42699999999999999</v>
      </c>
      <c r="BD47" s="4">
        <f t="shared" si="23"/>
        <v>2.1349999999999998</v>
      </c>
      <c r="BE47" s="4">
        <f>IF(AND(X47&lt;&gt;""),ROUND(X47/SI!$C$10,2),"")</f>
        <v>156</v>
      </c>
      <c r="BF47" s="4">
        <f t="shared" si="25"/>
        <v>0.52</v>
      </c>
      <c r="BG47" s="264">
        <f t="shared" si="24"/>
        <v>2.6</v>
      </c>
      <c r="BH47" s="71">
        <f>IF(F47&lt;&gt;"",VLOOKUP(F47,DUTY_2025!A:O,15,FALSE),"")</f>
        <v>80</v>
      </c>
    </row>
    <row r="48" spans="1:60" x14ac:dyDescent="0.25">
      <c r="A48" s="133">
        <f t="shared" si="0"/>
        <v>44</v>
      </c>
      <c r="B48" s="83">
        <f t="shared" si="1"/>
        <v>44</v>
      </c>
      <c r="C48" s="126">
        <v>1</v>
      </c>
      <c r="D48" s="127"/>
      <c r="E48" s="91"/>
      <c r="F48" s="301" t="s">
        <v>66</v>
      </c>
      <c r="G48" s="27">
        <f>IF(F48&lt;&gt;"",IFERROR(VLOOKUP(F48,DUTY_2025!A:I,6,FALSE),""),"")</f>
        <v>0</v>
      </c>
      <c r="H48" s="85" t="s">
        <v>133</v>
      </c>
      <c r="I48" s="27" t="str">
        <f>IF(F48&lt;&gt;"",IFERROR(VLOOKUP(F48,DUTY_2025!A:H,2,FALSE),""),"")</f>
        <v>HEALTH MIXES</v>
      </c>
      <c r="J48" s="23" t="s">
        <v>551</v>
      </c>
      <c r="K48" s="90">
        <v>0</v>
      </c>
      <c r="L48" s="90">
        <v>270</v>
      </c>
      <c r="M48" s="22">
        <v>5</v>
      </c>
      <c r="N48" s="90">
        <v>48</v>
      </c>
      <c r="O48" s="25">
        <v>5</v>
      </c>
      <c r="P48" s="116">
        <v>146.4</v>
      </c>
      <c r="Q48" s="23" t="s">
        <v>577</v>
      </c>
      <c r="R48" s="27" t="s">
        <v>337</v>
      </c>
      <c r="S48" s="86">
        <f t="shared" si="2"/>
        <v>12.96</v>
      </c>
      <c r="T48" s="87">
        <f t="shared" si="3"/>
        <v>14.256000000000002</v>
      </c>
      <c r="U48" s="87" cm="1">
        <f t="array" ref="U48">IF(AND(H48&lt;&gt;"YES",P48&lt;&gt;"",R48&lt;&gt;"",Q48&lt;&gt;""),
_xlfn.SWITCH(Q48,
"INR",_xlfn.SWITCH(R48,"KG",P48*S48,"CTN",P48,"UNIT",P48*N48,"NET",P48/M48,0),
"USD",_xlfn.SWITCH(R48,"KG",P48*S48*SI!$C$10,"CTN",P48*SI!$C$10,"UNIT",P48*N48*SI!$C$10,"NET",P48*SI!$C$10/M48,0),
"LKR",_xlfn.SWITCH(R48,"KG",P48*S48/SI!$C$9,"CTN",P48/SI!$C$9,"UNIT",P48*N48/SI!$C$9,"NET",P48/(M48*SI!$C$9),0),
0),
"")</f>
        <v>2787.1632</v>
      </c>
      <c r="V48" s="87">
        <f t="shared" si="4"/>
        <v>64.800000000000011</v>
      </c>
      <c r="W48" s="87">
        <f t="shared" si="5"/>
        <v>71.280000000000015</v>
      </c>
      <c r="X48" s="88">
        <f t="shared" si="6"/>
        <v>13935.815999999999</v>
      </c>
      <c r="Y48" s="24">
        <f t="shared" si="7"/>
        <v>240</v>
      </c>
      <c r="Z48" s="267">
        <f>IF(AND(H48&lt;&gt;"yes",F48&lt;&gt;""),IFERROR(VLOOKUP(F48,DUTY_2025!A:F,5,FALSE),""),"")</f>
        <v>570</v>
      </c>
      <c r="AA48" s="271">
        <f t="shared" si="8"/>
        <v>13272</v>
      </c>
      <c r="AB48" s="16">
        <f t="shared" si="9"/>
        <v>663.81599999999889</v>
      </c>
      <c r="AC48" s="16">
        <f>IF(AA48&lt;&gt;"",ROUND(AA48*SI!$C$9,0),"")</f>
        <v>46717</v>
      </c>
      <c r="AD48" s="4">
        <f>IF(AC48&lt;&gt;"",ROUND(AC48/(SI!$C$9*SI!$C$10),2),"")</f>
        <v>139.43</v>
      </c>
      <c r="AE48" s="30">
        <f>IF(AND(X48&lt;&gt;""), ROUND((SI!$E$23)*(X48/SUM($X$5:$X$493)),0),"")</f>
        <v>3630</v>
      </c>
      <c r="AF48" s="272">
        <f t="shared" si="10"/>
        <v>50347</v>
      </c>
      <c r="AG48" s="28">
        <f t="shared" si="11"/>
        <v>36936.000000000007</v>
      </c>
      <c r="AH48" s="4">
        <f>IF(AD48&lt;&gt;"",ROUND(AD48*10*SI!$C$9/2,0),"")</f>
        <v>2454</v>
      </c>
      <c r="AI48" s="29">
        <f>IF(AND(X48&lt;&gt;""), ROUND((SI!$E$28)*(X48/SUM($X$5:$X$493)),0),"")</f>
        <v>10311</v>
      </c>
      <c r="AJ48" s="4">
        <f t="shared" si="12"/>
        <v>49701.000000000007</v>
      </c>
      <c r="AK48" s="4">
        <f t="shared" si="13"/>
        <v>207</v>
      </c>
      <c r="AL48" s="4">
        <f t="shared" si="14"/>
        <v>210</v>
      </c>
      <c r="AM48" s="4">
        <f t="shared" si="15"/>
        <v>417</v>
      </c>
      <c r="AN48" s="195">
        <f t="shared" si="16"/>
        <v>100048</v>
      </c>
      <c r="AO48" s="261">
        <f>IF(AND(AM48&lt;&gt;"",P48&lt;&gt;""),ROUND((AM48*((100+SI!$C$11)/100)),0),"")</f>
        <v>480</v>
      </c>
      <c r="AP48" s="28">
        <f>IF(AG48&lt;&gt;"",ROUND(AG48/SI!$C$9,2),"")</f>
        <v>10493.18</v>
      </c>
      <c r="AQ48" s="4">
        <f>IF(AH48&lt;&gt;"",ROUND(AH48/SI!$C$9,2),"")</f>
        <v>697.16</v>
      </c>
      <c r="AR48" s="29">
        <f>IF(AI48&lt;&gt;"",ROUND(AI48/SI!$C$9,2),"")</f>
        <v>2929.26</v>
      </c>
      <c r="AS48" s="4">
        <f t="shared" si="17"/>
        <v>14119.6</v>
      </c>
      <c r="AT48" s="4">
        <f t="shared" si="18"/>
        <v>58.83</v>
      </c>
      <c r="AU48" s="4">
        <f>IF(AL48&lt;&gt;"",ROUND(AL48/SI!$C$9,2),"")</f>
        <v>59.66</v>
      </c>
      <c r="AV48" s="4">
        <f>IF(AM48&lt;&gt;"",ROUND(AM48/SI!$C$9,2),"")</f>
        <v>118.47</v>
      </c>
      <c r="AW48" s="4">
        <f>IF(AN48&lt;&gt;"",ROUND(AN48/SI!$C$9,2),"")</f>
        <v>28422.73</v>
      </c>
      <c r="AX48" s="261">
        <f>IF(AO48&lt;&gt;"",ROUND(AO48/SI!$C$9,2),"")</f>
        <v>136.36000000000001</v>
      </c>
      <c r="AY48" s="28">
        <f t="shared" si="19"/>
        <v>50347</v>
      </c>
      <c r="AZ48" s="4">
        <f>IF(AY48&lt;&gt;"",ROUND(AY48/(SI!$C$9*SI!$C$10),2),"")</f>
        <v>150.26</v>
      </c>
      <c r="BA48" s="4">
        <f t="shared" si="20"/>
        <v>40277.599999999999</v>
      </c>
      <c r="BB48" s="4">
        <f t="shared" si="21"/>
        <v>120.21</v>
      </c>
      <c r="BC48" s="4">
        <f t="shared" si="22"/>
        <v>0.501</v>
      </c>
      <c r="BD48" s="4">
        <f t="shared" si="23"/>
        <v>1.855</v>
      </c>
      <c r="BE48" s="4">
        <f>IF(AND(X48&lt;&gt;""),ROUND(X48/SI!$C$10,2),"")</f>
        <v>146.4</v>
      </c>
      <c r="BF48" s="4">
        <f t="shared" si="25"/>
        <v>0.61</v>
      </c>
      <c r="BG48" s="264">
        <f t="shared" si="24"/>
        <v>2.2589999999999999</v>
      </c>
      <c r="BH48" s="71">
        <f>IF(F48&lt;&gt;"",VLOOKUP(F48,DUTY_2025!A:O,15,FALSE),"")</f>
        <v>80</v>
      </c>
    </row>
    <row r="49" spans="1:60" x14ac:dyDescent="0.25">
      <c r="A49" s="133">
        <f t="shared" si="0"/>
        <v>45</v>
      </c>
      <c r="B49" s="83">
        <f t="shared" si="1"/>
        <v>45</v>
      </c>
      <c r="C49" s="126">
        <v>1</v>
      </c>
      <c r="D49" s="127"/>
      <c r="E49" s="91"/>
      <c r="F49" s="301" t="s">
        <v>66</v>
      </c>
      <c r="G49" s="27">
        <f>IF(F49&lt;&gt;"",IFERROR(VLOOKUP(F49,DUTY_2025!A:I,6,FALSE),""),"")</f>
        <v>0</v>
      </c>
      <c r="H49" s="85" t="s">
        <v>133</v>
      </c>
      <c r="I49" s="27" t="str">
        <f>IF(F49&lt;&gt;"",IFERROR(VLOOKUP(F49,DUTY_2025!A:H,2,FALSE),""),"")</f>
        <v>HEALTH MIXES</v>
      </c>
      <c r="J49" s="23" t="s">
        <v>552</v>
      </c>
      <c r="K49" s="90">
        <v>0</v>
      </c>
      <c r="L49" s="90">
        <v>200</v>
      </c>
      <c r="M49" s="22">
        <v>10</v>
      </c>
      <c r="N49" s="90">
        <v>24</v>
      </c>
      <c r="O49" s="25">
        <v>5</v>
      </c>
      <c r="P49" s="116">
        <v>115.19999999999999</v>
      </c>
      <c r="Q49" s="23" t="s">
        <v>577</v>
      </c>
      <c r="R49" s="27" t="s">
        <v>337</v>
      </c>
      <c r="S49" s="86">
        <f t="shared" si="2"/>
        <v>4.8</v>
      </c>
      <c r="T49" s="87">
        <f t="shared" si="3"/>
        <v>5.28</v>
      </c>
      <c r="U49" s="87" cm="1">
        <f t="array" ref="U49">IF(AND(H49&lt;&gt;"YES",P49&lt;&gt;"",R49&lt;&gt;"",Q49&lt;&gt;""),
_xlfn.SWITCH(Q49,
"INR",_xlfn.SWITCH(R49,"KG",P49*S49,"CTN",P49,"UNIT",P49*N49,"NET",P49/M49,0),
"USD",_xlfn.SWITCH(R49,"KG",P49*S49*SI!$C$10,"CTN",P49*SI!$C$10,"UNIT",P49*N49*SI!$C$10,"NET",P49*SI!$C$10/M49,0),
"LKR",_xlfn.SWITCH(R49,"KG",P49*S49/SI!$C$9,"CTN",P49/SI!$C$9,"UNIT",P49*N49/SI!$C$9,"NET",P49/(M49*SI!$C$9),0),
0),
"")</f>
        <v>1096.5888</v>
      </c>
      <c r="V49" s="87">
        <f t="shared" si="4"/>
        <v>48</v>
      </c>
      <c r="W49" s="87">
        <f t="shared" si="5"/>
        <v>52.800000000000004</v>
      </c>
      <c r="X49" s="88">
        <f t="shared" si="6"/>
        <v>10965.887999999999</v>
      </c>
      <c r="Y49" s="24">
        <f t="shared" si="7"/>
        <v>240</v>
      </c>
      <c r="Z49" s="267">
        <f>IF(AND(H49&lt;&gt;"yes",F49&lt;&gt;""),IFERROR(VLOOKUP(F49,DUTY_2025!A:F,5,FALSE),""),"")</f>
        <v>570</v>
      </c>
      <c r="AA49" s="271">
        <f t="shared" si="8"/>
        <v>10444</v>
      </c>
      <c r="AB49" s="16">
        <f t="shared" si="9"/>
        <v>521.88799999999901</v>
      </c>
      <c r="AC49" s="16">
        <f>IF(AA49&lt;&gt;"",ROUND(AA49*SI!$C$9,0),"")</f>
        <v>36763</v>
      </c>
      <c r="AD49" s="4">
        <f>IF(AC49&lt;&gt;"",ROUND(AC49/(SI!$C$9*SI!$C$10),2),"")</f>
        <v>109.72</v>
      </c>
      <c r="AE49" s="30">
        <f>IF(AND(X49&lt;&gt;""), ROUND((SI!$E$23)*(X49/SUM($X$5:$X$493)),0),"")</f>
        <v>2856</v>
      </c>
      <c r="AF49" s="272">
        <f t="shared" si="10"/>
        <v>39619</v>
      </c>
      <c r="AG49" s="28">
        <f t="shared" si="11"/>
        <v>27360</v>
      </c>
      <c r="AH49" s="4">
        <f>IF(AD49&lt;&gt;"",ROUND(AD49*10*SI!$C$9/2,0),"")</f>
        <v>1931</v>
      </c>
      <c r="AI49" s="29">
        <f>IF(AND(X49&lt;&gt;""), ROUND((SI!$E$28)*(X49/SUM($X$5:$X$493)),0),"")</f>
        <v>8114</v>
      </c>
      <c r="AJ49" s="4">
        <f t="shared" si="12"/>
        <v>37405</v>
      </c>
      <c r="AK49" s="4">
        <f t="shared" si="13"/>
        <v>156</v>
      </c>
      <c r="AL49" s="4">
        <f t="shared" si="14"/>
        <v>165</v>
      </c>
      <c r="AM49" s="4">
        <f t="shared" si="15"/>
        <v>321</v>
      </c>
      <c r="AN49" s="195">
        <f t="shared" si="16"/>
        <v>77024</v>
      </c>
      <c r="AO49" s="261">
        <f>IF(AND(AM49&lt;&gt;"",P49&lt;&gt;""),ROUND((AM49*((100+SI!$C$11)/100)),0),"")</f>
        <v>369</v>
      </c>
      <c r="AP49" s="28">
        <f>IF(AG49&lt;&gt;"",ROUND(AG49/SI!$C$9,2),"")</f>
        <v>7772.73</v>
      </c>
      <c r="AQ49" s="4">
        <f>IF(AH49&lt;&gt;"",ROUND(AH49/SI!$C$9,2),"")</f>
        <v>548.58000000000004</v>
      </c>
      <c r="AR49" s="29">
        <f>IF(AI49&lt;&gt;"",ROUND(AI49/SI!$C$9,2),"")</f>
        <v>2305.11</v>
      </c>
      <c r="AS49" s="4">
        <f t="shared" si="17"/>
        <v>10626.42</v>
      </c>
      <c r="AT49" s="4">
        <f t="shared" si="18"/>
        <v>44.28</v>
      </c>
      <c r="AU49" s="4">
        <f>IF(AL49&lt;&gt;"",ROUND(AL49/SI!$C$9,2),"")</f>
        <v>46.88</v>
      </c>
      <c r="AV49" s="4">
        <f>IF(AM49&lt;&gt;"",ROUND(AM49/SI!$C$9,2),"")</f>
        <v>91.19</v>
      </c>
      <c r="AW49" s="4">
        <f>IF(AN49&lt;&gt;"",ROUND(AN49/SI!$C$9,2),"")</f>
        <v>21881.82</v>
      </c>
      <c r="AX49" s="261">
        <f>IF(AO49&lt;&gt;"",ROUND(AO49/SI!$C$9,2),"")</f>
        <v>104.83</v>
      </c>
      <c r="AY49" s="28">
        <f t="shared" si="19"/>
        <v>39619</v>
      </c>
      <c r="AZ49" s="4">
        <f>IF(AY49&lt;&gt;"",ROUND(AY49/(SI!$C$9*SI!$C$10),2),"")</f>
        <v>118.24</v>
      </c>
      <c r="BA49" s="4">
        <f t="shared" si="20"/>
        <v>31695.200000000001</v>
      </c>
      <c r="BB49" s="4">
        <f t="shared" si="21"/>
        <v>94.59</v>
      </c>
      <c r="BC49" s="4">
        <f t="shared" si="22"/>
        <v>0.39400000000000002</v>
      </c>
      <c r="BD49" s="4">
        <f t="shared" si="23"/>
        <v>1.9710000000000001</v>
      </c>
      <c r="BE49" s="4">
        <f>IF(AND(X49&lt;&gt;""),ROUND(X49/SI!$C$10,2),"")</f>
        <v>115.2</v>
      </c>
      <c r="BF49" s="4">
        <f t="shared" si="25"/>
        <v>0.48</v>
      </c>
      <c r="BG49" s="264">
        <f t="shared" si="24"/>
        <v>2.4</v>
      </c>
      <c r="BH49" s="71">
        <f>IF(F49&lt;&gt;"",VLOOKUP(F49,DUTY_2025!A:O,15,FALSE),"")</f>
        <v>80</v>
      </c>
    </row>
    <row r="50" spans="1:60" x14ac:dyDescent="0.25">
      <c r="A50" s="133">
        <f t="shared" si="0"/>
        <v>46</v>
      </c>
      <c r="B50" s="83">
        <f t="shared" si="1"/>
        <v>46</v>
      </c>
      <c r="C50" s="126">
        <v>1</v>
      </c>
      <c r="D50" s="127"/>
      <c r="E50" s="91"/>
      <c r="F50" s="301" t="s">
        <v>66</v>
      </c>
      <c r="G50" s="27">
        <f>IF(F50&lt;&gt;"",IFERROR(VLOOKUP(F50,DUTY_2025!A:I,6,FALSE),""),"")</f>
        <v>0</v>
      </c>
      <c r="H50" s="85" t="s">
        <v>133</v>
      </c>
      <c r="I50" s="27" t="str">
        <f>IF(F50&lt;&gt;"",IFERROR(VLOOKUP(F50,DUTY_2025!A:H,2,FALSE),""),"")</f>
        <v>HEALTH MIXES</v>
      </c>
      <c r="J50" s="23" t="s">
        <v>553</v>
      </c>
      <c r="K50" s="90">
        <v>0</v>
      </c>
      <c r="L50" s="92">
        <v>200</v>
      </c>
      <c r="M50" s="22">
        <v>5</v>
      </c>
      <c r="N50" s="90">
        <v>24</v>
      </c>
      <c r="O50" s="25">
        <v>5</v>
      </c>
      <c r="P50" s="300">
        <v>62.400000000000006</v>
      </c>
      <c r="Q50" s="23" t="s">
        <v>577</v>
      </c>
      <c r="R50" s="27" t="s">
        <v>337</v>
      </c>
      <c r="S50" s="86">
        <f t="shared" si="2"/>
        <v>4.8</v>
      </c>
      <c r="T50" s="87">
        <f t="shared" si="3"/>
        <v>5.28</v>
      </c>
      <c r="U50" s="87" cm="1">
        <f t="array" ref="U50">IF(AND(H50&lt;&gt;"YES",P50&lt;&gt;"",R50&lt;&gt;"",Q50&lt;&gt;""),
_xlfn.SWITCH(Q50,
"INR",_xlfn.SWITCH(R50,"KG",P50*S50,"CTN",P50,"UNIT",P50*N50,"NET",P50/M50,0),
"USD",_xlfn.SWITCH(R50,"KG",P50*S50*SI!$C$10,"CTN",P50*SI!$C$10,"UNIT",P50*N50*SI!$C$10,"NET",P50*SI!$C$10/M50,0),
"LKR",_xlfn.SWITCH(R50,"KG",P50*S50/SI!$C$9,"CTN",P50/SI!$C$9,"UNIT",P50*N50/SI!$C$9,"NET",P50/(M50*SI!$C$9),0),
0),
"")</f>
        <v>1187.9712000000002</v>
      </c>
      <c r="V50" s="87">
        <f t="shared" si="4"/>
        <v>24</v>
      </c>
      <c r="W50" s="87">
        <f t="shared" si="5"/>
        <v>26.400000000000002</v>
      </c>
      <c r="X50" s="88">
        <f t="shared" si="6"/>
        <v>5939.8560000000007</v>
      </c>
      <c r="Y50" s="24">
        <f t="shared" si="7"/>
        <v>120</v>
      </c>
      <c r="Z50" s="267">
        <f>IF(AND(H50&lt;&gt;"yes",F50&lt;&gt;""),IFERROR(VLOOKUP(F50,DUTY_2025!A:F,5,FALSE),""),"")</f>
        <v>570</v>
      </c>
      <c r="AA50" s="271">
        <f t="shared" si="8"/>
        <v>5657</v>
      </c>
      <c r="AB50" s="16">
        <f t="shared" si="9"/>
        <v>282.85600000000068</v>
      </c>
      <c r="AC50" s="16">
        <f>IF(AA50&lt;&gt;"",ROUND(AA50*SI!$C$9,0),"")</f>
        <v>19913</v>
      </c>
      <c r="AD50" s="4">
        <f>IF(AC50&lt;&gt;"",ROUND(AC50/(SI!$C$9*SI!$C$10),2),"")</f>
        <v>59.43</v>
      </c>
      <c r="AE50" s="30">
        <f>IF(AND(X50&lt;&gt;""), ROUND((SI!$E$23)*(X50/SUM($X$5:$X$493)),0),"")</f>
        <v>1547</v>
      </c>
      <c r="AF50" s="272">
        <f t="shared" si="10"/>
        <v>21460</v>
      </c>
      <c r="AG50" s="28">
        <f t="shared" si="11"/>
        <v>13680</v>
      </c>
      <c r="AH50" s="4">
        <f>IF(AD50&lt;&gt;"",ROUND(AD50*10*SI!$C$9/2,0),"")</f>
        <v>1046</v>
      </c>
      <c r="AI50" s="29">
        <f>IF(AND(X50&lt;&gt;""), ROUND((SI!$E$28)*(X50/SUM($X$5:$X$493)),0),"")</f>
        <v>4395</v>
      </c>
      <c r="AJ50" s="4">
        <f t="shared" si="12"/>
        <v>19121</v>
      </c>
      <c r="AK50" s="4">
        <f t="shared" si="13"/>
        <v>159</v>
      </c>
      <c r="AL50" s="4">
        <f t="shared" si="14"/>
        <v>179</v>
      </c>
      <c r="AM50" s="4">
        <f t="shared" si="15"/>
        <v>338</v>
      </c>
      <c r="AN50" s="195">
        <f t="shared" si="16"/>
        <v>40581</v>
      </c>
      <c r="AO50" s="261">
        <f>IF(AND(AM50&lt;&gt;"",P50&lt;&gt;""),ROUND((AM50*((100+SI!$C$11)/100)),0),"")</f>
        <v>389</v>
      </c>
      <c r="AP50" s="28">
        <f>IF(AG50&lt;&gt;"",ROUND(AG50/SI!$C$9,2),"")</f>
        <v>3886.36</v>
      </c>
      <c r="AQ50" s="4">
        <f>IF(AH50&lt;&gt;"",ROUND(AH50/SI!$C$9,2),"")</f>
        <v>297.16000000000003</v>
      </c>
      <c r="AR50" s="29">
        <f>IF(AI50&lt;&gt;"",ROUND(AI50/SI!$C$9,2),"")</f>
        <v>1248.58</v>
      </c>
      <c r="AS50" s="4">
        <f t="shared" si="17"/>
        <v>5432.1</v>
      </c>
      <c r="AT50" s="4">
        <f t="shared" si="18"/>
        <v>45.27</v>
      </c>
      <c r="AU50" s="4">
        <f>IF(AL50&lt;&gt;"",ROUND(AL50/SI!$C$9,2),"")</f>
        <v>50.85</v>
      </c>
      <c r="AV50" s="4">
        <f>IF(AM50&lt;&gt;"",ROUND(AM50/SI!$C$9,2),"")</f>
        <v>96.02</v>
      </c>
      <c r="AW50" s="4">
        <f>IF(AN50&lt;&gt;"",ROUND(AN50/SI!$C$9,2),"")</f>
        <v>11528.69</v>
      </c>
      <c r="AX50" s="261">
        <f>IF(AO50&lt;&gt;"",ROUND(AO50/SI!$C$9,2),"")</f>
        <v>110.51</v>
      </c>
      <c r="AY50" s="28">
        <f t="shared" si="19"/>
        <v>21460</v>
      </c>
      <c r="AZ50" s="4">
        <f>IF(AY50&lt;&gt;"",ROUND(AY50/(SI!$C$9*SI!$C$10),2),"")</f>
        <v>64.05</v>
      </c>
      <c r="BA50" s="4">
        <f t="shared" si="20"/>
        <v>17168</v>
      </c>
      <c r="BB50" s="4">
        <f t="shared" si="21"/>
        <v>51.24</v>
      </c>
      <c r="BC50" s="4">
        <f t="shared" si="22"/>
        <v>0.42699999999999999</v>
      </c>
      <c r="BD50" s="4">
        <f t="shared" si="23"/>
        <v>2.1349999999999998</v>
      </c>
      <c r="BE50" s="4">
        <f>IF(AND(X50&lt;&gt;""),ROUND(X50/SI!$C$10,2),"")</f>
        <v>62.4</v>
      </c>
      <c r="BF50" s="4">
        <f t="shared" si="25"/>
        <v>0.52</v>
      </c>
      <c r="BG50" s="264">
        <f t="shared" si="24"/>
        <v>2.6</v>
      </c>
      <c r="BH50" s="71">
        <f>IF(F50&lt;&gt;"",VLOOKUP(F50,DUTY_2025!A:O,15,FALSE),"")</f>
        <v>80</v>
      </c>
    </row>
    <row r="51" spans="1:60" x14ac:dyDescent="0.25">
      <c r="A51" s="133">
        <f t="shared" si="0"/>
        <v>47</v>
      </c>
      <c r="B51" s="83">
        <f t="shared" si="1"/>
        <v>47</v>
      </c>
      <c r="C51" s="126">
        <v>1</v>
      </c>
      <c r="D51" s="127"/>
      <c r="E51" s="91"/>
      <c r="F51" s="301" t="s">
        <v>66</v>
      </c>
      <c r="G51" s="27">
        <f>IF(F51&lt;&gt;"",IFERROR(VLOOKUP(F51,DUTY_2025!A:I,6,FALSE),""),"")</f>
        <v>0</v>
      </c>
      <c r="H51" s="85" t="s">
        <v>133</v>
      </c>
      <c r="I51" s="27" t="str">
        <f>IF(F51&lt;&gt;"",IFERROR(VLOOKUP(F51,DUTY_2025!A:H,2,FALSE),""),"")</f>
        <v>HEALTH MIXES</v>
      </c>
      <c r="J51" s="23" t="s">
        <v>554</v>
      </c>
      <c r="K51" s="90">
        <v>0</v>
      </c>
      <c r="L51" s="92">
        <v>200</v>
      </c>
      <c r="M51" s="22">
        <v>5</v>
      </c>
      <c r="N51" s="90">
        <v>60</v>
      </c>
      <c r="O51" s="25">
        <v>5</v>
      </c>
      <c r="P51" s="300">
        <v>156</v>
      </c>
      <c r="Q51" s="23" t="s">
        <v>577</v>
      </c>
      <c r="R51" s="27" t="s">
        <v>337</v>
      </c>
      <c r="S51" s="86">
        <f t="shared" si="2"/>
        <v>12</v>
      </c>
      <c r="T51" s="87">
        <f t="shared" si="3"/>
        <v>13.200000000000001</v>
      </c>
      <c r="U51" s="87" cm="1">
        <f t="array" ref="U51">IF(AND(H51&lt;&gt;"YES",P51&lt;&gt;"",R51&lt;&gt;"",Q51&lt;&gt;""),
_xlfn.SWITCH(Q51,
"INR",_xlfn.SWITCH(R51,"KG",P51*S51,"CTN",P51,"UNIT",P51*N51,"NET",P51/M51,0),
"USD",_xlfn.SWITCH(R51,"KG",P51*S51*SI!$C$10,"CTN",P51*SI!$C$10,"UNIT",P51*N51*SI!$C$10,"NET",P51*SI!$C$10/M51,0),
"LKR",_xlfn.SWITCH(R51,"KG",P51*S51/SI!$C$9,"CTN",P51/SI!$C$9,"UNIT",P51*N51/SI!$C$9,"NET",P51/(M51*SI!$C$9),0),
0),
"")</f>
        <v>2969.9279999999999</v>
      </c>
      <c r="V51" s="87">
        <f t="shared" si="4"/>
        <v>60</v>
      </c>
      <c r="W51" s="87">
        <f t="shared" si="5"/>
        <v>66</v>
      </c>
      <c r="X51" s="88">
        <f t="shared" si="6"/>
        <v>14849.64</v>
      </c>
      <c r="Y51" s="24">
        <f t="shared" si="7"/>
        <v>300</v>
      </c>
      <c r="Z51" s="267">
        <f>IF(AND(H51&lt;&gt;"yes",F51&lt;&gt;""),IFERROR(VLOOKUP(F51,DUTY_2025!A:F,5,FALSE),""),"")</f>
        <v>570</v>
      </c>
      <c r="AA51" s="271">
        <f t="shared" si="8"/>
        <v>14143</v>
      </c>
      <c r="AB51" s="16">
        <f t="shared" si="9"/>
        <v>706.63999999999942</v>
      </c>
      <c r="AC51" s="16">
        <f>IF(AA51&lt;&gt;"",ROUND(AA51*SI!$C$9,0),"")</f>
        <v>49783</v>
      </c>
      <c r="AD51" s="4">
        <f>IF(AC51&lt;&gt;"",ROUND(AC51/(SI!$C$9*SI!$C$10),2),"")</f>
        <v>148.58000000000001</v>
      </c>
      <c r="AE51" s="30">
        <f>IF(AND(X51&lt;&gt;""), ROUND((SI!$E$23)*(X51/SUM($X$5:$X$493)),0),"")</f>
        <v>3868</v>
      </c>
      <c r="AF51" s="272">
        <f t="shared" si="10"/>
        <v>53651</v>
      </c>
      <c r="AG51" s="28">
        <f t="shared" si="11"/>
        <v>34200</v>
      </c>
      <c r="AH51" s="4">
        <f>IF(AD51&lt;&gt;"",ROUND(AD51*10*SI!$C$9/2,0),"")</f>
        <v>2615</v>
      </c>
      <c r="AI51" s="29">
        <f>IF(AND(X51&lt;&gt;""), ROUND((SI!$E$28)*(X51/SUM($X$5:$X$493)),0),"")</f>
        <v>10987</v>
      </c>
      <c r="AJ51" s="4">
        <f t="shared" si="12"/>
        <v>47802</v>
      </c>
      <c r="AK51" s="4">
        <f t="shared" si="13"/>
        <v>159</v>
      </c>
      <c r="AL51" s="4">
        <f t="shared" si="14"/>
        <v>179</v>
      </c>
      <c r="AM51" s="4">
        <f t="shared" si="15"/>
        <v>338</v>
      </c>
      <c r="AN51" s="195">
        <f t="shared" si="16"/>
        <v>101453</v>
      </c>
      <c r="AO51" s="261">
        <f>IF(AND(AM51&lt;&gt;"",P51&lt;&gt;""),ROUND((AM51*((100+SI!$C$11)/100)),0),"")</f>
        <v>389</v>
      </c>
      <c r="AP51" s="28">
        <f>IF(AG51&lt;&gt;"",ROUND(AG51/SI!$C$9,2),"")</f>
        <v>9715.91</v>
      </c>
      <c r="AQ51" s="4">
        <f>IF(AH51&lt;&gt;"",ROUND(AH51/SI!$C$9,2),"")</f>
        <v>742.9</v>
      </c>
      <c r="AR51" s="29">
        <f>IF(AI51&lt;&gt;"",ROUND(AI51/SI!$C$9,2),"")</f>
        <v>3121.31</v>
      </c>
      <c r="AS51" s="4">
        <f t="shared" si="17"/>
        <v>13580.119999999999</v>
      </c>
      <c r="AT51" s="4">
        <f t="shared" si="18"/>
        <v>45.27</v>
      </c>
      <c r="AU51" s="4">
        <f>IF(AL51&lt;&gt;"",ROUND(AL51/SI!$C$9,2),"")</f>
        <v>50.85</v>
      </c>
      <c r="AV51" s="4">
        <f>IF(AM51&lt;&gt;"",ROUND(AM51/SI!$C$9,2),"")</f>
        <v>96.02</v>
      </c>
      <c r="AW51" s="4">
        <f>IF(AN51&lt;&gt;"",ROUND(AN51/SI!$C$9,2),"")</f>
        <v>28821.88</v>
      </c>
      <c r="AX51" s="261">
        <f>IF(AO51&lt;&gt;"",ROUND(AO51/SI!$C$9,2),"")</f>
        <v>110.51</v>
      </c>
      <c r="AY51" s="28">
        <f t="shared" si="19"/>
        <v>53651</v>
      </c>
      <c r="AZ51" s="4">
        <f>IF(AY51&lt;&gt;"",ROUND(AY51/(SI!$C$9*SI!$C$10),2),"")</f>
        <v>160.12</v>
      </c>
      <c r="BA51" s="4">
        <f t="shared" si="20"/>
        <v>42920.800000000003</v>
      </c>
      <c r="BB51" s="4">
        <f t="shared" si="21"/>
        <v>128.1</v>
      </c>
      <c r="BC51" s="4">
        <f t="shared" si="22"/>
        <v>0.42699999999999999</v>
      </c>
      <c r="BD51" s="4">
        <f t="shared" si="23"/>
        <v>2.1349999999999998</v>
      </c>
      <c r="BE51" s="4">
        <f>IF(AND(X51&lt;&gt;""),ROUND(X51/SI!$C$10,2),"")</f>
        <v>156</v>
      </c>
      <c r="BF51" s="4">
        <f t="shared" si="25"/>
        <v>0.52</v>
      </c>
      <c r="BG51" s="264">
        <f t="shared" si="24"/>
        <v>2.6</v>
      </c>
      <c r="BH51" s="71">
        <f>IF(F51&lt;&gt;"",VLOOKUP(F51,DUTY_2025!A:O,15,FALSE),"")</f>
        <v>80</v>
      </c>
    </row>
    <row r="52" spans="1:60" x14ac:dyDescent="0.25">
      <c r="A52" s="133">
        <f t="shared" si="0"/>
        <v>48</v>
      </c>
      <c r="B52" s="83">
        <f t="shared" si="1"/>
        <v>48</v>
      </c>
      <c r="C52" s="126">
        <v>1</v>
      </c>
      <c r="D52" s="127"/>
      <c r="E52" s="91"/>
      <c r="F52" s="301" t="s">
        <v>66</v>
      </c>
      <c r="G52" s="27">
        <f>IF(F52&lt;&gt;"",IFERROR(VLOOKUP(F52,DUTY_2025!A:I,6,FALSE),""),"")</f>
        <v>0</v>
      </c>
      <c r="H52" s="85" t="s">
        <v>133</v>
      </c>
      <c r="I52" s="27" t="str">
        <f>IF(F52&lt;&gt;"",IFERROR(VLOOKUP(F52,DUTY_2025!A:H,2,FALSE),""),"")</f>
        <v>HEALTH MIXES</v>
      </c>
      <c r="J52" s="23" t="s">
        <v>555</v>
      </c>
      <c r="K52" s="90">
        <v>0</v>
      </c>
      <c r="L52" s="92">
        <v>200</v>
      </c>
      <c r="M52" s="22">
        <v>3</v>
      </c>
      <c r="N52" s="90">
        <v>50</v>
      </c>
      <c r="O52" s="25">
        <v>5</v>
      </c>
      <c r="P52" s="300">
        <v>72</v>
      </c>
      <c r="Q52" s="23" t="s">
        <v>577</v>
      </c>
      <c r="R52" s="27" t="s">
        <v>337</v>
      </c>
      <c r="S52" s="86">
        <f t="shared" si="2"/>
        <v>10</v>
      </c>
      <c r="T52" s="87">
        <f t="shared" si="3"/>
        <v>11</v>
      </c>
      <c r="U52" s="87" cm="1">
        <f t="array" ref="U52">IF(AND(H52&lt;&gt;"YES",P52&lt;&gt;"",R52&lt;&gt;"",Q52&lt;&gt;""),
_xlfn.SWITCH(Q52,
"INR",_xlfn.SWITCH(R52,"KG",P52*S52,"CTN",P52,"UNIT",P52*N52,"NET",P52/M52,0),
"USD",_xlfn.SWITCH(R52,"KG",P52*S52*SI!$C$10,"CTN",P52*SI!$C$10,"UNIT",P52*N52*SI!$C$10,"NET",P52*SI!$C$10/M52,0),
"LKR",_xlfn.SWITCH(R52,"KG",P52*S52/SI!$C$9,"CTN",P52/SI!$C$9,"UNIT",P52*N52/SI!$C$9,"NET",P52/(M52*SI!$C$9),0),
0),
"")</f>
        <v>2284.56</v>
      </c>
      <c r="V52" s="87">
        <f t="shared" si="4"/>
        <v>30</v>
      </c>
      <c r="W52" s="87">
        <f t="shared" si="5"/>
        <v>33</v>
      </c>
      <c r="X52" s="88">
        <f t="shared" si="6"/>
        <v>6853.68</v>
      </c>
      <c r="Y52" s="24">
        <f t="shared" si="7"/>
        <v>150</v>
      </c>
      <c r="Z52" s="267">
        <f>IF(AND(H52&lt;&gt;"yes",F52&lt;&gt;""),IFERROR(VLOOKUP(F52,DUTY_2025!A:F,5,FALSE),""),"")</f>
        <v>570</v>
      </c>
      <c r="AA52" s="271">
        <f t="shared" si="8"/>
        <v>6527</v>
      </c>
      <c r="AB52" s="16">
        <f t="shared" si="9"/>
        <v>326.68000000000029</v>
      </c>
      <c r="AC52" s="16">
        <f>IF(AA52&lt;&gt;"",ROUND(AA52*SI!$C$9,0),"")</f>
        <v>22975</v>
      </c>
      <c r="AD52" s="4">
        <f>IF(AC52&lt;&gt;"",ROUND(AC52/(SI!$C$9*SI!$C$10),2),"")</f>
        <v>68.569999999999993</v>
      </c>
      <c r="AE52" s="30">
        <f>IF(AND(X52&lt;&gt;""), ROUND((SI!$E$23)*(X52/SUM($X$5:$X$493)),0),"")</f>
        <v>1785</v>
      </c>
      <c r="AF52" s="272">
        <f t="shared" si="10"/>
        <v>24760</v>
      </c>
      <c r="AG52" s="28">
        <f t="shared" si="11"/>
        <v>17100</v>
      </c>
      <c r="AH52" s="4">
        <f>IF(AD52&lt;&gt;"",ROUND(AD52*10*SI!$C$9/2,0),"")</f>
        <v>1207</v>
      </c>
      <c r="AI52" s="29">
        <f>IF(AND(X52&lt;&gt;""), ROUND((SI!$E$28)*(X52/SUM($X$5:$X$493)),0),"")</f>
        <v>5071</v>
      </c>
      <c r="AJ52" s="4">
        <f t="shared" si="12"/>
        <v>23378</v>
      </c>
      <c r="AK52" s="4">
        <f t="shared" si="13"/>
        <v>156</v>
      </c>
      <c r="AL52" s="4">
        <f t="shared" si="14"/>
        <v>165</v>
      </c>
      <c r="AM52" s="4">
        <f t="shared" si="15"/>
        <v>321</v>
      </c>
      <c r="AN52" s="195">
        <f t="shared" si="16"/>
        <v>48138</v>
      </c>
      <c r="AO52" s="261">
        <f>IF(AND(AM52&lt;&gt;"",P52&lt;&gt;""),ROUND((AM52*((100+SI!$C$11)/100)),0),"")</f>
        <v>369</v>
      </c>
      <c r="AP52" s="28">
        <f>IF(AG52&lt;&gt;"",ROUND(AG52/SI!$C$9,2),"")</f>
        <v>4857.95</v>
      </c>
      <c r="AQ52" s="4">
        <f>IF(AH52&lt;&gt;"",ROUND(AH52/SI!$C$9,2),"")</f>
        <v>342.9</v>
      </c>
      <c r="AR52" s="29">
        <f>IF(AI52&lt;&gt;"",ROUND(AI52/SI!$C$9,2),"")</f>
        <v>1440.63</v>
      </c>
      <c r="AS52" s="4">
        <f t="shared" si="17"/>
        <v>6641.48</v>
      </c>
      <c r="AT52" s="4">
        <f t="shared" si="18"/>
        <v>44.28</v>
      </c>
      <c r="AU52" s="4">
        <f>IF(AL52&lt;&gt;"",ROUND(AL52/SI!$C$9,2),"")</f>
        <v>46.88</v>
      </c>
      <c r="AV52" s="4">
        <f>IF(AM52&lt;&gt;"",ROUND(AM52/SI!$C$9,2),"")</f>
        <v>91.19</v>
      </c>
      <c r="AW52" s="4">
        <f>IF(AN52&lt;&gt;"",ROUND(AN52/SI!$C$9,2),"")</f>
        <v>13675.57</v>
      </c>
      <c r="AX52" s="261">
        <f>IF(AO52&lt;&gt;"",ROUND(AO52/SI!$C$9,2),"")</f>
        <v>104.83</v>
      </c>
      <c r="AY52" s="28">
        <f t="shared" si="19"/>
        <v>24760</v>
      </c>
      <c r="AZ52" s="4">
        <f>IF(AY52&lt;&gt;"",ROUND(AY52/(SI!$C$9*SI!$C$10),2),"")</f>
        <v>73.900000000000006</v>
      </c>
      <c r="BA52" s="4">
        <f t="shared" si="20"/>
        <v>19808</v>
      </c>
      <c r="BB52" s="4">
        <f t="shared" si="21"/>
        <v>59.12</v>
      </c>
      <c r="BC52" s="4">
        <f t="shared" si="22"/>
        <v>0.39400000000000002</v>
      </c>
      <c r="BD52" s="4">
        <f t="shared" si="23"/>
        <v>1.9710000000000001</v>
      </c>
      <c r="BE52" s="4">
        <f>IF(AND(X52&lt;&gt;""),ROUND(X52/SI!$C$10,2),"")</f>
        <v>72</v>
      </c>
      <c r="BF52" s="4">
        <f t="shared" si="25"/>
        <v>0.48</v>
      </c>
      <c r="BG52" s="264">
        <f t="shared" si="24"/>
        <v>2.4</v>
      </c>
      <c r="BH52" s="71">
        <f>IF(F52&lt;&gt;"",VLOOKUP(F52,DUTY_2025!A:O,15,FALSE),"")</f>
        <v>80</v>
      </c>
    </row>
    <row r="53" spans="1:60" x14ac:dyDescent="0.25">
      <c r="A53" s="133">
        <f t="shared" si="0"/>
        <v>49</v>
      </c>
      <c r="B53" s="83">
        <f t="shared" si="1"/>
        <v>49</v>
      </c>
      <c r="C53" s="126">
        <v>1</v>
      </c>
      <c r="D53" s="127"/>
      <c r="E53" s="91"/>
      <c r="F53" s="301" t="s">
        <v>66</v>
      </c>
      <c r="G53" s="27">
        <f>IF(F53&lt;&gt;"",IFERROR(VLOOKUP(F53,DUTY_2025!A:I,6,FALSE),""),"")</f>
        <v>0</v>
      </c>
      <c r="H53" s="85" t="s">
        <v>133</v>
      </c>
      <c r="I53" s="27" t="str">
        <f>IF(F53&lt;&gt;"",IFERROR(VLOOKUP(F53,DUTY_2025!A:H,2,FALSE),""),"")</f>
        <v>HEALTH MIXES</v>
      </c>
      <c r="J53" s="23" t="s">
        <v>556</v>
      </c>
      <c r="K53" s="90">
        <v>0</v>
      </c>
      <c r="L53" s="92">
        <v>200</v>
      </c>
      <c r="M53" s="22">
        <v>3</v>
      </c>
      <c r="N53" s="90">
        <v>50</v>
      </c>
      <c r="O53" s="25">
        <v>5</v>
      </c>
      <c r="P53" s="300">
        <v>64.5</v>
      </c>
      <c r="Q53" s="23" t="s">
        <v>577</v>
      </c>
      <c r="R53" s="27" t="s">
        <v>337</v>
      </c>
      <c r="S53" s="86">
        <f t="shared" si="2"/>
        <v>10</v>
      </c>
      <c r="T53" s="87">
        <f t="shared" si="3"/>
        <v>11</v>
      </c>
      <c r="U53" s="87" cm="1">
        <f t="array" ref="U53">IF(AND(H53&lt;&gt;"YES",P53&lt;&gt;"",R53&lt;&gt;"",Q53&lt;&gt;""),
_xlfn.SWITCH(Q53,
"INR",_xlfn.SWITCH(R53,"KG",P53*S53,"CTN",P53,"UNIT",P53*N53,"NET",P53/M53,0),
"USD",_xlfn.SWITCH(R53,"KG",P53*S53*SI!$C$10,"CTN",P53*SI!$C$10,"UNIT",P53*N53*SI!$C$10,"NET",P53*SI!$C$10/M53,0),
"LKR",_xlfn.SWITCH(R53,"KG",P53*S53/SI!$C$9,"CTN",P53/SI!$C$9,"UNIT",P53*N53/SI!$C$9,"NET",P53/(M53*SI!$C$9),0),
0),
"")</f>
        <v>2046.585</v>
      </c>
      <c r="V53" s="87">
        <f t="shared" si="4"/>
        <v>30</v>
      </c>
      <c r="W53" s="87">
        <f t="shared" si="5"/>
        <v>33</v>
      </c>
      <c r="X53" s="88">
        <f t="shared" si="6"/>
        <v>6139.7550000000001</v>
      </c>
      <c r="Y53" s="24">
        <f t="shared" si="7"/>
        <v>150</v>
      </c>
      <c r="Z53" s="267">
        <f>IF(AND(H53&lt;&gt;"yes",F53&lt;&gt;""),IFERROR(VLOOKUP(F53,DUTY_2025!A:F,5,FALSE),""),"")</f>
        <v>570</v>
      </c>
      <c r="AA53" s="271">
        <f t="shared" si="8"/>
        <v>5847</v>
      </c>
      <c r="AB53" s="16">
        <f t="shared" si="9"/>
        <v>292.75500000000011</v>
      </c>
      <c r="AC53" s="16">
        <f>IF(AA53&lt;&gt;"",ROUND(AA53*SI!$C$9,0),"")</f>
        <v>20581</v>
      </c>
      <c r="AD53" s="4">
        <f>IF(AC53&lt;&gt;"",ROUND(AC53/(SI!$C$9*SI!$C$10),2),"")</f>
        <v>61.42</v>
      </c>
      <c r="AE53" s="30">
        <f>IF(AND(X53&lt;&gt;""), ROUND((SI!$E$23)*(X53/SUM($X$5:$X$493)),0),"")</f>
        <v>1599</v>
      </c>
      <c r="AF53" s="272">
        <f t="shared" si="10"/>
        <v>22180</v>
      </c>
      <c r="AG53" s="28">
        <f t="shared" si="11"/>
        <v>17100</v>
      </c>
      <c r="AH53" s="4">
        <f>IF(AD53&lt;&gt;"",ROUND(AD53*10*SI!$C$9/2,0),"")</f>
        <v>1081</v>
      </c>
      <c r="AI53" s="29">
        <f>IF(AND(X53&lt;&gt;""), ROUND((SI!$E$28)*(X53/SUM($X$5:$X$493)),0),"")</f>
        <v>4543</v>
      </c>
      <c r="AJ53" s="4">
        <f t="shared" si="12"/>
        <v>22724</v>
      </c>
      <c r="AK53" s="4">
        <f t="shared" si="13"/>
        <v>151</v>
      </c>
      <c r="AL53" s="4">
        <f t="shared" si="14"/>
        <v>148</v>
      </c>
      <c r="AM53" s="4">
        <f t="shared" si="15"/>
        <v>299</v>
      </c>
      <c r="AN53" s="195">
        <f t="shared" si="16"/>
        <v>44904</v>
      </c>
      <c r="AO53" s="261">
        <f>IF(AND(AM53&lt;&gt;"",P53&lt;&gt;""),ROUND((AM53*((100+SI!$C$11)/100)),0),"")</f>
        <v>344</v>
      </c>
      <c r="AP53" s="28">
        <f>IF(AG53&lt;&gt;"",ROUND(AG53/SI!$C$9,2),"")</f>
        <v>4857.95</v>
      </c>
      <c r="AQ53" s="4">
        <f>IF(AH53&lt;&gt;"",ROUND(AH53/SI!$C$9,2),"")</f>
        <v>307.10000000000002</v>
      </c>
      <c r="AR53" s="29">
        <f>IF(AI53&lt;&gt;"",ROUND(AI53/SI!$C$9,2),"")</f>
        <v>1290.6300000000001</v>
      </c>
      <c r="AS53" s="4">
        <f t="shared" si="17"/>
        <v>6455.68</v>
      </c>
      <c r="AT53" s="4">
        <f t="shared" si="18"/>
        <v>43.04</v>
      </c>
      <c r="AU53" s="4">
        <f>IF(AL53&lt;&gt;"",ROUND(AL53/SI!$C$9,2),"")</f>
        <v>42.05</v>
      </c>
      <c r="AV53" s="4">
        <f>IF(AM53&lt;&gt;"",ROUND(AM53/SI!$C$9,2),"")</f>
        <v>84.94</v>
      </c>
      <c r="AW53" s="4">
        <f>IF(AN53&lt;&gt;"",ROUND(AN53/SI!$C$9,2),"")</f>
        <v>12756.82</v>
      </c>
      <c r="AX53" s="261">
        <f>IF(AO53&lt;&gt;"",ROUND(AO53/SI!$C$9,2),"")</f>
        <v>97.73</v>
      </c>
      <c r="AY53" s="28">
        <f t="shared" si="19"/>
        <v>22180</v>
      </c>
      <c r="AZ53" s="4">
        <f>IF(AY53&lt;&gt;"",ROUND(AY53/(SI!$C$9*SI!$C$10),2),"")</f>
        <v>66.2</v>
      </c>
      <c r="BA53" s="4">
        <f t="shared" si="20"/>
        <v>17744</v>
      </c>
      <c r="BB53" s="4">
        <f t="shared" si="21"/>
        <v>52.96</v>
      </c>
      <c r="BC53" s="4">
        <f t="shared" si="22"/>
        <v>0.35299999999999998</v>
      </c>
      <c r="BD53" s="4">
        <f t="shared" si="23"/>
        <v>1.7649999999999999</v>
      </c>
      <c r="BE53" s="4">
        <f>IF(AND(X53&lt;&gt;""),ROUND(X53/SI!$C$10,2),"")</f>
        <v>64.5</v>
      </c>
      <c r="BF53" s="4">
        <f t="shared" si="25"/>
        <v>0.43</v>
      </c>
      <c r="BG53" s="264">
        <f t="shared" si="24"/>
        <v>2.15</v>
      </c>
      <c r="BH53" s="71">
        <f>IF(F53&lt;&gt;"",VLOOKUP(F53,DUTY_2025!A:O,15,FALSE),"")</f>
        <v>80</v>
      </c>
    </row>
    <row r="54" spans="1:60" x14ac:dyDescent="0.25">
      <c r="A54" s="133">
        <f t="shared" si="0"/>
        <v>50</v>
      </c>
      <c r="B54" s="83">
        <f t="shared" si="1"/>
        <v>50</v>
      </c>
      <c r="C54" s="126">
        <v>1</v>
      </c>
      <c r="D54" s="127"/>
      <c r="E54" s="91"/>
      <c r="F54" s="301" t="s">
        <v>66</v>
      </c>
      <c r="G54" s="27">
        <f>IF(F54&lt;&gt;"",IFERROR(VLOOKUP(F54,DUTY_2025!A:I,6,FALSE),""),"")</f>
        <v>0</v>
      </c>
      <c r="H54" s="85" t="s">
        <v>133</v>
      </c>
      <c r="I54" s="27" t="str">
        <f>IF(F54&lt;&gt;"",IFERROR(VLOOKUP(F54,DUTY_2025!A:H,2,FALSE),""),"")</f>
        <v>HEALTH MIXES</v>
      </c>
      <c r="J54" s="23" t="s">
        <v>557</v>
      </c>
      <c r="K54" s="90">
        <v>0</v>
      </c>
      <c r="L54" s="92">
        <v>200</v>
      </c>
      <c r="M54" s="22">
        <v>10</v>
      </c>
      <c r="N54" s="90">
        <v>24</v>
      </c>
      <c r="O54" s="25">
        <v>5</v>
      </c>
      <c r="P54" s="300">
        <v>115.19999999999999</v>
      </c>
      <c r="Q54" s="23" t="s">
        <v>577</v>
      </c>
      <c r="R54" s="27" t="s">
        <v>337</v>
      </c>
      <c r="S54" s="86">
        <f t="shared" si="2"/>
        <v>4.8</v>
      </c>
      <c r="T54" s="87">
        <f t="shared" si="3"/>
        <v>5.28</v>
      </c>
      <c r="U54" s="87" cm="1">
        <f t="array" ref="U54">IF(AND(H54&lt;&gt;"YES",P54&lt;&gt;"",R54&lt;&gt;"",Q54&lt;&gt;""),
_xlfn.SWITCH(Q54,
"INR",_xlfn.SWITCH(R54,"KG",P54*S54,"CTN",P54,"UNIT",P54*N54,"NET",P54/M54,0),
"USD",_xlfn.SWITCH(R54,"KG",P54*S54*SI!$C$10,"CTN",P54*SI!$C$10,"UNIT",P54*N54*SI!$C$10,"NET",P54*SI!$C$10/M54,0),
"LKR",_xlfn.SWITCH(R54,"KG",P54*S54/SI!$C$9,"CTN",P54/SI!$C$9,"UNIT",P54*N54/SI!$C$9,"NET",P54/(M54*SI!$C$9),0),
0),
"")</f>
        <v>1096.5888</v>
      </c>
      <c r="V54" s="87">
        <f t="shared" si="4"/>
        <v>48</v>
      </c>
      <c r="W54" s="87">
        <f t="shared" si="5"/>
        <v>52.800000000000004</v>
      </c>
      <c r="X54" s="88">
        <f t="shared" si="6"/>
        <v>10965.887999999999</v>
      </c>
      <c r="Y54" s="24">
        <f t="shared" si="7"/>
        <v>240</v>
      </c>
      <c r="Z54" s="267">
        <f>IF(AND(H54&lt;&gt;"yes",F54&lt;&gt;""),IFERROR(VLOOKUP(F54,DUTY_2025!A:F,5,FALSE),""),"")</f>
        <v>570</v>
      </c>
      <c r="AA54" s="271">
        <f t="shared" si="8"/>
        <v>10444</v>
      </c>
      <c r="AB54" s="16">
        <f t="shared" si="9"/>
        <v>521.88799999999901</v>
      </c>
      <c r="AC54" s="16">
        <f>IF(AA54&lt;&gt;"",ROUND(AA54*SI!$C$9,0),"")</f>
        <v>36763</v>
      </c>
      <c r="AD54" s="4">
        <f>IF(AC54&lt;&gt;"",ROUND(AC54/(SI!$C$9*SI!$C$10),2),"")</f>
        <v>109.72</v>
      </c>
      <c r="AE54" s="30">
        <f>IF(AND(X54&lt;&gt;""), ROUND((SI!$E$23)*(X54/SUM($X$5:$X$493)),0),"")</f>
        <v>2856</v>
      </c>
      <c r="AF54" s="272">
        <f t="shared" si="10"/>
        <v>39619</v>
      </c>
      <c r="AG54" s="28">
        <f t="shared" si="11"/>
        <v>27360</v>
      </c>
      <c r="AH54" s="4">
        <f>IF(AD54&lt;&gt;"",ROUND(AD54*10*SI!$C$9/2,0),"")</f>
        <v>1931</v>
      </c>
      <c r="AI54" s="29">
        <f>IF(AND(X54&lt;&gt;""), ROUND((SI!$E$28)*(X54/SUM($X$5:$X$493)),0),"")</f>
        <v>8114</v>
      </c>
      <c r="AJ54" s="4">
        <f t="shared" si="12"/>
        <v>37405</v>
      </c>
      <c r="AK54" s="4">
        <f t="shared" si="13"/>
        <v>156</v>
      </c>
      <c r="AL54" s="4">
        <f t="shared" si="14"/>
        <v>165</v>
      </c>
      <c r="AM54" s="4">
        <f t="shared" si="15"/>
        <v>321</v>
      </c>
      <c r="AN54" s="195">
        <f t="shared" si="16"/>
        <v>77024</v>
      </c>
      <c r="AO54" s="261">
        <f>IF(AND(AM54&lt;&gt;"",P54&lt;&gt;""),ROUND((AM54*((100+SI!$C$11)/100)),0),"")</f>
        <v>369</v>
      </c>
      <c r="AP54" s="28">
        <f>IF(AG54&lt;&gt;"",ROUND(AG54/SI!$C$9,2),"")</f>
        <v>7772.73</v>
      </c>
      <c r="AQ54" s="4">
        <f>IF(AH54&lt;&gt;"",ROUND(AH54/SI!$C$9,2),"")</f>
        <v>548.58000000000004</v>
      </c>
      <c r="AR54" s="29">
        <f>IF(AI54&lt;&gt;"",ROUND(AI54/SI!$C$9,2),"")</f>
        <v>2305.11</v>
      </c>
      <c r="AS54" s="4">
        <f t="shared" si="17"/>
        <v>10626.42</v>
      </c>
      <c r="AT54" s="4">
        <f t="shared" si="18"/>
        <v>44.28</v>
      </c>
      <c r="AU54" s="4">
        <f>IF(AL54&lt;&gt;"",ROUND(AL54/SI!$C$9,2),"")</f>
        <v>46.88</v>
      </c>
      <c r="AV54" s="4">
        <f>IF(AM54&lt;&gt;"",ROUND(AM54/SI!$C$9,2),"")</f>
        <v>91.19</v>
      </c>
      <c r="AW54" s="4">
        <f>IF(AN54&lt;&gt;"",ROUND(AN54/SI!$C$9,2),"")</f>
        <v>21881.82</v>
      </c>
      <c r="AX54" s="261">
        <f>IF(AO54&lt;&gt;"",ROUND(AO54/SI!$C$9,2),"")</f>
        <v>104.83</v>
      </c>
      <c r="AY54" s="28">
        <f t="shared" si="19"/>
        <v>39619</v>
      </c>
      <c r="AZ54" s="4">
        <f>IF(AY54&lt;&gt;"",ROUND(AY54/(SI!$C$9*SI!$C$10),2),"")</f>
        <v>118.24</v>
      </c>
      <c r="BA54" s="4">
        <f t="shared" si="20"/>
        <v>31695.200000000001</v>
      </c>
      <c r="BB54" s="4">
        <f t="shared" si="21"/>
        <v>94.59</v>
      </c>
      <c r="BC54" s="4">
        <f t="shared" si="22"/>
        <v>0.39400000000000002</v>
      </c>
      <c r="BD54" s="4">
        <f t="shared" si="23"/>
        <v>1.9710000000000001</v>
      </c>
      <c r="BE54" s="4">
        <f>IF(AND(X54&lt;&gt;""),ROUND(X54/SI!$C$10,2),"")</f>
        <v>115.2</v>
      </c>
      <c r="BF54" s="4">
        <f t="shared" si="25"/>
        <v>0.48</v>
      </c>
      <c r="BG54" s="264">
        <f t="shared" si="24"/>
        <v>2.4</v>
      </c>
      <c r="BH54" s="71">
        <f>IF(F54&lt;&gt;"",VLOOKUP(F54,DUTY_2025!A:O,15,FALSE),"")</f>
        <v>80</v>
      </c>
    </row>
    <row r="55" spans="1:60" x14ac:dyDescent="0.25">
      <c r="A55" s="133">
        <f t="shared" si="0"/>
        <v>51</v>
      </c>
      <c r="B55" s="83">
        <f t="shared" si="1"/>
        <v>51</v>
      </c>
      <c r="C55" s="126">
        <v>1</v>
      </c>
      <c r="D55" s="127"/>
      <c r="E55" s="91"/>
      <c r="F55" s="301" t="s">
        <v>66</v>
      </c>
      <c r="G55" s="27">
        <f>IF(F55&lt;&gt;"",IFERROR(VLOOKUP(F55,DUTY_2025!A:I,6,FALSE),""),"")</f>
        <v>0</v>
      </c>
      <c r="H55" s="85" t="s">
        <v>133</v>
      </c>
      <c r="I55" s="27" t="str">
        <f>IF(F55&lt;&gt;"",IFERROR(VLOOKUP(F55,DUTY_2025!A:H,2,FALSE),""),"")</f>
        <v>HEALTH MIXES</v>
      </c>
      <c r="J55" s="23" t="s">
        <v>558</v>
      </c>
      <c r="K55" s="90">
        <v>0</v>
      </c>
      <c r="L55" s="92">
        <v>200</v>
      </c>
      <c r="M55" s="22">
        <v>3</v>
      </c>
      <c r="N55" s="90">
        <v>24</v>
      </c>
      <c r="O55" s="25">
        <v>5</v>
      </c>
      <c r="P55" s="300">
        <v>30.96</v>
      </c>
      <c r="Q55" s="23" t="s">
        <v>577</v>
      </c>
      <c r="R55" s="27" t="s">
        <v>337</v>
      </c>
      <c r="S55" s="86">
        <f t="shared" si="2"/>
        <v>4.8</v>
      </c>
      <c r="T55" s="87">
        <f t="shared" si="3"/>
        <v>5.28</v>
      </c>
      <c r="U55" s="87" cm="1">
        <f t="array" ref="U55">IF(AND(H55&lt;&gt;"YES",P55&lt;&gt;"",R55&lt;&gt;"",Q55&lt;&gt;""),
_xlfn.SWITCH(Q55,
"INR",_xlfn.SWITCH(R55,"KG",P55*S55,"CTN",P55,"UNIT",P55*N55,"NET",P55/M55,0),
"USD",_xlfn.SWITCH(R55,"KG",P55*S55*SI!$C$10,"CTN",P55*SI!$C$10,"UNIT",P55*N55*SI!$C$10,"NET",P55*SI!$C$10/M55,0),
"LKR",_xlfn.SWITCH(R55,"KG",P55*S55/SI!$C$9,"CTN",P55/SI!$C$9,"UNIT",P55*N55/SI!$C$9,"NET",P55/(M55*SI!$C$9),0),
0),
"")</f>
        <v>982.36080000000004</v>
      </c>
      <c r="V55" s="87">
        <f t="shared" si="4"/>
        <v>14.399999999999999</v>
      </c>
      <c r="W55" s="87">
        <f t="shared" si="5"/>
        <v>15.84</v>
      </c>
      <c r="X55" s="88">
        <f t="shared" si="6"/>
        <v>2947.0824000000002</v>
      </c>
      <c r="Y55" s="24">
        <f t="shared" si="7"/>
        <v>72</v>
      </c>
      <c r="Z55" s="267">
        <f>IF(AND(H55&lt;&gt;"yes",F55&lt;&gt;""),IFERROR(VLOOKUP(F55,DUTY_2025!A:F,5,FALSE),""),"")</f>
        <v>570</v>
      </c>
      <c r="AA55" s="271">
        <f t="shared" si="8"/>
        <v>2807</v>
      </c>
      <c r="AB55" s="16">
        <f t="shared" si="9"/>
        <v>140.08240000000023</v>
      </c>
      <c r="AC55" s="16">
        <f>IF(AA55&lt;&gt;"",ROUND(AA55*SI!$C$9,0),"")</f>
        <v>9881</v>
      </c>
      <c r="AD55" s="4">
        <f>IF(AC55&lt;&gt;"",ROUND(AC55/(SI!$C$9*SI!$C$10),2),"")</f>
        <v>29.49</v>
      </c>
      <c r="AE55" s="30">
        <f>IF(AND(X55&lt;&gt;""), ROUND((SI!$E$23)*(X55/SUM($X$5:$X$493)),0),"")</f>
        <v>768</v>
      </c>
      <c r="AF55" s="272">
        <f t="shared" si="10"/>
        <v>10649</v>
      </c>
      <c r="AG55" s="28">
        <f t="shared" si="11"/>
        <v>8208</v>
      </c>
      <c r="AH55" s="4">
        <f>IF(AD55&lt;&gt;"",ROUND(AD55*10*SI!$C$9/2,0),"")</f>
        <v>519</v>
      </c>
      <c r="AI55" s="29">
        <f>IF(AND(X55&lt;&gt;""), ROUND((SI!$E$28)*(X55/SUM($X$5:$X$493)),0),"")</f>
        <v>2181</v>
      </c>
      <c r="AJ55" s="4">
        <f t="shared" si="12"/>
        <v>10908</v>
      </c>
      <c r="AK55" s="4">
        <f t="shared" si="13"/>
        <v>152</v>
      </c>
      <c r="AL55" s="4">
        <f t="shared" si="14"/>
        <v>148</v>
      </c>
      <c r="AM55" s="4">
        <f t="shared" si="15"/>
        <v>300</v>
      </c>
      <c r="AN55" s="195">
        <f t="shared" si="16"/>
        <v>21557</v>
      </c>
      <c r="AO55" s="261">
        <f>IF(AND(AM55&lt;&gt;"",P55&lt;&gt;""),ROUND((AM55*((100+SI!$C$11)/100)),0),"")</f>
        <v>345</v>
      </c>
      <c r="AP55" s="28">
        <f>IF(AG55&lt;&gt;"",ROUND(AG55/SI!$C$9,2),"")</f>
        <v>2331.8200000000002</v>
      </c>
      <c r="AQ55" s="4">
        <f>IF(AH55&lt;&gt;"",ROUND(AH55/SI!$C$9,2),"")</f>
        <v>147.44</v>
      </c>
      <c r="AR55" s="29">
        <f>IF(AI55&lt;&gt;"",ROUND(AI55/SI!$C$9,2),"")</f>
        <v>619.6</v>
      </c>
      <c r="AS55" s="4">
        <f t="shared" si="17"/>
        <v>3098.86</v>
      </c>
      <c r="AT55" s="4">
        <f t="shared" si="18"/>
        <v>43.04</v>
      </c>
      <c r="AU55" s="4">
        <f>IF(AL55&lt;&gt;"",ROUND(AL55/SI!$C$9,2),"")</f>
        <v>42.05</v>
      </c>
      <c r="AV55" s="4">
        <f>IF(AM55&lt;&gt;"",ROUND(AM55/SI!$C$9,2),"")</f>
        <v>85.23</v>
      </c>
      <c r="AW55" s="4">
        <f>IF(AN55&lt;&gt;"",ROUND(AN55/SI!$C$9,2),"")</f>
        <v>6124.15</v>
      </c>
      <c r="AX55" s="261">
        <f>IF(AO55&lt;&gt;"",ROUND(AO55/SI!$C$9,2),"")</f>
        <v>98.01</v>
      </c>
      <c r="AY55" s="28">
        <f t="shared" si="19"/>
        <v>10649</v>
      </c>
      <c r="AZ55" s="4">
        <f>IF(AY55&lt;&gt;"",ROUND(AY55/(SI!$C$9*SI!$C$10),2),"")</f>
        <v>31.78</v>
      </c>
      <c r="BA55" s="4">
        <f t="shared" si="20"/>
        <v>8519.2000000000007</v>
      </c>
      <c r="BB55" s="4">
        <f t="shared" si="21"/>
        <v>25.42</v>
      </c>
      <c r="BC55" s="4">
        <f t="shared" si="22"/>
        <v>0.35299999999999998</v>
      </c>
      <c r="BD55" s="4">
        <f t="shared" si="23"/>
        <v>1.7649999999999999</v>
      </c>
      <c r="BE55" s="4">
        <f>IF(AND(X55&lt;&gt;""),ROUND(X55/SI!$C$10,2),"")</f>
        <v>30.96</v>
      </c>
      <c r="BF55" s="4">
        <f t="shared" si="25"/>
        <v>0.43</v>
      </c>
      <c r="BG55" s="264">
        <f t="shared" si="24"/>
        <v>2.15</v>
      </c>
      <c r="BH55" s="71">
        <f>IF(F55&lt;&gt;"",VLOOKUP(F55,DUTY_2025!A:O,15,FALSE),"")</f>
        <v>80</v>
      </c>
    </row>
    <row r="56" spans="1:60" x14ac:dyDescent="0.25">
      <c r="A56" s="133">
        <f t="shared" si="0"/>
        <v>52</v>
      </c>
      <c r="B56" s="83">
        <f t="shared" si="1"/>
        <v>52</v>
      </c>
      <c r="C56" s="126">
        <v>1</v>
      </c>
      <c r="D56" s="127"/>
      <c r="E56" s="91"/>
      <c r="F56" s="301" t="s">
        <v>66</v>
      </c>
      <c r="G56" s="27">
        <f>IF(F56&lt;&gt;"",IFERROR(VLOOKUP(F56,DUTY_2025!A:I,6,FALSE),""),"")</f>
        <v>0</v>
      </c>
      <c r="H56" s="85" t="s">
        <v>133</v>
      </c>
      <c r="I56" s="27" t="str">
        <f>IF(F56&lt;&gt;"",IFERROR(VLOOKUP(F56,DUTY_2025!A:H,2,FALSE),""),"")</f>
        <v>HEALTH MIXES</v>
      </c>
      <c r="J56" s="23" t="s">
        <v>559</v>
      </c>
      <c r="K56" s="90">
        <v>0</v>
      </c>
      <c r="L56" s="92">
        <v>200</v>
      </c>
      <c r="M56" s="22">
        <v>2</v>
      </c>
      <c r="N56" s="90">
        <v>24</v>
      </c>
      <c r="O56" s="25">
        <v>5</v>
      </c>
      <c r="P56" s="300">
        <v>20.64</v>
      </c>
      <c r="Q56" s="23" t="s">
        <v>577</v>
      </c>
      <c r="R56" s="27" t="s">
        <v>337</v>
      </c>
      <c r="S56" s="86">
        <f t="shared" si="2"/>
        <v>4.8</v>
      </c>
      <c r="T56" s="87">
        <f t="shared" si="3"/>
        <v>5.28</v>
      </c>
      <c r="U56" s="87" cm="1">
        <f t="array" ref="U56">IF(AND(H56&lt;&gt;"YES",P56&lt;&gt;"",R56&lt;&gt;"",Q56&lt;&gt;""),
_xlfn.SWITCH(Q56,
"INR",_xlfn.SWITCH(R56,"KG",P56*S56,"CTN",P56,"UNIT",P56*N56,"NET",P56/M56,0),
"USD",_xlfn.SWITCH(R56,"KG",P56*S56*SI!$C$10,"CTN",P56*SI!$C$10,"UNIT",P56*N56*SI!$C$10,"NET",P56*SI!$C$10/M56,0),
"LKR",_xlfn.SWITCH(R56,"KG",P56*S56/SI!$C$9,"CTN",P56/SI!$C$9,"UNIT",P56*N56/SI!$C$9,"NET",P56/(M56*SI!$C$9),0),
0),
"")</f>
        <v>982.36080000000004</v>
      </c>
      <c r="V56" s="87">
        <f t="shared" si="4"/>
        <v>9.6</v>
      </c>
      <c r="W56" s="87">
        <f t="shared" si="5"/>
        <v>10.56</v>
      </c>
      <c r="X56" s="88">
        <f t="shared" si="6"/>
        <v>1964.7216000000001</v>
      </c>
      <c r="Y56" s="24">
        <f t="shared" si="7"/>
        <v>48</v>
      </c>
      <c r="Z56" s="267">
        <f>IF(AND(H56&lt;&gt;"yes",F56&lt;&gt;""),IFERROR(VLOOKUP(F56,DUTY_2025!A:F,5,FALSE),""),"")</f>
        <v>570</v>
      </c>
      <c r="AA56" s="271">
        <f t="shared" si="8"/>
        <v>1871</v>
      </c>
      <c r="AB56" s="16">
        <f t="shared" si="9"/>
        <v>93.72160000000008</v>
      </c>
      <c r="AC56" s="16">
        <f>IF(AA56&lt;&gt;"",ROUND(AA56*SI!$C$9,0),"")</f>
        <v>6586</v>
      </c>
      <c r="AD56" s="4">
        <f>IF(AC56&lt;&gt;"",ROUND(AC56/(SI!$C$9*SI!$C$10),2),"")</f>
        <v>19.66</v>
      </c>
      <c r="AE56" s="30">
        <f>IF(AND(X56&lt;&gt;""), ROUND((SI!$E$23)*(X56/SUM($X$5:$X$493)),0),"")</f>
        <v>512</v>
      </c>
      <c r="AF56" s="272">
        <f t="shared" si="10"/>
        <v>7098</v>
      </c>
      <c r="AG56" s="28">
        <f t="shared" si="11"/>
        <v>5472</v>
      </c>
      <c r="AH56" s="4">
        <f>IF(AD56&lt;&gt;"",ROUND(AD56*10*SI!$C$9/2,0),"")</f>
        <v>346</v>
      </c>
      <c r="AI56" s="29">
        <f>IF(AND(X56&lt;&gt;""), ROUND((SI!$E$28)*(X56/SUM($X$5:$X$493)),0),"")</f>
        <v>1454</v>
      </c>
      <c r="AJ56" s="4">
        <f t="shared" si="12"/>
        <v>7272</v>
      </c>
      <c r="AK56" s="4">
        <f t="shared" si="13"/>
        <v>152</v>
      </c>
      <c r="AL56" s="4">
        <f t="shared" si="14"/>
        <v>148</v>
      </c>
      <c r="AM56" s="4">
        <f t="shared" si="15"/>
        <v>300</v>
      </c>
      <c r="AN56" s="195">
        <f t="shared" si="16"/>
        <v>14370</v>
      </c>
      <c r="AO56" s="261">
        <f>IF(AND(AM56&lt;&gt;"",P56&lt;&gt;""),ROUND((AM56*((100+SI!$C$11)/100)),0),"")</f>
        <v>345</v>
      </c>
      <c r="AP56" s="28">
        <f>IF(AG56&lt;&gt;"",ROUND(AG56/SI!$C$9,2),"")</f>
        <v>1554.55</v>
      </c>
      <c r="AQ56" s="4">
        <f>IF(AH56&lt;&gt;"",ROUND(AH56/SI!$C$9,2),"")</f>
        <v>98.3</v>
      </c>
      <c r="AR56" s="29">
        <f>IF(AI56&lt;&gt;"",ROUND(AI56/SI!$C$9,2),"")</f>
        <v>413.07</v>
      </c>
      <c r="AS56" s="4">
        <f t="shared" si="17"/>
        <v>2065.92</v>
      </c>
      <c r="AT56" s="4">
        <f t="shared" si="18"/>
        <v>43.04</v>
      </c>
      <c r="AU56" s="4">
        <f>IF(AL56&lt;&gt;"",ROUND(AL56/SI!$C$9,2),"")</f>
        <v>42.05</v>
      </c>
      <c r="AV56" s="4">
        <f>IF(AM56&lt;&gt;"",ROUND(AM56/SI!$C$9,2),"")</f>
        <v>85.23</v>
      </c>
      <c r="AW56" s="4">
        <f>IF(AN56&lt;&gt;"",ROUND(AN56/SI!$C$9,2),"")</f>
        <v>4082.39</v>
      </c>
      <c r="AX56" s="261">
        <f>IF(AO56&lt;&gt;"",ROUND(AO56/SI!$C$9,2),"")</f>
        <v>98.01</v>
      </c>
      <c r="AY56" s="28">
        <f t="shared" si="19"/>
        <v>7098</v>
      </c>
      <c r="AZ56" s="4">
        <f>IF(AY56&lt;&gt;"",ROUND(AY56/(SI!$C$9*SI!$C$10),2),"")</f>
        <v>21.18</v>
      </c>
      <c r="BA56" s="4">
        <f t="shared" si="20"/>
        <v>5678.4</v>
      </c>
      <c r="BB56" s="4">
        <f t="shared" si="21"/>
        <v>16.940000000000001</v>
      </c>
      <c r="BC56" s="4">
        <f t="shared" si="22"/>
        <v>0.35299999999999998</v>
      </c>
      <c r="BD56" s="4">
        <f t="shared" si="23"/>
        <v>1.7649999999999999</v>
      </c>
      <c r="BE56" s="4">
        <f>IF(AND(X56&lt;&gt;""),ROUND(X56/SI!$C$10,2),"")</f>
        <v>20.64</v>
      </c>
      <c r="BF56" s="4">
        <f t="shared" si="25"/>
        <v>0.43</v>
      </c>
      <c r="BG56" s="264">
        <f t="shared" si="24"/>
        <v>2.15</v>
      </c>
      <c r="BH56" s="71">
        <f>IF(F56&lt;&gt;"",VLOOKUP(F56,DUTY_2025!A:O,15,FALSE),"")</f>
        <v>80</v>
      </c>
    </row>
    <row r="57" spans="1:60" x14ac:dyDescent="0.25">
      <c r="A57" s="133">
        <f t="shared" si="0"/>
        <v>53</v>
      </c>
      <c r="B57" s="83">
        <f t="shared" si="1"/>
        <v>53</v>
      </c>
      <c r="C57" s="126">
        <v>1</v>
      </c>
      <c r="D57" s="127"/>
      <c r="E57" s="91"/>
      <c r="F57" s="301" t="s">
        <v>66</v>
      </c>
      <c r="G57" s="27">
        <f>IF(F57&lt;&gt;"",IFERROR(VLOOKUP(F57,DUTY_2025!A:I,6,FALSE),""),"")</f>
        <v>0</v>
      </c>
      <c r="H57" s="85" t="s">
        <v>133</v>
      </c>
      <c r="I57" s="27" t="str">
        <f>IF(F57&lt;&gt;"",IFERROR(VLOOKUP(F57,DUTY_2025!A:H,2,FALSE),""),"")</f>
        <v>HEALTH MIXES</v>
      </c>
      <c r="J57" s="23" t="s">
        <v>560</v>
      </c>
      <c r="K57" s="90">
        <v>0</v>
      </c>
      <c r="L57" s="92">
        <v>200</v>
      </c>
      <c r="M57" s="22">
        <v>2</v>
      </c>
      <c r="N57" s="90">
        <v>24</v>
      </c>
      <c r="O57" s="25">
        <v>5</v>
      </c>
      <c r="P57" s="300">
        <v>26.880000000000003</v>
      </c>
      <c r="Q57" s="23" t="s">
        <v>577</v>
      </c>
      <c r="R57" s="27" t="s">
        <v>337</v>
      </c>
      <c r="S57" s="86">
        <f t="shared" si="2"/>
        <v>4.8</v>
      </c>
      <c r="T57" s="87">
        <f t="shared" si="3"/>
        <v>5.28</v>
      </c>
      <c r="U57" s="87" cm="1">
        <f t="array" ref="U57">IF(AND(H57&lt;&gt;"YES",P57&lt;&gt;"",R57&lt;&gt;"",Q57&lt;&gt;""),
_xlfn.SWITCH(Q57,
"INR",_xlfn.SWITCH(R57,"KG",P57*S57,"CTN",P57,"UNIT",P57*N57,"NET",P57/M57,0),
"USD",_xlfn.SWITCH(R57,"KG",P57*S57*SI!$C$10,"CTN",P57*SI!$C$10,"UNIT",P57*N57*SI!$C$10,"NET",P57*SI!$C$10/M57,0),
"LKR",_xlfn.SWITCH(R57,"KG",P57*S57/SI!$C$9,"CTN",P57/SI!$C$9,"UNIT",P57*N57/SI!$C$9,"NET",P57/(M57*SI!$C$9),0),
0),
"")</f>
        <v>1279.3536000000001</v>
      </c>
      <c r="V57" s="87">
        <f t="shared" si="4"/>
        <v>9.6</v>
      </c>
      <c r="W57" s="87">
        <f t="shared" si="5"/>
        <v>10.56</v>
      </c>
      <c r="X57" s="88">
        <f t="shared" si="6"/>
        <v>2558.7072000000003</v>
      </c>
      <c r="Y57" s="24">
        <f t="shared" si="7"/>
        <v>48</v>
      </c>
      <c r="Z57" s="267">
        <f>IF(AND(H57&lt;&gt;"yes",F57&lt;&gt;""),IFERROR(VLOOKUP(F57,DUTY_2025!A:F,5,FALSE),""),"")</f>
        <v>570</v>
      </c>
      <c r="AA57" s="271">
        <f t="shared" si="8"/>
        <v>2437</v>
      </c>
      <c r="AB57" s="16">
        <f t="shared" si="9"/>
        <v>121.70720000000028</v>
      </c>
      <c r="AC57" s="16">
        <f>IF(AA57&lt;&gt;"",ROUND(AA57*SI!$C$9,0),"")</f>
        <v>8578</v>
      </c>
      <c r="AD57" s="4">
        <f>IF(AC57&lt;&gt;"",ROUND(AC57/(SI!$C$9*SI!$C$10),2),"")</f>
        <v>25.6</v>
      </c>
      <c r="AE57" s="30">
        <f>IF(AND(X57&lt;&gt;""), ROUND((SI!$E$23)*(X57/SUM($X$5:$X$493)),0),"")</f>
        <v>666</v>
      </c>
      <c r="AF57" s="272">
        <f t="shared" si="10"/>
        <v>9244</v>
      </c>
      <c r="AG57" s="28">
        <f t="shared" si="11"/>
        <v>5472</v>
      </c>
      <c r="AH57" s="4">
        <f>IF(AD57&lt;&gt;"",ROUND(AD57*10*SI!$C$9/2,0),"")</f>
        <v>451</v>
      </c>
      <c r="AI57" s="29">
        <f>IF(AND(X57&lt;&gt;""), ROUND((SI!$E$28)*(X57/SUM($X$5:$X$493)),0),"")</f>
        <v>1893</v>
      </c>
      <c r="AJ57" s="4">
        <f t="shared" si="12"/>
        <v>7816</v>
      </c>
      <c r="AK57" s="4">
        <f t="shared" si="13"/>
        <v>163</v>
      </c>
      <c r="AL57" s="4">
        <f t="shared" si="14"/>
        <v>193</v>
      </c>
      <c r="AM57" s="4">
        <f t="shared" si="15"/>
        <v>356</v>
      </c>
      <c r="AN57" s="195">
        <f t="shared" si="16"/>
        <v>17060</v>
      </c>
      <c r="AO57" s="261">
        <f>IF(AND(AM57&lt;&gt;"",P57&lt;&gt;""),ROUND((AM57*((100+SI!$C$11)/100)),0),"")</f>
        <v>409</v>
      </c>
      <c r="AP57" s="28">
        <f>IF(AG57&lt;&gt;"",ROUND(AG57/SI!$C$9,2),"")</f>
        <v>1554.55</v>
      </c>
      <c r="AQ57" s="4">
        <f>IF(AH57&lt;&gt;"",ROUND(AH57/SI!$C$9,2),"")</f>
        <v>128.13</v>
      </c>
      <c r="AR57" s="29">
        <f>IF(AI57&lt;&gt;"",ROUND(AI57/SI!$C$9,2),"")</f>
        <v>537.78</v>
      </c>
      <c r="AS57" s="4">
        <f t="shared" si="17"/>
        <v>2220.46</v>
      </c>
      <c r="AT57" s="4">
        <f t="shared" si="18"/>
        <v>46.26</v>
      </c>
      <c r="AU57" s="4">
        <f>IF(AL57&lt;&gt;"",ROUND(AL57/SI!$C$9,2),"")</f>
        <v>54.83</v>
      </c>
      <c r="AV57" s="4">
        <f>IF(AM57&lt;&gt;"",ROUND(AM57/SI!$C$9,2),"")</f>
        <v>101.14</v>
      </c>
      <c r="AW57" s="4">
        <f>IF(AN57&lt;&gt;"",ROUND(AN57/SI!$C$9,2),"")</f>
        <v>4846.59</v>
      </c>
      <c r="AX57" s="261">
        <f>IF(AO57&lt;&gt;"",ROUND(AO57/SI!$C$9,2),"")</f>
        <v>116.19</v>
      </c>
      <c r="AY57" s="28">
        <f t="shared" si="19"/>
        <v>9244</v>
      </c>
      <c r="AZ57" s="4">
        <f>IF(AY57&lt;&gt;"",ROUND(AY57/(SI!$C$9*SI!$C$10),2),"")</f>
        <v>27.59</v>
      </c>
      <c r="BA57" s="4">
        <f t="shared" si="20"/>
        <v>7395.2</v>
      </c>
      <c r="BB57" s="4">
        <f t="shared" si="21"/>
        <v>22.07</v>
      </c>
      <c r="BC57" s="4">
        <f t="shared" si="22"/>
        <v>0.46</v>
      </c>
      <c r="BD57" s="4">
        <f t="shared" si="23"/>
        <v>2.2989999999999999</v>
      </c>
      <c r="BE57" s="4">
        <f>IF(AND(X57&lt;&gt;""),ROUND(X57/SI!$C$10,2),"")</f>
        <v>26.88</v>
      </c>
      <c r="BF57" s="4">
        <f t="shared" si="25"/>
        <v>0.56000000000000005</v>
      </c>
      <c r="BG57" s="264">
        <f t="shared" si="24"/>
        <v>2.8</v>
      </c>
      <c r="BH57" s="71">
        <f>IF(F57&lt;&gt;"",VLOOKUP(F57,DUTY_2025!A:O,15,FALSE),"")</f>
        <v>80</v>
      </c>
    </row>
    <row r="58" spans="1:60" x14ac:dyDescent="0.25">
      <c r="A58" s="133">
        <f t="shared" si="0"/>
        <v>54</v>
      </c>
      <c r="B58" s="83">
        <f t="shared" si="1"/>
        <v>54</v>
      </c>
      <c r="C58" s="126">
        <v>1</v>
      </c>
      <c r="D58" s="127"/>
      <c r="E58" s="91"/>
      <c r="F58" s="301" t="s">
        <v>66</v>
      </c>
      <c r="G58" s="27">
        <f>IF(F58&lt;&gt;"",IFERROR(VLOOKUP(F58,DUTY_2025!A:I,6,FALSE),""),"")</f>
        <v>0</v>
      </c>
      <c r="H58" s="85" t="s">
        <v>133</v>
      </c>
      <c r="I58" s="27" t="str">
        <f>IF(F58&lt;&gt;"",IFERROR(VLOOKUP(F58,DUTY_2025!A:H,2,FALSE),""),"")</f>
        <v>HEALTH MIXES</v>
      </c>
      <c r="J58" s="23" t="s">
        <v>561</v>
      </c>
      <c r="K58" s="90">
        <v>0</v>
      </c>
      <c r="L58" s="92">
        <v>200</v>
      </c>
      <c r="M58" s="22">
        <v>3</v>
      </c>
      <c r="N58" s="90">
        <v>24</v>
      </c>
      <c r="O58" s="25">
        <v>5</v>
      </c>
      <c r="P58" s="300">
        <v>34.56</v>
      </c>
      <c r="Q58" s="23" t="s">
        <v>577</v>
      </c>
      <c r="R58" s="27" t="s">
        <v>337</v>
      </c>
      <c r="S58" s="86">
        <f t="shared" si="2"/>
        <v>4.8</v>
      </c>
      <c r="T58" s="87">
        <f t="shared" si="3"/>
        <v>5.28</v>
      </c>
      <c r="U58" s="87" cm="1">
        <f t="array" ref="U58">IF(AND(H58&lt;&gt;"YES",P58&lt;&gt;"",R58&lt;&gt;"",Q58&lt;&gt;""),
_xlfn.SWITCH(Q58,
"INR",_xlfn.SWITCH(R58,"KG",P58*S58,"CTN",P58,"UNIT",P58*N58,"NET",P58/M58,0),
"USD",_xlfn.SWITCH(R58,"KG",P58*S58*SI!$C$10,"CTN",P58*SI!$C$10,"UNIT",P58*N58*SI!$C$10,"NET",P58*SI!$C$10/M58,0),
"LKR",_xlfn.SWITCH(R58,"KG",P58*S58/SI!$C$9,"CTN",P58/SI!$C$9,"UNIT",P58*N58/SI!$C$9,"NET",P58/(M58*SI!$C$9),0),
0),
"")</f>
        <v>1096.5888</v>
      </c>
      <c r="V58" s="87">
        <f t="shared" si="4"/>
        <v>14.399999999999999</v>
      </c>
      <c r="W58" s="87">
        <f t="shared" si="5"/>
        <v>15.84</v>
      </c>
      <c r="X58" s="88">
        <f t="shared" si="6"/>
        <v>3289.7664</v>
      </c>
      <c r="Y58" s="24">
        <f t="shared" si="7"/>
        <v>72</v>
      </c>
      <c r="Z58" s="267">
        <f>IF(AND(H58&lt;&gt;"yes",F58&lt;&gt;""),IFERROR(VLOOKUP(F58,DUTY_2025!A:F,5,FALSE),""),"")</f>
        <v>570</v>
      </c>
      <c r="AA58" s="271">
        <f t="shared" si="8"/>
        <v>3133</v>
      </c>
      <c r="AB58" s="16">
        <f t="shared" si="9"/>
        <v>156.76639999999998</v>
      </c>
      <c r="AC58" s="16">
        <f>IF(AA58&lt;&gt;"",ROUND(AA58*SI!$C$9,0),"")</f>
        <v>11028</v>
      </c>
      <c r="AD58" s="4">
        <f>IF(AC58&lt;&gt;"",ROUND(AC58/(SI!$C$9*SI!$C$10),2),"")</f>
        <v>32.909999999999997</v>
      </c>
      <c r="AE58" s="30">
        <f>IF(AND(X58&lt;&gt;""), ROUND((SI!$E$23)*(X58/SUM($X$5:$X$493)),0),"")</f>
        <v>857</v>
      </c>
      <c r="AF58" s="272">
        <f t="shared" si="10"/>
        <v>11885</v>
      </c>
      <c r="AG58" s="28">
        <f t="shared" si="11"/>
        <v>8208</v>
      </c>
      <c r="AH58" s="4">
        <f>IF(AD58&lt;&gt;"",ROUND(AD58*10*SI!$C$9/2,0),"")</f>
        <v>579</v>
      </c>
      <c r="AI58" s="29">
        <f>IF(AND(X58&lt;&gt;""), ROUND((SI!$E$28)*(X58/SUM($X$5:$X$493)),0),"")</f>
        <v>2434</v>
      </c>
      <c r="AJ58" s="4">
        <f t="shared" si="12"/>
        <v>11221</v>
      </c>
      <c r="AK58" s="4">
        <f t="shared" si="13"/>
        <v>156</v>
      </c>
      <c r="AL58" s="4">
        <f t="shared" si="14"/>
        <v>165</v>
      </c>
      <c r="AM58" s="4">
        <f t="shared" si="15"/>
        <v>321</v>
      </c>
      <c r="AN58" s="195">
        <f t="shared" si="16"/>
        <v>23106</v>
      </c>
      <c r="AO58" s="261">
        <f>IF(AND(AM58&lt;&gt;"",P58&lt;&gt;""),ROUND((AM58*((100+SI!$C$11)/100)),0),"")</f>
        <v>369</v>
      </c>
      <c r="AP58" s="28">
        <f>IF(AG58&lt;&gt;"",ROUND(AG58/SI!$C$9,2),"")</f>
        <v>2331.8200000000002</v>
      </c>
      <c r="AQ58" s="4">
        <f>IF(AH58&lt;&gt;"",ROUND(AH58/SI!$C$9,2),"")</f>
        <v>164.49</v>
      </c>
      <c r="AR58" s="29">
        <f>IF(AI58&lt;&gt;"",ROUND(AI58/SI!$C$9,2),"")</f>
        <v>691.48</v>
      </c>
      <c r="AS58" s="4">
        <f t="shared" si="17"/>
        <v>3187.79</v>
      </c>
      <c r="AT58" s="4">
        <f t="shared" si="18"/>
        <v>44.27</v>
      </c>
      <c r="AU58" s="4">
        <f>IF(AL58&lt;&gt;"",ROUND(AL58/SI!$C$9,2),"")</f>
        <v>46.88</v>
      </c>
      <c r="AV58" s="4">
        <f>IF(AM58&lt;&gt;"",ROUND(AM58/SI!$C$9,2),"")</f>
        <v>91.19</v>
      </c>
      <c r="AW58" s="4">
        <f>IF(AN58&lt;&gt;"",ROUND(AN58/SI!$C$9,2),"")</f>
        <v>6564.2</v>
      </c>
      <c r="AX58" s="261">
        <f>IF(AO58&lt;&gt;"",ROUND(AO58/SI!$C$9,2),"")</f>
        <v>104.83</v>
      </c>
      <c r="AY58" s="28">
        <f t="shared" si="19"/>
        <v>11885</v>
      </c>
      <c r="AZ58" s="4">
        <f>IF(AY58&lt;&gt;"",ROUND(AY58/(SI!$C$9*SI!$C$10),2),"")</f>
        <v>35.47</v>
      </c>
      <c r="BA58" s="4">
        <f t="shared" si="20"/>
        <v>9508</v>
      </c>
      <c r="BB58" s="4">
        <f t="shared" si="21"/>
        <v>28.38</v>
      </c>
      <c r="BC58" s="4">
        <f t="shared" si="22"/>
        <v>0.39400000000000002</v>
      </c>
      <c r="BD58" s="4">
        <f t="shared" si="23"/>
        <v>1.9710000000000001</v>
      </c>
      <c r="BE58" s="4">
        <f>IF(AND(X58&lt;&gt;""),ROUND(X58/SI!$C$10,2),"")</f>
        <v>34.56</v>
      </c>
      <c r="BF58" s="4">
        <f t="shared" si="25"/>
        <v>0.48</v>
      </c>
      <c r="BG58" s="264">
        <f t="shared" si="24"/>
        <v>2.4</v>
      </c>
      <c r="BH58" s="71">
        <f>IF(F58&lt;&gt;"",VLOOKUP(F58,DUTY_2025!A:O,15,FALSE),"")</f>
        <v>80</v>
      </c>
    </row>
    <row r="59" spans="1:60" x14ac:dyDescent="0.25">
      <c r="A59" s="133">
        <f t="shared" si="0"/>
        <v>55</v>
      </c>
      <c r="B59" s="83">
        <f t="shared" si="1"/>
        <v>55</v>
      </c>
      <c r="C59" s="126">
        <v>1</v>
      </c>
      <c r="D59" s="127"/>
      <c r="E59" s="91"/>
      <c r="F59" s="301" t="s">
        <v>66</v>
      </c>
      <c r="G59" s="27">
        <f>IF(F59&lt;&gt;"",IFERROR(VLOOKUP(F59,DUTY_2025!A:I,6,FALSE),""),"")</f>
        <v>0</v>
      </c>
      <c r="H59" s="85" t="s">
        <v>133</v>
      </c>
      <c r="I59" s="27" t="str">
        <f>IF(F59&lt;&gt;"",IFERROR(VLOOKUP(F59,DUTY_2025!A:H,2,FALSE),""),"")</f>
        <v>HEALTH MIXES</v>
      </c>
      <c r="J59" s="23" t="s">
        <v>562</v>
      </c>
      <c r="K59" s="90">
        <v>0</v>
      </c>
      <c r="L59" s="92">
        <v>200</v>
      </c>
      <c r="M59" s="22">
        <v>5</v>
      </c>
      <c r="N59" s="90">
        <v>24</v>
      </c>
      <c r="O59" s="25">
        <v>5</v>
      </c>
      <c r="P59" s="300">
        <v>51.6</v>
      </c>
      <c r="Q59" s="23" t="s">
        <v>577</v>
      </c>
      <c r="R59" s="27" t="s">
        <v>337</v>
      </c>
      <c r="S59" s="86">
        <f t="shared" si="2"/>
        <v>4.8</v>
      </c>
      <c r="T59" s="87">
        <f t="shared" si="3"/>
        <v>5.28</v>
      </c>
      <c r="U59" s="87" cm="1">
        <f t="array" ref="U59">IF(AND(H59&lt;&gt;"YES",P59&lt;&gt;"",R59&lt;&gt;"",Q59&lt;&gt;""),
_xlfn.SWITCH(Q59,
"INR",_xlfn.SWITCH(R59,"KG",P59*S59,"CTN",P59,"UNIT",P59*N59,"NET",P59/M59,0),
"USD",_xlfn.SWITCH(R59,"KG",P59*S59*SI!$C$10,"CTN",P59*SI!$C$10,"UNIT",P59*N59*SI!$C$10,"NET",P59*SI!$C$10/M59,0),
"LKR",_xlfn.SWITCH(R59,"KG",P59*S59/SI!$C$9,"CTN",P59/SI!$C$9,"UNIT",P59*N59/SI!$C$9,"NET",P59/(M59*SI!$C$9),0),
0),
"")</f>
        <v>982.36080000000004</v>
      </c>
      <c r="V59" s="87">
        <f t="shared" si="4"/>
        <v>24</v>
      </c>
      <c r="W59" s="87">
        <f t="shared" si="5"/>
        <v>26.400000000000002</v>
      </c>
      <c r="X59" s="88">
        <f t="shared" si="6"/>
        <v>4911.8040000000001</v>
      </c>
      <c r="Y59" s="24">
        <f t="shared" si="7"/>
        <v>120</v>
      </c>
      <c r="Z59" s="267">
        <f>IF(AND(H59&lt;&gt;"yes",F59&lt;&gt;""),IFERROR(VLOOKUP(F59,DUTY_2025!A:F,5,FALSE),""),"")</f>
        <v>570</v>
      </c>
      <c r="AA59" s="271">
        <f t="shared" si="8"/>
        <v>4678</v>
      </c>
      <c r="AB59" s="16">
        <f t="shared" si="9"/>
        <v>233.80400000000009</v>
      </c>
      <c r="AC59" s="16">
        <f>IF(AA59&lt;&gt;"",ROUND(AA59*SI!$C$9,0),"")</f>
        <v>16467</v>
      </c>
      <c r="AD59" s="4">
        <f>IF(AC59&lt;&gt;"",ROUND(AC59/(SI!$C$9*SI!$C$10),2),"")</f>
        <v>49.15</v>
      </c>
      <c r="AE59" s="30">
        <f>IF(AND(X59&lt;&gt;""), ROUND((SI!$E$23)*(X59/SUM($X$5:$X$493)),0),"")</f>
        <v>1279</v>
      </c>
      <c r="AF59" s="272">
        <f t="shared" si="10"/>
        <v>17746</v>
      </c>
      <c r="AG59" s="28">
        <f t="shared" si="11"/>
        <v>13680</v>
      </c>
      <c r="AH59" s="4">
        <f>IF(AD59&lt;&gt;"",ROUND(AD59*10*SI!$C$9/2,0),"")</f>
        <v>865</v>
      </c>
      <c r="AI59" s="29">
        <f>IF(AND(X59&lt;&gt;""), ROUND((SI!$E$28)*(X59/SUM($X$5:$X$493)),0),"")</f>
        <v>3634</v>
      </c>
      <c r="AJ59" s="4">
        <f t="shared" si="12"/>
        <v>18179</v>
      </c>
      <c r="AK59" s="4">
        <f t="shared" si="13"/>
        <v>151</v>
      </c>
      <c r="AL59" s="4">
        <f t="shared" si="14"/>
        <v>148</v>
      </c>
      <c r="AM59" s="4">
        <f t="shared" si="15"/>
        <v>299</v>
      </c>
      <c r="AN59" s="195">
        <f t="shared" si="16"/>
        <v>35925</v>
      </c>
      <c r="AO59" s="261">
        <f>IF(AND(AM59&lt;&gt;"",P59&lt;&gt;""),ROUND((AM59*((100+SI!$C$11)/100)),0),"")</f>
        <v>344</v>
      </c>
      <c r="AP59" s="28">
        <f>IF(AG59&lt;&gt;"",ROUND(AG59/SI!$C$9,2),"")</f>
        <v>3886.36</v>
      </c>
      <c r="AQ59" s="4">
        <f>IF(AH59&lt;&gt;"",ROUND(AH59/SI!$C$9,2),"")</f>
        <v>245.74</v>
      </c>
      <c r="AR59" s="29">
        <f>IF(AI59&lt;&gt;"",ROUND(AI59/SI!$C$9,2),"")</f>
        <v>1032.3900000000001</v>
      </c>
      <c r="AS59" s="4">
        <f t="shared" si="17"/>
        <v>5164.49</v>
      </c>
      <c r="AT59" s="4">
        <f t="shared" si="18"/>
        <v>43.04</v>
      </c>
      <c r="AU59" s="4">
        <f>IF(AL59&lt;&gt;"",ROUND(AL59/SI!$C$9,2),"")</f>
        <v>42.05</v>
      </c>
      <c r="AV59" s="4">
        <f>IF(AM59&lt;&gt;"",ROUND(AM59/SI!$C$9,2),"")</f>
        <v>84.94</v>
      </c>
      <c r="AW59" s="4">
        <f>IF(AN59&lt;&gt;"",ROUND(AN59/SI!$C$9,2),"")</f>
        <v>10205.969999999999</v>
      </c>
      <c r="AX59" s="261">
        <f>IF(AO59&lt;&gt;"",ROUND(AO59/SI!$C$9,2),"")</f>
        <v>97.73</v>
      </c>
      <c r="AY59" s="28">
        <f t="shared" si="19"/>
        <v>17746</v>
      </c>
      <c r="AZ59" s="4">
        <f>IF(AY59&lt;&gt;"",ROUND(AY59/(SI!$C$9*SI!$C$10),2),"")</f>
        <v>52.96</v>
      </c>
      <c r="BA59" s="4">
        <f t="shared" si="20"/>
        <v>14196.8</v>
      </c>
      <c r="BB59" s="4">
        <f t="shared" si="21"/>
        <v>42.37</v>
      </c>
      <c r="BC59" s="4">
        <f t="shared" si="22"/>
        <v>0.35299999999999998</v>
      </c>
      <c r="BD59" s="4">
        <f t="shared" si="23"/>
        <v>1.7649999999999999</v>
      </c>
      <c r="BE59" s="4">
        <f>IF(AND(X59&lt;&gt;""),ROUND(X59/SI!$C$10,2),"")</f>
        <v>51.6</v>
      </c>
      <c r="BF59" s="4">
        <f t="shared" si="25"/>
        <v>0.43</v>
      </c>
      <c r="BG59" s="264">
        <f t="shared" si="24"/>
        <v>2.15</v>
      </c>
      <c r="BH59" s="71">
        <f>IF(F59&lt;&gt;"",VLOOKUP(F59,DUTY_2025!A:O,15,FALSE),"")</f>
        <v>80</v>
      </c>
    </row>
    <row r="60" spans="1:60" x14ac:dyDescent="0.25">
      <c r="A60" s="133">
        <f t="shared" si="0"/>
        <v>56</v>
      </c>
      <c r="B60" s="83">
        <f t="shared" si="1"/>
        <v>56</v>
      </c>
      <c r="C60" s="126">
        <v>1</v>
      </c>
      <c r="D60" s="127"/>
      <c r="E60" s="91"/>
      <c r="F60" s="301" t="s">
        <v>66</v>
      </c>
      <c r="G60" s="27">
        <f>IF(F60&lt;&gt;"",IFERROR(VLOOKUP(F60,DUTY_2025!A:I,6,FALSE),""),"")</f>
        <v>0</v>
      </c>
      <c r="H60" s="85" t="s">
        <v>133</v>
      </c>
      <c r="I60" s="27" t="str">
        <f>IF(F60&lt;&gt;"",IFERROR(VLOOKUP(F60,DUTY_2025!A:H,2,FALSE),""),"")</f>
        <v>HEALTH MIXES</v>
      </c>
      <c r="J60" s="23" t="s">
        <v>563</v>
      </c>
      <c r="K60" s="90">
        <v>0</v>
      </c>
      <c r="L60" s="92">
        <v>200</v>
      </c>
      <c r="M60" s="22">
        <v>2</v>
      </c>
      <c r="N60" s="90">
        <v>24</v>
      </c>
      <c r="O60" s="25">
        <v>5</v>
      </c>
      <c r="P60" s="300">
        <v>18.72</v>
      </c>
      <c r="Q60" s="23" t="s">
        <v>577</v>
      </c>
      <c r="R60" s="27" t="s">
        <v>337</v>
      </c>
      <c r="S60" s="86">
        <f t="shared" si="2"/>
        <v>4.8</v>
      </c>
      <c r="T60" s="87">
        <f t="shared" si="3"/>
        <v>5.28</v>
      </c>
      <c r="U60" s="87" cm="1">
        <f t="array" ref="U60">IF(AND(H60&lt;&gt;"YES",P60&lt;&gt;"",R60&lt;&gt;"",Q60&lt;&gt;""),
_xlfn.SWITCH(Q60,
"INR",_xlfn.SWITCH(R60,"KG",P60*S60,"CTN",P60,"UNIT",P60*N60,"NET",P60/M60,0),
"USD",_xlfn.SWITCH(R60,"KG",P60*S60*SI!$C$10,"CTN",P60*SI!$C$10,"UNIT",P60*N60*SI!$C$10,"NET",P60*SI!$C$10/M60,0),
"LKR",_xlfn.SWITCH(R60,"KG",P60*S60/SI!$C$9,"CTN",P60/SI!$C$9,"UNIT",P60*N60/SI!$C$9,"NET",P60/(M60*SI!$C$9),0),
0),
"")</f>
        <v>890.97839999999997</v>
      </c>
      <c r="V60" s="87">
        <f t="shared" si="4"/>
        <v>9.6</v>
      </c>
      <c r="W60" s="87">
        <f t="shared" si="5"/>
        <v>10.56</v>
      </c>
      <c r="X60" s="88">
        <f t="shared" si="6"/>
        <v>1781.9567999999999</v>
      </c>
      <c r="Y60" s="24">
        <f t="shared" si="7"/>
        <v>48</v>
      </c>
      <c r="Z60" s="267">
        <f>IF(AND(H60&lt;&gt;"yes",F60&lt;&gt;""),IFERROR(VLOOKUP(F60,DUTY_2025!A:F,5,FALSE),""),"")</f>
        <v>570</v>
      </c>
      <c r="AA60" s="271">
        <f t="shared" si="8"/>
        <v>1697</v>
      </c>
      <c r="AB60" s="16">
        <f t="shared" si="9"/>
        <v>84.95679999999993</v>
      </c>
      <c r="AC60" s="16">
        <f>IF(AA60&lt;&gt;"",ROUND(AA60*SI!$C$9,0),"")</f>
        <v>5973</v>
      </c>
      <c r="AD60" s="4">
        <f>IF(AC60&lt;&gt;"",ROUND(AC60/(SI!$C$9*SI!$C$10),2),"")</f>
        <v>17.829999999999998</v>
      </c>
      <c r="AE60" s="30">
        <f>IF(AND(X60&lt;&gt;""), ROUND((SI!$E$23)*(X60/SUM($X$5:$X$493)),0),"")</f>
        <v>464</v>
      </c>
      <c r="AF60" s="272">
        <f t="shared" si="10"/>
        <v>6437</v>
      </c>
      <c r="AG60" s="28">
        <f t="shared" si="11"/>
        <v>5472</v>
      </c>
      <c r="AH60" s="4">
        <f>IF(AD60&lt;&gt;"",ROUND(AD60*10*SI!$C$9/2,0),"")</f>
        <v>314</v>
      </c>
      <c r="AI60" s="29">
        <f>IF(AND(X60&lt;&gt;""), ROUND((SI!$E$28)*(X60/SUM($X$5:$X$493)),0),"")</f>
        <v>1318</v>
      </c>
      <c r="AJ60" s="4">
        <f t="shared" si="12"/>
        <v>7104</v>
      </c>
      <c r="AK60" s="4">
        <f t="shared" si="13"/>
        <v>148</v>
      </c>
      <c r="AL60" s="4">
        <f t="shared" si="14"/>
        <v>134</v>
      </c>
      <c r="AM60" s="4">
        <f t="shared" si="15"/>
        <v>282</v>
      </c>
      <c r="AN60" s="195">
        <f t="shared" si="16"/>
        <v>13541</v>
      </c>
      <c r="AO60" s="261">
        <f>IF(AND(AM60&lt;&gt;"",P60&lt;&gt;""),ROUND((AM60*((100+SI!$C$11)/100)),0),"")</f>
        <v>324</v>
      </c>
      <c r="AP60" s="28">
        <f>IF(AG60&lt;&gt;"",ROUND(AG60/SI!$C$9,2),"")</f>
        <v>1554.55</v>
      </c>
      <c r="AQ60" s="4">
        <f>IF(AH60&lt;&gt;"",ROUND(AH60/SI!$C$9,2),"")</f>
        <v>89.2</v>
      </c>
      <c r="AR60" s="29">
        <f>IF(AI60&lt;&gt;"",ROUND(AI60/SI!$C$9,2),"")</f>
        <v>374.43</v>
      </c>
      <c r="AS60" s="4">
        <f t="shared" si="17"/>
        <v>2018.18</v>
      </c>
      <c r="AT60" s="4">
        <f t="shared" si="18"/>
        <v>42.05</v>
      </c>
      <c r="AU60" s="4">
        <f>IF(AL60&lt;&gt;"",ROUND(AL60/SI!$C$9,2),"")</f>
        <v>38.07</v>
      </c>
      <c r="AV60" s="4">
        <f>IF(AM60&lt;&gt;"",ROUND(AM60/SI!$C$9,2),"")</f>
        <v>80.11</v>
      </c>
      <c r="AW60" s="4">
        <f>IF(AN60&lt;&gt;"",ROUND(AN60/SI!$C$9,2),"")</f>
        <v>3846.88</v>
      </c>
      <c r="AX60" s="261">
        <f>IF(AO60&lt;&gt;"",ROUND(AO60/SI!$C$9,2),"")</f>
        <v>92.05</v>
      </c>
      <c r="AY60" s="28">
        <f t="shared" si="19"/>
        <v>6437</v>
      </c>
      <c r="AZ60" s="4">
        <f>IF(AY60&lt;&gt;"",ROUND(AY60/(SI!$C$9*SI!$C$10),2),"")</f>
        <v>19.21</v>
      </c>
      <c r="BA60" s="4">
        <f t="shared" si="20"/>
        <v>5149.6000000000004</v>
      </c>
      <c r="BB60" s="4">
        <f t="shared" si="21"/>
        <v>15.37</v>
      </c>
      <c r="BC60" s="4">
        <f t="shared" si="22"/>
        <v>0.32</v>
      </c>
      <c r="BD60" s="4">
        <f t="shared" si="23"/>
        <v>1.601</v>
      </c>
      <c r="BE60" s="4">
        <f>IF(AND(X60&lt;&gt;""),ROUND(X60/SI!$C$10,2),"")</f>
        <v>18.72</v>
      </c>
      <c r="BF60" s="4">
        <f t="shared" si="25"/>
        <v>0.39</v>
      </c>
      <c r="BG60" s="264">
        <f t="shared" si="24"/>
        <v>1.95</v>
      </c>
      <c r="BH60" s="71">
        <f>IF(F60&lt;&gt;"",VLOOKUP(F60,DUTY_2025!A:O,15,FALSE),"")</f>
        <v>80</v>
      </c>
    </row>
    <row r="61" spans="1:60" x14ac:dyDescent="0.25">
      <c r="A61" s="133">
        <f t="shared" si="0"/>
        <v>57</v>
      </c>
      <c r="B61" s="83">
        <f t="shared" si="1"/>
        <v>57</v>
      </c>
      <c r="C61" s="126">
        <v>1</v>
      </c>
      <c r="D61" s="127"/>
      <c r="E61" s="91"/>
      <c r="F61" s="301" t="s">
        <v>66</v>
      </c>
      <c r="G61" s="27">
        <f>IF(F61&lt;&gt;"",IFERROR(VLOOKUP(F61,DUTY_2025!A:I,6,FALSE),""),"")</f>
        <v>0</v>
      </c>
      <c r="H61" s="85" t="s">
        <v>133</v>
      </c>
      <c r="I61" s="27" t="str">
        <f>IF(F61&lt;&gt;"",IFERROR(VLOOKUP(F61,DUTY_2025!A:H,2,FALSE),""),"")</f>
        <v>HEALTH MIXES</v>
      </c>
      <c r="J61" s="23" t="s">
        <v>564</v>
      </c>
      <c r="K61" s="90">
        <v>0</v>
      </c>
      <c r="L61" s="92">
        <v>200</v>
      </c>
      <c r="M61" s="22">
        <v>2</v>
      </c>
      <c r="N61" s="90">
        <v>60</v>
      </c>
      <c r="O61" s="25">
        <v>5</v>
      </c>
      <c r="P61" s="300">
        <v>93.600000000000009</v>
      </c>
      <c r="Q61" s="23" t="s">
        <v>577</v>
      </c>
      <c r="R61" s="27" t="s">
        <v>337</v>
      </c>
      <c r="S61" s="86">
        <f t="shared" si="2"/>
        <v>12</v>
      </c>
      <c r="T61" s="87">
        <f t="shared" si="3"/>
        <v>13.200000000000001</v>
      </c>
      <c r="U61" s="87" cm="1">
        <f t="array" ref="U61">IF(AND(H61&lt;&gt;"YES",P61&lt;&gt;"",R61&lt;&gt;"",Q61&lt;&gt;""),
_xlfn.SWITCH(Q61,
"INR",_xlfn.SWITCH(R61,"KG",P61*S61,"CTN",P61,"UNIT",P61*N61,"NET",P61/M61,0),
"USD",_xlfn.SWITCH(R61,"KG",P61*S61*SI!$C$10,"CTN",P61*SI!$C$10,"UNIT",P61*N61*SI!$C$10,"NET",P61*SI!$C$10/M61,0),
"LKR",_xlfn.SWITCH(R61,"KG",P61*S61/SI!$C$9,"CTN",P61/SI!$C$9,"UNIT",P61*N61/SI!$C$9,"NET",P61/(M61*SI!$C$9),0),
0),
"")</f>
        <v>4454.8920000000007</v>
      </c>
      <c r="V61" s="87">
        <f t="shared" si="4"/>
        <v>24</v>
      </c>
      <c r="W61" s="87">
        <f t="shared" si="5"/>
        <v>26.400000000000002</v>
      </c>
      <c r="X61" s="88">
        <f t="shared" si="6"/>
        <v>8909.7840000000015</v>
      </c>
      <c r="Y61" s="24">
        <f t="shared" si="7"/>
        <v>120</v>
      </c>
      <c r="Z61" s="267">
        <f>IF(AND(H61&lt;&gt;"yes",F61&lt;&gt;""),IFERROR(VLOOKUP(F61,DUTY_2025!A:F,5,FALSE),""),"")</f>
        <v>570</v>
      </c>
      <c r="AA61" s="271">
        <f t="shared" si="8"/>
        <v>8486</v>
      </c>
      <c r="AB61" s="16">
        <f t="shared" si="9"/>
        <v>423.78400000000147</v>
      </c>
      <c r="AC61" s="16">
        <f>IF(AA61&lt;&gt;"",ROUND(AA61*SI!$C$9,0),"")</f>
        <v>29871</v>
      </c>
      <c r="AD61" s="4">
        <f>IF(AC61&lt;&gt;"",ROUND(AC61/(SI!$C$9*SI!$C$10),2),"")</f>
        <v>89.15</v>
      </c>
      <c r="AE61" s="30">
        <f>IF(AND(X61&lt;&gt;""), ROUND((SI!$E$23)*(X61/SUM($X$5:$X$493)),0),"")</f>
        <v>2321</v>
      </c>
      <c r="AF61" s="272">
        <f t="shared" si="10"/>
        <v>32192</v>
      </c>
      <c r="AG61" s="28">
        <f t="shared" si="11"/>
        <v>13680</v>
      </c>
      <c r="AH61" s="4">
        <f>IF(AD61&lt;&gt;"",ROUND(AD61*10*SI!$C$9/2,0),"")</f>
        <v>1569</v>
      </c>
      <c r="AI61" s="29">
        <f>IF(AND(X61&lt;&gt;""), ROUND((SI!$E$28)*(X61/SUM($X$5:$X$493)),0),"")</f>
        <v>6592</v>
      </c>
      <c r="AJ61" s="4">
        <f t="shared" si="12"/>
        <v>21841</v>
      </c>
      <c r="AK61" s="4">
        <f t="shared" si="13"/>
        <v>182</v>
      </c>
      <c r="AL61" s="4">
        <f t="shared" si="14"/>
        <v>268</v>
      </c>
      <c r="AM61" s="4">
        <f t="shared" si="15"/>
        <v>450</v>
      </c>
      <c r="AN61" s="195">
        <f t="shared" si="16"/>
        <v>54033</v>
      </c>
      <c r="AO61" s="261">
        <f>IF(AND(AM61&lt;&gt;"",P61&lt;&gt;""),ROUND((AM61*((100+SI!$C$11)/100)),0),"")</f>
        <v>518</v>
      </c>
      <c r="AP61" s="28">
        <f>IF(AG61&lt;&gt;"",ROUND(AG61/SI!$C$9,2),"")</f>
        <v>3886.36</v>
      </c>
      <c r="AQ61" s="4">
        <f>IF(AH61&lt;&gt;"",ROUND(AH61/SI!$C$9,2),"")</f>
        <v>445.74</v>
      </c>
      <c r="AR61" s="29">
        <f>IF(AI61&lt;&gt;"",ROUND(AI61/SI!$C$9,2),"")</f>
        <v>1872.73</v>
      </c>
      <c r="AS61" s="4">
        <f t="shared" si="17"/>
        <v>6204.83</v>
      </c>
      <c r="AT61" s="4">
        <f t="shared" si="18"/>
        <v>51.71</v>
      </c>
      <c r="AU61" s="4">
        <f>IF(AL61&lt;&gt;"",ROUND(AL61/SI!$C$9,2),"")</f>
        <v>76.14</v>
      </c>
      <c r="AV61" s="4">
        <f>IF(AM61&lt;&gt;"",ROUND(AM61/SI!$C$9,2),"")</f>
        <v>127.84</v>
      </c>
      <c r="AW61" s="4">
        <f>IF(AN61&lt;&gt;"",ROUND(AN61/SI!$C$9,2),"")</f>
        <v>15350.28</v>
      </c>
      <c r="AX61" s="261">
        <f>IF(AO61&lt;&gt;"",ROUND(AO61/SI!$C$9,2),"")</f>
        <v>147.16</v>
      </c>
      <c r="AY61" s="28">
        <f t="shared" si="19"/>
        <v>32192</v>
      </c>
      <c r="AZ61" s="4">
        <f>IF(AY61&lt;&gt;"",ROUND(AY61/(SI!$C$9*SI!$C$10),2),"")</f>
        <v>96.08</v>
      </c>
      <c r="BA61" s="4">
        <f t="shared" si="20"/>
        <v>25753.599999999999</v>
      </c>
      <c r="BB61" s="4">
        <f t="shared" si="21"/>
        <v>76.86</v>
      </c>
      <c r="BC61" s="4">
        <f t="shared" si="22"/>
        <v>0.64100000000000001</v>
      </c>
      <c r="BD61" s="4">
        <f t="shared" si="23"/>
        <v>3.2029999999999998</v>
      </c>
      <c r="BE61" s="4">
        <f>IF(AND(X61&lt;&gt;""),ROUND(X61/SI!$C$10,2),"")</f>
        <v>93.6</v>
      </c>
      <c r="BF61" s="4">
        <f t="shared" si="25"/>
        <v>0.78</v>
      </c>
      <c r="BG61" s="264">
        <f t="shared" si="24"/>
        <v>3.9</v>
      </c>
      <c r="BH61" s="71">
        <f>IF(F61&lt;&gt;"",VLOOKUP(F61,DUTY_2025!A:O,15,FALSE),"")</f>
        <v>80</v>
      </c>
    </row>
    <row r="62" spans="1:60" x14ac:dyDescent="0.25">
      <c r="A62" s="133">
        <f t="shared" si="0"/>
        <v>58</v>
      </c>
      <c r="B62" s="83">
        <f t="shared" si="1"/>
        <v>58</v>
      </c>
      <c r="C62" s="126">
        <v>1</v>
      </c>
      <c r="D62" s="127"/>
      <c r="E62" s="91"/>
      <c r="F62" s="301" t="s">
        <v>66</v>
      </c>
      <c r="G62" s="27">
        <f>IF(F62&lt;&gt;"",IFERROR(VLOOKUP(F62,DUTY_2025!A:I,6,FALSE),""),"")</f>
        <v>0</v>
      </c>
      <c r="H62" s="85" t="s">
        <v>133</v>
      </c>
      <c r="I62" s="27" t="str">
        <f>IF(F62&lt;&gt;"",IFERROR(VLOOKUP(F62,DUTY_2025!A:H,2,FALSE),""),"")</f>
        <v>HEALTH MIXES</v>
      </c>
      <c r="J62" s="23" t="s">
        <v>565</v>
      </c>
      <c r="K62" s="90">
        <v>0</v>
      </c>
      <c r="L62" s="92">
        <v>200</v>
      </c>
      <c r="M62" s="22">
        <v>1</v>
      </c>
      <c r="N62" s="90">
        <v>20</v>
      </c>
      <c r="O62" s="25">
        <v>5</v>
      </c>
      <c r="P62" s="300">
        <v>11.200000000000001</v>
      </c>
      <c r="Q62" s="23" t="s">
        <v>577</v>
      </c>
      <c r="R62" s="27" t="s">
        <v>337</v>
      </c>
      <c r="S62" s="86">
        <f t="shared" si="2"/>
        <v>4</v>
      </c>
      <c r="T62" s="87">
        <f t="shared" si="3"/>
        <v>4.4000000000000004</v>
      </c>
      <c r="U62" s="87" cm="1">
        <f t="array" ref="U62">IF(AND(H62&lt;&gt;"YES",P62&lt;&gt;"",R62&lt;&gt;"",Q62&lt;&gt;""),
_xlfn.SWITCH(Q62,
"INR",_xlfn.SWITCH(R62,"KG",P62*S62,"CTN",P62,"UNIT",P62*N62,"NET",P62/M62,0),
"USD",_xlfn.SWITCH(R62,"KG",P62*S62*SI!$C$10,"CTN",P62*SI!$C$10,"UNIT",P62*N62*SI!$C$10,"NET",P62*SI!$C$10/M62,0),
"LKR",_xlfn.SWITCH(R62,"KG",P62*S62/SI!$C$9,"CTN",P62/SI!$C$9,"UNIT",P62*N62/SI!$C$9,"NET",P62/(M62*SI!$C$9),0),
0),
"")</f>
        <v>1066.1280000000002</v>
      </c>
      <c r="V62" s="87">
        <f t="shared" si="4"/>
        <v>4</v>
      </c>
      <c r="W62" s="87">
        <f t="shared" si="5"/>
        <v>4.4000000000000004</v>
      </c>
      <c r="X62" s="88">
        <f t="shared" si="6"/>
        <v>1066.1280000000002</v>
      </c>
      <c r="Y62" s="24">
        <f t="shared" si="7"/>
        <v>20</v>
      </c>
      <c r="Z62" s="267">
        <f>IF(AND(H62&lt;&gt;"yes",F62&lt;&gt;""),IFERROR(VLOOKUP(F62,DUTY_2025!A:F,5,FALSE),""),"")</f>
        <v>570</v>
      </c>
      <c r="AA62" s="271">
        <f t="shared" si="8"/>
        <v>1015</v>
      </c>
      <c r="AB62" s="16">
        <f t="shared" si="9"/>
        <v>51.128000000000156</v>
      </c>
      <c r="AC62" s="16">
        <f>IF(AA62&lt;&gt;"",ROUND(AA62*SI!$C$9,0),"")</f>
        <v>3573</v>
      </c>
      <c r="AD62" s="4">
        <f>IF(AC62&lt;&gt;"",ROUND(AC62/(SI!$C$9*SI!$C$10),2),"")</f>
        <v>10.66</v>
      </c>
      <c r="AE62" s="30">
        <f>IF(AND(X62&lt;&gt;""), ROUND((SI!$E$23)*(X62/SUM($X$5:$X$493)),0),"")</f>
        <v>278</v>
      </c>
      <c r="AF62" s="272">
        <f t="shared" si="10"/>
        <v>3851</v>
      </c>
      <c r="AG62" s="28">
        <f t="shared" si="11"/>
        <v>2280</v>
      </c>
      <c r="AH62" s="4">
        <f>IF(AD62&lt;&gt;"",ROUND(AD62*10*SI!$C$9/2,0),"")</f>
        <v>188</v>
      </c>
      <c r="AI62" s="29">
        <f>IF(AND(X62&lt;&gt;""), ROUND((SI!$E$28)*(X62/SUM($X$5:$X$493)),0),"")</f>
        <v>789</v>
      </c>
      <c r="AJ62" s="4">
        <f t="shared" si="12"/>
        <v>3257</v>
      </c>
      <c r="AK62" s="4">
        <f t="shared" si="13"/>
        <v>163</v>
      </c>
      <c r="AL62" s="4">
        <f t="shared" si="14"/>
        <v>193</v>
      </c>
      <c r="AM62" s="4">
        <f t="shared" si="15"/>
        <v>356</v>
      </c>
      <c r="AN62" s="195">
        <f t="shared" si="16"/>
        <v>7108</v>
      </c>
      <c r="AO62" s="261">
        <f>IF(AND(AM62&lt;&gt;"",P62&lt;&gt;""),ROUND((AM62*((100+SI!$C$11)/100)),0),"")</f>
        <v>409</v>
      </c>
      <c r="AP62" s="28">
        <f>IF(AG62&lt;&gt;"",ROUND(AG62/SI!$C$9,2),"")</f>
        <v>647.73</v>
      </c>
      <c r="AQ62" s="4">
        <f>IF(AH62&lt;&gt;"",ROUND(AH62/SI!$C$9,2),"")</f>
        <v>53.41</v>
      </c>
      <c r="AR62" s="29">
        <f>IF(AI62&lt;&gt;"",ROUND(AI62/SI!$C$9,2),"")</f>
        <v>224.15</v>
      </c>
      <c r="AS62" s="4">
        <f t="shared" si="17"/>
        <v>925.29</v>
      </c>
      <c r="AT62" s="4">
        <f t="shared" si="18"/>
        <v>46.26</v>
      </c>
      <c r="AU62" s="4">
        <f>IF(AL62&lt;&gt;"",ROUND(AL62/SI!$C$9,2),"")</f>
        <v>54.83</v>
      </c>
      <c r="AV62" s="4">
        <f>IF(AM62&lt;&gt;"",ROUND(AM62/SI!$C$9,2),"")</f>
        <v>101.14</v>
      </c>
      <c r="AW62" s="4">
        <f>IF(AN62&lt;&gt;"",ROUND(AN62/SI!$C$9,2),"")</f>
        <v>2019.32</v>
      </c>
      <c r="AX62" s="261">
        <f>IF(AO62&lt;&gt;"",ROUND(AO62/SI!$C$9,2),"")</f>
        <v>116.19</v>
      </c>
      <c r="AY62" s="28">
        <f t="shared" si="19"/>
        <v>3851</v>
      </c>
      <c r="AZ62" s="4">
        <f>IF(AY62&lt;&gt;"",ROUND(AY62/(SI!$C$9*SI!$C$10),2),"")</f>
        <v>11.49</v>
      </c>
      <c r="BA62" s="4">
        <f t="shared" si="20"/>
        <v>3080.8</v>
      </c>
      <c r="BB62" s="4">
        <f t="shared" si="21"/>
        <v>9.19</v>
      </c>
      <c r="BC62" s="4">
        <f t="shared" si="22"/>
        <v>0.46</v>
      </c>
      <c r="BD62" s="4">
        <f t="shared" si="23"/>
        <v>2.298</v>
      </c>
      <c r="BE62" s="4">
        <f>IF(AND(X62&lt;&gt;""),ROUND(X62/SI!$C$10,2),"")</f>
        <v>11.2</v>
      </c>
      <c r="BF62" s="4">
        <f t="shared" si="25"/>
        <v>0.56000000000000005</v>
      </c>
      <c r="BG62" s="264">
        <f t="shared" si="24"/>
        <v>2.8</v>
      </c>
      <c r="BH62" s="71">
        <f>IF(F62&lt;&gt;"",VLOOKUP(F62,DUTY_2025!A:O,15,FALSE),"")</f>
        <v>80</v>
      </c>
    </row>
    <row r="63" spans="1:60" x14ac:dyDescent="0.25">
      <c r="A63" s="133">
        <f>IF(AND(F63&lt;&gt;"",H63&lt;&gt;"YES"),IF(A62&lt;&gt;"",A62,0)+1,A62)</f>
        <v>59</v>
      </c>
      <c r="B63" s="83">
        <f>IF(AND(F63&lt;&gt;"",H63&lt;&gt;"YES"),IF(B62&lt;&gt;"",B62,A62)+1,"")</f>
        <v>59</v>
      </c>
      <c r="C63" s="126">
        <v>1</v>
      </c>
      <c r="D63" s="127"/>
      <c r="E63" s="91"/>
      <c r="F63" s="301" t="s">
        <v>66</v>
      </c>
      <c r="G63" s="27">
        <f>IF(F63&lt;&gt;"",IFERROR(VLOOKUP(F63,DUTY_2025!A:I,6,FALSE),""),"")</f>
        <v>0</v>
      </c>
      <c r="H63" s="85" t="s">
        <v>133</v>
      </c>
      <c r="I63" s="27" t="str">
        <f>IF(F63&lt;&gt;"",IFERROR(VLOOKUP(F63,DUTY_2025!A:H,2,FALSE),""),"")</f>
        <v>HEALTH MIXES</v>
      </c>
      <c r="J63" s="23" t="s">
        <v>566</v>
      </c>
      <c r="K63" s="90">
        <v>0</v>
      </c>
      <c r="L63" s="92">
        <v>200</v>
      </c>
      <c r="M63" s="22">
        <v>2</v>
      </c>
      <c r="N63" s="90">
        <v>24</v>
      </c>
      <c r="O63" s="25">
        <v>5</v>
      </c>
      <c r="P63" s="300">
        <v>26.880000000000003</v>
      </c>
      <c r="Q63" s="23" t="s">
        <v>577</v>
      </c>
      <c r="R63" s="27" t="s">
        <v>337</v>
      </c>
      <c r="S63" s="86">
        <f t="shared" si="2"/>
        <v>4.8</v>
      </c>
      <c r="T63" s="87">
        <f t="shared" si="3"/>
        <v>5.28</v>
      </c>
      <c r="U63" s="87" cm="1">
        <f t="array" ref="U63">IF(AND(H63&lt;&gt;"YES",P63&lt;&gt;"",R63&lt;&gt;"",Q63&lt;&gt;""),
_xlfn.SWITCH(Q63,
"INR",_xlfn.SWITCH(R63,"KG",P63*S63,"CTN",P63,"UNIT",P63*N63,"NET",P63/M63,0),
"USD",_xlfn.SWITCH(R63,"KG",P63*S63*SI!$C$10,"CTN",P63*SI!$C$10,"UNIT",P63*N63*SI!$C$10,"NET",P63*SI!$C$10/M63,0),
"LKR",_xlfn.SWITCH(R63,"KG",P63*S63/SI!$C$9,"CTN",P63/SI!$C$9,"UNIT",P63*N63/SI!$C$9,"NET",P63/(M63*SI!$C$9),0),
0),
"")</f>
        <v>1279.3536000000001</v>
      </c>
      <c r="V63" s="87">
        <f t="shared" si="4"/>
        <v>9.6</v>
      </c>
      <c r="W63" s="87">
        <f t="shared" si="5"/>
        <v>10.56</v>
      </c>
      <c r="X63" s="88">
        <f t="shared" si="6"/>
        <v>2558.7072000000003</v>
      </c>
      <c r="Y63" s="24">
        <f t="shared" si="7"/>
        <v>48</v>
      </c>
      <c r="Z63" s="267">
        <f>IF(AND(H63&lt;&gt;"yes",F63&lt;&gt;""),IFERROR(VLOOKUP(F63,DUTY_2025!A:F,5,FALSE),""),"")</f>
        <v>570</v>
      </c>
      <c r="AA63" s="271">
        <f t="shared" si="8"/>
        <v>2437</v>
      </c>
      <c r="AB63" s="16">
        <f t="shared" si="9"/>
        <v>121.70720000000028</v>
      </c>
      <c r="AC63" s="16">
        <f>IF(AA63&lt;&gt;"",ROUND(AA63*SI!$C$9,0),"")</f>
        <v>8578</v>
      </c>
      <c r="AD63" s="4">
        <f>IF(AC63&lt;&gt;"",ROUND(AC63/(SI!$C$9*SI!$C$10),2),"")</f>
        <v>25.6</v>
      </c>
      <c r="AE63" s="30">
        <f>IF(AND(X63&lt;&gt;""), ROUND((SI!$E$23)*(X63/SUM($X$5:$X$493)),0),"")</f>
        <v>666</v>
      </c>
      <c r="AF63" s="272">
        <f t="shared" si="10"/>
        <v>9244</v>
      </c>
      <c r="AG63" s="28">
        <f t="shared" si="11"/>
        <v>5472</v>
      </c>
      <c r="AH63" s="4">
        <f>IF(AD63&lt;&gt;"",ROUND(AD63*10*SI!$C$9/2,0),"")</f>
        <v>451</v>
      </c>
      <c r="AI63" s="29">
        <f>IF(AND(X63&lt;&gt;""), ROUND((SI!$E$28)*(X63/SUM($X$5:$X$493)),0),"")</f>
        <v>1893</v>
      </c>
      <c r="AJ63" s="4">
        <f t="shared" si="12"/>
        <v>7816</v>
      </c>
      <c r="AK63" s="4">
        <f t="shared" si="13"/>
        <v>163</v>
      </c>
      <c r="AL63" s="4">
        <f t="shared" si="14"/>
        <v>193</v>
      </c>
      <c r="AM63" s="4">
        <f t="shared" si="15"/>
        <v>356</v>
      </c>
      <c r="AN63" s="195">
        <f t="shared" si="16"/>
        <v>17060</v>
      </c>
      <c r="AO63" s="261">
        <f>IF(AND(AM63&lt;&gt;"",P63&lt;&gt;""),ROUND((AM63*((100+SI!$C$11)/100)),0),"")</f>
        <v>409</v>
      </c>
      <c r="AP63" s="28">
        <f>IF(AG63&lt;&gt;"",ROUND(AG63/SI!$C$9,2),"")</f>
        <v>1554.55</v>
      </c>
      <c r="AQ63" s="4">
        <f>IF(AH63&lt;&gt;"",ROUND(AH63/SI!$C$9,2),"")</f>
        <v>128.13</v>
      </c>
      <c r="AR63" s="29">
        <f>IF(AI63&lt;&gt;"",ROUND(AI63/SI!$C$9,2),"")</f>
        <v>537.78</v>
      </c>
      <c r="AS63" s="4">
        <f t="shared" si="17"/>
        <v>2220.46</v>
      </c>
      <c r="AT63" s="4">
        <f t="shared" si="18"/>
        <v>46.26</v>
      </c>
      <c r="AU63" s="4">
        <f>IF(AL63&lt;&gt;"",ROUND(AL63/SI!$C$9,2),"")</f>
        <v>54.83</v>
      </c>
      <c r="AV63" s="4">
        <f>IF(AM63&lt;&gt;"",ROUND(AM63/SI!$C$9,2),"")</f>
        <v>101.14</v>
      </c>
      <c r="AW63" s="4">
        <f>IF(AN63&lt;&gt;"",ROUND(AN63/SI!$C$9,2),"")</f>
        <v>4846.59</v>
      </c>
      <c r="AX63" s="261">
        <f>IF(AO63&lt;&gt;"",ROUND(AO63/SI!$C$9,2),"")</f>
        <v>116.19</v>
      </c>
      <c r="AY63" s="28">
        <f t="shared" si="19"/>
        <v>9244</v>
      </c>
      <c r="AZ63" s="4">
        <f>IF(AY63&lt;&gt;"",ROUND(AY63/(SI!$C$9*SI!$C$10),2),"")</f>
        <v>27.59</v>
      </c>
      <c r="BA63" s="4">
        <f t="shared" si="20"/>
        <v>7395.2</v>
      </c>
      <c r="BB63" s="4">
        <f t="shared" si="21"/>
        <v>22.07</v>
      </c>
      <c r="BC63" s="4">
        <f t="shared" si="22"/>
        <v>0.46</v>
      </c>
      <c r="BD63" s="4">
        <f t="shared" si="23"/>
        <v>2.2989999999999999</v>
      </c>
      <c r="BE63" s="4">
        <f>IF(AND(X63&lt;&gt;""),ROUND(X63/SI!$C$10,2),"")</f>
        <v>26.88</v>
      </c>
      <c r="BF63" s="4">
        <f t="shared" si="25"/>
        <v>0.56000000000000005</v>
      </c>
      <c r="BG63" s="264">
        <f t="shared" si="24"/>
        <v>2.8</v>
      </c>
      <c r="BH63" s="71">
        <f>IF(F63&lt;&gt;"",VLOOKUP(F63,DUTY_2025!A:O,15,FALSE),"")</f>
        <v>80</v>
      </c>
    </row>
    <row r="64" spans="1:60" x14ac:dyDescent="0.25">
      <c r="A64" s="133">
        <f t="shared" si="0"/>
        <v>60</v>
      </c>
      <c r="B64" s="83">
        <f t="shared" si="1"/>
        <v>60</v>
      </c>
      <c r="C64" s="126">
        <v>1</v>
      </c>
      <c r="D64" s="127"/>
      <c r="E64" s="91"/>
      <c r="F64" s="301" t="s">
        <v>66</v>
      </c>
      <c r="G64" s="27">
        <f>IF(F64&lt;&gt;"",IFERROR(VLOOKUP(F64,DUTY_2025!A:I,6,FALSE),""),"")</f>
        <v>0</v>
      </c>
      <c r="H64" s="85" t="s">
        <v>133</v>
      </c>
      <c r="I64" s="27" t="str">
        <f>IF(F64&lt;&gt;"",IFERROR(VLOOKUP(F64,DUTY_2025!A:H,2,FALSE),""),"")</f>
        <v>HEALTH MIXES</v>
      </c>
      <c r="J64" s="23" t="s">
        <v>567</v>
      </c>
      <c r="K64" s="90">
        <v>0</v>
      </c>
      <c r="L64" s="92">
        <v>200</v>
      </c>
      <c r="M64" s="22">
        <v>1</v>
      </c>
      <c r="N64" s="90">
        <v>20</v>
      </c>
      <c r="O64" s="25">
        <v>5</v>
      </c>
      <c r="P64" s="300">
        <v>12.2</v>
      </c>
      <c r="Q64" s="23" t="s">
        <v>577</v>
      </c>
      <c r="R64" s="27" t="s">
        <v>337</v>
      </c>
      <c r="S64" s="86">
        <f t="shared" si="2"/>
        <v>4</v>
      </c>
      <c r="T64" s="87">
        <f t="shared" si="3"/>
        <v>4.4000000000000004</v>
      </c>
      <c r="U64" s="87" cm="1">
        <f t="array" ref="U64">IF(AND(H64&lt;&gt;"YES",P64&lt;&gt;"",R64&lt;&gt;"",Q64&lt;&gt;""),
_xlfn.SWITCH(Q64,
"INR",_xlfn.SWITCH(R64,"KG",P64*S64,"CTN",P64,"UNIT",P64*N64,"NET",P64/M64,0),
"USD",_xlfn.SWITCH(R64,"KG",P64*S64*SI!$C$10,"CTN",P64*SI!$C$10,"UNIT",P64*N64*SI!$C$10,"NET",P64*SI!$C$10/M64,0),
"LKR",_xlfn.SWITCH(R64,"KG",P64*S64/SI!$C$9,"CTN",P64/SI!$C$9,"UNIT",P64*N64/SI!$C$9,"NET",P64/(M64*SI!$C$9),0),
0),
"")</f>
        <v>1161.318</v>
      </c>
      <c r="V64" s="87">
        <f t="shared" si="4"/>
        <v>4</v>
      </c>
      <c r="W64" s="87">
        <f t="shared" si="5"/>
        <v>4.4000000000000004</v>
      </c>
      <c r="X64" s="88">
        <f t="shared" si="6"/>
        <v>1161.318</v>
      </c>
      <c r="Y64" s="24">
        <f t="shared" si="7"/>
        <v>20</v>
      </c>
      <c r="Z64" s="267">
        <f>IF(AND(H64&lt;&gt;"yes",F64&lt;&gt;""),IFERROR(VLOOKUP(F64,DUTY_2025!A:F,5,FALSE),""),"")</f>
        <v>570</v>
      </c>
      <c r="AA64" s="271">
        <f t="shared" si="8"/>
        <v>1106</v>
      </c>
      <c r="AB64" s="16">
        <f t="shared" si="9"/>
        <v>55.317999999999984</v>
      </c>
      <c r="AC64" s="16">
        <f>IF(AA64&lt;&gt;"",ROUND(AA64*SI!$C$9,0),"")</f>
        <v>3893</v>
      </c>
      <c r="AD64" s="4">
        <f>IF(AC64&lt;&gt;"",ROUND(AC64/(SI!$C$9*SI!$C$10),2),"")</f>
        <v>11.62</v>
      </c>
      <c r="AE64" s="30">
        <f>IF(AND(X64&lt;&gt;""), ROUND((SI!$E$23)*(X64/SUM($X$5:$X$493)),0),"")</f>
        <v>302</v>
      </c>
      <c r="AF64" s="272">
        <f t="shared" si="10"/>
        <v>4195</v>
      </c>
      <c r="AG64" s="28">
        <f t="shared" si="11"/>
        <v>2280</v>
      </c>
      <c r="AH64" s="4">
        <f>IF(AD64&lt;&gt;"",ROUND(AD64*10*SI!$C$9/2,0),"")</f>
        <v>205</v>
      </c>
      <c r="AI64" s="29">
        <f>IF(AND(X64&lt;&gt;""), ROUND((SI!$E$28)*(X64/SUM($X$5:$X$493)),0),"")</f>
        <v>859</v>
      </c>
      <c r="AJ64" s="4">
        <f t="shared" si="12"/>
        <v>3344</v>
      </c>
      <c r="AK64" s="4">
        <f t="shared" si="13"/>
        <v>167</v>
      </c>
      <c r="AL64" s="4">
        <f t="shared" si="14"/>
        <v>210</v>
      </c>
      <c r="AM64" s="4">
        <f t="shared" si="15"/>
        <v>377</v>
      </c>
      <c r="AN64" s="195">
        <f t="shared" si="16"/>
        <v>7539</v>
      </c>
      <c r="AO64" s="261">
        <f>IF(AND(AM64&lt;&gt;"",P64&lt;&gt;""),ROUND((AM64*((100+SI!$C$11)/100)),0),"")</f>
        <v>434</v>
      </c>
      <c r="AP64" s="28">
        <f>IF(AG64&lt;&gt;"",ROUND(AG64/SI!$C$9,2),"")</f>
        <v>647.73</v>
      </c>
      <c r="AQ64" s="4">
        <f>IF(AH64&lt;&gt;"",ROUND(AH64/SI!$C$9,2),"")</f>
        <v>58.24</v>
      </c>
      <c r="AR64" s="29">
        <f>IF(AI64&lt;&gt;"",ROUND(AI64/SI!$C$9,2),"")</f>
        <v>244.03</v>
      </c>
      <c r="AS64" s="4">
        <f t="shared" si="17"/>
        <v>950</v>
      </c>
      <c r="AT64" s="4">
        <f t="shared" si="18"/>
        <v>47.5</v>
      </c>
      <c r="AU64" s="4">
        <f>IF(AL64&lt;&gt;"",ROUND(AL64/SI!$C$9,2),"")</f>
        <v>59.66</v>
      </c>
      <c r="AV64" s="4">
        <f>IF(AM64&lt;&gt;"",ROUND(AM64/SI!$C$9,2),"")</f>
        <v>107.1</v>
      </c>
      <c r="AW64" s="4">
        <f>IF(AN64&lt;&gt;"",ROUND(AN64/SI!$C$9,2),"")</f>
        <v>2141.7600000000002</v>
      </c>
      <c r="AX64" s="261">
        <f>IF(AO64&lt;&gt;"",ROUND(AO64/SI!$C$9,2),"")</f>
        <v>123.3</v>
      </c>
      <c r="AY64" s="28">
        <f t="shared" si="19"/>
        <v>4195</v>
      </c>
      <c r="AZ64" s="4">
        <f>IF(AY64&lt;&gt;"",ROUND(AY64/(SI!$C$9*SI!$C$10),2),"")</f>
        <v>12.52</v>
      </c>
      <c r="BA64" s="4">
        <f t="shared" si="20"/>
        <v>3356</v>
      </c>
      <c r="BB64" s="4">
        <f t="shared" si="21"/>
        <v>10.02</v>
      </c>
      <c r="BC64" s="4">
        <f t="shared" si="22"/>
        <v>0.501</v>
      </c>
      <c r="BD64" s="4">
        <f t="shared" si="23"/>
        <v>2.5049999999999999</v>
      </c>
      <c r="BE64" s="4">
        <f>IF(AND(X64&lt;&gt;""),ROUND(X64/SI!$C$10,2),"")</f>
        <v>12.2</v>
      </c>
      <c r="BF64" s="4">
        <f t="shared" si="25"/>
        <v>0.61</v>
      </c>
      <c r="BG64" s="264">
        <f t="shared" si="24"/>
        <v>3.05</v>
      </c>
      <c r="BH64" s="71">
        <f>IF(F64&lt;&gt;"",VLOOKUP(F64,DUTY_2025!A:O,15,FALSE),"")</f>
        <v>80</v>
      </c>
    </row>
    <row r="65" spans="1:60" x14ac:dyDescent="0.25">
      <c r="A65" s="133">
        <f t="shared" si="0"/>
        <v>61</v>
      </c>
      <c r="B65" s="83">
        <f t="shared" si="1"/>
        <v>61</v>
      </c>
      <c r="C65" s="126">
        <v>1</v>
      </c>
      <c r="D65" s="127"/>
      <c r="E65" s="91"/>
      <c r="F65" s="301" t="s">
        <v>66</v>
      </c>
      <c r="G65" s="27">
        <f>IF(F65&lt;&gt;"",IFERROR(VLOOKUP(F65,DUTY_2025!A:I,6,FALSE),""),"")</f>
        <v>0</v>
      </c>
      <c r="H65" s="85" t="s">
        <v>133</v>
      </c>
      <c r="I65" s="27" t="str">
        <f>IF(F65&lt;&gt;"",IFERROR(VLOOKUP(F65,DUTY_2025!A:H,2,FALSE),""),"")</f>
        <v>HEALTH MIXES</v>
      </c>
      <c r="J65" s="23" t="s">
        <v>568</v>
      </c>
      <c r="K65" s="90">
        <v>0</v>
      </c>
      <c r="L65" s="92">
        <v>200</v>
      </c>
      <c r="M65" s="22">
        <v>3</v>
      </c>
      <c r="N65" s="90">
        <v>24</v>
      </c>
      <c r="O65" s="25">
        <v>5</v>
      </c>
      <c r="P65" s="300">
        <v>28.080000000000002</v>
      </c>
      <c r="Q65" s="23" t="s">
        <v>577</v>
      </c>
      <c r="R65" s="27" t="s">
        <v>337</v>
      </c>
      <c r="S65" s="86">
        <f t="shared" si="2"/>
        <v>4.8</v>
      </c>
      <c r="T65" s="87">
        <f t="shared" si="3"/>
        <v>5.28</v>
      </c>
      <c r="U65" s="87" cm="1">
        <f t="array" ref="U65">IF(AND(H65&lt;&gt;"YES",P65&lt;&gt;"",R65&lt;&gt;"",Q65&lt;&gt;""),
_xlfn.SWITCH(Q65,
"INR",_xlfn.SWITCH(R65,"KG",P65*S65,"CTN",P65,"UNIT",P65*N65,"NET",P65/M65,0),
"USD",_xlfn.SWITCH(R65,"KG",P65*S65*SI!$C$10,"CTN",P65*SI!$C$10,"UNIT",P65*N65*SI!$C$10,"NET",P65*SI!$C$10/M65,0),
"LKR",_xlfn.SWITCH(R65,"KG",P65*S65/SI!$C$9,"CTN",P65/SI!$C$9,"UNIT",P65*N65/SI!$C$9,"NET",P65/(M65*SI!$C$9),0),
0),
"")</f>
        <v>890.97839999999997</v>
      </c>
      <c r="V65" s="87">
        <f t="shared" si="4"/>
        <v>14.399999999999999</v>
      </c>
      <c r="W65" s="87">
        <f t="shared" si="5"/>
        <v>15.84</v>
      </c>
      <c r="X65" s="88">
        <f t="shared" si="6"/>
        <v>2672.9351999999999</v>
      </c>
      <c r="Y65" s="24">
        <f t="shared" si="7"/>
        <v>72</v>
      </c>
      <c r="Z65" s="267">
        <f>IF(AND(H65&lt;&gt;"yes",F65&lt;&gt;""),IFERROR(VLOOKUP(F65,DUTY_2025!A:F,5,FALSE),""),"")</f>
        <v>570</v>
      </c>
      <c r="AA65" s="271">
        <f t="shared" si="8"/>
        <v>2546</v>
      </c>
      <c r="AB65" s="16">
        <f t="shared" si="9"/>
        <v>126.9351999999999</v>
      </c>
      <c r="AC65" s="16">
        <f>IF(AA65&lt;&gt;"",ROUND(AA65*SI!$C$9,0),"")</f>
        <v>8962</v>
      </c>
      <c r="AD65" s="4">
        <f>IF(AC65&lt;&gt;"",ROUND(AC65/(SI!$C$9*SI!$C$10),2),"")</f>
        <v>26.75</v>
      </c>
      <c r="AE65" s="30">
        <f>IF(AND(X65&lt;&gt;""), ROUND((SI!$E$23)*(X65/SUM($X$5:$X$493)),0),"")</f>
        <v>696</v>
      </c>
      <c r="AF65" s="272">
        <f t="shared" si="10"/>
        <v>9658</v>
      </c>
      <c r="AG65" s="28">
        <f t="shared" si="11"/>
        <v>8208</v>
      </c>
      <c r="AH65" s="4">
        <f>IF(AD65&lt;&gt;"",ROUND(AD65*10*SI!$C$9/2,0),"")</f>
        <v>471</v>
      </c>
      <c r="AI65" s="29">
        <f>IF(AND(X65&lt;&gt;""), ROUND((SI!$E$28)*(X65/SUM($X$5:$X$493)),0),"")</f>
        <v>1978</v>
      </c>
      <c r="AJ65" s="4">
        <f t="shared" si="12"/>
        <v>10657</v>
      </c>
      <c r="AK65" s="4">
        <f t="shared" si="13"/>
        <v>148</v>
      </c>
      <c r="AL65" s="4">
        <f t="shared" si="14"/>
        <v>134</v>
      </c>
      <c r="AM65" s="4">
        <f t="shared" si="15"/>
        <v>282</v>
      </c>
      <c r="AN65" s="195">
        <f t="shared" si="16"/>
        <v>20315</v>
      </c>
      <c r="AO65" s="261">
        <f>IF(AND(AM65&lt;&gt;"",P65&lt;&gt;""),ROUND((AM65*((100+SI!$C$11)/100)),0),"")</f>
        <v>324</v>
      </c>
      <c r="AP65" s="28">
        <f>IF(AG65&lt;&gt;"",ROUND(AG65/SI!$C$9,2),"")</f>
        <v>2331.8200000000002</v>
      </c>
      <c r="AQ65" s="4">
        <f>IF(AH65&lt;&gt;"",ROUND(AH65/SI!$C$9,2),"")</f>
        <v>133.81</v>
      </c>
      <c r="AR65" s="29">
        <f>IF(AI65&lt;&gt;"",ROUND(AI65/SI!$C$9,2),"")</f>
        <v>561.92999999999995</v>
      </c>
      <c r="AS65" s="4">
        <f t="shared" si="17"/>
        <v>3027.56</v>
      </c>
      <c r="AT65" s="4">
        <f t="shared" si="18"/>
        <v>42.05</v>
      </c>
      <c r="AU65" s="4">
        <f>IF(AL65&lt;&gt;"",ROUND(AL65/SI!$C$9,2),"")</f>
        <v>38.07</v>
      </c>
      <c r="AV65" s="4">
        <f>IF(AM65&lt;&gt;"",ROUND(AM65/SI!$C$9,2),"")</f>
        <v>80.11</v>
      </c>
      <c r="AW65" s="4">
        <f>IF(AN65&lt;&gt;"",ROUND(AN65/SI!$C$9,2),"")</f>
        <v>5771.31</v>
      </c>
      <c r="AX65" s="261">
        <f>IF(AO65&lt;&gt;"",ROUND(AO65/SI!$C$9,2),"")</f>
        <v>92.05</v>
      </c>
      <c r="AY65" s="28">
        <f t="shared" si="19"/>
        <v>9658</v>
      </c>
      <c r="AZ65" s="4">
        <f>IF(AY65&lt;&gt;"",ROUND(AY65/(SI!$C$9*SI!$C$10),2),"")</f>
        <v>28.82</v>
      </c>
      <c r="BA65" s="4">
        <f t="shared" si="20"/>
        <v>7726.4</v>
      </c>
      <c r="BB65" s="4">
        <f t="shared" si="21"/>
        <v>23.06</v>
      </c>
      <c r="BC65" s="4">
        <f t="shared" si="22"/>
        <v>0.32</v>
      </c>
      <c r="BD65" s="4">
        <f t="shared" si="23"/>
        <v>1.601</v>
      </c>
      <c r="BE65" s="4">
        <f>IF(AND(X65&lt;&gt;""),ROUND(X65/SI!$C$10,2),"")</f>
        <v>28.08</v>
      </c>
      <c r="BF65" s="4">
        <f t="shared" si="25"/>
        <v>0.39</v>
      </c>
      <c r="BG65" s="264">
        <f t="shared" si="24"/>
        <v>1.95</v>
      </c>
      <c r="BH65" s="71">
        <f>IF(F65&lt;&gt;"",VLOOKUP(F65,DUTY_2025!A:O,15,FALSE),"")</f>
        <v>80</v>
      </c>
    </row>
    <row r="66" spans="1:60" x14ac:dyDescent="0.25">
      <c r="A66" s="133">
        <f t="shared" si="0"/>
        <v>62</v>
      </c>
      <c r="B66" s="83">
        <f t="shared" si="1"/>
        <v>62</v>
      </c>
      <c r="C66" s="126">
        <v>1</v>
      </c>
      <c r="D66" s="127"/>
      <c r="E66" s="91"/>
      <c r="F66" s="301" t="s">
        <v>66</v>
      </c>
      <c r="G66" s="27">
        <f>IF(F66&lt;&gt;"",IFERROR(VLOOKUP(F66,DUTY_2025!A:I,6,FALSE),""),"")</f>
        <v>0</v>
      </c>
      <c r="H66" s="85" t="s">
        <v>133</v>
      </c>
      <c r="I66" s="27" t="str">
        <f>IF(F66&lt;&gt;"",IFERROR(VLOOKUP(F66,DUTY_2025!A:H,2,FALSE),""),"")</f>
        <v>HEALTH MIXES</v>
      </c>
      <c r="J66" s="23" t="s">
        <v>569</v>
      </c>
      <c r="K66" s="90">
        <v>0</v>
      </c>
      <c r="L66" s="92">
        <v>150</v>
      </c>
      <c r="M66" s="22">
        <v>2</v>
      </c>
      <c r="N66" s="90">
        <v>80</v>
      </c>
      <c r="O66" s="25">
        <v>5</v>
      </c>
      <c r="P66" s="300">
        <v>41.6</v>
      </c>
      <c r="Q66" s="23" t="s">
        <v>577</v>
      </c>
      <c r="R66" s="27" t="s">
        <v>337</v>
      </c>
      <c r="S66" s="86">
        <f t="shared" si="2"/>
        <v>12</v>
      </c>
      <c r="T66" s="87">
        <f t="shared" si="3"/>
        <v>13.200000000000001</v>
      </c>
      <c r="U66" s="87" cm="1">
        <f t="array" ref="U66">IF(AND(H66&lt;&gt;"YES",P66&lt;&gt;"",R66&lt;&gt;"",Q66&lt;&gt;""),
_xlfn.SWITCH(Q66,
"INR",_xlfn.SWITCH(R66,"KG",P66*S66,"CTN",P66,"UNIT",P66*N66,"NET",P66/M66,0),
"USD",_xlfn.SWITCH(R66,"KG",P66*S66*SI!$C$10,"CTN",P66*SI!$C$10,"UNIT",P66*N66*SI!$C$10,"NET",P66*SI!$C$10/M66,0),
"LKR",_xlfn.SWITCH(R66,"KG",P66*S66/SI!$C$9,"CTN",P66/SI!$C$9,"UNIT",P66*N66/SI!$C$9,"NET",P66/(M66*SI!$C$9),0),
0),
"")</f>
        <v>1979.952</v>
      </c>
      <c r="V66" s="87">
        <f t="shared" si="4"/>
        <v>24</v>
      </c>
      <c r="W66" s="87">
        <f t="shared" si="5"/>
        <v>26.400000000000002</v>
      </c>
      <c r="X66" s="88">
        <f t="shared" si="6"/>
        <v>3959.904</v>
      </c>
      <c r="Y66" s="24">
        <f t="shared" si="7"/>
        <v>160</v>
      </c>
      <c r="Z66" s="267">
        <f>IF(AND(H66&lt;&gt;"yes",F66&lt;&gt;""),IFERROR(VLOOKUP(F66,DUTY_2025!A:F,5,FALSE),""),"")</f>
        <v>570</v>
      </c>
      <c r="AA66" s="271">
        <f t="shared" si="8"/>
        <v>3771</v>
      </c>
      <c r="AB66" s="16">
        <f t="shared" si="9"/>
        <v>188.904</v>
      </c>
      <c r="AC66" s="16">
        <f>IF(AA66&lt;&gt;"",ROUND(AA66*SI!$C$9,0),"")</f>
        <v>13274</v>
      </c>
      <c r="AD66" s="4">
        <f>IF(AC66&lt;&gt;"",ROUND(AC66/(SI!$C$9*SI!$C$10),2),"")</f>
        <v>39.619999999999997</v>
      </c>
      <c r="AE66" s="30">
        <f>IF(AND(X66&lt;&gt;""), ROUND((SI!$E$23)*(X66/SUM($X$5:$X$493)),0),"")</f>
        <v>1031</v>
      </c>
      <c r="AF66" s="272">
        <f t="shared" si="10"/>
        <v>14305</v>
      </c>
      <c r="AG66" s="28">
        <f t="shared" si="11"/>
        <v>13680</v>
      </c>
      <c r="AH66" s="4">
        <f>IF(AD66&lt;&gt;"",ROUND(AD66*10*SI!$C$9/2,0),"")</f>
        <v>697</v>
      </c>
      <c r="AI66" s="29">
        <f>IF(AND(X66&lt;&gt;""), ROUND((SI!$E$28)*(X66/SUM($X$5:$X$493)),0),"")</f>
        <v>2930</v>
      </c>
      <c r="AJ66" s="4">
        <f t="shared" si="12"/>
        <v>17307</v>
      </c>
      <c r="AK66" s="4">
        <f t="shared" si="13"/>
        <v>108</v>
      </c>
      <c r="AL66" s="4">
        <f t="shared" si="14"/>
        <v>89</v>
      </c>
      <c r="AM66" s="4">
        <f t="shared" si="15"/>
        <v>197</v>
      </c>
      <c r="AN66" s="195">
        <f t="shared" si="16"/>
        <v>31612</v>
      </c>
      <c r="AO66" s="261">
        <f>IF(AND(AM66&lt;&gt;"",P66&lt;&gt;""),ROUND((AM66*((100+SI!$C$11)/100)),0),"")</f>
        <v>227</v>
      </c>
      <c r="AP66" s="28">
        <f>IF(AG66&lt;&gt;"",ROUND(AG66/SI!$C$9,2),"")</f>
        <v>3886.36</v>
      </c>
      <c r="AQ66" s="4">
        <f>IF(AH66&lt;&gt;"",ROUND(AH66/SI!$C$9,2),"")</f>
        <v>198.01</v>
      </c>
      <c r="AR66" s="29">
        <f>IF(AI66&lt;&gt;"",ROUND(AI66/SI!$C$9,2),"")</f>
        <v>832.39</v>
      </c>
      <c r="AS66" s="4">
        <f t="shared" si="17"/>
        <v>4916.76</v>
      </c>
      <c r="AT66" s="4">
        <f t="shared" si="18"/>
        <v>30.73</v>
      </c>
      <c r="AU66" s="4">
        <f>IF(AL66&lt;&gt;"",ROUND(AL66/SI!$C$9,2),"")</f>
        <v>25.28</v>
      </c>
      <c r="AV66" s="4">
        <f>IF(AM66&lt;&gt;"",ROUND(AM66/SI!$C$9,2),"")</f>
        <v>55.97</v>
      </c>
      <c r="AW66" s="4">
        <f>IF(AN66&lt;&gt;"",ROUND(AN66/SI!$C$9,2),"")</f>
        <v>8980.68</v>
      </c>
      <c r="AX66" s="261">
        <f>IF(AO66&lt;&gt;"",ROUND(AO66/SI!$C$9,2),"")</f>
        <v>64.489999999999995</v>
      </c>
      <c r="AY66" s="28">
        <f t="shared" si="19"/>
        <v>14305</v>
      </c>
      <c r="AZ66" s="4">
        <f>IF(AY66&lt;&gt;"",ROUND(AY66/(SI!$C$9*SI!$C$10),2),"")</f>
        <v>42.69</v>
      </c>
      <c r="BA66" s="4">
        <f t="shared" si="20"/>
        <v>11444</v>
      </c>
      <c r="BB66" s="4">
        <f t="shared" si="21"/>
        <v>34.15</v>
      </c>
      <c r="BC66" s="4">
        <f t="shared" si="22"/>
        <v>0.21299999999999999</v>
      </c>
      <c r="BD66" s="4">
        <f t="shared" si="23"/>
        <v>1.423</v>
      </c>
      <c r="BE66" s="4">
        <f>IF(AND(X66&lt;&gt;""),ROUND(X66/SI!$C$10,2),"")</f>
        <v>41.6</v>
      </c>
      <c r="BF66" s="4">
        <f t="shared" si="25"/>
        <v>0.26</v>
      </c>
      <c r="BG66" s="264">
        <f t="shared" si="24"/>
        <v>1.7330000000000001</v>
      </c>
      <c r="BH66" s="71">
        <f>IF(F66&lt;&gt;"",VLOOKUP(F66,DUTY_2025!A:O,15,FALSE),"")</f>
        <v>80</v>
      </c>
    </row>
    <row r="67" spans="1:60" x14ac:dyDescent="0.25">
      <c r="A67" s="133">
        <f>IF(AND(F67&lt;&gt;"",H67&lt;&gt;"YES"),IF(A66&lt;&gt;"",A66,0)+1,A66)</f>
        <v>63</v>
      </c>
      <c r="B67" s="83">
        <f>IF(AND(F67&lt;&gt;"",H67&lt;&gt;"YES"),IF(B66&lt;&gt;"",B66,A66)+1,"")</f>
        <v>63</v>
      </c>
      <c r="C67" s="126">
        <v>1</v>
      </c>
      <c r="D67" s="127"/>
      <c r="E67" s="91"/>
      <c r="F67" s="301" t="s">
        <v>66</v>
      </c>
      <c r="G67" s="27">
        <f>IF(F67&lt;&gt;"",IFERROR(VLOOKUP(F67,DUTY_2025!A:I,6,FALSE),""),"")</f>
        <v>0</v>
      </c>
      <c r="H67" s="85" t="s">
        <v>133</v>
      </c>
      <c r="I67" s="27" t="str">
        <f>IF(F67&lt;&gt;"",IFERROR(VLOOKUP(F67,DUTY_2025!A:H,2,FALSE),""),"")</f>
        <v>HEALTH MIXES</v>
      </c>
      <c r="J67" s="23" t="s">
        <v>570</v>
      </c>
      <c r="K67" s="90">
        <v>0</v>
      </c>
      <c r="L67" s="92">
        <v>200</v>
      </c>
      <c r="M67" s="22">
        <v>2</v>
      </c>
      <c r="N67" s="90">
        <v>60</v>
      </c>
      <c r="O67" s="25">
        <v>5</v>
      </c>
      <c r="P67" s="300">
        <v>46.800000000000004</v>
      </c>
      <c r="Q67" s="23" t="s">
        <v>577</v>
      </c>
      <c r="R67" s="27" t="s">
        <v>337</v>
      </c>
      <c r="S67" s="86">
        <f t="shared" si="2"/>
        <v>12</v>
      </c>
      <c r="T67" s="87">
        <f t="shared" si="3"/>
        <v>13.200000000000001</v>
      </c>
      <c r="U67" s="87" cm="1">
        <f t="array" ref="U67">IF(AND(H67&lt;&gt;"YES",P67&lt;&gt;"",R67&lt;&gt;"",Q67&lt;&gt;""),
_xlfn.SWITCH(Q67,
"INR",_xlfn.SWITCH(R67,"KG",P67*S67,"CTN",P67,"UNIT",P67*N67,"NET",P67/M67,0),
"USD",_xlfn.SWITCH(R67,"KG",P67*S67*SI!$C$10,"CTN",P67*SI!$C$10,"UNIT",P67*N67*SI!$C$10,"NET",P67*SI!$C$10/M67,0),
"LKR",_xlfn.SWITCH(R67,"KG",P67*S67/SI!$C$9,"CTN",P67/SI!$C$9,"UNIT",P67*N67/SI!$C$9,"NET",P67/(M67*SI!$C$9),0),
0),
"")</f>
        <v>2227.4460000000004</v>
      </c>
      <c r="V67" s="87">
        <f t="shared" si="4"/>
        <v>24</v>
      </c>
      <c r="W67" s="87">
        <f t="shared" si="5"/>
        <v>26.400000000000002</v>
      </c>
      <c r="X67" s="88">
        <f t="shared" si="6"/>
        <v>4454.8920000000007</v>
      </c>
      <c r="Y67" s="24">
        <f t="shared" si="7"/>
        <v>120</v>
      </c>
      <c r="Z67" s="267">
        <f>IF(AND(H67&lt;&gt;"yes",F67&lt;&gt;""),IFERROR(VLOOKUP(F67,DUTY_2025!A:F,5,FALSE),""),"")</f>
        <v>570</v>
      </c>
      <c r="AA67" s="271">
        <f t="shared" si="8"/>
        <v>4243</v>
      </c>
      <c r="AB67" s="16">
        <f t="shared" si="9"/>
        <v>211.89200000000073</v>
      </c>
      <c r="AC67" s="16">
        <f>IF(AA67&lt;&gt;"",ROUND(AA67*SI!$C$9,0),"")</f>
        <v>14935</v>
      </c>
      <c r="AD67" s="4">
        <f>IF(AC67&lt;&gt;"",ROUND(AC67/(SI!$C$9*SI!$C$10),2),"")</f>
        <v>44.57</v>
      </c>
      <c r="AE67" s="30">
        <f>IF(AND(X67&lt;&gt;""), ROUND((SI!$E$23)*(X67/SUM($X$5:$X$493)),0),"")</f>
        <v>1160</v>
      </c>
      <c r="AF67" s="272">
        <f t="shared" si="10"/>
        <v>16095</v>
      </c>
      <c r="AG67" s="28">
        <f t="shared" si="11"/>
        <v>13680</v>
      </c>
      <c r="AH67" s="4">
        <f>IF(AD67&lt;&gt;"",ROUND(AD67*10*SI!$C$9/2,0),"")</f>
        <v>784</v>
      </c>
      <c r="AI67" s="29">
        <f>IF(AND(X67&lt;&gt;""), ROUND((SI!$E$28)*(X67/SUM($X$5:$X$493)),0),"")</f>
        <v>3296</v>
      </c>
      <c r="AJ67" s="4">
        <f t="shared" si="12"/>
        <v>17760</v>
      </c>
      <c r="AK67" s="4">
        <f t="shared" si="13"/>
        <v>148</v>
      </c>
      <c r="AL67" s="4">
        <f t="shared" si="14"/>
        <v>134</v>
      </c>
      <c r="AM67" s="4">
        <f t="shared" si="15"/>
        <v>282</v>
      </c>
      <c r="AN67" s="195">
        <f t="shared" si="16"/>
        <v>33855</v>
      </c>
      <c r="AO67" s="261">
        <f>IF(AND(AM67&lt;&gt;"",P67&lt;&gt;""),ROUND((AM67*((100+SI!$C$11)/100)),0),"")</f>
        <v>324</v>
      </c>
      <c r="AP67" s="28">
        <f>IF(AG67&lt;&gt;"",ROUND(AG67/SI!$C$9,2),"")</f>
        <v>3886.36</v>
      </c>
      <c r="AQ67" s="4">
        <f>IF(AH67&lt;&gt;"",ROUND(AH67/SI!$C$9,2),"")</f>
        <v>222.73</v>
      </c>
      <c r="AR67" s="29">
        <f>IF(AI67&lt;&gt;"",ROUND(AI67/SI!$C$9,2),"")</f>
        <v>936.36</v>
      </c>
      <c r="AS67" s="4">
        <f t="shared" si="17"/>
        <v>5045.45</v>
      </c>
      <c r="AT67" s="4">
        <f t="shared" si="18"/>
        <v>42.05</v>
      </c>
      <c r="AU67" s="4">
        <f>IF(AL67&lt;&gt;"",ROUND(AL67/SI!$C$9,2),"")</f>
        <v>38.07</v>
      </c>
      <c r="AV67" s="4">
        <f>IF(AM67&lt;&gt;"",ROUND(AM67/SI!$C$9,2),"")</f>
        <v>80.11</v>
      </c>
      <c r="AW67" s="4">
        <f>IF(AN67&lt;&gt;"",ROUND(AN67/SI!$C$9,2),"")</f>
        <v>9617.9</v>
      </c>
      <c r="AX67" s="261">
        <f>IF(AO67&lt;&gt;"",ROUND(AO67/SI!$C$9,2),"")</f>
        <v>92.05</v>
      </c>
      <c r="AY67" s="28">
        <f t="shared" si="19"/>
        <v>16095</v>
      </c>
      <c r="AZ67" s="4">
        <f>IF(AY67&lt;&gt;"",ROUND(AY67/(SI!$C$9*SI!$C$10),2),"")</f>
        <v>48.03</v>
      </c>
      <c r="BA67" s="4">
        <f t="shared" si="20"/>
        <v>12876</v>
      </c>
      <c r="BB67" s="4">
        <f t="shared" si="21"/>
        <v>38.42</v>
      </c>
      <c r="BC67" s="4">
        <f t="shared" si="22"/>
        <v>0.32</v>
      </c>
      <c r="BD67" s="4">
        <f t="shared" si="23"/>
        <v>1.601</v>
      </c>
      <c r="BE67" s="4">
        <f>IF(AND(X67&lt;&gt;""),ROUND(X67/SI!$C$10,2),"")</f>
        <v>46.8</v>
      </c>
      <c r="BF67" s="4">
        <f t="shared" si="25"/>
        <v>0.39</v>
      </c>
      <c r="BG67" s="264">
        <f t="shared" si="24"/>
        <v>1.95</v>
      </c>
      <c r="BH67" s="71">
        <f>IF(F67&lt;&gt;"",VLOOKUP(F67,DUTY_2025!A:O,15,FALSE),"")</f>
        <v>80</v>
      </c>
    </row>
    <row r="68" spans="1:60" x14ac:dyDescent="0.25">
      <c r="A68" s="133">
        <f t="shared" si="0"/>
        <v>64</v>
      </c>
      <c r="B68" s="83">
        <f t="shared" si="1"/>
        <v>64</v>
      </c>
      <c r="C68" s="126">
        <v>1</v>
      </c>
      <c r="D68" s="127"/>
      <c r="E68" s="91"/>
      <c r="F68" s="301" t="s">
        <v>66</v>
      </c>
      <c r="G68" s="27">
        <f>IF(F68&lt;&gt;"",IFERROR(VLOOKUP(F68,DUTY_2025!A:I,6,FALSE),""),"")</f>
        <v>0</v>
      </c>
      <c r="H68" s="85" t="s">
        <v>133</v>
      </c>
      <c r="I68" s="27" t="str">
        <f>IF(F68&lt;&gt;"",IFERROR(VLOOKUP(F68,DUTY_2025!A:H,2,FALSE),""),"")</f>
        <v>HEALTH MIXES</v>
      </c>
      <c r="J68" s="23" t="s">
        <v>571</v>
      </c>
      <c r="K68" s="90">
        <v>0</v>
      </c>
      <c r="L68" s="92">
        <v>200</v>
      </c>
      <c r="M68" s="22">
        <v>1</v>
      </c>
      <c r="N68" s="90">
        <v>60</v>
      </c>
      <c r="O68" s="25">
        <v>5</v>
      </c>
      <c r="P68" s="300">
        <v>23.400000000000002</v>
      </c>
      <c r="Q68" s="23" t="s">
        <v>577</v>
      </c>
      <c r="R68" s="27" t="s">
        <v>337</v>
      </c>
      <c r="S68" s="86">
        <f t="shared" si="2"/>
        <v>12</v>
      </c>
      <c r="T68" s="87">
        <f t="shared" si="3"/>
        <v>13.200000000000001</v>
      </c>
      <c r="U68" s="87" cm="1">
        <f t="array" ref="U68">IF(AND(H68&lt;&gt;"YES",P68&lt;&gt;"",R68&lt;&gt;"",Q68&lt;&gt;""),
_xlfn.SWITCH(Q68,
"INR",_xlfn.SWITCH(R68,"KG",P68*S68,"CTN",P68,"UNIT",P68*N68,"NET",P68/M68,0),
"USD",_xlfn.SWITCH(R68,"KG",P68*S68*SI!$C$10,"CTN",P68*SI!$C$10,"UNIT",P68*N68*SI!$C$10,"NET",P68*SI!$C$10/M68,0),
"LKR",_xlfn.SWITCH(R68,"KG",P68*S68/SI!$C$9,"CTN",P68/SI!$C$9,"UNIT",P68*N68/SI!$C$9,"NET",P68/(M68*SI!$C$9),0),
0),
"")</f>
        <v>2227.4460000000004</v>
      </c>
      <c r="V68" s="87">
        <f t="shared" si="4"/>
        <v>12</v>
      </c>
      <c r="W68" s="87">
        <f t="shared" si="5"/>
        <v>13.200000000000001</v>
      </c>
      <c r="X68" s="88">
        <f t="shared" si="6"/>
        <v>2227.4460000000004</v>
      </c>
      <c r="Y68" s="24">
        <f t="shared" si="7"/>
        <v>60</v>
      </c>
      <c r="Z68" s="267">
        <f>IF(AND(H68&lt;&gt;"yes",F68&lt;&gt;""),IFERROR(VLOOKUP(F68,DUTY_2025!A:F,5,FALSE),""),"")</f>
        <v>570</v>
      </c>
      <c r="AA68" s="271">
        <f t="shared" si="8"/>
        <v>2121</v>
      </c>
      <c r="AB68" s="16">
        <f t="shared" si="9"/>
        <v>106.44600000000037</v>
      </c>
      <c r="AC68" s="16">
        <f>IF(AA68&lt;&gt;"",ROUND(AA68*SI!$C$9,0),"")</f>
        <v>7466</v>
      </c>
      <c r="AD68" s="4">
        <f>IF(AC68&lt;&gt;"",ROUND(AC68/(SI!$C$9*SI!$C$10),2),"")</f>
        <v>22.28</v>
      </c>
      <c r="AE68" s="30">
        <f>IF(AND(X68&lt;&gt;""), ROUND((SI!$E$23)*(X68/SUM($X$5:$X$493)),0),"")</f>
        <v>580</v>
      </c>
      <c r="AF68" s="272">
        <f t="shared" si="10"/>
        <v>8046</v>
      </c>
      <c r="AG68" s="28">
        <f t="shared" si="11"/>
        <v>6840</v>
      </c>
      <c r="AH68" s="4">
        <f>IF(AD68&lt;&gt;"",ROUND(AD68*10*SI!$C$9/2,0),"")</f>
        <v>392</v>
      </c>
      <c r="AI68" s="29">
        <f>IF(AND(X68&lt;&gt;""), ROUND((SI!$E$28)*(X68/SUM($X$5:$X$493)),0),"")</f>
        <v>1648</v>
      </c>
      <c r="AJ68" s="4">
        <f t="shared" si="12"/>
        <v>8880</v>
      </c>
      <c r="AK68" s="4">
        <f t="shared" si="13"/>
        <v>148</v>
      </c>
      <c r="AL68" s="4">
        <f t="shared" si="14"/>
        <v>134</v>
      </c>
      <c r="AM68" s="4">
        <f t="shared" si="15"/>
        <v>282</v>
      </c>
      <c r="AN68" s="195">
        <f t="shared" si="16"/>
        <v>16926</v>
      </c>
      <c r="AO68" s="261">
        <f>IF(AND(AM68&lt;&gt;"",P68&lt;&gt;""),ROUND((AM68*((100+SI!$C$11)/100)),0),"")</f>
        <v>324</v>
      </c>
      <c r="AP68" s="28">
        <f>IF(AG68&lt;&gt;"",ROUND(AG68/SI!$C$9,2),"")</f>
        <v>1943.18</v>
      </c>
      <c r="AQ68" s="4">
        <f>IF(AH68&lt;&gt;"",ROUND(AH68/SI!$C$9,2),"")</f>
        <v>111.36</v>
      </c>
      <c r="AR68" s="29">
        <f>IF(AI68&lt;&gt;"",ROUND(AI68/SI!$C$9,2),"")</f>
        <v>468.18</v>
      </c>
      <c r="AS68" s="4">
        <f t="shared" si="17"/>
        <v>2522.7200000000003</v>
      </c>
      <c r="AT68" s="4">
        <f t="shared" si="18"/>
        <v>42.05</v>
      </c>
      <c r="AU68" s="4">
        <f>IF(AL68&lt;&gt;"",ROUND(AL68/SI!$C$9,2),"")</f>
        <v>38.07</v>
      </c>
      <c r="AV68" s="4">
        <f>IF(AM68&lt;&gt;"",ROUND(AM68/SI!$C$9,2),"")</f>
        <v>80.11</v>
      </c>
      <c r="AW68" s="4">
        <f>IF(AN68&lt;&gt;"",ROUND(AN68/SI!$C$9,2),"")</f>
        <v>4808.5200000000004</v>
      </c>
      <c r="AX68" s="261">
        <f>IF(AO68&lt;&gt;"",ROUND(AO68/SI!$C$9,2),"")</f>
        <v>92.05</v>
      </c>
      <c r="AY68" s="28">
        <f t="shared" si="19"/>
        <v>8046</v>
      </c>
      <c r="AZ68" s="4">
        <f>IF(AY68&lt;&gt;"",ROUND(AY68/(SI!$C$9*SI!$C$10),2),"")</f>
        <v>24.01</v>
      </c>
      <c r="BA68" s="4">
        <f t="shared" si="20"/>
        <v>6436.8</v>
      </c>
      <c r="BB68" s="4">
        <f t="shared" si="21"/>
        <v>19.21</v>
      </c>
      <c r="BC68" s="4">
        <f t="shared" si="22"/>
        <v>0.32</v>
      </c>
      <c r="BD68" s="4">
        <f t="shared" si="23"/>
        <v>1.601</v>
      </c>
      <c r="BE68" s="4">
        <f>IF(AND(X68&lt;&gt;""),ROUND(X68/SI!$C$10,2),"")</f>
        <v>23.4</v>
      </c>
      <c r="BF68" s="4">
        <f t="shared" si="25"/>
        <v>0.39</v>
      </c>
      <c r="BG68" s="264">
        <f t="shared" si="24"/>
        <v>1.95</v>
      </c>
      <c r="BH68" s="71">
        <f>IF(F68&lt;&gt;"",VLOOKUP(F68,DUTY_2025!A:O,15,FALSE),"")</f>
        <v>80</v>
      </c>
    </row>
    <row r="69" spans="1:60" x14ac:dyDescent="0.25">
      <c r="A69" s="133">
        <f t="shared" si="0"/>
        <v>65</v>
      </c>
      <c r="B69" s="83">
        <f t="shared" si="1"/>
        <v>65</v>
      </c>
      <c r="C69" s="126">
        <v>1</v>
      </c>
      <c r="D69" s="127"/>
      <c r="E69" s="91"/>
      <c r="F69" s="301" t="s">
        <v>66</v>
      </c>
      <c r="G69" s="27">
        <f>IF(F69&lt;&gt;"",IFERROR(VLOOKUP(F69,DUTY_2025!A:I,6,FALSE),""),"")</f>
        <v>0</v>
      </c>
      <c r="H69" s="85" t="s">
        <v>133</v>
      </c>
      <c r="I69" s="27" t="str">
        <f>IF(F69&lt;&gt;"",IFERROR(VLOOKUP(F69,DUTY_2025!A:H,2,FALSE),""),"")</f>
        <v>HEALTH MIXES</v>
      </c>
      <c r="J69" s="23" t="s">
        <v>572</v>
      </c>
      <c r="K69" s="90">
        <v>0</v>
      </c>
      <c r="L69" s="92">
        <v>1000</v>
      </c>
      <c r="M69" s="22">
        <v>10</v>
      </c>
      <c r="N69" s="90">
        <v>18</v>
      </c>
      <c r="O69" s="25">
        <v>5</v>
      </c>
      <c r="P69" s="116">
        <v>351</v>
      </c>
      <c r="Q69" s="23" t="s">
        <v>577</v>
      </c>
      <c r="R69" s="27" t="s">
        <v>337</v>
      </c>
      <c r="S69" s="86">
        <f t="shared" si="2"/>
        <v>18</v>
      </c>
      <c r="T69" s="87">
        <f t="shared" si="3"/>
        <v>19.8</v>
      </c>
      <c r="U69" s="87" cm="1">
        <f t="array" ref="U69">IF(AND(H69&lt;&gt;"YES",P69&lt;&gt;"",R69&lt;&gt;"",Q69&lt;&gt;""),
_xlfn.SWITCH(Q69,
"INR",_xlfn.SWITCH(R69,"KG",P69*S69,"CTN",P69,"UNIT",P69*N69,"NET",P69/M69,0),
"USD",_xlfn.SWITCH(R69,"KG",P69*S69*SI!$C$10,"CTN",P69*SI!$C$10,"UNIT",P69*N69*SI!$C$10,"NET",P69*SI!$C$10/M69,0),
"LKR",_xlfn.SWITCH(R69,"KG",P69*S69/SI!$C$9,"CTN",P69/SI!$C$9,"UNIT",P69*N69/SI!$C$9,"NET",P69/(M69*SI!$C$9),0),
0),
"")</f>
        <v>3341.1690000000003</v>
      </c>
      <c r="V69" s="87">
        <f t="shared" si="4"/>
        <v>180</v>
      </c>
      <c r="W69" s="87">
        <f t="shared" si="5"/>
        <v>198.00000000000003</v>
      </c>
      <c r="X69" s="88">
        <f t="shared" si="6"/>
        <v>33411.69</v>
      </c>
      <c r="Y69" s="24">
        <f t="shared" si="7"/>
        <v>180</v>
      </c>
      <c r="Z69" s="267">
        <f>IF(AND(H69&lt;&gt;"yes",F69&lt;&gt;""),IFERROR(VLOOKUP(F69,DUTY_2025!A:F,5,FALSE),""),"")</f>
        <v>570</v>
      </c>
      <c r="AA69" s="271">
        <f t="shared" si="8"/>
        <v>31821</v>
      </c>
      <c r="AB69" s="16">
        <f t="shared" si="9"/>
        <v>1590.6900000000023</v>
      </c>
      <c r="AC69" s="16">
        <f>IF(AA69&lt;&gt;"",ROUND(AA69*SI!$C$9,0),"")</f>
        <v>112010</v>
      </c>
      <c r="AD69" s="4">
        <f>IF(AC69&lt;&gt;"",ROUND(AC69/(SI!$C$9*SI!$C$10),2),"")</f>
        <v>334.29</v>
      </c>
      <c r="AE69" s="30">
        <f>IF(AND(X69&lt;&gt;""), ROUND((SI!$E$23)*(X69/SUM($X$5:$X$493)),0),"")</f>
        <v>8702</v>
      </c>
      <c r="AF69" s="272">
        <f t="shared" si="10"/>
        <v>120712</v>
      </c>
      <c r="AG69" s="28">
        <f t="shared" si="11"/>
        <v>102600</v>
      </c>
      <c r="AH69" s="4">
        <f>IF(AD69&lt;&gt;"",ROUND(AD69*10*SI!$C$9/2,0),"")</f>
        <v>5884</v>
      </c>
      <c r="AI69" s="29">
        <f>IF(AND(X69&lt;&gt;""), ROUND((SI!$E$28)*(X69/SUM($X$5:$X$493)),0),"")</f>
        <v>24721</v>
      </c>
      <c r="AJ69" s="4">
        <f t="shared" si="12"/>
        <v>133205</v>
      </c>
      <c r="AK69" s="4">
        <f t="shared" si="13"/>
        <v>740</v>
      </c>
      <c r="AL69" s="4">
        <f t="shared" si="14"/>
        <v>671</v>
      </c>
      <c r="AM69" s="4">
        <f t="shared" si="15"/>
        <v>1411</v>
      </c>
      <c r="AN69" s="195">
        <f t="shared" si="16"/>
        <v>253917</v>
      </c>
      <c r="AO69" s="261">
        <f>IF(AND(AM69&lt;&gt;"",P69&lt;&gt;""),ROUND((AM69*((100+SI!$C$11)/100)),0),"")</f>
        <v>1623</v>
      </c>
      <c r="AP69" s="28">
        <f>IF(AG69&lt;&gt;"",ROUND(AG69/SI!$C$9,2),"")</f>
        <v>29147.73</v>
      </c>
      <c r="AQ69" s="4">
        <f>IF(AH69&lt;&gt;"",ROUND(AH69/SI!$C$9,2),"")</f>
        <v>1671.59</v>
      </c>
      <c r="AR69" s="29">
        <f>IF(AI69&lt;&gt;"",ROUND(AI69/SI!$C$9,2),"")</f>
        <v>7023.01</v>
      </c>
      <c r="AS69" s="4">
        <f t="shared" si="17"/>
        <v>37842.329999999994</v>
      </c>
      <c r="AT69" s="4">
        <f t="shared" si="18"/>
        <v>210.24</v>
      </c>
      <c r="AU69" s="4">
        <f>IF(AL69&lt;&gt;"",ROUND(AL69/SI!$C$9,2),"")</f>
        <v>190.63</v>
      </c>
      <c r="AV69" s="4">
        <f>IF(AM69&lt;&gt;"",ROUND(AM69/SI!$C$9,2),"")</f>
        <v>400.85</v>
      </c>
      <c r="AW69" s="4">
        <f>IF(AN69&lt;&gt;"",ROUND(AN69/SI!$C$9,2),"")</f>
        <v>72135.509999999995</v>
      </c>
      <c r="AX69" s="261">
        <f>IF(AO69&lt;&gt;"",ROUND(AO69/SI!$C$9,2),"")</f>
        <v>461.08</v>
      </c>
      <c r="AY69" s="28">
        <f t="shared" si="19"/>
        <v>120712</v>
      </c>
      <c r="AZ69" s="4">
        <f>IF(AY69&lt;&gt;"",ROUND(AY69/(SI!$C$9*SI!$C$10),2),"")</f>
        <v>360.26</v>
      </c>
      <c r="BA69" s="4">
        <f t="shared" si="20"/>
        <v>96569.600000000006</v>
      </c>
      <c r="BB69" s="4">
        <f t="shared" si="21"/>
        <v>288.20999999999998</v>
      </c>
      <c r="BC69" s="4">
        <f t="shared" si="22"/>
        <v>1.601</v>
      </c>
      <c r="BD69" s="4">
        <f t="shared" si="23"/>
        <v>1.601</v>
      </c>
      <c r="BE69" s="4">
        <f>IF(AND(X69&lt;&gt;""),ROUND(X69/SI!$C$10,2),"")</f>
        <v>351</v>
      </c>
      <c r="BF69" s="4">
        <f t="shared" si="25"/>
        <v>1.95</v>
      </c>
      <c r="BG69" s="264">
        <f t="shared" si="24"/>
        <v>1.95</v>
      </c>
      <c r="BH69" s="71">
        <f>IF(F69&lt;&gt;"",VLOOKUP(F69,DUTY_2025!A:O,15,FALSE),"")</f>
        <v>80</v>
      </c>
    </row>
    <row r="70" spans="1:60" x14ac:dyDescent="0.25">
      <c r="A70" s="133">
        <f t="shared" ref="A70:A133" si="26">IF(AND(F70&lt;&gt;"",H70&lt;&gt;"YES"),IF(A69&lt;&gt;"",A69,0)+1,A69)</f>
        <v>66</v>
      </c>
      <c r="B70" s="83">
        <f t="shared" ref="B70:B133" si="27">IF(AND(F70&lt;&gt;"",H70&lt;&gt;"YES"),IF(B69&lt;&gt;"",B69,A69)+1,"")</f>
        <v>66</v>
      </c>
      <c r="C70" s="126">
        <v>1</v>
      </c>
      <c r="D70" s="127"/>
      <c r="E70" s="91"/>
      <c r="F70" s="301" t="s">
        <v>66</v>
      </c>
      <c r="G70" s="27">
        <f>IF(F70&lt;&gt;"",IFERROR(VLOOKUP(F70,DUTY_2025!A:I,6,FALSE),""),"")</f>
        <v>0</v>
      </c>
      <c r="H70" s="85" t="s">
        <v>133</v>
      </c>
      <c r="I70" s="27" t="str">
        <f>IF(F70&lt;&gt;"",IFERROR(VLOOKUP(F70,DUTY_2025!A:H,2,FALSE),""),"")</f>
        <v>HEALTH MIXES</v>
      </c>
      <c r="J70" s="23" t="s">
        <v>573</v>
      </c>
      <c r="K70" s="90">
        <v>0</v>
      </c>
      <c r="L70" s="92">
        <v>200</v>
      </c>
      <c r="M70" s="22">
        <v>16</v>
      </c>
      <c r="N70" s="90">
        <v>60</v>
      </c>
      <c r="O70" s="25">
        <v>5</v>
      </c>
      <c r="P70" s="300">
        <v>585.6</v>
      </c>
      <c r="Q70" s="23" t="s">
        <v>577</v>
      </c>
      <c r="R70" s="27" t="s">
        <v>337</v>
      </c>
      <c r="S70" s="86">
        <f t="shared" ref="S70:S133" si="28">IF(AND(H70&lt;&gt;"YES",N70&lt;&gt;""),N70*L70/1000,"")</f>
        <v>12</v>
      </c>
      <c r="T70" s="87">
        <f t="shared" ref="T70:T133" si="29">IF(S70&lt;&gt;"",S70*1.1,"")</f>
        <v>13.200000000000001</v>
      </c>
      <c r="U70" s="87" cm="1">
        <f t="array" ref="U70">IF(AND(H70&lt;&gt;"YES",P70&lt;&gt;"",R70&lt;&gt;"",Q70&lt;&gt;""),
_xlfn.SWITCH(Q70,
"INR",_xlfn.SWITCH(R70,"KG",P70*S70,"CTN",P70,"UNIT",P70*N70,"NET",P70/M70,0),
"USD",_xlfn.SWITCH(R70,"KG",P70*S70*SI!$C$10,"CTN",P70*SI!$C$10,"UNIT",P70*N70*SI!$C$10,"NET",P70*SI!$C$10/M70,0),
"LKR",_xlfn.SWITCH(R70,"KG",P70*S70/SI!$C$9,"CTN",P70/SI!$C$9,"UNIT",P70*N70/SI!$C$9,"NET",P70/(M70*SI!$C$9),0),
0),
"")</f>
        <v>3483.9540000000002</v>
      </c>
      <c r="V70" s="87">
        <f t="shared" ref="V70:V133" si="30">IF(AND(S70&lt;&gt;"",M70&lt;&gt;"",N70&lt;&gt;""),S70*M70,"")</f>
        <v>192</v>
      </c>
      <c r="W70" s="87">
        <f t="shared" ref="W70:W133" si="31">IF(V70&lt;&gt;"",V70*1.1,"")</f>
        <v>211.20000000000002</v>
      </c>
      <c r="X70" s="88">
        <f t="shared" ref="X70:X133" si="32">IF(AND(U70&lt;&gt;"",M70&lt;&gt;""),U70*M70,"")</f>
        <v>55743.264000000003</v>
      </c>
      <c r="Y70" s="24">
        <f t="shared" ref="Y70:Y133" si="33">IF(AND(H70&lt;&gt;"YES",M70&lt;&gt;"",N70&lt;&gt;""),IF(E70=1,(N70*M70)/2,N70*M70),"")</f>
        <v>960</v>
      </c>
      <c r="Z70" s="267">
        <f>IF(AND(H70&lt;&gt;"yes",F70&lt;&gt;""),IFERROR(VLOOKUP(F70,DUTY_2025!A:F,5,FALSE),""),"")</f>
        <v>570</v>
      </c>
      <c r="AA70" s="271">
        <f t="shared" ref="AA70:AA133" si="34">IF(B70&lt;&gt;"",IF(AND(X70&lt;&gt;"", O70&lt;&gt;""),IF(ROUND(X70*100/(100+O70),0)=0,"",ROUND(X70*100/(100+O70),0)),""),"")</f>
        <v>53089</v>
      </c>
      <c r="AB70" s="16">
        <f t="shared" ref="AB70:AB133" si="35">IF(M70&lt;&gt;"",IF(AND(X70&lt;&gt;"",AA70&lt;&gt;""),X70-AA70,""),"")</f>
        <v>2654.2640000000029</v>
      </c>
      <c r="AC70" s="16">
        <f>IF(AA70&lt;&gt;"",ROUND(AA70*SI!$C$9,0),"")</f>
        <v>186873</v>
      </c>
      <c r="AD70" s="4">
        <f>IF(AC70&lt;&gt;"",ROUND(AC70/(SI!$C$9*SI!$C$10),2),"")</f>
        <v>557.72</v>
      </c>
      <c r="AE70" s="30">
        <f>IF(AND(X70&lt;&gt;""), ROUND((SI!$E$23)*(X70/SUM($X$5:$X$493)),0),"")</f>
        <v>14518</v>
      </c>
      <c r="AF70" s="272">
        <f t="shared" ref="AF70:AF133" si="36">IF(AND(AC70&lt;&gt;"",AE70&lt;&gt;""),ROUND(AC70+AE70,0),"")</f>
        <v>201391</v>
      </c>
      <c r="AG70" s="28">
        <f t="shared" ref="AG70:AG133" si="37">IF(AND(Z70&lt;&gt;"",V70&lt;&gt;""),Z70*V70,"")</f>
        <v>109440</v>
      </c>
      <c r="AH70" s="4">
        <f>IF(AD70&lt;&gt;"",ROUND(AD70*10*SI!$C$9/2,0),"")</f>
        <v>9816</v>
      </c>
      <c r="AI70" s="29">
        <f>IF(AND(X70&lt;&gt;""), ROUND((SI!$E$28)*(X70/SUM($X$5:$X$493)),0),"")</f>
        <v>41244</v>
      </c>
      <c r="AJ70" s="4">
        <f t="shared" ref="AJ70:AJ133" si="38">IF(AND(AG70&lt;&gt;"",AI70&lt;&gt;"",AH70&lt;&gt;""),AG70+AI70+AH70,"")</f>
        <v>160500</v>
      </c>
      <c r="AK70" s="4">
        <f t="shared" ref="AK70:AK133" si="39">IF(AND(AJ70&lt;&gt;"",Y70&lt;&gt;""),ROUND(AJ70/Y70,0),"")</f>
        <v>167</v>
      </c>
      <c r="AL70" s="4">
        <f t="shared" ref="AL70:AL133" si="40">IF(AND(AC70&lt;&gt;"",Y70&lt;&gt;""),ROUND(AF70/Y70,0),"")</f>
        <v>210</v>
      </c>
      <c r="AM70" s="4">
        <f t="shared" ref="AM70:AM133" si="41">IF(AND(AK70&lt;&gt;"",AL70&lt;&gt;""),AK70+AL70,"")</f>
        <v>377</v>
      </c>
      <c r="AN70" s="195">
        <f t="shared" ref="AN70:AN133" si="42">IF(AND(AF70&lt;&gt;"",AG70&lt;&gt;"",AH70&lt;&gt;"",AI70&lt;&gt;""),AF70+AG70+AH70+AI70,"")</f>
        <v>361891</v>
      </c>
      <c r="AO70" s="261">
        <f>IF(AND(AM70&lt;&gt;"",P70&lt;&gt;""),ROUND((AM70*((100+SI!$C$11)/100)),0),"")</f>
        <v>434</v>
      </c>
      <c r="AP70" s="28">
        <f>IF(AG70&lt;&gt;"",ROUND(AG70/SI!$C$9,2),"")</f>
        <v>31090.91</v>
      </c>
      <c r="AQ70" s="4">
        <f>IF(AH70&lt;&gt;"",ROUND(AH70/SI!$C$9,2),"")</f>
        <v>2788.64</v>
      </c>
      <c r="AR70" s="29">
        <f>IF(AI70&lt;&gt;"",ROUND(AI70/SI!$C$9,2),"")</f>
        <v>11717.05</v>
      </c>
      <c r="AS70" s="4">
        <f t="shared" ref="AS70:AS133" si="43">IF(AND(AP70&lt;&gt;"",AR70&lt;&gt;"",AQ70&lt;&gt;""),AP70+AR70+AQ70,"")</f>
        <v>45596.6</v>
      </c>
      <c r="AT70" s="4">
        <f t="shared" ref="AT70:AT133" si="44">IF(AND(AS70&lt;&gt;"",Y70&lt;&gt;""),ROUND(AS70/Y70,2),"")</f>
        <v>47.5</v>
      </c>
      <c r="AU70" s="4">
        <f>IF(AL70&lt;&gt;"",ROUND(AL70/SI!$C$9,2),"")</f>
        <v>59.66</v>
      </c>
      <c r="AV70" s="4">
        <f>IF(AM70&lt;&gt;"",ROUND(AM70/SI!$C$9,2),"")</f>
        <v>107.1</v>
      </c>
      <c r="AW70" s="4">
        <f>IF(AN70&lt;&gt;"",ROUND(AN70/SI!$C$9,2),"")</f>
        <v>102809.94</v>
      </c>
      <c r="AX70" s="261">
        <f>IF(AO70&lt;&gt;"",ROUND(AO70/SI!$C$9,2),"")</f>
        <v>123.3</v>
      </c>
      <c r="AY70" s="28">
        <f t="shared" ref="AY70:AY133" si="45">IF(AF70&lt;&gt;"",AF70,"")</f>
        <v>201391</v>
      </c>
      <c r="AZ70" s="4">
        <f>IF(AY70&lt;&gt;"",ROUND(AY70/(SI!$C$9*SI!$C$10),2),"")</f>
        <v>601.04</v>
      </c>
      <c r="BA70" s="4">
        <f t="shared" ref="BA70:BA133" si="46">IF(AND(AY70&lt;&gt;"",BH70&lt;&gt;""),ROUND(AY70*BH70/100,2),"")</f>
        <v>161112.79999999999</v>
      </c>
      <c r="BB70" s="4">
        <f t="shared" ref="BB70:BB133" si="47">IF(AND(AZ70&lt;&gt;"",BH70&lt;&gt;""),ROUND(AZ70*BH70/100,2),"")</f>
        <v>480.83</v>
      </c>
      <c r="BC70" s="4">
        <f t="shared" ref="BC70:BC133" si="48">IF(AND(BB70&lt;&gt;"",Y70&lt;&gt;""),ROUND(BB70/Y70,3),"")</f>
        <v>0.501</v>
      </c>
      <c r="BD70" s="4">
        <f t="shared" ref="BD70:BD133" si="49">IF(AND(BB70&lt;&gt;"",T70&lt;&gt;""),ROUND(BB70/V70,3),"")</f>
        <v>2.504</v>
      </c>
      <c r="BE70" s="4">
        <f>IF(AND(X70&lt;&gt;""),ROUND(X70/SI!$C$10,2),"")</f>
        <v>585.6</v>
      </c>
      <c r="BF70" s="4">
        <f t="shared" si="25"/>
        <v>0.61</v>
      </c>
      <c r="BG70" s="264">
        <f t="shared" ref="BG70:BG133" si="50">IF(AND(BE70&lt;&gt;"",V70&lt;&gt;""),ROUND(BE70/V70,3),"")</f>
        <v>3.05</v>
      </c>
      <c r="BH70" s="71">
        <f>IF(F70&lt;&gt;"",VLOOKUP(F70,DUTY_2025!A:O,15,FALSE),"")</f>
        <v>80</v>
      </c>
    </row>
    <row r="71" spans="1:60" x14ac:dyDescent="0.25">
      <c r="A71" s="133">
        <f t="shared" si="26"/>
        <v>66</v>
      </c>
      <c r="B71" s="83" t="str">
        <f t="shared" si="27"/>
        <v/>
      </c>
      <c r="C71" s="126">
        <v>1</v>
      </c>
      <c r="D71" s="127"/>
      <c r="E71" s="91"/>
      <c r="F71" s="32"/>
      <c r="G71" s="27" t="str">
        <f>IF(F71&lt;&gt;"",IFERROR(VLOOKUP(F71,DUTY_2025!A:I,6,FALSE),""),"")</f>
        <v/>
      </c>
      <c r="H71" s="85" t="s">
        <v>133</v>
      </c>
      <c r="I71" s="27" t="str">
        <f>IF(F71&lt;&gt;"",IFERROR(VLOOKUP(F71,DUTY_2025!A:H,2,FALSE),""),"")</f>
        <v/>
      </c>
      <c r="J71" s="23"/>
      <c r="K71" s="23"/>
      <c r="L71" s="92"/>
      <c r="M71" s="22"/>
      <c r="N71" s="90"/>
      <c r="O71" s="25"/>
      <c r="P71" s="300"/>
      <c r="Q71" s="23"/>
      <c r="R71" s="27"/>
      <c r="S71" s="86" t="str">
        <f t="shared" si="28"/>
        <v/>
      </c>
      <c r="T71" s="87" t="str">
        <f t="shared" si="29"/>
        <v/>
      </c>
      <c r="U71" s="87" t="str" cm="1">
        <f t="array" ref="U71">IF(AND(H71&lt;&gt;"YES",P71&lt;&gt;"",R71&lt;&gt;"",Q71&lt;&gt;""),
_xlfn.SWITCH(Q71,
"INR",_xlfn.SWITCH(R71,"KG",P71*S71,"CTN",P71,"UNIT",P71*N71,"NET",P71/M71,0),
"USD",_xlfn.SWITCH(R71,"KG",P71*S71*SI!$C$10,"CTN",P71*SI!$C$10,"UNIT",P71*N71*SI!$C$10,"NET",P71*SI!$C$10/M71,0),
"LKR",_xlfn.SWITCH(R71,"KG",P71*S71/SI!$C$9,"CTN",P71/SI!$C$9,"UNIT",P71*N71/SI!$C$9,"NET",P71/(M71*SI!$C$9),0),
0),
"")</f>
        <v/>
      </c>
      <c r="V71" s="87" t="str">
        <f t="shared" si="30"/>
        <v/>
      </c>
      <c r="W71" s="87" t="str">
        <f t="shared" si="31"/>
        <v/>
      </c>
      <c r="X71" s="88" t="str">
        <f t="shared" si="32"/>
        <v/>
      </c>
      <c r="Y71" s="24" t="str">
        <f t="shared" si="33"/>
        <v/>
      </c>
      <c r="Z71" s="267" t="str">
        <f>IF(AND(H71&lt;&gt;"yes",F71&lt;&gt;""),IFERROR(VLOOKUP(F71,DUTY_2025!A:F,5,FALSE),""),"")</f>
        <v/>
      </c>
      <c r="AA71" s="271" t="str">
        <f t="shared" si="34"/>
        <v/>
      </c>
      <c r="AB71" s="16" t="str">
        <f t="shared" si="35"/>
        <v/>
      </c>
      <c r="AC71" s="16" t="str">
        <f>IF(AA71&lt;&gt;"",ROUND(AA71*SI!$C$9,0),"")</f>
        <v/>
      </c>
      <c r="AD71" s="4" t="str">
        <f>IF(AC71&lt;&gt;"",ROUND(AC71/(SI!$C$9*SI!$C$10),2),"")</f>
        <v/>
      </c>
      <c r="AE71" s="30" t="str">
        <f>IF(AND(X71&lt;&gt;""), ROUND((SI!$E$23)*(X71/SUM($X$5:$X$493)),0),"")</f>
        <v/>
      </c>
      <c r="AF71" s="272" t="str">
        <f t="shared" si="36"/>
        <v/>
      </c>
      <c r="AG71" s="28" t="str">
        <f t="shared" si="37"/>
        <v/>
      </c>
      <c r="AH71" s="4" t="str">
        <f>IF(AD71&lt;&gt;"",ROUND(AD71*10*SI!$C$9/2,0),"")</f>
        <v/>
      </c>
      <c r="AI71" s="29" t="str">
        <f>IF(AND(X71&lt;&gt;""), ROUND((SI!$E$28)*(X71/SUM($X$5:$X$493)),0),"")</f>
        <v/>
      </c>
      <c r="AJ71" s="4" t="str">
        <f t="shared" si="38"/>
        <v/>
      </c>
      <c r="AK71" s="4" t="str">
        <f t="shared" si="39"/>
        <v/>
      </c>
      <c r="AL71" s="4" t="str">
        <f t="shared" si="40"/>
        <v/>
      </c>
      <c r="AM71" s="4" t="str">
        <f t="shared" si="41"/>
        <v/>
      </c>
      <c r="AN71" s="195" t="str">
        <f t="shared" si="42"/>
        <v/>
      </c>
      <c r="AO71" s="261" t="str">
        <f>IF(AND(AM71&lt;&gt;"",P71&lt;&gt;""),ROUND((AM71*((100+SI!$C$11)/100)),0),"")</f>
        <v/>
      </c>
      <c r="AP71" s="28" t="str">
        <f>IF(AG71&lt;&gt;"",ROUND(AG71/SI!$C$9,2),"")</f>
        <v/>
      </c>
      <c r="AQ71" s="4" t="str">
        <f>IF(AH71&lt;&gt;"",ROUND(AH71/SI!$C$9,2),"")</f>
        <v/>
      </c>
      <c r="AR71" s="29" t="str">
        <f>IF(AI71&lt;&gt;"",ROUND(AI71/SI!$C$9,2),"")</f>
        <v/>
      </c>
      <c r="AS71" s="4" t="str">
        <f t="shared" si="43"/>
        <v/>
      </c>
      <c r="AT71" s="4" t="str">
        <f t="shared" si="44"/>
        <v/>
      </c>
      <c r="AU71" s="4" t="str">
        <f>IF(AL71&lt;&gt;"",ROUND(AL71/SI!$C$9,2),"")</f>
        <v/>
      </c>
      <c r="AV71" s="4" t="str">
        <f>IF(AM71&lt;&gt;"",ROUND(AM71/SI!$C$9,2),"")</f>
        <v/>
      </c>
      <c r="AW71" s="4" t="str">
        <f>IF(AN71&lt;&gt;"",ROUND(AN71/SI!$C$9,2),"")</f>
        <v/>
      </c>
      <c r="AX71" s="261" t="str">
        <f>IF(AO71&lt;&gt;"",ROUND(AO71/SI!$C$9,2),"")</f>
        <v/>
      </c>
      <c r="AY71" s="28" t="str">
        <f t="shared" si="45"/>
        <v/>
      </c>
      <c r="AZ71" s="4" t="str">
        <f>IF(AY71&lt;&gt;"",ROUND(AY71/(SI!$C$9*SI!$C$10),2),"")</f>
        <v/>
      </c>
      <c r="BA71" s="4" t="str">
        <f t="shared" si="46"/>
        <v/>
      </c>
      <c r="BB71" s="4" t="str">
        <f t="shared" si="47"/>
        <v/>
      </c>
      <c r="BC71" s="4" t="str">
        <f t="shared" si="48"/>
        <v/>
      </c>
      <c r="BD71" s="4" t="str">
        <f t="shared" si="49"/>
        <v/>
      </c>
      <c r="BE71" s="4" t="str">
        <f>IF(AND(X71&lt;&gt;""),ROUND(X71/SI!$C$10,2),"")</f>
        <v/>
      </c>
      <c r="BF71" s="4" t="str">
        <f t="shared" ref="BF71:BF134" si="51">IF(AND(BE71&lt;&gt;"",Y71&lt;&gt;""),ROUND(BE71/Y71,3),"")</f>
        <v/>
      </c>
      <c r="BG71" s="264" t="str">
        <f t="shared" si="50"/>
        <v/>
      </c>
      <c r="BH71" s="71" t="str">
        <f>IF(F71&lt;&gt;"",VLOOKUP(F71,DUTY_2025!A:O,15,FALSE),"")</f>
        <v/>
      </c>
    </row>
    <row r="72" spans="1:60" x14ac:dyDescent="0.25">
      <c r="A72" s="133">
        <f t="shared" si="26"/>
        <v>66</v>
      </c>
      <c r="B72" s="83" t="str">
        <f t="shared" si="27"/>
        <v/>
      </c>
      <c r="C72" s="126">
        <v>1</v>
      </c>
      <c r="D72" s="127"/>
      <c r="E72" s="91"/>
      <c r="F72" s="32"/>
      <c r="G72" s="27" t="str">
        <f>IF(F72&lt;&gt;"",IFERROR(VLOOKUP(F72,DUTY_2025!A:I,6,FALSE),""),"")</f>
        <v/>
      </c>
      <c r="H72" s="85" t="s">
        <v>133</v>
      </c>
      <c r="I72" s="27" t="str">
        <f>IF(F72&lt;&gt;"",IFERROR(VLOOKUP(F72,DUTY_2025!A:H,2,FALSE),""),"")</f>
        <v/>
      </c>
      <c r="J72" s="23"/>
      <c r="K72" s="23"/>
      <c r="L72" s="92"/>
      <c r="M72" s="22"/>
      <c r="N72" s="90"/>
      <c r="O72" s="25"/>
      <c r="P72" s="300"/>
      <c r="Q72" s="23"/>
      <c r="R72" s="27"/>
      <c r="S72" s="86" t="str">
        <f t="shared" si="28"/>
        <v/>
      </c>
      <c r="T72" s="87" t="str">
        <f t="shared" si="29"/>
        <v/>
      </c>
      <c r="U72" s="87" t="str" cm="1">
        <f t="array" ref="U72">IF(AND(H72&lt;&gt;"YES",P72&lt;&gt;"",R72&lt;&gt;"",Q72&lt;&gt;""),
_xlfn.SWITCH(Q72,
"INR",_xlfn.SWITCH(R72,"KG",P72*S72,"CTN",P72,"UNIT",P72*N72,"NET",P72/M72,0),
"USD",_xlfn.SWITCH(R72,"KG",P72*S72*SI!$C$10,"CTN",P72*SI!$C$10,"UNIT",P72*N72*SI!$C$10,"NET",P72*SI!$C$10/M72,0),
"LKR",_xlfn.SWITCH(R72,"KG",P72*S72/SI!$C$9,"CTN",P72/SI!$C$9,"UNIT",P72*N72/SI!$C$9,"NET",P72/(M72*SI!$C$9),0),
0),
"")</f>
        <v/>
      </c>
      <c r="V72" s="87" t="str">
        <f t="shared" si="30"/>
        <v/>
      </c>
      <c r="W72" s="87" t="str">
        <f t="shared" si="31"/>
        <v/>
      </c>
      <c r="X72" s="88" t="str">
        <f t="shared" si="32"/>
        <v/>
      </c>
      <c r="Y72" s="24" t="str">
        <f t="shared" si="33"/>
        <v/>
      </c>
      <c r="Z72" s="267" t="str">
        <f>IF(AND(H72&lt;&gt;"yes",F72&lt;&gt;""),IFERROR(VLOOKUP(F72,DUTY_2025!A:F,5,FALSE),""),"")</f>
        <v/>
      </c>
      <c r="AA72" s="271" t="str">
        <f t="shared" si="34"/>
        <v/>
      </c>
      <c r="AB72" s="16" t="str">
        <f t="shared" si="35"/>
        <v/>
      </c>
      <c r="AC72" s="16" t="str">
        <f>IF(AA72&lt;&gt;"",ROUND(AA72*SI!$C$9,0),"")</f>
        <v/>
      </c>
      <c r="AD72" s="4" t="str">
        <f>IF(AC72&lt;&gt;"",ROUND(AC72/(SI!$C$9*SI!$C$10),2),"")</f>
        <v/>
      </c>
      <c r="AE72" s="30" t="str">
        <f>IF(AND(X72&lt;&gt;""), ROUND((SI!$E$23)*(X72/SUM($X$5:$X$493)),0),"")</f>
        <v/>
      </c>
      <c r="AF72" s="272" t="str">
        <f t="shared" si="36"/>
        <v/>
      </c>
      <c r="AG72" s="28" t="str">
        <f t="shared" si="37"/>
        <v/>
      </c>
      <c r="AH72" s="4" t="str">
        <f>IF(AD72&lt;&gt;"",ROUND(AD72*10*SI!$C$9/2,0),"")</f>
        <v/>
      </c>
      <c r="AI72" s="29" t="str">
        <f>IF(AND(X72&lt;&gt;""), ROUND((SI!$E$28)*(X72/SUM($X$5:$X$493)),0),"")</f>
        <v/>
      </c>
      <c r="AJ72" s="4" t="str">
        <f t="shared" si="38"/>
        <v/>
      </c>
      <c r="AK72" s="4" t="str">
        <f t="shared" si="39"/>
        <v/>
      </c>
      <c r="AL72" s="4" t="str">
        <f t="shared" si="40"/>
        <v/>
      </c>
      <c r="AM72" s="4" t="str">
        <f t="shared" si="41"/>
        <v/>
      </c>
      <c r="AN72" s="195" t="str">
        <f t="shared" si="42"/>
        <v/>
      </c>
      <c r="AO72" s="261" t="str">
        <f>IF(AND(AM72&lt;&gt;"",P72&lt;&gt;""),ROUND((AM72*((100+SI!$C$11)/100)),0),"")</f>
        <v/>
      </c>
      <c r="AP72" s="28" t="str">
        <f>IF(AG72&lt;&gt;"",ROUND(AG72/SI!$C$9,2),"")</f>
        <v/>
      </c>
      <c r="AQ72" s="4" t="str">
        <f>IF(AH72&lt;&gt;"",ROUND(AH72/SI!$C$9,2),"")</f>
        <v/>
      </c>
      <c r="AR72" s="29" t="str">
        <f>IF(AI72&lt;&gt;"",ROUND(AI72/SI!$C$9,2),"")</f>
        <v/>
      </c>
      <c r="AS72" s="4" t="str">
        <f t="shared" si="43"/>
        <v/>
      </c>
      <c r="AT72" s="4" t="str">
        <f t="shared" si="44"/>
        <v/>
      </c>
      <c r="AU72" s="4" t="str">
        <f>IF(AL72&lt;&gt;"",ROUND(AL72/SI!$C$9,2),"")</f>
        <v/>
      </c>
      <c r="AV72" s="4" t="str">
        <f>IF(AM72&lt;&gt;"",ROUND(AM72/SI!$C$9,2),"")</f>
        <v/>
      </c>
      <c r="AW72" s="4" t="str">
        <f>IF(AN72&lt;&gt;"",ROUND(AN72/SI!$C$9,2),"")</f>
        <v/>
      </c>
      <c r="AX72" s="261" t="str">
        <f>IF(AO72&lt;&gt;"",ROUND(AO72/SI!$C$9,2),"")</f>
        <v/>
      </c>
      <c r="AY72" s="28" t="str">
        <f t="shared" si="45"/>
        <v/>
      </c>
      <c r="AZ72" s="4" t="str">
        <f>IF(AY72&lt;&gt;"",ROUND(AY72/(SI!$C$9*SI!$C$10),2),"")</f>
        <v/>
      </c>
      <c r="BA72" s="4" t="str">
        <f t="shared" si="46"/>
        <v/>
      </c>
      <c r="BB72" s="4" t="str">
        <f t="shared" si="47"/>
        <v/>
      </c>
      <c r="BC72" s="4" t="str">
        <f t="shared" si="48"/>
        <v/>
      </c>
      <c r="BD72" s="4" t="str">
        <f t="shared" si="49"/>
        <v/>
      </c>
      <c r="BE72" s="4" t="str">
        <f>IF(AND(X72&lt;&gt;""),ROUND(X72/SI!$C$10,2),"")</f>
        <v/>
      </c>
      <c r="BF72" s="4" t="str">
        <f t="shared" si="51"/>
        <v/>
      </c>
      <c r="BG72" s="264" t="str">
        <f t="shared" si="50"/>
        <v/>
      </c>
      <c r="BH72" s="71" t="str">
        <f>IF(F72&lt;&gt;"",VLOOKUP(F72,DUTY_2025!A:O,15,FALSE),"")</f>
        <v/>
      </c>
    </row>
    <row r="73" spans="1:60" x14ac:dyDescent="0.25">
      <c r="A73" s="133">
        <f t="shared" si="26"/>
        <v>66</v>
      </c>
      <c r="B73" s="83" t="str">
        <f t="shared" si="27"/>
        <v/>
      </c>
      <c r="C73" s="126">
        <v>1</v>
      </c>
      <c r="D73" s="127"/>
      <c r="E73" s="91"/>
      <c r="F73" s="114"/>
      <c r="G73" s="27" t="str">
        <f>IF(F73&lt;&gt;"",IFERROR(VLOOKUP(F73,DUTY_2025!A:I,6,FALSE),""),"")</f>
        <v/>
      </c>
      <c r="H73" s="85" t="s">
        <v>133</v>
      </c>
      <c r="I73" s="27" t="str">
        <f>IF(F73&lt;&gt;"",IFERROR(VLOOKUP(F73,DUTY_2025!A:H,2,FALSE),""),"")</f>
        <v/>
      </c>
      <c r="J73" s="23"/>
      <c r="K73" s="23"/>
      <c r="L73" s="92"/>
      <c r="M73" s="22"/>
      <c r="N73" s="90"/>
      <c r="O73" s="25"/>
      <c r="P73" s="300"/>
      <c r="Q73" s="23"/>
      <c r="R73" s="27"/>
      <c r="S73" s="86" t="str">
        <f t="shared" si="28"/>
        <v/>
      </c>
      <c r="T73" s="87" t="str">
        <f t="shared" si="29"/>
        <v/>
      </c>
      <c r="U73" s="87" t="str" cm="1">
        <f t="array" ref="U73">IF(AND(H73&lt;&gt;"YES",P73&lt;&gt;"",R73&lt;&gt;"",Q73&lt;&gt;""),
_xlfn.SWITCH(Q73,
"INR",_xlfn.SWITCH(R73,"KG",P73*S73,"CTN",P73,"UNIT",P73*N73,"NET",P73/M73,0),
"USD",_xlfn.SWITCH(R73,"KG",P73*S73*SI!$C$10,"CTN",P73*SI!$C$10,"UNIT",P73*N73*SI!$C$10,"NET",P73*SI!$C$10/M73,0),
"LKR",_xlfn.SWITCH(R73,"KG",P73*S73/SI!$C$9,"CTN",P73/SI!$C$9,"UNIT",P73*N73/SI!$C$9,"NET",P73/(M73*SI!$C$9),0),
0),
"")</f>
        <v/>
      </c>
      <c r="V73" s="87" t="str">
        <f t="shared" si="30"/>
        <v/>
      </c>
      <c r="W73" s="87" t="str">
        <f t="shared" si="31"/>
        <v/>
      </c>
      <c r="X73" s="88" t="str">
        <f t="shared" si="32"/>
        <v/>
      </c>
      <c r="Y73" s="24" t="str">
        <f t="shared" si="33"/>
        <v/>
      </c>
      <c r="Z73" s="267" t="str">
        <f>IF(AND(H73&lt;&gt;"yes",F73&lt;&gt;""),IFERROR(VLOOKUP(F73,DUTY_2025!A:F,5,FALSE),""),"")</f>
        <v/>
      </c>
      <c r="AA73" s="271" t="str">
        <f t="shared" si="34"/>
        <v/>
      </c>
      <c r="AB73" s="16" t="str">
        <f t="shared" si="35"/>
        <v/>
      </c>
      <c r="AC73" s="16" t="str">
        <f>IF(AA73&lt;&gt;"",ROUND(AA73*SI!$C$9,0),"")</f>
        <v/>
      </c>
      <c r="AD73" s="4" t="str">
        <f>IF(AC73&lt;&gt;"",ROUND(AC73/(SI!$C$9*SI!$C$10),2),"")</f>
        <v/>
      </c>
      <c r="AE73" s="30" t="str">
        <f>IF(AND(X73&lt;&gt;""), ROUND((SI!$E$23)*(X73/SUM($X$5:$X$493)),0),"")</f>
        <v/>
      </c>
      <c r="AF73" s="272" t="str">
        <f t="shared" si="36"/>
        <v/>
      </c>
      <c r="AG73" s="28" t="str">
        <f t="shared" si="37"/>
        <v/>
      </c>
      <c r="AH73" s="4" t="str">
        <f>IF(AD73&lt;&gt;"",ROUND(AD73*10*SI!$C$9/2,0),"")</f>
        <v/>
      </c>
      <c r="AI73" s="29" t="str">
        <f>IF(AND(X73&lt;&gt;""), ROUND((SI!$E$28)*(X73/SUM($X$5:$X$493)),0),"")</f>
        <v/>
      </c>
      <c r="AJ73" s="4" t="str">
        <f t="shared" si="38"/>
        <v/>
      </c>
      <c r="AK73" s="4" t="str">
        <f t="shared" si="39"/>
        <v/>
      </c>
      <c r="AL73" s="4" t="str">
        <f t="shared" si="40"/>
        <v/>
      </c>
      <c r="AM73" s="4" t="str">
        <f t="shared" si="41"/>
        <v/>
      </c>
      <c r="AN73" s="195" t="str">
        <f t="shared" si="42"/>
        <v/>
      </c>
      <c r="AO73" s="261" t="str">
        <f>IF(AND(AM73&lt;&gt;"",P73&lt;&gt;""),ROUND((AM73*((100+SI!$C$11)/100)),0),"")</f>
        <v/>
      </c>
      <c r="AP73" s="28" t="str">
        <f>IF(AG73&lt;&gt;"",ROUND(AG73/SI!$C$9,2),"")</f>
        <v/>
      </c>
      <c r="AQ73" s="4" t="str">
        <f>IF(AH73&lt;&gt;"",ROUND(AH73/SI!$C$9,2),"")</f>
        <v/>
      </c>
      <c r="AR73" s="29" t="str">
        <f>IF(AI73&lt;&gt;"",ROUND(AI73/SI!$C$9,2),"")</f>
        <v/>
      </c>
      <c r="AS73" s="4" t="str">
        <f t="shared" si="43"/>
        <v/>
      </c>
      <c r="AT73" s="4" t="str">
        <f t="shared" si="44"/>
        <v/>
      </c>
      <c r="AU73" s="4" t="str">
        <f>IF(AL73&lt;&gt;"",ROUND(AL73/SI!$C$9,2),"")</f>
        <v/>
      </c>
      <c r="AV73" s="4" t="str">
        <f>IF(AM73&lt;&gt;"",ROUND(AM73/SI!$C$9,2),"")</f>
        <v/>
      </c>
      <c r="AW73" s="4" t="str">
        <f>IF(AN73&lt;&gt;"",ROUND(AN73/SI!$C$9,2),"")</f>
        <v/>
      </c>
      <c r="AX73" s="261" t="str">
        <f>IF(AO73&lt;&gt;"",ROUND(AO73/SI!$C$9,2),"")</f>
        <v/>
      </c>
      <c r="AY73" s="28" t="str">
        <f t="shared" si="45"/>
        <v/>
      </c>
      <c r="AZ73" s="4" t="str">
        <f>IF(AY73&lt;&gt;"",ROUND(AY73/(SI!$C$9*SI!$C$10),2),"")</f>
        <v/>
      </c>
      <c r="BA73" s="4" t="str">
        <f t="shared" si="46"/>
        <v/>
      </c>
      <c r="BB73" s="4" t="str">
        <f t="shared" si="47"/>
        <v/>
      </c>
      <c r="BC73" s="4" t="str">
        <f t="shared" si="48"/>
        <v/>
      </c>
      <c r="BD73" s="4" t="str">
        <f t="shared" si="49"/>
        <v/>
      </c>
      <c r="BE73" s="4" t="str">
        <f>IF(AND(X73&lt;&gt;""),ROUND(X73/SI!$C$10,2),"")</f>
        <v/>
      </c>
      <c r="BF73" s="4" t="str">
        <f t="shared" si="51"/>
        <v/>
      </c>
      <c r="BG73" s="264" t="str">
        <f t="shared" si="50"/>
        <v/>
      </c>
      <c r="BH73" s="71" t="str">
        <f>IF(F73&lt;&gt;"",VLOOKUP(F73,DUTY_2025!A:O,15,FALSE),"")</f>
        <v/>
      </c>
    </row>
    <row r="74" spans="1:60" x14ac:dyDescent="0.25">
      <c r="A74" s="133">
        <f t="shared" si="26"/>
        <v>66</v>
      </c>
      <c r="B74" s="83" t="str">
        <f t="shared" si="27"/>
        <v/>
      </c>
      <c r="C74" s="126">
        <v>1</v>
      </c>
      <c r="D74" s="127"/>
      <c r="E74" s="91"/>
      <c r="F74" s="114"/>
      <c r="G74" s="27" t="str">
        <f>IF(F74&lt;&gt;"",IFERROR(VLOOKUP(F74,DUTY_2025!A:I,6,FALSE),""),"")</f>
        <v/>
      </c>
      <c r="H74" s="85" t="s">
        <v>133</v>
      </c>
      <c r="I74" s="27" t="str">
        <f>IF(F74&lt;&gt;"",IFERROR(VLOOKUP(F74,DUTY_2025!A:H,2,FALSE),""),"")</f>
        <v/>
      </c>
      <c r="J74" s="23"/>
      <c r="K74" s="23"/>
      <c r="L74" s="92"/>
      <c r="M74" s="22"/>
      <c r="N74" s="90"/>
      <c r="O74" s="25"/>
      <c r="P74" s="300"/>
      <c r="Q74" s="23"/>
      <c r="R74" s="27"/>
      <c r="S74" s="86" t="str">
        <f t="shared" si="28"/>
        <v/>
      </c>
      <c r="T74" s="87" t="str">
        <f t="shared" si="29"/>
        <v/>
      </c>
      <c r="U74" s="87" t="str" cm="1">
        <f t="array" ref="U74">IF(AND(H74&lt;&gt;"YES",P74&lt;&gt;"",R74&lt;&gt;"",Q74&lt;&gt;""),
_xlfn.SWITCH(Q74,
"INR",_xlfn.SWITCH(R74,"KG",P74*S74,"CTN",P74,"UNIT",P74*N74,"NET",P74/M74,0),
"USD",_xlfn.SWITCH(R74,"KG",P74*S74*SI!$C$10,"CTN",P74*SI!$C$10,"UNIT",P74*N74*SI!$C$10,"NET",P74*SI!$C$10/M74,0),
"LKR",_xlfn.SWITCH(R74,"KG",P74*S74/SI!$C$9,"CTN",P74/SI!$C$9,"UNIT",P74*N74/SI!$C$9,"NET",P74/(M74*SI!$C$9),0),
0),
"")</f>
        <v/>
      </c>
      <c r="V74" s="87" t="str">
        <f t="shared" si="30"/>
        <v/>
      </c>
      <c r="W74" s="87" t="str">
        <f t="shared" si="31"/>
        <v/>
      </c>
      <c r="X74" s="88" t="str">
        <f t="shared" si="32"/>
        <v/>
      </c>
      <c r="Y74" s="24" t="str">
        <f t="shared" si="33"/>
        <v/>
      </c>
      <c r="Z74" s="267" t="str">
        <f>IF(AND(H74&lt;&gt;"yes",F74&lt;&gt;""),IFERROR(VLOOKUP(F74,DUTY_2025!A:F,5,FALSE),""),"")</f>
        <v/>
      </c>
      <c r="AA74" s="271" t="str">
        <f t="shared" si="34"/>
        <v/>
      </c>
      <c r="AB74" s="16" t="str">
        <f t="shared" si="35"/>
        <v/>
      </c>
      <c r="AC74" s="16" t="str">
        <f>IF(AA74&lt;&gt;"",ROUND(AA74*SI!$C$9,0),"")</f>
        <v/>
      </c>
      <c r="AD74" s="4" t="str">
        <f>IF(AC74&lt;&gt;"",ROUND(AC74/(SI!$C$9*SI!$C$10),2),"")</f>
        <v/>
      </c>
      <c r="AE74" s="30" t="str">
        <f>IF(AND(X74&lt;&gt;""), ROUND((SI!$E$23)*(X74/SUM($X$5:$X$493)),0),"")</f>
        <v/>
      </c>
      <c r="AF74" s="272" t="str">
        <f t="shared" si="36"/>
        <v/>
      </c>
      <c r="AG74" s="28" t="str">
        <f t="shared" si="37"/>
        <v/>
      </c>
      <c r="AH74" s="4" t="str">
        <f>IF(AD74&lt;&gt;"",ROUND(AD74*10*SI!$C$9/2,0),"")</f>
        <v/>
      </c>
      <c r="AI74" s="29" t="str">
        <f>IF(AND(X74&lt;&gt;""), ROUND((SI!$E$28)*(X74/SUM($X$5:$X$493)),0),"")</f>
        <v/>
      </c>
      <c r="AJ74" s="4" t="str">
        <f t="shared" si="38"/>
        <v/>
      </c>
      <c r="AK74" s="4" t="str">
        <f t="shared" si="39"/>
        <v/>
      </c>
      <c r="AL74" s="4" t="str">
        <f t="shared" si="40"/>
        <v/>
      </c>
      <c r="AM74" s="4" t="str">
        <f t="shared" si="41"/>
        <v/>
      </c>
      <c r="AN74" s="195" t="str">
        <f t="shared" si="42"/>
        <v/>
      </c>
      <c r="AO74" s="261" t="str">
        <f>IF(AND(AM74&lt;&gt;"",P74&lt;&gt;""),ROUND((AM74*((100+SI!$C$11)/100)),0),"")</f>
        <v/>
      </c>
      <c r="AP74" s="28" t="str">
        <f>IF(AG74&lt;&gt;"",ROUND(AG74/SI!$C$9,2),"")</f>
        <v/>
      </c>
      <c r="AQ74" s="4" t="str">
        <f>IF(AH74&lt;&gt;"",ROUND(AH74/SI!$C$9,2),"")</f>
        <v/>
      </c>
      <c r="AR74" s="29" t="str">
        <f>IF(AI74&lt;&gt;"",ROUND(AI74/SI!$C$9,2),"")</f>
        <v/>
      </c>
      <c r="AS74" s="4" t="str">
        <f t="shared" si="43"/>
        <v/>
      </c>
      <c r="AT74" s="4" t="str">
        <f t="shared" si="44"/>
        <v/>
      </c>
      <c r="AU74" s="4" t="str">
        <f>IF(AL74&lt;&gt;"",ROUND(AL74/SI!$C$9,2),"")</f>
        <v/>
      </c>
      <c r="AV74" s="4" t="str">
        <f>IF(AM74&lt;&gt;"",ROUND(AM74/SI!$C$9,2),"")</f>
        <v/>
      </c>
      <c r="AW74" s="4" t="str">
        <f>IF(AN74&lt;&gt;"",ROUND(AN74/SI!$C$9,2),"")</f>
        <v/>
      </c>
      <c r="AX74" s="261" t="str">
        <f>IF(AO74&lt;&gt;"",ROUND(AO74/SI!$C$9,2),"")</f>
        <v/>
      </c>
      <c r="AY74" s="28" t="str">
        <f t="shared" si="45"/>
        <v/>
      </c>
      <c r="AZ74" s="4" t="str">
        <f>IF(AY74&lt;&gt;"",ROUND(AY74/(SI!$C$9*SI!$C$10),2),"")</f>
        <v/>
      </c>
      <c r="BA74" s="4" t="str">
        <f t="shared" si="46"/>
        <v/>
      </c>
      <c r="BB74" s="4" t="str">
        <f t="shared" si="47"/>
        <v/>
      </c>
      <c r="BC74" s="4" t="str">
        <f t="shared" si="48"/>
        <v/>
      </c>
      <c r="BD74" s="4" t="str">
        <f t="shared" si="49"/>
        <v/>
      </c>
      <c r="BE74" s="4" t="str">
        <f>IF(AND(X74&lt;&gt;""),ROUND(X74/SI!$C$10,2),"")</f>
        <v/>
      </c>
      <c r="BF74" s="4" t="str">
        <f t="shared" si="51"/>
        <v/>
      </c>
      <c r="BG74" s="264" t="str">
        <f t="shared" si="50"/>
        <v/>
      </c>
      <c r="BH74" s="71" t="str">
        <f>IF(F74&lt;&gt;"",VLOOKUP(F74,DUTY_2025!A:O,15,FALSE),"")</f>
        <v/>
      </c>
    </row>
    <row r="75" spans="1:60" x14ac:dyDescent="0.25">
      <c r="A75" s="133">
        <f t="shared" si="26"/>
        <v>66</v>
      </c>
      <c r="B75" s="83" t="str">
        <f t="shared" si="27"/>
        <v/>
      </c>
      <c r="C75" s="126">
        <v>1</v>
      </c>
      <c r="D75" s="127"/>
      <c r="E75" s="91"/>
      <c r="F75" s="114"/>
      <c r="G75" s="27" t="str">
        <f>IF(F75&lt;&gt;"",IFERROR(VLOOKUP(F75,DUTY_2025!A:I,6,FALSE),""),"")</f>
        <v/>
      </c>
      <c r="H75" s="85" t="s">
        <v>133</v>
      </c>
      <c r="I75" s="27" t="str">
        <f>IF(F75&lt;&gt;"",IFERROR(VLOOKUP(F75,DUTY_2025!A:H,2,FALSE),""),"")</f>
        <v/>
      </c>
      <c r="J75" s="23"/>
      <c r="K75" s="23"/>
      <c r="L75" s="92"/>
      <c r="M75" s="22"/>
      <c r="N75" s="90"/>
      <c r="O75" s="25"/>
      <c r="P75" s="300"/>
      <c r="Q75" s="23"/>
      <c r="R75" s="27"/>
      <c r="S75" s="86" t="str">
        <f t="shared" si="28"/>
        <v/>
      </c>
      <c r="T75" s="87" t="str">
        <f t="shared" si="29"/>
        <v/>
      </c>
      <c r="U75" s="87" t="str" cm="1">
        <f t="array" ref="U75">IF(AND(H75&lt;&gt;"YES",P75&lt;&gt;"",R75&lt;&gt;"",Q75&lt;&gt;""),
_xlfn.SWITCH(Q75,
"INR",_xlfn.SWITCH(R75,"KG",P75*S75,"CTN",P75,"UNIT",P75*N75,"NET",P75/M75,0),
"USD",_xlfn.SWITCH(R75,"KG",P75*S75*SI!$C$10,"CTN",P75*SI!$C$10,"UNIT",P75*N75*SI!$C$10,"NET",P75*SI!$C$10/M75,0),
"LKR",_xlfn.SWITCH(R75,"KG",P75*S75/SI!$C$9,"CTN",P75/SI!$C$9,"UNIT",P75*N75/SI!$C$9,"NET",P75/(M75*SI!$C$9),0),
0),
"")</f>
        <v/>
      </c>
      <c r="V75" s="87" t="str">
        <f t="shared" si="30"/>
        <v/>
      </c>
      <c r="W75" s="87" t="str">
        <f t="shared" si="31"/>
        <v/>
      </c>
      <c r="X75" s="88" t="str">
        <f t="shared" si="32"/>
        <v/>
      </c>
      <c r="Y75" s="24" t="str">
        <f t="shared" si="33"/>
        <v/>
      </c>
      <c r="Z75" s="267" t="str">
        <f>IF(AND(H75&lt;&gt;"yes",F75&lt;&gt;""),IFERROR(VLOOKUP(F75,DUTY_2025!A:F,5,FALSE),""),"")</f>
        <v/>
      </c>
      <c r="AA75" s="271" t="str">
        <f t="shared" si="34"/>
        <v/>
      </c>
      <c r="AB75" s="16" t="str">
        <f t="shared" si="35"/>
        <v/>
      </c>
      <c r="AC75" s="16" t="str">
        <f>IF(AA75&lt;&gt;"",ROUND(AA75*SI!$C$9,0),"")</f>
        <v/>
      </c>
      <c r="AD75" s="4" t="str">
        <f>IF(AC75&lt;&gt;"",ROUND(AC75/(SI!$C$9*SI!$C$10),2),"")</f>
        <v/>
      </c>
      <c r="AE75" s="30" t="str">
        <f>IF(AND(X75&lt;&gt;""), ROUND((SI!$E$23)*(X75/SUM($X$5:$X$493)),0),"")</f>
        <v/>
      </c>
      <c r="AF75" s="272" t="str">
        <f t="shared" si="36"/>
        <v/>
      </c>
      <c r="AG75" s="28" t="str">
        <f t="shared" si="37"/>
        <v/>
      </c>
      <c r="AH75" s="4" t="str">
        <f>IF(AD75&lt;&gt;"",ROUND(AD75*10*SI!$C$9/2,0),"")</f>
        <v/>
      </c>
      <c r="AI75" s="29" t="str">
        <f>IF(AND(X75&lt;&gt;""), ROUND((SI!$E$28)*(X75/SUM($X$5:$X$493)),0),"")</f>
        <v/>
      </c>
      <c r="AJ75" s="4" t="str">
        <f t="shared" si="38"/>
        <v/>
      </c>
      <c r="AK75" s="4" t="str">
        <f t="shared" si="39"/>
        <v/>
      </c>
      <c r="AL75" s="4" t="str">
        <f t="shared" si="40"/>
        <v/>
      </c>
      <c r="AM75" s="4" t="str">
        <f t="shared" si="41"/>
        <v/>
      </c>
      <c r="AN75" s="195" t="str">
        <f t="shared" si="42"/>
        <v/>
      </c>
      <c r="AO75" s="261" t="str">
        <f>IF(AND(AM75&lt;&gt;"",P75&lt;&gt;""),ROUND((AM75*((100+SI!$C$11)/100)),0),"")</f>
        <v/>
      </c>
      <c r="AP75" s="28" t="str">
        <f>IF(AG75&lt;&gt;"",ROUND(AG75/SI!$C$9,2),"")</f>
        <v/>
      </c>
      <c r="AQ75" s="4" t="str">
        <f>IF(AH75&lt;&gt;"",ROUND(AH75/SI!$C$9,2),"")</f>
        <v/>
      </c>
      <c r="AR75" s="29" t="str">
        <f>IF(AI75&lt;&gt;"",ROUND(AI75/SI!$C$9,2),"")</f>
        <v/>
      </c>
      <c r="AS75" s="4" t="str">
        <f t="shared" si="43"/>
        <v/>
      </c>
      <c r="AT75" s="4" t="str">
        <f t="shared" si="44"/>
        <v/>
      </c>
      <c r="AU75" s="4" t="str">
        <f>IF(AL75&lt;&gt;"",ROUND(AL75/SI!$C$9,2),"")</f>
        <v/>
      </c>
      <c r="AV75" s="4" t="str">
        <f>IF(AM75&lt;&gt;"",ROUND(AM75/SI!$C$9,2),"")</f>
        <v/>
      </c>
      <c r="AW75" s="4" t="str">
        <f>IF(AN75&lt;&gt;"",ROUND(AN75/SI!$C$9,2),"")</f>
        <v/>
      </c>
      <c r="AX75" s="261" t="str">
        <f>IF(AO75&lt;&gt;"",ROUND(AO75/SI!$C$9,2),"")</f>
        <v/>
      </c>
      <c r="AY75" s="28" t="str">
        <f t="shared" si="45"/>
        <v/>
      </c>
      <c r="AZ75" s="4" t="str">
        <f>IF(AY75&lt;&gt;"",ROUND(AY75/(SI!$C$9*SI!$C$10),2),"")</f>
        <v/>
      </c>
      <c r="BA75" s="4" t="str">
        <f t="shared" si="46"/>
        <v/>
      </c>
      <c r="BB75" s="4" t="str">
        <f t="shared" si="47"/>
        <v/>
      </c>
      <c r="BC75" s="4" t="str">
        <f t="shared" si="48"/>
        <v/>
      </c>
      <c r="BD75" s="4" t="str">
        <f t="shared" si="49"/>
        <v/>
      </c>
      <c r="BE75" s="4" t="str">
        <f>IF(AND(X75&lt;&gt;""),ROUND(X75/SI!$C$10,2),"")</f>
        <v/>
      </c>
      <c r="BF75" s="4" t="str">
        <f t="shared" si="51"/>
        <v/>
      </c>
      <c r="BG75" s="264" t="str">
        <f t="shared" si="50"/>
        <v/>
      </c>
      <c r="BH75" s="71" t="str">
        <f>IF(F75&lt;&gt;"",VLOOKUP(F75,DUTY_2025!A:O,15,FALSE),"")</f>
        <v/>
      </c>
    </row>
    <row r="76" spans="1:60" x14ac:dyDescent="0.25">
      <c r="A76" s="133">
        <f t="shared" si="26"/>
        <v>66</v>
      </c>
      <c r="B76" s="83" t="str">
        <f t="shared" si="27"/>
        <v/>
      </c>
      <c r="C76" s="126">
        <v>1</v>
      </c>
      <c r="D76" s="127"/>
      <c r="E76" s="91"/>
      <c r="F76" s="114"/>
      <c r="G76" s="27" t="str">
        <f>IF(F76&lt;&gt;"",IFERROR(VLOOKUP(F76,DUTY_2025!A:I,6,FALSE),""),"")</f>
        <v/>
      </c>
      <c r="H76" s="85" t="s">
        <v>133</v>
      </c>
      <c r="I76" s="27" t="str">
        <f>IF(F76&lt;&gt;"",IFERROR(VLOOKUP(F76,DUTY_2025!A:H,2,FALSE),""),"")</f>
        <v/>
      </c>
      <c r="J76" s="23"/>
      <c r="K76" s="23"/>
      <c r="L76" s="92"/>
      <c r="M76" s="22"/>
      <c r="N76" s="90"/>
      <c r="O76" s="25"/>
      <c r="P76" s="300"/>
      <c r="Q76" s="23"/>
      <c r="R76" s="27"/>
      <c r="S76" s="86" t="str">
        <f t="shared" si="28"/>
        <v/>
      </c>
      <c r="T76" s="87" t="str">
        <f t="shared" si="29"/>
        <v/>
      </c>
      <c r="U76" s="87" t="str" cm="1">
        <f t="array" ref="U76">IF(AND(H76&lt;&gt;"YES",P76&lt;&gt;"",R76&lt;&gt;"",Q76&lt;&gt;""),
_xlfn.SWITCH(Q76,
"INR",_xlfn.SWITCH(R76,"KG",P76*S76,"CTN",P76,"UNIT",P76*N76,"NET",P76/M76,0),
"USD",_xlfn.SWITCH(R76,"KG",P76*S76*SI!$C$10,"CTN",P76*SI!$C$10,"UNIT",P76*N76*SI!$C$10,"NET",P76*SI!$C$10/M76,0),
"LKR",_xlfn.SWITCH(R76,"KG",P76*S76/SI!$C$9,"CTN",P76/SI!$C$9,"UNIT",P76*N76/SI!$C$9,"NET",P76/(M76*SI!$C$9),0),
0),
"")</f>
        <v/>
      </c>
      <c r="V76" s="87" t="str">
        <f t="shared" si="30"/>
        <v/>
      </c>
      <c r="W76" s="87" t="str">
        <f t="shared" si="31"/>
        <v/>
      </c>
      <c r="X76" s="88" t="str">
        <f t="shared" si="32"/>
        <v/>
      </c>
      <c r="Y76" s="24" t="str">
        <f t="shared" si="33"/>
        <v/>
      </c>
      <c r="Z76" s="267" t="str">
        <f>IF(AND(H76&lt;&gt;"yes",F76&lt;&gt;""),IFERROR(VLOOKUP(F76,DUTY_2025!A:F,5,FALSE),""),"")</f>
        <v/>
      </c>
      <c r="AA76" s="271" t="str">
        <f t="shared" si="34"/>
        <v/>
      </c>
      <c r="AB76" s="16" t="str">
        <f t="shared" si="35"/>
        <v/>
      </c>
      <c r="AC76" s="16" t="str">
        <f>IF(AA76&lt;&gt;"",ROUND(AA76*SI!$C$9,0),"")</f>
        <v/>
      </c>
      <c r="AD76" s="4" t="str">
        <f>IF(AC76&lt;&gt;"",ROUND(AC76/(SI!$C$9*SI!$C$10),2),"")</f>
        <v/>
      </c>
      <c r="AE76" s="30" t="str">
        <f>IF(AND(X76&lt;&gt;""), ROUND((SI!$E$23)*(X76/SUM($X$5:$X$493)),0),"")</f>
        <v/>
      </c>
      <c r="AF76" s="272" t="str">
        <f t="shared" si="36"/>
        <v/>
      </c>
      <c r="AG76" s="28" t="str">
        <f t="shared" si="37"/>
        <v/>
      </c>
      <c r="AH76" s="4" t="str">
        <f>IF(AD76&lt;&gt;"",ROUND(AD76*10*SI!$C$9/2,0),"")</f>
        <v/>
      </c>
      <c r="AI76" s="29" t="str">
        <f>IF(AND(X76&lt;&gt;""), ROUND((SI!$E$28)*(X76/SUM($X$5:$X$493)),0),"")</f>
        <v/>
      </c>
      <c r="AJ76" s="4" t="str">
        <f t="shared" si="38"/>
        <v/>
      </c>
      <c r="AK76" s="4" t="str">
        <f t="shared" si="39"/>
        <v/>
      </c>
      <c r="AL76" s="4" t="str">
        <f t="shared" si="40"/>
        <v/>
      </c>
      <c r="AM76" s="4" t="str">
        <f t="shared" si="41"/>
        <v/>
      </c>
      <c r="AN76" s="195" t="str">
        <f t="shared" si="42"/>
        <v/>
      </c>
      <c r="AO76" s="261" t="str">
        <f>IF(AND(AM76&lt;&gt;"",P76&lt;&gt;""),ROUND((AM76*((100+SI!$C$11)/100)),0),"")</f>
        <v/>
      </c>
      <c r="AP76" s="28" t="str">
        <f>IF(AG76&lt;&gt;"",ROUND(AG76/SI!$C$9,2),"")</f>
        <v/>
      </c>
      <c r="AQ76" s="4" t="str">
        <f>IF(AH76&lt;&gt;"",ROUND(AH76/SI!$C$9,2),"")</f>
        <v/>
      </c>
      <c r="AR76" s="29" t="str">
        <f>IF(AI76&lt;&gt;"",ROUND(AI76/SI!$C$9,2),"")</f>
        <v/>
      </c>
      <c r="AS76" s="4" t="str">
        <f t="shared" si="43"/>
        <v/>
      </c>
      <c r="AT76" s="4" t="str">
        <f t="shared" si="44"/>
        <v/>
      </c>
      <c r="AU76" s="4" t="str">
        <f>IF(AL76&lt;&gt;"",ROUND(AL76/SI!$C$9,2),"")</f>
        <v/>
      </c>
      <c r="AV76" s="4" t="str">
        <f>IF(AM76&lt;&gt;"",ROUND(AM76/SI!$C$9,2),"")</f>
        <v/>
      </c>
      <c r="AW76" s="4" t="str">
        <f>IF(AN76&lt;&gt;"",ROUND(AN76/SI!$C$9,2),"")</f>
        <v/>
      </c>
      <c r="AX76" s="261" t="str">
        <f>IF(AO76&lt;&gt;"",ROUND(AO76/SI!$C$9,2),"")</f>
        <v/>
      </c>
      <c r="AY76" s="28" t="str">
        <f t="shared" si="45"/>
        <v/>
      </c>
      <c r="AZ76" s="4" t="str">
        <f>IF(AY76&lt;&gt;"",ROUND(AY76/(SI!$C$9*SI!$C$10),2),"")</f>
        <v/>
      </c>
      <c r="BA76" s="4" t="str">
        <f t="shared" si="46"/>
        <v/>
      </c>
      <c r="BB76" s="4" t="str">
        <f t="shared" si="47"/>
        <v/>
      </c>
      <c r="BC76" s="4" t="str">
        <f t="shared" si="48"/>
        <v/>
      </c>
      <c r="BD76" s="4" t="str">
        <f t="shared" si="49"/>
        <v/>
      </c>
      <c r="BE76" s="4" t="str">
        <f>IF(AND(X76&lt;&gt;""),ROUND(X76/SI!$C$10,2),"")</f>
        <v/>
      </c>
      <c r="BF76" s="4" t="str">
        <f t="shared" si="51"/>
        <v/>
      </c>
      <c r="BG76" s="264" t="str">
        <f t="shared" si="50"/>
        <v/>
      </c>
      <c r="BH76" s="71" t="str">
        <f>IF(F76&lt;&gt;"",VLOOKUP(F76,DUTY_2025!A:O,15,FALSE),"")</f>
        <v/>
      </c>
    </row>
    <row r="77" spans="1:60" x14ac:dyDescent="0.25">
      <c r="A77" s="133">
        <f t="shared" si="26"/>
        <v>66</v>
      </c>
      <c r="B77" s="83" t="str">
        <f t="shared" si="27"/>
        <v/>
      </c>
      <c r="C77" s="126">
        <v>1</v>
      </c>
      <c r="D77" s="127"/>
      <c r="E77" s="91"/>
      <c r="F77" s="114"/>
      <c r="G77" s="27" t="str">
        <f>IF(F77&lt;&gt;"",IFERROR(VLOOKUP(F77,DUTY_2025!A:I,6,FALSE),""),"")</f>
        <v/>
      </c>
      <c r="H77" s="85" t="s">
        <v>133</v>
      </c>
      <c r="I77" s="27" t="str">
        <f>IF(F77&lt;&gt;"",IFERROR(VLOOKUP(F77,DUTY_2025!A:H,2,FALSE),""),"")</f>
        <v/>
      </c>
      <c r="J77" s="23"/>
      <c r="K77" s="23"/>
      <c r="L77" s="92"/>
      <c r="M77" s="22"/>
      <c r="N77" s="90"/>
      <c r="O77" s="25"/>
      <c r="P77" s="300"/>
      <c r="Q77" s="23"/>
      <c r="R77" s="27"/>
      <c r="S77" s="86" t="str">
        <f t="shared" si="28"/>
        <v/>
      </c>
      <c r="T77" s="87" t="str">
        <f t="shared" si="29"/>
        <v/>
      </c>
      <c r="U77" s="87" t="str" cm="1">
        <f t="array" ref="U77">IF(AND(H77&lt;&gt;"YES",P77&lt;&gt;"",R77&lt;&gt;"",Q77&lt;&gt;""),
_xlfn.SWITCH(Q77,
"INR",_xlfn.SWITCH(R77,"KG",P77*S77,"CTN",P77,"UNIT",P77*N77,"NET",P77/M77,0),
"USD",_xlfn.SWITCH(R77,"KG",P77*S77*SI!$C$10,"CTN",P77*SI!$C$10,"UNIT",P77*N77*SI!$C$10,"NET",P77*SI!$C$10/M77,0),
"LKR",_xlfn.SWITCH(R77,"KG",P77*S77/SI!$C$9,"CTN",P77/SI!$C$9,"UNIT",P77*N77/SI!$C$9,"NET",P77/(M77*SI!$C$9),0),
0),
"")</f>
        <v/>
      </c>
      <c r="V77" s="87" t="str">
        <f t="shared" si="30"/>
        <v/>
      </c>
      <c r="W77" s="87" t="str">
        <f t="shared" si="31"/>
        <v/>
      </c>
      <c r="X77" s="88" t="str">
        <f t="shared" si="32"/>
        <v/>
      </c>
      <c r="Y77" s="24" t="str">
        <f t="shared" si="33"/>
        <v/>
      </c>
      <c r="Z77" s="267" t="str">
        <f>IF(AND(H77&lt;&gt;"yes",F77&lt;&gt;""),IFERROR(VLOOKUP(F77,DUTY_2025!A:F,5,FALSE),""),"")</f>
        <v/>
      </c>
      <c r="AA77" s="271" t="str">
        <f t="shared" si="34"/>
        <v/>
      </c>
      <c r="AB77" s="16" t="str">
        <f t="shared" si="35"/>
        <v/>
      </c>
      <c r="AC77" s="16" t="str">
        <f>IF(AA77&lt;&gt;"",ROUND(AA77*SI!$C$9,0),"")</f>
        <v/>
      </c>
      <c r="AD77" s="4" t="str">
        <f>IF(AC77&lt;&gt;"",ROUND(AC77/(SI!$C$9*SI!$C$10),2),"")</f>
        <v/>
      </c>
      <c r="AE77" s="30" t="str">
        <f>IF(AND(X77&lt;&gt;""), ROUND((SI!$E$23)*(X77/SUM($X$5:$X$493)),0),"")</f>
        <v/>
      </c>
      <c r="AF77" s="272" t="str">
        <f t="shared" si="36"/>
        <v/>
      </c>
      <c r="AG77" s="28" t="str">
        <f t="shared" si="37"/>
        <v/>
      </c>
      <c r="AH77" s="4" t="str">
        <f>IF(AD77&lt;&gt;"",ROUND(AD77*10*SI!$C$9/2,0),"")</f>
        <v/>
      </c>
      <c r="AI77" s="29" t="str">
        <f>IF(AND(X77&lt;&gt;""), ROUND((SI!$E$28)*(X77/SUM($X$5:$X$493)),0),"")</f>
        <v/>
      </c>
      <c r="AJ77" s="4" t="str">
        <f t="shared" si="38"/>
        <v/>
      </c>
      <c r="AK77" s="4" t="str">
        <f t="shared" si="39"/>
        <v/>
      </c>
      <c r="AL77" s="4" t="str">
        <f t="shared" si="40"/>
        <v/>
      </c>
      <c r="AM77" s="4" t="str">
        <f t="shared" si="41"/>
        <v/>
      </c>
      <c r="AN77" s="195" t="str">
        <f t="shared" si="42"/>
        <v/>
      </c>
      <c r="AO77" s="261" t="str">
        <f>IF(AND(AM77&lt;&gt;"",P77&lt;&gt;""),ROUND((AM77*((100+SI!$C$11)/100)),0),"")</f>
        <v/>
      </c>
      <c r="AP77" s="28" t="str">
        <f>IF(AG77&lt;&gt;"",ROUND(AG77/SI!$C$9,2),"")</f>
        <v/>
      </c>
      <c r="AQ77" s="4" t="str">
        <f>IF(AH77&lt;&gt;"",ROUND(AH77/SI!$C$9,2),"")</f>
        <v/>
      </c>
      <c r="AR77" s="29" t="str">
        <f>IF(AI77&lt;&gt;"",ROUND(AI77/SI!$C$9,2),"")</f>
        <v/>
      </c>
      <c r="AS77" s="4" t="str">
        <f t="shared" si="43"/>
        <v/>
      </c>
      <c r="AT77" s="4" t="str">
        <f t="shared" si="44"/>
        <v/>
      </c>
      <c r="AU77" s="4" t="str">
        <f>IF(AL77&lt;&gt;"",ROUND(AL77/SI!$C$9,2),"")</f>
        <v/>
      </c>
      <c r="AV77" s="4" t="str">
        <f>IF(AM77&lt;&gt;"",ROUND(AM77/SI!$C$9,2),"")</f>
        <v/>
      </c>
      <c r="AW77" s="4" t="str">
        <f>IF(AN77&lt;&gt;"",ROUND(AN77/SI!$C$9,2),"")</f>
        <v/>
      </c>
      <c r="AX77" s="261" t="str">
        <f>IF(AO77&lt;&gt;"",ROUND(AO77/SI!$C$9,2),"")</f>
        <v/>
      </c>
      <c r="AY77" s="28" t="str">
        <f t="shared" si="45"/>
        <v/>
      </c>
      <c r="AZ77" s="4" t="str">
        <f>IF(AY77&lt;&gt;"",ROUND(AY77/(SI!$C$9*SI!$C$10),2),"")</f>
        <v/>
      </c>
      <c r="BA77" s="4" t="str">
        <f t="shared" si="46"/>
        <v/>
      </c>
      <c r="BB77" s="4" t="str">
        <f t="shared" si="47"/>
        <v/>
      </c>
      <c r="BC77" s="4" t="str">
        <f t="shared" si="48"/>
        <v/>
      </c>
      <c r="BD77" s="4" t="str">
        <f t="shared" si="49"/>
        <v/>
      </c>
      <c r="BE77" s="4" t="str">
        <f>IF(AND(X77&lt;&gt;""),ROUND(X77/SI!$C$10,2),"")</f>
        <v/>
      </c>
      <c r="BF77" s="4" t="str">
        <f t="shared" si="51"/>
        <v/>
      </c>
      <c r="BG77" s="264" t="str">
        <f t="shared" si="50"/>
        <v/>
      </c>
      <c r="BH77" s="71" t="str">
        <f>IF(F77&lt;&gt;"",VLOOKUP(F77,DUTY_2025!A:O,15,FALSE),"")</f>
        <v/>
      </c>
    </row>
    <row r="78" spans="1:60" x14ac:dyDescent="0.25">
      <c r="A78" s="133">
        <f t="shared" si="26"/>
        <v>66</v>
      </c>
      <c r="B78" s="83" t="str">
        <f t="shared" si="27"/>
        <v/>
      </c>
      <c r="C78" s="126">
        <v>1</v>
      </c>
      <c r="D78" s="127"/>
      <c r="E78" s="91"/>
      <c r="F78" s="114"/>
      <c r="G78" s="27" t="str">
        <f>IF(F78&lt;&gt;"",IFERROR(VLOOKUP(F78,DUTY_2025!A:I,6,FALSE),""),"")</f>
        <v/>
      </c>
      <c r="H78" s="85" t="s">
        <v>133</v>
      </c>
      <c r="I78" s="27" t="str">
        <f>IF(F78&lt;&gt;"",IFERROR(VLOOKUP(F78,DUTY_2025!A:H,2,FALSE),""),"")</f>
        <v/>
      </c>
      <c r="J78" s="23"/>
      <c r="K78" s="23"/>
      <c r="L78" s="92"/>
      <c r="M78" s="22"/>
      <c r="N78" s="90"/>
      <c r="O78" s="25"/>
      <c r="P78" s="300"/>
      <c r="Q78" s="23"/>
      <c r="R78" s="27"/>
      <c r="S78" s="86" t="str">
        <f t="shared" si="28"/>
        <v/>
      </c>
      <c r="T78" s="87" t="str">
        <f t="shared" si="29"/>
        <v/>
      </c>
      <c r="U78" s="87" t="str" cm="1">
        <f t="array" ref="U78">IF(AND(H78&lt;&gt;"YES",P78&lt;&gt;"",R78&lt;&gt;"",Q78&lt;&gt;""),
_xlfn.SWITCH(Q78,
"INR",_xlfn.SWITCH(R78,"KG",P78*S78,"CTN",P78,"UNIT",P78*N78,"NET",P78/M78,0),
"USD",_xlfn.SWITCH(R78,"KG",P78*S78*SI!$C$10,"CTN",P78*SI!$C$10,"UNIT",P78*N78*SI!$C$10,"NET",P78*SI!$C$10/M78,0),
"LKR",_xlfn.SWITCH(R78,"KG",P78*S78/SI!$C$9,"CTN",P78/SI!$C$9,"UNIT",P78*N78/SI!$C$9,"NET",P78/(M78*SI!$C$9),0),
0),
"")</f>
        <v/>
      </c>
      <c r="V78" s="87" t="str">
        <f t="shared" si="30"/>
        <v/>
      </c>
      <c r="W78" s="87" t="str">
        <f t="shared" si="31"/>
        <v/>
      </c>
      <c r="X78" s="88" t="str">
        <f t="shared" si="32"/>
        <v/>
      </c>
      <c r="Y78" s="24" t="str">
        <f t="shared" si="33"/>
        <v/>
      </c>
      <c r="Z78" s="267" t="str">
        <f>IF(AND(H78&lt;&gt;"yes",F78&lt;&gt;""),IFERROR(VLOOKUP(F78,DUTY_2025!A:F,5,FALSE),""),"")</f>
        <v/>
      </c>
      <c r="AA78" s="271" t="str">
        <f t="shared" si="34"/>
        <v/>
      </c>
      <c r="AB78" s="16" t="str">
        <f t="shared" si="35"/>
        <v/>
      </c>
      <c r="AC78" s="16" t="str">
        <f>IF(AA78&lt;&gt;"",ROUND(AA78*SI!$C$9,0),"")</f>
        <v/>
      </c>
      <c r="AD78" s="4" t="str">
        <f>IF(AC78&lt;&gt;"",ROUND(AC78/(SI!$C$9*SI!$C$10),2),"")</f>
        <v/>
      </c>
      <c r="AE78" s="30" t="str">
        <f>IF(AND(X78&lt;&gt;""), ROUND((SI!$E$23)*(X78/SUM($X$5:$X$493)),0),"")</f>
        <v/>
      </c>
      <c r="AF78" s="272" t="str">
        <f t="shared" si="36"/>
        <v/>
      </c>
      <c r="AG78" s="28" t="str">
        <f t="shared" si="37"/>
        <v/>
      </c>
      <c r="AH78" s="4" t="str">
        <f>IF(AD78&lt;&gt;"",ROUND(AD78*10*SI!$C$9/2,0),"")</f>
        <v/>
      </c>
      <c r="AI78" s="29" t="str">
        <f>IF(AND(X78&lt;&gt;""), ROUND((SI!$E$28)*(X78/SUM($X$5:$X$493)),0),"")</f>
        <v/>
      </c>
      <c r="AJ78" s="4" t="str">
        <f t="shared" si="38"/>
        <v/>
      </c>
      <c r="AK78" s="4" t="str">
        <f t="shared" si="39"/>
        <v/>
      </c>
      <c r="AL78" s="4" t="str">
        <f t="shared" si="40"/>
        <v/>
      </c>
      <c r="AM78" s="4" t="str">
        <f t="shared" si="41"/>
        <v/>
      </c>
      <c r="AN78" s="195" t="str">
        <f t="shared" si="42"/>
        <v/>
      </c>
      <c r="AO78" s="261" t="str">
        <f>IF(AND(AM78&lt;&gt;"",P78&lt;&gt;""),ROUND((AM78*((100+SI!$C$11)/100)),0),"")</f>
        <v/>
      </c>
      <c r="AP78" s="28" t="str">
        <f>IF(AG78&lt;&gt;"",ROUND(AG78/SI!$C$9,2),"")</f>
        <v/>
      </c>
      <c r="AQ78" s="4" t="str">
        <f>IF(AH78&lt;&gt;"",ROUND(AH78/SI!$C$9,2),"")</f>
        <v/>
      </c>
      <c r="AR78" s="29" t="str">
        <f>IF(AI78&lt;&gt;"",ROUND(AI78/SI!$C$9,2),"")</f>
        <v/>
      </c>
      <c r="AS78" s="4" t="str">
        <f t="shared" si="43"/>
        <v/>
      </c>
      <c r="AT78" s="4" t="str">
        <f t="shared" si="44"/>
        <v/>
      </c>
      <c r="AU78" s="4" t="str">
        <f>IF(AL78&lt;&gt;"",ROUND(AL78/SI!$C$9,2),"")</f>
        <v/>
      </c>
      <c r="AV78" s="4" t="str">
        <f>IF(AM78&lt;&gt;"",ROUND(AM78/SI!$C$9,2),"")</f>
        <v/>
      </c>
      <c r="AW78" s="4" t="str">
        <f>IF(AN78&lt;&gt;"",ROUND(AN78/SI!$C$9,2),"")</f>
        <v/>
      </c>
      <c r="AX78" s="261" t="str">
        <f>IF(AO78&lt;&gt;"",ROUND(AO78/SI!$C$9,2),"")</f>
        <v/>
      </c>
      <c r="AY78" s="28" t="str">
        <f t="shared" si="45"/>
        <v/>
      </c>
      <c r="AZ78" s="4" t="str">
        <f>IF(AY78&lt;&gt;"",ROUND(AY78/(SI!$C$9*SI!$C$10),2),"")</f>
        <v/>
      </c>
      <c r="BA78" s="4" t="str">
        <f t="shared" si="46"/>
        <v/>
      </c>
      <c r="BB78" s="4" t="str">
        <f t="shared" si="47"/>
        <v/>
      </c>
      <c r="BC78" s="4" t="str">
        <f t="shared" si="48"/>
        <v/>
      </c>
      <c r="BD78" s="4" t="str">
        <f t="shared" si="49"/>
        <v/>
      </c>
      <c r="BE78" s="4" t="str">
        <f>IF(AND(X78&lt;&gt;""),ROUND(X78/SI!$C$10,2),"")</f>
        <v/>
      </c>
      <c r="BF78" s="4" t="str">
        <f t="shared" si="51"/>
        <v/>
      </c>
      <c r="BG78" s="264" t="str">
        <f t="shared" si="50"/>
        <v/>
      </c>
      <c r="BH78" s="71" t="str">
        <f>IF(F78&lt;&gt;"",VLOOKUP(F78,DUTY_2025!A:O,15,FALSE),"")</f>
        <v/>
      </c>
    </row>
    <row r="79" spans="1:60" x14ac:dyDescent="0.25">
      <c r="A79" s="133">
        <f t="shared" si="26"/>
        <v>66</v>
      </c>
      <c r="B79" s="83" t="str">
        <f t="shared" si="27"/>
        <v/>
      </c>
      <c r="C79" s="126">
        <v>1</v>
      </c>
      <c r="D79" s="127"/>
      <c r="E79" s="91"/>
      <c r="F79" s="114"/>
      <c r="G79" s="27" t="str">
        <f>IF(F79&lt;&gt;"",IFERROR(VLOOKUP(F79,DUTY_2025!A:I,6,FALSE),""),"")</f>
        <v/>
      </c>
      <c r="H79" s="85" t="s">
        <v>133</v>
      </c>
      <c r="I79" s="27" t="str">
        <f>IF(F79&lt;&gt;"",IFERROR(VLOOKUP(F79,DUTY_2025!A:H,2,FALSE),""),"")</f>
        <v/>
      </c>
      <c r="J79" s="23"/>
      <c r="K79" s="23"/>
      <c r="L79" s="92"/>
      <c r="M79" s="22"/>
      <c r="N79" s="90"/>
      <c r="O79" s="25"/>
      <c r="P79" s="300"/>
      <c r="Q79" s="23"/>
      <c r="R79" s="27"/>
      <c r="S79" s="86" t="str">
        <f t="shared" si="28"/>
        <v/>
      </c>
      <c r="T79" s="87" t="str">
        <f t="shared" si="29"/>
        <v/>
      </c>
      <c r="U79" s="87" t="str" cm="1">
        <f t="array" ref="U79">IF(AND(H79&lt;&gt;"YES",P79&lt;&gt;"",R79&lt;&gt;"",Q79&lt;&gt;""),
_xlfn.SWITCH(Q79,
"INR",_xlfn.SWITCH(R79,"KG",P79*S79,"CTN",P79,"UNIT",P79*N79,"NET",P79/M79,0),
"USD",_xlfn.SWITCH(R79,"KG",P79*S79*SI!$C$10,"CTN",P79*SI!$C$10,"UNIT",P79*N79*SI!$C$10,"NET",P79*SI!$C$10/M79,0),
"LKR",_xlfn.SWITCH(R79,"KG",P79*S79/SI!$C$9,"CTN",P79/SI!$C$9,"UNIT",P79*N79/SI!$C$9,"NET",P79/(M79*SI!$C$9),0),
0),
"")</f>
        <v/>
      </c>
      <c r="V79" s="87" t="str">
        <f t="shared" si="30"/>
        <v/>
      </c>
      <c r="W79" s="87" t="str">
        <f t="shared" si="31"/>
        <v/>
      </c>
      <c r="X79" s="88" t="str">
        <f t="shared" si="32"/>
        <v/>
      </c>
      <c r="Y79" s="24" t="str">
        <f t="shared" si="33"/>
        <v/>
      </c>
      <c r="Z79" s="267" t="str">
        <f>IF(AND(H79&lt;&gt;"yes",F79&lt;&gt;""),IFERROR(VLOOKUP(F79,DUTY_2025!A:F,5,FALSE),""),"")</f>
        <v/>
      </c>
      <c r="AA79" s="271" t="str">
        <f t="shared" si="34"/>
        <v/>
      </c>
      <c r="AB79" s="16" t="str">
        <f t="shared" si="35"/>
        <v/>
      </c>
      <c r="AC79" s="16" t="str">
        <f>IF(AA79&lt;&gt;"",ROUND(AA79*SI!$C$9,0),"")</f>
        <v/>
      </c>
      <c r="AD79" s="4" t="str">
        <f>IF(AC79&lt;&gt;"",ROUND(AC79/(SI!$C$9*SI!$C$10),2),"")</f>
        <v/>
      </c>
      <c r="AE79" s="30" t="str">
        <f>IF(AND(X79&lt;&gt;""), ROUND((SI!$E$23)*(X79/SUM($X$5:$X$493)),0),"")</f>
        <v/>
      </c>
      <c r="AF79" s="272" t="str">
        <f t="shared" si="36"/>
        <v/>
      </c>
      <c r="AG79" s="28" t="str">
        <f t="shared" si="37"/>
        <v/>
      </c>
      <c r="AH79" s="4" t="str">
        <f>IF(AD79&lt;&gt;"",ROUND(AD79*10*SI!$C$9/2,0),"")</f>
        <v/>
      </c>
      <c r="AI79" s="29" t="str">
        <f>IF(AND(X79&lt;&gt;""), ROUND((SI!$E$28)*(X79/SUM($X$5:$X$493)),0),"")</f>
        <v/>
      </c>
      <c r="AJ79" s="4" t="str">
        <f t="shared" si="38"/>
        <v/>
      </c>
      <c r="AK79" s="4" t="str">
        <f t="shared" si="39"/>
        <v/>
      </c>
      <c r="AL79" s="4" t="str">
        <f t="shared" si="40"/>
        <v/>
      </c>
      <c r="AM79" s="4" t="str">
        <f t="shared" si="41"/>
        <v/>
      </c>
      <c r="AN79" s="195" t="str">
        <f t="shared" si="42"/>
        <v/>
      </c>
      <c r="AO79" s="261" t="str">
        <f>IF(AND(AM79&lt;&gt;"",P79&lt;&gt;""),ROUND((AM79*((100+SI!$C$11)/100)),0),"")</f>
        <v/>
      </c>
      <c r="AP79" s="28" t="str">
        <f>IF(AG79&lt;&gt;"",ROUND(AG79/SI!$C$9,2),"")</f>
        <v/>
      </c>
      <c r="AQ79" s="4" t="str">
        <f>IF(AH79&lt;&gt;"",ROUND(AH79/SI!$C$9,2),"")</f>
        <v/>
      </c>
      <c r="AR79" s="29" t="str">
        <f>IF(AI79&lt;&gt;"",ROUND(AI79/SI!$C$9,2),"")</f>
        <v/>
      </c>
      <c r="AS79" s="4" t="str">
        <f t="shared" si="43"/>
        <v/>
      </c>
      <c r="AT79" s="4" t="str">
        <f t="shared" si="44"/>
        <v/>
      </c>
      <c r="AU79" s="4" t="str">
        <f>IF(AL79&lt;&gt;"",ROUND(AL79/SI!$C$9,2),"")</f>
        <v/>
      </c>
      <c r="AV79" s="4" t="str">
        <f>IF(AM79&lt;&gt;"",ROUND(AM79/SI!$C$9,2),"")</f>
        <v/>
      </c>
      <c r="AW79" s="4" t="str">
        <f>IF(AN79&lt;&gt;"",ROUND(AN79/SI!$C$9,2),"")</f>
        <v/>
      </c>
      <c r="AX79" s="261" t="str">
        <f>IF(AO79&lt;&gt;"",ROUND(AO79/SI!$C$9,2),"")</f>
        <v/>
      </c>
      <c r="AY79" s="28" t="str">
        <f t="shared" si="45"/>
        <v/>
      </c>
      <c r="AZ79" s="4" t="str">
        <f>IF(AY79&lt;&gt;"",ROUND(AY79/(SI!$C$9*SI!$C$10),2),"")</f>
        <v/>
      </c>
      <c r="BA79" s="4" t="str">
        <f t="shared" si="46"/>
        <v/>
      </c>
      <c r="BB79" s="4" t="str">
        <f t="shared" si="47"/>
        <v/>
      </c>
      <c r="BC79" s="4" t="str">
        <f t="shared" si="48"/>
        <v/>
      </c>
      <c r="BD79" s="4" t="str">
        <f t="shared" si="49"/>
        <v/>
      </c>
      <c r="BE79" s="4" t="str">
        <f>IF(AND(X79&lt;&gt;""),ROUND(X79/SI!$C$10,2),"")</f>
        <v/>
      </c>
      <c r="BF79" s="4" t="str">
        <f t="shared" si="51"/>
        <v/>
      </c>
      <c r="BG79" s="264" t="str">
        <f t="shared" si="50"/>
        <v/>
      </c>
      <c r="BH79" s="71" t="str">
        <f>IF(F79&lt;&gt;"",VLOOKUP(F79,DUTY_2025!A:O,15,FALSE),"")</f>
        <v/>
      </c>
    </row>
    <row r="80" spans="1:60" x14ac:dyDescent="0.25">
      <c r="A80" s="133">
        <f t="shared" si="26"/>
        <v>66</v>
      </c>
      <c r="B80" s="83" t="str">
        <f t="shared" si="27"/>
        <v/>
      </c>
      <c r="C80" s="126">
        <v>1</v>
      </c>
      <c r="D80" s="127"/>
      <c r="E80" s="91"/>
      <c r="F80" s="114"/>
      <c r="G80" s="27" t="str">
        <f>IF(F80&lt;&gt;"",IFERROR(VLOOKUP(F80,DUTY_2025!A:I,6,FALSE),""),"")</f>
        <v/>
      </c>
      <c r="H80" s="85" t="s">
        <v>133</v>
      </c>
      <c r="I80" s="27" t="str">
        <f>IF(F80&lt;&gt;"",IFERROR(VLOOKUP(F80,DUTY_2025!A:H,2,FALSE),""),"")</f>
        <v/>
      </c>
      <c r="J80" s="23"/>
      <c r="K80" s="23"/>
      <c r="L80" s="92"/>
      <c r="M80" s="22"/>
      <c r="N80" s="90"/>
      <c r="O80" s="25"/>
      <c r="P80" s="300"/>
      <c r="Q80" s="23"/>
      <c r="R80" s="27"/>
      <c r="S80" s="86" t="str">
        <f t="shared" si="28"/>
        <v/>
      </c>
      <c r="T80" s="87" t="str">
        <f t="shared" si="29"/>
        <v/>
      </c>
      <c r="U80" s="87" t="str" cm="1">
        <f t="array" ref="U80">IF(AND(H80&lt;&gt;"YES",P80&lt;&gt;"",R80&lt;&gt;"",Q80&lt;&gt;""),
_xlfn.SWITCH(Q80,
"INR",_xlfn.SWITCH(R80,"KG",P80*S80,"CTN",P80,"UNIT",P80*N80,"NET",P80/M80,0),
"USD",_xlfn.SWITCH(R80,"KG",P80*S80*SI!$C$10,"CTN",P80*SI!$C$10,"UNIT",P80*N80*SI!$C$10,"NET",P80*SI!$C$10/M80,0),
"LKR",_xlfn.SWITCH(R80,"KG",P80*S80/SI!$C$9,"CTN",P80/SI!$C$9,"UNIT",P80*N80/SI!$C$9,"NET",P80/(M80*SI!$C$9),0),
0),
"")</f>
        <v/>
      </c>
      <c r="V80" s="87" t="str">
        <f t="shared" si="30"/>
        <v/>
      </c>
      <c r="W80" s="87" t="str">
        <f t="shared" si="31"/>
        <v/>
      </c>
      <c r="X80" s="88" t="str">
        <f t="shared" si="32"/>
        <v/>
      </c>
      <c r="Y80" s="24" t="str">
        <f t="shared" si="33"/>
        <v/>
      </c>
      <c r="Z80" s="267" t="str">
        <f>IF(AND(H80&lt;&gt;"yes",F80&lt;&gt;""),IFERROR(VLOOKUP(F80,DUTY_2025!A:F,5,FALSE),""),"")</f>
        <v/>
      </c>
      <c r="AA80" s="271" t="str">
        <f t="shared" si="34"/>
        <v/>
      </c>
      <c r="AB80" s="16" t="str">
        <f t="shared" si="35"/>
        <v/>
      </c>
      <c r="AC80" s="16" t="str">
        <f>IF(AA80&lt;&gt;"",ROUND(AA80*SI!$C$9,0),"")</f>
        <v/>
      </c>
      <c r="AD80" s="4" t="str">
        <f>IF(AC80&lt;&gt;"",ROUND(AC80/(SI!$C$9*SI!$C$10),2),"")</f>
        <v/>
      </c>
      <c r="AE80" s="30" t="str">
        <f>IF(AND(X80&lt;&gt;""), ROUND((SI!$E$23)*(X80/SUM($X$5:$X$493)),0),"")</f>
        <v/>
      </c>
      <c r="AF80" s="272" t="str">
        <f t="shared" si="36"/>
        <v/>
      </c>
      <c r="AG80" s="28" t="str">
        <f t="shared" si="37"/>
        <v/>
      </c>
      <c r="AH80" s="4" t="str">
        <f>IF(AD80&lt;&gt;"",ROUND(AD80*10*SI!$C$9/2,0),"")</f>
        <v/>
      </c>
      <c r="AI80" s="29" t="str">
        <f>IF(AND(X80&lt;&gt;""), ROUND((SI!$E$28)*(X80/SUM($X$5:$X$493)),0),"")</f>
        <v/>
      </c>
      <c r="AJ80" s="4" t="str">
        <f t="shared" si="38"/>
        <v/>
      </c>
      <c r="AK80" s="4" t="str">
        <f t="shared" si="39"/>
        <v/>
      </c>
      <c r="AL80" s="4" t="str">
        <f t="shared" si="40"/>
        <v/>
      </c>
      <c r="AM80" s="4" t="str">
        <f t="shared" si="41"/>
        <v/>
      </c>
      <c r="AN80" s="195" t="str">
        <f t="shared" si="42"/>
        <v/>
      </c>
      <c r="AO80" s="261" t="str">
        <f>IF(AND(AM80&lt;&gt;"",P80&lt;&gt;""),ROUND((AM80*((100+SI!$C$11)/100)),0),"")</f>
        <v/>
      </c>
      <c r="AP80" s="28" t="str">
        <f>IF(AG80&lt;&gt;"",ROUND(AG80/SI!$C$9,2),"")</f>
        <v/>
      </c>
      <c r="AQ80" s="4" t="str">
        <f>IF(AH80&lt;&gt;"",ROUND(AH80/SI!$C$9,2),"")</f>
        <v/>
      </c>
      <c r="AR80" s="29" t="str">
        <f>IF(AI80&lt;&gt;"",ROUND(AI80/SI!$C$9,2),"")</f>
        <v/>
      </c>
      <c r="AS80" s="4" t="str">
        <f t="shared" si="43"/>
        <v/>
      </c>
      <c r="AT80" s="4" t="str">
        <f t="shared" si="44"/>
        <v/>
      </c>
      <c r="AU80" s="4" t="str">
        <f>IF(AL80&lt;&gt;"",ROUND(AL80/SI!$C$9,2),"")</f>
        <v/>
      </c>
      <c r="AV80" s="4" t="str">
        <f>IF(AM80&lt;&gt;"",ROUND(AM80/SI!$C$9,2),"")</f>
        <v/>
      </c>
      <c r="AW80" s="4" t="str">
        <f>IF(AN80&lt;&gt;"",ROUND(AN80/SI!$C$9,2),"")</f>
        <v/>
      </c>
      <c r="AX80" s="261" t="str">
        <f>IF(AO80&lt;&gt;"",ROUND(AO80/SI!$C$9,2),"")</f>
        <v/>
      </c>
      <c r="AY80" s="28" t="str">
        <f t="shared" si="45"/>
        <v/>
      </c>
      <c r="AZ80" s="4" t="str">
        <f>IF(AY80&lt;&gt;"",ROUND(AY80/(SI!$C$9*SI!$C$10),2),"")</f>
        <v/>
      </c>
      <c r="BA80" s="4" t="str">
        <f t="shared" si="46"/>
        <v/>
      </c>
      <c r="BB80" s="4" t="str">
        <f t="shared" si="47"/>
        <v/>
      </c>
      <c r="BC80" s="4" t="str">
        <f t="shared" si="48"/>
        <v/>
      </c>
      <c r="BD80" s="4" t="str">
        <f t="shared" si="49"/>
        <v/>
      </c>
      <c r="BE80" s="4" t="str">
        <f>IF(AND(X80&lt;&gt;""),ROUND(X80/SI!$C$10,2),"")</f>
        <v/>
      </c>
      <c r="BF80" s="4" t="str">
        <f t="shared" si="51"/>
        <v/>
      </c>
      <c r="BG80" s="264" t="str">
        <f t="shared" si="50"/>
        <v/>
      </c>
      <c r="BH80" s="71" t="str">
        <f>IF(F80&lt;&gt;"",VLOOKUP(F80,DUTY_2025!A:O,15,FALSE),"")</f>
        <v/>
      </c>
    </row>
    <row r="81" spans="1:60" x14ac:dyDescent="0.25">
      <c r="A81" s="133">
        <f t="shared" si="26"/>
        <v>66</v>
      </c>
      <c r="B81" s="83" t="str">
        <f t="shared" si="27"/>
        <v/>
      </c>
      <c r="C81" s="126">
        <v>1</v>
      </c>
      <c r="D81" s="127"/>
      <c r="E81" s="91"/>
      <c r="F81" s="114"/>
      <c r="G81" s="27" t="str">
        <f>IF(F81&lt;&gt;"",IFERROR(VLOOKUP(F81,DUTY_2025!A:I,6,FALSE),""),"")</f>
        <v/>
      </c>
      <c r="H81" s="85" t="s">
        <v>133</v>
      </c>
      <c r="I81" s="27" t="str">
        <f>IF(F81&lt;&gt;"",IFERROR(VLOOKUP(F81,DUTY_2025!A:H,2,FALSE),""),"")</f>
        <v/>
      </c>
      <c r="J81" s="23"/>
      <c r="K81" s="23"/>
      <c r="L81" s="92"/>
      <c r="M81" s="22"/>
      <c r="N81" s="90"/>
      <c r="O81" s="25"/>
      <c r="P81" s="300"/>
      <c r="Q81" s="23"/>
      <c r="R81" s="27"/>
      <c r="S81" s="86" t="str">
        <f t="shared" si="28"/>
        <v/>
      </c>
      <c r="T81" s="87" t="str">
        <f t="shared" si="29"/>
        <v/>
      </c>
      <c r="U81" s="87" t="str" cm="1">
        <f t="array" ref="U81">IF(AND(H81&lt;&gt;"YES",P81&lt;&gt;"",R81&lt;&gt;"",Q81&lt;&gt;""),
_xlfn.SWITCH(Q81,
"INR",_xlfn.SWITCH(R81,"KG",P81*S81,"CTN",P81,"UNIT",P81*N81,"NET",P81/M81,0),
"USD",_xlfn.SWITCH(R81,"KG",P81*S81*SI!$C$10,"CTN",P81*SI!$C$10,"UNIT",P81*N81*SI!$C$10,"NET",P81*SI!$C$10/M81,0),
"LKR",_xlfn.SWITCH(R81,"KG",P81*S81/SI!$C$9,"CTN",P81/SI!$C$9,"UNIT",P81*N81/SI!$C$9,"NET",P81/(M81*SI!$C$9),0),
0),
"")</f>
        <v/>
      </c>
      <c r="V81" s="87" t="str">
        <f t="shared" si="30"/>
        <v/>
      </c>
      <c r="W81" s="87" t="str">
        <f t="shared" si="31"/>
        <v/>
      </c>
      <c r="X81" s="88" t="str">
        <f t="shared" si="32"/>
        <v/>
      </c>
      <c r="Y81" s="24" t="str">
        <f t="shared" si="33"/>
        <v/>
      </c>
      <c r="Z81" s="267" t="str">
        <f>IF(AND(H81&lt;&gt;"yes",F81&lt;&gt;""),IFERROR(VLOOKUP(F81,DUTY_2025!A:F,5,FALSE),""),"")</f>
        <v/>
      </c>
      <c r="AA81" s="271" t="str">
        <f t="shared" si="34"/>
        <v/>
      </c>
      <c r="AB81" s="16" t="str">
        <f t="shared" si="35"/>
        <v/>
      </c>
      <c r="AC81" s="16" t="str">
        <f>IF(AA81&lt;&gt;"",ROUND(AA81*SI!$C$9,0),"")</f>
        <v/>
      </c>
      <c r="AD81" s="4" t="str">
        <f>IF(AC81&lt;&gt;"",ROUND(AC81/(SI!$C$9*SI!$C$10),2),"")</f>
        <v/>
      </c>
      <c r="AE81" s="30" t="str">
        <f>IF(AND(X81&lt;&gt;""), ROUND((SI!$E$23)*(X81/SUM($X$5:$X$493)),0),"")</f>
        <v/>
      </c>
      <c r="AF81" s="272" t="str">
        <f t="shared" si="36"/>
        <v/>
      </c>
      <c r="AG81" s="28" t="str">
        <f t="shared" si="37"/>
        <v/>
      </c>
      <c r="AH81" s="4" t="str">
        <f>IF(AD81&lt;&gt;"",ROUND(AD81*10*SI!$C$9/2,0),"")</f>
        <v/>
      </c>
      <c r="AI81" s="29" t="str">
        <f>IF(AND(X81&lt;&gt;""), ROUND((SI!$E$28)*(X81/SUM($X$5:$X$493)),0),"")</f>
        <v/>
      </c>
      <c r="AJ81" s="4" t="str">
        <f t="shared" si="38"/>
        <v/>
      </c>
      <c r="AK81" s="4" t="str">
        <f t="shared" si="39"/>
        <v/>
      </c>
      <c r="AL81" s="4" t="str">
        <f t="shared" si="40"/>
        <v/>
      </c>
      <c r="AM81" s="4" t="str">
        <f t="shared" si="41"/>
        <v/>
      </c>
      <c r="AN81" s="195" t="str">
        <f t="shared" si="42"/>
        <v/>
      </c>
      <c r="AO81" s="261" t="str">
        <f>IF(AND(AM81&lt;&gt;"",P81&lt;&gt;""),ROUND((AM81*((100+SI!$C$11)/100)),0),"")</f>
        <v/>
      </c>
      <c r="AP81" s="28" t="str">
        <f>IF(AG81&lt;&gt;"",ROUND(AG81/SI!$C$9,2),"")</f>
        <v/>
      </c>
      <c r="AQ81" s="4" t="str">
        <f>IF(AH81&lt;&gt;"",ROUND(AH81/SI!$C$9,2),"")</f>
        <v/>
      </c>
      <c r="AR81" s="29" t="str">
        <f>IF(AI81&lt;&gt;"",ROUND(AI81/SI!$C$9,2),"")</f>
        <v/>
      </c>
      <c r="AS81" s="4" t="str">
        <f t="shared" si="43"/>
        <v/>
      </c>
      <c r="AT81" s="4" t="str">
        <f t="shared" si="44"/>
        <v/>
      </c>
      <c r="AU81" s="4" t="str">
        <f>IF(AL81&lt;&gt;"",ROUND(AL81/SI!$C$9,2),"")</f>
        <v/>
      </c>
      <c r="AV81" s="4" t="str">
        <f>IF(AM81&lt;&gt;"",ROUND(AM81/SI!$C$9,2),"")</f>
        <v/>
      </c>
      <c r="AW81" s="4" t="str">
        <f>IF(AN81&lt;&gt;"",ROUND(AN81/SI!$C$9,2),"")</f>
        <v/>
      </c>
      <c r="AX81" s="261" t="str">
        <f>IF(AO81&lt;&gt;"",ROUND(AO81/SI!$C$9,2),"")</f>
        <v/>
      </c>
      <c r="AY81" s="28" t="str">
        <f t="shared" si="45"/>
        <v/>
      </c>
      <c r="AZ81" s="4" t="str">
        <f>IF(AY81&lt;&gt;"",ROUND(AY81/(SI!$C$9*SI!$C$10),2),"")</f>
        <v/>
      </c>
      <c r="BA81" s="4" t="str">
        <f t="shared" si="46"/>
        <v/>
      </c>
      <c r="BB81" s="4" t="str">
        <f t="shared" si="47"/>
        <v/>
      </c>
      <c r="BC81" s="4" t="str">
        <f t="shared" si="48"/>
        <v/>
      </c>
      <c r="BD81" s="4" t="str">
        <f t="shared" si="49"/>
        <v/>
      </c>
      <c r="BE81" s="4" t="str">
        <f>IF(AND(X81&lt;&gt;""),ROUND(X81/SI!$C$10,2),"")</f>
        <v/>
      </c>
      <c r="BF81" s="4" t="str">
        <f t="shared" si="51"/>
        <v/>
      </c>
      <c r="BG81" s="264" t="str">
        <f t="shared" si="50"/>
        <v/>
      </c>
      <c r="BH81" s="71" t="str">
        <f>IF(F81&lt;&gt;"",VLOOKUP(F81,DUTY_2025!A:O,15,FALSE),"")</f>
        <v/>
      </c>
    </row>
    <row r="82" spans="1:60" x14ac:dyDescent="0.25">
      <c r="A82" s="133">
        <f t="shared" si="26"/>
        <v>66</v>
      </c>
      <c r="B82" s="83" t="str">
        <f t="shared" si="27"/>
        <v/>
      </c>
      <c r="C82" s="126">
        <v>1</v>
      </c>
      <c r="D82" s="127"/>
      <c r="E82" s="91"/>
      <c r="F82" s="114"/>
      <c r="G82" s="27" t="str">
        <f>IF(F82&lt;&gt;"",IFERROR(VLOOKUP(F82,DUTY_2025!A:I,6,FALSE),""),"")</f>
        <v/>
      </c>
      <c r="H82" s="85" t="s">
        <v>133</v>
      </c>
      <c r="I82" s="27" t="str">
        <f>IF(F82&lt;&gt;"",IFERROR(VLOOKUP(F82,DUTY_2025!A:H,2,FALSE),""),"")</f>
        <v/>
      </c>
      <c r="J82" s="23"/>
      <c r="K82" s="23"/>
      <c r="L82" s="92"/>
      <c r="M82" s="22"/>
      <c r="N82" s="90"/>
      <c r="O82" s="25"/>
      <c r="P82" s="300"/>
      <c r="Q82" s="23"/>
      <c r="R82" s="27"/>
      <c r="S82" s="86" t="str">
        <f t="shared" si="28"/>
        <v/>
      </c>
      <c r="T82" s="87" t="str">
        <f t="shared" si="29"/>
        <v/>
      </c>
      <c r="U82" s="87" t="str" cm="1">
        <f t="array" ref="U82">IF(AND(H82&lt;&gt;"YES",P82&lt;&gt;"",R82&lt;&gt;"",Q82&lt;&gt;""),
_xlfn.SWITCH(Q82,
"INR",_xlfn.SWITCH(R82,"KG",P82*S82,"CTN",P82,"UNIT",P82*N82,"NET",P82/M82,0),
"USD",_xlfn.SWITCH(R82,"KG",P82*S82*SI!$C$10,"CTN",P82*SI!$C$10,"UNIT",P82*N82*SI!$C$10,"NET",P82*SI!$C$10/M82,0),
"LKR",_xlfn.SWITCH(R82,"KG",P82*S82/SI!$C$9,"CTN",P82/SI!$C$9,"UNIT",P82*N82/SI!$C$9,"NET",P82/(M82*SI!$C$9),0),
0),
"")</f>
        <v/>
      </c>
      <c r="V82" s="87" t="str">
        <f t="shared" si="30"/>
        <v/>
      </c>
      <c r="W82" s="87" t="str">
        <f t="shared" si="31"/>
        <v/>
      </c>
      <c r="X82" s="88" t="str">
        <f t="shared" si="32"/>
        <v/>
      </c>
      <c r="Y82" s="24" t="str">
        <f t="shared" si="33"/>
        <v/>
      </c>
      <c r="Z82" s="267" t="str">
        <f>IF(AND(H82&lt;&gt;"yes",F82&lt;&gt;""),IFERROR(VLOOKUP(F82,DUTY_2025!A:F,5,FALSE),""),"")</f>
        <v/>
      </c>
      <c r="AA82" s="271" t="str">
        <f t="shared" si="34"/>
        <v/>
      </c>
      <c r="AB82" s="16" t="str">
        <f t="shared" si="35"/>
        <v/>
      </c>
      <c r="AC82" s="16" t="str">
        <f>IF(AA82&lt;&gt;"",ROUND(AA82*SI!$C$9,0),"")</f>
        <v/>
      </c>
      <c r="AD82" s="4" t="str">
        <f>IF(AC82&lt;&gt;"",ROUND(AC82/(SI!$C$9*SI!$C$10),2),"")</f>
        <v/>
      </c>
      <c r="AE82" s="30" t="str">
        <f>IF(AND(X82&lt;&gt;""), ROUND((SI!$E$23)*(X82/SUM($X$5:$X$493)),0),"")</f>
        <v/>
      </c>
      <c r="AF82" s="272" t="str">
        <f t="shared" si="36"/>
        <v/>
      </c>
      <c r="AG82" s="28" t="str">
        <f t="shared" si="37"/>
        <v/>
      </c>
      <c r="AH82" s="4" t="str">
        <f>IF(AD82&lt;&gt;"",ROUND(AD82*10*SI!$C$9/2,0),"")</f>
        <v/>
      </c>
      <c r="AI82" s="29" t="str">
        <f>IF(AND(X82&lt;&gt;""), ROUND((SI!$E$28)*(X82/SUM($X$5:$X$493)),0),"")</f>
        <v/>
      </c>
      <c r="AJ82" s="4" t="str">
        <f t="shared" si="38"/>
        <v/>
      </c>
      <c r="AK82" s="4" t="str">
        <f t="shared" si="39"/>
        <v/>
      </c>
      <c r="AL82" s="4" t="str">
        <f t="shared" si="40"/>
        <v/>
      </c>
      <c r="AM82" s="4" t="str">
        <f t="shared" si="41"/>
        <v/>
      </c>
      <c r="AN82" s="195" t="str">
        <f t="shared" si="42"/>
        <v/>
      </c>
      <c r="AO82" s="261" t="str">
        <f>IF(AND(AM82&lt;&gt;"",P82&lt;&gt;""),ROUND((AM82*((100+SI!$C$11)/100)),0),"")</f>
        <v/>
      </c>
      <c r="AP82" s="28" t="str">
        <f>IF(AG82&lt;&gt;"",ROUND(AG82/SI!$C$9,2),"")</f>
        <v/>
      </c>
      <c r="AQ82" s="4" t="str">
        <f>IF(AH82&lt;&gt;"",ROUND(AH82/SI!$C$9,2),"")</f>
        <v/>
      </c>
      <c r="AR82" s="29" t="str">
        <f>IF(AI82&lt;&gt;"",ROUND(AI82/SI!$C$9,2),"")</f>
        <v/>
      </c>
      <c r="AS82" s="4" t="str">
        <f t="shared" si="43"/>
        <v/>
      </c>
      <c r="AT82" s="4" t="str">
        <f t="shared" si="44"/>
        <v/>
      </c>
      <c r="AU82" s="4" t="str">
        <f>IF(AL82&lt;&gt;"",ROUND(AL82/SI!$C$9,2),"")</f>
        <v/>
      </c>
      <c r="AV82" s="4" t="str">
        <f>IF(AM82&lt;&gt;"",ROUND(AM82/SI!$C$9,2),"")</f>
        <v/>
      </c>
      <c r="AW82" s="4" t="str">
        <f>IF(AN82&lt;&gt;"",ROUND(AN82/SI!$C$9,2),"")</f>
        <v/>
      </c>
      <c r="AX82" s="261" t="str">
        <f>IF(AO82&lt;&gt;"",ROUND(AO82/SI!$C$9,2),"")</f>
        <v/>
      </c>
      <c r="AY82" s="28" t="str">
        <f t="shared" si="45"/>
        <v/>
      </c>
      <c r="AZ82" s="4" t="str">
        <f>IF(AY82&lt;&gt;"",ROUND(AY82/(SI!$C$9*SI!$C$10),2),"")</f>
        <v/>
      </c>
      <c r="BA82" s="4" t="str">
        <f t="shared" si="46"/>
        <v/>
      </c>
      <c r="BB82" s="4" t="str">
        <f t="shared" si="47"/>
        <v/>
      </c>
      <c r="BC82" s="4" t="str">
        <f t="shared" si="48"/>
        <v/>
      </c>
      <c r="BD82" s="4" t="str">
        <f t="shared" si="49"/>
        <v/>
      </c>
      <c r="BE82" s="4" t="str">
        <f>IF(AND(X82&lt;&gt;""),ROUND(X82/SI!$C$10,2),"")</f>
        <v/>
      </c>
      <c r="BF82" s="4" t="str">
        <f t="shared" si="51"/>
        <v/>
      </c>
      <c r="BG82" s="264" t="str">
        <f t="shared" si="50"/>
        <v/>
      </c>
      <c r="BH82" s="71" t="str">
        <f>IF(F82&lt;&gt;"",VLOOKUP(F82,DUTY_2025!A:O,15,FALSE),"")</f>
        <v/>
      </c>
    </row>
    <row r="83" spans="1:60" x14ac:dyDescent="0.25">
      <c r="A83" s="133">
        <f t="shared" si="26"/>
        <v>66</v>
      </c>
      <c r="B83" s="83" t="str">
        <f t="shared" si="27"/>
        <v/>
      </c>
      <c r="C83" s="126">
        <v>1</v>
      </c>
      <c r="D83" s="127"/>
      <c r="E83" s="91"/>
      <c r="F83" s="114"/>
      <c r="G83" s="27" t="str">
        <f>IF(F83&lt;&gt;"",IFERROR(VLOOKUP(F83,DUTY_2025!A:I,6,FALSE),""),"")</f>
        <v/>
      </c>
      <c r="H83" s="85" t="s">
        <v>133</v>
      </c>
      <c r="I83" s="27" t="str">
        <f>IF(F83&lt;&gt;"",IFERROR(VLOOKUP(F83,DUTY_2025!A:H,2,FALSE),""),"")</f>
        <v/>
      </c>
      <c r="J83" s="23"/>
      <c r="K83" s="23"/>
      <c r="L83" s="92"/>
      <c r="M83" s="22"/>
      <c r="N83" s="90"/>
      <c r="O83" s="25"/>
      <c r="P83" s="300"/>
      <c r="Q83" s="23"/>
      <c r="R83" s="27"/>
      <c r="S83" s="86" t="str">
        <f t="shared" si="28"/>
        <v/>
      </c>
      <c r="T83" s="87" t="str">
        <f t="shared" si="29"/>
        <v/>
      </c>
      <c r="U83" s="87" t="str" cm="1">
        <f t="array" ref="U83">IF(AND(H83&lt;&gt;"YES",P83&lt;&gt;"",R83&lt;&gt;"",Q83&lt;&gt;""),
_xlfn.SWITCH(Q83,
"INR",_xlfn.SWITCH(R83,"KG",P83*S83,"CTN",P83,"UNIT",P83*N83,"NET",P83/M83,0),
"USD",_xlfn.SWITCH(R83,"KG",P83*S83*SI!$C$10,"CTN",P83*SI!$C$10,"UNIT",P83*N83*SI!$C$10,"NET",P83*SI!$C$10/M83,0),
"LKR",_xlfn.SWITCH(R83,"KG",P83*S83/SI!$C$9,"CTN",P83/SI!$C$9,"UNIT",P83*N83/SI!$C$9,"NET",P83/(M83*SI!$C$9),0),
0),
"")</f>
        <v/>
      </c>
      <c r="V83" s="87" t="str">
        <f t="shared" si="30"/>
        <v/>
      </c>
      <c r="W83" s="87" t="str">
        <f t="shared" si="31"/>
        <v/>
      </c>
      <c r="X83" s="88" t="str">
        <f t="shared" si="32"/>
        <v/>
      </c>
      <c r="Y83" s="24" t="str">
        <f t="shared" si="33"/>
        <v/>
      </c>
      <c r="Z83" s="267" t="str">
        <f>IF(AND(H83&lt;&gt;"yes",F83&lt;&gt;""),IFERROR(VLOOKUP(F83,DUTY_2025!A:F,5,FALSE),""),"")</f>
        <v/>
      </c>
      <c r="AA83" s="271" t="str">
        <f t="shared" si="34"/>
        <v/>
      </c>
      <c r="AB83" s="16" t="str">
        <f t="shared" si="35"/>
        <v/>
      </c>
      <c r="AC83" s="16" t="str">
        <f>IF(AA83&lt;&gt;"",ROUND(AA83*SI!$C$9,0),"")</f>
        <v/>
      </c>
      <c r="AD83" s="4" t="str">
        <f>IF(AC83&lt;&gt;"",ROUND(AC83/(SI!$C$9*SI!$C$10),2),"")</f>
        <v/>
      </c>
      <c r="AE83" s="30" t="str">
        <f>IF(AND(X83&lt;&gt;""), ROUND((SI!$E$23)*(X83/SUM($X$5:$X$493)),0),"")</f>
        <v/>
      </c>
      <c r="AF83" s="272" t="str">
        <f t="shared" si="36"/>
        <v/>
      </c>
      <c r="AG83" s="28" t="str">
        <f t="shared" si="37"/>
        <v/>
      </c>
      <c r="AH83" s="4" t="str">
        <f>IF(AD83&lt;&gt;"",ROUND(AD83*10*SI!$C$9/2,0),"")</f>
        <v/>
      </c>
      <c r="AI83" s="29" t="str">
        <f>IF(AND(X83&lt;&gt;""), ROUND((SI!$E$28)*(X83/SUM($X$5:$X$493)),0),"")</f>
        <v/>
      </c>
      <c r="AJ83" s="4" t="str">
        <f t="shared" si="38"/>
        <v/>
      </c>
      <c r="AK83" s="4" t="str">
        <f t="shared" si="39"/>
        <v/>
      </c>
      <c r="AL83" s="4" t="str">
        <f t="shared" si="40"/>
        <v/>
      </c>
      <c r="AM83" s="4" t="str">
        <f t="shared" si="41"/>
        <v/>
      </c>
      <c r="AN83" s="195" t="str">
        <f t="shared" si="42"/>
        <v/>
      </c>
      <c r="AO83" s="261" t="str">
        <f>IF(AND(AM83&lt;&gt;"",P83&lt;&gt;""),ROUND((AM83*((100+SI!$C$11)/100)),0),"")</f>
        <v/>
      </c>
      <c r="AP83" s="28" t="str">
        <f>IF(AG83&lt;&gt;"",ROUND(AG83/SI!$C$9,2),"")</f>
        <v/>
      </c>
      <c r="AQ83" s="4" t="str">
        <f>IF(AH83&lt;&gt;"",ROUND(AH83/SI!$C$9,2),"")</f>
        <v/>
      </c>
      <c r="AR83" s="29" t="str">
        <f>IF(AI83&lt;&gt;"",ROUND(AI83/SI!$C$9,2),"")</f>
        <v/>
      </c>
      <c r="AS83" s="4" t="str">
        <f t="shared" si="43"/>
        <v/>
      </c>
      <c r="AT83" s="4" t="str">
        <f t="shared" si="44"/>
        <v/>
      </c>
      <c r="AU83" s="4" t="str">
        <f>IF(AL83&lt;&gt;"",ROUND(AL83/SI!$C$9,2),"")</f>
        <v/>
      </c>
      <c r="AV83" s="4" t="str">
        <f>IF(AM83&lt;&gt;"",ROUND(AM83/SI!$C$9,2),"")</f>
        <v/>
      </c>
      <c r="AW83" s="4" t="str">
        <f>IF(AN83&lt;&gt;"",ROUND(AN83/SI!$C$9,2),"")</f>
        <v/>
      </c>
      <c r="AX83" s="261" t="str">
        <f>IF(AO83&lt;&gt;"",ROUND(AO83/SI!$C$9,2),"")</f>
        <v/>
      </c>
      <c r="AY83" s="28" t="str">
        <f t="shared" si="45"/>
        <v/>
      </c>
      <c r="AZ83" s="4" t="str">
        <f>IF(AY83&lt;&gt;"",ROUND(AY83/(SI!$C$9*SI!$C$10),2),"")</f>
        <v/>
      </c>
      <c r="BA83" s="4" t="str">
        <f t="shared" si="46"/>
        <v/>
      </c>
      <c r="BB83" s="4" t="str">
        <f t="shared" si="47"/>
        <v/>
      </c>
      <c r="BC83" s="4" t="str">
        <f t="shared" si="48"/>
        <v/>
      </c>
      <c r="BD83" s="4" t="str">
        <f t="shared" si="49"/>
        <v/>
      </c>
      <c r="BE83" s="4" t="str">
        <f>IF(AND(X83&lt;&gt;""),ROUND(X83/SI!$C$10,2),"")</f>
        <v/>
      </c>
      <c r="BF83" s="4" t="str">
        <f t="shared" si="51"/>
        <v/>
      </c>
      <c r="BG83" s="264" t="str">
        <f t="shared" si="50"/>
        <v/>
      </c>
      <c r="BH83" s="71" t="str">
        <f>IF(F83&lt;&gt;"",VLOOKUP(F83,DUTY_2025!A:O,15,FALSE),"")</f>
        <v/>
      </c>
    </row>
    <row r="84" spans="1:60" x14ac:dyDescent="0.25">
      <c r="A84" s="133">
        <f t="shared" si="26"/>
        <v>66</v>
      </c>
      <c r="B84" s="83" t="str">
        <f t="shared" si="27"/>
        <v/>
      </c>
      <c r="C84" s="126">
        <v>1</v>
      </c>
      <c r="D84" s="127"/>
      <c r="E84" s="91"/>
      <c r="F84" s="114"/>
      <c r="G84" s="27" t="str">
        <f>IF(F84&lt;&gt;"",IFERROR(VLOOKUP(F84,DUTY_2025!A:I,6,FALSE),""),"")</f>
        <v/>
      </c>
      <c r="H84" s="85" t="s">
        <v>133</v>
      </c>
      <c r="I84" s="27" t="str">
        <f>IF(F84&lt;&gt;"",IFERROR(VLOOKUP(F84,DUTY_2025!A:H,2,FALSE),""),"")</f>
        <v/>
      </c>
      <c r="J84" s="23"/>
      <c r="K84" s="23"/>
      <c r="L84" s="92"/>
      <c r="M84" s="22"/>
      <c r="N84" s="90"/>
      <c r="O84" s="25"/>
      <c r="P84" s="300"/>
      <c r="Q84" s="23"/>
      <c r="R84" s="27"/>
      <c r="S84" s="86" t="str">
        <f t="shared" si="28"/>
        <v/>
      </c>
      <c r="T84" s="87" t="str">
        <f t="shared" si="29"/>
        <v/>
      </c>
      <c r="U84" s="87" t="str" cm="1">
        <f t="array" ref="U84">IF(AND(H84&lt;&gt;"YES",P84&lt;&gt;"",R84&lt;&gt;"",Q84&lt;&gt;""),
_xlfn.SWITCH(Q84,
"INR",_xlfn.SWITCH(R84,"KG",P84*S84,"CTN",P84,"UNIT",P84*N84,"NET",P84/M84,0),
"USD",_xlfn.SWITCH(R84,"KG",P84*S84*SI!$C$10,"CTN",P84*SI!$C$10,"UNIT",P84*N84*SI!$C$10,"NET",P84*SI!$C$10/M84,0),
"LKR",_xlfn.SWITCH(R84,"KG",P84*S84/SI!$C$9,"CTN",P84/SI!$C$9,"UNIT",P84*N84/SI!$C$9,"NET",P84/(M84*SI!$C$9),0),
0),
"")</f>
        <v/>
      </c>
      <c r="V84" s="87" t="str">
        <f t="shared" si="30"/>
        <v/>
      </c>
      <c r="W84" s="87" t="str">
        <f t="shared" si="31"/>
        <v/>
      </c>
      <c r="X84" s="88" t="str">
        <f t="shared" si="32"/>
        <v/>
      </c>
      <c r="Y84" s="24" t="str">
        <f t="shared" si="33"/>
        <v/>
      </c>
      <c r="Z84" s="267" t="str">
        <f>IF(AND(H84&lt;&gt;"yes",F84&lt;&gt;""),IFERROR(VLOOKUP(F84,DUTY_2025!A:F,5,FALSE),""),"")</f>
        <v/>
      </c>
      <c r="AA84" s="271" t="str">
        <f t="shared" si="34"/>
        <v/>
      </c>
      <c r="AB84" s="16" t="str">
        <f t="shared" si="35"/>
        <v/>
      </c>
      <c r="AC84" s="16" t="str">
        <f>IF(AA84&lt;&gt;"",ROUND(AA84*SI!$C$9,0),"")</f>
        <v/>
      </c>
      <c r="AD84" s="4" t="str">
        <f>IF(AC84&lt;&gt;"",ROUND(AC84/(SI!$C$9*SI!$C$10),2),"")</f>
        <v/>
      </c>
      <c r="AE84" s="30" t="str">
        <f>IF(AND(X84&lt;&gt;""), ROUND((SI!$E$23)*(X84/SUM($X$5:$X$493)),0),"")</f>
        <v/>
      </c>
      <c r="AF84" s="272" t="str">
        <f t="shared" si="36"/>
        <v/>
      </c>
      <c r="AG84" s="28" t="str">
        <f t="shared" si="37"/>
        <v/>
      </c>
      <c r="AH84" s="4" t="str">
        <f>IF(AD84&lt;&gt;"",ROUND(AD84*10*SI!$C$9/2,0),"")</f>
        <v/>
      </c>
      <c r="AI84" s="29" t="str">
        <f>IF(AND(X84&lt;&gt;""), ROUND((SI!$E$28)*(X84/SUM($X$5:$X$493)),0),"")</f>
        <v/>
      </c>
      <c r="AJ84" s="4" t="str">
        <f t="shared" si="38"/>
        <v/>
      </c>
      <c r="AK84" s="4" t="str">
        <f t="shared" si="39"/>
        <v/>
      </c>
      <c r="AL84" s="4" t="str">
        <f t="shared" si="40"/>
        <v/>
      </c>
      <c r="AM84" s="4" t="str">
        <f t="shared" si="41"/>
        <v/>
      </c>
      <c r="AN84" s="195" t="str">
        <f t="shared" si="42"/>
        <v/>
      </c>
      <c r="AO84" s="261" t="str">
        <f>IF(AND(AM84&lt;&gt;"",P84&lt;&gt;""),ROUND((AM84*((100+SI!$C$11)/100)),0),"")</f>
        <v/>
      </c>
      <c r="AP84" s="28" t="str">
        <f>IF(AG84&lt;&gt;"",ROUND(AG84/SI!$C$9,2),"")</f>
        <v/>
      </c>
      <c r="AQ84" s="4" t="str">
        <f>IF(AH84&lt;&gt;"",ROUND(AH84/SI!$C$9,2),"")</f>
        <v/>
      </c>
      <c r="AR84" s="29" t="str">
        <f>IF(AI84&lt;&gt;"",ROUND(AI84/SI!$C$9,2),"")</f>
        <v/>
      </c>
      <c r="AS84" s="4" t="str">
        <f t="shared" si="43"/>
        <v/>
      </c>
      <c r="AT84" s="4" t="str">
        <f t="shared" si="44"/>
        <v/>
      </c>
      <c r="AU84" s="4" t="str">
        <f>IF(AL84&lt;&gt;"",ROUND(AL84/SI!$C$9,2),"")</f>
        <v/>
      </c>
      <c r="AV84" s="4" t="str">
        <f>IF(AM84&lt;&gt;"",ROUND(AM84/SI!$C$9,2),"")</f>
        <v/>
      </c>
      <c r="AW84" s="4" t="str">
        <f>IF(AN84&lt;&gt;"",ROUND(AN84/SI!$C$9,2),"")</f>
        <v/>
      </c>
      <c r="AX84" s="261" t="str">
        <f>IF(AO84&lt;&gt;"",ROUND(AO84/SI!$C$9,2),"")</f>
        <v/>
      </c>
      <c r="AY84" s="28" t="str">
        <f t="shared" si="45"/>
        <v/>
      </c>
      <c r="AZ84" s="4" t="str">
        <f>IF(AY84&lt;&gt;"",ROUND(AY84/(SI!$C$9*SI!$C$10),2),"")</f>
        <v/>
      </c>
      <c r="BA84" s="4" t="str">
        <f t="shared" si="46"/>
        <v/>
      </c>
      <c r="BB84" s="4" t="str">
        <f t="shared" si="47"/>
        <v/>
      </c>
      <c r="BC84" s="4" t="str">
        <f t="shared" si="48"/>
        <v/>
      </c>
      <c r="BD84" s="4" t="str">
        <f t="shared" si="49"/>
        <v/>
      </c>
      <c r="BE84" s="4" t="str">
        <f>IF(AND(X84&lt;&gt;""),ROUND(X84/SI!$C$10,2),"")</f>
        <v/>
      </c>
      <c r="BF84" s="4" t="str">
        <f t="shared" si="51"/>
        <v/>
      </c>
      <c r="BG84" s="264" t="str">
        <f t="shared" si="50"/>
        <v/>
      </c>
      <c r="BH84" s="71" t="str">
        <f>IF(F84&lt;&gt;"",VLOOKUP(F84,DUTY_2025!A:O,15,FALSE),"")</f>
        <v/>
      </c>
    </row>
    <row r="85" spans="1:60" x14ac:dyDescent="0.25">
      <c r="A85" s="133">
        <f t="shared" si="26"/>
        <v>66</v>
      </c>
      <c r="B85" s="83" t="str">
        <f t="shared" si="27"/>
        <v/>
      </c>
      <c r="C85" s="126">
        <v>1</v>
      </c>
      <c r="D85" s="127"/>
      <c r="E85" s="91"/>
      <c r="F85" s="114"/>
      <c r="G85" s="27" t="str">
        <f>IF(F85&lt;&gt;"",IFERROR(VLOOKUP(F85,DUTY_2025!A:I,6,FALSE),""),"")</f>
        <v/>
      </c>
      <c r="H85" s="85" t="s">
        <v>133</v>
      </c>
      <c r="I85" s="27" t="str">
        <f>IF(F85&lt;&gt;"",IFERROR(VLOOKUP(F85,DUTY_2025!A:H,2,FALSE),""),"")</f>
        <v/>
      </c>
      <c r="J85" s="23"/>
      <c r="K85" s="23"/>
      <c r="L85" s="92"/>
      <c r="M85" s="22"/>
      <c r="N85" s="90"/>
      <c r="O85" s="25"/>
      <c r="P85" s="300"/>
      <c r="Q85" s="23"/>
      <c r="R85" s="27"/>
      <c r="S85" s="86" t="str">
        <f t="shared" si="28"/>
        <v/>
      </c>
      <c r="T85" s="87" t="str">
        <f t="shared" si="29"/>
        <v/>
      </c>
      <c r="U85" s="87" t="str" cm="1">
        <f t="array" ref="U85">IF(AND(H85&lt;&gt;"YES",P85&lt;&gt;"",R85&lt;&gt;"",Q85&lt;&gt;""),
_xlfn.SWITCH(Q85,
"INR",_xlfn.SWITCH(R85,"KG",P85*S85,"CTN",P85,"UNIT",P85*N85,"NET",P85/M85,0),
"USD",_xlfn.SWITCH(R85,"KG",P85*S85*SI!$C$10,"CTN",P85*SI!$C$10,"UNIT",P85*N85*SI!$C$10,"NET",P85*SI!$C$10/M85,0),
"LKR",_xlfn.SWITCH(R85,"KG",P85*S85/SI!$C$9,"CTN",P85/SI!$C$9,"UNIT",P85*N85/SI!$C$9,"NET",P85/(M85*SI!$C$9),0),
0),
"")</f>
        <v/>
      </c>
      <c r="V85" s="87" t="str">
        <f t="shared" si="30"/>
        <v/>
      </c>
      <c r="W85" s="87" t="str">
        <f t="shared" si="31"/>
        <v/>
      </c>
      <c r="X85" s="88" t="str">
        <f t="shared" si="32"/>
        <v/>
      </c>
      <c r="Y85" s="24" t="str">
        <f t="shared" si="33"/>
        <v/>
      </c>
      <c r="Z85" s="267" t="str">
        <f>IF(AND(H85&lt;&gt;"yes",F85&lt;&gt;""),IFERROR(VLOOKUP(F85,DUTY_2025!A:F,5,FALSE),""),"")</f>
        <v/>
      </c>
      <c r="AA85" s="271" t="str">
        <f t="shared" si="34"/>
        <v/>
      </c>
      <c r="AB85" s="16" t="str">
        <f t="shared" si="35"/>
        <v/>
      </c>
      <c r="AC85" s="16" t="str">
        <f>IF(AA85&lt;&gt;"",ROUND(AA85*SI!$C$9,0),"")</f>
        <v/>
      </c>
      <c r="AD85" s="4" t="str">
        <f>IF(AC85&lt;&gt;"",ROUND(AC85/(SI!$C$9*SI!$C$10),2),"")</f>
        <v/>
      </c>
      <c r="AE85" s="30" t="str">
        <f>IF(AND(X85&lt;&gt;""), ROUND((SI!$E$23)*(X85/SUM($X$5:$X$493)),0),"")</f>
        <v/>
      </c>
      <c r="AF85" s="272" t="str">
        <f t="shared" si="36"/>
        <v/>
      </c>
      <c r="AG85" s="28" t="str">
        <f t="shared" si="37"/>
        <v/>
      </c>
      <c r="AH85" s="4" t="str">
        <f>IF(AD85&lt;&gt;"",ROUND(AD85*10*SI!$C$9/2,0),"")</f>
        <v/>
      </c>
      <c r="AI85" s="29" t="str">
        <f>IF(AND(X85&lt;&gt;""), ROUND((SI!$E$28)*(X85/SUM($X$5:$X$493)),0),"")</f>
        <v/>
      </c>
      <c r="AJ85" s="4" t="str">
        <f t="shared" si="38"/>
        <v/>
      </c>
      <c r="AK85" s="4" t="str">
        <f t="shared" si="39"/>
        <v/>
      </c>
      <c r="AL85" s="4" t="str">
        <f t="shared" si="40"/>
        <v/>
      </c>
      <c r="AM85" s="4" t="str">
        <f t="shared" si="41"/>
        <v/>
      </c>
      <c r="AN85" s="195" t="str">
        <f t="shared" si="42"/>
        <v/>
      </c>
      <c r="AO85" s="261" t="str">
        <f>IF(AND(AM85&lt;&gt;"",P85&lt;&gt;""),ROUND((AM85*((100+SI!$C$11)/100)),0),"")</f>
        <v/>
      </c>
      <c r="AP85" s="28" t="str">
        <f>IF(AG85&lt;&gt;"",ROUND(AG85/SI!$C$9,2),"")</f>
        <v/>
      </c>
      <c r="AQ85" s="4" t="str">
        <f>IF(AH85&lt;&gt;"",ROUND(AH85/SI!$C$9,2),"")</f>
        <v/>
      </c>
      <c r="AR85" s="29" t="str">
        <f>IF(AI85&lt;&gt;"",ROUND(AI85/SI!$C$9,2),"")</f>
        <v/>
      </c>
      <c r="AS85" s="4" t="str">
        <f t="shared" si="43"/>
        <v/>
      </c>
      <c r="AT85" s="4" t="str">
        <f t="shared" si="44"/>
        <v/>
      </c>
      <c r="AU85" s="4" t="str">
        <f>IF(AL85&lt;&gt;"",ROUND(AL85/SI!$C$9,2),"")</f>
        <v/>
      </c>
      <c r="AV85" s="4" t="str">
        <f>IF(AM85&lt;&gt;"",ROUND(AM85/SI!$C$9,2),"")</f>
        <v/>
      </c>
      <c r="AW85" s="4" t="str">
        <f>IF(AN85&lt;&gt;"",ROUND(AN85/SI!$C$9,2),"")</f>
        <v/>
      </c>
      <c r="AX85" s="261" t="str">
        <f>IF(AO85&lt;&gt;"",ROUND(AO85/SI!$C$9,2),"")</f>
        <v/>
      </c>
      <c r="AY85" s="28" t="str">
        <f t="shared" si="45"/>
        <v/>
      </c>
      <c r="AZ85" s="4" t="str">
        <f>IF(AY85&lt;&gt;"",ROUND(AY85/(SI!$C$9*SI!$C$10),2),"")</f>
        <v/>
      </c>
      <c r="BA85" s="4" t="str">
        <f t="shared" si="46"/>
        <v/>
      </c>
      <c r="BB85" s="4" t="str">
        <f t="shared" si="47"/>
        <v/>
      </c>
      <c r="BC85" s="4" t="str">
        <f t="shared" si="48"/>
        <v/>
      </c>
      <c r="BD85" s="4" t="str">
        <f t="shared" si="49"/>
        <v/>
      </c>
      <c r="BE85" s="4" t="str">
        <f>IF(AND(X85&lt;&gt;""),ROUND(X85/SI!$C$10,2),"")</f>
        <v/>
      </c>
      <c r="BF85" s="4" t="str">
        <f t="shared" si="51"/>
        <v/>
      </c>
      <c r="BG85" s="264" t="str">
        <f t="shared" si="50"/>
        <v/>
      </c>
      <c r="BH85" s="71" t="str">
        <f>IF(F85&lt;&gt;"",VLOOKUP(F85,DUTY_2025!A:O,15,FALSE),"")</f>
        <v/>
      </c>
    </row>
    <row r="86" spans="1:60" x14ac:dyDescent="0.25">
      <c r="A86" s="133">
        <f t="shared" si="26"/>
        <v>66</v>
      </c>
      <c r="B86" s="83" t="str">
        <f t="shared" si="27"/>
        <v/>
      </c>
      <c r="C86" s="126">
        <v>1</v>
      </c>
      <c r="D86" s="127"/>
      <c r="E86" s="91"/>
      <c r="F86" s="114"/>
      <c r="G86" s="27" t="str">
        <f>IF(F86&lt;&gt;"",IFERROR(VLOOKUP(F86,DUTY_2025!A:I,6,FALSE),""),"")</f>
        <v/>
      </c>
      <c r="H86" s="85" t="s">
        <v>133</v>
      </c>
      <c r="I86" s="27" t="str">
        <f>IF(F86&lt;&gt;"",IFERROR(VLOOKUP(F86,DUTY_2025!A:H,2,FALSE),""),"")</f>
        <v/>
      </c>
      <c r="J86" s="23"/>
      <c r="K86" s="23"/>
      <c r="L86" s="92"/>
      <c r="M86" s="22"/>
      <c r="N86" s="90"/>
      <c r="O86" s="25"/>
      <c r="P86" s="116"/>
      <c r="Q86" s="23"/>
      <c r="R86" s="27"/>
      <c r="S86" s="86" t="str">
        <f t="shared" si="28"/>
        <v/>
      </c>
      <c r="T86" s="87" t="str">
        <f t="shared" si="29"/>
        <v/>
      </c>
      <c r="U86" s="87" t="str" cm="1">
        <f t="array" ref="U86">IF(AND(H86&lt;&gt;"YES",P86&lt;&gt;"",R86&lt;&gt;"",Q86&lt;&gt;""),
_xlfn.SWITCH(Q86,
"INR",_xlfn.SWITCH(R86,"KG",P86*S86,"CTN",P86,"UNIT",P86*N86,"NET",P86/M86,0),
"USD",_xlfn.SWITCH(R86,"KG",P86*S86*SI!$C$10,"CTN",P86*SI!$C$10,"UNIT",P86*N86*SI!$C$10,"NET",P86*SI!$C$10/M86,0),
"LKR",_xlfn.SWITCH(R86,"KG",P86*S86/SI!$C$9,"CTN",P86/SI!$C$9,"UNIT",P86*N86/SI!$C$9,"NET",P86/(M86*SI!$C$9),0),
0),
"")</f>
        <v/>
      </c>
      <c r="V86" s="87" t="str">
        <f t="shared" si="30"/>
        <v/>
      </c>
      <c r="W86" s="87" t="str">
        <f t="shared" si="31"/>
        <v/>
      </c>
      <c r="X86" s="88" t="str">
        <f t="shared" si="32"/>
        <v/>
      </c>
      <c r="Y86" s="24" t="str">
        <f t="shared" si="33"/>
        <v/>
      </c>
      <c r="Z86" s="267" t="str">
        <f>IF(AND(H86&lt;&gt;"yes",F86&lt;&gt;""),IFERROR(VLOOKUP(F86,DUTY_2025!A:F,5,FALSE),""),"")</f>
        <v/>
      </c>
      <c r="AA86" s="271" t="str">
        <f t="shared" si="34"/>
        <v/>
      </c>
      <c r="AB86" s="16" t="str">
        <f t="shared" si="35"/>
        <v/>
      </c>
      <c r="AC86" s="16" t="str">
        <f>IF(AA86&lt;&gt;"",ROUND(AA86*SI!$C$9,0),"")</f>
        <v/>
      </c>
      <c r="AD86" s="4" t="str">
        <f>IF(AC86&lt;&gt;"",ROUND(AC86/(SI!$C$9*SI!$C$10),2),"")</f>
        <v/>
      </c>
      <c r="AE86" s="30" t="str">
        <f>IF(AND(X86&lt;&gt;""), ROUND((SI!$E$23)*(X86/SUM($X$5:$X$493)),0),"")</f>
        <v/>
      </c>
      <c r="AF86" s="272" t="str">
        <f t="shared" si="36"/>
        <v/>
      </c>
      <c r="AG86" s="28" t="str">
        <f t="shared" si="37"/>
        <v/>
      </c>
      <c r="AH86" s="4" t="str">
        <f>IF(AD86&lt;&gt;"",ROUND(AD86*10*SI!$C$9/2,0),"")</f>
        <v/>
      </c>
      <c r="AI86" s="29" t="str">
        <f>IF(AND(X86&lt;&gt;""), ROUND((SI!$E$28)*(X86/SUM($X$5:$X$493)),0),"")</f>
        <v/>
      </c>
      <c r="AJ86" s="4" t="str">
        <f t="shared" si="38"/>
        <v/>
      </c>
      <c r="AK86" s="4" t="str">
        <f t="shared" si="39"/>
        <v/>
      </c>
      <c r="AL86" s="4" t="str">
        <f t="shared" si="40"/>
        <v/>
      </c>
      <c r="AM86" s="4" t="str">
        <f t="shared" si="41"/>
        <v/>
      </c>
      <c r="AN86" s="195" t="str">
        <f t="shared" si="42"/>
        <v/>
      </c>
      <c r="AO86" s="261" t="str">
        <f>IF(AND(AM86&lt;&gt;"",P86&lt;&gt;""),ROUND((AM86*((100+SI!$C$11)/100)),0),"")</f>
        <v/>
      </c>
      <c r="AP86" s="28" t="str">
        <f>IF(AG86&lt;&gt;"",ROUND(AG86/SI!$C$9,2),"")</f>
        <v/>
      </c>
      <c r="AQ86" s="4" t="str">
        <f>IF(AH86&lt;&gt;"",ROUND(AH86/SI!$C$9,2),"")</f>
        <v/>
      </c>
      <c r="AR86" s="29" t="str">
        <f>IF(AI86&lt;&gt;"",ROUND(AI86/SI!$C$9,2),"")</f>
        <v/>
      </c>
      <c r="AS86" s="4" t="str">
        <f t="shared" si="43"/>
        <v/>
      </c>
      <c r="AT86" s="4" t="str">
        <f t="shared" si="44"/>
        <v/>
      </c>
      <c r="AU86" s="4" t="str">
        <f>IF(AL86&lt;&gt;"",ROUND(AL86/SI!$C$9,2),"")</f>
        <v/>
      </c>
      <c r="AV86" s="4" t="str">
        <f>IF(AM86&lt;&gt;"",ROUND(AM86/SI!$C$9,2),"")</f>
        <v/>
      </c>
      <c r="AW86" s="4" t="str">
        <f>IF(AN86&lt;&gt;"",ROUND(AN86/SI!$C$9,2),"")</f>
        <v/>
      </c>
      <c r="AX86" s="261" t="str">
        <f>IF(AO86&lt;&gt;"",ROUND(AO86/SI!$C$9,2),"")</f>
        <v/>
      </c>
      <c r="AY86" s="28" t="str">
        <f t="shared" si="45"/>
        <v/>
      </c>
      <c r="AZ86" s="4" t="str">
        <f>IF(AY86&lt;&gt;"",ROUND(AY86/(SI!$C$9*SI!$C$10),2),"")</f>
        <v/>
      </c>
      <c r="BA86" s="4" t="str">
        <f t="shared" si="46"/>
        <v/>
      </c>
      <c r="BB86" s="4" t="str">
        <f t="shared" si="47"/>
        <v/>
      </c>
      <c r="BC86" s="4" t="str">
        <f t="shared" si="48"/>
        <v/>
      </c>
      <c r="BD86" s="4" t="str">
        <f t="shared" si="49"/>
        <v/>
      </c>
      <c r="BE86" s="4" t="str">
        <f>IF(AND(X86&lt;&gt;""),ROUND(X86/SI!$C$10,2),"")</f>
        <v/>
      </c>
      <c r="BF86" s="4" t="str">
        <f t="shared" si="51"/>
        <v/>
      </c>
      <c r="BG86" s="264" t="str">
        <f t="shared" si="50"/>
        <v/>
      </c>
      <c r="BH86" s="71" t="str">
        <f>IF(F86&lt;&gt;"",VLOOKUP(F86,DUTY_2025!A:O,15,FALSE),"")</f>
        <v/>
      </c>
    </row>
    <row r="87" spans="1:60" x14ac:dyDescent="0.25">
      <c r="A87" s="133">
        <f t="shared" si="26"/>
        <v>66</v>
      </c>
      <c r="B87" s="83" t="str">
        <f t="shared" si="27"/>
        <v/>
      </c>
      <c r="C87" s="126">
        <v>1</v>
      </c>
      <c r="D87" s="127"/>
      <c r="E87" s="91"/>
      <c r="F87" s="114"/>
      <c r="G87" s="27" t="str">
        <f>IF(F87&lt;&gt;"",IFERROR(VLOOKUP(F87,DUTY_2025!A:I,6,FALSE),""),"")</f>
        <v/>
      </c>
      <c r="H87" s="85" t="s">
        <v>133</v>
      </c>
      <c r="I87" s="27" t="str">
        <f>IF(F87&lt;&gt;"",IFERROR(VLOOKUP(F87,DUTY_2025!A:H,2,FALSE),""),"")</f>
        <v/>
      </c>
      <c r="J87" s="23"/>
      <c r="K87" s="23"/>
      <c r="L87" s="92"/>
      <c r="M87" s="22"/>
      <c r="N87" s="90"/>
      <c r="O87" s="25"/>
      <c r="P87" s="116"/>
      <c r="Q87" s="23"/>
      <c r="R87" s="27"/>
      <c r="S87" s="86" t="str">
        <f t="shared" si="28"/>
        <v/>
      </c>
      <c r="T87" s="87" t="str">
        <f t="shared" si="29"/>
        <v/>
      </c>
      <c r="U87" s="87" t="str" cm="1">
        <f t="array" ref="U87">IF(AND(H87&lt;&gt;"YES",P87&lt;&gt;"",R87&lt;&gt;"",Q87&lt;&gt;""),
_xlfn.SWITCH(Q87,
"INR",_xlfn.SWITCH(R87,"KG",P87*S87,"CTN",P87,"UNIT",P87*N87,"NET",P87/M87,0),
"USD",_xlfn.SWITCH(R87,"KG",P87*S87*SI!$C$10,"CTN",P87*SI!$C$10,"UNIT",P87*N87*SI!$C$10,"NET",P87*SI!$C$10/M87,0),
"LKR",_xlfn.SWITCH(R87,"KG",P87*S87/SI!$C$9,"CTN",P87/SI!$C$9,"UNIT",P87*N87/SI!$C$9,"NET",P87/(M87*SI!$C$9),0),
0),
"")</f>
        <v/>
      </c>
      <c r="V87" s="87" t="str">
        <f t="shared" si="30"/>
        <v/>
      </c>
      <c r="W87" s="87" t="str">
        <f t="shared" si="31"/>
        <v/>
      </c>
      <c r="X87" s="88" t="str">
        <f t="shared" si="32"/>
        <v/>
      </c>
      <c r="Y87" s="24" t="str">
        <f t="shared" si="33"/>
        <v/>
      </c>
      <c r="Z87" s="267" t="str">
        <f>IF(AND(H87&lt;&gt;"yes",F87&lt;&gt;""),IFERROR(VLOOKUP(F87,DUTY_2025!A:F,5,FALSE),""),"")</f>
        <v/>
      </c>
      <c r="AA87" s="271" t="str">
        <f t="shared" si="34"/>
        <v/>
      </c>
      <c r="AB87" s="16" t="str">
        <f t="shared" si="35"/>
        <v/>
      </c>
      <c r="AC87" s="16" t="str">
        <f>IF(AA87&lt;&gt;"",ROUND(AA87*SI!$C$9,0),"")</f>
        <v/>
      </c>
      <c r="AD87" s="4" t="str">
        <f>IF(AC87&lt;&gt;"",ROUND(AC87/(SI!$C$9*SI!$C$10),2),"")</f>
        <v/>
      </c>
      <c r="AE87" s="30" t="str">
        <f>IF(AND(X87&lt;&gt;""), ROUND((SI!$E$23)*(X87/SUM($X$5:$X$493)),0),"")</f>
        <v/>
      </c>
      <c r="AF87" s="272" t="str">
        <f t="shared" si="36"/>
        <v/>
      </c>
      <c r="AG87" s="28" t="str">
        <f t="shared" si="37"/>
        <v/>
      </c>
      <c r="AH87" s="4" t="str">
        <f>IF(AD87&lt;&gt;"",ROUND(AD87*10*SI!$C$9/2,0),"")</f>
        <v/>
      </c>
      <c r="AI87" s="29" t="str">
        <f>IF(AND(X87&lt;&gt;""), ROUND((SI!$E$28)*(X87/SUM($X$5:$X$493)),0),"")</f>
        <v/>
      </c>
      <c r="AJ87" s="4" t="str">
        <f t="shared" si="38"/>
        <v/>
      </c>
      <c r="AK87" s="4" t="str">
        <f t="shared" si="39"/>
        <v/>
      </c>
      <c r="AL87" s="4" t="str">
        <f t="shared" si="40"/>
        <v/>
      </c>
      <c r="AM87" s="4" t="str">
        <f t="shared" si="41"/>
        <v/>
      </c>
      <c r="AN87" s="195" t="str">
        <f t="shared" si="42"/>
        <v/>
      </c>
      <c r="AO87" s="261" t="str">
        <f>IF(AND(AM87&lt;&gt;"",P87&lt;&gt;""),ROUND((AM87*((100+SI!$C$11)/100)),0),"")</f>
        <v/>
      </c>
      <c r="AP87" s="28" t="str">
        <f>IF(AG87&lt;&gt;"",ROUND(AG87/SI!$C$9,2),"")</f>
        <v/>
      </c>
      <c r="AQ87" s="4" t="str">
        <f>IF(AH87&lt;&gt;"",ROUND(AH87/SI!$C$9,2),"")</f>
        <v/>
      </c>
      <c r="AR87" s="29" t="str">
        <f>IF(AI87&lt;&gt;"",ROUND(AI87/SI!$C$9,2),"")</f>
        <v/>
      </c>
      <c r="AS87" s="4" t="str">
        <f t="shared" si="43"/>
        <v/>
      </c>
      <c r="AT87" s="4" t="str">
        <f t="shared" si="44"/>
        <v/>
      </c>
      <c r="AU87" s="4" t="str">
        <f>IF(AL87&lt;&gt;"",ROUND(AL87/SI!$C$9,2),"")</f>
        <v/>
      </c>
      <c r="AV87" s="4" t="str">
        <f>IF(AM87&lt;&gt;"",ROUND(AM87/SI!$C$9,2),"")</f>
        <v/>
      </c>
      <c r="AW87" s="4" t="str">
        <f>IF(AN87&lt;&gt;"",ROUND(AN87/SI!$C$9,2),"")</f>
        <v/>
      </c>
      <c r="AX87" s="261" t="str">
        <f>IF(AO87&lt;&gt;"",ROUND(AO87/SI!$C$9,2),"")</f>
        <v/>
      </c>
      <c r="AY87" s="28" t="str">
        <f t="shared" si="45"/>
        <v/>
      </c>
      <c r="AZ87" s="4" t="str">
        <f>IF(AY87&lt;&gt;"",ROUND(AY87/(SI!$C$9*SI!$C$10),2),"")</f>
        <v/>
      </c>
      <c r="BA87" s="4" t="str">
        <f t="shared" si="46"/>
        <v/>
      </c>
      <c r="BB87" s="4" t="str">
        <f t="shared" si="47"/>
        <v/>
      </c>
      <c r="BC87" s="4" t="str">
        <f t="shared" si="48"/>
        <v/>
      </c>
      <c r="BD87" s="4" t="str">
        <f t="shared" si="49"/>
        <v/>
      </c>
      <c r="BE87" s="4" t="str">
        <f>IF(AND(X87&lt;&gt;""),ROUND(X87/SI!$C$10,2),"")</f>
        <v/>
      </c>
      <c r="BF87" s="4" t="str">
        <f t="shared" si="51"/>
        <v/>
      </c>
      <c r="BG87" s="264" t="str">
        <f t="shared" si="50"/>
        <v/>
      </c>
      <c r="BH87" s="71" t="str">
        <f>IF(F87&lt;&gt;"",VLOOKUP(F87,DUTY_2025!A:O,15,FALSE),"")</f>
        <v/>
      </c>
    </row>
    <row r="88" spans="1:60" x14ac:dyDescent="0.25">
      <c r="A88" s="133">
        <f t="shared" si="26"/>
        <v>66</v>
      </c>
      <c r="B88" s="83" t="str">
        <f t="shared" si="27"/>
        <v/>
      </c>
      <c r="C88" s="126">
        <v>1</v>
      </c>
      <c r="D88" s="127"/>
      <c r="E88" s="91"/>
      <c r="F88" s="114"/>
      <c r="G88" s="27" t="str">
        <f>IF(F88&lt;&gt;"",IFERROR(VLOOKUP(F88,DUTY_2025!A:I,6,FALSE),""),"")</f>
        <v/>
      </c>
      <c r="H88" s="85" t="s">
        <v>133</v>
      </c>
      <c r="I88" s="27" t="str">
        <f>IF(F88&lt;&gt;"",IFERROR(VLOOKUP(F88,DUTY_2025!A:H,2,FALSE),""),"")</f>
        <v/>
      </c>
      <c r="J88" s="23"/>
      <c r="K88" s="23"/>
      <c r="L88" s="92"/>
      <c r="M88" s="22"/>
      <c r="N88" s="90"/>
      <c r="O88" s="25"/>
      <c r="P88" s="116"/>
      <c r="Q88" s="23"/>
      <c r="R88" s="27"/>
      <c r="S88" s="86" t="str">
        <f t="shared" si="28"/>
        <v/>
      </c>
      <c r="T88" s="87" t="str">
        <f t="shared" si="29"/>
        <v/>
      </c>
      <c r="U88" s="87" t="str" cm="1">
        <f t="array" ref="U88">IF(AND(H88&lt;&gt;"YES",P88&lt;&gt;"",R88&lt;&gt;"",Q88&lt;&gt;""),
_xlfn.SWITCH(Q88,
"INR",_xlfn.SWITCH(R88,"KG",P88*S88,"CTN",P88,"UNIT",P88*N88,"NET",P88/M88,0),
"USD",_xlfn.SWITCH(R88,"KG",P88*S88*SI!$C$10,"CTN",P88*SI!$C$10,"UNIT",P88*N88*SI!$C$10,"NET",P88*SI!$C$10/M88,0),
"LKR",_xlfn.SWITCH(R88,"KG",P88*S88/SI!$C$9,"CTN",P88/SI!$C$9,"UNIT",P88*N88/SI!$C$9,"NET",P88/(M88*SI!$C$9),0),
0),
"")</f>
        <v/>
      </c>
      <c r="V88" s="87" t="str">
        <f t="shared" si="30"/>
        <v/>
      </c>
      <c r="W88" s="87" t="str">
        <f t="shared" si="31"/>
        <v/>
      </c>
      <c r="X88" s="88" t="str">
        <f t="shared" si="32"/>
        <v/>
      </c>
      <c r="Y88" s="24" t="str">
        <f t="shared" si="33"/>
        <v/>
      </c>
      <c r="Z88" s="267" t="str">
        <f>IF(AND(H88&lt;&gt;"yes",F88&lt;&gt;""),IFERROR(VLOOKUP(F88,DUTY_2025!A:F,5,FALSE),""),"")</f>
        <v/>
      </c>
      <c r="AA88" s="271" t="str">
        <f t="shared" si="34"/>
        <v/>
      </c>
      <c r="AB88" s="16" t="str">
        <f t="shared" si="35"/>
        <v/>
      </c>
      <c r="AC88" s="16" t="str">
        <f>IF(AA88&lt;&gt;"",ROUND(AA88*SI!$C$9,0),"")</f>
        <v/>
      </c>
      <c r="AD88" s="4" t="str">
        <f>IF(AC88&lt;&gt;"",ROUND(AC88/(SI!$C$9*SI!$C$10),2),"")</f>
        <v/>
      </c>
      <c r="AE88" s="30" t="str">
        <f>IF(AND(X88&lt;&gt;""), ROUND((SI!$E$23)*(X88/SUM($X$5:$X$493)),0),"")</f>
        <v/>
      </c>
      <c r="AF88" s="272" t="str">
        <f t="shared" si="36"/>
        <v/>
      </c>
      <c r="AG88" s="28" t="str">
        <f t="shared" si="37"/>
        <v/>
      </c>
      <c r="AH88" s="4" t="str">
        <f>IF(AD88&lt;&gt;"",ROUND(AD88*10*SI!$C$9/2,0),"")</f>
        <v/>
      </c>
      <c r="AI88" s="29" t="str">
        <f>IF(AND(X88&lt;&gt;""), ROUND((SI!$E$28)*(X88/SUM($X$5:$X$493)),0),"")</f>
        <v/>
      </c>
      <c r="AJ88" s="4" t="str">
        <f t="shared" si="38"/>
        <v/>
      </c>
      <c r="AK88" s="4" t="str">
        <f t="shared" si="39"/>
        <v/>
      </c>
      <c r="AL88" s="4" t="str">
        <f t="shared" si="40"/>
        <v/>
      </c>
      <c r="AM88" s="4" t="str">
        <f t="shared" si="41"/>
        <v/>
      </c>
      <c r="AN88" s="195" t="str">
        <f t="shared" si="42"/>
        <v/>
      </c>
      <c r="AO88" s="261" t="str">
        <f>IF(AND(AM88&lt;&gt;"",P88&lt;&gt;""),ROUND((AM88*((100+SI!$C$11)/100)),0),"")</f>
        <v/>
      </c>
      <c r="AP88" s="28" t="str">
        <f>IF(AG88&lt;&gt;"",ROUND(AG88/SI!$C$9,2),"")</f>
        <v/>
      </c>
      <c r="AQ88" s="4" t="str">
        <f>IF(AH88&lt;&gt;"",ROUND(AH88/SI!$C$9,2),"")</f>
        <v/>
      </c>
      <c r="AR88" s="29" t="str">
        <f>IF(AI88&lt;&gt;"",ROUND(AI88/SI!$C$9,2),"")</f>
        <v/>
      </c>
      <c r="AS88" s="4" t="str">
        <f t="shared" si="43"/>
        <v/>
      </c>
      <c r="AT88" s="4" t="str">
        <f t="shared" si="44"/>
        <v/>
      </c>
      <c r="AU88" s="4" t="str">
        <f>IF(AL88&lt;&gt;"",ROUND(AL88/SI!$C$9,2),"")</f>
        <v/>
      </c>
      <c r="AV88" s="4" t="str">
        <f>IF(AM88&lt;&gt;"",ROUND(AM88/SI!$C$9,2),"")</f>
        <v/>
      </c>
      <c r="AW88" s="4" t="str">
        <f>IF(AN88&lt;&gt;"",ROUND(AN88/SI!$C$9,2),"")</f>
        <v/>
      </c>
      <c r="AX88" s="261" t="str">
        <f>IF(AO88&lt;&gt;"",ROUND(AO88/SI!$C$9,2),"")</f>
        <v/>
      </c>
      <c r="AY88" s="28" t="str">
        <f t="shared" si="45"/>
        <v/>
      </c>
      <c r="AZ88" s="4" t="str">
        <f>IF(AY88&lt;&gt;"",ROUND(AY88/(SI!$C$9*SI!$C$10),2),"")</f>
        <v/>
      </c>
      <c r="BA88" s="4" t="str">
        <f t="shared" si="46"/>
        <v/>
      </c>
      <c r="BB88" s="4" t="str">
        <f t="shared" si="47"/>
        <v/>
      </c>
      <c r="BC88" s="4" t="str">
        <f t="shared" si="48"/>
        <v/>
      </c>
      <c r="BD88" s="4" t="str">
        <f t="shared" si="49"/>
        <v/>
      </c>
      <c r="BE88" s="4" t="str">
        <f>IF(AND(X88&lt;&gt;""),ROUND(X88/SI!$C$10,2),"")</f>
        <v/>
      </c>
      <c r="BF88" s="4" t="str">
        <f t="shared" si="51"/>
        <v/>
      </c>
      <c r="BG88" s="264" t="str">
        <f t="shared" si="50"/>
        <v/>
      </c>
      <c r="BH88" s="71" t="str">
        <f>IF(F88&lt;&gt;"",VLOOKUP(F88,DUTY_2025!A:O,15,FALSE),"")</f>
        <v/>
      </c>
    </row>
    <row r="89" spans="1:60" x14ac:dyDescent="0.25">
      <c r="A89" s="133">
        <f t="shared" si="26"/>
        <v>66</v>
      </c>
      <c r="B89" s="83" t="str">
        <f t="shared" si="27"/>
        <v/>
      </c>
      <c r="C89" s="126">
        <v>1</v>
      </c>
      <c r="D89" s="127"/>
      <c r="E89" s="91"/>
      <c r="F89" s="114"/>
      <c r="G89" s="27" t="str">
        <f>IF(F89&lt;&gt;"",IFERROR(VLOOKUP(F89,DUTY_2025!A:I,6,FALSE),""),"")</f>
        <v/>
      </c>
      <c r="H89" s="85" t="s">
        <v>133</v>
      </c>
      <c r="I89" s="27" t="str">
        <f>IF(F89&lt;&gt;"",IFERROR(VLOOKUP(F89,DUTY_2025!A:H,2,FALSE),""),"")</f>
        <v/>
      </c>
      <c r="J89" s="23"/>
      <c r="K89" s="23"/>
      <c r="L89" s="92"/>
      <c r="M89" s="22"/>
      <c r="N89" s="90"/>
      <c r="O89" s="25"/>
      <c r="P89" s="116"/>
      <c r="Q89" s="23"/>
      <c r="R89" s="27"/>
      <c r="S89" s="86" t="str">
        <f t="shared" si="28"/>
        <v/>
      </c>
      <c r="T89" s="87" t="str">
        <f t="shared" si="29"/>
        <v/>
      </c>
      <c r="U89" s="87" t="str" cm="1">
        <f t="array" ref="U89">IF(AND(H89&lt;&gt;"YES",P89&lt;&gt;"",R89&lt;&gt;"",Q89&lt;&gt;""),
_xlfn.SWITCH(Q89,
"INR",_xlfn.SWITCH(R89,"KG",P89*S89,"CTN",P89,"UNIT",P89*N89,"NET",P89/M89,0),
"USD",_xlfn.SWITCH(R89,"KG",P89*S89*SI!$C$10,"CTN",P89*SI!$C$10,"UNIT",P89*N89*SI!$C$10,"NET",P89*SI!$C$10/M89,0),
"LKR",_xlfn.SWITCH(R89,"KG",P89*S89/SI!$C$9,"CTN",P89/SI!$C$9,"UNIT",P89*N89/SI!$C$9,"NET",P89/(M89*SI!$C$9),0),
0),
"")</f>
        <v/>
      </c>
      <c r="V89" s="87" t="str">
        <f t="shared" si="30"/>
        <v/>
      </c>
      <c r="W89" s="87" t="str">
        <f t="shared" si="31"/>
        <v/>
      </c>
      <c r="X89" s="88" t="str">
        <f t="shared" si="32"/>
        <v/>
      </c>
      <c r="Y89" s="24" t="str">
        <f t="shared" si="33"/>
        <v/>
      </c>
      <c r="Z89" s="267" t="str">
        <f>IF(AND(H89&lt;&gt;"yes",F89&lt;&gt;""),IFERROR(VLOOKUP(F89,DUTY_2025!A:F,5,FALSE),""),"")</f>
        <v/>
      </c>
      <c r="AA89" s="271" t="str">
        <f t="shared" si="34"/>
        <v/>
      </c>
      <c r="AB89" s="16" t="str">
        <f t="shared" si="35"/>
        <v/>
      </c>
      <c r="AC89" s="16" t="str">
        <f>IF(AA89&lt;&gt;"",ROUND(AA89*SI!$C$9,0),"")</f>
        <v/>
      </c>
      <c r="AD89" s="4" t="str">
        <f>IF(AC89&lt;&gt;"",ROUND(AC89/(SI!$C$9*SI!$C$10),2),"")</f>
        <v/>
      </c>
      <c r="AE89" s="30" t="str">
        <f>IF(AND(X89&lt;&gt;""), ROUND((SI!$E$23)*(X89/SUM($X$5:$X$493)),0),"")</f>
        <v/>
      </c>
      <c r="AF89" s="272" t="str">
        <f t="shared" si="36"/>
        <v/>
      </c>
      <c r="AG89" s="28" t="str">
        <f t="shared" si="37"/>
        <v/>
      </c>
      <c r="AH89" s="4" t="str">
        <f>IF(AD89&lt;&gt;"",ROUND(AD89*10*SI!$C$9/2,0),"")</f>
        <v/>
      </c>
      <c r="AI89" s="29" t="str">
        <f>IF(AND(X89&lt;&gt;""), ROUND((SI!$E$28)*(X89/SUM($X$5:$X$493)),0),"")</f>
        <v/>
      </c>
      <c r="AJ89" s="4" t="str">
        <f t="shared" si="38"/>
        <v/>
      </c>
      <c r="AK89" s="4" t="str">
        <f t="shared" si="39"/>
        <v/>
      </c>
      <c r="AL89" s="4" t="str">
        <f t="shared" si="40"/>
        <v/>
      </c>
      <c r="AM89" s="4" t="str">
        <f t="shared" si="41"/>
        <v/>
      </c>
      <c r="AN89" s="195" t="str">
        <f t="shared" si="42"/>
        <v/>
      </c>
      <c r="AO89" s="261" t="str">
        <f>IF(AND(AM89&lt;&gt;"",P89&lt;&gt;""),ROUND((AM89*((100+SI!$C$11)/100)),0),"")</f>
        <v/>
      </c>
      <c r="AP89" s="28" t="str">
        <f>IF(AG89&lt;&gt;"",ROUND(AG89/SI!$C$9,2),"")</f>
        <v/>
      </c>
      <c r="AQ89" s="4" t="str">
        <f>IF(AH89&lt;&gt;"",ROUND(AH89/SI!$C$9,2),"")</f>
        <v/>
      </c>
      <c r="AR89" s="29" t="str">
        <f>IF(AI89&lt;&gt;"",ROUND(AI89/SI!$C$9,2),"")</f>
        <v/>
      </c>
      <c r="AS89" s="4" t="str">
        <f t="shared" si="43"/>
        <v/>
      </c>
      <c r="AT89" s="4" t="str">
        <f t="shared" si="44"/>
        <v/>
      </c>
      <c r="AU89" s="4" t="str">
        <f>IF(AL89&lt;&gt;"",ROUND(AL89/SI!$C$9,2),"")</f>
        <v/>
      </c>
      <c r="AV89" s="4" t="str">
        <f>IF(AM89&lt;&gt;"",ROUND(AM89/SI!$C$9,2),"")</f>
        <v/>
      </c>
      <c r="AW89" s="4" t="str">
        <f>IF(AN89&lt;&gt;"",ROUND(AN89/SI!$C$9,2),"")</f>
        <v/>
      </c>
      <c r="AX89" s="261" t="str">
        <f>IF(AO89&lt;&gt;"",ROUND(AO89/SI!$C$9,2),"")</f>
        <v/>
      </c>
      <c r="AY89" s="28" t="str">
        <f t="shared" si="45"/>
        <v/>
      </c>
      <c r="AZ89" s="4" t="str">
        <f>IF(AY89&lt;&gt;"",ROUND(AY89/(SI!$C$9*SI!$C$10),2),"")</f>
        <v/>
      </c>
      <c r="BA89" s="4" t="str">
        <f t="shared" si="46"/>
        <v/>
      </c>
      <c r="BB89" s="4" t="str">
        <f t="shared" si="47"/>
        <v/>
      </c>
      <c r="BC89" s="4" t="str">
        <f t="shared" si="48"/>
        <v/>
      </c>
      <c r="BD89" s="4" t="str">
        <f t="shared" si="49"/>
        <v/>
      </c>
      <c r="BE89" s="4" t="str">
        <f>IF(AND(X89&lt;&gt;""),ROUND(X89/SI!$C$10,2),"")</f>
        <v/>
      </c>
      <c r="BF89" s="4" t="str">
        <f t="shared" si="51"/>
        <v/>
      </c>
      <c r="BG89" s="264" t="str">
        <f t="shared" si="50"/>
        <v/>
      </c>
      <c r="BH89" s="71" t="str">
        <f>IF(F89&lt;&gt;"",VLOOKUP(F89,DUTY_2025!A:O,15,FALSE),"")</f>
        <v/>
      </c>
    </row>
    <row r="90" spans="1:60" x14ac:dyDescent="0.25">
      <c r="A90" s="133">
        <f t="shared" si="26"/>
        <v>66</v>
      </c>
      <c r="B90" s="83" t="str">
        <f t="shared" si="27"/>
        <v/>
      </c>
      <c r="C90" s="126">
        <v>1</v>
      </c>
      <c r="D90" s="127"/>
      <c r="E90" s="91"/>
      <c r="F90" s="114"/>
      <c r="G90" s="27" t="str">
        <f>IF(F90&lt;&gt;"",IFERROR(VLOOKUP(F90,DUTY_2025!A:I,6,FALSE),""),"")</f>
        <v/>
      </c>
      <c r="H90" s="85" t="s">
        <v>133</v>
      </c>
      <c r="I90" s="27" t="str">
        <f>IF(F90&lt;&gt;"",IFERROR(VLOOKUP(F90,DUTY_2025!A:H,2,FALSE),""),"")</f>
        <v/>
      </c>
      <c r="J90" s="23"/>
      <c r="K90" s="23"/>
      <c r="L90" s="92"/>
      <c r="M90" s="22"/>
      <c r="N90" s="90"/>
      <c r="O90" s="25"/>
      <c r="P90" s="116"/>
      <c r="Q90" s="23"/>
      <c r="R90" s="27"/>
      <c r="S90" s="86" t="str">
        <f t="shared" si="28"/>
        <v/>
      </c>
      <c r="T90" s="87" t="str">
        <f t="shared" si="29"/>
        <v/>
      </c>
      <c r="U90" s="87" t="str" cm="1">
        <f t="array" ref="U90">IF(AND(H90&lt;&gt;"YES",P90&lt;&gt;"",R90&lt;&gt;"",Q90&lt;&gt;""),
_xlfn.SWITCH(Q90,
"INR",_xlfn.SWITCH(R90,"KG",P90*S90,"CTN",P90,"UNIT",P90*N90,"NET",P90/M90,0),
"USD",_xlfn.SWITCH(R90,"KG",P90*S90*SI!$C$10,"CTN",P90*SI!$C$10,"UNIT",P90*N90*SI!$C$10,"NET",P90*SI!$C$10/M90,0),
"LKR",_xlfn.SWITCH(R90,"KG",P90*S90/SI!$C$9,"CTN",P90/SI!$C$9,"UNIT",P90*N90/SI!$C$9,"NET",P90/(M90*SI!$C$9),0),
0),
"")</f>
        <v/>
      </c>
      <c r="V90" s="87" t="str">
        <f t="shared" si="30"/>
        <v/>
      </c>
      <c r="W90" s="87" t="str">
        <f t="shared" si="31"/>
        <v/>
      </c>
      <c r="X90" s="88" t="str">
        <f t="shared" si="32"/>
        <v/>
      </c>
      <c r="Y90" s="24" t="str">
        <f t="shared" si="33"/>
        <v/>
      </c>
      <c r="Z90" s="267" t="str">
        <f>IF(AND(H90&lt;&gt;"yes",F90&lt;&gt;""),IFERROR(VLOOKUP(F90,DUTY_2025!A:F,5,FALSE),""),"")</f>
        <v/>
      </c>
      <c r="AA90" s="271" t="str">
        <f t="shared" si="34"/>
        <v/>
      </c>
      <c r="AB90" s="16" t="str">
        <f t="shared" si="35"/>
        <v/>
      </c>
      <c r="AC90" s="16" t="str">
        <f>IF(AA90&lt;&gt;"",ROUND(AA90*SI!$C$9,0),"")</f>
        <v/>
      </c>
      <c r="AD90" s="4" t="str">
        <f>IF(AC90&lt;&gt;"",ROUND(AC90/(SI!$C$9*SI!$C$10),2),"")</f>
        <v/>
      </c>
      <c r="AE90" s="30" t="str">
        <f>IF(AND(X90&lt;&gt;""), ROUND((SI!$E$23)*(X90/SUM($X$5:$X$493)),0),"")</f>
        <v/>
      </c>
      <c r="AF90" s="272" t="str">
        <f t="shared" si="36"/>
        <v/>
      </c>
      <c r="AG90" s="28" t="str">
        <f t="shared" si="37"/>
        <v/>
      </c>
      <c r="AH90" s="4" t="str">
        <f>IF(AD90&lt;&gt;"",ROUND(AD90*10*SI!$C$9/2,0),"")</f>
        <v/>
      </c>
      <c r="AI90" s="29" t="str">
        <f>IF(AND(X90&lt;&gt;""), ROUND((SI!$E$28)*(X90/SUM($X$5:$X$493)),0),"")</f>
        <v/>
      </c>
      <c r="AJ90" s="4" t="str">
        <f t="shared" si="38"/>
        <v/>
      </c>
      <c r="AK90" s="4" t="str">
        <f t="shared" si="39"/>
        <v/>
      </c>
      <c r="AL90" s="4" t="str">
        <f t="shared" si="40"/>
        <v/>
      </c>
      <c r="AM90" s="4" t="str">
        <f t="shared" si="41"/>
        <v/>
      </c>
      <c r="AN90" s="195" t="str">
        <f t="shared" si="42"/>
        <v/>
      </c>
      <c r="AO90" s="261" t="str">
        <f>IF(AND(AM90&lt;&gt;"",P90&lt;&gt;""),ROUND((AM90*((100+SI!$C$11)/100)),0),"")</f>
        <v/>
      </c>
      <c r="AP90" s="28" t="str">
        <f>IF(AG90&lt;&gt;"",ROUND(AG90/SI!$C$9,2),"")</f>
        <v/>
      </c>
      <c r="AQ90" s="4" t="str">
        <f>IF(AH90&lt;&gt;"",ROUND(AH90/SI!$C$9,2),"")</f>
        <v/>
      </c>
      <c r="AR90" s="29" t="str">
        <f>IF(AI90&lt;&gt;"",ROUND(AI90/SI!$C$9,2),"")</f>
        <v/>
      </c>
      <c r="AS90" s="4" t="str">
        <f t="shared" si="43"/>
        <v/>
      </c>
      <c r="AT90" s="4" t="str">
        <f t="shared" si="44"/>
        <v/>
      </c>
      <c r="AU90" s="4" t="str">
        <f>IF(AL90&lt;&gt;"",ROUND(AL90/SI!$C$9,2),"")</f>
        <v/>
      </c>
      <c r="AV90" s="4" t="str">
        <f>IF(AM90&lt;&gt;"",ROUND(AM90/SI!$C$9,2),"")</f>
        <v/>
      </c>
      <c r="AW90" s="4" t="str">
        <f>IF(AN90&lt;&gt;"",ROUND(AN90/SI!$C$9,2),"")</f>
        <v/>
      </c>
      <c r="AX90" s="261" t="str">
        <f>IF(AO90&lt;&gt;"",ROUND(AO90/SI!$C$9,2),"")</f>
        <v/>
      </c>
      <c r="AY90" s="28" t="str">
        <f t="shared" si="45"/>
        <v/>
      </c>
      <c r="AZ90" s="4" t="str">
        <f>IF(AY90&lt;&gt;"",ROUND(AY90/(SI!$C$9*SI!$C$10),2),"")</f>
        <v/>
      </c>
      <c r="BA90" s="4" t="str">
        <f t="shared" si="46"/>
        <v/>
      </c>
      <c r="BB90" s="4" t="str">
        <f t="shared" si="47"/>
        <v/>
      </c>
      <c r="BC90" s="4" t="str">
        <f t="shared" si="48"/>
        <v/>
      </c>
      <c r="BD90" s="4" t="str">
        <f t="shared" si="49"/>
        <v/>
      </c>
      <c r="BE90" s="4" t="str">
        <f>IF(AND(X90&lt;&gt;""),ROUND(X90/SI!$C$10,2),"")</f>
        <v/>
      </c>
      <c r="BF90" s="4" t="str">
        <f t="shared" si="51"/>
        <v/>
      </c>
      <c r="BG90" s="264" t="str">
        <f t="shared" si="50"/>
        <v/>
      </c>
      <c r="BH90" s="71" t="str">
        <f>IF(F90&lt;&gt;"",VLOOKUP(F90,DUTY_2025!A:O,15,FALSE),"")</f>
        <v/>
      </c>
    </row>
    <row r="91" spans="1:60" x14ac:dyDescent="0.25">
      <c r="A91" s="133">
        <f t="shared" si="26"/>
        <v>66</v>
      </c>
      <c r="B91" s="83" t="str">
        <f t="shared" si="27"/>
        <v/>
      </c>
      <c r="C91" s="126">
        <v>1</v>
      </c>
      <c r="D91" s="127"/>
      <c r="E91" s="91"/>
      <c r="F91" s="114"/>
      <c r="G91" s="27" t="str">
        <f>IF(F91&lt;&gt;"",IFERROR(VLOOKUP(F91,DUTY_2025!A:I,6,FALSE),""),"")</f>
        <v/>
      </c>
      <c r="H91" s="85" t="s">
        <v>133</v>
      </c>
      <c r="I91" s="27" t="str">
        <f>IF(F91&lt;&gt;"",IFERROR(VLOOKUP(F91,DUTY_2025!A:H,2,FALSE),""),"")</f>
        <v/>
      </c>
      <c r="J91" s="23"/>
      <c r="K91" s="23"/>
      <c r="L91" s="92"/>
      <c r="M91" s="22"/>
      <c r="N91" s="90"/>
      <c r="O91" s="25"/>
      <c r="P91" s="116"/>
      <c r="Q91" s="23"/>
      <c r="R91" s="27"/>
      <c r="S91" s="86" t="str">
        <f t="shared" si="28"/>
        <v/>
      </c>
      <c r="T91" s="87" t="str">
        <f t="shared" si="29"/>
        <v/>
      </c>
      <c r="U91" s="87" t="str" cm="1">
        <f t="array" ref="U91">IF(AND(H91&lt;&gt;"YES",P91&lt;&gt;"",R91&lt;&gt;"",Q91&lt;&gt;""),
_xlfn.SWITCH(Q91,
"INR",_xlfn.SWITCH(R91,"KG",P91*S91,"CTN",P91,"UNIT",P91*N91,"NET",P91/M91,0),
"USD",_xlfn.SWITCH(R91,"KG",P91*S91*SI!$C$10,"CTN",P91*SI!$C$10,"UNIT",P91*N91*SI!$C$10,"NET",P91*SI!$C$10/M91,0),
"LKR",_xlfn.SWITCH(R91,"KG",P91*S91/SI!$C$9,"CTN",P91/SI!$C$9,"UNIT",P91*N91/SI!$C$9,"NET",P91/(M91*SI!$C$9),0),
0),
"")</f>
        <v/>
      </c>
      <c r="V91" s="87" t="str">
        <f t="shared" si="30"/>
        <v/>
      </c>
      <c r="W91" s="87" t="str">
        <f t="shared" si="31"/>
        <v/>
      </c>
      <c r="X91" s="88" t="str">
        <f t="shared" si="32"/>
        <v/>
      </c>
      <c r="Y91" s="24" t="str">
        <f t="shared" si="33"/>
        <v/>
      </c>
      <c r="Z91" s="267" t="str">
        <f>IF(AND(H91&lt;&gt;"yes",F91&lt;&gt;""),IFERROR(VLOOKUP(F91,DUTY_2025!A:F,5,FALSE),""),"")</f>
        <v/>
      </c>
      <c r="AA91" s="271" t="str">
        <f t="shared" si="34"/>
        <v/>
      </c>
      <c r="AB91" s="16" t="str">
        <f t="shared" si="35"/>
        <v/>
      </c>
      <c r="AC91" s="16" t="str">
        <f>IF(AA91&lt;&gt;"",ROUND(AA91*SI!$C$9,0),"")</f>
        <v/>
      </c>
      <c r="AD91" s="4" t="str">
        <f>IF(AC91&lt;&gt;"",ROUND(AC91/(SI!$C$9*SI!$C$10),2),"")</f>
        <v/>
      </c>
      <c r="AE91" s="30" t="str">
        <f>IF(AND(X91&lt;&gt;""), ROUND((SI!$E$23)*(X91/SUM($X$5:$X$493)),0),"")</f>
        <v/>
      </c>
      <c r="AF91" s="272" t="str">
        <f t="shared" si="36"/>
        <v/>
      </c>
      <c r="AG91" s="28" t="str">
        <f t="shared" si="37"/>
        <v/>
      </c>
      <c r="AH91" s="4" t="str">
        <f>IF(AD91&lt;&gt;"",ROUND(AD91*10*SI!$C$9/2,0),"")</f>
        <v/>
      </c>
      <c r="AI91" s="29" t="str">
        <f>IF(AND(X91&lt;&gt;""), ROUND((SI!$E$28)*(X91/SUM($X$5:$X$493)),0),"")</f>
        <v/>
      </c>
      <c r="AJ91" s="4" t="str">
        <f t="shared" si="38"/>
        <v/>
      </c>
      <c r="AK91" s="4" t="str">
        <f t="shared" si="39"/>
        <v/>
      </c>
      <c r="AL91" s="4" t="str">
        <f t="shared" si="40"/>
        <v/>
      </c>
      <c r="AM91" s="4" t="str">
        <f t="shared" si="41"/>
        <v/>
      </c>
      <c r="AN91" s="195" t="str">
        <f t="shared" si="42"/>
        <v/>
      </c>
      <c r="AO91" s="261" t="str">
        <f>IF(AND(AM91&lt;&gt;"",P91&lt;&gt;""),ROUND((AM91*((100+SI!$C$11)/100)),0),"")</f>
        <v/>
      </c>
      <c r="AP91" s="28" t="str">
        <f>IF(AG91&lt;&gt;"",ROUND(AG91/SI!$C$9,2),"")</f>
        <v/>
      </c>
      <c r="AQ91" s="4" t="str">
        <f>IF(AH91&lt;&gt;"",ROUND(AH91/SI!$C$9,2),"")</f>
        <v/>
      </c>
      <c r="AR91" s="29" t="str">
        <f>IF(AI91&lt;&gt;"",ROUND(AI91/SI!$C$9,2),"")</f>
        <v/>
      </c>
      <c r="AS91" s="4" t="str">
        <f t="shared" si="43"/>
        <v/>
      </c>
      <c r="AT91" s="4" t="str">
        <f t="shared" si="44"/>
        <v/>
      </c>
      <c r="AU91" s="4" t="str">
        <f>IF(AL91&lt;&gt;"",ROUND(AL91/SI!$C$9,2),"")</f>
        <v/>
      </c>
      <c r="AV91" s="4" t="str">
        <f>IF(AM91&lt;&gt;"",ROUND(AM91/SI!$C$9,2),"")</f>
        <v/>
      </c>
      <c r="AW91" s="4" t="str">
        <f>IF(AN91&lt;&gt;"",ROUND(AN91/SI!$C$9,2),"")</f>
        <v/>
      </c>
      <c r="AX91" s="261" t="str">
        <f>IF(AO91&lt;&gt;"",ROUND(AO91/SI!$C$9,2),"")</f>
        <v/>
      </c>
      <c r="AY91" s="28" t="str">
        <f t="shared" si="45"/>
        <v/>
      </c>
      <c r="AZ91" s="4" t="str">
        <f>IF(AY91&lt;&gt;"",ROUND(AY91/(SI!$C$9*SI!$C$10),2),"")</f>
        <v/>
      </c>
      <c r="BA91" s="4" t="str">
        <f t="shared" si="46"/>
        <v/>
      </c>
      <c r="BB91" s="4" t="str">
        <f t="shared" si="47"/>
        <v/>
      </c>
      <c r="BC91" s="4" t="str">
        <f t="shared" si="48"/>
        <v/>
      </c>
      <c r="BD91" s="4" t="str">
        <f t="shared" si="49"/>
        <v/>
      </c>
      <c r="BE91" s="4" t="str">
        <f>IF(AND(X91&lt;&gt;""),ROUND(X91/SI!$C$10,2),"")</f>
        <v/>
      </c>
      <c r="BF91" s="4" t="str">
        <f t="shared" si="51"/>
        <v/>
      </c>
      <c r="BG91" s="264" t="str">
        <f t="shared" si="50"/>
        <v/>
      </c>
      <c r="BH91" s="71" t="str">
        <f>IF(F91&lt;&gt;"",VLOOKUP(F91,DUTY_2025!A:O,15,FALSE),"")</f>
        <v/>
      </c>
    </row>
    <row r="92" spans="1:60" x14ac:dyDescent="0.25">
      <c r="A92" s="133">
        <f t="shared" si="26"/>
        <v>66</v>
      </c>
      <c r="B92" s="83" t="str">
        <f t="shared" si="27"/>
        <v/>
      </c>
      <c r="C92" s="126">
        <v>1</v>
      </c>
      <c r="D92" s="127"/>
      <c r="E92" s="91"/>
      <c r="F92" s="114"/>
      <c r="G92" s="27" t="str">
        <f>IF(F92&lt;&gt;"",IFERROR(VLOOKUP(F92,DUTY_2025!A:I,6,FALSE),""),"")</f>
        <v/>
      </c>
      <c r="H92" s="85" t="s">
        <v>133</v>
      </c>
      <c r="I92" s="27" t="str">
        <f>IF(F92&lt;&gt;"",IFERROR(VLOOKUP(F92,DUTY_2025!A:H,2,FALSE),""),"")</f>
        <v/>
      </c>
      <c r="J92" s="23"/>
      <c r="K92" s="23"/>
      <c r="L92" s="92"/>
      <c r="M92" s="22"/>
      <c r="N92" s="90"/>
      <c r="O92" s="25"/>
      <c r="P92" s="116"/>
      <c r="Q92" s="23"/>
      <c r="R92" s="27"/>
      <c r="S92" s="86" t="str">
        <f t="shared" si="28"/>
        <v/>
      </c>
      <c r="T92" s="87" t="str">
        <f t="shared" si="29"/>
        <v/>
      </c>
      <c r="U92" s="87" t="str" cm="1">
        <f t="array" ref="U92">IF(AND(H92&lt;&gt;"YES",P92&lt;&gt;"",R92&lt;&gt;"",Q92&lt;&gt;""),
_xlfn.SWITCH(Q92,
"INR",_xlfn.SWITCH(R92,"KG",P92*S92,"CTN",P92,"UNIT",P92*N92,"NET",P92/M92,0),
"USD",_xlfn.SWITCH(R92,"KG",P92*S92*SI!$C$10,"CTN",P92*SI!$C$10,"UNIT",P92*N92*SI!$C$10,"NET",P92*SI!$C$10/M92,0),
"LKR",_xlfn.SWITCH(R92,"KG",P92*S92/SI!$C$9,"CTN",P92/SI!$C$9,"UNIT",P92*N92/SI!$C$9,"NET",P92/(M92*SI!$C$9),0),
0),
"")</f>
        <v/>
      </c>
      <c r="V92" s="87" t="str">
        <f t="shared" si="30"/>
        <v/>
      </c>
      <c r="W92" s="87" t="str">
        <f t="shared" si="31"/>
        <v/>
      </c>
      <c r="X92" s="88" t="str">
        <f t="shared" si="32"/>
        <v/>
      </c>
      <c r="Y92" s="24" t="str">
        <f t="shared" si="33"/>
        <v/>
      </c>
      <c r="Z92" s="267" t="str">
        <f>IF(AND(H92&lt;&gt;"yes",F92&lt;&gt;""),IFERROR(VLOOKUP(F92,DUTY_2025!A:F,5,FALSE),""),"")</f>
        <v/>
      </c>
      <c r="AA92" s="271" t="str">
        <f t="shared" si="34"/>
        <v/>
      </c>
      <c r="AB92" s="16" t="str">
        <f t="shared" si="35"/>
        <v/>
      </c>
      <c r="AC92" s="16" t="str">
        <f>IF(AA92&lt;&gt;"",ROUND(AA92*SI!$C$9,0),"")</f>
        <v/>
      </c>
      <c r="AD92" s="4" t="str">
        <f>IF(AC92&lt;&gt;"",ROUND(AC92/(SI!$C$9*SI!$C$10),2),"")</f>
        <v/>
      </c>
      <c r="AE92" s="30" t="str">
        <f>IF(AND(X92&lt;&gt;""), ROUND((SI!$E$23)*(X92/SUM($X$5:$X$493)),0),"")</f>
        <v/>
      </c>
      <c r="AF92" s="272" t="str">
        <f t="shared" si="36"/>
        <v/>
      </c>
      <c r="AG92" s="28" t="str">
        <f t="shared" si="37"/>
        <v/>
      </c>
      <c r="AH92" s="4" t="str">
        <f>IF(AD92&lt;&gt;"",ROUND(AD92*10*SI!$C$9/2,0),"")</f>
        <v/>
      </c>
      <c r="AI92" s="29" t="str">
        <f>IF(AND(X92&lt;&gt;""), ROUND((SI!$E$28)*(X92/SUM($X$5:$X$493)),0),"")</f>
        <v/>
      </c>
      <c r="AJ92" s="4" t="str">
        <f t="shared" si="38"/>
        <v/>
      </c>
      <c r="AK92" s="4" t="str">
        <f t="shared" si="39"/>
        <v/>
      </c>
      <c r="AL92" s="4" t="str">
        <f t="shared" si="40"/>
        <v/>
      </c>
      <c r="AM92" s="4" t="str">
        <f t="shared" si="41"/>
        <v/>
      </c>
      <c r="AN92" s="195" t="str">
        <f t="shared" si="42"/>
        <v/>
      </c>
      <c r="AO92" s="261" t="str">
        <f>IF(AND(AM92&lt;&gt;"",P92&lt;&gt;""),ROUND((AM92*((100+SI!$C$11)/100)),0),"")</f>
        <v/>
      </c>
      <c r="AP92" s="28" t="str">
        <f>IF(AG92&lt;&gt;"",ROUND(AG92/SI!$C$9,2),"")</f>
        <v/>
      </c>
      <c r="AQ92" s="4" t="str">
        <f>IF(AH92&lt;&gt;"",ROUND(AH92/SI!$C$9,2),"")</f>
        <v/>
      </c>
      <c r="AR92" s="29" t="str">
        <f>IF(AI92&lt;&gt;"",ROUND(AI92/SI!$C$9,2),"")</f>
        <v/>
      </c>
      <c r="AS92" s="4" t="str">
        <f t="shared" si="43"/>
        <v/>
      </c>
      <c r="AT92" s="4" t="str">
        <f t="shared" si="44"/>
        <v/>
      </c>
      <c r="AU92" s="4" t="str">
        <f>IF(AL92&lt;&gt;"",ROUND(AL92/SI!$C$9,2),"")</f>
        <v/>
      </c>
      <c r="AV92" s="4" t="str">
        <f>IF(AM92&lt;&gt;"",ROUND(AM92/SI!$C$9,2),"")</f>
        <v/>
      </c>
      <c r="AW92" s="4" t="str">
        <f>IF(AN92&lt;&gt;"",ROUND(AN92/SI!$C$9,2),"")</f>
        <v/>
      </c>
      <c r="AX92" s="261" t="str">
        <f>IF(AO92&lt;&gt;"",ROUND(AO92/SI!$C$9,2),"")</f>
        <v/>
      </c>
      <c r="AY92" s="28" t="str">
        <f t="shared" si="45"/>
        <v/>
      </c>
      <c r="AZ92" s="4" t="str">
        <f>IF(AY92&lt;&gt;"",ROUND(AY92/(SI!$C$9*SI!$C$10),2),"")</f>
        <v/>
      </c>
      <c r="BA92" s="4" t="str">
        <f t="shared" si="46"/>
        <v/>
      </c>
      <c r="BB92" s="4" t="str">
        <f t="shared" si="47"/>
        <v/>
      </c>
      <c r="BC92" s="4" t="str">
        <f t="shared" si="48"/>
        <v/>
      </c>
      <c r="BD92" s="4" t="str">
        <f t="shared" si="49"/>
        <v/>
      </c>
      <c r="BE92" s="4" t="str">
        <f>IF(AND(X92&lt;&gt;""),ROUND(X92/SI!$C$10,2),"")</f>
        <v/>
      </c>
      <c r="BF92" s="4" t="str">
        <f t="shared" si="51"/>
        <v/>
      </c>
      <c r="BG92" s="264" t="str">
        <f t="shared" si="50"/>
        <v/>
      </c>
      <c r="BH92" s="71" t="str">
        <f>IF(F92&lt;&gt;"",VLOOKUP(F92,DUTY_2025!A:O,15,FALSE),"")</f>
        <v/>
      </c>
    </row>
    <row r="93" spans="1:60" x14ac:dyDescent="0.25">
      <c r="A93" s="133">
        <f t="shared" si="26"/>
        <v>66</v>
      </c>
      <c r="B93" s="83" t="str">
        <f t="shared" si="27"/>
        <v/>
      </c>
      <c r="C93" s="126">
        <v>1</v>
      </c>
      <c r="D93" s="127"/>
      <c r="E93" s="91"/>
      <c r="F93" s="114"/>
      <c r="G93" s="27" t="str">
        <f>IF(F93&lt;&gt;"",IFERROR(VLOOKUP(F93,DUTY_2025!A:I,6,FALSE),""),"")</f>
        <v/>
      </c>
      <c r="H93" s="85" t="s">
        <v>133</v>
      </c>
      <c r="I93" s="27" t="str">
        <f>IF(F93&lt;&gt;"",IFERROR(VLOOKUP(F93,DUTY_2025!A:H,2,FALSE),""),"")</f>
        <v/>
      </c>
      <c r="J93" s="23"/>
      <c r="K93" s="23"/>
      <c r="L93" s="92"/>
      <c r="M93" s="22"/>
      <c r="N93" s="90"/>
      <c r="O93" s="25"/>
      <c r="P93" s="116"/>
      <c r="Q93" s="23"/>
      <c r="R93" s="27"/>
      <c r="S93" s="86" t="str">
        <f t="shared" si="28"/>
        <v/>
      </c>
      <c r="T93" s="87" t="str">
        <f t="shared" si="29"/>
        <v/>
      </c>
      <c r="U93" s="87" t="str" cm="1">
        <f t="array" ref="U93">IF(AND(H93&lt;&gt;"YES",P93&lt;&gt;"",R93&lt;&gt;"",Q93&lt;&gt;""),
_xlfn.SWITCH(Q93,
"INR",_xlfn.SWITCH(R93,"KG",P93*S93,"CTN",P93,"UNIT",P93*N93,"NET",P93/M93,0),
"USD",_xlfn.SWITCH(R93,"KG",P93*S93*SI!$C$10,"CTN",P93*SI!$C$10,"UNIT",P93*N93*SI!$C$10,"NET",P93*SI!$C$10/M93,0),
"LKR",_xlfn.SWITCH(R93,"KG",P93*S93/SI!$C$9,"CTN",P93/SI!$C$9,"UNIT",P93*N93/SI!$C$9,"NET",P93/(M93*SI!$C$9),0),
0),
"")</f>
        <v/>
      </c>
      <c r="V93" s="87" t="str">
        <f t="shared" si="30"/>
        <v/>
      </c>
      <c r="W93" s="87" t="str">
        <f t="shared" si="31"/>
        <v/>
      </c>
      <c r="X93" s="88" t="str">
        <f t="shared" si="32"/>
        <v/>
      </c>
      <c r="Y93" s="24" t="str">
        <f t="shared" si="33"/>
        <v/>
      </c>
      <c r="Z93" s="267" t="str">
        <f>IF(AND(H93&lt;&gt;"yes",F93&lt;&gt;""),IFERROR(VLOOKUP(F93,DUTY_2025!A:F,5,FALSE),""),"")</f>
        <v/>
      </c>
      <c r="AA93" s="271" t="str">
        <f t="shared" si="34"/>
        <v/>
      </c>
      <c r="AB93" s="16" t="str">
        <f t="shared" si="35"/>
        <v/>
      </c>
      <c r="AC93" s="16" t="str">
        <f>IF(AA93&lt;&gt;"",ROUND(AA93*SI!$C$9,0),"")</f>
        <v/>
      </c>
      <c r="AD93" s="4" t="str">
        <f>IF(AC93&lt;&gt;"",ROUND(AC93/(SI!$C$9*SI!$C$10),2),"")</f>
        <v/>
      </c>
      <c r="AE93" s="30" t="str">
        <f>IF(AND(X93&lt;&gt;""), ROUND((SI!$E$23)*(X93/SUM($X$5:$X$493)),0),"")</f>
        <v/>
      </c>
      <c r="AF93" s="272" t="str">
        <f t="shared" si="36"/>
        <v/>
      </c>
      <c r="AG93" s="28" t="str">
        <f t="shared" si="37"/>
        <v/>
      </c>
      <c r="AH93" s="4" t="str">
        <f>IF(AD93&lt;&gt;"",ROUND(AD93*10*SI!$C$9/2,0),"")</f>
        <v/>
      </c>
      <c r="AI93" s="29" t="str">
        <f>IF(AND(X93&lt;&gt;""), ROUND((SI!$E$28)*(X93/SUM($X$5:$X$493)),0),"")</f>
        <v/>
      </c>
      <c r="AJ93" s="4" t="str">
        <f t="shared" si="38"/>
        <v/>
      </c>
      <c r="AK93" s="4" t="str">
        <f t="shared" si="39"/>
        <v/>
      </c>
      <c r="AL93" s="4" t="str">
        <f t="shared" si="40"/>
        <v/>
      </c>
      <c r="AM93" s="4" t="str">
        <f t="shared" si="41"/>
        <v/>
      </c>
      <c r="AN93" s="195" t="str">
        <f t="shared" si="42"/>
        <v/>
      </c>
      <c r="AO93" s="261" t="str">
        <f>IF(AND(AM93&lt;&gt;"",P93&lt;&gt;""),ROUND((AM93*((100+SI!$C$11)/100)),0),"")</f>
        <v/>
      </c>
      <c r="AP93" s="28" t="str">
        <f>IF(AG93&lt;&gt;"",ROUND(AG93/SI!$C$9,2),"")</f>
        <v/>
      </c>
      <c r="AQ93" s="4" t="str">
        <f>IF(AH93&lt;&gt;"",ROUND(AH93/SI!$C$9,2),"")</f>
        <v/>
      </c>
      <c r="AR93" s="29" t="str">
        <f>IF(AI93&lt;&gt;"",ROUND(AI93/SI!$C$9,2),"")</f>
        <v/>
      </c>
      <c r="AS93" s="4" t="str">
        <f t="shared" si="43"/>
        <v/>
      </c>
      <c r="AT93" s="4" t="str">
        <f t="shared" si="44"/>
        <v/>
      </c>
      <c r="AU93" s="4" t="str">
        <f>IF(AL93&lt;&gt;"",ROUND(AL93/SI!$C$9,2),"")</f>
        <v/>
      </c>
      <c r="AV93" s="4" t="str">
        <f>IF(AM93&lt;&gt;"",ROUND(AM93/SI!$C$9,2),"")</f>
        <v/>
      </c>
      <c r="AW93" s="4" t="str">
        <f>IF(AN93&lt;&gt;"",ROUND(AN93/SI!$C$9,2),"")</f>
        <v/>
      </c>
      <c r="AX93" s="261" t="str">
        <f>IF(AO93&lt;&gt;"",ROUND(AO93/SI!$C$9,2),"")</f>
        <v/>
      </c>
      <c r="AY93" s="28" t="str">
        <f t="shared" si="45"/>
        <v/>
      </c>
      <c r="AZ93" s="4" t="str">
        <f>IF(AY93&lt;&gt;"",ROUND(AY93/(SI!$C$9*SI!$C$10),2),"")</f>
        <v/>
      </c>
      <c r="BA93" s="4" t="str">
        <f t="shared" si="46"/>
        <v/>
      </c>
      <c r="BB93" s="4" t="str">
        <f t="shared" si="47"/>
        <v/>
      </c>
      <c r="BC93" s="4" t="str">
        <f t="shared" si="48"/>
        <v/>
      </c>
      <c r="BD93" s="4" t="str">
        <f t="shared" si="49"/>
        <v/>
      </c>
      <c r="BE93" s="4" t="str">
        <f>IF(AND(X93&lt;&gt;""),ROUND(X93/SI!$C$10,2),"")</f>
        <v/>
      </c>
      <c r="BF93" s="4" t="str">
        <f t="shared" si="51"/>
        <v/>
      </c>
      <c r="BG93" s="264" t="str">
        <f t="shared" si="50"/>
        <v/>
      </c>
      <c r="BH93" s="71" t="str">
        <f>IF(F93&lt;&gt;"",VLOOKUP(F93,DUTY_2025!A:O,15,FALSE),"")</f>
        <v/>
      </c>
    </row>
    <row r="94" spans="1:60" x14ac:dyDescent="0.25">
      <c r="A94" s="133">
        <f t="shared" si="26"/>
        <v>66</v>
      </c>
      <c r="B94" s="83" t="str">
        <f t="shared" si="27"/>
        <v/>
      </c>
      <c r="C94" s="126">
        <v>1</v>
      </c>
      <c r="D94" s="127"/>
      <c r="E94" s="91"/>
      <c r="F94" s="114"/>
      <c r="G94" s="27" t="str">
        <f>IF(F94&lt;&gt;"",IFERROR(VLOOKUP(F94,DUTY_2025!A:I,6,FALSE),""),"")</f>
        <v/>
      </c>
      <c r="H94" s="85" t="s">
        <v>133</v>
      </c>
      <c r="I94" s="27" t="str">
        <f>IF(F94&lt;&gt;"",IFERROR(VLOOKUP(F94,DUTY_2025!A:H,2,FALSE),""),"")</f>
        <v/>
      </c>
      <c r="J94" s="23"/>
      <c r="K94" s="23"/>
      <c r="L94" s="92"/>
      <c r="M94" s="22"/>
      <c r="N94" s="90"/>
      <c r="O94" s="25"/>
      <c r="P94" s="116"/>
      <c r="Q94" s="23"/>
      <c r="R94" s="27"/>
      <c r="S94" s="86" t="str">
        <f t="shared" si="28"/>
        <v/>
      </c>
      <c r="T94" s="87" t="str">
        <f t="shared" si="29"/>
        <v/>
      </c>
      <c r="U94" s="87" t="str" cm="1">
        <f t="array" ref="U94">IF(AND(H94&lt;&gt;"YES",P94&lt;&gt;"",R94&lt;&gt;"",Q94&lt;&gt;""),
_xlfn.SWITCH(Q94,
"INR",_xlfn.SWITCH(R94,"KG",P94*S94,"CTN",P94,"UNIT",P94*N94,"NET",P94/M94,0),
"USD",_xlfn.SWITCH(R94,"KG",P94*S94*SI!$C$10,"CTN",P94*SI!$C$10,"UNIT",P94*N94*SI!$C$10,"NET",P94*SI!$C$10/M94,0),
"LKR",_xlfn.SWITCH(R94,"KG",P94*S94/SI!$C$9,"CTN",P94/SI!$C$9,"UNIT",P94*N94/SI!$C$9,"NET",P94/(M94*SI!$C$9),0),
0),
"")</f>
        <v/>
      </c>
      <c r="V94" s="87" t="str">
        <f t="shared" si="30"/>
        <v/>
      </c>
      <c r="W94" s="87" t="str">
        <f t="shared" si="31"/>
        <v/>
      </c>
      <c r="X94" s="88" t="str">
        <f t="shared" si="32"/>
        <v/>
      </c>
      <c r="Y94" s="24" t="str">
        <f t="shared" si="33"/>
        <v/>
      </c>
      <c r="Z94" s="267" t="str">
        <f>IF(AND(H94&lt;&gt;"yes",F94&lt;&gt;""),IFERROR(VLOOKUP(F94,DUTY_2025!A:F,5,FALSE),""),"")</f>
        <v/>
      </c>
      <c r="AA94" s="271" t="str">
        <f t="shared" si="34"/>
        <v/>
      </c>
      <c r="AB94" s="16" t="str">
        <f t="shared" si="35"/>
        <v/>
      </c>
      <c r="AC94" s="16" t="str">
        <f>IF(AA94&lt;&gt;"",ROUND(AA94*SI!$C$9,0),"")</f>
        <v/>
      </c>
      <c r="AD94" s="4" t="str">
        <f>IF(AC94&lt;&gt;"",ROUND(AC94/(SI!$C$9*SI!$C$10),2),"")</f>
        <v/>
      </c>
      <c r="AE94" s="30" t="str">
        <f>IF(AND(X94&lt;&gt;""), ROUND((SI!$E$23)*(X94/SUM($X$5:$X$493)),0),"")</f>
        <v/>
      </c>
      <c r="AF94" s="272" t="str">
        <f t="shared" si="36"/>
        <v/>
      </c>
      <c r="AG94" s="28" t="str">
        <f t="shared" si="37"/>
        <v/>
      </c>
      <c r="AH94" s="4" t="str">
        <f>IF(AD94&lt;&gt;"",ROUND(AD94*10*SI!$C$9/2,0),"")</f>
        <v/>
      </c>
      <c r="AI94" s="29" t="str">
        <f>IF(AND(X94&lt;&gt;""), ROUND((SI!$E$28)*(X94/SUM($X$5:$X$493)),0),"")</f>
        <v/>
      </c>
      <c r="AJ94" s="4" t="str">
        <f t="shared" si="38"/>
        <v/>
      </c>
      <c r="AK94" s="4" t="str">
        <f t="shared" si="39"/>
        <v/>
      </c>
      <c r="AL94" s="4" t="str">
        <f t="shared" si="40"/>
        <v/>
      </c>
      <c r="AM94" s="4" t="str">
        <f t="shared" si="41"/>
        <v/>
      </c>
      <c r="AN94" s="195" t="str">
        <f t="shared" si="42"/>
        <v/>
      </c>
      <c r="AO94" s="261" t="str">
        <f>IF(AND(AM94&lt;&gt;"",P94&lt;&gt;""),ROUND((AM94*((100+SI!$C$11)/100)),0),"")</f>
        <v/>
      </c>
      <c r="AP94" s="28" t="str">
        <f>IF(AG94&lt;&gt;"",ROUND(AG94/SI!$C$9,2),"")</f>
        <v/>
      </c>
      <c r="AQ94" s="4" t="str">
        <f>IF(AH94&lt;&gt;"",ROUND(AH94/SI!$C$9,2),"")</f>
        <v/>
      </c>
      <c r="AR94" s="29" t="str">
        <f>IF(AI94&lt;&gt;"",ROUND(AI94/SI!$C$9,2),"")</f>
        <v/>
      </c>
      <c r="AS94" s="4" t="str">
        <f t="shared" si="43"/>
        <v/>
      </c>
      <c r="AT94" s="4" t="str">
        <f t="shared" si="44"/>
        <v/>
      </c>
      <c r="AU94" s="4" t="str">
        <f>IF(AL94&lt;&gt;"",ROUND(AL94/SI!$C$9,2),"")</f>
        <v/>
      </c>
      <c r="AV94" s="4" t="str">
        <f>IF(AM94&lt;&gt;"",ROUND(AM94/SI!$C$9,2),"")</f>
        <v/>
      </c>
      <c r="AW94" s="4" t="str">
        <f>IF(AN94&lt;&gt;"",ROUND(AN94/SI!$C$9,2),"")</f>
        <v/>
      </c>
      <c r="AX94" s="261" t="str">
        <f>IF(AO94&lt;&gt;"",ROUND(AO94/SI!$C$9,2),"")</f>
        <v/>
      </c>
      <c r="AY94" s="28" t="str">
        <f t="shared" si="45"/>
        <v/>
      </c>
      <c r="AZ94" s="4" t="str">
        <f>IF(AY94&lt;&gt;"",ROUND(AY94/(SI!$C$9*SI!$C$10),2),"")</f>
        <v/>
      </c>
      <c r="BA94" s="4" t="str">
        <f t="shared" si="46"/>
        <v/>
      </c>
      <c r="BB94" s="4" t="str">
        <f t="shared" si="47"/>
        <v/>
      </c>
      <c r="BC94" s="4" t="str">
        <f t="shared" si="48"/>
        <v/>
      </c>
      <c r="BD94" s="4" t="str">
        <f t="shared" si="49"/>
        <v/>
      </c>
      <c r="BE94" s="4" t="str">
        <f>IF(AND(X94&lt;&gt;""),ROUND(X94/SI!$C$10,2),"")</f>
        <v/>
      </c>
      <c r="BF94" s="4" t="str">
        <f t="shared" si="51"/>
        <v/>
      </c>
      <c r="BG94" s="264" t="str">
        <f t="shared" si="50"/>
        <v/>
      </c>
      <c r="BH94" s="71" t="str">
        <f>IF(F94&lt;&gt;"",VLOOKUP(F94,DUTY_2025!A:O,15,FALSE),"")</f>
        <v/>
      </c>
    </row>
    <row r="95" spans="1:60" x14ac:dyDescent="0.25">
      <c r="A95" s="133">
        <f t="shared" si="26"/>
        <v>66</v>
      </c>
      <c r="B95" s="83" t="str">
        <f t="shared" si="27"/>
        <v/>
      </c>
      <c r="C95" s="126">
        <v>1</v>
      </c>
      <c r="D95" s="127"/>
      <c r="E95" s="91"/>
      <c r="F95" s="114"/>
      <c r="G95" s="27" t="str">
        <f>IF(F95&lt;&gt;"",IFERROR(VLOOKUP(F95,DUTY_2025!A:I,6,FALSE),""),"")</f>
        <v/>
      </c>
      <c r="H95" s="85" t="s">
        <v>133</v>
      </c>
      <c r="I95" s="27" t="str">
        <f>IF(F95&lt;&gt;"",IFERROR(VLOOKUP(F95,DUTY_2025!A:H,2,FALSE),""),"")</f>
        <v/>
      </c>
      <c r="J95" s="23"/>
      <c r="K95" s="23"/>
      <c r="L95" s="92"/>
      <c r="M95" s="22"/>
      <c r="N95" s="90"/>
      <c r="O95" s="25"/>
      <c r="P95" s="116"/>
      <c r="Q95" s="23"/>
      <c r="R95" s="27"/>
      <c r="S95" s="86" t="str">
        <f t="shared" si="28"/>
        <v/>
      </c>
      <c r="T95" s="87" t="str">
        <f t="shared" si="29"/>
        <v/>
      </c>
      <c r="U95" s="87" t="str" cm="1">
        <f t="array" ref="U95">IF(AND(H95&lt;&gt;"YES",P95&lt;&gt;"",R95&lt;&gt;"",Q95&lt;&gt;""),
_xlfn.SWITCH(Q95,
"INR",_xlfn.SWITCH(R95,"KG",P95*S95,"CTN",P95,"UNIT",P95*N95,"NET",P95/M95,0),
"USD",_xlfn.SWITCH(R95,"KG",P95*S95*SI!$C$10,"CTN",P95*SI!$C$10,"UNIT",P95*N95*SI!$C$10,"NET",P95*SI!$C$10/M95,0),
"LKR",_xlfn.SWITCH(R95,"KG",P95*S95/SI!$C$9,"CTN",P95/SI!$C$9,"UNIT",P95*N95/SI!$C$9,"NET",P95/(M95*SI!$C$9),0),
0),
"")</f>
        <v/>
      </c>
      <c r="V95" s="87" t="str">
        <f t="shared" si="30"/>
        <v/>
      </c>
      <c r="W95" s="87" t="str">
        <f t="shared" si="31"/>
        <v/>
      </c>
      <c r="X95" s="88" t="str">
        <f t="shared" si="32"/>
        <v/>
      </c>
      <c r="Y95" s="24" t="str">
        <f t="shared" si="33"/>
        <v/>
      </c>
      <c r="Z95" s="267" t="str">
        <f>IF(AND(H95&lt;&gt;"yes",F95&lt;&gt;""),IFERROR(VLOOKUP(F95,DUTY_2025!A:F,5,FALSE),""),"")</f>
        <v/>
      </c>
      <c r="AA95" s="271" t="str">
        <f t="shared" si="34"/>
        <v/>
      </c>
      <c r="AB95" s="16" t="str">
        <f t="shared" si="35"/>
        <v/>
      </c>
      <c r="AC95" s="16" t="str">
        <f>IF(AA95&lt;&gt;"",ROUND(AA95*SI!$C$9,0),"")</f>
        <v/>
      </c>
      <c r="AD95" s="4" t="str">
        <f>IF(AC95&lt;&gt;"",ROUND(AC95/(SI!$C$9*SI!$C$10),2),"")</f>
        <v/>
      </c>
      <c r="AE95" s="30" t="str">
        <f>IF(AND(X95&lt;&gt;""), ROUND((SI!$E$23)*(X95/SUM($X$5:$X$493)),0),"")</f>
        <v/>
      </c>
      <c r="AF95" s="272" t="str">
        <f t="shared" si="36"/>
        <v/>
      </c>
      <c r="AG95" s="28" t="str">
        <f t="shared" si="37"/>
        <v/>
      </c>
      <c r="AH95" s="4" t="str">
        <f>IF(AD95&lt;&gt;"",ROUND(AD95*10*SI!$C$9/2,0),"")</f>
        <v/>
      </c>
      <c r="AI95" s="29" t="str">
        <f>IF(AND(X95&lt;&gt;""), ROUND((SI!$E$28)*(X95/SUM($X$5:$X$493)),0),"")</f>
        <v/>
      </c>
      <c r="AJ95" s="4" t="str">
        <f t="shared" si="38"/>
        <v/>
      </c>
      <c r="AK95" s="4" t="str">
        <f t="shared" si="39"/>
        <v/>
      </c>
      <c r="AL95" s="4" t="str">
        <f t="shared" si="40"/>
        <v/>
      </c>
      <c r="AM95" s="4" t="str">
        <f t="shared" si="41"/>
        <v/>
      </c>
      <c r="AN95" s="195" t="str">
        <f t="shared" si="42"/>
        <v/>
      </c>
      <c r="AO95" s="261" t="str">
        <f>IF(AND(AM95&lt;&gt;"",P95&lt;&gt;""),ROUND((AM95*((100+SI!$C$11)/100)),0),"")</f>
        <v/>
      </c>
      <c r="AP95" s="28" t="str">
        <f>IF(AG95&lt;&gt;"",ROUND(AG95/SI!$C$9,2),"")</f>
        <v/>
      </c>
      <c r="AQ95" s="4" t="str">
        <f>IF(AH95&lt;&gt;"",ROUND(AH95/SI!$C$9,2),"")</f>
        <v/>
      </c>
      <c r="AR95" s="29" t="str">
        <f>IF(AI95&lt;&gt;"",ROUND(AI95/SI!$C$9,2),"")</f>
        <v/>
      </c>
      <c r="AS95" s="4" t="str">
        <f t="shared" si="43"/>
        <v/>
      </c>
      <c r="AT95" s="4" t="str">
        <f t="shared" si="44"/>
        <v/>
      </c>
      <c r="AU95" s="4" t="str">
        <f>IF(AL95&lt;&gt;"",ROUND(AL95/SI!$C$9,2),"")</f>
        <v/>
      </c>
      <c r="AV95" s="4" t="str">
        <f>IF(AM95&lt;&gt;"",ROUND(AM95/SI!$C$9,2),"")</f>
        <v/>
      </c>
      <c r="AW95" s="4" t="str">
        <f>IF(AN95&lt;&gt;"",ROUND(AN95/SI!$C$9,2),"")</f>
        <v/>
      </c>
      <c r="AX95" s="261" t="str">
        <f>IF(AO95&lt;&gt;"",ROUND(AO95/SI!$C$9,2),"")</f>
        <v/>
      </c>
      <c r="AY95" s="28" t="str">
        <f t="shared" si="45"/>
        <v/>
      </c>
      <c r="AZ95" s="4" t="str">
        <f>IF(AY95&lt;&gt;"",ROUND(AY95/(SI!$C$9*SI!$C$10),2),"")</f>
        <v/>
      </c>
      <c r="BA95" s="4" t="str">
        <f t="shared" si="46"/>
        <v/>
      </c>
      <c r="BB95" s="4" t="str">
        <f t="shared" si="47"/>
        <v/>
      </c>
      <c r="BC95" s="4" t="str">
        <f t="shared" si="48"/>
        <v/>
      </c>
      <c r="BD95" s="4" t="str">
        <f t="shared" si="49"/>
        <v/>
      </c>
      <c r="BE95" s="4" t="str">
        <f>IF(AND(X95&lt;&gt;""),ROUND(X95/SI!$C$10,2),"")</f>
        <v/>
      </c>
      <c r="BF95" s="4" t="str">
        <f t="shared" si="51"/>
        <v/>
      </c>
      <c r="BG95" s="264" t="str">
        <f t="shared" si="50"/>
        <v/>
      </c>
      <c r="BH95" s="71" t="str">
        <f>IF(F95&lt;&gt;"",VLOOKUP(F95,DUTY_2025!A:O,15,FALSE),"")</f>
        <v/>
      </c>
    </row>
    <row r="96" spans="1:60" x14ac:dyDescent="0.25">
      <c r="A96" s="133">
        <f t="shared" si="26"/>
        <v>66</v>
      </c>
      <c r="B96" s="83" t="str">
        <f t="shared" si="27"/>
        <v/>
      </c>
      <c r="C96" s="126">
        <v>1</v>
      </c>
      <c r="D96" s="127"/>
      <c r="E96" s="91"/>
      <c r="F96" s="114"/>
      <c r="G96" s="27" t="str">
        <f>IF(F96&lt;&gt;"",IFERROR(VLOOKUP(F96,DUTY_2025!A:I,6,FALSE),""),"")</f>
        <v/>
      </c>
      <c r="H96" s="85" t="s">
        <v>133</v>
      </c>
      <c r="I96" s="27" t="str">
        <f>IF(F96&lt;&gt;"",IFERROR(VLOOKUP(F96,DUTY_2025!A:H,2,FALSE),""),"")</f>
        <v/>
      </c>
      <c r="J96" s="23"/>
      <c r="K96" s="23"/>
      <c r="L96" s="92"/>
      <c r="M96" s="22"/>
      <c r="N96" s="90"/>
      <c r="O96" s="25"/>
      <c r="P96" s="116"/>
      <c r="Q96" s="23"/>
      <c r="R96" s="27"/>
      <c r="S96" s="86" t="str">
        <f t="shared" si="28"/>
        <v/>
      </c>
      <c r="T96" s="87" t="str">
        <f t="shared" si="29"/>
        <v/>
      </c>
      <c r="U96" s="87" t="str" cm="1">
        <f t="array" ref="U96">IF(AND(H96&lt;&gt;"YES",P96&lt;&gt;"",R96&lt;&gt;"",Q96&lt;&gt;""),
_xlfn.SWITCH(Q96,
"INR",_xlfn.SWITCH(R96,"KG",P96*S96,"CTN",P96,"UNIT",P96*N96,"NET",P96/M96,0),
"USD",_xlfn.SWITCH(R96,"KG",P96*S96*SI!$C$10,"CTN",P96*SI!$C$10,"UNIT",P96*N96*SI!$C$10,"NET",P96*SI!$C$10/M96,0),
"LKR",_xlfn.SWITCH(R96,"KG",P96*S96/SI!$C$9,"CTN",P96/SI!$C$9,"UNIT",P96*N96/SI!$C$9,"NET",P96/(M96*SI!$C$9),0),
0),
"")</f>
        <v/>
      </c>
      <c r="V96" s="87" t="str">
        <f t="shared" si="30"/>
        <v/>
      </c>
      <c r="W96" s="87" t="str">
        <f t="shared" si="31"/>
        <v/>
      </c>
      <c r="X96" s="88" t="str">
        <f t="shared" si="32"/>
        <v/>
      </c>
      <c r="Y96" s="24" t="str">
        <f t="shared" si="33"/>
        <v/>
      </c>
      <c r="Z96" s="267" t="str">
        <f>IF(AND(H96&lt;&gt;"yes",F96&lt;&gt;""),IFERROR(VLOOKUP(F96,DUTY_2025!A:F,5,FALSE),""),"")</f>
        <v/>
      </c>
      <c r="AA96" s="271" t="str">
        <f t="shared" si="34"/>
        <v/>
      </c>
      <c r="AB96" s="16" t="str">
        <f t="shared" si="35"/>
        <v/>
      </c>
      <c r="AC96" s="16" t="str">
        <f>IF(AA96&lt;&gt;"",ROUND(AA96*SI!$C$9,0),"")</f>
        <v/>
      </c>
      <c r="AD96" s="4" t="str">
        <f>IF(AC96&lt;&gt;"",ROUND(AC96/(SI!$C$9*SI!$C$10),2),"")</f>
        <v/>
      </c>
      <c r="AE96" s="30" t="str">
        <f>IF(AND(X96&lt;&gt;""), ROUND((SI!$E$23)*(X96/SUM($X$5:$X$493)),0),"")</f>
        <v/>
      </c>
      <c r="AF96" s="272" t="str">
        <f t="shared" si="36"/>
        <v/>
      </c>
      <c r="AG96" s="28" t="str">
        <f t="shared" si="37"/>
        <v/>
      </c>
      <c r="AH96" s="4" t="str">
        <f>IF(AD96&lt;&gt;"",ROUND(AD96*10*SI!$C$9/2,0),"")</f>
        <v/>
      </c>
      <c r="AI96" s="29" t="str">
        <f>IF(AND(X96&lt;&gt;""), ROUND((SI!$E$28)*(X96/SUM($X$5:$X$493)),0),"")</f>
        <v/>
      </c>
      <c r="AJ96" s="4" t="str">
        <f t="shared" si="38"/>
        <v/>
      </c>
      <c r="AK96" s="4" t="str">
        <f t="shared" si="39"/>
        <v/>
      </c>
      <c r="AL96" s="4" t="str">
        <f t="shared" si="40"/>
        <v/>
      </c>
      <c r="AM96" s="4" t="str">
        <f t="shared" si="41"/>
        <v/>
      </c>
      <c r="AN96" s="195" t="str">
        <f t="shared" si="42"/>
        <v/>
      </c>
      <c r="AO96" s="261" t="str">
        <f>IF(AND(AM96&lt;&gt;"",P96&lt;&gt;""),ROUND((AM96*((100+SI!$C$11)/100)),0),"")</f>
        <v/>
      </c>
      <c r="AP96" s="28" t="str">
        <f>IF(AG96&lt;&gt;"",ROUND(AG96/SI!$C$9,2),"")</f>
        <v/>
      </c>
      <c r="AQ96" s="4" t="str">
        <f>IF(AH96&lt;&gt;"",ROUND(AH96/SI!$C$9,2),"")</f>
        <v/>
      </c>
      <c r="AR96" s="29" t="str">
        <f>IF(AI96&lt;&gt;"",ROUND(AI96/SI!$C$9,2),"")</f>
        <v/>
      </c>
      <c r="AS96" s="4" t="str">
        <f t="shared" si="43"/>
        <v/>
      </c>
      <c r="AT96" s="4" t="str">
        <f t="shared" si="44"/>
        <v/>
      </c>
      <c r="AU96" s="4" t="str">
        <f>IF(AL96&lt;&gt;"",ROUND(AL96/SI!$C$9,2),"")</f>
        <v/>
      </c>
      <c r="AV96" s="4" t="str">
        <f>IF(AM96&lt;&gt;"",ROUND(AM96/SI!$C$9,2),"")</f>
        <v/>
      </c>
      <c r="AW96" s="4" t="str">
        <f>IF(AN96&lt;&gt;"",ROUND(AN96/SI!$C$9,2),"")</f>
        <v/>
      </c>
      <c r="AX96" s="261" t="str">
        <f>IF(AO96&lt;&gt;"",ROUND(AO96/SI!$C$9,2),"")</f>
        <v/>
      </c>
      <c r="AY96" s="28" t="str">
        <f t="shared" si="45"/>
        <v/>
      </c>
      <c r="AZ96" s="4" t="str">
        <f>IF(AY96&lt;&gt;"",ROUND(AY96/(SI!$C$9*SI!$C$10),2),"")</f>
        <v/>
      </c>
      <c r="BA96" s="4" t="str">
        <f t="shared" si="46"/>
        <v/>
      </c>
      <c r="BB96" s="4" t="str">
        <f t="shared" si="47"/>
        <v/>
      </c>
      <c r="BC96" s="4" t="str">
        <f t="shared" si="48"/>
        <v/>
      </c>
      <c r="BD96" s="4" t="str">
        <f t="shared" si="49"/>
        <v/>
      </c>
      <c r="BE96" s="4" t="str">
        <f>IF(AND(X96&lt;&gt;""),ROUND(X96/SI!$C$10,2),"")</f>
        <v/>
      </c>
      <c r="BF96" s="4" t="str">
        <f t="shared" si="51"/>
        <v/>
      </c>
      <c r="BG96" s="264" t="str">
        <f t="shared" si="50"/>
        <v/>
      </c>
      <c r="BH96" s="71" t="str">
        <f>IF(F96&lt;&gt;"",VLOOKUP(F96,DUTY_2025!A:O,15,FALSE),"")</f>
        <v/>
      </c>
    </row>
    <row r="97" spans="1:60" x14ac:dyDescent="0.25">
      <c r="A97" s="133">
        <f t="shared" si="26"/>
        <v>66</v>
      </c>
      <c r="B97" s="83" t="str">
        <f t="shared" si="27"/>
        <v/>
      </c>
      <c r="C97" s="126">
        <v>1</v>
      </c>
      <c r="D97" s="127"/>
      <c r="E97" s="91"/>
      <c r="F97" s="114"/>
      <c r="G97" s="27" t="str">
        <f>IF(F97&lt;&gt;"",IFERROR(VLOOKUP(F97,DUTY_2025!A:I,6,FALSE),""),"")</f>
        <v/>
      </c>
      <c r="H97" s="85" t="s">
        <v>133</v>
      </c>
      <c r="I97" s="27" t="str">
        <f>IF(F97&lt;&gt;"",IFERROR(VLOOKUP(F97,DUTY_2025!A:H,2,FALSE),""),"")</f>
        <v/>
      </c>
      <c r="J97" s="23"/>
      <c r="K97" s="23"/>
      <c r="L97" s="90"/>
      <c r="M97" s="22"/>
      <c r="N97" s="90"/>
      <c r="O97" s="25"/>
      <c r="P97" s="116"/>
      <c r="Q97" s="23"/>
      <c r="R97" s="27"/>
      <c r="S97" s="86" t="str">
        <f t="shared" si="28"/>
        <v/>
      </c>
      <c r="T97" s="87" t="str">
        <f t="shared" si="29"/>
        <v/>
      </c>
      <c r="U97" s="87" t="str" cm="1">
        <f t="array" ref="U97">IF(AND(H97&lt;&gt;"YES",P97&lt;&gt;"",R97&lt;&gt;"",Q97&lt;&gt;""),
_xlfn.SWITCH(Q97,
"INR",_xlfn.SWITCH(R97,"KG",P97*S97,"CTN",P97,"UNIT",P97*N97,"NET",P97/M97,0),
"USD",_xlfn.SWITCH(R97,"KG",P97*S97*SI!$C$10,"CTN",P97*SI!$C$10,"UNIT",P97*N97*SI!$C$10,"NET",P97*SI!$C$10/M97,0),
"LKR",_xlfn.SWITCH(R97,"KG",P97*S97/SI!$C$9,"CTN",P97/SI!$C$9,"UNIT",P97*N97/SI!$C$9,"NET",P97/(M97*SI!$C$9),0),
0),
"")</f>
        <v/>
      </c>
      <c r="V97" s="87" t="str">
        <f t="shared" si="30"/>
        <v/>
      </c>
      <c r="W97" s="87" t="str">
        <f t="shared" si="31"/>
        <v/>
      </c>
      <c r="X97" s="88" t="str">
        <f t="shared" si="32"/>
        <v/>
      </c>
      <c r="Y97" s="24" t="str">
        <f t="shared" si="33"/>
        <v/>
      </c>
      <c r="Z97" s="267" t="str">
        <f>IF(AND(H97&lt;&gt;"yes",F97&lt;&gt;""),IFERROR(VLOOKUP(F97,DUTY_2025!A:F,5,FALSE),""),"")</f>
        <v/>
      </c>
      <c r="AA97" s="271" t="str">
        <f t="shared" si="34"/>
        <v/>
      </c>
      <c r="AB97" s="16" t="str">
        <f t="shared" si="35"/>
        <v/>
      </c>
      <c r="AC97" s="16" t="str">
        <f>IF(AA97&lt;&gt;"",ROUND(AA97*SI!$C$9,0),"")</f>
        <v/>
      </c>
      <c r="AD97" s="4" t="str">
        <f>IF(AC97&lt;&gt;"",ROUND(AC97/(SI!$C$9*SI!$C$10),2),"")</f>
        <v/>
      </c>
      <c r="AE97" s="30" t="str">
        <f>IF(AND(X97&lt;&gt;""), ROUND((SI!$E$23)*(X97/SUM($X$5:$X$493)),0),"")</f>
        <v/>
      </c>
      <c r="AF97" s="272" t="str">
        <f t="shared" si="36"/>
        <v/>
      </c>
      <c r="AG97" s="28" t="str">
        <f t="shared" si="37"/>
        <v/>
      </c>
      <c r="AH97" s="4" t="str">
        <f>IF(AD97&lt;&gt;"",ROUND(AD97*10*SI!$C$9/2,0),"")</f>
        <v/>
      </c>
      <c r="AI97" s="29" t="str">
        <f>IF(AND(X97&lt;&gt;""), ROUND((SI!$E$28)*(X97/SUM($X$5:$X$493)),0),"")</f>
        <v/>
      </c>
      <c r="AJ97" s="4" t="str">
        <f t="shared" si="38"/>
        <v/>
      </c>
      <c r="AK97" s="4" t="str">
        <f t="shared" si="39"/>
        <v/>
      </c>
      <c r="AL97" s="4" t="str">
        <f t="shared" si="40"/>
        <v/>
      </c>
      <c r="AM97" s="4" t="str">
        <f t="shared" si="41"/>
        <v/>
      </c>
      <c r="AN97" s="195" t="str">
        <f t="shared" si="42"/>
        <v/>
      </c>
      <c r="AO97" s="261" t="str">
        <f>IF(AND(AM97&lt;&gt;"",P97&lt;&gt;""),ROUND((AM97*((100+SI!$C$11)/100)),0),"")</f>
        <v/>
      </c>
      <c r="AP97" s="28" t="str">
        <f>IF(AG97&lt;&gt;"",ROUND(AG97/SI!$C$9,2),"")</f>
        <v/>
      </c>
      <c r="AQ97" s="4" t="str">
        <f>IF(AH97&lt;&gt;"",ROUND(AH97/SI!$C$9,2),"")</f>
        <v/>
      </c>
      <c r="AR97" s="29" t="str">
        <f>IF(AI97&lt;&gt;"",ROUND(AI97/SI!$C$9,2),"")</f>
        <v/>
      </c>
      <c r="AS97" s="4" t="str">
        <f t="shared" si="43"/>
        <v/>
      </c>
      <c r="AT97" s="4" t="str">
        <f t="shared" si="44"/>
        <v/>
      </c>
      <c r="AU97" s="4" t="str">
        <f>IF(AL97&lt;&gt;"",ROUND(AL97/SI!$C$9,2),"")</f>
        <v/>
      </c>
      <c r="AV97" s="4" t="str">
        <f>IF(AM97&lt;&gt;"",ROUND(AM97/SI!$C$9,2),"")</f>
        <v/>
      </c>
      <c r="AW97" s="4" t="str">
        <f>IF(AN97&lt;&gt;"",ROUND(AN97/SI!$C$9,2),"")</f>
        <v/>
      </c>
      <c r="AX97" s="261" t="str">
        <f>IF(AO97&lt;&gt;"",ROUND(AO97/SI!$C$9,2),"")</f>
        <v/>
      </c>
      <c r="AY97" s="28" t="str">
        <f t="shared" si="45"/>
        <v/>
      </c>
      <c r="AZ97" s="4" t="str">
        <f>IF(AY97&lt;&gt;"",ROUND(AY97/(SI!$C$9*SI!$C$10),2),"")</f>
        <v/>
      </c>
      <c r="BA97" s="4" t="str">
        <f t="shared" si="46"/>
        <v/>
      </c>
      <c r="BB97" s="4" t="str">
        <f t="shared" si="47"/>
        <v/>
      </c>
      <c r="BC97" s="4" t="str">
        <f t="shared" si="48"/>
        <v/>
      </c>
      <c r="BD97" s="4" t="str">
        <f t="shared" si="49"/>
        <v/>
      </c>
      <c r="BE97" s="4" t="str">
        <f>IF(AND(X97&lt;&gt;""),ROUND(X97/SI!$C$10,2),"")</f>
        <v/>
      </c>
      <c r="BF97" s="4" t="str">
        <f t="shared" si="51"/>
        <v/>
      </c>
      <c r="BG97" s="264" t="str">
        <f t="shared" si="50"/>
        <v/>
      </c>
      <c r="BH97" s="71" t="str">
        <f>IF(F97&lt;&gt;"",VLOOKUP(F97,DUTY_2025!A:O,15,FALSE),"")</f>
        <v/>
      </c>
    </row>
    <row r="98" spans="1:60" x14ac:dyDescent="0.25">
      <c r="A98" s="133">
        <f t="shared" si="26"/>
        <v>66</v>
      </c>
      <c r="B98" s="83" t="str">
        <f t="shared" si="27"/>
        <v/>
      </c>
      <c r="C98" s="126">
        <v>1</v>
      </c>
      <c r="D98" s="127"/>
      <c r="E98" s="91"/>
      <c r="F98" s="114"/>
      <c r="G98" s="27" t="str">
        <f>IF(F98&lt;&gt;"",IFERROR(VLOOKUP(F98,DUTY_2025!A:I,6,FALSE),""),"")</f>
        <v/>
      </c>
      <c r="H98" s="85" t="s">
        <v>133</v>
      </c>
      <c r="I98" s="27" t="str">
        <f>IF(F98&lt;&gt;"",IFERROR(VLOOKUP(F98,DUTY_2025!A:H,2,FALSE),""),"")</f>
        <v/>
      </c>
      <c r="J98" s="23"/>
      <c r="K98" s="23"/>
      <c r="L98" s="92"/>
      <c r="M98" s="22"/>
      <c r="N98" s="90"/>
      <c r="O98" s="25"/>
      <c r="P98" s="116"/>
      <c r="Q98" s="23"/>
      <c r="R98" s="27"/>
      <c r="S98" s="86" t="str">
        <f t="shared" si="28"/>
        <v/>
      </c>
      <c r="T98" s="87" t="str">
        <f t="shared" si="29"/>
        <v/>
      </c>
      <c r="U98" s="87" t="str" cm="1">
        <f t="array" ref="U98">IF(AND(H98&lt;&gt;"YES",P98&lt;&gt;"",R98&lt;&gt;"",Q98&lt;&gt;""),
_xlfn.SWITCH(Q98,
"INR",_xlfn.SWITCH(R98,"KG",P98*S98,"CTN",P98,"UNIT",P98*N98,"NET",P98/M98,0),
"USD",_xlfn.SWITCH(R98,"KG",P98*S98*SI!$C$10,"CTN",P98*SI!$C$10,"UNIT",P98*N98*SI!$C$10,"NET",P98*SI!$C$10/M98,0),
"LKR",_xlfn.SWITCH(R98,"KG",P98*S98/SI!$C$9,"CTN",P98/SI!$C$9,"UNIT",P98*N98/SI!$C$9,"NET",P98/(M98*SI!$C$9),0),
0),
"")</f>
        <v/>
      </c>
      <c r="V98" s="87" t="str">
        <f t="shared" si="30"/>
        <v/>
      </c>
      <c r="W98" s="87" t="str">
        <f t="shared" si="31"/>
        <v/>
      </c>
      <c r="X98" s="88" t="str">
        <f t="shared" si="32"/>
        <v/>
      </c>
      <c r="Y98" s="24" t="str">
        <f t="shared" si="33"/>
        <v/>
      </c>
      <c r="Z98" s="267" t="str">
        <f>IF(AND(H98&lt;&gt;"yes",F98&lt;&gt;""),IFERROR(VLOOKUP(F98,DUTY_2025!A:F,5,FALSE),""),"")</f>
        <v/>
      </c>
      <c r="AA98" s="271" t="str">
        <f t="shared" si="34"/>
        <v/>
      </c>
      <c r="AB98" s="16" t="str">
        <f t="shared" si="35"/>
        <v/>
      </c>
      <c r="AC98" s="16" t="str">
        <f>IF(AA98&lt;&gt;"",ROUND(AA98*SI!$C$9,0),"")</f>
        <v/>
      </c>
      <c r="AD98" s="4" t="str">
        <f>IF(AC98&lt;&gt;"",ROUND(AC98/(SI!$C$9*SI!$C$10),2),"")</f>
        <v/>
      </c>
      <c r="AE98" s="30" t="str">
        <f>IF(AND(X98&lt;&gt;""), ROUND((SI!$E$23)*(X98/SUM($X$5:$X$493)),0),"")</f>
        <v/>
      </c>
      <c r="AF98" s="272" t="str">
        <f t="shared" si="36"/>
        <v/>
      </c>
      <c r="AG98" s="28" t="str">
        <f t="shared" si="37"/>
        <v/>
      </c>
      <c r="AH98" s="4" t="str">
        <f>IF(AD98&lt;&gt;"",ROUND(AD98*10*SI!$C$9/2,0),"")</f>
        <v/>
      </c>
      <c r="AI98" s="29" t="str">
        <f>IF(AND(X98&lt;&gt;""), ROUND((SI!$E$28)*(X98/SUM($X$5:$X$493)),0),"")</f>
        <v/>
      </c>
      <c r="AJ98" s="4" t="str">
        <f t="shared" si="38"/>
        <v/>
      </c>
      <c r="AK98" s="4" t="str">
        <f t="shared" si="39"/>
        <v/>
      </c>
      <c r="AL98" s="4" t="str">
        <f t="shared" si="40"/>
        <v/>
      </c>
      <c r="AM98" s="4" t="str">
        <f t="shared" si="41"/>
        <v/>
      </c>
      <c r="AN98" s="195" t="str">
        <f t="shared" si="42"/>
        <v/>
      </c>
      <c r="AO98" s="261" t="str">
        <f>IF(AND(AM98&lt;&gt;"",P98&lt;&gt;""),ROUND((AM98*((100+SI!$C$11)/100)),0),"")</f>
        <v/>
      </c>
      <c r="AP98" s="28" t="str">
        <f>IF(AG98&lt;&gt;"",ROUND(AG98/SI!$C$9,2),"")</f>
        <v/>
      </c>
      <c r="AQ98" s="4" t="str">
        <f>IF(AH98&lt;&gt;"",ROUND(AH98/SI!$C$9,2),"")</f>
        <v/>
      </c>
      <c r="AR98" s="29" t="str">
        <f>IF(AI98&lt;&gt;"",ROUND(AI98/SI!$C$9,2),"")</f>
        <v/>
      </c>
      <c r="AS98" s="4" t="str">
        <f t="shared" si="43"/>
        <v/>
      </c>
      <c r="AT98" s="4" t="str">
        <f t="shared" si="44"/>
        <v/>
      </c>
      <c r="AU98" s="4" t="str">
        <f>IF(AL98&lt;&gt;"",ROUND(AL98/SI!$C$9,2),"")</f>
        <v/>
      </c>
      <c r="AV98" s="4" t="str">
        <f>IF(AM98&lt;&gt;"",ROUND(AM98/SI!$C$9,2),"")</f>
        <v/>
      </c>
      <c r="AW98" s="4" t="str">
        <f>IF(AN98&lt;&gt;"",ROUND(AN98/SI!$C$9,2),"")</f>
        <v/>
      </c>
      <c r="AX98" s="261" t="str">
        <f>IF(AO98&lt;&gt;"",ROUND(AO98/SI!$C$9,2),"")</f>
        <v/>
      </c>
      <c r="AY98" s="28" t="str">
        <f t="shared" si="45"/>
        <v/>
      </c>
      <c r="AZ98" s="4" t="str">
        <f>IF(AY98&lt;&gt;"",ROUND(AY98/(SI!$C$9*SI!$C$10),2),"")</f>
        <v/>
      </c>
      <c r="BA98" s="4" t="str">
        <f t="shared" si="46"/>
        <v/>
      </c>
      <c r="BB98" s="4" t="str">
        <f t="shared" si="47"/>
        <v/>
      </c>
      <c r="BC98" s="4" t="str">
        <f t="shared" si="48"/>
        <v/>
      </c>
      <c r="BD98" s="4" t="str">
        <f t="shared" si="49"/>
        <v/>
      </c>
      <c r="BE98" s="4" t="str">
        <f>IF(AND(X98&lt;&gt;""),ROUND(X98/SI!$C$10,2),"")</f>
        <v/>
      </c>
      <c r="BF98" s="4" t="str">
        <f t="shared" si="51"/>
        <v/>
      </c>
      <c r="BG98" s="264" t="str">
        <f t="shared" si="50"/>
        <v/>
      </c>
      <c r="BH98" s="71" t="str">
        <f>IF(F98&lt;&gt;"",VLOOKUP(F98,DUTY_2025!A:O,15,FALSE),"")</f>
        <v/>
      </c>
    </row>
    <row r="99" spans="1:60" x14ac:dyDescent="0.25">
      <c r="A99" s="133">
        <f t="shared" si="26"/>
        <v>66</v>
      </c>
      <c r="B99" s="83" t="str">
        <f t="shared" si="27"/>
        <v/>
      </c>
      <c r="C99" s="126">
        <v>1</v>
      </c>
      <c r="D99" s="127"/>
      <c r="E99" s="91"/>
      <c r="F99" s="114"/>
      <c r="G99" s="27" t="str">
        <f>IF(F99&lt;&gt;"",IFERROR(VLOOKUP(F99,DUTY_2025!A:I,6,FALSE),""),"")</f>
        <v/>
      </c>
      <c r="H99" s="85" t="s">
        <v>133</v>
      </c>
      <c r="I99" s="27" t="str">
        <f>IF(F99&lt;&gt;"",IFERROR(VLOOKUP(F99,DUTY_2025!A:H,2,FALSE),""),"")</f>
        <v/>
      </c>
      <c r="J99" s="23"/>
      <c r="K99" s="23"/>
      <c r="L99" s="92"/>
      <c r="M99" s="22"/>
      <c r="N99" s="90"/>
      <c r="O99" s="25"/>
      <c r="P99" s="116"/>
      <c r="Q99" s="23"/>
      <c r="R99" s="27"/>
      <c r="S99" s="86" t="str">
        <f t="shared" si="28"/>
        <v/>
      </c>
      <c r="T99" s="87" t="str">
        <f t="shared" si="29"/>
        <v/>
      </c>
      <c r="U99" s="87" t="str" cm="1">
        <f t="array" ref="U99">IF(AND(H99&lt;&gt;"YES",P99&lt;&gt;"",R99&lt;&gt;"",Q99&lt;&gt;""),
_xlfn.SWITCH(Q99,
"INR",_xlfn.SWITCH(R99,"KG",P99*S99,"CTN",P99,"UNIT",P99*N99,"NET",P99/M99,0),
"USD",_xlfn.SWITCH(R99,"KG",P99*S99*SI!$C$10,"CTN",P99*SI!$C$10,"UNIT",P99*N99*SI!$C$10,"NET",P99*SI!$C$10/M99,0),
"LKR",_xlfn.SWITCH(R99,"KG",P99*S99/SI!$C$9,"CTN",P99/SI!$C$9,"UNIT",P99*N99/SI!$C$9,"NET",P99/(M99*SI!$C$9),0),
0),
"")</f>
        <v/>
      </c>
      <c r="V99" s="87" t="str">
        <f t="shared" si="30"/>
        <v/>
      </c>
      <c r="W99" s="87" t="str">
        <f t="shared" si="31"/>
        <v/>
      </c>
      <c r="X99" s="88" t="str">
        <f t="shared" si="32"/>
        <v/>
      </c>
      <c r="Y99" s="24" t="str">
        <f t="shared" si="33"/>
        <v/>
      </c>
      <c r="Z99" s="267" t="str">
        <f>IF(AND(H99&lt;&gt;"yes",F99&lt;&gt;""),IFERROR(VLOOKUP(F99,DUTY_2025!A:F,5,FALSE),""),"")</f>
        <v/>
      </c>
      <c r="AA99" s="271" t="str">
        <f t="shared" si="34"/>
        <v/>
      </c>
      <c r="AB99" s="16" t="str">
        <f t="shared" si="35"/>
        <v/>
      </c>
      <c r="AC99" s="16" t="str">
        <f>IF(AA99&lt;&gt;"",ROUND(AA99*SI!$C$9,0),"")</f>
        <v/>
      </c>
      <c r="AD99" s="4" t="str">
        <f>IF(AC99&lt;&gt;"",ROUND(AC99/(SI!$C$9*SI!$C$10),2),"")</f>
        <v/>
      </c>
      <c r="AE99" s="30" t="str">
        <f>IF(AND(X99&lt;&gt;""), ROUND((SI!$E$23)*(X99/SUM($X$5:$X$493)),0),"")</f>
        <v/>
      </c>
      <c r="AF99" s="272" t="str">
        <f t="shared" si="36"/>
        <v/>
      </c>
      <c r="AG99" s="28" t="str">
        <f t="shared" si="37"/>
        <v/>
      </c>
      <c r="AH99" s="4" t="str">
        <f>IF(AD99&lt;&gt;"",ROUND(AD99*10*SI!$C$9/2,0),"")</f>
        <v/>
      </c>
      <c r="AI99" s="29" t="str">
        <f>IF(AND(X99&lt;&gt;""), ROUND((SI!$E$28)*(X99/SUM($X$5:$X$493)),0),"")</f>
        <v/>
      </c>
      <c r="AJ99" s="4" t="str">
        <f t="shared" si="38"/>
        <v/>
      </c>
      <c r="AK99" s="4" t="str">
        <f t="shared" si="39"/>
        <v/>
      </c>
      <c r="AL99" s="4" t="str">
        <f t="shared" si="40"/>
        <v/>
      </c>
      <c r="AM99" s="4" t="str">
        <f t="shared" si="41"/>
        <v/>
      </c>
      <c r="AN99" s="195" t="str">
        <f t="shared" si="42"/>
        <v/>
      </c>
      <c r="AO99" s="261" t="str">
        <f>IF(AND(AM99&lt;&gt;"",P99&lt;&gt;""),ROUND((AM99*((100+SI!$C$11)/100)),0),"")</f>
        <v/>
      </c>
      <c r="AP99" s="28" t="str">
        <f>IF(AG99&lt;&gt;"",ROUND(AG99/SI!$C$9,2),"")</f>
        <v/>
      </c>
      <c r="AQ99" s="4" t="str">
        <f>IF(AH99&lt;&gt;"",ROUND(AH99/SI!$C$9,2),"")</f>
        <v/>
      </c>
      <c r="AR99" s="29" t="str">
        <f>IF(AI99&lt;&gt;"",ROUND(AI99/SI!$C$9,2),"")</f>
        <v/>
      </c>
      <c r="AS99" s="4" t="str">
        <f t="shared" si="43"/>
        <v/>
      </c>
      <c r="AT99" s="4" t="str">
        <f t="shared" si="44"/>
        <v/>
      </c>
      <c r="AU99" s="4" t="str">
        <f>IF(AL99&lt;&gt;"",ROUND(AL99/SI!$C$9,2),"")</f>
        <v/>
      </c>
      <c r="AV99" s="4" t="str">
        <f>IF(AM99&lt;&gt;"",ROUND(AM99/SI!$C$9,2),"")</f>
        <v/>
      </c>
      <c r="AW99" s="4" t="str">
        <f>IF(AN99&lt;&gt;"",ROUND(AN99/SI!$C$9,2),"")</f>
        <v/>
      </c>
      <c r="AX99" s="261" t="str">
        <f>IF(AO99&lt;&gt;"",ROUND(AO99/SI!$C$9,2),"")</f>
        <v/>
      </c>
      <c r="AY99" s="28" t="str">
        <f t="shared" si="45"/>
        <v/>
      </c>
      <c r="AZ99" s="4" t="str">
        <f>IF(AY99&lt;&gt;"",ROUND(AY99/(SI!$C$9*SI!$C$10),2),"")</f>
        <v/>
      </c>
      <c r="BA99" s="4" t="str">
        <f t="shared" si="46"/>
        <v/>
      </c>
      <c r="BB99" s="4" t="str">
        <f t="shared" si="47"/>
        <v/>
      </c>
      <c r="BC99" s="4" t="str">
        <f t="shared" si="48"/>
        <v/>
      </c>
      <c r="BD99" s="4" t="str">
        <f t="shared" si="49"/>
        <v/>
      </c>
      <c r="BE99" s="4" t="str">
        <f>IF(AND(X99&lt;&gt;""),ROUND(X99/SI!$C$10,2),"")</f>
        <v/>
      </c>
      <c r="BF99" s="4" t="str">
        <f t="shared" si="51"/>
        <v/>
      </c>
      <c r="BG99" s="264" t="str">
        <f t="shared" si="50"/>
        <v/>
      </c>
      <c r="BH99" s="71" t="str">
        <f>IF(F99&lt;&gt;"",VLOOKUP(F99,DUTY_2025!A:O,15,FALSE),"")</f>
        <v/>
      </c>
    </row>
    <row r="100" spans="1:60" x14ac:dyDescent="0.25">
      <c r="A100" s="133">
        <f t="shared" si="26"/>
        <v>66</v>
      </c>
      <c r="B100" s="83" t="str">
        <f t="shared" si="27"/>
        <v/>
      </c>
      <c r="C100" s="126">
        <v>1</v>
      </c>
      <c r="D100" s="127"/>
      <c r="E100" s="91"/>
      <c r="F100" s="114"/>
      <c r="G100" s="27" t="str">
        <f>IF(F100&lt;&gt;"",IFERROR(VLOOKUP(F100,DUTY_2025!A:I,6,FALSE),""),"")</f>
        <v/>
      </c>
      <c r="H100" s="85" t="s">
        <v>133</v>
      </c>
      <c r="I100" s="27" t="str">
        <f>IF(F100&lt;&gt;"",IFERROR(VLOOKUP(F100,DUTY_2025!A:H,2,FALSE),""),"")</f>
        <v/>
      </c>
      <c r="J100" s="23"/>
      <c r="K100" s="23"/>
      <c r="L100" s="92"/>
      <c r="M100" s="22"/>
      <c r="N100" s="90"/>
      <c r="O100" s="25"/>
      <c r="P100" s="116"/>
      <c r="Q100" s="23"/>
      <c r="R100" s="27"/>
      <c r="S100" s="86" t="str">
        <f t="shared" si="28"/>
        <v/>
      </c>
      <c r="T100" s="87" t="str">
        <f t="shared" si="29"/>
        <v/>
      </c>
      <c r="U100" s="87" t="str" cm="1">
        <f t="array" ref="U100">IF(AND(H100&lt;&gt;"YES",P100&lt;&gt;"",R100&lt;&gt;"",Q100&lt;&gt;""),
_xlfn.SWITCH(Q100,
"INR",_xlfn.SWITCH(R100,"KG",P100*S100,"CTN",P100,"UNIT",P100*N100,"NET",P100/M100,0),
"USD",_xlfn.SWITCH(R100,"KG",P100*S100*SI!$C$10,"CTN",P100*SI!$C$10,"UNIT",P100*N100*SI!$C$10,"NET",P100*SI!$C$10/M100,0),
"LKR",_xlfn.SWITCH(R100,"KG",P100*S100/SI!$C$9,"CTN",P100/SI!$C$9,"UNIT",P100*N100/SI!$C$9,"NET",P100/(M100*SI!$C$9),0),
0),
"")</f>
        <v/>
      </c>
      <c r="V100" s="87" t="str">
        <f t="shared" si="30"/>
        <v/>
      </c>
      <c r="W100" s="87" t="str">
        <f t="shared" si="31"/>
        <v/>
      </c>
      <c r="X100" s="88" t="str">
        <f t="shared" si="32"/>
        <v/>
      </c>
      <c r="Y100" s="24" t="str">
        <f t="shared" si="33"/>
        <v/>
      </c>
      <c r="Z100" s="267" t="str">
        <f>IF(AND(H100&lt;&gt;"yes",F100&lt;&gt;""),IFERROR(VLOOKUP(F100,DUTY_2025!A:F,5,FALSE),""),"")</f>
        <v/>
      </c>
      <c r="AA100" s="271" t="str">
        <f t="shared" si="34"/>
        <v/>
      </c>
      <c r="AB100" s="16" t="str">
        <f t="shared" si="35"/>
        <v/>
      </c>
      <c r="AC100" s="16" t="str">
        <f>IF(AA100&lt;&gt;"",ROUND(AA100*SI!$C$9,0),"")</f>
        <v/>
      </c>
      <c r="AD100" s="4" t="str">
        <f>IF(AC100&lt;&gt;"",ROUND(AC100/(SI!$C$9*SI!$C$10),2),"")</f>
        <v/>
      </c>
      <c r="AE100" s="30" t="str">
        <f>IF(AND(X100&lt;&gt;""), ROUND((SI!$E$23)*(X100/SUM($X$5:$X$493)),0),"")</f>
        <v/>
      </c>
      <c r="AF100" s="272" t="str">
        <f t="shared" si="36"/>
        <v/>
      </c>
      <c r="AG100" s="28" t="str">
        <f t="shared" si="37"/>
        <v/>
      </c>
      <c r="AH100" s="4" t="str">
        <f>IF(AD100&lt;&gt;"",ROUND(AD100*10*SI!$C$9/2,0),"")</f>
        <v/>
      </c>
      <c r="AI100" s="29" t="str">
        <f>IF(AND(X100&lt;&gt;""), ROUND((SI!$E$28)*(X100/SUM($X$5:$X$493)),0),"")</f>
        <v/>
      </c>
      <c r="AJ100" s="4" t="str">
        <f t="shared" si="38"/>
        <v/>
      </c>
      <c r="AK100" s="4" t="str">
        <f t="shared" si="39"/>
        <v/>
      </c>
      <c r="AL100" s="4" t="str">
        <f t="shared" si="40"/>
        <v/>
      </c>
      <c r="AM100" s="4" t="str">
        <f t="shared" si="41"/>
        <v/>
      </c>
      <c r="AN100" s="195" t="str">
        <f t="shared" si="42"/>
        <v/>
      </c>
      <c r="AO100" s="261" t="str">
        <f>IF(AND(AM100&lt;&gt;"",P100&lt;&gt;""),ROUND((AM100*((100+SI!$C$11)/100)),0),"")</f>
        <v/>
      </c>
      <c r="AP100" s="28" t="str">
        <f>IF(AG100&lt;&gt;"",ROUND(AG100/SI!$C$9,2),"")</f>
        <v/>
      </c>
      <c r="AQ100" s="4" t="str">
        <f>IF(AH100&lt;&gt;"",ROUND(AH100/SI!$C$9,2),"")</f>
        <v/>
      </c>
      <c r="AR100" s="29" t="str">
        <f>IF(AI100&lt;&gt;"",ROUND(AI100/SI!$C$9,2),"")</f>
        <v/>
      </c>
      <c r="AS100" s="4" t="str">
        <f t="shared" si="43"/>
        <v/>
      </c>
      <c r="AT100" s="4" t="str">
        <f t="shared" si="44"/>
        <v/>
      </c>
      <c r="AU100" s="4" t="str">
        <f>IF(AL100&lt;&gt;"",ROUND(AL100/SI!$C$9,2),"")</f>
        <v/>
      </c>
      <c r="AV100" s="4" t="str">
        <f>IF(AM100&lt;&gt;"",ROUND(AM100/SI!$C$9,2),"")</f>
        <v/>
      </c>
      <c r="AW100" s="4" t="str">
        <f>IF(AN100&lt;&gt;"",ROUND(AN100/SI!$C$9,2),"")</f>
        <v/>
      </c>
      <c r="AX100" s="261" t="str">
        <f>IF(AO100&lt;&gt;"",ROUND(AO100/SI!$C$9,2),"")</f>
        <v/>
      </c>
      <c r="AY100" s="28" t="str">
        <f t="shared" si="45"/>
        <v/>
      </c>
      <c r="AZ100" s="4" t="str">
        <f>IF(AY100&lt;&gt;"",ROUND(AY100/(SI!$C$9*SI!$C$10),2),"")</f>
        <v/>
      </c>
      <c r="BA100" s="4" t="str">
        <f t="shared" si="46"/>
        <v/>
      </c>
      <c r="BB100" s="4" t="str">
        <f t="shared" si="47"/>
        <v/>
      </c>
      <c r="BC100" s="4" t="str">
        <f t="shared" si="48"/>
        <v/>
      </c>
      <c r="BD100" s="4" t="str">
        <f t="shared" si="49"/>
        <v/>
      </c>
      <c r="BE100" s="4" t="str">
        <f>IF(AND(X100&lt;&gt;""),ROUND(X100/SI!$C$10,2),"")</f>
        <v/>
      </c>
      <c r="BF100" s="4" t="str">
        <f t="shared" si="51"/>
        <v/>
      </c>
      <c r="BG100" s="264" t="str">
        <f t="shared" si="50"/>
        <v/>
      </c>
      <c r="BH100" s="71" t="str">
        <f>IF(F100&lt;&gt;"",VLOOKUP(F100,DUTY_2025!A:O,15,FALSE),"")</f>
        <v/>
      </c>
    </row>
    <row r="101" spans="1:60" x14ac:dyDescent="0.25">
      <c r="A101" s="133">
        <f t="shared" si="26"/>
        <v>66</v>
      </c>
      <c r="B101" s="83" t="str">
        <f t="shared" si="27"/>
        <v/>
      </c>
      <c r="C101" s="126">
        <v>1</v>
      </c>
      <c r="D101" s="127"/>
      <c r="E101" s="91"/>
      <c r="F101" s="114"/>
      <c r="G101" s="27" t="str">
        <f>IF(F101&lt;&gt;"",IFERROR(VLOOKUP(F101,DUTY_2025!A:I,6,FALSE),""),"")</f>
        <v/>
      </c>
      <c r="H101" s="85" t="s">
        <v>133</v>
      </c>
      <c r="I101" s="27" t="str">
        <f>IF(F101&lt;&gt;"",IFERROR(VLOOKUP(F101,DUTY_2025!A:H,2,FALSE),""),"")</f>
        <v/>
      </c>
      <c r="J101" s="23"/>
      <c r="K101" s="23"/>
      <c r="L101" s="92"/>
      <c r="M101" s="22"/>
      <c r="N101" s="90"/>
      <c r="O101" s="25"/>
      <c r="P101" s="116"/>
      <c r="Q101" s="23"/>
      <c r="R101" s="27"/>
      <c r="S101" s="86" t="str">
        <f t="shared" si="28"/>
        <v/>
      </c>
      <c r="T101" s="87" t="str">
        <f t="shared" si="29"/>
        <v/>
      </c>
      <c r="U101" s="87" t="str" cm="1">
        <f t="array" ref="U101">IF(AND(H101&lt;&gt;"YES",P101&lt;&gt;"",R101&lt;&gt;"",Q101&lt;&gt;""),
_xlfn.SWITCH(Q101,
"INR",_xlfn.SWITCH(R101,"KG",P101*S101,"CTN",P101,"UNIT",P101*N101,"NET",P101/M101,0),
"USD",_xlfn.SWITCH(R101,"KG",P101*S101*SI!$C$10,"CTN",P101*SI!$C$10,"UNIT",P101*N101*SI!$C$10,"NET",P101*SI!$C$10/M101,0),
"LKR",_xlfn.SWITCH(R101,"KG",P101*S101/SI!$C$9,"CTN",P101/SI!$C$9,"UNIT",P101*N101/SI!$C$9,"NET",P101/(M101*SI!$C$9),0),
0),
"")</f>
        <v/>
      </c>
      <c r="V101" s="87" t="str">
        <f t="shared" si="30"/>
        <v/>
      </c>
      <c r="W101" s="87" t="str">
        <f t="shared" si="31"/>
        <v/>
      </c>
      <c r="X101" s="88" t="str">
        <f t="shared" si="32"/>
        <v/>
      </c>
      <c r="Y101" s="24" t="str">
        <f t="shared" si="33"/>
        <v/>
      </c>
      <c r="Z101" s="267" t="str">
        <f>IF(AND(H101&lt;&gt;"yes",F101&lt;&gt;""),IFERROR(VLOOKUP(F101,DUTY_2025!A:F,5,FALSE),""),"")</f>
        <v/>
      </c>
      <c r="AA101" s="271" t="str">
        <f t="shared" si="34"/>
        <v/>
      </c>
      <c r="AB101" s="16" t="str">
        <f t="shared" si="35"/>
        <v/>
      </c>
      <c r="AC101" s="16" t="str">
        <f>IF(AA101&lt;&gt;"",ROUND(AA101*SI!$C$9,0),"")</f>
        <v/>
      </c>
      <c r="AD101" s="4" t="str">
        <f>IF(AC101&lt;&gt;"",ROUND(AC101/(SI!$C$9*SI!$C$10),2),"")</f>
        <v/>
      </c>
      <c r="AE101" s="30" t="str">
        <f>IF(AND(X101&lt;&gt;""), ROUND((SI!$E$23)*(X101/SUM($X$5:$X$493)),0),"")</f>
        <v/>
      </c>
      <c r="AF101" s="272" t="str">
        <f t="shared" si="36"/>
        <v/>
      </c>
      <c r="AG101" s="28" t="str">
        <f t="shared" si="37"/>
        <v/>
      </c>
      <c r="AH101" s="4" t="str">
        <f>IF(AD101&lt;&gt;"",ROUND(AD101*10*SI!$C$9/2,0),"")</f>
        <v/>
      </c>
      <c r="AI101" s="29" t="str">
        <f>IF(AND(X101&lt;&gt;""), ROUND((SI!$E$28)*(X101/SUM($X$5:$X$493)),0),"")</f>
        <v/>
      </c>
      <c r="AJ101" s="4" t="str">
        <f t="shared" si="38"/>
        <v/>
      </c>
      <c r="AK101" s="4" t="str">
        <f t="shared" si="39"/>
        <v/>
      </c>
      <c r="AL101" s="4" t="str">
        <f t="shared" si="40"/>
        <v/>
      </c>
      <c r="AM101" s="4" t="str">
        <f t="shared" si="41"/>
        <v/>
      </c>
      <c r="AN101" s="195" t="str">
        <f t="shared" si="42"/>
        <v/>
      </c>
      <c r="AO101" s="261" t="str">
        <f>IF(AND(AM101&lt;&gt;"",P101&lt;&gt;""),ROUND((AM101*((100+SI!$C$11)/100)),0),"")</f>
        <v/>
      </c>
      <c r="AP101" s="28" t="str">
        <f>IF(AG101&lt;&gt;"",ROUND(AG101/SI!$C$9,2),"")</f>
        <v/>
      </c>
      <c r="AQ101" s="4" t="str">
        <f>IF(AH101&lt;&gt;"",ROUND(AH101/SI!$C$9,2),"")</f>
        <v/>
      </c>
      <c r="AR101" s="29" t="str">
        <f>IF(AI101&lt;&gt;"",ROUND(AI101/SI!$C$9,2),"")</f>
        <v/>
      </c>
      <c r="AS101" s="4" t="str">
        <f t="shared" si="43"/>
        <v/>
      </c>
      <c r="AT101" s="4" t="str">
        <f t="shared" si="44"/>
        <v/>
      </c>
      <c r="AU101" s="4" t="str">
        <f>IF(AL101&lt;&gt;"",ROUND(AL101/SI!$C$9,2),"")</f>
        <v/>
      </c>
      <c r="AV101" s="4" t="str">
        <f>IF(AM101&lt;&gt;"",ROUND(AM101/SI!$C$9,2),"")</f>
        <v/>
      </c>
      <c r="AW101" s="4" t="str">
        <f>IF(AN101&lt;&gt;"",ROUND(AN101/SI!$C$9,2),"")</f>
        <v/>
      </c>
      <c r="AX101" s="261" t="str">
        <f>IF(AO101&lt;&gt;"",ROUND(AO101/SI!$C$9,2),"")</f>
        <v/>
      </c>
      <c r="AY101" s="28" t="str">
        <f t="shared" si="45"/>
        <v/>
      </c>
      <c r="AZ101" s="4" t="str">
        <f>IF(AY101&lt;&gt;"",ROUND(AY101/(SI!$C$9*SI!$C$10),2),"")</f>
        <v/>
      </c>
      <c r="BA101" s="4" t="str">
        <f t="shared" si="46"/>
        <v/>
      </c>
      <c r="BB101" s="4" t="str">
        <f t="shared" si="47"/>
        <v/>
      </c>
      <c r="BC101" s="4" t="str">
        <f t="shared" si="48"/>
        <v/>
      </c>
      <c r="BD101" s="4" t="str">
        <f t="shared" si="49"/>
        <v/>
      </c>
      <c r="BE101" s="4" t="str">
        <f>IF(AND(X101&lt;&gt;""),ROUND(X101/SI!$C$10,2),"")</f>
        <v/>
      </c>
      <c r="BF101" s="4" t="str">
        <f t="shared" si="51"/>
        <v/>
      </c>
      <c r="BG101" s="264" t="str">
        <f t="shared" si="50"/>
        <v/>
      </c>
      <c r="BH101" s="71" t="str">
        <f>IF(F101&lt;&gt;"",VLOOKUP(F101,DUTY_2025!A:O,15,FALSE),"")</f>
        <v/>
      </c>
    </row>
    <row r="102" spans="1:60" x14ac:dyDescent="0.25">
      <c r="A102" s="133">
        <f t="shared" si="26"/>
        <v>66</v>
      </c>
      <c r="B102" s="83" t="str">
        <f t="shared" si="27"/>
        <v/>
      </c>
      <c r="C102" s="126">
        <v>1</v>
      </c>
      <c r="D102" s="127"/>
      <c r="E102" s="91"/>
      <c r="F102" s="114"/>
      <c r="G102" s="27" t="str">
        <f>IF(F102&lt;&gt;"",IFERROR(VLOOKUP(F102,DUTY_2025!A:I,6,FALSE),""),"")</f>
        <v/>
      </c>
      <c r="H102" s="85" t="s">
        <v>133</v>
      </c>
      <c r="I102" s="27" t="str">
        <f>IF(F102&lt;&gt;"",IFERROR(VLOOKUP(F102,DUTY_2025!A:H,2,FALSE),""),"")</f>
        <v/>
      </c>
      <c r="J102" s="23"/>
      <c r="K102" s="23"/>
      <c r="L102" s="92"/>
      <c r="M102" s="22"/>
      <c r="N102" s="90"/>
      <c r="O102" s="25"/>
      <c r="P102" s="116"/>
      <c r="Q102" s="23"/>
      <c r="R102" s="27"/>
      <c r="S102" s="86" t="str">
        <f t="shared" si="28"/>
        <v/>
      </c>
      <c r="T102" s="87" t="str">
        <f t="shared" si="29"/>
        <v/>
      </c>
      <c r="U102" s="87" t="str" cm="1">
        <f t="array" ref="U102">IF(AND(H102&lt;&gt;"YES",P102&lt;&gt;"",R102&lt;&gt;"",Q102&lt;&gt;""),
_xlfn.SWITCH(Q102,
"INR",_xlfn.SWITCH(R102,"KG",P102*S102,"CTN",P102,"UNIT",P102*N102,"NET",P102/M102,0),
"USD",_xlfn.SWITCH(R102,"KG",P102*S102*SI!$C$10,"CTN",P102*SI!$C$10,"UNIT",P102*N102*SI!$C$10,"NET",P102*SI!$C$10/M102,0),
"LKR",_xlfn.SWITCH(R102,"KG",P102*S102/SI!$C$9,"CTN",P102/SI!$C$9,"UNIT",P102*N102/SI!$C$9,"NET",P102/(M102*SI!$C$9),0),
0),
"")</f>
        <v/>
      </c>
      <c r="V102" s="87" t="str">
        <f t="shared" si="30"/>
        <v/>
      </c>
      <c r="W102" s="87" t="str">
        <f t="shared" si="31"/>
        <v/>
      </c>
      <c r="X102" s="88" t="str">
        <f t="shared" si="32"/>
        <v/>
      </c>
      <c r="Y102" s="24" t="str">
        <f t="shared" si="33"/>
        <v/>
      </c>
      <c r="Z102" s="267" t="str">
        <f>IF(AND(H102&lt;&gt;"yes",F102&lt;&gt;""),IFERROR(VLOOKUP(F102,DUTY_2025!A:F,5,FALSE),""),"")</f>
        <v/>
      </c>
      <c r="AA102" s="271" t="str">
        <f t="shared" si="34"/>
        <v/>
      </c>
      <c r="AB102" s="16" t="str">
        <f t="shared" si="35"/>
        <v/>
      </c>
      <c r="AC102" s="16" t="str">
        <f>IF(AA102&lt;&gt;"",ROUND(AA102*SI!$C$9,0),"")</f>
        <v/>
      </c>
      <c r="AD102" s="4" t="str">
        <f>IF(AC102&lt;&gt;"",ROUND(AC102/(SI!$C$9*SI!$C$10),2),"")</f>
        <v/>
      </c>
      <c r="AE102" s="30" t="str">
        <f>IF(AND(X102&lt;&gt;""), ROUND((SI!$E$23)*(X102/SUM($X$5:$X$493)),0),"")</f>
        <v/>
      </c>
      <c r="AF102" s="272" t="str">
        <f t="shared" si="36"/>
        <v/>
      </c>
      <c r="AG102" s="28" t="str">
        <f t="shared" si="37"/>
        <v/>
      </c>
      <c r="AH102" s="4" t="str">
        <f>IF(AD102&lt;&gt;"",ROUND(AD102*10*SI!$C$9/2,0),"")</f>
        <v/>
      </c>
      <c r="AI102" s="29" t="str">
        <f>IF(AND(X102&lt;&gt;""), ROUND((SI!$E$28)*(X102/SUM($X$5:$X$493)),0),"")</f>
        <v/>
      </c>
      <c r="AJ102" s="4" t="str">
        <f t="shared" si="38"/>
        <v/>
      </c>
      <c r="AK102" s="4" t="str">
        <f t="shared" si="39"/>
        <v/>
      </c>
      <c r="AL102" s="4" t="str">
        <f t="shared" si="40"/>
        <v/>
      </c>
      <c r="AM102" s="4" t="str">
        <f t="shared" si="41"/>
        <v/>
      </c>
      <c r="AN102" s="195" t="str">
        <f t="shared" si="42"/>
        <v/>
      </c>
      <c r="AO102" s="261" t="str">
        <f>IF(AND(AM102&lt;&gt;"",P102&lt;&gt;""),ROUND((AM102*((100+SI!$C$11)/100)),0),"")</f>
        <v/>
      </c>
      <c r="AP102" s="28" t="str">
        <f>IF(AG102&lt;&gt;"",ROUND(AG102/SI!$C$9,2),"")</f>
        <v/>
      </c>
      <c r="AQ102" s="4" t="str">
        <f>IF(AH102&lt;&gt;"",ROUND(AH102/SI!$C$9,2),"")</f>
        <v/>
      </c>
      <c r="AR102" s="29" t="str">
        <f>IF(AI102&lt;&gt;"",ROUND(AI102/SI!$C$9,2),"")</f>
        <v/>
      </c>
      <c r="AS102" s="4" t="str">
        <f t="shared" si="43"/>
        <v/>
      </c>
      <c r="AT102" s="4" t="str">
        <f t="shared" si="44"/>
        <v/>
      </c>
      <c r="AU102" s="4" t="str">
        <f>IF(AL102&lt;&gt;"",ROUND(AL102/SI!$C$9,2),"")</f>
        <v/>
      </c>
      <c r="AV102" s="4" t="str">
        <f>IF(AM102&lt;&gt;"",ROUND(AM102/SI!$C$9,2),"")</f>
        <v/>
      </c>
      <c r="AW102" s="4" t="str">
        <f>IF(AN102&lt;&gt;"",ROUND(AN102/SI!$C$9,2),"")</f>
        <v/>
      </c>
      <c r="AX102" s="261" t="str">
        <f>IF(AO102&lt;&gt;"",ROUND(AO102/SI!$C$9,2),"")</f>
        <v/>
      </c>
      <c r="AY102" s="28" t="str">
        <f t="shared" si="45"/>
        <v/>
      </c>
      <c r="AZ102" s="4" t="str">
        <f>IF(AY102&lt;&gt;"",ROUND(AY102/(SI!$C$9*SI!$C$10),2),"")</f>
        <v/>
      </c>
      <c r="BA102" s="4" t="str">
        <f t="shared" si="46"/>
        <v/>
      </c>
      <c r="BB102" s="4" t="str">
        <f t="shared" si="47"/>
        <v/>
      </c>
      <c r="BC102" s="4" t="str">
        <f t="shared" si="48"/>
        <v/>
      </c>
      <c r="BD102" s="4" t="str">
        <f t="shared" si="49"/>
        <v/>
      </c>
      <c r="BE102" s="4" t="str">
        <f>IF(AND(X102&lt;&gt;""),ROUND(X102/SI!$C$10,2),"")</f>
        <v/>
      </c>
      <c r="BF102" s="4" t="str">
        <f t="shared" si="51"/>
        <v/>
      </c>
      <c r="BG102" s="264" t="str">
        <f t="shared" si="50"/>
        <v/>
      </c>
      <c r="BH102" s="71" t="str">
        <f>IF(F102&lt;&gt;"",VLOOKUP(F102,DUTY_2025!A:O,15,FALSE),"")</f>
        <v/>
      </c>
    </row>
    <row r="103" spans="1:60" x14ac:dyDescent="0.25">
      <c r="A103" s="133">
        <f t="shared" si="26"/>
        <v>66</v>
      </c>
      <c r="B103" s="83" t="str">
        <f t="shared" si="27"/>
        <v/>
      </c>
      <c r="C103" s="126">
        <v>1</v>
      </c>
      <c r="D103" s="127"/>
      <c r="E103" s="22"/>
      <c r="F103" s="114"/>
      <c r="G103" s="27" t="str">
        <f>IF(F103&lt;&gt;"",IFERROR(VLOOKUP(F103,DUTY_2025!A:I,6,FALSE),""),"")</f>
        <v/>
      </c>
      <c r="H103" s="85" t="s">
        <v>133</v>
      </c>
      <c r="I103" s="27" t="str">
        <f>IF(F103&lt;&gt;"",IFERROR(VLOOKUP(F103,DUTY_2025!A:H,2,FALSE),""),"")</f>
        <v/>
      </c>
      <c r="J103" s="23"/>
      <c r="K103" s="23"/>
      <c r="L103" s="92"/>
      <c r="M103" s="22"/>
      <c r="N103" s="90"/>
      <c r="O103" s="25"/>
      <c r="P103" s="116"/>
      <c r="Q103" s="23"/>
      <c r="R103" s="27"/>
      <c r="S103" s="86" t="str">
        <f t="shared" si="28"/>
        <v/>
      </c>
      <c r="T103" s="87" t="str">
        <f t="shared" si="29"/>
        <v/>
      </c>
      <c r="U103" s="87" t="str" cm="1">
        <f t="array" ref="U103">IF(AND(H103&lt;&gt;"YES",P103&lt;&gt;"",R103&lt;&gt;"",Q103&lt;&gt;""),
_xlfn.SWITCH(Q103,
"INR",_xlfn.SWITCH(R103,"KG",P103*S103,"CTN",P103,"UNIT",P103*N103,"NET",P103/M103,0),
"USD",_xlfn.SWITCH(R103,"KG",P103*S103*SI!$C$10,"CTN",P103*SI!$C$10,"UNIT",P103*N103*SI!$C$10,"NET",P103*SI!$C$10/M103,0),
"LKR",_xlfn.SWITCH(R103,"KG",P103*S103/SI!$C$9,"CTN",P103/SI!$C$9,"UNIT",P103*N103/SI!$C$9,"NET",P103/(M103*SI!$C$9),0),
0),
"")</f>
        <v/>
      </c>
      <c r="V103" s="87" t="str">
        <f t="shared" si="30"/>
        <v/>
      </c>
      <c r="W103" s="87" t="str">
        <f t="shared" si="31"/>
        <v/>
      </c>
      <c r="X103" s="88" t="str">
        <f t="shared" si="32"/>
        <v/>
      </c>
      <c r="Y103" s="24" t="str">
        <f t="shared" si="33"/>
        <v/>
      </c>
      <c r="Z103" s="267" t="str">
        <f>IF(AND(H103&lt;&gt;"yes",F103&lt;&gt;""),IFERROR(VLOOKUP(F103,DUTY_2025!A:F,5,FALSE),""),"")</f>
        <v/>
      </c>
      <c r="AA103" s="271" t="str">
        <f t="shared" si="34"/>
        <v/>
      </c>
      <c r="AB103" s="16" t="str">
        <f t="shared" si="35"/>
        <v/>
      </c>
      <c r="AC103" s="16" t="str">
        <f>IF(AA103&lt;&gt;"",ROUND(AA103*SI!$C$9,0),"")</f>
        <v/>
      </c>
      <c r="AD103" s="4" t="str">
        <f>IF(AC103&lt;&gt;"",ROUND(AC103/(SI!$C$9*SI!$C$10),2),"")</f>
        <v/>
      </c>
      <c r="AE103" s="30" t="str">
        <f>IF(AND(X103&lt;&gt;""), ROUND((SI!$E$23)*(X103/SUM($X$5:$X$493)),0),"")</f>
        <v/>
      </c>
      <c r="AF103" s="272" t="str">
        <f t="shared" si="36"/>
        <v/>
      </c>
      <c r="AG103" s="28" t="str">
        <f t="shared" si="37"/>
        <v/>
      </c>
      <c r="AH103" s="4" t="str">
        <f>IF(AD103&lt;&gt;"",ROUND(AD103*10*SI!$C$9/2,0),"")</f>
        <v/>
      </c>
      <c r="AI103" s="29" t="str">
        <f>IF(AND(X103&lt;&gt;""), ROUND((SI!$E$28)*(X103/SUM($X$5:$X$493)),0),"")</f>
        <v/>
      </c>
      <c r="AJ103" s="4" t="str">
        <f t="shared" si="38"/>
        <v/>
      </c>
      <c r="AK103" s="4" t="str">
        <f t="shared" si="39"/>
        <v/>
      </c>
      <c r="AL103" s="4" t="str">
        <f t="shared" si="40"/>
        <v/>
      </c>
      <c r="AM103" s="4" t="str">
        <f t="shared" si="41"/>
        <v/>
      </c>
      <c r="AN103" s="195" t="str">
        <f t="shared" si="42"/>
        <v/>
      </c>
      <c r="AO103" s="261" t="str">
        <f>IF(AND(AM103&lt;&gt;"",P103&lt;&gt;""),ROUND((AM103*((100+SI!$C$11)/100)),0),"")</f>
        <v/>
      </c>
      <c r="AP103" s="28" t="str">
        <f>IF(AG103&lt;&gt;"",ROUND(AG103/SI!$C$9,2),"")</f>
        <v/>
      </c>
      <c r="AQ103" s="4" t="str">
        <f>IF(AH103&lt;&gt;"",ROUND(AH103/SI!$C$9,2),"")</f>
        <v/>
      </c>
      <c r="AR103" s="29" t="str">
        <f>IF(AI103&lt;&gt;"",ROUND(AI103/SI!$C$9,2),"")</f>
        <v/>
      </c>
      <c r="AS103" s="4" t="str">
        <f t="shared" si="43"/>
        <v/>
      </c>
      <c r="AT103" s="4" t="str">
        <f t="shared" si="44"/>
        <v/>
      </c>
      <c r="AU103" s="4" t="str">
        <f>IF(AL103&lt;&gt;"",ROUND(AL103/SI!$C$9,2),"")</f>
        <v/>
      </c>
      <c r="AV103" s="4" t="str">
        <f>IF(AM103&lt;&gt;"",ROUND(AM103/SI!$C$9,2),"")</f>
        <v/>
      </c>
      <c r="AW103" s="4" t="str">
        <f>IF(AN103&lt;&gt;"",ROUND(AN103/SI!$C$9,2),"")</f>
        <v/>
      </c>
      <c r="AX103" s="261" t="str">
        <f>IF(AO103&lt;&gt;"",ROUND(AO103/SI!$C$9,2),"")</f>
        <v/>
      </c>
      <c r="AY103" s="28" t="str">
        <f t="shared" si="45"/>
        <v/>
      </c>
      <c r="AZ103" s="4" t="str">
        <f>IF(AY103&lt;&gt;"",ROUND(AY103/(SI!$C$9*SI!$C$10),2),"")</f>
        <v/>
      </c>
      <c r="BA103" s="4" t="str">
        <f t="shared" si="46"/>
        <v/>
      </c>
      <c r="BB103" s="4" t="str">
        <f t="shared" si="47"/>
        <v/>
      </c>
      <c r="BC103" s="4" t="str">
        <f t="shared" si="48"/>
        <v/>
      </c>
      <c r="BD103" s="4" t="str">
        <f t="shared" si="49"/>
        <v/>
      </c>
      <c r="BE103" s="4" t="str">
        <f>IF(AND(X103&lt;&gt;""),ROUND(X103/SI!$C$10,2),"")</f>
        <v/>
      </c>
      <c r="BF103" s="4" t="str">
        <f t="shared" si="51"/>
        <v/>
      </c>
      <c r="BG103" s="264" t="str">
        <f t="shared" si="50"/>
        <v/>
      </c>
      <c r="BH103" s="71" t="str">
        <f>IF(F103&lt;&gt;"",VLOOKUP(F103,DUTY_2025!A:O,15,FALSE),"")</f>
        <v/>
      </c>
    </row>
    <row r="104" spans="1:60" x14ac:dyDescent="0.25">
      <c r="A104" s="133">
        <f t="shared" si="26"/>
        <v>66</v>
      </c>
      <c r="B104" s="83" t="str">
        <f t="shared" si="27"/>
        <v/>
      </c>
      <c r="C104" s="126">
        <v>1</v>
      </c>
      <c r="D104" s="127"/>
      <c r="E104" s="91"/>
      <c r="F104" s="114"/>
      <c r="G104" s="27" t="str">
        <f>IF(F104&lt;&gt;"",IFERROR(VLOOKUP(F104,DUTY_2025!A:I,6,FALSE),""),"")</f>
        <v/>
      </c>
      <c r="H104" s="85" t="s">
        <v>133</v>
      </c>
      <c r="I104" s="27" t="str">
        <f>IF(F104&lt;&gt;"",IFERROR(VLOOKUP(F104,DUTY_2025!A:H,2,FALSE),""),"")</f>
        <v/>
      </c>
      <c r="J104" s="23"/>
      <c r="K104" s="23"/>
      <c r="L104" s="92"/>
      <c r="M104" s="22"/>
      <c r="N104" s="90"/>
      <c r="O104" s="25"/>
      <c r="P104" s="116"/>
      <c r="Q104" s="23"/>
      <c r="R104" s="27"/>
      <c r="S104" s="86" t="str">
        <f t="shared" si="28"/>
        <v/>
      </c>
      <c r="T104" s="87" t="str">
        <f t="shared" si="29"/>
        <v/>
      </c>
      <c r="U104" s="87" t="str" cm="1">
        <f t="array" ref="U104">IF(AND(H104&lt;&gt;"YES",P104&lt;&gt;"",R104&lt;&gt;"",Q104&lt;&gt;""),
_xlfn.SWITCH(Q104,
"INR",_xlfn.SWITCH(R104,"KG",P104*S104,"CTN",P104,"UNIT",P104*N104,"NET",P104/M104,0),
"USD",_xlfn.SWITCH(R104,"KG",P104*S104*SI!$C$10,"CTN",P104*SI!$C$10,"UNIT",P104*N104*SI!$C$10,"NET",P104*SI!$C$10/M104,0),
"LKR",_xlfn.SWITCH(R104,"KG",P104*S104/SI!$C$9,"CTN",P104/SI!$C$9,"UNIT",P104*N104/SI!$C$9,"NET",P104/(M104*SI!$C$9),0),
0),
"")</f>
        <v/>
      </c>
      <c r="V104" s="87" t="str">
        <f t="shared" si="30"/>
        <v/>
      </c>
      <c r="W104" s="87" t="str">
        <f t="shared" si="31"/>
        <v/>
      </c>
      <c r="X104" s="88" t="str">
        <f t="shared" si="32"/>
        <v/>
      </c>
      <c r="Y104" s="24" t="str">
        <f t="shared" si="33"/>
        <v/>
      </c>
      <c r="Z104" s="267" t="str">
        <f>IF(AND(H104&lt;&gt;"yes",F104&lt;&gt;""),IFERROR(VLOOKUP(F104,DUTY_2025!A:F,5,FALSE),""),"")</f>
        <v/>
      </c>
      <c r="AA104" s="271" t="str">
        <f t="shared" si="34"/>
        <v/>
      </c>
      <c r="AB104" s="16" t="str">
        <f t="shared" si="35"/>
        <v/>
      </c>
      <c r="AC104" s="16" t="str">
        <f>IF(AA104&lt;&gt;"",ROUND(AA104*SI!$C$9,0),"")</f>
        <v/>
      </c>
      <c r="AD104" s="4" t="str">
        <f>IF(AC104&lt;&gt;"",ROUND(AC104/(SI!$C$9*SI!$C$10),2),"")</f>
        <v/>
      </c>
      <c r="AE104" s="30" t="str">
        <f>IF(AND(X104&lt;&gt;""), ROUND((SI!$E$23)*(X104/SUM($X$5:$X$493)),0),"")</f>
        <v/>
      </c>
      <c r="AF104" s="272" t="str">
        <f t="shared" si="36"/>
        <v/>
      </c>
      <c r="AG104" s="28" t="str">
        <f t="shared" si="37"/>
        <v/>
      </c>
      <c r="AH104" s="4" t="str">
        <f>IF(AD104&lt;&gt;"",ROUND(AD104*10*SI!$C$9/2,0),"")</f>
        <v/>
      </c>
      <c r="AI104" s="29" t="str">
        <f>IF(AND(X104&lt;&gt;""), ROUND((SI!$E$28)*(X104/SUM($X$5:$X$493)),0),"")</f>
        <v/>
      </c>
      <c r="AJ104" s="4" t="str">
        <f t="shared" si="38"/>
        <v/>
      </c>
      <c r="AK104" s="4" t="str">
        <f t="shared" si="39"/>
        <v/>
      </c>
      <c r="AL104" s="4" t="str">
        <f t="shared" si="40"/>
        <v/>
      </c>
      <c r="AM104" s="4" t="str">
        <f t="shared" si="41"/>
        <v/>
      </c>
      <c r="AN104" s="195" t="str">
        <f t="shared" si="42"/>
        <v/>
      </c>
      <c r="AO104" s="261" t="str">
        <f>IF(AND(AM104&lt;&gt;"",P104&lt;&gt;""),ROUND((AM104*((100+SI!$C$11)/100)),0),"")</f>
        <v/>
      </c>
      <c r="AP104" s="28" t="str">
        <f>IF(AG104&lt;&gt;"",ROUND(AG104/SI!$C$9,2),"")</f>
        <v/>
      </c>
      <c r="AQ104" s="4" t="str">
        <f>IF(AH104&lt;&gt;"",ROUND(AH104/SI!$C$9,2),"")</f>
        <v/>
      </c>
      <c r="AR104" s="29" t="str">
        <f>IF(AI104&lt;&gt;"",ROUND(AI104/SI!$C$9,2),"")</f>
        <v/>
      </c>
      <c r="AS104" s="4" t="str">
        <f t="shared" si="43"/>
        <v/>
      </c>
      <c r="AT104" s="4" t="str">
        <f t="shared" si="44"/>
        <v/>
      </c>
      <c r="AU104" s="4" t="str">
        <f>IF(AL104&lt;&gt;"",ROUND(AL104/SI!$C$9,2),"")</f>
        <v/>
      </c>
      <c r="AV104" s="4" t="str">
        <f>IF(AM104&lt;&gt;"",ROUND(AM104/SI!$C$9,2),"")</f>
        <v/>
      </c>
      <c r="AW104" s="4" t="str">
        <f>IF(AN104&lt;&gt;"",ROUND(AN104/SI!$C$9,2),"")</f>
        <v/>
      </c>
      <c r="AX104" s="261" t="str">
        <f>IF(AO104&lt;&gt;"",ROUND(AO104/SI!$C$9,2),"")</f>
        <v/>
      </c>
      <c r="AY104" s="28" t="str">
        <f t="shared" si="45"/>
        <v/>
      </c>
      <c r="AZ104" s="4" t="str">
        <f>IF(AY104&lt;&gt;"",ROUND(AY104/(SI!$C$9*SI!$C$10),2),"")</f>
        <v/>
      </c>
      <c r="BA104" s="4" t="str">
        <f t="shared" si="46"/>
        <v/>
      </c>
      <c r="BB104" s="4" t="str">
        <f t="shared" si="47"/>
        <v/>
      </c>
      <c r="BC104" s="4" t="str">
        <f t="shared" si="48"/>
        <v/>
      </c>
      <c r="BD104" s="4" t="str">
        <f t="shared" si="49"/>
        <v/>
      </c>
      <c r="BE104" s="4" t="str">
        <f>IF(AND(X104&lt;&gt;""),ROUND(X104/SI!$C$10,2),"")</f>
        <v/>
      </c>
      <c r="BF104" s="4" t="str">
        <f t="shared" si="51"/>
        <v/>
      </c>
      <c r="BG104" s="264" t="str">
        <f t="shared" si="50"/>
        <v/>
      </c>
      <c r="BH104" s="71" t="str">
        <f>IF(F104&lt;&gt;"",VLOOKUP(F104,DUTY_2025!A:O,15,FALSE),"")</f>
        <v/>
      </c>
    </row>
    <row r="105" spans="1:60" x14ac:dyDescent="0.25">
      <c r="A105" s="133">
        <f t="shared" si="26"/>
        <v>66</v>
      </c>
      <c r="B105" s="83" t="str">
        <f t="shared" si="27"/>
        <v/>
      </c>
      <c r="C105" s="126">
        <v>1</v>
      </c>
      <c r="D105" s="127"/>
      <c r="E105" s="91"/>
      <c r="F105" s="114"/>
      <c r="G105" s="27" t="str">
        <f>IF(F105&lt;&gt;"",IFERROR(VLOOKUP(F105,DUTY_2025!A:I,6,FALSE),""),"")</f>
        <v/>
      </c>
      <c r="H105" s="85" t="s">
        <v>133</v>
      </c>
      <c r="I105" s="27" t="str">
        <f>IF(F105&lt;&gt;"",IFERROR(VLOOKUP(F105,DUTY_2025!A:H,2,FALSE),""),"")</f>
        <v/>
      </c>
      <c r="J105" s="23"/>
      <c r="K105" s="23"/>
      <c r="L105" s="92"/>
      <c r="M105" s="22"/>
      <c r="N105" s="90"/>
      <c r="O105" s="25"/>
      <c r="P105" s="116"/>
      <c r="Q105" s="23"/>
      <c r="R105" s="27"/>
      <c r="S105" s="86" t="str">
        <f t="shared" si="28"/>
        <v/>
      </c>
      <c r="T105" s="87" t="str">
        <f t="shared" si="29"/>
        <v/>
      </c>
      <c r="U105" s="87" t="str" cm="1">
        <f t="array" ref="U105">IF(AND(H105&lt;&gt;"YES",P105&lt;&gt;"",R105&lt;&gt;"",Q105&lt;&gt;""),
_xlfn.SWITCH(Q105,
"INR",_xlfn.SWITCH(R105,"KG",P105*S105,"CTN",P105,"UNIT",P105*N105,"NET",P105/M105,0),
"USD",_xlfn.SWITCH(R105,"KG",P105*S105*SI!$C$10,"CTN",P105*SI!$C$10,"UNIT",P105*N105*SI!$C$10,"NET",P105*SI!$C$10/M105,0),
"LKR",_xlfn.SWITCH(R105,"KG",P105*S105/SI!$C$9,"CTN",P105/SI!$C$9,"UNIT",P105*N105/SI!$C$9,"NET",P105/(M105*SI!$C$9),0),
0),
"")</f>
        <v/>
      </c>
      <c r="V105" s="87" t="str">
        <f t="shared" si="30"/>
        <v/>
      </c>
      <c r="W105" s="87" t="str">
        <f t="shared" si="31"/>
        <v/>
      </c>
      <c r="X105" s="88" t="str">
        <f t="shared" si="32"/>
        <v/>
      </c>
      <c r="Y105" s="24" t="str">
        <f t="shared" si="33"/>
        <v/>
      </c>
      <c r="Z105" s="267" t="str">
        <f>IF(AND(H105&lt;&gt;"yes",F105&lt;&gt;""),IFERROR(VLOOKUP(F105,DUTY_2025!A:F,5,FALSE),""),"")</f>
        <v/>
      </c>
      <c r="AA105" s="271" t="str">
        <f t="shared" si="34"/>
        <v/>
      </c>
      <c r="AB105" s="16" t="str">
        <f t="shared" si="35"/>
        <v/>
      </c>
      <c r="AC105" s="16" t="str">
        <f>IF(AA105&lt;&gt;"",ROUND(AA105*SI!$C$9,0),"")</f>
        <v/>
      </c>
      <c r="AD105" s="4" t="str">
        <f>IF(AC105&lt;&gt;"",ROUND(AC105/(SI!$C$9*SI!$C$10),2),"")</f>
        <v/>
      </c>
      <c r="AE105" s="30" t="str">
        <f>IF(AND(X105&lt;&gt;""), ROUND((SI!$E$23)*(X105/SUM($X$5:$X$493)),0),"")</f>
        <v/>
      </c>
      <c r="AF105" s="272" t="str">
        <f t="shared" si="36"/>
        <v/>
      </c>
      <c r="AG105" s="28" t="str">
        <f t="shared" si="37"/>
        <v/>
      </c>
      <c r="AH105" s="4" t="str">
        <f>IF(AD105&lt;&gt;"",ROUND(AD105*10*SI!$C$9/2,0),"")</f>
        <v/>
      </c>
      <c r="AI105" s="29" t="str">
        <f>IF(AND(X105&lt;&gt;""), ROUND((SI!$E$28)*(X105/SUM($X$5:$X$493)),0),"")</f>
        <v/>
      </c>
      <c r="AJ105" s="4" t="str">
        <f t="shared" si="38"/>
        <v/>
      </c>
      <c r="AK105" s="4" t="str">
        <f t="shared" si="39"/>
        <v/>
      </c>
      <c r="AL105" s="4" t="str">
        <f t="shared" si="40"/>
        <v/>
      </c>
      <c r="AM105" s="4" t="str">
        <f t="shared" si="41"/>
        <v/>
      </c>
      <c r="AN105" s="195" t="str">
        <f t="shared" si="42"/>
        <v/>
      </c>
      <c r="AO105" s="261" t="str">
        <f>IF(AND(AM105&lt;&gt;"",P105&lt;&gt;""),ROUND((AM105*((100+SI!$C$11)/100)),0),"")</f>
        <v/>
      </c>
      <c r="AP105" s="28" t="str">
        <f>IF(AG105&lt;&gt;"",ROUND(AG105/SI!$C$9,2),"")</f>
        <v/>
      </c>
      <c r="AQ105" s="4" t="str">
        <f>IF(AH105&lt;&gt;"",ROUND(AH105/SI!$C$9,2),"")</f>
        <v/>
      </c>
      <c r="AR105" s="29" t="str">
        <f>IF(AI105&lt;&gt;"",ROUND(AI105/SI!$C$9,2),"")</f>
        <v/>
      </c>
      <c r="AS105" s="4" t="str">
        <f t="shared" si="43"/>
        <v/>
      </c>
      <c r="AT105" s="4" t="str">
        <f t="shared" si="44"/>
        <v/>
      </c>
      <c r="AU105" s="4" t="str">
        <f>IF(AL105&lt;&gt;"",ROUND(AL105/SI!$C$9,2),"")</f>
        <v/>
      </c>
      <c r="AV105" s="4" t="str">
        <f>IF(AM105&lt;&gt;"",ROUND(AM105/SI!$C$9,2),"")</f>
        <v/>
      </c>
      <c r="AW105" s="4" t="str">
        <f>IF(AN105&lt;&gt;"",ROUND(AN105/SI!$C$9,2),"")</f>
        <v/>
      </c>
      <c r="AX105" s="261" t="str">
        <f>IF(AO105&lt;&gt;"",ROUND(AO105/SI!$C$9,2),"")</f>
        <v/>
      </c>
      <c r="AY105" s="28" t="str">
        <f t="shared" si="45"/>
        <v/>
      </c>
      <c r="AZ105" s="4" t="str">
        <f>IF(AY105&lt;&gt;"",ROUND(AY105/(SI!$C$9*SI!$C$10),2),"")</f>
        <v/>
      </c>
      <c r="BA105" s="4" t="str">
        <f t="shared" si="46"/>
        <v/>
      </c>
      <c r="BB105" s="4" t="str">
        <f t="shared" si="47"/>
        <v/>
      </c>
      <c r="BC105" s="4" t="str">
        <f t="shared" si="48"/>
        <v/>
      </c>
      <c r="BD105" s="4" t="str">
        <f t="shared" si="49"/>
        <v/>
      </c>
      <c r="BE105" s="4" t="str">
        <f>IF(AND(X105&lt;&gt;""),ROUND(X105/SI!$C$10,2),"")</f>
        <v/>
      </c>
      <c r="BF105" s="4" t="str">
        <f t="shared" si="51"/>
        <v/>
      </c>
      <c r="BG105" s="264" t="str">
        <f t="shared" si="50"/>
        <v/>
      </c>
      <c r="BH105" s="71" t="str">
        <f>IF(F105&lt;&gt;"",VLOOKUP(F105,DUTY_2025!A:O,15,FALSE),"")</f>
        <v/>
      </c>
    </row>
    <row r="106" spans="1:60" x14ac:dyDescent="0.25">
      <c r="A106" s="133">
        <f t="shared" si="26"/>
        <v>66</v>
      </c>
      <c r="B106" s="83" t="str">
        <f t="shared" si="27"/>
        <v/>
      </c>
      <c r="C106" s="126">
        <v>1</v>
      </c>
      <c r="D106" s="127"/>
      <c r="E106" s="91"/>
      <c r="F106" s="114"/>
      <c r="G106" s="27" t="str">
        <f>IF(F106&lt;&gt;"",IFERROR(VLOOKUP(F106,DUTY_2025!A:I,6,FALSE),""),"")</f>
        <v/>
      </c>
      <c r="H106" s="85" t="s">
        <v>133</v>
      </c>
      <c r="I106" s="27" t="str">
        <f>IF(F106&lt;&gt;"",IFERROR(VLOOKUP(F106,DUTY_2025!A:H,2,FALSE),""),"")</f>
        <v/>
      </c>
      <c r="J106" s="23"/>
      <c r="K106" s="23"/>
      <c r="L106" s="92"/>
      <c r="M106" s="22"/>
      <c r="N106" s="90"/>
      <c r="O106" s="25"/>
      <c r="P106" s="116"/>
      <c r="Q106" s="23"/>
      <c r="R106" s="27"/>
      <c r="S106" s="86" t="str">
        <f t="shared" si="28"/>
        <v/>
      </c>
      <c r="T106" s="87" t="str">
        <f t="shared" si="29"/>
        <v/>
      </c>
      <c r="U106" s="87" t="str" cm="1">
        <f t="array" ref="U106">IF(AND(H106&lt;&gt;"YES",P106&lt;&gt;"",R106&lt;&gt;"",Q106&lt;&gt;""),
_xlfn.SWITCH(Q106,
"INR",_xlfn.SWITCH(R106,"KG",P106*S106,"CTN",P106,"UNIT",P106*N106,"NET",P106/M106,0),
"USD",_xlfn.SWITCH(R106,"KG",P106*S106*SI!$C$10,"CTN",P106*SI!$C$10,"UNIT",P106*N106*SI!$C$10,"NET",P106*SI!$C$10/M106,0),
"LKR",_xlfn.SWITCH(R106,"KG",P106*S106/SI!$C$9,"CTN",P106/SI!$C$9,"UNIT",P106*N106/SI!$C$9,"NET",P106/(M106*SI!$C$9),0),
0),
"")</f>
        <v/>
      </c>
      <c r="V106" s="87" t="str">
        <f t="shared" si="30"/>
        <v/>
      </c>
      <c r="W106" s="87" t="str">
        <f t="shared" si="31"/>
        <v/>
      </c>
      <c r="X106" s="88" t="str">
        <f t="shared" si="32"/>
        <v/>
      </c>
      <c r="Y106" s="24" t="str">
        <f t="shared" si="33"/>
        <v/>
      </c>
      <c r="Z106" s="267" t="str">
        <f>IF(AND(H106&lt;&gt;"yes",F106&lt;&gt;""),IFERROR(VLOOKUP(F106,DUTY_2025!A:F,5,FALSE),""),"")</f>
        <v/>
      </c>
      <c r="AA106" s="271" t="str">
        <f t="shared" si="34"/>
        <v/>
      </c>
      <c r="AB106" s="16" t="str">
        <f t="shared" si="35"/>
        <v/>
      </c>
      <c r="AC106" s="16" t="str">
        <f>IF(AA106&lt;&gt;"",ROUND(AA106*SI!$C$9,0),"")</f>
        <v/>
      </c>
      <c r="AD106" s="4" t="str">
        <f>IF(AC106&lt;&gt;"",ROUND(AC106/(SI!$C$9*SI!$C$10),2),"")</f>
        <v/>
      </c>
      <c r="AE106" s="30" t="str">
        <f>IF(AND(X106&lt;&gt;""), ROUND((SI!$E$23)*(X106/SUM($X$5:$X$493)),0),"")</f>
        <v/>
      </c>
      <c r="AF106" s="272" t="str">
        <f t="shared" si="36"/>
        <v/>
      </c>
      <c r="AG106" s="28" t="str">
        <f t="shared" si="37"/>
        <v/>
      </c>
      <c r="AH106" s="4" t="str">
        <f>IF(AD106&lt;&gt;"",ROUND(AD106*10*SI!$C$9/2,0),"")</f>
        <v/>
      </c>
      <c r="AI106" s="29" t="str">
        <f>IF(AND(X106&lt;&gt;""), ROUND((SI!$E$28)*(X106/SUM($X$5:$X$493)),0),"")</f>
        <v/>
      </c>
      <c r="AJ106" s="4" t="str">
        <f t="shared" si="38"/>
        <v/>
      </c>
      <c r="AK106" s="4" t="str">
        <f t="shared" si="39"/>
        <v/>
      </c>
      <c r="AL106" s="4" t="str">
        <f t="shared" si="40"/>
        <v/>
      </c>
      <c r="AM106" s="4" t="str">
        <f t="shared" si="41"/>
        <v/>
      </c>
      <c r="AN106" s="195" t="str">
        <f t="shared" si="42"/>
        <v/>
      </c>
      <c r="AO106" s="261" t="str">
        <f>IF(AND(AM106&lt;&gt;"",P106&lt;&gt;""),ROUND((AM106*((100+SI!$C$11)/100)),0),"")</f>
        <v/>
      </c>
      <c r="AP106" s="28" t="str">
        <f>IF(AG106&lt;&gt;"",ROUND(AG106/SI!$C$9,2),"")</f>
        <v/>
      </c>
      <c r="AQ106" s="4" t="str">
        <f>IF(AH106&lt;&gt;"",ROUND(AH106/SI!$C$9,2),"")</f>
        <v/>
      </c>
      <c r="AR106" s="29" t="str">
        <f>IF(AI106&lt;&gt;"",ROUND(AI106/SI!$C$9,2),"")</f>
        <v/>
      </c>
      <c r="AS106" s="4" t="str">
        <f t="shared" si="43"/>
        <v/>
      </c>
      <c r="AT106" s="4" t="str">
        <f t="shared" si="44"/>
        <v/>
      </c>
      <c r="AU106" s="4" t="str">
        <f>IF(AL106&lt;&gt;"",ROUND(AL106/SI!$C$9,2),"")</f>
        <v/>
      </c>
      <c r="AV106" s="4" t="str">
        <f>IF(AM106&lt;&gt;"",ROUND(AM106/SI!$C$9,2),"")</f>
        <v/>
      </c>
      <c r="AW106" s="4" t="str">
        <f>IF(AN106&lt;&gt;"",ROUND(AN106/SI!$C$9,2),"")</f>
        <v/>
      </c>
      <c r="AX106" s="261" t="str">
        <f>IF(AO106&lt;&gt;"",ROUND(AO106/SI!$C$9,2),"")</f>
        <v/>
      </c>
      <c r="AY106" s="28" t="str">
        <f t="shared" si="45"/>
        <v/>
      </c>
      <c r="AZ106" s="4" t="str">
        <f>IF(AY106&lt;&gt;"",ROUND(AY106/(SI!$C$9*SI!$C$10),2),"")</f>
        <v/>
      </c>
      <c r="BA106" s="4" t="str">
        <f t="shared" si="46"/>
        <v/>
      </c>
      <c r="BB106" s="4" t="str">
        <f t="shared" si="47"/>
        <v/>
      </c>
      <c r="BC106" s="4" t="str">
        <f t="shared" si="48"/>
        <v/>
      </c>
      <c r="BD106" s="4" t="str">
        <f t="shared" si="49"/>
        <v/>
      </c>
      <c r="BE106" s="4" t="str">
        <f>IF(AND(X106&lt;&gt;""),ROUND(X106/SI!$C$10,2),"")</f>
        <v/>
      </c>
      <c r="BF106" s="4" t="str">
        <f t="shared" si="51"/>
        <v/>
      </c>
      <c r="BG106" s="264" t="str">
        <f t="shared" si="50"/>
        <v/>
      </c>
      <c r="BH106" s="71" t="str">
        <f>IF(F106&lt;&gt;"",VLOOKUP(F106,DUTY_2025!A:O,15,FALSE),"")</f>
        <v/>
      </c>
    </row>
    <row r="107" spans="1:60" x14ac:dyDescent="0.25">
      <c r="A107" s="133">
        <f t="shared" si="26"/>
        <v>66</v>
      </c>
      <c r="B107" s="83" t="str">
        <f t="shared" si="27"/>
        <v/>
      </c>
      <c r="C107" s="126">
        <v>1</v>
      </c>
      <c r="D107" s="127"/>
      <c r="E107" s="91"/>
      <c r="F107" s="114"/>
      <c r="G107" s="27" t="str">
        <f>IF(F107&lt;&gt;"",IFERROR(VLOOKUP(F107,DUTY_2025!A:I,6,FALSE),""),"")</f>
        <v/>
      </c>
      <c r="H107" s="85" t="s">
        <v>133</v>
      </c>
      <c r="I107" s="27" t="str">
        <f>IF(F107&lt;&gt;"",IFERROR(VLOOKUP(F107,DUTY_2025!A:H,2,FALSE),""),"")</f>
        <v/>
      </c>
      <c r="J107" s="23"/>
      <c r="K107" s="23"/>
      <c r="L107" s="92"/>
      <c r="M107" s="22"/>
      <c r="N107" s="90"/>
      <c r="O107" s="25"/>
      <c r="P107" s="116"/>
      <c r="Q107" s="23"/>
      <c r="R107" s="27"/>
      <c r="S107" s="86" t="str">
        <f t="shared" si="28"/>
        <v/>
      </c>
      <c r="T107" s="87" t="str">
        <f t="shared" si="29"/>
        <v/>
      </c>
      <c r="U107" s="87" t="str" cm="1">
        <f t="array" ref="U107">IF(AND(H107&lt;&gt;"YES",P107&lt;&gt;"",R107&lt;&gt;"",Q107&lt;&gt;""),
_xlfn.SWITCH(Q107,
"INR",_xlfn.SWITCH(R107,"KG",P107*S107,"CTN",P107,"UNIT",P107*N107,"NET",P107/M107,0),
"USD",_xlfn.SWITCH(R107,"KG",P107*S107*SI!$C$10,"CTN",P107*SI!$C$10,"UNIT",P107*N107*SI!$C$10,"NET",P107*SI!$C$10/M107,0),
"LKR",_xlfn.SWITCH(R107,"KG",P107*S107/SI!$C$9,"CTN",P107/SI!$C$9,"UNIT",P107*N107/SI!$C$9,"NET",P107/(M107*SI!$C$9),0),
0),
"")</f>
        <v/>
      </c>
      <c r="V107" s="87" t="str">
        <f t="shared" si="30"/>
        <v/>
      </c>
      <c r="W107" s="87" t="str">
        <f t="shared" si="31"/>
        <v/>
      </c>
      <c r="X107" s="88" t="str">
        <f t="shared" si="32"/>
        <v/>
      </c>
      <c r="Y107" s="24" t="str">
        <f t="shared" si="33"/>
        <v/>
      </c>
      <c r="Z107" s="267" t="str">
        <f>IF(AND(H107&lt;&gt;"yes",F107&lt;&gt;""),IFERROR(VLOOKUP(F107,DUTY_2025!A:F,5,FALSE),""),"")</f>
        <v/>
      </c>
      <c r="AA107" s="271" t="str">
        <f t="shared" si="34"/>
        <v/>
      </c>
      <c r="AB107" s="16" t="str">
        <f t="shared" si="35"/>
        <v/>
      </c>
      <c r="AC107" s="16" t="str">
        <f>IF(AA107&lt;&gt;"",ROUND(AA107*SI!$C$9,0),"")</f>
        <v/>
      </c>
      <c r="AD107" s="4" t="str">
        <f>IF(AC107&lt;&gt;"",ROUND(AC107/(SI!$C$9*SI!$C$10),2),"")</f>
        <v/>
      </c>
      <c r="AE107" s="30" t="str">
        <f>IF(AND(X107&lt;&gt;""), ROUND((SI!$E$23)*(X107/SUM($X$5:$X$493)),0),"")</f>
        <v/>
      </c>
      <c r="AF107" s="272" t="str">
        <f t="shared" si="36"/>
        <v/>
      </c>
      <c r="AG107" s="28" t="str">
        <f t="shared" si="37"/>
        <v/>
      </c>
      <c r="AH107" s="4" t="str">
        <f>IF(AD107&lt;&gt;"",ROUND(AD107*10*SI!$C$9/2,0),"")</f>
        <v/>
      </c>
      <c r="AI107" s="29" t="str">
        <f>IF(AND(X107&lt;&gt;""), ROUND((SI!$E$28)*(X107/SUM($X$5:$X$493)),0),"")</f>
        <v/>
      </c>
      <c r="AJ107" s="4" t="str">
        <f t="shared" si="38"/>
        <v/>
      </c>
      <c r="AK107" s="4" t="str">
        <f t="shared" si="39"/>
        <v/>
      </c>
      <c r="AL107" s="4" t="str">
        <f t="shared" si="40"/>
        <v/>
      </c>
      <c r="AM107" s="4" t="str">
        <f t="shared" si="41"/>
        <v/>
      </c>
      <c r="AN107" s="195" t="str">
        <f t="shared" si="42"/>
        <v/>
      </c>
      <c r="AO107" s="261" t="str">
        <f>IF(AND(AM107&lt;&gt;"",P107&lt;&gt;""),ROUND((AM107*((100+SI!$C$11)/100)),0),"")</f>
        <v/>
      </c>
      <c r="AP107" s="28" t="str">
        <f>IF(AG107&lt;&gt;"",ROUND(AG107/SI!$C$9,2),"")</f>
        <v/>
      </c>
      <c r="AQ107" s="4" t="str">
        <f>IF(AH107&lt;&gt;"",ROUND(AH107/SI!$C$9,2),"")</f>
        <v/>
      </c>
      <c r="AR107" s="29" t="str">
        <f>IF(AI107&lt;&gt;"",ROUND(AI107/SI!$C$9,2),"")</f>
        <v/>
      </c>
      <c r="AS107" s="4" t="str">
        <f t="shared" si="43"/>
        <v/>
      </c>
      <c r="AT107" s="4" t="str">
        <f t="shared" si="44"/>
        <v/>
      </c>
      <c r="AU107" s="4" t="str">
        <f>IF(AL107&lt;&gt;"",ROUND(AL107/SI!$C$9,2),"")</f>
        <v/>
      </c>
      <c r="AV107" s="4" t="str">
        <f>IF(AM107&lt;&gt;"",ROUND(AM107/SI!$C$9,2),"")</f>
        <v/>
      </c>
      <c r="AW107" s="4" t="str">
        <f>IF(AN107&lt;&gt;"",ROUND(AN107/SI!$C$9,2),"")</f>
        <v/>
      </c>
      <c r="AX107" s="261" t="str">
        <f>IF(AO107&lt;&gt;"",ROUND(AO107/SI!$C$9,2),"")</f>
        <v/>
      </c>
      <c r="AY107" s="28" t="str">
        <f t="shared" si="45"/>
        <v/>
      </c>
      <c r="AZ107" s="4" t="str">
        <f>IF(AY107&lt;&gt;"",ROUND(AY107/(SI!$C$9*SI!$C$10),2),"")</f>
        <v/>
      </c>
      <c r="BA107" s="4" t="str">
        <f t="shared" si="46"/>
        <v/>
      </c>
      <c r="BB107" s="4" t="str">
        <f t="shared" si="47"/>
        <v/>
      </c>
      <c r="BC107" s="4" t="str">
        <f t="shared" si="48"/>
        <v/>
      </c>
      <c r="BD107" s="4" t="str">
        <f t="shared" si="49"/>
        <v/>
      </c>
      <c r="BE107" s="4" t="str">
        <f>IF(AND(X107&lt;&gt;""),ROUND(X107/SI!$C$10,2),"")</f>
        <v/>
      </c>
      <c r="BF107" s="4" t="str">
        <f t="shared" si="51"/>
        <v/>
      </c>
      <c r="BG107" s="264" t="str">
        <f t="shared" si="50"/>
        <v/>
      </c>
      <c r="BH107" s="71" t="str">
        <f>IF(F107&lt;&gt;"",VLOOKUP(F107,DUTY_2025!A:O,15,FALSE),"")</f>
        <v/>
      </c>
    </row>
    <row r="108" spans="1:60" x14ac:dyDescent="0.25">
      <c r="A108" s="133">
        <f t="shared" si="26"/>
        <v>66</v>
      </c>
      <c r="B108" s="83" t="str">
        <f t="shared" si="27"/>
        <v/>
      </c>
      <c r="C108" s="126">
        <v>1</v>
      </c>
      <c r="D108" s="127"/>
      <c r="E108" s="91"/>
      <c r="F108" s="114"/>
      <c r="G108" s="27" t="str">
        <f>IF(F108&lt;&gt;"",IFERROR(VLOOKUP(F108,DUTY_2025!A:I,6,FALSE),""),"")</f>
        <v/>
      </c>
      <c r="H108" s="85" t="s">
        <v>133</v>
      </c>
      <c r="I108" s="27" t="str">
        <f>IF(F108&lt;&gt;"",IFERROR(VLOOKUP(F108,DUTY_2025!A:H,2,FALSE),""),"")</f>
        <v/>
      </c>
      <c r="J108" s="23"/>
      <c r="K108" s="23"/>
      <c r="L108" s="92"/>
      <c r="M108" s="22"/>
      <c r="N108" s="90"/>
      <c r="O108" s="25"/>
      <c r="P108" s="116"/>
      <c r="Q108" s="23"/>
      <c r="R108" s="27"/>
      <c r="S108" s="86" t="str">
        <f t="shared" si="28"/>
        <v/>
      </c>
      <c r="T108" s="87" t="str">
        <f t="shared" si="29"/>
        <v/>
      </c>
      <c r="U108" s="87" t="str" cm="1">
        <f t="array" ref="U108">IF(AND(H108&lt;&gt;"YES",P108&lt;&gt;"",R108&lt;&gt;"",Q108&lt;&gt;""),
_xlfn.SWITCH(Q108,
"INR",_xlfn.SWITCH(R108,"KG",P108*S108,"CTN",P108,"UNIT",P108*N108,"NET",P108/M108,0),
"USD",_xlfn.SWITCH(R108,"KG",P108*S108*SI!$C$10,"CTN",P108*SI!$C$10,"UNIT",P108*N108*SI!$C$10,"NET",P108*SI!$C$10/M108,0),
"LKR",_xlfn.SWITCH(R108,"KG",P108*S108/SI!$C$9,"CTN",P108/SI!$C$9,"UNIT",P108*N108/SI!$C$9,"NET",P108/(M108*SI!$C$9),0),
0),
"")</f>
        <v/>
      </c>
      <c r="V108" s="87" t="str">
        <f t="shared" si="30"/>
        <v/>
      </c>
      <c r="W108" s="87" t="str">
        <f t="shared" si="31"/>
        <v/>
      </c>
      <c r="X108" s="88" t="str">
        <f t="shared" si="32"/>
        <v/>
      </c>
      <c r="Y108" s="24" t="str">
        <f t="shared" si="33"/>
        <v/>
      </c>
      <c r="Z108" s="267" t="str">
        <f>IF(AND(H108&lt;&gt;"yes",F108&lt;&gt;""),IFERROR(VLOOKUP(F108,DUTY_2025!A:F,5,FALSE),""),"")</f>
        <v/>
      </c>
      <c r="AA108" s="271" t="str">
        <f t="shared" si="34"/>
        <v/>
      </c>
      <c r="AB108" s="16" t="str">
        <f t="shared" si="35"/>
        <v/>
      </c>
      <c r="AC108" s="16" t="str">
        <f>IF(AA108&lt;&gt;"",ROUND(AA108*SI!$C$9,0),"")</f>
        <v/>
      </c>
      <c r="AD108" s="4" t="str">
        <f>IF(AC108&lt;&gt;"",ROUND(AC108/(SI!$C$9*SI!$C$10),2),"")</f>
        <v/>
      </c>
      <c r="AE108" s="30" t="str">
        <f>IF(AND(X108&lt;&gt;""), ROUND((SI!$E$23)*(X108/SUM($X$5:$X$493)),0),"")</f>
        <v/>
      </c>
      <c r="AF108" s="272" t="str">
        <f t="shared" si="36"/>
        <v/>
      </c>
      <c r="AG108" s="28" t="str">
        <f t="shared" si="37"/>
        <v/>
      </c>
      <c r="AH108" s="4" t="str">
        <f>IF(AD108&lt;&gt;"",ROUND(AD108*10*SI!$C$9/2,0),"")</f>
        <v/>
      </c>
      <c r="AI108" s="29" t="str">
        <f>IF(AND(X108&lt;&gt;""), ROUND((SI!$E$28)*(X108/SUM($X$5:$X$493)),0),"")</f>
        <v/>
      </c>
      <c r="AJ108" s="4" t="str">
        <f t="shared" si="38"/>
        <v/>
      </c>
      <c r="AK108" s="4" t="str">
        <f t="shared" si="39"/>
        <v/>
      </c>
      <c r="AL108" s="4" t="str">
        <f t="shared" si="40"/>
        <v/>
      </c>
      <c r="AM108" s="4" t="str">
        <f t="shared" si="41"/>
        <v/>
      </c>
      <c r="AN108" s="195" t="str">
        <f t="shared" si="42"/>
        <v/>
      </c>
      <c r="AO108" s="261" t="str">
        <f>IF(AND(AM108&lt;&gt;"",P108&lt;&gt;""),ROUND((AM108*((100+SI!$C$11)/100)),0),"")</f>
        <v/>
      </c>
      <c r="AP108" s="28" t="str">
        <f>IF(AG108&lt;&gt;"",ROUND(AG108/SI!$C$9,2),"")</f>
        <v/>
      </c>
      <c r="AQ108" s="4" t="str">
        <f>IF(AH108&lt;&gt;"",ROUND(AH108/SI!$C$9,2),"")</f>
        <v/>
      </c>
      <c r="AR108" s="29" t="str">
        <f>IF(AI108&lt;&gt;"",ROUND(AI108/SI!$C$9,2),"")</f>
        <v/>
      </c>
      <c r="AS108" s="4" t="str">
        <f t="shared" si="43"/>
        <v/>
      </c>
      <c r="AT108" s="4" t="str">
        <f t="shared" si="44"/>
        <v/>
      </c>
      <c r="AU108" s="4" t="str">
        <f>IF(AL108&lt;&gt;"",ROUND(AL108/SI!$C$9,2),"")</f>
        <v/>
      </c>
      <c r="AV108" s="4" t="str">
        <f>IF(AM108&lt;&gt;"",ROUND(AM108/SI!$C$9,2),"")</f>
        <v/>
      </c>
      <c r="AW108" s="4" t="str">
        <f>IF(AN108&lt;&gt;"",ROUND(AN108/SI!$C$9,2),"")</f>
        <v/>
      </c>
      <c r="AX108" s="261" t="str">
        <f>IF(AO108&lt;&gt;"",ROUND(AO108/SI!$C$9,2),"")</f>
        <v/>
      </c>
      <c r="AY108" s="28" t="str">
        <f t="shared" si="45"/>
        <v/>
      </c>
      <c r="AZ108" s="4" t="str">
        <f>IF(AY108&lt;&gt;"",ROUND(AY108/(SI!$C$9*SI!$C$10),2),"")</f>
        <v/>
      </c>
      <c r="BA108" s="4" t="str">
        <f t="shared" si="46"/>
        <v/>
      </c>
      <c r="BB108" s="4" t="str">
        <f t="shared" si="47"/>
        <v/>
      </c>
      <c r="BC108" s="4" t="str">
        <f t="shared" si="48"/>
        <v/>
      </c>
      <c r="BD108" s="4" t="str">
        <f t="shared" si="49"/>
        <v/>
      </c>
      <c r="BE108" s="4" t="str">
        <f>IF(AND(X108&lt;&gt;""),ROUND(X108/SI!$C$10,2),"")</f>
        <v/>
      </c>
      <c r="BF108" s="4" t="str">
        <f t="shared" si="51"/>
        <v/>
      </c>
      <c r="BG108" s="264" t="str">
        <f t="shared" si="50"/>
        <v/>
      </c>
      <c r="BH108" s="71" t="str">
        <f>IF(F108&lt;&gt;"",VLOOKUP(F108,DUTY_2025!A:O,15,FALSE),"")</f>
        <v/>
      </c>
    </row>
    <row r="109" spans="1:60" x14ac:dyDescent="0.25">
      <c r="A109" s="133">
        <f t="shared" si="26"/>
        <v>66</v>
      </c>
      <c r="B109" s="83" t="str">
        <f t="shared" si="27"/>
        <v/>
      </c>
      <c r="C109" s="126">
        <v>1</v>
      </c>
      <c r="D109" s="127"/>
      <c r="E109" s="91"/>
      <c r="F109" s="114"/>
      <c r="G109" s="27" t="str">
        <f>IF(F109&lt;&gt;"",IFERROR(VLOOKUP(F109,DUTY_2025!A:I,6,FALSE),""),"")</f>
        <v/>
      </c>
      <c r="H109" s="85" t="s">
        <v>133</v>
      </c>
      <c r="I109" s="27" t="str">
        <f>IF(F109&lt;&gt;"",IFERROR(VLOOKUP(F109,DUTY_2025!A:H,2,FALSE),""),"")</f>
        <v/>
      </c>
      <c r="J109" s="23"/>
      <c r="K109" s="23"/>
      <c r="L109" s="92"/>
      <c r="M109" s="22"/>
      <c r="N109" s="90"/>
      <c r="O109" s="25"/>
      <c r="P109" s="116"/>
      <c r="Q109" s="23"/>
      <c r="R109" s="27"/>
      <c r="S109" s="86" t="str">
        <f t="shared" si="28"/>
        <v/>
      </c>
      <c r="T109" s="87" t="str">
        <f t="shared" si="29"/>
        <v/>
      </c>
      <c r="U109" s="87" t="str" cm="1">
        <f t="array" ref="U109">IF(AND(H109&lt;&gt;"YES",P109&lt;&gt;"",R109&lt;&gt;"",Q109&lt;&gt;""),
_xlfn.SWITCH(Q109,
"INR",_xlfn.SWITCH(R109,"KG",P109*S109,"CTN",P109,"UNIT",P109*N109,"NET",P109/M109,0),
"USD",_xlfn.SWITCH(R109,"KG",P109*S109*SI!$C$10,"CTN",P109*SI!$C$10,"UNIT",P109*N109*SI!$C$10,"NET",P109*SI!$C$10/M109,0),
"LKR",_xlfn.SWITCH(R109,"KG",P109*S109/SI!$C$9,"CTN",P109/SI!$C$9,"UNIT",P109*N109/SI!$C$9,"NET",P109/(M109*SI!$C$9),0),
0),
"")</f>
        <v/>
      </c>
      <c r="V109" s="87" t="str">
        <f t="shared" si="30"/>
        <v/>
      </c>
      <c r="W109" s="87" t="str">
        <f t="shared" si="31"/>
        <v/>
      </c>
      <c r="X109" s="88" t="str">
        <f t="shared" si="32"/>
        <v/>
      </c>
      <c r="Y109" s="24" t="str">
        <f t="shared" si="33"/>
        <v/>
      </c>
      <c r="Z109" s="267" t="str">
        <f>IF(AND(H109&lt;&gt;"yes",F109&lt;&gt;""),IFERROR(VLOOKUP(F109,DUTY_2025!A:F,5,FALSE),""),"")</f>
        <v/>
      </c>
      <c r="AA109" s="271" t="str">
        <f t="shared" si="34"/>
        <v/>
      </c>
      <c r="AB109" s="16" t="str">
        <f t="shared" si="35"/>
        <v/>
      </c>
      <c r="AC109" s="16" t="str">
        <f>IF(AA109&lt;&gt;"",ROUND(AA109*SI!$C$9,0),"")</f>
        <v/>
      </c>
      <c r="AD109" s="4" t="str">
        <f>IF(AC109&lt;&gt;"",ROUND(AC109/(SI!$C$9*SI!$C$10),2),"")</f>
        <v/>
      </c>
      <c r="AE109" s="30" t="str">
        <f>IF(AND(X109&lt;&gt;""), ROUND((SI!$E$23)*(X109/SUM($X$5:$X$493)),0),"")</f>
        <v/>
      </c>
      <c r="AF109" s="272" t="str">
        <f t="shared" si="36"/>
        <v/>
      </c>
      <c r="AG109" s="28" t="str">
        <f t="shared" si="37"/>
        <v/>
      </c>
      <c r="AH109" s="4" t="str">
        <f>IF(AD109&lt;&gt;"",ROUND(AD109*10*SI!$C$9/2,0),"")</f>
        <v/>
      </c>
      <c r="AI109" s="29" t="str">
        <f>IF(AND(X109&lt;&gt;""), ROUND((SI!$E$28)*(X109/SUM($X$5:$X$493)),0),"")</f>
        <v/>
      </c>
      <c r="AJ109" s="4" t="str">
        <f t="shared" si="38"/>
        <v/>
      </c>
      <c r="AK109" s="4" t="str">
        <f t="shared" si="39"/>
        <v/>
      </c>
      <c r="AL109" s="4" t="str">
        <f t="shared" si="40"/>
        <v/>
      </c>
      <c r="AM109" s="4" t="str">
        <f t="shared" si="41"/>
        <v/>
      </c>
      <c r="AN109" s="195" t="str">
        <f t="shared" si="42"/>
        <v/>
      </c>
      <c r="AO109" s="261" t="str">
        <f>IF(AND(AM109&lt;&gt;"",P109&lt;&gt;""),ROUND((AM109*((100+SI!$C$11)/100)),0),"")</f>
        <v/>
      </c>
      <c r="AP109" s="28" t="str">
        <f>IF(AG109&lt;&gt;"",ROUND(AG109/SI!$C$9,2),"")</f>
        <v/>
      </c>
      <c r="AQ109" s="4" t="str">
        <f>IF(AH109&lt;&gt;"",ROUND(AH109/SI!$C$9,2),"")</f>
        <v/>
      </c>
      <c r="AR109" s="29" t="str">
        <f>IF(AI109&lt;&gt;"",ROUND(AI109/SI!$C$9,2),"")</f>
        <v/>
      </c>
      <c r="AS109" s="4" t="str">
        <f t="shared" si="43"/>
        <v/>
      </c>
      <c r="AT109" s="4" t="str">
        <f t="shared" si="44"/>
        <v/>
      </c>
      <c r="AU109" s="4" t="str">
        <f>IF(AL109&lt;&gt;"",ROUND(AL109/SI!$C$9,2),"")</f>
        <v/>
      </c>
      <c r="AV109" s="4" t="str">
        <f>IF(AM109&lt;&gt;"",ROUND(AM109/SI!$C$9,2),"")</f>
        <v/>
      </c>
      <c r="AW109" s="4" t="str">
        <f>IF(AN109&lt;&gt;"",ROUND(AN109/SI!$C$9,2),"")</f>
        <v/>
      </c>
      <c r="AX109" s="261" t="str">
        <f>IF(AO109&lt;&gt;"",ROUND(AO109/SI!$C$9,2),"")</f>
        <v/>
      </c>
      <c r="AY109" s="28" t="str">
        <f t="shared" si="45"/>
        <v/>
      </c>
      <c r="AZ109" s="4" t="str">
        <f>IF(AY109&lt;&gt;"",ROUND(AY109/(SI!$C$9*SI!$C$10),2),"")</f>
        <v/>
      </c>
      <c r="BA109" s="4" t="str">
        <f t="shared" si="46"/>
        <v/>
      </c>
      <c r="BB109" s="4" t="str">
        <f t="shared" si="47"/>
        <v/>
      </c>
      <c r="BC109" s="4" t="str">
        <f t="shared" si="48"/>
        <v/>
      </c>
      <c r="BD109" s="4" t="str">
        <f t="shared" si="49"/>
        <v/>
      </c>
      <c r="BE109" s="4" t="str">
        <f>IF(AND(X109&lt;&gt;""),ROUND(X109/SI!$C$10,2),"")</f>
        <v/>
      </c>
      <c r="BF109" s="4" t="str">
        <f t="shared" si="51"/>
        <v/>
      </c>
      <c r="BG109" s="264" t="str">
        <f t="shared" si="50"/>
        <v/>
      </c>
      <c r="BH109" s="71" t="str">
        <f>IF(F109&lt;&gt;"",VLOOKUP(F109,DUTY_2025!A:O,15,FALSE),"")</f>
        <v/>
      </c>
    </row>
    <row r="110" spans="1:60" x14ac:dyDescent="0.25">
      <c r="A110" s="133">
        <f t="shared" si="26"/>
        <v>66</v>
      </c>
      <c r="B110" s="83" t="str">
        <f t="shared" si="27"/>
        <v/>
      </c>
      <c r="C110" s="126">
        <v>1</v>
      </c>
      <c r="D110" s="127"/>
      <c r="E110" s="91"/>
      <c r="F110" s="114"/>
      <c r="G110" s="27" t="str">
        <f>IF(F110&lt;&gt;"",IFERROR(VLOOKUP(F110,DUTY_2025!A:I,6,FALSE),""),"")</f>
        <v/>
      </c>
      <c r="H110" s="85" t="s">
        <v>133</v>
      </c>
      <c r="I110" s="27" t="str">
        <f>IF(F110&lt;&gt;"",IFERROR(VLOOKUP(F110,DUTY_2025!A:H,2,FALSE),""),"")</f>
        <v/>
      </c>
      <c r="J110" s="107"/>
      <c r="K110" s="107"/>
      <c r="L110" s="92"/>
      <c r="M110" s="22"/>
      <c r="N110" s="90"/>
      <c r="O110" s="25"/>
      <c r="P110" s="116"/>
      <c r="Q110" s="23"/>
      <c r="R110" s="27"/>
      <c r="S110" s="86" t="str">
        <f t="shared" si="28"/>
        <v/>
      </c>
      <c r="T110" s="87" t="str">
        <f t="shared" si="29"/>
        <v/>
      </c>
      <c r="U110" s="87" t="str" cm="1">
        <f t="array" ref="U110">IF(AND(H110&lt;&gt;"YES",P110&lt;&gt;"",R110&lt;&gt;"",Q110&lt;&gt;""),
_xlfn.SWITCH(Q110,
"INR",_xlfn.SWITCH(R110,"KG",P110*S110,"CTN",P110,"UNIT",P110*N110,"NET",P110/M110,0),
"USD",_xlfn.SWITCH(R110,"KG",P110*S110*SI!$C$10,"CTN",P110*SI!$C$10,"UNIT",P110*N110*SI!$C$10,"NET",P110*SI!$C$10/M110,0),
"LKR",_xlfn.SWITCH(R110,"KG",P110*S110/SI!$C$9,"CTN",P110/SI!$C$9,"UNIT",P110*N110/SI!$C$9,"NET",P110/(M110*SI!$C$9),0),
0),
"")</f>
        <v/>
      </c>
      <c r="V110" s="87" t="str">
        <f t="shared" si="30"/>
        <v/>
      </c>
      <c r="W110" s="87" t="str">
        <f t="shared" si="31"/>
        <v/>
      </c>
      <c r="X110" s="88" t="str">
        <f t="shared" si="32"/>
        <v/>
      </c>
      <c r="Y110" s="24" t="str">
        <f t="shared" si="33"/>
        <v/>
      </c>
      <c r="Z110" s="267" t="str">
        <f>IF(AND(H110&lt;&gt;"yes",F110&lt;&gt;""),IFERROR(VLOOKUP(F110,DUTY_2025!A:F,5,FALSE),""),"")</f>
        <v/>
      </c>
      <c r="AA110" s="271" t="str">
        <f t="shared" si="34"/>
        <v/>
      </c>
      <c r="AB110" s="16" t="str">
        <f t="shared" si="35"/>
        <v/>
      </c>
      <c r="AC110" s="16" t="str">
        <f>IF(AA110&lt;&gt;"",ROUND(AA110*SI!$C$9,0),"")</f>
        <v/>
      </c>
      <c r="AD110" s="4" t="str">
        <f>IF(AC110&lt;&gt;"",ROUND(AC110/(SI!$C$9*SI!$C$10),2),"")</f>
        <v/>
      </c>
      <c r="AE110" s="30" t="str">
        <f>IF(AND(X110&lt;&gt;""), ROUND((SI!$E$23)*(X110/SUM($X$5:$X$493)),0),"")</f>
        <v/>
      </c>
      <c r="AF110" s="272" t="str">
        <f t="shared" si="36"/>
        <v/>
      </c>
      <c r="AG110" s="28" t="str">
        <f t="shared" si="37"/>
        <v/>
      </c>
      <c r="AH110" s="4" t="str">
        <f>IF(AD110&lt;&gt;"",ROUND(AD110*10*SI!$C$9/2,0),"")</f>
        <v/>
      </c>
      <c r="AI110" s="29" t="str">
        <f>IF(AND(X110&lt;&gt;""), ROUND((SI!$E$28)*(X110/SUM($X$5:$X$493)),0),"")</f>
        <v/>
      </c>
      <c r="AJ110" s="4" t="str">
        <f t="shared" si="38"/>
        <v/>
      </c>
      <c r="AK110" s="4" t="str">
        <f t="shared" si="39"/>
        <v/>
      </c>
      <c r="AL110" s="4" t="str">
        <f t="shared" si="40"/>
        <v/>
      </c>
      <c r="AM110" s="4" t="str">
        <f t="shared" si="41"/>
        <v/>
      </c>
      <c r="AN110" s="195" t="str">
        <f t="shared" si="42"/>
        <v/>
      </c>
      <c r="AO110" s="261" t="str">
        <f>IF(AND(AM110&lt;&gt;"",P110&lt;&gt;""),ROUND((AM110*((100+SI!$C$11)/100)),0),"")</f>
        <v/>
      </c>
      <c r="AP110" s="28" t="str">
        <f>IF(AG110&lt;&gt;"",ROUND(AG110/SI!$C$9,2),"")</f>
        <v/>
      </c>
      <c r="AQ110" s="4" t="str">
        <f>IF(AH110&lt;&gt;"",ROUND(AH110/SI!$C$9,2),"")</f>
        <v/>
      </c>
      <c r="AR110" s="29" t="str">
        <f>IF(AI110&lt;&gt;"",ROUND(AI110/SI!$C$9,2),"")</f>
        <v/>
      </c>
      <c r="AS110" s="4" t="str">
        <f t="shared" si="43"/>
        <v/>
      </c>
      <c r="AT110" s="4" t="str">
        <f t="shared" si="44"/>
        <v/>
      </c>
      <c r="AU110" s="4" t="str">
        <f>IF(AL110&lt;&gt;"",ROUND(AL110/SI!$C$9,2),"")</f>
        <v/>
      </c>
      <c r="AV110" s="4" t="str">
        <f>IF(AM110&lt;&gt;"",ROUND(AM110/SI!$C$9,2),"")</f>
        <v/>
      </c>
      <c r="AW110" s="4" t="str">
        <f>IF(AN110&lt;&gt;"",ROUND(AN110/SI!$C$9,2),"")</f>
        <v/>
      </c>
      <c r="AX110" s="261" t="str">
        <f>IF(AO110&lt;&gt;"",ROUND(AO110/SI!$C$9,2),"")</f>
        <v/>
      </c>
      <c r="AY110" s="28" t="str">
        <f t="shared" si="45"/>
        <v/>
      </c>
      <c r="AZ110" s="4" t="str">
        <f>IF(AY110&lt;&gt;"",ROUND(AY110/(SI!$C$9*SI!$C$10),2),"")</f>
        <v/>
      </c>
      <c r="BA110" s="4" t="str">
        <f t="shared" si="46"/>
        <v/>
      </c>
      <c r="BB110" s="4" t="str">
        <f t="shared" si="47"/>
        <v/>
      </c>
      <c r="BC110" s="4" t="str">
        <f t="shared" si="48"/>
        <v/>
      </c>
      <c r="BD110" s="4" t="str">
        <f t="shared" si="49"/>
        <v/>
      </c>
      <c r="BE110" s="4" t="str">
        <f>IF(AND(X110&lt;&gt;""),ROUND(X110/SI!$C$10,2),"")</f>
        <v/>
      </c>
      <c r="BF110" s="4" t="str">
        <f t="shared" si="51"/>
        <v/>
      </c>
      <c r="BG110" s="264" t="str">
        <f t="shared" si="50"/>
        <v/>
      </c>
      <c r="BH110" s="71" t="str">
        <f>IF(F110&lt;&gt;"",VLOOKUP(F110,DUTY_2025!A:O,15,FALSE),"")</f>
        <v/>
      </c>
    </row>
    <row r="111" spans="1:60" x14ac:dyDescent="0.25">
      <c r="A111" s="133">
        <f t="shared" si="26"/>
        <v>66</v>
      </c>
      <c r="B111" s="83" t="str">
        <f t="shared" si="27"/>
        <v/>
      </c>
      <c r="C111" s="126">
        <v>1</v>
      </c>
      <c r="D111" s="127"/>
      <c r="E111" s="91"/>
      <c r="F111" s="114"/>
      <c r="G111" s="27" t="str">
        <f>IF(F111&lt;&gt;"",IFERROR(VLOOKUP(F111,DUTY_2025!A:I,6,FALSE),""),"")</f>
        <v/>
      </c>
      <c r="H111" s="85" t="s">
        <v>133</v>
      </c>
      <c r="I111" s="27" t="str">
        <f>IF(F111&lt;&gt;"",IFERROR(VLOOKUP(F111,DUTY_2025!A:H,2,FALSE),""),"")</f>
        <v/>
      </c>
      <c r="J111" s="107"/>
      <c r="K111" s="107"/>
      <c r="L111" s="92"/>
      <c r="M111" s="22"/>
      <c r="N111" s="90"/>
      <c r="O111" s="25"/>
      <c r="P111" s="116"/>
      <c r="Q111" s="23"/>
      <c r="R111" s="27"/>
      <c r="S111" s="86" t="str">
        <f t="shared" si="28"/>
        <v/>
      </c>
      <c r="T111" s="87" t="str">
        <f t="shared" si="29"/>
        <v/>
      </c>
      <c r="U111" s="87" t="str" cm="1">
        <f t="array" ref="U111">IF(AND(H111&lt;&gt;"YES",P111&lt;&gt;"",R111&lt;&gt;"",Q111&lt;&gt;""),
_xlfn.SWITCH(Q111,
"INR",_xlfn.SWITCH(R111,"KG",P111*S111,"CTN",P111,"UNIT",P111*N111,"NET",P111/M111,0),
"USD",_xlfn.SWITCH(R111,"KG",P111*S111*SI!$C$10,"CTN",P111*SI!$C$10,"UNIT",P111*N111*SI!$C$10,"NET",P111*SI!$C$10/M111,0),
"LKR",_xlfn.SWITCH(R111,"KG",P111*S111/SI!$C$9,"CTN",P111/SI!$C$9,"UNIT",P111*N111/SI!$C$9,"NET",P111/(M111*SI!$C$9),0),
0),
"")</f>
        <v/>
      </c>
      <c r="V111" s="87" t="str">
        <f t="shared" si="30"/>
        <v/>
      </c>
      <c r="W111" s="87" t="str">
        <f t="shared" si="31"/>
        <v/>
      </c>
      <c r="X111" s="88" t="str">
        <f t="shared" si="32"/>
        <v/>
      </c>
      <c r="Y111" s="24" t="str">
        <f t="shared" si="33"/>
        <v/>
      </c>
      <c r="Z111" s="267" t="str">
        <f>IF(AND(H111&lt;&gt;"yes",F111&lt;&gt;""),IFERROR(VLOOKUP(F111,DUTY_2025!A:F,5,FALSE),""),"")</f>
        <v/>
      </c>
      <c r="AA111" s="271" t="str">
        <f t="shared" si="34"/>
        <v/>
      </c>
      <c r="AB111" s="16" t="str">
        <f t="shared" si="35"/>
        <v/>
      </c>
      <c r="AC111" s="16" t="str">
        <f>IF(AA111&lt;&gt;"",ROUND(AA111*SI!$C$9,0),"")</f>
        <v/>
      </c>
      <c r="AD111" s="4" t="str">
        <f>IF(AC111&lt;&gt;"",ROUND(AC111/(SI!$C$9*SI!$C$10),2),"")</f>
        <v/>
      </c>
      <c r="AE111" s="30" t="str">
        <f>IF(AND(X111&lt;&gt;""), ROUND((SI!$E$23)*(X111/SUM($X$5:$X$493)),0),"")</f>
        <v/>
      </c>
      <c r="AF111" s="272" t="str">
        <f t="shared" si="36"/>
        <v/>
      </c>
      <c r="AG111" s="28" t="str">
        <f t="shared" si="37"/>
        <v/>
      </c>
      <c r="AH111" s="4" t="str">
        <f>IF(AD111&lt;&gt;"",ROUND(AD111*10*SI!$C$9/2,0),"")</f>
        <v/>
      </c>
      <c r="AI111" s="29" t="str">
        <f>IF(AND(X111&lt;&gt;""), ROUND((SI!$E$28)*(X111/SUM($X$5:$X$493)),0),"")</f>
        <v/>
      </c>
      <c r="AJ111" s="4" t="str">
        <f t="shared" si="38"/>
        <v/>
      </c>
      <c r="AK111" s="4" t="str">
        <f t="shared" si="39"/>
        <v/>
      </c>
      <c r="AL111" s="4" t="str">
        <f t="shared" si="40"/>
        <v/>
      </c>
      <c r="AM111" s="4" t="str">
        <f t="shared" si="41"/>
        <v/>
      </c>
      <c r="AN111" s="195" t="str">
        <f t="shared" si="42"/>
        <v/>
      </c>
      <c r="AO111" s="261" t="str">
        <f>IF(AND(AM111&lt;&gt;"",P111&lt;&gt;""),ROUND((AM111*((100+SI!$C$11)/100)),0),"")</f>
        <v/>
      </c>
      <c r="AP111" s="28" t="str">
        <f>IF(AG111&lt;&gt;"",ROUND(AG111/SI!$C$9,2),"")</f>
        <v/>
      </c>
      <c r="AQ111" s="4" t="str">
        <f>IF(AH111&lt;&gt;"",ROUND(AH111/SI!$C$9,2),"")</f>
        <v/>
      </c>
      <c r="AR111" s="29" t="str">
        <f>IF(AI111&lt;&gt;"",ROUND(AI111/SI!$C$9,2),"")</f>
        <v/>
      </c>
      <c r="AS111" s="4" t="str">
        <f t="shared" si="43"/>
        <v/>
      </c>
      <c r="AT111" s="4" t="str">
        <f t="shared" si="44"/>
        <v/>
      </c>
      <c r="AU111" s="4" t="str">
        <f>IF(AL111&lt;&gt;"",ROUND(AL111/SI!$C$9,2),"")</f>
        <v/>
      </c>
      <c r="AV111" s="4" t="str">
        <f>IF(AM111&lt;&gt;"",ROUND(AM111/SI!$C$9,2),"")</f>
        <v/>
      </c>
      <c r="AW111" s="4" t="str">
        <f>IF(AN111&lt;&gt;"",ROUND(AN111/SI!$C$9,2),"")</f>
        <v/>
      </c>
      <c r="AX111" s="261" t="str">
        <f>IF(AO111&lt;&gt;"",ROUND(AO111/SI!$C$9,2),"")</f>
        <v/>
      </c>
      <c r="AY111" s="28" t="str">
        <f t="shared" si="45"/>
        <v/>
      </c>
      <c r="AZ111" s="4" t="str">
        <f>IF(AY111&lt;&gt;"",ROUND(AY111/(SI!$C$9*SI!$C$10),2),"")</f>
        <v/>
      </c>
      <c r="BA111" s="4" t="str">
        <f t="shared" si="46"/>
        <v/>
      </c>
      <c r="BB111" s="4" t="str">
        <f t="shared" si="47"/>
        <v/>
      </c>
      <c r="BC111" s="4" t="str">
        <f t="shared" si="48"/>
        <v/>
      </c>
      <c r="BD111" s="4" t="str">
        <f t="shared" si="49"/>
        <v/>
      </c>
      <c r="BE111" s="4" t="str">
        <f>IF(AND(X111&lt;&gt;""),ROUND(X111/SI!$C$10,2),"")</f>
        <v/>
      </c>
      <c r="BF111" s="4" t="str">
        <f t="shared" si="51"/>
        <v/>
      </c>
      <c r="BG111" s="264" t="str">
        <f t="shared" si="50"/>
        <v/>
      </c>
      <c r="BH111" s="71" t="str">
        <f>IF(F111&lt;&gt;"",VLOOKUP(F111,DUTY_2025!A:O,15,FALSE),"")</f>
        <v/>
      </c>
    </row>
    <row r="112" spans="1:60" x14ac:dyDescent="0.25">
      <c r="A112" s="133">
        <f t="shared" si="26"/>
        <v>66</v>
      </c>
      <c r="B112" s="83" t="str">
        <f t="shared" si="27"/>
        <v/>
      </c>
      <c r="C112" s="126">
        <v>1</v>
      </c>
      <c r="D112" s="127"/>
      <c r="E112" s="91"/>
      <c r="F112" s="114"/>
      <c r="G112" s="27" t="str">
        <f>IF(F112&lt;&gt;"",IFERROR(VLOOKUP(F112,DUTY_2025!A:I,6,FALSE),""),"")</f>
        <v/>
      </c>
      <c r="H112" s="85" t="s">
        <v>133</v>
      </c>
      <c r="I112" s="27" t="str">
        <f>IF(F112&lt;&gt;"",IFERROR(VLOOKUP(F112,DUTY_2025!A:H,2,FALSE),""),"")</f>
        <v/>
      </c>
      <c r="J112" s="23"/>
      <c r="K112" s="23"/>
      <c r="L112" s="92"/>
      <c r="M112" s="22"/>
      <c r="N112" s="90"/>
      <c r="O112" s="25"/>
      <c r="P112" s="116"/>
      <c r="Q112" s="23"/>
      <c r="R112" s="27"/>
      <c r="S112" s="86" t="str">
        <f t="shared" si="28"/>
        <v/>
      </c>
      <c r="T112" s="87" t="str">
        <f t="shared" si="29"/>
        <v/>
      </c>
      <c r="U112" s="87" t="str" cm="1">
        <f t="array" ref="U112">IF(AND(H112&lt;&gt;"YES",P112&lt;&gt;"",R112&lt;&gt;"",Q112&lt;&gt;""),
_xlfn.SWITCH(Q112,
"INR",_xlfn.SWITCH(R112,"KG",P112*S112,"CTN",P112,"UNIT",P112*N112,"NET",P112/M112,0),
"USD",_xlfn.SWITCH(R112,"KG",P112*S112*SI!$C$10,"CTN",P112*SI!$C$10,"UNIT",P112*N112*SI!$C$10,"NET",P112*SI!$C$10/M112,0),
"LKR",_xlfn.SWITCH(R112,"KG",P112*S112/SI!$C$9,"CTN",P112/SI!$C$9,"UNIT",P112*N112/SI!$C$9,"NET",P112/(M112*SI!$C$9),0),
0),
"")</f>
        <v/>
      </c>
      <c r="V112" s="87" t="str">
        <f t="shared" si="30"/>
        <v/>
      </c>
      <c r="W112" s="87" t="str">
        <f t="shared" si="31"/>
        <v/>
      </c>
      <c r="X112" s="88" t="str">
        <f t="shared" si="32"/>
        <v/>
      </c>
      <c r="Y112" s="24" t="str">
        <f t="shared" si="33"/>
        <v/>
      </c>
      <c r="Z112" s="267" t="str">
        <f>IF(AND(H112&lt;&gt;"yes",F112&lt;&gt;""),IFERROR(VLOOKUP(F112,DUTY_2025!A:F,5,FALSE),""),"")</f>
        <v/>
      </c>
      <c r="AA112" s="271" t="str">
        <f t="shared" si="34"/>
        <v/>
      </c>
      <c r="AB112" s="16" t="str">
        <f t="shared" si="35"/>
        <v/>
      </c>
      <c r="AC112" s="16" t="str">
        <f>IF(AA112&lt;&gt;"",ROUND(AA112*SI!$C$9,0),"")</f>
        <v/>
      </c>
      <c r="AD112" s="4" t="str">
        <f>IF(AC112&lt;&gt;"",ROUND(AC112/(SI!$C$9*SI!$C$10),2),"")</f>
        <v/>
      </c>
      <c r="AE112" s="30" t="str">
        <f>IF(AND(X112&lt;&gt;""), ROUND((SI!$E$23)*(X112/SUM($X$5:$X$493)),0),"")</f>
        <v/>
      </c>
      <c r="AF112" s="272" t="str">
        <f t="shared" si="36"/>
        <v/>
      </c>
      <c r="AG112" s="28" t="str">
        <f t="shared" si="37"/>
        <v/>
      </c>
      <c r="AH112" s="4" t="str">
        <f>IF(AD112&lt;&gt;"",ROUND(AD112*10*SI!$C$9/2,0),"")</f>
        <v/>
      </c>
      <c r="AI112" s="29" t="str">
        <f>IF(AND(X112&lt;&gt;""), ROUND((SI!$E$28)*(X112/SUM($X$5:$X$493)),0),"")</f>
        <v/>
      </c>
      <c r="AJ112" s="4" t="str">
        <f t="shared" si="38"/>
        <v/>
      </c>
      <c r="AK112" s="4" t="str">
        <f t="shared" si="39"/>
        <v/>
      </c>
      <c r="AL112" s="4" t="str">
        <f t="shared" si="40"/>
        <v/>
      </c>
      <c r="AM112" s="4" t="str">
        <f t="shared" si="41"/>
        <v/>
      </c>
      <c r="AN112" s="195" t="str">
        <f t="shared" si="42"/>
        <v/>
      </c>
      <c r="AO112" s="261" t="str">
        <f>IF(AND(AM112&lt;&gt;"",P112&lt;&gt;""),ROUND((AM112*((100+SI!$C$11)/100)),0),"")</f>
        <v/>
      </c>
      <c r="AP112" s="28" t="str">
        <f>IF(AG112&lt;&gt;"",ROUND(AG112/SI!$C$9,2),"")</f>
        <v/>
      </c>
      <c r="AQ112" s="4" t="str">
        <f>IF(AH112&lt;&gt;"",ROUND(AH112/SI!$C$9,2),"")</f>
        <v/>
      </c>
      <c r="AR112" s="29" t="str">
        <f>IF(AI112&lt;&gt;"",ROUND(AI112/SI!$C$9,2),"")</f>
        <v/>
      </c>
      <c r="AS112" s="4" t="str">
        <f t="shared" si="43"/>
        <v/>
      </c>
      <c r="AT112" s="4" t="str">
        <f t="shared" si="44"/>
        <v/>
      </c>
      <c r="AU112" s="4" t="str">
        <f>IF(AL112&lt;&gt;"",ROUND(AL112/SI!$C$9,2),"")</f>
        <v/>
      </c>
      <c r="AV112" s="4" t="str">
        <f>IF(AM112&lt;&gt;"",ROUND(AM112/SI!$C$9,2),"")</f>
        <v/>
      </c>
      <c r="AW112" s="4" t="str">
        <f>IF(AN112&lt;&gt;"",ROUND(AN112/SI!$C$9,2),"")</f>
        <v/>
      </c>
      <c r="AX112" s="261" t="str">
        <f>IF(AO112&lt;&gt;"",ROUND(AO112/SI!$C$9,2),"")</f>
        <v/>
      </c>
      <c r="AY112" s="28" t="str">
        <f t="shared" si="45"/>
        <v/>
      </c>
      <c r="AZ112" s="4" t="str">
        <f>IF(AY112&lt;&gt;"",ROUND(AY112/(SI!$C$9*SI!$C$10),2),"")</f>
        <v/>
      </c>
      <c r="BA112" s="4" t="str">
        <f t="shared" si="46"/>
        <v/>
      </c>
      <c r="BB112" s="4" t="str">
        <f t="shared" si="47"/>
        <v/>
      </c>
      <c r="BC112" s="4" t="str">
        <f t="shared" si="48"/>
        <v/>
      </c>
      <c r="BD112" s="4" t="str">
        <f t="shared" si="49"/>
        <v/>
      </c>
      <c r="BE112" s="4" t="str">
        <f>IF(AND(X112&lt;&gt;""),ROUND(X112/SI!$C$10,2),"")</f>
        <v/>
      </c>
      <c r="BF112" s="4" t="str">
        <f t="shared" si="51"/>
        <v/>
      </c>
      <c r="BG112" s="264" t="str">
        <f t="shared" si="50"/>
        <v/>
      </c>
      <c r="BH112" s="71" t="str">
        <f>IF(F112&lt;&gt;"",VLOOKUP(F112,DUTY_2025!A:O,15,FALSE),"")</f>
        <v/>
      </c>
    </row>
    <row r="113" spans="1:60" x14ac:dyDescent="0.25">
      <c r="A113" s="133">
        <f t="shared" si="26"/>
        <v>66</v>
      </c>
      <c r="B113" s="83" t="str">
        <f t="shared" si="27"/>
        <v/>
      </c>
      <c r="C113" s="126">
        <v>1</v>
      </c>
      <c r="D113" s="127"/>
      <c r="E113" s="91"/>
      <c r="F113" s="114"/>
      <c r="G113" s="27" t="str">
        <f>IF(F113&lt;&gt;"",IFERROR(VLOOKUP(F113,DUTY_2025!A:I,6,FALSE),""),"")</f>
        <v/>
      </c>
      <c r="H113" s="85" t="s">
        <v>133</v>
      </c>
      <c r="I113" s="27" t="str">
        <f>IF(F113&lt;&gt;"",IFERROR(VLOOKUP(F113,DUTY_2025!A:H,2,FALSE),""),"")</f>
        <v/>
      </c>
      <c r="J113" s="23"/>
      <c r="K113" s="23"/>
      <c r="L113" s="92"/>
      <c r="M113" s="22"/>
      <c r="N113" s="90"/>
      <c r="O113" s="25"/>
      <c r="P113" s="116"/>
      <c r="Q113" s="23"/>
      <c r="R113" s="27"/>
      <c r="S113" s="86" t="str">
        <f t="shared" si="28"/>
        <v/>
      </c>
      <c r="T113" s="87" t="str">
        <f t="shared" si="29"/>
        <v/>
      </c>
      <c r="U113" s="87" t="str" cm="1">
        <f t="array" ref="U113">IF(AND(H113&lt;&gt;"YES",P113&lt;&gt;"",R113&lt;&gt;"",Q113&lt;&gt;""),
_xlfn.SWITCH(Q113,
"INR",_xlfn.SWITCH(R113,"KG",P113*S113,"CTN",P113,"UNIT",P113*N113,"NET",P113/M113,0),
"USD",_xlfn.SWITCH(R113,"KG",P113*S113*SI!$C$10,"CTN",P113*SI!$C$10,"UNIT",P113*N113*SI!$C$10,"NET",P113*SI!$C$10/M113,0),
"LKR",_xlfn.SWITCH(R113,"KG",P113*S113/SI!$C$9,"CTN",P113/SI!$C$9,"UNIT",P113*N113/SI!$C$9,"NET",P113/(M113*SI!$C$9),0),
0),
"")</f>
        <v/>
      </c>
      <c r="V113" s="87" t="str">
        <f t="shared" si="30"/>
        <v/>
      </c>
      <c r="W113" s="87" t="str">
        <f t="shared" si="31"/>
        <v/>
      </c>
      <c r="X113" s="88" t="str">
        <f t="shared" si="32"/>
        <v/>
      </c>
      <c r="Y113" s="24" t="str">
        <f t="shared" si="33"/>
        <v/>
      </c>
      <c r="Z113" s="267" t="str">
        <f>IF(AND(H113&lt;&gt;"yes",F113&lt;&gt;""),IFERROR(VLOOKUP(F113,DUTY_2025!A:F,5,FALSE),""),"")</f>
        <v/>
      </c>
      <c r="AA113" s="271" t="str">
        <f t="shared" si="34"/>
        <v/>
      </c>
      <c r="AB113" s="16" t="str">
        <f t="shared" si="35"/>
        <v/>
      </c>
      <c r="AC113" s="16" t="str">
        <f>IF(AA113&lt;&gt;"",ROUND(AA113*SI!$C$9,0),"")</f>
        <v/>
      </c>
      <c r="AD113" s="4" t="str">
        <f>IF(AC113&lt;&gt;"",ROUND(AC113/(SI!$C$9*SI!$C$10),2),"")</f>
        <v/>
      </c>
      <c r="AE113" s="30" t="str">
        <f>IF(AND(X113&lt;&gt;""), ROUND((SI!$E$23)*(X113/SUM($X$5:$X$493)),0),"")</f>
        <v/>
      </c>
      <c r="AF113" s="272" t="str">
        <f t="shared" si="36"/>
        <v/>
      </c>
      <c r="AG113" s="28" t="str">
        <f t="shared" si="37"/>
        <v/>
      </c>
      <c r="AH113" s="4" t="str">
        <f>IF(AD113&lt;&gt;"",ROUND(AD113*10*SI!$C$9/2,0),"")</f>
        <v/>
      </c>
      <c r="AI113" s="29" t="str">
        <f>IF(AND(X113&lt;&gt;""), ROUND((SI!$E$28)*(X113/SUM($X$5:$X$493)),0),"")</f>
        <v/>
      </c>
      <c r="AJ113" s="4" t="str">
        <f t="shared" si="38"/>
        <v/>
      </c>
      <c r="AK113" s="4" t="str">
        <f t="shared" si="39"/>
        <v/>
      </c>
      <c r="AL113" s="4" t="str">
        <f t="shared" si="40"/>
        <v/>
      </c>
      <c r="AM113" s="4" t="str">
        <f t="shared" si="41"/>
        <v/>
      </c>
      <c r="AN113" s="195" t="str">
        <f t="shared" si="42"/>
        <v/>
      </c>
      <c r="AO113" s="261" t="str">
        <f>IF(AND(AM113&lt;&gt;"",P113&lt;&gt;""),ROUND((AM113*((100+SI!$C$11)/100)),0),"")</f>
        <v/>
      </c>
      <c r="AP113" s="28" t="str">
        <f>IF(AG113&lt;&gt;"",ROUND(AG113/SI!$C$9,2),"")</f>
        <v/>
      </c>
      <c r="AQ113" s="4" t="str">
        <f>IF(AH113&lt;&gt;"",ROUND(AH113/SI!$C$9,2),"")</f>
        <v/>
      </c>
      <c r="AR113" s="29" t="str">
        <f>IF(AI113&lt;&gt;"",ROUND(AI113/SI!$C$9,2),"")</f>
        <v/>
      </c>
      <c r="AS113" s="4" t="str">
        <f t="shared" si="43"/>
        <v/>
      </c>
      <c r="AT113" s="4" t="str">
        <f t="shared" si="44"/>
        <v/>
      </c>
      <c r="AU113" s="4" t="str">
        <f>IF(AL113&lt;&gt;"",ROUND(AL113/SI!$C$9,2),"")</f>
        <v/>
      </c>
      <c r="AV113" s="4" t="str">
        <f>IF(AM113&lt;&gt;"",ROUND(AM113/SI!$C$9,2),"")</f>
        <v/>
      </c>
      <c r="AW113" s="4" t="str">
        <f>IF(AN113&lt;&gt;"",ROUND(AN113/SI!$C$9,2),"")</f>
        <v/>
      </c>
      <c r="AX113" s="261" t="str">
        <f>IF(AO113&lt;&gt;"",ROUND(AO113/SI!$C$9,2),"")</f>
        <v/>
      </c>
      <c r="AY113" s="28" t="str">
        <f t="shared" si="45"/>
        <v/>
      </c>
      <c r="AZ113" s="4" t="str">
        <f>IF(AY113&lt;&gt;"",ROUND(AY113/(SI!$C$9*SI!$C$10),2),"")</f>
        <v/>
      </c>
      <c r="BA113" s="4" t="str">
        <f t="shared" si="46"/>
        <v/>
      </c>
      <c r="BB113" s="4" t="str">
        <f t="shared" si="47"/>
        <v/>
      </c>
      <c r="BC113" s="4" t="str">
        <f t="shared" si="48"/>
        <v/>
      </c>
      <c r="BD113" s="4" t="str">
        <f t="shared" si="49"/>
        <v/>
      </c>
      <c r="BE113" s="4" t="str">
        <f>IF(AND(X113&lt;&gt;""),ROUND(X113/SI!$C$10,2),"")</f>
        <v/>
      </c>
      <c r="BF113" s="4" t="str">
        <f t="shared" si="51"/>
        <v/>
      </c>
      <c r="BG113" s="264" t="str">
        <f t="shared" si="50"/>
        <v/>
      </c>
      <c r="BH113" s="71" t="str">
        <f>IF(F113&lt;&gt;"",VLOOKUP(F113,DUTY_2025!A:O,15,FALSE),"")</f>
        <v/>
      </c>
    </row>
    <row r="114" spans="1:60" x14ac:dyDescent="0.25">
      <c r="A114" s="133">
        <f t="shared" si="26"/>
        <v>66</v>
      </c>
      <c r="B114" s="83" t="str">
        <f t="shared" si="27"/>
        <v/>
      </c>
      <c r="C114" s="126">
        <v>1</v>
      </c>
      <c r="D114" s="127"/>
      <c r="E114" s="91"/>
      <c r="F114" s="114"/>
      <c r="G114" s="27" t="str">
        <f>IF(F114&lt;&gt;"",IFERROR(VLOOKUP(F114,DUTY_2025!A:I,6,FALSE),""),"")</f>
        <v/>
      </c>
      <c r="H114" s="85" t="s">
        <v>133</v>
      </c>
      <c r="I114" s="27" t="str">
        <f>IF(F114&lt;&gt;"",IFERROR(VLOOKUP(F114,DUTY_2025!A:H,2,FALSE),""),"")</f>
        <v/>
      </c>
      <c r="J114" s="23"/>
      <c r="K114" s="23"/>
      <c r="L114" s="92"/>
      <c r="M114" s="22"/>
      <c r="N114" s="90"/>
      <c r="O114" s="25"/>
      <c r="P114" s="116"/>
      <c r="Q114" s="23"/>
      <c r="R114" s="27"/>
      <c r="S114" s="86" t="str">
        <f t="shared" si="28"/>
        <v/>
      </c>
      <c r="T114" s="87" t="str">
        <f t="shared" si="29"/>
        <v/>
      </c>
      <c r="U114" s="87" t="str" cm="1">
        <f t="array" ref="U114">IF(AND(H114&lt;&gt;"YES",P114&lt;&gt;"",R114&lt;&gt;"",Q114&lt;&gt;""),
_xlfn.SWITCH(Q114,
"INR",_xlfn.SWITCH(R114,"KG",P114*S114,"CTN",P114,"UNIT",P114*N114,"NET",P114/M114,0),
"USD",_xlfn.SWITCH(R114,"KG",P114*S114*SI!$C$10,"CTN",P114*SI!$C$10,"UNIT",P114*N114*SI!$C$10,"NET",P114*SI!$C$10/M114,0),
"LKR",_xlfn.SWITCH(R114,"KG",P114*S114/SI!$C$9,"CTN",P114/SI!$C$9,"UNIT",P114*N114/SI!$C$9,"NET",P114/(M114*SI!$C$9),0),
0),
"")</f>
        <v/>
      </c>
      <c r="V114" s="87" t="str">
        <f t="shared" si="30"/>
        <v/>
      </c>
      <c r="W114" s="87" t="str">
        <f t="shared" si="31"/>
        <v/>
      </c>
      <c r="X114" s="88" t="str">
        <f t="shared" si="32"/>
        <v/>
      </c>
      <c r="Y114" s="24" t="str">
        <f t="shared" si="33"/>
        <v/>
      </c>
      <c r="Z114" s="267" t="str">
        <f>IF(AND(H114&lt;&gt;"yes",F114&lt;&gt;""),IFERROR(VLOOKUP(F114,DUTY_2025!A:F,5,FALSE),""),"")</f>
        <v/>
      </c>
      <c r="AA114" s="271" t="str">
        <f t="shared" si="34"/>
        <v/>
      </c>
      <c r="AB114" s="16" t="str">
        <f t="shared" si="35"/>
        <v/>
      </c>
      <c r="AC114" s="16" t="str">
        <f>IF(AA114&lt;&gt;"",ROUND(AA114*SI!$C$9,0),"")</f>
        <v/>
      </c>
      <c r="AD114" s="4" t="str">
        <f>IF(AC114&lt;&gt;"",ROUND(AC114/(SI!$C$9*SI!$C$10),2),"")</f>
        <v/>
      </c>
      <c r="AE114" s="30" t="str">
        <f>IF(AND(X114&lt;&gt;""), ROUND((SI!$E$23)*(X114/SUM($X$5:$X$493)),0),"")</f>
        <v/>
      </c>
      <c r="AF114" s="272" t="str">
        <f t="shared" si="36"/>
        <v/>
      </c>
      <c r="AG114" s="28" t="str">
        <f t="shared" si="37"/>
        <v/>
      </c>
      <c r="AH114" s="4" t="str">
        <f>IF(AD114&lt;&gt;"",ROUND(AD114*10*SI!$C$9/2,0),"")</f>
        <v/>
      </c>
      <c r="AI114" s="29" t="str">
        <f>IF(AND(X114&lt;&gt;""), ROUND((SI!$E$28)*(X114/SUM($X$5:$X$493)),0),"")</f>
        <v/>
      </c>
      <c r="AJ114" s="4" t="str">
        <f t="shared" si="38"/>
        <v/>
      </c>
      <c r="AK114" s="4" t="str">
        <f t="shared" si="39"/>
        <v/>
      </c>
      <c r="AL114" s="4" t="str">
        <f t="shared" si="40"/>
        <v/>
      </c>
      <c r="AM114" s="4" t="str">
        <f t="shared" si="41"/>
        <v/>
      </c>
      <c r="AN114" s="195" t="str">
        <f t="shared" si="42"/>
        <v/>
      </c>
      <c r="AO114" s="261" t="str">
        <f>IF(AND(AM114&lt;&gt;"",P114&lt;&gt;""),ROUND((AM114*((100+SI!$C$11)/100)),0),"")</f>
        <v/>
      </c>
      <c r="AP114" s="28" t="str">
        <f>IF(AG114&lt;&gt;"",ROUND(AG114/SI!$C$9,2),"")</f>
        <v/>
      </c>
      <c r="AQ114" s="4" t="str">
        <f>IF(AH114&lt;&gt;"",ROUND(AH114/SI!$C$9,2),"")</f>
        <v/>
      </c>
      <c r="AR114" s="29" t="str">
        <f>IF(AI114&lt;&gt;"",ROUND(AI114/SI!$C$9,2),"")</f>
        <v/>
      </c>
      <c r="AS114" s="4" t="str">
        <f t="shared" si="43"/>
        <v/>
      </c>
      <c r="AT114" s="4" t="str">
        <f t="shared" si="44"/>
        <v/>
      </c>
      <c r="AU114" s="4" t="str">
        <f>IF(AL114&lt;&gt;"",ROUND(AL114/SI!$C$9,2),"")</f>
        <v/>
      </c>
      <c r="AV114" s="4" t="str">
        <f>IF(AM114&lt;&gt;"",ROUND(AM114/SI!$C$9,2),"")</f>
        <v/>
      </c>
      <c r="AW114" s="4" t="str">
        <f>IF(AN114&lt;&gt;"",ROUND(AN114/SI!$C$9,2),"")</f>
        <v/>
      </c>
      <c r="AX114" s="261" t="str">
        <f>IF(AO114&lt;&gt;"",ROUND(AO114/SI!$C$9,2),"")</f>
        <v/>
      </c>
      <c r="AY114" s="28" t="str">
        <f t="shared" si="45"/>
        <v/>
      </c>
      <c r="AZ114" s="4" t="str">
        <f>IF(AY114&lt;&gt;"",ROUND(AY114/(SI!$C$9*SI!$C$10),2),"")</f>
        <v/>
      </c>
      <c r="BA114" s="4" t="str">
        <f t="shared" si="46"/>
        <v/>
      </c>
      <c r="BB114" s="4" t="str">
        <f t="shared" si="47"/>
        <v/>
      </c>
      <c r="BC114" s="4" t="str">
        <f t="shared" si="48"/>
        <v/>
      </c>
      <c r="BD114" s="4" t="str">
        <f t="shared" si="49"/>
        <v/>
      </c>
      <c r="BE114" s="4" t="str">
        <f>IF(AND(X114&lt;&gt;""),ROUND(X114/SI!$C$10,2),"")</f>
        <v/>
      </c>
      <c r="BF114" s="4" t="str">
        <f t="shared" si="51"/>
        <v/>
      </c>
      <c r="BG114" s="264" t="str">
        <f t="shared" si="50"/>
        <v/>
      </c>
      <c r="BH114" s="71" t="str">
        <f>IF(F114&lt;&gt;"",VLOOKUP(F114,DUTY_2025!A:O,15,FALSE),"")</f>
        <v/>
      </c>
    </row>
    <row r="115" spans="1:60" x14ac:dyDescent="0.25">
      <c r="A115" s="133">
        <f t="shared" si="26"/>
        <v>66</v>
      </c>
      <c r="B115" s="83" t="str">
        <f t="shared" si="27"/>
        <v/>
      </c>
      <c r="C115" s="126">
        <v>1</v>
      </c>
      <c r="D115" s="127"/>
      <c r="E115" s="91"/>
      <c r="F115" s="114"/>
      <c r="G115" s="27" t="str">
        <f>IF(F115&lt;&gt;"",IFERROR(VLOOKUP(F115,DUTY_2025!A:I,6,FALSE),""),"")</f>
        <v/>
      </c>
      <c r="H115" s="85" t="s">
        <v>133</v>
      </c>
      <c r="I115" s="27" t="str">
        <f>IF(F115&lt;&gt;"",IFERROR(VLOOKUP(F115,DUTY_2025!A:H,2,FALSE),""),"")</f>
        <v/>
      </c>
      <c r="J115" s="23"/>
      <c r="K115" s="23"/>
      <c r="L115" s="92"/>
      <c r="M115" s="22"/>
      <c r="N115" s="90"/>
      <c r="O115" s="25"/>
      <c r="P115" s="116"/>
      <c r="Q115" s="23"/>
      <c r="R115" s="27"/>
      <c r="S115" s="86" t="str">
        <f t="shared" si="28"/>
        <v/>
      </c>
      <c r="T115" s="87" t="str">
        <f t="shared" si="29"/>
        <v/>
      </c>
      <c r="U115" s="87" t="str" cm="1">
        <f t="array" ref="U115">IF(AND(H115&lt;&gt;"YES",P115&lt;&gt;"",R115&lt;&gt;"",Q115&lt;&gt;""),
_xlfn.SWITCH(Q115,
"INR",_xlfn.SWITCH(R115,"KG",P115*S115,"CTN",P115,"UNIT",P115*N115,"NET",P115/M115,0),
"USD",_xlfn.SWITCH(R115,"KG",P115*S115*SI!$C$10,"CTN",P115*SI!$C$10,"UNIT",P115*N115*SI!$C$10,"NET",P115*SI!$C$10/M115,0),
"LKR",_xlfn.SWITCH(R115,"KG",P115*S115/SI!$C$9,"CTN",P115/SI!$C$9,"UNIT",P115*N115/SI!$C$9,"NET",P115/(M115*SI!$C$9),0),
0),
"")</f>
        <v/>
      </c>
      <c r="V115" s="87" t="str">
        <f t="shared" si="30"/>
        <v/>
      </c>
      <c r="W115" s="87" t="str">
        <f t="shared" si="31"/>
        <v/>
      </c>
      <c r="X115" s="88" t="str">
        <f t="shared" si="32"/>
        <v/>
      </c>
      <c r="Y115" s="24" t="str">
        <f t="shared" si="33"/>
        <v/>
      </c>
      <c r="Z115" s="267" t="str">
        <f>IF(AND(H115&lt;&gt;"yes",F115&lt;&gt;""),IFERROR(VLOOKUP(F115,DUTY_2025!A:F,5,FALSE),""),"")</f>
        <v/>
      </c>
      <c r="AA115" s="271" t="str">
        <f t="shared" si="34"/>
        <v/>
      </c>
      <c r="AB115" s="16" t="str">
        <f t="shared" si="35"/>
        <v/>
      </c>
      <c r="AC115" s="16" t="str">
        <f>IF(AA115&lt;&gt;"",ROUND(AA115*SI!$C$9,0),"")</f>
        <v/>
      </c>
      <c r="AD115" s="4" t="str">
        <f>IF(AC115&lt;&gt;"",ROUND(AC115/(SI!$C$9*SI!$C$10),2),"")</f>
        <v/>
      </c>
      <c r="AE115" s="30" t="str">
        <f>IF(AND(X115&lt;&gt;""), ROUND((SI!$E$23)*(X115/SUM($X$5:$X$493)),0),"")</f>
        <v/>
      </c>
      <c r="AF115" s="272" t="str">
        <f t="shared" si="36"/>
        <v/>
      </c>
      <c r="AG115" s="28" t="str">
        <f t="shared" si="37"/>
        <v/>
      </c>
      <c r="AH115" s="4" t="str">
        <f>IF(AD115&lt;&gt;"",ROUND(AD115*10*SI!$C$9/2,0),"")</f>
        <v/>
      </c>
      <c r="AI115" s="29" t="str">
        <f>IF(AND(X115&lt;&gt;""), ROUND((SI!$E$28)*(X115/SUM($X$5:$X$493)),0),"")</f>
        <v/>
      </c>
      <c r="AJ115" s="4" t="str">
        <f t="shared" si="38"/>
        <v/>
      </c>
      <c r="AK115" s="4" t="str">
        <f t="shared" si="39"/>
        <v/>
      </c>
      <c r="AL115" s="4" t="str">
        <f t="shared" si="40"/>
        <v/>
      </c>
      <c r="AM115" s="4" t="str">
        <f t="shared" si="41"/>
        <v/>
      </c>
      <c r="AN115" s="195" t="str">
        <f t="shared" si="42"/>
        <v/>
      </c>
      <c r="AO115" s="261" t="str">
        <f>IF(AND(AM115&lt;&gt;"",P115&lt;&gt;""),ROUND((AM115*((100+SI!$C$11)/100)),0),"")</f>
        <v/>
      </c>
      <c r="AP115" s="28" t="str">
        <f>IF(AG115&lt;&gt;"",ROUND(AG115/SI!$C$9,2),"")</f>
        <v/>
      </c>
      <c r="AQ115" s="4" t="str">
        <f>IF(AH115&lt;&gt;"",ROUND(AH115/SI!$C$9,2),"")</f>
        <v/>
      </c>
      <c r="AR115" s="29" t="str">
        <f>IF(AI115&lt;&gt;"",ROUND(AI115/SI!$C$9,2),"")</f>
        <v/>
      </c>
      <c r="AS115" s="4" t="str">
        <f t="shared" si="43"/>
        <v/>
      </c>
      <c r="AT115" s="4" t="str">
        <f t="shared" si="44"/>
        <v/>
      </c>
      <c r="AU115" s="4" t="str">
        <f>IF(AL115&lt;&gt;"",ROUND(AL115/SI!$C$9,2),"")</f>
        <v/>
      </c>
      <c r="AV115" s="4" t="str">
        <f>IF(AM115&lt;&gt;"",ROUND(AM115/SI!$C$9,2),"")</f>
        <v/>
      </c>
      <c r="AW115" s="4" t="str">
        <f>IF(AN115&lt;&gt;"",ROUND(AN115/SI!$C$9,2),"")</f>
        <v/>
      </c>
      <c r="AX115" s="261" t="str">
        <f>IF(AO115&lt;&gt;"",ROUND(AO115/SI!$C$9,2),"")</f>
        <v/>
      </c>
      <c r="AY115" s="28" t="str">
        <f t="shared" si="45"/>
        <v/>
      </c>
      <c r="AZ115" s="4" t="str">
        <f>IF(AY115&lt;&gt;"",ROUND(AY115/(SI!$C$9*SI!$C$10),2),"")</f>
        <v/>
      </c>
      <c r="BA115" s="4" t="str">
        <f t="shared" si="46"/>
        <v/>
      </c>
      <c r="BB115" s="4" t="str">
        <f t="shared" si="47"/>
        <v/>
      </c>
      <c r="BC115" s="4" t="str">
        <f t="shared" si="48"/>
        <v/>
      </c>
      <c r="BD115" s="4" t="str">
        <f t="shared" si="49"/>
        <v/>
      </c>
      <c r="BE115" s="4" t="str">
        <f>IF(AND(X115&lt;&gt;""),ROUND(X115/SI!$C$10,2),"")</f>
        <v/>
      </c>
      <c r="BF115" s="4" t="str">
        <f t="shared" si="51"/>
        <v/>
      </c>
      <c r="BG115" s="264" t="str">
        <f t="shared" si="50"/>
        <v/>
      </c>
      <c r="BH115" s="71" t="str">
        <f>IF(F115&lt;&gt;"",VLOOKUP(F115,DUTY_2025!A:O,15,FALSE),"")</f>
        <v/>
      </c>
    </row>
    <row r="116" spans="1:60" x14ac:dyDescent="0.25">
      <c r="A116" s="133">
        <f t="shared" si="26"/>
        <v>66</v>
      </c>
      <c r="B116" s="83" t="str">
        <f t="shared" si="27"/>
        <v/>
      </c>
      <c r="C116" s="126">
        <v>1</v>
      </c>
      <c r="D116" s="127"/>
      <c r="E116" s="22"/>
      <c r="F116" s="114"/>
      <c r="G116" s="27" t="str">
        <f>IF(F116&lt;&gt;"",IFERROR(VLOOKUP(F116,DUTY_2025!A:I,6,FALSE),""),"")</f>
        <v/>
      </c>
      <c r="H116" s="85" t="s">
        <v>133</v>
      </c>
      <c r="I116" s="27" t="str">
        <f>IF(F116&lt;&gt;"",IFERROR(VLOOKUP(F116,DUTY_2025!A:H,2,FALSE),""),"")</f>
        <v/>
      </c>
      <c r="J116" s="23"/>
      <c r="K116" s="23"/>
      <c r="L116" s="92"/>
      <c r="M116" s="22"/>
      <c r="N116" s="90"/>
      <c r="O116" s="25"/>
      <c r="P116" s="116"/>
      <c r="Q116" s="23"/>
      <c r="R116" s="27"/>
      <c r="S116" s="86" t="str">
        <f t="shared" si="28"/>
        <v/>
      </c>
      <c r="T116" s="87" t="str">
        <f t="shared" si="29"/>
        <v/>
      </c>
      <c r="U116" s="87" t="str" cm="1">
        <f t="array" ref="U116">IF(AND(H116&lt;&gt;"YES",P116&lt;&gt;"",R116&lt;&gt;"",Q116&lt;&gt;""),
_xlfn.SWITCH(Q116,
"INR",_xlfn.SWITCH(R116,"KG",P116*S116,"CTN",P116,"UNIT",P116*N116,"NET",P116/M116,0),
"USD",_xlfn.SWITCH(R116,"KG",P116*S116*SI!$C$10,"CTN",P116*SI!$C$10,"UNIT",P116*N116*SI!$C$10,"NET",P116*SI!$C$10/M116,0),
"LKR",_xlfn.SWITCH(R116,"KG",P116*S116/SI!$C$9,"CTN",P116/SI!$C$9,"UNIT",P116*N116/SI!$C$9,"NET",P116/(M116*SI!$C$9),0),
0),
"")</f>
        <v/>
      </c>
      <c r="V116" s="87" t="str">
        <f t="shared" si="30"/>
        <v/>
      </c>
      <c r="W116" s="87" t="str">
        <f t="shared" si="31"/>
        <v/>
      </c>
      <c r="X116" s="88" t="str">
        <f t="shared" si="32"/>
        <v/>
      </c>
      <c r="Y116" s="24" t="str">
        <f t="shared" si="33"/>
        <v/>
      </c>
      <c r="Z116" s="267" t="str">
        <f>IF(AND(H116&lt;&gt;"yes",F116&lt;&gt;""),IFERROR(VLOOKUP(F116,DUTY_2025!A:F,5,FALSE),""),"")</f>
        <v/>
      </c>
      <c r="AA116" s="271" t="str">
        <f t="shared" si="34"/>
        <v/>
      </c>
      <c r="AB116" s="16" t="str">
        <f t="shared" si="35"/>
        <v/>
      </c>
      <c r="AC116" s="16" t="str">
        <f>IF(AA116&lt;&gt;"",ROUND(AA116*SI!$C$9,0),"")</f>
        <v/>
      </c>
      <c r="AD116" s="4" t="str">
        <f>IF(AC116&lt;&gt;"",ROUND(AC116/(SI!$C$9*SI!$C$10),2),"")</f>
        <v/>
      </c>
      <c r="AE116" s="30" t="str">
        <f>IF(AND(X116&lt;&gt;""), ROUND((SI!$E$23)*(X116/SUM($X$5:$X$493)),0),"")</f>
        <v/>
      </c>
      <c r="AF116" s="272" t="str">
        <f t="shared" si="36"/>
        <v/>
      </c>
      <c r="AG116" s="28" t="str">
        <f t="shared" si="37"/>
        <v/>
      </c>
      <c r="AH116" s="4" t="str">
        <f>IF(AD116&lt;&gt;"",ROUND(AD116*10*SI!$C$9/2,0),"")</f>
        <v/>
      </c>
      <c r="AI116" s="29" t="str">
        <f>IF(AND(X116&lt;&gt;""), ROUND((SI!$E$28)*(X116/SUM($X$5:$X$493)),0),"")</f>
        <v/>
      </c>
      <c r="AJ116" s="4" t="str">
        <f t="shared" si="38"/>
        <v/>
      </c>
      <c r="AK116" s="4" t="str">
        <f t="shared" si="39"/>
        <v/>
      </c>
      <c r="AL116" s="4" t="str">
        <f t="shared" si="40"/>
        <v/>
      </c>
      <c r="AM116" s="4" t="str">
        <f t="shared" si="41"/>
        <v/>
      </c>
      <c r="AN116" s="195" t="str">
        <f t="shared" si="42"/>
        <v/>
      </c>
      <c r="AO116" s="261" t="str">
        <f>IF(AND(AM116&lt;&gt;"",P116&lt;&gt;""),ROUND((AM116*((100+SI!$C$11)/100)),0),"")</f>
        <v/>
      </c>
      <c r="AP116" s="28" t="str">
        <f>IF(AG116&lt;&gt;"",ROUND(AG116/SI!$C$9,2),"")</f>
        <v/>
      </c>
      <c r="AQ116" s="4" t="str">
        <f>IF(AH116&lt;&gt;"",ROUND(AH116/SI!$C$9,2),"")</f>
        <v/>
      </c>
      <c r="AR116" s="29" t="str">
        <f>IF(AI116&lt;&gt;"",ROUND(AI116/SI!$C$9,2),"")</f>
        <v/>
      </c>
      <c r="AS116" s="4" t="str">
        <f t="shared" si="43"/>
        <v/>
      </c>
      <c r="AT116" s="4" t="str">
        <f t="shared" si="44"/>
        <v/>
      </c>
      <c r="AU116" s="4" t="str">
        <f>IF(AL116&lt;&gt;"",ROUND(AL116/SI!$C$9,2),"")</f>
        <v/>
      </c>
      <c r="AV116" s="4" t="str">
        <f>IF(AM116&lt;&gt;"",ROUND(AM116/SI!$C$9,2),"")</f>
        <v/>
      </c>
      <c r="AW116" s="4" t="str">
        <f>IF(AN116&lt;&gt;"",ROUND(AN116/SI!$C$9,2),"")</f>
        <v/>
      </c>
      <c r="AX116" s="261" t="str">
        <f>IF(AO116&lt;&gt;"",ROUND(AO116/SI!$C$9,2),"")</f>
        <v/>
      </c>
      <c r="AY116" s="28" t="str">
        <f t="shared" si="45"/>
        <v/>
      </c>
      <c r="AZ116" s="4" t="str">
        <f>IF(AY116&lt;&gt;"",ROUND(AY116/(SI!$C$9*SI!$C$10),2),"")</f>
        <v/>
      </c>
      <c r="BA116" s="4" t="str">
        <f t="shared" si="46"/>
        <v/>
      </c>
      <c r="BB116" s="4" t="str">
        <f t="shared" si="47"/>
        <v/>
      </c>
      <c r="BC116" s="4" t="str">
        <f t="shared" si="48"/>
        <v/>
      </c>
      <c r="BD116" s="4" t="str">
        <f t="shared" si="49"/>
        <v/>
      </c>
      <c r="BE116" s="4" t="str">
        <f>IF(AND(X116&lt;&gt;""),ROUND(X116/SI!$C$10,2),"")</f>
        <v/>
      </c>
      <c r="BF116" s="4" t="str">
        <f t="shared" si="51"/>
        <v/>
      </c>
      <c r="BG116" s="264" t="str">
        <f t="shared" si="50"/>
        <v/>
      </c>
      <c r="BH116" s="71" t="str">
        <f>IF(F116&lt;&gt;"",VLOOKUP(F116,DUTY_2025!A:O,15,FALSE),"")</f>
        <v/>
      </c>
    </row>
    <row r="117" spans="1:60" x14ac:dyDescent="0.25">
      <c r="A117" s="133">
        <f t="shared" si="26"/>
        <v>66</v>
      </c>
      <c r="B117" s="83" t="str">
        <f t="shared" si="27"/>
        <v/>
      </c>
      <c r="C117" s="126">
        <v>1</v>
      </c>
      <c r="D117" s="127"/>
      <c r="E117" s="22"/>
      <c r="F117" s="114"/>
      <c r="G117" s="27" t="str">
        <f>IF(F117&lt;&gt;"",IFERROR(VLOOKUP(F117,DUTY_2025!A:I,6,FALSE),""),"")</f>
        <v/>
      </c>
      <c r="H117" s="85" t="s">
        <v>133</v>
      </c>
      <c r="I117" s="27" t="str">
        <f>IF(F117&lt;&gt;"",IFERROR(VLOOKUP(F117,DUTY_2025!A:H,2,FALSE),""),"")</f>
        <v/>
      </c>
      <c r="J117" s="23"/>
      <c r="K117" s="23"/>
      <c r="L117" s="92"/>
      <c r="M117" s="22"/>
      <c r="N117" s="90"/>
      <c r="O117" s="25"/>
      <c r="P117" s="116"/>
      <c r="Q117" s="23"/>
      <c r="R117" s="27"/>
      <c r="S117" s="86" t="str">
        <f t="shared" si="28"/>
        <v/>
      </c>
      <c r="T117" s="87" t="str">
        <f t="shared" si="29"/>
        <v/>
      </c>
      <c r="U117" s="87" t="str" cm="1">
        <f t="array" ref="U117">IF(AND(H117&lt;&gt;"YES",P117&lt;&gt;"",R117&lt;&gt;"",Q117&lt;&gt;""),
_xlfn.SWITCH(Q117,
"INR",_xlfn.SWITCH(R117,"KG",P117*S117,"CTN",P117,"UNIT",P117*N117,"NET",P117/M117,0),
"USD",_xlfn.SWITCH(R117,"KG",P117*S117*SI!$C$10,"CTN",P117*SI!$C$10,"UNIT",P117*N117*SI!$C$10,"NET",P117*SI!$C$10/M117,0),
"LKR",_xlfn.SWITCH(R117,"KG",P117*S117/SI!$C$9,"CTN",P117/SI!$C$9,"UNIT",P117*N117/SI!$C$9,"NET",P117/(M117*SI!$C$9),0),
0),
"")</f>
        <v/>
      </c>
      <c r="V117" s="87" t="str">
        <f t="shared" si="30"/>
        <v/>
      </c>
      <c r="W117" s="87" t="str">
        <f t="shared" si="31"/>
        <v/>
      </c>
      <c r="X117" s="88" t="str">
        <f t="shared" si="32"/>
        <v/>
      </c>
      <c r="Y117" s="24" t="str">
        <f t="shared" si="33"/>
        <v/>
      </c>
      <c r="Z117" s="267" t="str">
        <f>IF(AND(H117&lt;&gt;"yes",F117&lt;&gt;""),IFERROR(VLOOKUP(F117,DUTY_2025!A:F,5,FALSE),""),"")</f>
        <v/>
      </c>
      <c r="AA117" s="271" t="str">
        <f t="shared" si="34"/>
        <v/>
      </c>
      <c r="AB117" s="16" t="str">
        <f t="shared" si="35"/>
        <v/>
      </c>
      <c r="AC117" s="16" t="str">
        <f>IF(AA117&lt;&gt;"",ROUND(AA117*SI!$C$9,0),"")</f>
        <v/>
      </c>
      <c r="AD117" s="4" t="str">
        <f>IF(AC117&lt;&gt;"",ROUND(AC117/(SI!$C$9*SI!$C$10),2),"")</f>
        <v/>
      </c>
      <c r="AE117" s="30" t="str">
        <f>IF(AND(X117&lt;&gt;""), ROUND((SI!$E$23)*(X117/SUM($X$5:$X$493)),0),"")</f>
        <v/>
      </c>
      <c r="AF117" s="272" t="str">
        <f t="shared" si="36"/>
        <v/>
      </c>
      <c r="AG117" s="28" t="str">
        <f t="shared" si="37"/>
        <v/>
      </c>
      <c r="AH117" s="4" t="str">
        <f>IF(AD117&lt;&gt;"",ROUND(AD117*10*SI!$C$9/2,0),"")</f>
        <v/>
      </c>
      <c r="AI117" s="29" t="str">
        <f>IF(AND(X117&lt;&gt;""), ROUND((SI!$E$28)*(X117/SUM($X$5:$X$493)),0),"")</f>
        <v/>
      </c>
      <c r="AJ117" s="4" t="str">
        <f t="shared" si="38"/>
        <v/>
      </c>
      <c r="AK117" s="4" t="str">
        <f t="shared" si="39"/>
        <v/>
      </c>
      <c r="AL117" s="4" t="str">
        <f t="shared" si="40"/>
        <v/>
      </c>
      <c r="AM117" s="4" t="str">
        <f t="shared" si="41"/>
        <v/>
      </c>
      <c r="AN117" s="195" t="str">
        <f t="shared" si="42"/>
        <v/>
      </c>
      <c r="AO117" s="261" t="str">
        <f>IF(AND(AM117&lt;&gt;"",P117&lt;&gt;""),ROUND((AM117*((100+SI!$C$11)/100)),0),"")</f>
        <v/>
      </c>
      <c r="AP117" s="28" t="str">
        <f>IF(AG117&lt;&gt;"",ROUND(AG117/SI!$C$9,2),"")</f>
        <v/>
      </c>
      <c r="AQ117" s="4" t="str">
        <f>IF(AH117&lt;&gt;"",ROUND(AH117/SI!$C$9,2),"")</f>
        <v/>
      </c>
      <c r="AR117" s="29" t="str">
        <f>IF(AI117&lt;&gt;"",ROUND(AI117/SI!$C$9,2),"")</f>
        <v/>
      </c>
      <c r="AS117" s="4" t="str">
        <f t="shared" si="43"/>
        <v/>
      </c>
      <c r="AT117" s="4" t="str">
        <f t="shared" si="44"/>
        <v/>
      </c>
      <c r="AU117" s="4" t="str">
        <f>IF(AL117&lt;&gt;"",ROUND(AL117/SI!$C$9,2),"")</f>
        <v/>
      </c>
      <c r="AV117" s="4" t="str">
        <f>IF(AM117&lt;&gt;"",ROUND(AM117/SI!$C$9,2),"")</f>
        <v/>
      </c>
      <c r="AW117" s="4" t="str">
        <f>IF(AN117&lt;&gt;"",ROUND(AN117/SI!$C$9,2),"")</f>
        <v/>
      </c>
      <c r="AX117" s="261" t="str">
        <f>IF(AO117&lt;&gt;"",ROUND(AO117/SI!$C$9,2),"")</f>
        <v/>
      </c>
      <c r="AY117" s="28" t="str">
        <f t="shared" si="45"/>
        <v/>
      </c>
      <c r="AZ117" s="4" t="str">
        <f>IF(AY117&lt;&gt;"",ROUND(AY117/(SI!$C$9*SI!$C$10),2),"")</f>
        <v/>
      </c>
      <c r="BA117" s="4" t="str">
        <f t="shared" si="46"/>
        <v/>
      </c>
      <c r="BB117" s="4" t="str">
        <f t="shared" si="47"/>
        <v/>
      </c>
      <c r="BC117" s="4" t="str">
        <f t="shared" si="48"/>
        <v/>
      </c>
      <c r="BD117" s="4" t="str">
        <f t="shared" si="49"/>
        <v/>
      </c>
      <c r="BE117" s="4" t="str">
        <f>IF(AND(X117&lt;&gt;""),ROUND(X117/SI!$C$10,2),"")</f>
        <v/>
      </c>
      <c r="BF117" s="4" t="str">
        <f t="shared" si="51"/>
        <v/>
      </c>
      <c r="BG117" s="264" t="str">
        <f t="shared" si="50"/>
        <v/>
      </c>
      <c r="BH117" s="71" t="str">
        <f>IF(F117&lt;&gt;"",VLOOKUP(F117,DUTY_2025!A:O,15,FALSE),"")</f>
        <v/>
      </c>
    </row>
    <row r="118" spans="1:60" x14ac:dyDescent="0.25">
      <c r="A118" s="133">
        <f t="shared" si="26"/>
        <v>66</v>
      </c>
      <c r="B118" s="83" t="str">
        <f t="shared" si="27"/>
        <v/>
      </c>
      <c r="C118" s="126">
        <v>1</v>
      </c>
      <c r="D118" s="127"/>
      <c r="E118" s="22"/>
      <c r="F118" s="114"/>
      <c r="G118" s="27" t="str">
        <f>IF(F118&lt;&gt;"",IFERROR(VLOOKUP(F118,DUTY_2025!A:I,6,FALSE),""),"")</f>
        <v/>
      </c>
      <c r="H118" s="85" t="s">
        <v>133</v>
      </c>
      <c r="I118" s="27" t="str">
        <f>IF(F118&lt;&gt;"",IFERROR(VLOOKUP(F118,DUTY_2025!A:H,2,FALSE),""),"")</f>
        <v/>
      </c>
      <c r="J118" s="23"/>
      <c r="K118" s="23"/>
      <c r="L118" s="92"/>
      <c r="M118" s="22"/>
      <c r="N118" s="90"/>
      <c r="O118" s="25"/>
      <c r="P118" s="116"/>
      <c r="Q118" s="23"/>
      <c r="R118" s="27"/>
      <c r="S118" s="86" t="str">
        <f t="shared" si="28"/>
        <v/>
      </c>
      <c r="T118" s="87" t="str">
        <f t="shared" si="29"/>
        <v/>
      </c>
      <c r="U118" s="87" t="str" cm="1">
        <f t="array" ref="U118">IF(AND(H118&lt;&gt;"YES",P118&lt;&gt;"",R118&lt;&gt;"",Q118&lt;&gt;""),
_xlfn.SWITCH(Q118,
"INR",_xlfn.SWITCH(R118,"KG",P118*S118,"CTN",P118,"UNIT",P118*N118,"NET",P118/M118,0),
"USD",_xlfn.SWITCH(R118,"KG",P118*S118*SI!$C$10,"CTN",P118*SI!$C$10,"UNIT",P118*N118*SI!$C$10,"NET",P118*SI!$C$10/M118,0),
"LKR",_xlfn.SWITCH(R118,"KG",P118*S118/SI!$C$9,"CTN",P118/SI!$C$9,"UNIT",P118*N118/SI!$C$9,"NET",P118/(M118*SI!$C$9),0),
0),
"")</f>
        <v/>
      </c>
      <c r="V118" s="87" t="str">
        <f t="shared" si="30"/>
        <v/>
      </c>
      <c r="W118" s="87" t="str">
        <f t="shared" si="31"/>
        <v/>
      </c>
      <c r="X118" s="88" t="str">
        <f t="shared" si="32"/>
        <v/>
      </c>
      <c r="Y118" s="24" t="str">
        <f t="shared" si="33"/>
        <v/>
      </c>
      <c r="Z118" s="267" t="str">
        <f>IF(AND(H118&lt;&gt;"yes",F118&lt;&gt;""),IFERROR(VLOOKUP(F118,DUTY_2025!A:F,5,FALSE),""),"")</f>
        <v/>
      </c>
      <c r="AA118" s="271" t="str">
        <f t="shared" si="34"/>
        <v/>
      </c>
      <c r="AB118" s="16" t="str">
        <f t="shared" si="35"/>
        <v/>
      </c>
      <c r="AC118" s="16" t="str">
        <f>IF(AA118&lt;&gt;"",ROUND(AA118*SI!$C$9,0),"")</f>
        <v/>
      </c>
      <c r="AD118" s="4" t="str">
        <f>IF(AC118&lt;&gt;"",ROUND(AC118/(SI!$C$9*SI!$C$10),2),"")</f>
        <v/>
      </c>
      <c r="AE118" s="30" t="str">
        <f>IF(AND(X118&lt;&gt;""), ROUND((SI!$E$23)*(X118/SUM($X$5:$X$493)),0),"")</f>
        <v/>
      </c>
      <c r="AF118" s="272" t="str">
        <f t="shared" si="36"/>
        <v/>
      </c>
      <c r="AG118" s="28" t="str">
        <f t="shared" si="37"/>
        <v/>
      </c>
      <c r="AH118" s="4" t="str">
        <f>IF(AD118&lt;&gt;"",ROUND(AD118*10*SI!$C$9/2,0),"")</f>
        <v/>
      </c>
      <c r="AI118" s="29" t="str">
        <f>IF(AND(X118&lt;&gt;""), ROUND((SI!$E$28)*(X118/SUM($X$5:$X$493)),0),"")</f>
        <v/>
      </c>
      <c r="AJ118" s="4" t="str">
        <f t="shared" si="38"/>
        <v/>
      </c>
      <c r="AK118" s="4" t="str">
        <f t="shared" si="39"/>
        <v/>
      </c>
      <c r="AL118" s="4" t="str">
        <f t="shared" si="40"/>
        <v/>
      </c>
      <c r="AM118" s="4" t="str">
        <f t="shared" si="41"/>
        <v/>
      </c>
      <c r="AN118" s="195" t="str">
        <f t="shared" si="42"/>
        <v/>
      </c>
      <c r="AO118" s="261" t="str">
        <f>IF(AND(AM118&lt;&gt;"",P118&lt;&gt;""),ROUND((AM118*((100+SI!$C$11)/100)),0),"")</f>
        <v/>
      </c>
      <c r="AP118" s="28" t="str">
        <f>IF(AG118&lt;&gt;"",ROUND(AG118/SI!$C$9,2),"")</f>
        <v/>
      </c>
      <c r="AQ118" s="4" t="str">
        <f>IF(AH118&lt;&gt;"",ROUND(AH118/SI!$C$9,2),"")</f>
        <v/>
      </c>
      <c r="AR118" s="29" t="str">
        <f>IF(AI118&lt;&gt;"",ROUND(AI118/SI!$C$9,2),"")</f>
        <v/>
      </c>
      <c r="AS118" s="4" t="str">
        <f t="shared" si="43"/>
        <v/>
      </c>
      <c r="AT118" s="4" t="str">
        <f t="shared" si="44"/>
        <v/>
      </c>
      <c r="AU118" s="4" t="str">
        <f>IF(AL118&lt;&gt;"",ROUND(AL118/SI!$C$9,2),"")</f>
        <v/>
      </c>
      <c r="AV118" s="4" t="str">
        <f>IF(AM118&lt;&gt;"",ROUND(AM118/SI!$C$9,2),"")</f>
        <v/>
      </c>
      <c r="AW118" s="4" t="str">
        <f>IF(AN118&lt;&gt;"",ROUND(AN118/SI!$C$9,2),"")</f>
        <v/>
      </c>
      <c r="AX118" s="261" t="str">
        <f>IF(AO118&lt;&gt;"",ROUND(AO118/SI!$C$9,2),"")</f>
        <v/>
      </c>
      <c r="AY118" s="28" t="str">
        <f t="shared" si="45"/>
        <v/>
      </c>
      <c r="AZ118" s="4" t="str">
        <f>IF(AY118&lt;&gt;"",ROUND(AY118/(SI!$C$9*SI!$C$10),2),"")</f>
        <v/>
      </c>
      <c r="BA118" s="4" t="str">
        <f t="shared" si="46"/>
        <v/>
      </c>
      <c r="BB118" s="4" t="str">
        <f t="shared" si="47"/>
        <v/>
      </c>
      <c r="BC118" s="4" t="str">
        <f t="shared" si="48"/>
        <v/>
      </c>
      <c r="BD118" s="4" t="str">
        <f t="shared" si="49"/>
        <v/>
      </c>
      <c r="BE118" s="4" t="str">
        <f>IF(AND(X118&lt;&gt;""),ROUND(X118/SI!$C$10,2),"")</f>
        <v/>
      </c>
      <c r="BF118" s="4" t="str">
        <f t="shared" si="51"/>
        <v/>
      </c>
      <c r="BG118" s="264" t="str">
        <f t="shared" si="50"/>
        <v/>
      </c>
      <c r="BH118" s="71" t="str">
        <f>IF(F118&lt;&gt;"",VLOOKUP(F118,DUTY_2025!A:O,15,FALSE),"")</f>
        <v/>
      </c>
    </row>
    <row r="119" spans="1:60" x14ac:dyDescent="0.25">
      <c r="A119" s="133">
        <f t="shared" si="26"/>
        <v>66</v>
      </c>
      <c r="B119" s="83" t="str">
        <f t="shared" si="27"/>
        <v/>
      </c>
      <c r="C119" s="126">
        <v>1</v>
      </c>
      <c r="D119" s="127"/>
      <c r="E119" s="22"/>
      <c r="F119" s="114"/>
      <c r="G119" s="27" t="str">
        <f>IF(F119&lt;&gt;"",IFERROR(VLOOKUP(F119,DUTY_2025!A:I,6,FALSE),""),"")</f>
        <v/>
      </c>
      <c r="H119" s="85" t="s">
        <v>133</v>
      </c>
      <c r="I119" s="27" t="str">
        <f>IF(F119&lt;&gt;"",IFERROR(VLOOKUP(F119,DUTY_2025!A:H,2,FALSE),""),"")</f>
        <v/>
      </c>
      <c r="J119" s="23"/>
      <c r="K119" s="23"/>
      <c r="L119" s="92"/>
      <c r="M119" s="22"/>
      <c r="N119" s="90"/>
      <c r="O119" s="25"/>
      <c r="P119" s="300"/>
      <c r="Q119" s="23"/>
      <c r="R119" s="27"/>
      <c r="S119" s="86" t="str">
        <f t="shared" si="28"/>
        <v/>
      </c>
      <c r="T119" s="87" t="str">
        <f t="shared" si="29"/>
        <v/>
      </c>
      <c r="U119" s="87" t="str" cm="1">
        <f t="array" ref="U119">IF(AND(H119&lt;&gt;"YES",P119&lt;&gt;"",R119&lt;&gt;"",Q119&lt;&gt;""),
_xlfn.SWITCH(Q119,
"INR",_xlfn.SWITCH(R119,"KG",P119*S119,"CTN",P119,"UNIT",P119*N119,"NET",P119/M119,0),
"USD",_xlfn.SWITCH(R119,"KG",P119*S119*SI!$C$10,"CTN",P119*SI!$C$10,"UNIT",P119*N119*SI!$C$10,"NET",P119*SI!$C$10/M119,0),
"LKR",_xlfn.SWITCH(R119,"KG",P119*S119/SI!$C$9,"CTN",P119/SI!$C$9,"UNIT",P119*N119/SI!$C$9,"NET",P119/(M119*SI!$C$9),0),
0),
"")</f>
        <v/>
      </c>
      <c r="V119" s="87" t="str">
        <f t="shared" si="30"/>
        <v/>
      </c>
      <c r="W119" s="87" t="str">
        <f t="shared" si="31"/>
        <v/>
      </c>
      <c r="X119" s="88" t="str">
        <f t="shared" si="32"/>
        <v/>
      </c>
      <c r="Y119" s="24" t="str">
        <f t="shared" si="33"/>
        <v/>
      </c>
      <c r="Z119" s="267" t="str">
        <f>IF(AND(H119&lt;&gt;"yes",F119&lt;&gt;""),IFERROR(VLOOKUP(F119,DUTY_2025!A:F,5,FALSE),""),"")</f>
        <v/>
      </c>
      <c r="AA119" s="271" t="str">
        <f t="shared" si="34"/>
        <v/>
      </c>
      <c r="AB119" s="16" t="str">
        <f t="shared" si="35"/>
        <v/>
      </c>
      <c r="AC119" s="16" t="str">
        <f>IF(AA119&lt;&gt;"",ROUND(AA119*SI!$C$9,0),"")</f>
        <v/>
      </c>
      <c r="AD119" s="4" t="str">
        <f>IF(AC119&lt;&gt;"",ROUND(AC119/(SI!$C$9*SI!$C$10),2),"")</f>
        <v/>
      </c>
      <c r="AE119" s="30" t="str">
        <f>IF(AND(X119&lt;&gt;""), ROUND((SI!$E$23)*(X119/SUM($X$5:$X$493)),0),"")</f>
        <v/>
      </c>
      <c r="AF119" s="272" t="str">
        <f t="shared" si="36"/>
        <v/>
      </c>
      <c r="AG119" s="28" t="str">
        <f t="shared" si="37"/>
        <v/>
      </c>
      <c r="AH119" s="4" t="str">
        <f>IF(AD119&lt;&gt;"",ROUND(AD119*10*SI!$C$9/2,0),"")</f>
        <v/>
      </c>
      <c r="AI119" s="29" t="str">
        <f>IF(AND(X119&lt;&gt;""), ROUND((SI!$E$28)*(X119/SUM($X$5:$X$493)),0),"")</f>
        <v/>
      </c>
      <c r="AJ119" s="4" t="str">
        <f t="shared" si="38"/>
        <v/>
      </c>
      <c r="AK119" s="4" t="str">
        <f t="shared" si="39"/>
        <v/>
      </c>
      <c r="AL119" s="4" t="str">
        <f t="shared" si="40"/>
        <v/>
      </c>
      <c r="AM119" s="4" t="str">
        <f t="shared" si="41"/>
        <v/>
      </c>
      <c r="AN119" s="195" t="str">
        <f t="shared" si="42"/>
        <v/>
      </c>
      <c r="AO119" s="261" t="str">
        <f>IF(AND(AM119&lt;&gt;"",P119&lt;&gt;""),ROUND((AM119*((100+SI!$C$11)/100)),0),"")</f>
        <v/>
      </c>
      <c r="AP119" s="28" t="str">
        <f>IF(AG119&lt;&gt;"",ROUND(AG119/SI!$C$9,2),"")</f>
        <v/>
      </c>
      <c r="AQ119" s="4" t="str">
        <f>IF(AH119&lt;&gt;"",ROUND(AH119/SI!$C$9,2),"")</f>
        <v/>
      </c>
      <c r="AR119" s="29" t="str">
        <f>IF(AI119&lt;&gt;"",ROUND(AI119/SI!$C$9,2),"")</f>
        <v/>
      </c>
      <c r="AS119" s="4" t="str">
        <f t="shared" si="43"/>
        <v/>
      </c>
      <c r="AT119" s="4" t="str">
        <f t="shared" si="44"/>
        <v/>
      </c>
      <c r="AU119" s="4" t="str">
        <f>IF(AL119&lt;&gt;"",ROUND(AL119/SI!$C$9,2),"")</f>
        <v/>
      </c>
      <c r="AV119" s="4" t="str">
        <f>IF(AM119&lt;&gt;"",ROUND(AM119/SI!$C$9,2),"")</f>
        <v/>
      </c>
      <c r="AW119" s="4" t="str">
        <f>IF(AN119&lt;&gt;"",ROUND(AN119/SI!$C$9,2),"")</f>
        <v/>
      </c>
      <c r="AX119" s="261" t="str">
        <f>IF(AO119&lt;&gt;"",ROUND(AO119/SI!$C$9,2),"")</f>
        <v/>
      </c>
      <c r="AY119" s="28" t="str">
        <f t="shared" si="45"/>
        <v/>
      </c>
      <c r="AZ119" s="4" t="str">
        <f>IF(AY119&lt;&gt;"",ROUND(AY119/(SI!$C$9*SI!$C$10),2),"")</f>
        <v/>
      </c>
      <c r="BA119" s="4" t="str">
        <f t="shared" si="46"/>
        <v/>
      </c>
      <c r="BB119" s="4" t="str">
        <f t="shared" si="47"/>
        <v/>
      </c>
      <c r="BC119" s="4" t="str">
        <f t="shared" si="48"/>
        <v/>
      </c>
      <c r="BD119" s="4" t="str">
        <f t="shared" si="49"/>
        <v/>
      </c>
      <c r="BE119" s="4" t="str">
        <f>IF(AND(X119&lt;&gt;""),ROUND(X119/SI!$C$10,2),"")</f>
        <v/>
      </c>
      <c r="BF119" s="4" t="str">
        <f t="shared" si="51"/>
        <v/>
      </c>
      <c r="BG119" s="264" t="str">
        <f t="shared" si="50"/>
        <v/>
      </c>
      <c r="BH119" s="71" t="str">
        <f>IF(F119&lt;&gt;"",VLOOKUP(F119,DUTY_2025!A:O,15,FALSE),"")</f>
        <v/>
      </c>
    </row>
    <row r="120" spans="1:60" x14ac:dyDescent="0.25">
      <c r="A120" s="133">
        <f t="shared" si="26"/>
        <v>66</v>
      </c>
      <c r="B120" s="83" t="str">
        <f t="shared" si="27"/>
        <v/>
      </c>
      <c r="C120" s="126">
        <v>1</v>
      </c>
      <c r="D120" s="127"/>
      <c r="E120" s="22"/>
      <c r="F120" s="114"/>
      <c r="G120" s="27" t="str">
        <f>IF(F120&lt;&gt;"",IFERROR(VLOOKUP(F120,DUTY_2025!A:I,6,FALSE),""),"")</f>
        <v/>
      </c>
      <c r="H120" s="85" t="s">
        <v>133</v>
      </c>
      <c r="I120" s="27" t="str">
        <f>IF(F120&lt;&gt;"",IFERROR(VLOOKUP(F120,DUTY_2025!A:H,2,FALSE),""),"")</f>
        <v/>
      </c>
      <c r="J120" s="23"/>
      <c r="K120" s="23"/>
      <c r="L120" s="92"/>
      <c r="M120" s="22"/>
      <c r="N120" s="90"/>
      <c r="O120" s="25"/>
      <c r="P120" s="300"/>
      <c r="Q120" s="23"/>
      <c r="R120" s="27"/>
      <c r="S120" s="86" t="str">
        <f t="shared" si="28"/>
        <v/>
      </c>
      <c r="T120" s="87" t="str">
        <f t="shared" si="29"/>
        <v/>
      </c>
      <c r="U120" s="87" t="str" cm="1">
        <f t="array" ref="U120">IF(AND(H120&lt;&gt;"YES",P120&lt;&gt;"",R120&lt;&gt;"",Q120&lt;&gt;""),
_xlfn.SWITCH(Q120,
"INR",_xlfn.SWITCH(R120,"KG",P120*S120,"CTN",P120,"UNIT",P120*N120,"NET",P120/M120,0),
"USD",_xlfn.SWITCH(R120,"KG",P120*S120*SI!$C$10,"CTN",P120*SI!$C$10,"UNIT",P120*N120*SI!$C$10,"NET",P120*SI!$C$10/M120,0),
"LKR",_xlfn.SWITCH(R120,"KG",P120*S120/SI!$C$9,"CTN",P120/SI!$C$9,"UNIT",P120*N120/SI!$C$9,"NET",P120/(M120*SI!$C$9),0),
0),
"")</f>
        <v/>
      </c>
      <c r="V120" s="87" t="str">
        <f t="shared" si="30"/>
        <v/>
      </c>
      <c r="W120" s="87" t="str">
        <f t="shared" si="31"/>
        <v/>
      </c>
      <c r="X120" s="88" t="str">
        <f t="shared" si="32"/>
        <v/>
      </c>
      <c r="Y120" s="24" t="str">
        <f t="shared" si="33"/>
        <v/>
      </c>
      <c r="Z120" s="267" t="str">
        <f>IF(AND(H120&lt;&gt;"yes",F120&lt;&gt;""),IFERROR(VLOOKUP(F120,DUTY_2025!A:F,5,FALSE),""),"")</f>
        <v/>
      </c>
      <c r="AA120" s="271" t="str">
        <f t="shared" si="34"/>
        <v/>
      </c>
      <c r="AB120" s="16" t="str">
        <f t="shared" si="35"/>
        <v/>
      </c>
      <c r="AC120" s="16" t="str">
        <f>IF(AA120&lt;&gt;"",ROUND(AA120*SI!$C$9,0),"")</f>
        <v/>
      </c>
      <c r="AD120" s="4" t="str">
        <f>IF(AC120&lt;&gt;"",ROUND(AC120/(SI!$C$9*SI!$C$10),2),"")</f>
        <v/>
      </c>
      <c r="AE120" s="30" t="str">
        <f>IF(AND(X120&lt;&gt;""), ROUND((SI!$E$23)*(X120/SUM($X$5:$X$493)),0),"")</f>
        <v/>
      </c>
      <c r="AF120" s="272" t="str">
        <f t="shared" si="36"/>
        <v/>
      </c>
      <c r="AG120" s="28" t="str">
        <f t="shared" si="37"/>
        <v/>
      </c>
      <c r="AH120" s="4" t="str">
        <f>IF(AD120&lt;&gt;"",ROUND(AD120*10*SI!$C$9/2,0),"")</f>
        <v/>
      </c>
      <c r="AI120" s="29" t="str">
        <f>IF(AND(X120&lt;&gt;""), ROUND((SI!$E$28)*(X120/SUM($X$5:$X$493)),0),"")</f>
        <v/>
      </c>
      <c r="AJ120" s="4" t="str">
        <f t="shared" si="38"/>
        <v/>
      </c>
      <c r="AK120" s="4" t="str">
        <f t="shared" si="39"/>
        <v/>
      </c>
      <c r="AL120" s="4" t="str">
        <f t="shared" si="40"/>
        <v/>
      </c>
      <c r="AM120" s="4" t="str">
        <f t="shared" si="41"/>
        <v/>
      </c>
      <c r="AN120" s="195" t="str">
        <f t="shared" si="42"/>
        <v/>
      </c>
      <c r="AO120" s="261" t="str">
        <f>IF(AND(AM120&lt;&gt;"",P120&lt;&gt;""),ROUND((AM120*((100+SI!$C$11)/100)),0),"")</f>
        <v/>
      </c>
      <c r="AP120" s="28" t="str">
        <f>IF(AG120&lt;&gt;"",ROUND(AG120/SI!$C$9,2),"")</f>
        <v/>
      </c>
      <c r="AQ120" s="4" t="str">
        <f>IF(AH120&lt;&gt;"",ROUND(AH120/SI!$C$9,2),"")</f>
        <v/>
      </c>
      <c r="AR120" s="29" t="str">
        <f>IF(AI120&lt;&gt;"",ROUND(AI120/SI!$C$9,2),"")</f>
        <v/>
      </c>
      <c r="AS120" s="4" t="str">
        <f t="shared" si="43"/>
        <v/>
      </c>
      <c r="AT120" s="4" t="str">
        <f t="shared" si="44"/>
        <v/>
      </c>
      <c r="AU120" s="4" t="str">
        <f>IF(AL120&lt;&gt;"",ROUND(AL120/SI!$C$9,2),"")</f>
        <v/>
      </c>
      <c r="AV120" s="4" t="str">
        <f>IF(AM120&lt;&gt;"",ROUND(AM120/SI!$C$9,2),"")</f>
        <v/>
      </c>
      <c r="AW120" s="4" t="str">
        <f>IF(AN120&lt;&gt;"",ROUND(AN120/SI!$C$9,2),"")</f>
        <v/>
      </c>
      <c r="AX120" s="261" t="str">
        <f>IF(AO120&lt;&gt;"",ROUND(AO120/SI!$C$9,2),"")</f>
        <v/>
      </c>
      <c r="AY120" s="28" t="str">
        <f t="shared" si="45"/>
        <v/>
      </c>
      <c r="AZ120" s="4" t="str">
        <f>IF(AY120&lt;&gt;"",ROUND(AY120/(SI!$C$9*SI!$C$10),2),"")</f>
        <v/>
      </c>
      <c r="BA120" s="4" t="str">
        <f t="shared" si="46"/>
        <v/>
      </c>
      <c r="BB120" s="4" t="str">
        <f t="shared" si="47"/>
        <v/>
      </c>
      <c r="BC120" s="4" t="str">
        <f t="shared" si="48"/>
        <v/>
      </c>
      <c r="BD120" s="4" t="str">
        <f t="shared" si="49"/>
        <v/>
      </c>
      <c r="BE120" s="4" t="str">
        <f>IF(AND(X120&lt;&gt;""),ROUND(X120/SI!$C$10,2),"")</f>
        <v/>
      </c>
      <c r="BF120" s="4" t="str">
        <f t="shared" si="51"/>
        <v/>
      </c>
      <c r="BG120" s="264" t="str">
        <f t="shared" si="50"/>
        <v/>
      </c>
      <c r="BH120" s="71" t="str">
        <f>IF(F120&lt;&gt;"",VLOOKUP(F120,DUTY_2025!A:O,15,FALSE),"")</f>
        <v/>
      </c>
    </row>
    <row r="121" spans="1:60" x14ac:dyDescent="0.25">
      <c r="A121" s="133">
        <f t="shared" si="26"/>
        <v>66</v>
      </c>
      <c r="B121" s="83" t="str">
        <f t="shared" si="27"/>
        <v/>
      </c>
      <c r="C121" s="126">
        <v>1</v>
      </c>
      <c r="D121" s="127"/>
      <c r="E121" s="91"/>
      <c r="F121" s="114"/>
      <c r="G121" s="27" t="str">
        <f>IF(F121&lt;&gt;"",IFERROR(VLOOKUP(F121,DUTY_2025!A:I,6,FALSE),""),"")</f>
        <v/>
      </c>
      <c r="H121" s="85" t="s">
        <v>133</v>
      </c>
      <c r="I121" s="27" t="str">
        <f>IF(F121&lt;&gt;"",IFERROR(VLOOKUP(F121,DUTY_2025!A:H,2,FALSE),""),"")</f>
        <v/>
      </c>
      <c r="J121" s="23"/>
      <c r="K121" s="23"/>
      <c r="L121" s="92"/>
      <c r="M121" s="93"/>
      <c r="N121" s="90"/>
      <c r="O121" s="25"/>
      <c r="P121" s="300"/>
      <c r="Q121" s="23"/>
      <c r="R121" s="27"/>
      <c r="S121" s="86" t="str">
        <f t="shared" si="28"/>
        <v/>
      </c>
      <c r="T121" s="87" t="str">
        <f t="shared" si="29"/>
        <v/>
      </c>
      <c r="U121" s="87" t="str" cm="1">
        <f t="array" ref="U121">IF(AND(H121&lt;&gt;"YES",P121&lt;&gt;"",R121&lt;&gt;"",Q121&lt;&gt;""),
_xlfn.SWITCH(Q121,
"INR",_xlfn.SWITCH(R121,"KG",P121*S121,"CTN",P121,"UNIT",P121*N121,"NET",P121/M121,0),
"USD",_xlfn.SWITCH(R121,"KG",P121*S121*SI!$C$10,"CTN",P121*SI!$C$10,"UNIT",P121*N121*SI!$C$10,"NET",P121*SI!$C$10/M121,0),
"LKR",_xlfn.SWITCH(R121,"KG",P121*S121/SI!$C$9,"CTN",P121/SI!$C$9,"UNIT",P121*N121/SI!$C$9,"NET",P121/(M121*SI!$C$9),0),
0),
"")</f>
        <v/>
      </c>
      <c r="V121" s="87" t="str">
        <f t="shared" si="30"/>
        <v/>
      </c>
      <c r="W121" s="87" t="str">
        <f t="shared" si="31"/>
        <v/>
      </c>
      <c r="X121" s="88" t="str">
        <f t="shared" si="32"/>
        <v/>
      </c>
      <c r="Y121" s="24" t="str">
        <f t="shared" si="33"/>
        <v/>
      </c>
      <c r="Z121" s="267" t="str">
        <f>IF(AND(H121&lt;&gt;"yes",F121&lt;&gt;""),IFERROR(VLOOKUP(F121,DUTY_2025!A:F,5,FALSE),""),"")</f>
        <v/>
      </c>
      <c r="AA121" s="271" t="str">
        <f t="shared" si="34"/>
        <v/>
      </c>
      <c r="AB121" s="16" t="str">
        <f t="shared" si="35"/>
        <v/>
      </c>
      <c r="AC121" s="16" t="str">
        <f>IF(AA121&lt;&gt;"",ROUND(AA121*SI!$C$9,0),"")</f>
        <v/>
      </c>
      <c r="AD121" s="4" t="str">
        <f>IF(AC121&lt;&gt;"",ROUND(AC121/(SI!$C$9*SI!$C$10),2),"")</f>
        <v/>
      </c>
      <c r="AE121" s="30" t="str">
        <f>IF(AND(X121&lt;&gt;""), ROUND((SI!$E$23)*(X121/SUM($X$5:$X$493)),0),"")</f>
        <v/>
      </c>
      <c r="AF121" s="272" t="str">
        <f t="shared" si="36"/>
        <v/>
      </c>
      <c r="AG121" s="28" t="str">
        <f t="shared" si="37"/>
        <v/>
      </c>
      <c r="AH121" s="4" t="str">
        <f>IF(AD121&lt;&gt;"",ROUND(AD121*10*SI!$C$9/2,0),"")</f>
        <v/>
      </c>
      <c r="AI121" s="29" t="str">
        <f>IF(AND(X121&lt;&gt;""), ROUND((SI!$E$28)*(X121/SUM($X$5:$X$493)),0),"")</f>
        <v/>
      </c>
      <c r="AJ121" s="4" t="str">
        <f t="shared" si="38"/>
        <v/>
      </c>
      <c r="AK121" s="4" t="str">
        <f t="shared" si="39"/>
        <v/>
      </c>
      <c r="AL121" s="4" t="str">
        <f t="shared" si="40"/>
        <v/>
      </c>
      <c r="AM121" s="4" t="str">
        <f t="shared" si="41"/>
        <v/>
      </c>
      <c r="AN121" s="195" t="str">
        <f t="shared" si="42"/>
        <v/>
      </c>
      <c r="AO121" s="261" t="str">
        <f>IF(AND(AM121&lt;&gt;"",P121&lt;&gt;""),ROUND((AM121*((100+SI!$C$11)/100)),0),"")</f>
        <v/>
      </c>
      <c r="AP121" s="28" t="str">
        <f>IF(AG121&lt;&gt;"",ROUND(AG121/SI!$C$9,2),"")</f>
        <v/>
      </c>
      <c r="AQ121" s="4" t="str">
        <f>IF(AH121&lt;&gt;"",ROUND(AH121/SI!$C$9,2),"")</f>
        <v/>
      </c>
      <c r="AR121" s="29" t="str">
        <f>IF(AI121&lt;&gt;"",ROUND(AI121/SI!$C$9,2),"")</f>
        <v/>
      </c>
      <c r="AS121" s="4" t="str">
        <f t="shared" si="43"/>
        <v/>
      </c>
      <c r="AT121" s="4" t="str">
        <f t="shared" si="44"/>
        <v/>
      </c>
      <c r="AU121" s="4" t="str">
        <f>IF(AL121&lt;&gt;"",ROUND(AL121/SI!$C$9,2),"")</f>
        <v/>
      </c>
      <c r="AV121" s="4" t="str">
        <f>IF(AM121&lt;&gt;"",ROUND(AM121/SI!$C$9,2),"")</f>
        <v/>
      </c>
      <c r="AW121" s="4" t="str">
        <f>IF(AN121&lt;&gt;"",ROUND(AN121/SI!$C$9,2),"")</f>
        <v/>
      </c>
      <c r="AX121" s="261" t="str">
        <f>IF(AO121&lt;&gt;"",ROUND(AO121/SI!$C$9,2),"")</f>
        <v/>
      </c>
      <c r="AY121" s="28" t="str">
        <f t="shared" si="45"/>
        <v/>
      </c>
      <c r="AZ121" s="4" t="str">
        <f>IF(AY121&lt;&gt;"",ROUND(AY121/(SI!$C$9*SI!$C$10),2),"")</f>
        <v/>
      </c>
      <c r="BA121" s="4" t="str">
        <f t="shared" si="46"/>
        <v/>
      </c>
      <c r="BB121" s="4" t="str">
        <f t="shared" si="47"/>
        <v/>
      </c>
      <c r="BC121" s="4" t="str">
        <f t="shared" si="48"/>
        <v/>
      </c>
      <c r="BD121" s="4" t="str">
        <f t="shared" si="49"/>
        <v/>
      </c>
      <c r="BE121" s="4" t="str">
        <f>IF(AND(X121&lt;&gt;""),ROUND(X121/SI!$C$10,2),"")</f>
        <v/>
      </c>
      <c r="BF121" s="4" t="str">
        <f t="shared" si="51"/>
        <v/>
      </c>
      <c r="BG121" s="264" t="str">
        <f t="shared" si="50"/>
        <v/>
      </c>
      <c r="BH121" s="71" t="str">
        <f>IF(F121&lt;&gt;"",VLOOKUP(F121,DUTY_2025!A:O,15,FALSE),"")</f>
        <v/>
      </c>
    </row>
    <row r="122" spans="1:60" x14ac:dyDescent="0.25">
      <c r="A122" s="133">
        <f t="shared" si="26"/>
        <v>66</v>
      </c>
      <c r="B122" s="83" t="str">
        <f t="shared" si="27"/>
        <v/>
      </c>
      <c r="C122" s="126">
        <v>1</v>
      </c>
      <c r="D122" s="127"/>
      <c r="E122" s="91"/>
      <c r="F122" s="114"/>
      <c r="G122" s="27" t="str">
        <f>IF(F122&lt;&gt;"",IFERROR(VLOOKUP(F122,DUTY_2025!A:I,6,FALSE),""),"")</f>
        <v/>
      </c>
      <c r="H122" s="85" t="s">
        <v>133</v>
      </c>
      <c r="I122" s="27" t="str">
        <f>IF(F122&lt;&gt;"",IFERROR(VLOOKUP(F122,DUTY_2025!A:H,2,FALSE),""),"")</f>
        <v/>
      </c>
      <c r="J122" s="23"/>
      <c r="K122" s="23"/>
      <c r="L122" s="92"/>
      <c r="M122" s="93"/>
      <c r="N122" s="90"/>
      <c r="O122" s="25"/>
      <c r="P122" s="300"/>
      <c r="Q122" s="23"/>
      <c r="R122" s="27"/>
      <c r="S122" s="86" t="str">
        <f t="shared" si="28"/>
        <v/>
      </c>
      <c r="T122" s="87" t="str">
        <f t="shared" si="29"/>
        <v/>
      </c>
      <c r="U122" s="87" t="str" cm="1">
        <f t="array" ref="U122">IF(AND(H122&lt;&gt;"YES",P122&lt;&gt;"",R122&lt;&gt;"",Q122&lt;&gt;""),
_xlfn.SWITCH(Q122,
"INR",_xlfn.SWITCH(R122,"KG",P122*S122,"CTN",P122,"UNIT",P122*N122,"NET",P122/M122,0),
"USD",_xlfn.SWITCH(R122,"KG",P122*S122*SI!$C$10,"CTN",P122*SI!$C$10,"UNIT",P122*N122*SI!$C$10,"NET",P122*SI!$C$10/M122,0),
"LKR",_xlfn.SWITCH(R122,"KG",P122*S122/SI!$C$9,"CTN",P122/SI!$C$9,"UNIT",P122*N122/SI!$C$9,"NET",P122/(M122*SI!$C$9),0),
0),
"")</f>
        <v/>
      </c>
      <c r="V122" s="87" t="str">
        <f t="shared" si="30"/>
        <v/>
      </c>
      <c r="W122" s="87" t="str">
        <f t="shared" si="31"/>
        <v/>
      </c>
      <c r="X122" s="88" t="str">
        <f t="shared" si="32"/>
        <v/>
      </c>
      <c r="Y122" s="24" t="str">
        <f t="shared" si="33"/>
        <v/>
      </c>
      <c r="Z122" s="267" t="str">
        <f>IF(AND(H122&lt;&gt;"yes",F122&lt;&gt;""),IFERROR(VLOOKUP(F122,DUTY_2025!A:F,5,FALSE),""),"")</f>
        <v/>
      </c>
      <c r="AA122" s="271" t="str">
        <f t="shared" si="34"/>
        <v/>
      </c>
      <c r="AB122" s="16" t="str">
        <f t="shared" si="35"/>
        <v/>
      </c>
      <c r="AC122" s="16" t="str">
        <f>IF(AA122&lt;&gt;"",ROUND(AA122*SI!$C$9,0),"")</f>
        <v/>
      </c>
      <c r="AD122" s="4" t="str">
        <f>IF(AC122&lt;&gt;"",ROUND(AC122/(SI!$C$9*SI!$C$10),2),"")</f>
        <v/>
      </c>
      <c r="AE122" s="30" t="str">
        <f>IF(AND(X122&lt;&gt;""), ROUND((SI!$E$23)*(X122/SUM($X$5:$X$493)),0),"")</f>
        <v/>
      </c>
      <c r="AF122" s="272" t="str">
        <f t="shared" si="36"/>
        <v/>
      </c>
      <c r="AG122" s="28" t="str">
        <f t="shared" si="37"/>
        <v/>
      </c>
      <c r="AH122" s="4" t="str">
        <f>IF(AD122&lt;&gt;"",ROUND(AD122*10*SI!$C$9/2,0),"")</f>
        <v/>
      </c>
      <c r="AI122" s="29" t="str">
        <f>IF(AND(X122&lt;&gt;""), ROUND((SI!$E$28)*(X122/SUM($X$5:$X$493)),0),"")</f>
        <v/>
      </c>
      <c r="AJ122" s="4" t="str">
        <f t="shared" si="38"/>
        <v/>
      </c>
      <c r="AK122" s="4" t="str">
        <f t="shared" si="39"/>
        <v/>
      </c>
      <c r="AL122" s="4" t="str">
        <f t="shared" si="40"/>
        <v/>
      </c>
      <c r="AM122" s="4" t="str">
        <f t="shared" si="41"/>
        <v/>
      </c>
      <c r="AN122" s="195" t="str">
        <f t="shared" si="42"/>
        <v/>
      </c>
      <c r="AO122" s="261" t="str">
        <f>IF(AND(AM122&lt;&gt;"",P122&lt;&gt;""),ROUND((AM122*((100+SI!$C$11)/100)),0),"")</f>
        <v/>
      </c>
      <c r="AP122" s="28" t="str">
        <f>IF(AG122&lt;&gt;"",ROUND(AG122/SI!$C$9,2),"")</f>
        <v/>
      </c>
      <c r="AQ122" s="4" t="str">
        <f>IF(AH122&lt;&gt;"",ROUND(AH122/SI!$C$9,2),"")</f>
        <v/>
      </c>
      <c r="AR122" s="29" t="str">
        <f>IF(AI122&lt;&gt;"",ROUND(AI122/SI!$C$9,2),"")</f>
        <v/>
      </c>
      <c r="AS122" s="4" t="str">
        <f t="shared" si="43"/>
        <v/>
      </c>
      <c r="AT122" s="4" t="str">
        <f t="shared" si="44"/>
        <v/>
      </c>
      <c r="AU122" s="4" t="str">
        <f>IF(AL122&lt;&gt;"",ROUND(AL122/SI!$C$9,2),"")</f>
        <v/>
      </c>
      <c r="AV122" s="4" t="str">
        <f>IF(AM122&lt;&gt;"",ROUND(AM122/SI!$C$9,2),"")</f>
        <v/>
      </c>
      <c r="AW122" s="4" t="str">
        <f>IF(AN122&lt;&gt;"",ROUND(AN122/SI!$C$9,2),"")</f>
        <v/>
      </c>
      <c r="AX122" s="261" t="str">
        <f>IF(AO122&lt;&gt;"",ROUND(AO122/SI!$C$9,2),"")</f>
        <v/>
      </c>
      <c r="AY122" s="28" t="str">
        <f t="shared" si="45"/>
        <v/>
      </c>
      <c r="AZ122" s="4" t="str">
        <f>IF(AY122&lt;&gt;"",ROUND(AY122/(SI!$C$9*SI!$C$10),2),"")</f>
        <v/>
      </c>
      <c r="BA122" s="4" t="str">
        <f t="shared" si="46"/>
        <v/>
      </c>
      <c r="BB122" s="4" t="str">
        <f t="shared" si="47"/>
        <v/>
      </c>
      <c r="BC122" s="4" t="str">
        <f t="shared" si="48"/>
        <v/>
      </c>
      <c r="BD122" s="4" t="str">
        <f t="shared" si="49"/>
        <v/>
      </c>
      <c r="BE122" s="4" t="str">
        <f>IF(AND(X122&lt;&gt;""),ROUND(X122/SI!$C$10,2),"")</f>
        <v/>
      </c>
      <c r="BF122" s="4" t="str">
        <f t="shared" si="51"/>
        <v/>
      </c>
      <c r="BG122" s="264" t="str">
        <f t="shared" si="50"/>
        <v/>
      </c>
      <c r="BH122" s="71" t="str">
        <f>IF(F122&lt;&gt;"",VLOOKUP(F122,DUTY_2025!A:O,15,FALSE),"")</f>
        <v/>
      </c>
    </row>
    <row r="123" spans="1:60" x14ac:dyDescent="0.25">
      <c r="A123" s="133">
        <f t="shared" si="26"/>
        <v>66</v>
      </c>
      <c r="B123" s="83" t="str">
        <f t="shared" si="27"/>
        <v/>
      </c>
      <c r="C123" s="126">
        <v>1</v>
      </c>
      <c r="D123" s="127"/>
      <c r="E123" s="91"/>
      <c r="F123" s="114"/>
      <c r="G123" s="27" t="str">
        <f>IF(F123&lt;&gt;"",IFERROR(VLOOKUP(F123,DUTY_2025!A:I,6,FALSE),""),"")</f>
        <v/>
      </c>
      <c r="H123" s="85" t="s">
        <v>133</v>
      </c>
      <c r="I123" s="27" t="str">
        <f>IF(F123&lt;&gt;"",IFERROR(VLOOKUP(F123,DUTY_2025!A:H,2,FALSE),""),"")</f>
        <v/>
      </c>
      <c r="J123" s="89"/>
      <c r="K123" s="89"/>
      <c r="L123" s="92"/>
      <c r="M123" s="27"/>
      <c r="N123" s="84"/>
      <c r="O123" s="25"/>
      <c r="P123" s="116"/>
      <c r="Q123" s="23"/>
      <c r="R123" s="27"/>
      <c r="S123" s="86" t="str">
        <f t="shared" si="28"/>
        <v/>
      </c>
      <c r="T123" s="87" t="str">
        <f t="shared" si="29"/>
        <v/>
      </c>
      <c r="U123" s="87" t="str" cm="1">
        <f t="array" ref="U123">IF(AND(H123&lt;&gt;"YES",P123&lt;&gt;"",R123&lt;&gt;"",Q123&lt;&gt;""),
_xlfn.SWITCH(Q123,
"INR",_xlfn.SWITCH(R123,"KG",P123*S123,"CTN",P123,"UNIT",P123*N123,"NET",P123/M123,0),
"USD",_xlfn.SWITCH(R123,"KG",P123*S123*SI!$C$10,"CTN",P123*SI!$C$10,"UNIT",P123*N123*SI!$C$10,"NET",P123*SI!$C$10/M123,0),
"LKR",_xlfn.SWITCH(R123,"KG",P123*S123/SI!$C$9,"CTN",P123/SI!$C$9,"UNIT",P123*N123/SI!$C$9,"NET",P123/(M123*SI!$C$9),0),
0),
"")</f>
        <v/>
      </c>
      <c r="V123" s="87" t="str">
        <f t="shared" si="30"/>
        <v/>
      </c>
      <c r="W123" s="87" t="str">
        <f t="shared" si="31"/>
        <v/>
      </c>
      <c r="X123" s="88" t="str">
        <f t="shared" si="32"/>
        <v/>
      </c>
      <c r="Y123" s="24" t="str">
        <f t="shared" si="33"/>
        <v/>
      </c>
      <c r="Z123" s="267" t="str">
        <f>IF(AND(H123&lt;&gt;"yes",F123&lt;&gt;""),IFERROR(VLOOKUP(F123,DUTY_2025!A:F,5,FALSE),""),"")</f>
        <v/>
      </c>
      <c r="AA123" s="271" t="str">
        <f t="shared" si="34"/>
        <v/>
      </c>
      <c r="AB123" s="16" t="str">
        <f t="shared" si="35"/>
        <v/>
      </c>
      <c r="AC123" s="16" t="str">
        <f>IF(AA123&lt;&gt;"",ROUND(AA123*SI!$C$9,0),"")</f>
        <v/>
      </c>
      <c r="AD123" s="4" t="str">
        <f>IF(AC123&lt;&gt;"",ROUND(AC123/(SI!$C$9*SI!$C$10),2),"")</f>
        <v/>
      </c>
      <c r="AE123" s="30" t="str">
        <f>IF(AND(X123&lt;&gt;""), ROUND((SI!$E$23)*(X123/SUM($X$5:$X$493)),0),"")</f>
        <v/>
      </c>
      <c r="AF123" s="272" t="str">
        <f t="shared" si="36"/>
        <v/>
      </c>
      <c r="AG123" s="28" t="str">
        <f t="shared" si="37"/>
        <v/>
      </c>
      <c r="AH123" s="4" t="str">
        <f>IF(AD123&lt;&gt;"",ROUND(AD123*10*SI!$C$9/2,0),"")</f>
        <v/>
      </c>
      <c r="AI123" s="29" t="str">
        <f>IF(AND(X123&lt;&gt;""), ROUND((SI!$E$28)*(X123/SUM($X$5:$X$493)),0),"")</f>
        <v/>
      </c>
      <c r="AJ123" s="4" t="str">
        <f t="shared" si="38"/>
        <v/>
      </c>
      <c r="AK123" s="4" t="str">
        <f t="shared" si="39"/>
        <v/>
      </c>
      <c r="AL123" s="4" t="str">
        <f t="shared" si="40"/>
        <v/>
      </c>
      <c r="AM123" s="4" t="str">
        <f t="shared" si="41"/>
        <v/>
      </c>
      <c r="AN123" s="195" t="str">
        <f t="shared" si="42"/>
        <v/>
      </c>
      <c r="AO123" s="261" t="str">
        <f>IF(AND(AM123&lt;&gt;"",P123&lt;&gt;""),ROUND((AM123*((100+SI!$C$11)/100)),0),"")</f>
        <v/>
      </c>
      <c r="AP123" s="28" t="str">
        <f>IF(AG123&lt;&gt;"",ROUND(AG123/SI!$C$9,2),"")</f>
        <v/>
      </c>
      <c r="AQ123" s="4" t="str">
        <f>IF(AH123&lt;&gt;"",ROUND(AH123/SI!$C$9,2),"")</f>
        <v/>
      </c>
      <c r="AR123" s="29" t="str">
        <f>IF(AI123&lt;&gt;"",ROUND(AI123/SI!$C$9,2),"")</f>
        <v/>
      </c>
      <c r="AS123" s="4" t="str">
        <f t="shared" si="43"/>
        <v/>
      </c>
      <c r="AT123" s="4" t="str">
        <f t="shared" si="44"/>
        <v/>
      </c>
      <c r="AU123" s="4" t="str">
        <f>IF(AL123&lt;&gt;"",ROUND(AL123/SI!$C$9,2),"")</f>
        <v/>
      </c>
      <c r="AV123" s="4" t="str">
        <f>IF(AM123&lt;&gt;"",ROUND(AM123/SI!$C$9,2),"")</f>
        <v/>
      </c>
      <c r="AW123" s="4" t="str">
        <f>IF(AN123&lt;&gt;"",ROUND(AN123/SI!$C$9,2),"")</f>
        <v/>
      </c>
      <c r="AX123" s="261" t="str">
        <f>IF(AO123&lt;&gt;"",ROUND(AO123/SI!$C$9,2),"")</f>
        <v/>
      </c>
      <c r="AY123" s="28" t="str">
        <f t="shared" si="45"/>
        <v/>
      </c>
      <c r="AZ123" s="4" t="str">
        <f>IF(AY123&lt;&gt;"",ROUND(AY123/(SI!$C$9*SI!$C$10),2),"")</f>
        <v/>
      </c>
      <c r="BA123" s="4" t="str">
        <f t="shared" si="46"/>
        <v/>
      </c>
      <c r="BB123" s="4" t="str">
        <f t="shared" si="47"/>
        <v/>
      </c>
      <c r="BC123" s="4" t="str">
        <f t="shared" si="48"/>
        <v/>
      </c>
      <c r="BD123" s="4" t="str">
        <f t="shared" si="49"/>
        <v/>
      </c>
      <c r="BE123" s="4" t="str">
        <f>IF(AND(X123&lt;&gt;""),ROUND(X123/SI!$C$10,2),"")</f>
        <v/>
      </c>
      <c r="BF123" s="4" t="str">
        <f t="shared" si="51"/>
        <v/>
      </c>
      <c r="BG123" s="264" t="str">
        <f t="shared" si="50"/>
        <v/>
      </c>
      <c r="BH123" s="71" t="str">
        <f>IF(F123&lt;&gt;"",VLOOKUP(F123,DUTY_2025!A:O,15,FALSE),"")</f>
        <v/>
      </c>
    </row>
    <row r="124" spans="1:60" x14ac:dyDescent="0.25">
      <c r="A124" s="133">
        <f t="shared" si="26"/>
        <v>66</v>
      </c>
      <c r="B124" s="83" t="str">
        <f t="shared" si="27"/>
        <v/>
      </c>
      <c r="C124" s="126">
        <v>1</v>
      </c>
      <c r="D124" s="127"/>
      <c r="E124" s="91"/>
      <c r="F124" s="114"/>
      <c r="G124" s="27" t="str">
        <f>IF(F124&lt;&gt;"",IFERROR(VLOOKUP(F124,DUTY_2025!A:I,6,FALSE),""),"")</f>
        <v/>
      </c>
      <c r="H124" s="85" t="s">
        <v>133</v>
      </c>
      <c r="I124" s="27" t="str">
        <f>IF(F124&lt;&gt;"",IFERROR(VLOOKUP(F124,DUTY_2025!A:H,2,FALSE),""),"")</f>
        <v/>
      </c>
      <c r="J124" s="89"/>
      <c r="K124" s="89"/>
      <c r="L124" s="92"/>
      <c r="M124" s="27"/>
      <c r="N124" s="84"/>
      <c r="O124" s="25"/>
      <c r="P124" s="116"/>
      <c r="Q124" s="23"/>
      <c r="R124" s="27"/>
      <c r="S124" s="86" t="str">
        <f t="shared" si="28"/>
        <v/>
      </c>
      <c r="T124" s="87" t="str">
        <f t="shared" si="29"/>
        <v/>
      </c>
      <c r="U124" s="87" t="str" cm="1">
        <f t="array" ref="U124">IF(AND(H124&lt;&gt;"YES",P124&lt;&gt;"",R124&lt;&gt;"",Q124&lt;&gt;""),
_xlfn.SWITCH(Q124,
"INR",_xlfn.SWITCH(R124,"KG",P124*S124,"CTN",P124,"UNIT",P124*N124,"NET",P124/M124,0),
"USD",_xlfn.SWITCH(R124,"KG",P124*S124*SI!$C$10,"CTN",P124*SI!$C$10,"UNIT",P124*N124*SI!$C$10,"NET",P124*SI!$C$10/M124,0),
"LKR",_xlfn.SWITCH(R124,"KG",P124*S124/SI!$C$9,"CTN",P124/SI!$C$9,"UNIT",P124*N124/SI!$C$9,"NET",P124/(M124*SI!$C$9),0),
0),
"")</f>
        <v/>
      </c>
      <c r="V124" s="87" t="str">
        <f t="shared" si="30"/>
        <v/>
      </c>
      <c r="W124" s="87" t="str">
        <f t="shared" si="31"/>
        <v/>
      </c>
      <c r="X124" s="88" t="str">
        <f t="shared" si="32"/>
        <v/>
      </c>
      <c r="Y124" s="24" t="str">
        <f t="shared" si="33"/>
        <v/>
      </c>
      <c r="Z124" s="267" t="str">
        <f>IF(AND(H124&lt;&gt;"yes",F124&lt;&gt;""),IFERROR(VLOOKUP(F124,DUTY_2025!A:F,5,FALSE),""),"")</f>
        <v/>
      </c>
      <c r="AA124" s="271" t="str">
        <f t="shared" si="34"/>
        <v/>
      </c>
      <c r="AB124" s="16" t="str">
        <f t="shared" si="35"/>
        <v/>
      </c>
      <c r="AC124" s="16" t="str">
        <f>IF(AA124&lt;&gt;"",ROUND(AA124*SI!$C$9,0),"")</f>
        <v/>
      </c>
      <c r="AD124" s="4" t="str">
        <f>IF(AC124&lt;&gt;"",ROUND(AC124/(SI!$C$9*SI!$C$10),2),"")</f>
        <v/>
      </c>
      <c r="AE124" s="30" t="str">
        <f>IF(AND(X124&lt;&gt;""), ROUND((SI!$E$23)*(X124/SUM($X$5:$X$493)),0),"")</f>
        <v/>
      </c>
      <c r="AF124" s="272" t="str">
        <f t="shared" si="36"/>
        <v/>
      </c>
      <c r="AG124" s="28" t="str">
        <f t="shared" si="37"/>
        <v/>
      </c>
      <c r="AH124" s="4" t="str">
        <f>IF(AD124&lt;&gt;"",ROUND(AD124*10*SI!$C$9/2,0),"")</f>
        <v/>
      </c>
      <c r="AI124" s="29" t="str">
        <f>IF(AND(X124&lt;&gt;""), ROUND((SI!$E$28)*(X124/SUM($X$5:$X$493)),0),"")</f>
        <v/>
      </c>
      <c r="AJ124" s="4" t="str">
        <f t="shared" si="38"/>
        <v/>
      </c>
      <c r="AK124" s="4" t="str">
        <f t="shared" si="39"/>
        <v/>
      </c>
      <c r="AL124" s="4" t="str">
        <f t="shared" si="40"/>
        <v/>
      </c>
      <c r="AM124" s="4" t="str">
        <f t="shared" si="41"/>
        <v/>
      </c>
      <c r="AN124" s="195" t="str">
        <f t="shared" si="42"/>
        <v/>
      </c>
      <c r="AO124" s="261" t="str">
        <f>IF(AND(AM124&lt;&gt;"",P124&lt;&gt;""),ROUND((AM124*((100+SI!$C$11)/100)),0),"")</f>
        <v/>
      </c>
      <c r="AP124" s="28" t="str">
        <f>IF(AG124&lt;&gt;"",ROUND(AG124/SI!$C$9,2),"")</f>
        <v/>
      </c>
      <c r="AQ124" s="4" t="str">
        <f>IF(AH124&lt;&gt;"",ROUND(AH124/SI!$C$9,2),"")</f>
        <v/>
      </c>
      <c r="AR124" s="29" t="str">
        <f>IF(AI124&lt;&gt;"",ROUND(AI124/SI!$C$9,2),"")</f>
        <v/>
      </c>
      <c r="AS124" s="4" t="str">
        <f t="shared" si="43"/>
        <v/>
      </c>
      <c r="AT124" s="4" t="str">
        <f t="shared" si="44"/>
        <v/>
      </c>
      <c r="AU124" s="4" t="str">
        <f>IF(AL124&lt;&gt;"",ROUND(AL124/SI!$C$9,2),"")</f>
        <v/>
      </c>
      <c r="AV124" s="4" t="str">
        <f>IF(AM124&lt;&gt;"",ROUND(AM124/SI!$C$9,2),"")</f>
        <v/>
      </c>
      <c r="AW124" s="4" t="str">
        <f>IF(AN124&lt;&gt;"",ROUND(AN124/SI!$C$9,2),"")</f>
        <v/>
      </c>
      <c r="AX124" s="261" t="str">
        <f>IF(AO124&lt;&gt;"",ROUND(AO124/SI!$C$9,2),"")</f>
        <v/>
      </c>
      <c r="AY124" s="28" t="str">
        <f t="shared" si="45"/>
        <v/>
      </c>
      <c r="AZ124" s="4" t="str">
        <f>IF(AY124&lt;&gt;"",ROUND(AY124/(SI!$C$9*SI!$C$10),2),"")</f>
        <v/>
      </c>
      <c r="BA124" s="4" t="str">
        <f t="shared" si="46"/>
        <v/>
      </c>
      <c r="BB124" s="4" t="str">
        <f t="shared" si="47"/>
        <v/>
      </c>
      <c r="BC124" s="4" t="str">
        <f t="shared" si="48"/>
        <v/>
      </c>
      <c r="BD124" s="4" t="str">
        <f t="shared" si="49"/>
        <v/>
      </c>
      <c r="BE124" s="4" t="str">
        <f>IF(AND(X124&lt;&gt;""),ROUND(X124/SI!$C$10,2),"")</f>
        <v/>
      </c>
      <c r="BF124" s="4" t="str">
        <f t="shared" si="51"/>
        <v/>
      </c>
      <c r="BG124" s="264" t="str">
        <f t="shared" si="50"/>
        <v/>
      </c>
      <c r="BH124" s="71" t="str">
        <f>IF(F124&lt;&gt;"",VLOOKUP(F124,DUTY_2025!A:O,15,FALSE),"")</f>
        <v/>
      </c>
    </row>
    <row r="125" spans="1:60" x14ac:dyDescent="0.25">
      <c r="A125" s="133">
        <f t="shared" si="26"/>
        <v>66</v>
      </c>
      <c r="B125" s="83" t="str">
        <f t="shared" si="27"/>
        <v/>
      </c>
      <c r="C125" s="126">
        <v>1</v>
      </c>
      <c r="D125" s="127"/>
      <c r="E125" s="91"/>
      <c r="F125" s="114"/>
      <c r="G125" s="27" t="str">
        <f>IF(F125&lt;&gt;"",IFERROR(VLOOKUP(F125,DUTY_2025!A:I,6,FALSE),""),"")</f>
        <v/>
      </c>
      <c r="H125" s="85" t="s">
        <v>133</v>
      </c>
      <c r="I125" s="27" t="str">
        <f>IF(F125&lt;&gt;"",IFERROR(VLOOKUP(F125,DUTY_2025!A:H,2,FALSE),""),"")</f>
        <v/>
      </c>
      <c r="J125" s="99"/>
      <c r="K125" s="99"/>
      <c r="L125" s="91"/>
      <c r="M125" s="25"/>
      <c r="N125" s="90"/>
      <c r="O125" s="25"/>
      <c r="P125" s="116"/>
      <c r="Q125" s="23"/>
      <c r="R125" s="27"/>
      <c r="S125" s="86" t="str">
        <f t="shared" si="28"/>
        <v/>
      </c>
      <c r="T125" s="87" t="str">
        <f t="shared" si="29"/>
        <v/>
      </c>
      <c r="U125" s="87" t="str" cm="1">
        <f t="array" ref="U125">IF(AND(H125&lt;&gt;"YES",P125&lt;&gt;"",R125&lt;&gt;"",Q125&lt;&gt;""),
_xlfn.SWITCH(Q125,
"INR",_xlfn.SWITCH(R125,"KG",P125*S125,"CTN",P125,"UNIT",P125*N125,"NET",P125/M125,0),
"USD",_xlfn.SWITCH(R125,"KG",P125*S125*SI!$C$10,"CTN",P125*SI!$C$10,"UNIT",P125*N125*SI!$C$10,"NET",P125*SI!$C$10/M125,0),
"LKR",_xlfn.SWITCH(R125,"KG",P125*S125/SI!$C$9,"CTN",P125/SI!$C$9,"UNIT",P125*N125/SI!$C$9,"NET",P125/(M125*SI!$C$9),0),
0),
"")</f>
        <v/>
      </c>
      <c r="V125" s="87" t="str">
        <f t="shared" si="30"/>
        <v/>
      </c>
      <c r="W125" s="87" t="str">
        <f t="shared" si="31"/>
        <v/>
      </c>
      <c r="X125" s="88" t="str">
        <f t="shared" si="32"/>
        <v/>
      </c>
      <c r="Y125" s="24" t="str">
        <f t="shared" si="33"/>
        <v/>
      </c>
      <c r="Z125" s="267" t="str">
        <f>IF(AND(H125&lt;&gt;"yes",F125&lt;&gt;""),IFERROR(VLOOKUP(F125,DUTY_2025!A:F,5,FALSE),""),"")</f>
        <v/>
      </c>
      <c r="AA125" s="271" t="str">
        <f t="shared" si="34"/>
        <v/>
      </c>
      <c r="AB125" s="16" t="str">
        <f t="shared" si="35"/>
        <v/>
      </c>
      <c r="AC125" s="16" t="str">
        <f>IF(AA125&lt;&gt;"",ROUND(AA125*SI!$C$9,0),"")</f>
        <v/>
      </c>
      <c r="AD125" s="4" t="str">
        <f>IF(AC125&lt;&gt;"",ROUND(AC125/(SI!$C$9*SI!$C$10),2),"")</f>
        <v/>
      </c>
      <c r="AE125" s="30" t="str">
        <f>IF(AND(X125&lt;&gt;""), ROUND((SI!$E$23)*(X125/SUM($X$5:$X$493)),0),"")</f>
        <v/>
      </c>
      <c r="AF125" s="272" t="str">
        <f t="shared" si="36"/>
        <v/>
      </c>
      <c r="AG125" s="28" t="str">
        <f t="shared" si="37"/>
        <v/>
      </c>
      <c r="AH125" s="4" t="str">
        <f>IF(AD125&lt;&gt;"",ROUND(AD125*10*SI!$C$9/2,0),"")</f>
        <v/>
      </c>
      <c r="AI125" s="29" t="str">
        <f>IF(AND(X125&lt;&gt;""), ROUND((SI!$E$28)*(X125/SUM($X$5:$X$493)),0),"")</f>
        <v/>
      </c>
      <c r="AJ125" s="4" t="str">
        <f t="shared" si="38"/>
        <v/>
      </c>
      <c r="AK125" s="4" t="str">
        <f t="shared" si="39"/>
        <v/>
      </c>
      <c r="AL125" s="4" t="str">
        <f t="shared" si="40"/>
        <v/>
      </c>
      <c r="AM125" s="4" t="str">
        <f t="shared" si="41"/>
        <v/>
      </c>
      <c r="AN125" s="195" t="str">
        <f t="shared" si="42"/>
        <v/>
      </c>
      <c r="AO125" s="261" t="str">
        <f>IF(AND(AM125&lt;&gt;"",P125&lt;&gt;""),ROUND((AM125*((100+SI!$C$11)/100)),0),"")</f>
        <v/>
      </c>
      <c r="AP125" s="28" t="str">
        <f>IF(AG125&lt;&gt;"",ROUND(AG125/SI!$C$9,2),"")</f>
        <v/>
      </c>
      <c r="AQ125" s="4" t="str">
        <f>IF(AH125&lt;&gt;"",ROUND(AH125/SI!$C$9,2),"")</f>
        <v/>
      </c>
      <c r="AR125" s="29" t="str">
        <f>IF(AI125&lt;&gt;"",ROUND(AI125/SI!$C$9,2),"")</f>
        <v/>
      </c>
      <c r="AS125" s="4" t="str">
        <f t="shared" si="43"/>
        <v/>
      </c>
      <c r="AT125" s="4" t="str">
        <f t="shared" si="44"/>
        <v/>
      </c>
      <c r="AU125" s="4" t="str">
        <f>IF(AL125&lt;&gt;"",ROUND(AL125/SI!$C$9,2),"")</f>
        <v/>
      </c>
      <c r="AV125" s="4" t="str">
        <f>IF(AM125&lt;&gt;"",ROUND(AM125/SI!$C$9,2),"")</f>
        <v/>
      </c>
      <c r="AW125" s="4" t="str">
        <f>IF(AN125&lt;&gt;"",ROUND(AN125/SI!$C$9,2),"")</f>
        <v/>
      </c>
      <c r="AX125" s="261" t="str">
        <f>IF(AO125&lt;&gt;"",ROUND(AO125/SI!$C$9,2),"")</f>
        <v/>
      </c>
      <c r="AY125" s="28" t="str">
        <f t="shared" si="45"/>
        <v/>
      </c>
      <c r="AZ125" s="4" t="str">
        <f>IF(AY125&lt;&gt;"",ROUND(AY125/(SI!$C$9*SI!$C$10),2),"")</f>
        <v/>
      </c>
      <c r="BA125" s="4" t="str">
        <f t="shared" si="46"/>
        <v/>
      </c>
      <c r="BB125" s="4" t="str">
        <f t="shared" si="47"/>
        <v/>
      </c>
      <c r="BC125" s="4" t="str">
        <f t="shared" si="48"/>
        <v/>
      </c>
      <c r="BD125" s="4" t="str">
        <f t="shared" si="49"/>
        <v/>
      </c>
      <c r="BE125" s="4" t="str">
        <f>IF(AND(X125&lt;&gt;""),ROUND(X125/SI!$C$10,2),"")</f>
        <v/>
      </c>
      <c r="BF125" s="4" t="str">
        <f t="shared" si="51"/>
        <v/>
      </c>
      <c r="BG125" s="264" t="str">
        <f t="shared" si="50"/>
        <v/>
      </c>
      <c r="BH125" s="71" t="str">
        <f>IF(F125&lt;&gt;"",VLOOKUP(F125,DUTY_2025!A:O,15,FALSE),"")</f>
        <v/>
      </c>
    </row>
    <row r="126" spans="1:60" x14ac:dyDescent="0.25">
      <c r="A126" s="133">
        <f t="shared" si="26"/>
        <v>66</v>
      </c>
      <c r="B126" s="83" t="str">
        <f t="shared" si="27"/>
        <v/>
      </c>
      <c r="C126" s="126">
        <v>1</v>
      </c>
      <c r="D126" s="127"/>
      <c r="E126" s="91"/>
      <c r="F126" s="114"/>
      <c r="G126" s="27" t="str">
        <f>IF(F126&lt;&gt;"",IFERROR(VLOOKUP(F126,DUTY_2025!A:I,6,FALSE),""),"")</f>
        <v/>
      </c>
      <c r="H126" s="85" t="s">
        <v>133</v>
      </c>
      <c r="I126" s="27" t="str">
        <f>IF(F126&lt;&gt;"",IFERROR(VLOOKUP(F126,DUTY_2025!A:H,2,FALSE),""),"")</f>
        <v/>
      </c>
      <c r="J126" s="99"/>
      <c r="K126" s="99"/>
      <c r="L126" s="91"/>
      <c r="M126" s="27"/>
      <c r="N126" s="84"/>
      <c r="O126" s="25"/>
      <c r="P126" s="116"/>
      <c r="Q126" s="23"/>
      <c r="R126" s="27"/>
      <c r="S126" s="86" t="str">
        <f t="shared" si="28"/>
        <v/>
      </c>
      <c r="T126" s="87" t="str">
        <f t="shared" si="29"/>
        <v/>
      </c>
      <c r="U126" s="87" t="str" cm="1">
        <f t="array" ref="U126">IF(AND(H126&lt;&gt;"YES",P126&lt;&gt;"",R126&lt;&gt;"",Q126&lt;&gt;""),
_xlfn.SWITCH(Q126,
"INR",_xlfn.SWITCH(R126,"KG",P126*S126,"CTN",P126,"UNIT",P126*N126,"NET",P126/M126,0),
"USD",_xlfn.SWITCH(R126,"KG",P126*S126*SI!$C$10,"CTN",P126*SI!$C$10,"UNIT",P126*N126*SI!$C$10,"NET",P126*SI!$C$10/M126,0),
"LKR",_xlfn.SWITCH(R126,"KG",P126*S126/SI!$C$9,"CTN",P126/SI!$C$9,"UNIT",P126*N126/SI!$C$9,"NET",P126/(M126*SI!$C$9),0),
0),
"")</f>
        <v/>
      </c>
      <c r="V126" s="87" t="str">
        <f t="shared" si="30"/>
        <v/>
      </c>
      <c r="W126" s="87" t="str">
        <f t="shared" si="31"/>
        <v/>
      </c>
      <c r="X126" s="88" t="str">
        <f t="shared" si="32"/>
        <v/>
      </c>
      <c r="Y126" s="24" t="str">
        <f t="shared" si="33"/>
        <v/>
      </c>
      <c r="Z126" s="267" t="str">
        <f>IF(AND(H126&lt;&gt;"yes",F126&lt;&gt;""),IFERROR(VLOOKUP(F126,DUTY_2025!A:F,5,FALSE),""),"")</f>
        <v/>
      </c>
      <c r="AA126" s="271" t="str">
        <f t="shared" si="34"/>
        <v/>
      </c>
      <c r="AB126" s="16" t="str">
        <f t="shared" si="35"/>
        <v/>
      </c>
      <c r="AC126" s="16" t="str">
        <f>IF(AA126&lt;&gt;"",ROUND(AA126*SI!$C$9,0),"")</f>
        <v/>
      </c>
      <c r="AD126" s="4" t="str">
        <f>IF(AC126&lt;&gt;"",ROUND(AC126/(SI!$C$9*SI!$C$10),2),"")</f>
        <v/>
      </c>
      <c r="AE126" s="30" t="str">
        <f>IF(AND(X126&lt;&gt;""), ROUND((SI!$E$23)*(X126/SUM($X$5:$X$493)),0),"")</f>
        <v/>
      </c>
      <c r="AF126" s="272" t="str">
        <f t="shared" si="36"/>
        <v/>
      </c>
      <c r="AG126" s="28" t="str">
        <f t="shared" si="37"/>
        <v/>
      </c>
      <c r="AH126" s="4" t="str">
        <f>IF(AD126&lt;&gt;"",ROUND(AD126*10*SI!$C$9/2,0),"")</f>
        <v/>
      </c>
      <c r="AI126" s="29" t="str">
        <f>IF(AND(X126&lt;&gt;""), ROUND((SI!$E$28)*(X126/SUM($X$5:$X$493)),0),"")</f>
        <v/>
      </c>
      <c r="AJ126" s="4" t="str">
        <f t="shared" si="38"/>
        <v/>
      </c>
      <c r="AK126" s="4" t="str">
        <f t="shared" si="39"/>
        <v/>
      </c>
      <c r="AL126" s="4" t="str">
        <f t="shared" si="40"/>
        <v/>
      </c>
      <c r="AM126" s="4" t="str">
        <f t="shared" si="41"/>
        <v/>
      </c>
      <c r="AN126" s="195" t="str">
        <f t="shared" si="42"/>
        <v/>
      </c>
      <c r="AO126" s="261" t="str">
        <f>IF(AND(AM126&lt;&gt;"",P126&lt;&gt;""),ROUND((AM126*((100+SI!$C$11)/100)),0),"")</f>
        <v/>
      </c>
      <c r="AP126" s="28" t="str">
        <f>IF(AG126&lt;&gt;"",ROUND(AG126/SI!$C$9,2),"")</f>
        <v/>
      </c>
      <c r="AQ126" s="4" t="str">
        <f>IF(AH126&lt;&gt;"",ROUND(AH126/SI!$C$9,2),"")</f>
        <v/>
      </c>
      <c r="AR126" s="29" t="str">
        <f>IF(AI126&lt;&gt;"",ROUND(AI126/SI!$C$9,2),"")</f>
        <v/>
      </c>
      <c r="AS126" s="4" t="str">
        <f t="shared" si="43"/>
        <v/>
      </c>
      <c r="AT126" s="4" t="str">
        <f t="shared" si="44"/>
        <v/>
      </c>
      <c r="AU126" s="4" t="str">
        <f>IF(AL126&lt;&gt;"",ROUND(AL126/SI!$C$9,2),"")</f>
        <v/>
      </c>
      <c r="AV126" s="4" t="str">
        <f>IF(AM126&lt;&gt;"",ROUND(AM126/SI!$C$9,2),"")</f>
        <v/>
      </c>
      <c r="AW126" s="4" t="str">
        <f>IF(AN126&lt;&gt;"",ROUND(AN126/SI!$C$9,2),"")</f>
        <v/>
      </c>
      <c r="AX126" s="261" t="str">
        <f>IF(AO126&lt;&gt;"",ROUND(AO126/SI!$C$9,2),"")</f>
        <v/>
      </c>
      <c r="AY126" s="28" t="str">
        <f t="shared" si="45"/>
        <v/>
      </c>
      <c r="AZ126" s="4" t="str">
        <f>IF(AY126&lt;&gt;"",ROUND(AY126/(SI!$C$9*SI!$C$10),2),"")</f>
        <v/>
      </c>
      <c r="BA126" s="4" t="str">
        <f t="shared" si="46"/>
        <v/>
      </c>
      <c r="BB126" s="4" t="str">
        <f t="shared" si="47"/>
        <v/>
      </c>
      <c r="BC126" s="4" t="str">
        <f t="shared" si="48"/>
        <v/>
      </c>
      <c r="BD126" s="4" t="str">
        <f t="shared" si="49"/>
        <v/>
      </c>
      <c r="BE126" s="4" t="str">
        <f>IF(AND(X126&lt;&gt;""),ROUND(X126/SI!$C$10,2),"")</f>
        <v/>
      </c>
      <c r="BF126" s="4" t="str">
        <f t="shared" si="51"/>
        <v/>
      </c>
      <c r="BG126" s="264" t="str">
        <f t="shared" si="50"/>
        <v/>
      </c>
      <c r="BH126" s="71" t="str">
        <f>IF(F126&lt;&gt;"",VLOOKUP(F126,DUTY_2025!A:O,15,FALSE),"")</f>
        <v/>
      </c>
    </row>
    <row r="127" spans="1:60" x14ac:dyDescent="0.25">
      <c r="A127" s="133">
        <f t="shared" si="26"/>
        <v>66</v>
      </c>
      <c r="B127" s="83" t="str">
        <f t="shared" si="27"/>
        <v/>
      </c>
      <c r="C127" s="126">
        <v>1</v>
      </c>
      <c r="D127" s="127"/>
      <c r="E127" s="91"/>
      <c r="F127" s="114"/>
      <c r="G127" s="27" t="str">
        <f>IF(F127&lt;&gt;"",IFERROR(VLOOKUP(F127,DUTY_2025!A:I,6,FALSE),""),"")</f>
        <v/>
      </c>
      <c r="H127" s="85" t="s">
        <v>133</v>
      </c>
      <c r="I127" s="27" t="str">
        <f>IF(F127&lt;&gt;"",IFERROR(VLOOKUP(F127,DUTY_2025!A:H,2,FALSE),""),"")</f>
        <v/>
      </c>
      <c r="J127" s="95"/>
      <c r="K127" s="95"/>
      <c r="L127" s="25"/>
      <c r="M127" s="93"/>
      <c r="N127" s="90"/>
      <c r="O127" s="25"/>
      <c r="P127" s="116"/>
      <c r="Q127" s="23"/>
      <c r="R127" s="27"/>
      <c r="S127" s="86" t="str">
        <f t="shared" si="28"/>
        <v/>
      </c>
      <c r="T127" s="87" t="str">
        <f t="shared" si="29"/>
        <v/>
      </c>
      <c r="U127" s="87" t="str" cm="1">
        <f t="array" ref="U127">IF(AND(H127&lt;&gt;"YES",P127&lt;&gt;"",R127&lt;&gt;"",Q127&lt;&gt;""),
_xlfn.SWITCH(Q127,
"INR",_xlfn.SWITCH(R127,"KG",P127*S127,"CTN",P127,"UNIT",P127*N127,"NET",P127/M127,0),
"USD",_xlfn.SWITCH(R127,"KG",P127*S127*SI!$C$10,"CTN",P127*SI!$C$10,"UNIT",P127*N127*SI!$C$10,"NET",P127*SI!$C$10/M127,0),
"LKR",_xlfn.SWITCH(R127,"KG",P127*S127/SI!$C$9,"CTN",P127/SI!$C$9,"UNIT",P127*N127/SI!$C$9,"NET",P127/(M127*SI!$C$9),0),
0),
"")</f>
        <v/>
      </c>
      <c r="V127" s="87" t="str">
        <f t="shared" si="30"/>
        <v/>
      </c>
      <c r="W127" s="87" t="str">
        <f t="shared" si="31"/>
        <v/>
      </c>
      <c r="X127" s="88" t="str">
        <f t="shared" si="32"/>
        <v/>
      </c>
      <c r="Y127" s="24" t="str">
        <f t="shared" si="33"/>
        <v/>
      </c>
      <c r="Z127" s="267" t="str">
        <f>IF(AND(H127&lt;&gt;"yes",F127&lt;&gt;""),IFERROR(VLOOKUP(F127,DUTY_2025!A:F,5,FALSE),""),"")</f>
        <v/>
      </c>
      <c r="AA127" s="271" t="str">
        <f t="shared" si="34"/>
        <v/>
      </c>
      <c r="AB127" s="16" t="str">
        <f t="shared" si="35"/>
        <v/>
      </c>
      <c r="AC127" s="16" t="str">
        <f>IF(AA127&lt;&gt;"",ROUND(AA127*SI!$C$9,0),"")</f>
        <v/>
      </c>
      <c r="AD127" s="4" t="str">
        <f>IF(AC127&lt;&gt;"",ROUND(AC127/(SI!$C$9*SI!$C$10),2),"")</f>
        <v/>
      </c>
      <c r="AE127" s="30" t="str">
        <f>IF(AND(X127&lt;&gt;""), ROUND((SI!$E$23)*(X127/SUM($X$5:$X$493)),0),"")</f>
        <v/>
      </c>
      <c r="AF127" s="272" t="str">
        <f t="shared" si="36"/>
        <v/>
      </c>
      <c r="AG127" s="28" t="str">
        <f t="shared" si="37"/>
        <v/>
      </c>
      <c r="AH127" s="4" t="str">
        <f>IF(AD127&lt;&gt;"",ROUND(AD127*10*SI!$C$9/2,0),"")</f>
        <v/>
      </c>
      <c r="AI127" s="29" t="str">
        <f>IF(AND(X127&lt;&gt;""), ROUND((SI!$E$28)*(X127/SUM($X$5:$X$493)),0),"")</f>
        <v/>
      </c>
      <c r="AJ127" s="4" t="str">
        <f t="shared" si="38"/>
        <v/>
      </c>
      <c r="AK127" s="4" t="str">
        <f t="shared" si="39"/>
        <v/>
      </c>
      <c r="AL127" s="4" t="str">
        <f t="shared" si="40"/>
        <v/>
      </c>
      <c r="AM127" s="4" t="str">
        <f t="shared" si="41"/>
        <v/>
      </c>
      <c r="AN127" s="195" t="str">
        <f t="shared" si="42"/>
        <v/>
      </c>
      <c r="AO127" s="261" t="str">
        <f>IF(AND(AM127&lt;&gt;"",P127&lt;&gt;""),ROUND((AM127*((100+SI!$C$11)/100)),0),"")</f>
        <v/>
      </c>
      <c r="AP127" s="28" t="str">
        <f>IF(AG127&lt;&gt;"",ROUND(AG127/SI!$C$9,2),"")</f>
        <v/>
      </c>
      <c r="AQ127" s="4" t="str">
        <f>IF(AH127&lt;&gt;"",ROUND(AH127/SI!$C$9,2),"")</f>
        <v/>
      </c>
      <c r="AR127" s="29" t="str">
        <f>IF(AI127&lt;&gt;"",ROUND(AI127/SI!$C$9,2),"")</f>
        <v/>
      </c>
      <c r="AS127" s="4" t="str">
        <f t="shared" si="43"/>
        <v/>
      </c>
      <c r="AT127" s="4" t="str">
        <f t="shared" si="44"/>
        <v/>
      </c>
      <c r="AU127" s="4" t="str">
        <f>IF(AL127&lt;&gt;"",ROUND(AL127/SI!$C$9,2),"")</f>
        <v/>
      </c>
      <c r="AV127" s="4" t="str">
        <f>IF(AM127&lt;&gt;"",ROUND(AM127/SI!$C$9,2),"")</f>
        <v/>
      </c>
      <c r="AW127" s="4" t="str">
        <f>IF(AN127&lt;&gt;"",ROUND(AN127/SI!$C$9,2),"")</f>
        <v/>
      </c>
      <c r="AX127" s="261" t="str">
        <f>IF(AO127&lt;&gt;"",ROUND(AO127/SI!$C$9,2),"")</f>
        <v/>
      </c>
      <c r="AY127" s="28" t="str">
        <f t="shared" si="45"/>
        <v/>
      </c>
      <c r="AZ127" s="4" t="str">
        <f>IF(AY127&lt;&gt;"",ROUND(AY127/(SI!$C$9*SI!$C$10),2),"")</f>
        <v/>
      </c>
      <c r="BA127" s="4" t="str">
        <f t="shared" si="46"/>
        <v/>
      </c>
      <c r="BB127" s="4" t="str">
        <f t="shared" si="47"/>
        <v/>
      </c>
      <c r="BC127" s="4" t="str">
        <f t="shared" si="48"/>
        <v/>
      </c>
      <c r="BD127" s="4" t="str">
        <f t="shared" si="49"/>
        <v/>
      </c>
      <c r="BE127" s="4" t="str">
        <f>IF(AND(X127&lt;&gt;""),ROUND(X127/SI!$C$10,2),"")</f>
        <v/>
      </c>
      <c r="BF127" s="4" t="str">
        <f t="shared" si="51"/>
        <v/>
      </c>
      <c r="BG127" s="264" t="str">
        <f t="shared" si="50"/>
        <v/>
      </c>
      <c r="BH127" s="71" t="str">
        <f>IF(F127&lt;&gt;"",VLOOKUP(F127,DUTY_2025!A:O,15,FALSE),"")</f>
        <v/>
      </c>
    </row>
    <row r="128" spans="1:60" x14ac:dyDescent="0.25">
      <c r="A128" s="133">
        <f t="shared" si="26"/>
        <v>66</v>
      </c>
      <c r="B128" s="83" t="str">
        <f t="shared" si="27"/>
        <v/>
      </c>
      <c r="C128" s="126">
        <v>1</v>
      </c>
      <c r="D128" s="127"/>
      <c r="E128" s="91"/>
      <c r="F128" s="114"/>
      <c r="G128" s="27" t="str">
        <f>IF(F128&lt;&gt;"",IFERROR(VLOOKUP(F128,DUTY_2025!A:I,6,FALSE),""),"")</f>
        <v/>
      </c>
      <c r="H128" s="85" t="s">
        <v>133</v>
      </c>
      <c r="I128" s="27" t="str">
        <f>IF(F128&lt;&gt;"",IFERROR(VLOOKUP(F128,DUTY_2025!A:H,2,FALSE),""),"")</f>
        <v/>
      </c>
      <c r="J128" s="99"/>
      <c r="K128" s="99"/>
      <c r="L128" s="91"/>
      <c r="M128" s="93"/>
      <c r="N128" s="90"/>
      <c r="O128" s="25"/>
      <c r="P128" s="116"/>
      <c r="Q128" s="23"/>
      <c r="R128" s="27"/>
      <c r="S128" s="86" t="str">
        <f t="shared" si="28"/>
        <v/>
      </c>
      <c r="T128" s="87" t="str">
        <f t="shared" si="29"/>
        <v/>
      </c>
      <c r="U128" s="87" t="str" cm="1">
        <f t="array" ref="U128">IF(AND(H128&lt;&gt;"YES",P128&lt;&gt;"",R128&lt;&gt;"",Q128&lt;&gt;""),
_xlfn.SWITCH(Q128,
"INR",_xlfn.SWITCH(R128,"KG",P128*S128,"CTN",P128,"UNIT",P128*N128,"NET",P128/M128,0),
"USD",_xlfn.SWITCH(R128,"KG",P128*S128*SI!$C$10,"CTN",P128*SI!$C$10,"UNIT",P128*N128*SI!$C$10,"NET",P128*SI!$C$10/M128,0),
"LKR",_xlfn.SWITCH(R128,"KG",P128*S128/SI!$C$9,"CTN",P128/SI!$C$9,"UNIT",P128*N128/SI!$C$9,"NET",P128/(M128*SI!$C$9),0),
0),
"")</f>
        <v/>
      </c>
      <c r="V128" s="87" t="str">
        <f t="shared" si="30"/>
        <v/>
      </c>
      <c r="W128" s="87" t="str">
        <f t="shared" si="31"/>
        <v/>
      </c>
      <c r="X128" s="88" t="str">
        <f t="shared" si="32"/>
        <v/>
      </c>
      <c r="Y128" s="24" t="str">
        <f t="shared" si="33"/>
        <v/>
      </c>
      <c r="Z128" s="267" t="str">
        <f>IF(AND(H128&lt;&gt;"yes",F128&lt;&gt;""),IFERROR(VLOOKUP(F128,DUTY_2025!A:F,5,FALSE),""),"")</f>
        <v/>
      </c>
      <c r="AA128" s="271" t="str">
        <f t="shared" si="34"/>
        <v/>
      </c>
      <c r="AB128" s="16" t="str">
        <f t="shared" si="35"/>
        <v/>
      </c>
      <c r="AC128" s="16" t="str">
        <f>IF(AA128&lt;&gt;"",ROUND(AA128*SI!$C$9,0),"")</f>
        <v/>
      </c>
      <c r="AD128" s="4" t="str">
        <f>IF(AC128&lt;&gt;"",ROUND(AC128/(SI!$C$9*SI!$C$10),2),"")</f>
        <v/>
      </c>
      <c r="AE128" s="30" t="str">
        <f>IF(AND(X128&lt;&gt;""), ROUND((SI!$E$23)*(X128/SUM($X$5:$X$493)),0),"")</f>
        <v/>
      </c>
      <c r="AF128" s="272" t="str">
        <f t="shared" si="36"/>
        <v/>
      </c>
      <c r="AG128" s="28" t="str">
        <f t="shared" si="37"/>
        <v/>
      </c>
      <c r="AH128" s="4" t="str">
        <f>IF(AD128&lt;&gt;"",ROUND(AD128*10*SI!$C$9/2,0),"")</f>
        <v/>
      </c>
      <c r="AI128" s="29" t="str">
        <f>IF(AND(X128&lt;&gt;""), ROUND((SI!$E$28)*(X128/SUM($X$5:$X$493)),0),"")</f>
        <v/>
      </c>
      <c r="AJ128" s="4" t="str">
        <f t="shared" si="38"/>
        <v/>
      </c>
      <c r="AK128" s="4" t="str">
        <f t="shared" si="39"/>
        <v/>
      </c>
      <c r="AL128" s="4" t="str">
        <f t="shared" si="40"/>
        <v/>
      </c>
      <c r="AM128" s="4" t="str">
        <f t="shared" si="41"/>
        <v/>
      </c>
      <c r="AN128" s="195" t="str">
        <f t="shared" si="42"/>
        <v/>
      </c>
      <c r="AO128" s="261" t="str">
        <f>IF(AND(AM128&lt;&gt;"",P128&lt;&gt;""),ROUND((AM128*((100+SI!$C$11)/100)),0),"")</f>
        <v/>
      </c>
      <c r="AP128" s="28" t="str">
        <f>IF(AG128&lt;&gt;"",ROUND(AG128/SI!$C$9,2),"")</f>
        <v/>
      </c>
      <c r="AQ128" s="4" t="str">
        <f>IF(AH128&lt;&gt;"",ROUND(AH128/SI!$C$9,2),"")</f>
        <v/>
      </c>
      <c r="AR128" s="29" t="str">
        <f>IF(AI128&lt;&gt;"",ROUND(AI128/SI!$C$9,2),"")</f>
        <v/>
      </c>
      <c r="AS128" s="4" t="str">
        <f t="shared" si="43"/>
        <v/>
      </c>
      <c r="AT128" s="4" t="str">
        <f t="shared" si="44"/>
        <v/>
      </c>
      <c r="AU128" s="4" t="str">
        <f>IF(AL128&lt;&gt;"",ROUND(AL128/SI!$C$9,2),"")</f>
        <v/>
      </c>
      <c r="AV128" s="4" t="str">
        <f>IF(AM128&lt;&gt;"",ROUND(AM128/SI!$C$9,2),"")</f>
        <v/>
      </c>
      <c r="AW128" s="4" t="str">
        <f>IF(AN128&lt;&gt;"",ROUND(AN128/SI!$C$9,2),"")</f>
        <v/>
      </c>
      <c r="AX128" s="261" t="str">
        <f>IF(AO128&lt;&gt;"",ROUND(AO128/SI!$C$9,2),"")</f>
        <v/>
      </c>
      <c r="AY128" s="28" t="str">
        <f t="shared" si="45"/>
        <v/>
      </c>
      <c r="AZ128" s="4" t="str">
        <f>IF(AY128&lt;&gt;"",ROUND(AY128/(SI!$C$9*SI!$C$10),2),"")</f>
        <v/>
      </c>
      <c r="BA128" s="4" t="str">
        <f t="shared" si="46"/>
        <v/>
      </c>
      <c r="BB128" s="4" t="str">
        <f t="shared" si="47"/>
        <v/>
      </c>
      <c r="BC128" s="4" t="str">
        <f t="shared" si="48"/>
        <v/>
      </c>
      <c r="BD128" s="4" t="str">
        <f t="shared" si="49"/>
        <v/>
      </c>
      <c r="BE128" s="4" t="str">
        <f>IF(AND(X128&lt;&gt;""),ROUND(X128/SI!$C$10,2),"")</f>
        <v/>
      </c>
      <c r="BF128" s="4" t="str">
        <f t="shared" si="51"/>
        <v/>
      </c>
      <c r="BG128" s="264" t="str">
        <f t="shared" si="50"/>
        <v/>
      </c>
      <c r="BH128" s="71" t="str">
        <f>IF(F128&lt;&gt;"",VLOOKUP(F128,DUTY_2025!A:O,15,FALSE),"")</f>
        <v/>
      </c>
    </row>
    <row r="129" spans="1:60" x14ac:dyDescent="0.25">
      <c r="A129" s="133">
        <f t="shared" si="26"/>
        <v>66</v>
      </c>
      <c r="B129" s="83" t="str">
        <f t="shared" si="27"/>
        <v/>
      </c>
      <c r="C129" s="126">
        <v>1</v>
      </c>
      <c r="D129" s="127"/>
      <c r="E129" s="91"/>
      <c r="F129" s="114"/>
      <c r="G129" s="27" t="str">
        <f>IF(F129&lt;&gt;"",IFERROR(VLOOKUP(F129,DUTY_2025!A:I,6,FALSE),""),"")</f>
        <v/>
      </c>
      <c r="H129" s="85" t="s">
        <v>133</v>
      </c>
      <c r="I129" s="27" t="str">
        <f>IF(F129&lt;&gt;"",IFERROR(VLOOKUP(F129,DUTY_2025!A:H,2,FALSE),""),"")</f>
        <v/>
      </c>
      <c r="J129" s="94"/>
      <c r="K129" s="94"/>
      <c r="L129" s="92"/>
      <c r="M129" s="93"/>
      <c r="N129" s="90"/>
      <c r="O129" s="25"/>
      <c r="P129" s="116"/>
      <c r="Q129" s="23"/>
      <c r="R129" s="27"/>
      <c r="S129" s="86" t="str">
        <f t="shared" si="28"/>
        <v/>
      </c>
      <c r="T129" s="87" t="str">
        <f t="shared" si="29"/>
        <v/>
      </c>
      <c r="U129" s="87" t="str" cm="1">
        <f t="array" ref="U129">IF(AND(H129&lt;&gt;"YES",P129&lt;&gt;"",R129&lt;&gt;"",Q129&lt;&gt;""),
_xlfn.SWITCH(Q129,
"INR",_xlfn.SWITCH(R129,"KG",P129*S129,"CTN",P129,"UNIT",P129*N129,"NET",P129/M129,0),
"USD",_xlfn.SWITCH(R129,"KG",P129*S129*SI!$C$10,"CTN",P129*SI!$C$10,"UNIT",P129*N129*SI!$C$10,"NET",P129*SI!$C$10/M129,0),
"LKR",_xlfn.SWITCH(R129,"KG",P129*S129/SI!$C$9,"CTN",P129/SI!$C$9,"UNIT",P129*N129/SI!$C$9,"NET",P129/(M129*SI!$C$9),0),
0),
"")</f>
        <v/>
      </c>
      <c r="V129" s="87" t="str">
        <f t="shared" si="30"/>
        <v/>
      </c>
      <c r="W129" s="87" t="str">
        <f t="shared" si="31"/>
        <v/>
      </c>
      <c r="X129" s="88" t="str">
        <f t="shared" si="32"/>
        <v/>
      </c>
      <c r="Y129" s="24" t="str">
        <f t="shared" si="33"/>
        <v/>
      </c>
      <c r="Z129" s="267" t="str">
        <f>IF(AND(H129&lt;&gt;"yes",F129&lt;&gt;""),IFERROR(VLOOKUP(F129,DUTY_2025!A:F,5,FALSE),""),"")</f>
        <v/>
      </c>
      <c r="AA129" s="271" t="str">
        <f t="shared" si="34"/>
        <v/>
      </c>
      <c r="AB129" s="16" t="str">
        <f t="shared" si="35"/>
        <v/>
      </c>
      <c r="AC129" s="16" t="str">
        <f>IF(AA129&lt;&gt;"",ROUND(AA129*SI!$C$9,0),"")</f>
        <v/>
      </c>
      <c r="AD129" s="4" t="str">
        <f>IF(AC129&lt;&gt;"",ROUND(AC129/(SI!$C$9*SI!$C$10),2),"")</f>
        <v/>
      </c>
      <c r="AE129" s="30" t="str">
        <f>IF(AND(X129&lt;&gt;""), ROUND((SI!$E$23)*(X129/SUM($X$5:$X$493)),0),"")</f>
        <v/>
      </c>
      <c r="AF129" s="272" t="str">
        <f t="shared" si="36"/>
        <v/>
      </c>
      <c r="AG129" s="28" t="str">
        <f t="shared" si="37"/>
        <v/>
      </c>
      <c r="AH129" s="4" t="str">
        <f>IF(AD129&lt;&gt;"",ROUND(AD129*10*SI!$C$9/2,0),"")</f>
        <v/>
      </c>
      <c r="AI129" s="29" t="str">
        <f>IF(AND(X129&lt;&gt;""), ROUND((SI!$E$28)*(X129/SUM($X$5:$X$493)),0),"")</f>
        <v/>
      </c>
      <c r="AJ129" s="4" t="str">
        <f t="shared" si="38"/>
        <v/>
      </c>
      <c r="AK129" s="4" t="str">
        <f t="shared" si="39"/>
        <v/>
      </c>
      <c r="AL129" s="4" t="str">
        <f t="shared" si="40"/>
        <v/>
      </c>
      <c r="AM129" s="4" t="str">
        <f t="shared" si="41"/>
        <v/>
      </c>
      <c r="AN129" s="195" t="str">
        <f t="shared" si="42"/>
        <v/>
      </c>
      <c r="AO129" s="261" t="str">
        <f>IF(AND(AM129&lt;&gt;"",P129&lt;&gt;""),ROUND((AM129*((100+SI!$C$11)/100)),0),"")</f>
        <v/>
      </c>
      <c r="AP129" s="28" t="str">
        <f>IF(AG129&lt;&gt;"",ROUND(AG129/SI!$C$9,2),"")</f>
        <v/>
      </c>
      <c r="AQ129" s="4" t="str">
        <f>IF(AH129&lt;&gt;"",ROUND(AH129/SI!$C$9,2),"")</f>
        <v/>
      </c>
      <c r="AR129" s="29" t="str">
        <f>IF(AI129&lt;&gt;"",ROUND(AI129/SI!$C$9,2),"")</f>
        <v/>
      </c>
      <c r="AS129" s="4" t="str">
        <f t="shared" si="43"/>
        <v/>
      </c>
      <c r="AT129" s="4" t="str">
        <f t="shared" si="44"/>
        <v/>
      </c>
      <c r="AU129" s="4" t="str">
        <f>IF(AL129&lt;&gt;"",ROUND(AL129/SI!$C$9,2),"")</f>
        <v/>
      </c>
      <c r="AV129" s="4" t="str">
        <f>IF(AM129&lt;&gt;"",ROUND(AM129/SI!$C$9,2),"")</f>
        <v/>
      </c>
      <c r="AW129" s="4" t="str">
        <f>IF(AN129&lt;&gt;"",ROUND(AN129/SI!$C$9,2),"")</f>
        <v/>
      </c>
      <c r="AX129" s="261" t="str">
        <f>IF(AO129&lt;&gt;"",ROUND(AO129/SI!$C$9,2),"")</f>
        <v/>
      </c>
      <c r="AY129" s="28" t="str">
        <f t="shared" si="45"/>
        <v/>
      </c>
      <c r="AZ129" s="4" t="str">
        <f>IF(AY129&lt;&gt;"",ROUND(AY129/(SI!$C$9*SI!$C$10),2),"")</f>
        <v/>
      </c>
      <c r="BA129" s="4" t="str">
        <f t="shared" si="46"/>
        <v/>
      </c>
      <c r="BB129" s="4" t="str">
        <f t="shared" si="47"/>
        <v/>
      </c>
      <c r="BC129" s="4" t="str">
        <f t="shared" si="48"/>
        <v/>
      </c>
      <c r="BD129" s="4" t="str">
        <f t="shared" si="49"/>
        <v/>
      </c>
      <c r="BE129" s="4" t="str">
        <f>IF(AND(X129&lt;&gt;""),ROUND(X129/SI!$C$10,2),"")</f>
        <v/>
      </c>
      <c r="BF129" s="4" t="str">
        <f t="shared" si="51"/>
        <v/>
      </c>
      <c r="BG129" s="264" t="str">
        <f t="shared" si="50"/>
        <v/>
      </c>
      <c r="BH129" s="71" t="str">
        <f>IF(F129&lt;&gt;"",VLOOKUP(F129,DUTY_2025!A:O,15,FALSE),"")</f>
        <v/>
      </c>
    </row>
    <row r="130" spans="1:60" x14ac:dyDescent="0.25">
      <c r="A130" s="133">
        <f t="shared" si="26"/>
        <v>66</v>
      </c>
      <c r="B130" s="83" t="str">
        <f t="shared" si="27"/>
        <v/>
      </c>
      <c r="C130" s="126">
        <v>1</v>
      </c>
      <c r="D130" s="127"/>
      <c r="E130" s="91"/>
      <c r="F130" s="114"/>
      <c r="G130" s="27" t="str">
        <f>IF(F130&lt;&gt;"",IFERROR(VLOOKUP(F130,DUTY_2025!A:I,6,FALSE),""),"")</f>
        <v/>
      </c>
      <c r="H130" s="85" t="s">
        <v>133</v>
      </c>
      <c r="I130" s="27" t="str">
        <f>IF(F130&lt;&gt;"",IFERROR(VLOOKUP(F130,DUTY_2025!A:H,2,FALSE),""),"")</f>
        <v/>
      </c>
      <c r="J130" s="89"/>
      <c r="K130" s="89"/>
      <c r="L130" s="92"/>
      <c r="M130" s="93"/>
      <c r="N130" s="90"/>
      <c r="O130" s="25"/>
      <c r="P130" s="116"/>
      <c r="Q130" s="23"/>
      <c r="R130" s="27"/>
      <c r="S130" s="86" t="str">
        <f t="shared" si="28"/>
        <v/>
      </c>
      <c r="T130" s="87" t="str">
        <f t="shared" si="29"/>
        <v/>
      </c>
      <c r="U130" s="87" t="str" cm="1">
        <f t="array" ref="U130">IF(AND(H130&lt;&gt;"YES",P130&lt;&gt;"",R130&lt;&gt;"",Q130&lt;&gt;""),
_xlfn.SWITCH(Q130,
"INR",_xlfn.SWITCH(R130,"KG",P130*S130,"CTN",P130,"UNIT",P130*N130,"NET",P130/M130,0),
"USD",_xlfn.SWITCH(R130,"KG",P130*S130*SI!$C$10,"CTN",P130*SI!$C$10,"UNIT",P130*N130*SI!$C$10,"NET",P130*SI!$C$10/M130,0),
"LKR",_xlfn.SWITCH(R130,"KG",P130*S130/SI!$C$9,"CTN",P130/SI!$C$9,"UNIT",P130*N130/SI!$C$9,"NET",P130/(M130*SI!$C$9),0),
0),
"")</f>
        <v/>
      </c>
      <c r="V130" s="87" t="str">
        <f t="shared" si="30"/>
        <v/>
      </c>
      <c r="W130" s="87" t="str">
        <f t="shared" si="31"/>
        <v/>
      </c>
      <c r="X130" s="88" t="str">
        <f t="shared" si="32"/>
        <v/>
      </c>
      <c r="Y130" s="24" t="str">
        <f t="shared" si="33"/>
        <v/>
      </c>
      <c r="Z130" s="267" t="str">
        <f>IF(AND(H130&lt;&gt;"yes",F130&lt;&gt;""),IFERROR(VLOOKUP(F130,DUTY_2025!A:F,5,FALSE),""),"")</f>
        <v/>
      </c>
      <c r="AA130" s="271" t="str">
        <f t="shared" si="34"/>
        <v/>
      </c>
      <c r="AB130" s="16" t="str">
        <f t="shared" si="35"/>
        <v/>
      </c>
      <c r="AC130" s="16" t="str">
        <f>IF(AA130&lt;&gt;"",ROUND(AA130*SI!$C$9,0),"")</f>
        <v/>
      </c>
      <c r="AD130" s="4" t="str">
        <f>IF(AC130&lt;&gt;"",ROUND(AC130/(SI!$C$9*SI!$C$10),2),"")</f>
        <v/>
      </c>
      <c r="AE130" s="30" t="str">
        <f>IF(AND(X130&lt;&gt;""), ROUND((SI!$E$23)*(X130/SUM($X$5:$X$493)),0),"")</f>
        <v/>
      </c>
      <c r="AF130" s="272" t="str">
        <f t="shared" si="36"/>
        <v/>
      </c>
      <c r="AG130" s="28" t="str">
        <f t="shared" si="37"/>
        <v/>
      </c>
      <c r="AH130" s="4" t="str">
        <f>IF(AD130&lt;&gt;"",ROUND(AD130*10*SI!$C$9/2,0),"")</f>
        <v/>
      </c>
      <c r="AI130" s="29" t="str">
        <f>IF(AND(X130&lt;&gt;""), ROUND((SI!$E$28)*(X130/SUM($X$5:$X$493)),0),"")</f>
        <v/>
      </c>
      <c r="AJ130" s="4" t="str">
        <f t="shared" si="38"/>
        <v/>
      </c>
      <c r="AK130" s="4" t="str">
        <f t="shared" si="39"/>
        <v/>
      </c>
      <c r="AL130" s="4" t="str">
        <f t="shared" si="40"/>
        <v/>
      </c>
      <c r="AM130" s="4" t="str">
        <f t="shared" si="41"/>
        <v/>
      </c>
      <c r="AN130" s="195" t="str">
        <f t="shared" si="42"/>
        <v/>
      </c>
      <c r="AO130" s="261" t="str">
        <f>IF(AND(AM130&lt;&gt;"",P130&lt;&gt;""),ROUND((AM130*((100+SI!$C$11)/100)),0),"")</f>
        <v/>
      </c>
      <c r="AP130" s="28" t="str">
        <f>IF(AG130&lt;&gt;"",ROUND(AG130/SI!$C$9,2),"")</f>
        <v/>
      </c>
      <c r="AQ130" s="4" t="str">
        <f>IF(AH130&lt;&gt;"",ROUND(AH130/SI!$C$9,2),"")</f>
        <v/>
      </c>
      <c r="AR130" s="29" t="str">
        <f>IF(AI130&lt;&gt;"",ROUND(AI130/SI!$C$9,2),"")</f>
        <v/>
      </c>
      <c r="AS130" s="4" t="str">
        <f t="shared" si="43"/>
        <v/>
      </c>
      <c r="AT130" s="4" t="str">
        <f t="shared" si="44"/>
        <v/>
      </c>
      <c r="AU130" s="4" t="str">
        <f>IF(AL130&lt;&gt;"",ROUND(AL130/SI!$C$9,2),"")</f>
        <v/>
      </c>
      <c r="AV130" s="4" t="str">
        <f>IF(AM130&lt;&gt;"",ROUND(AM130/SI!$C$9,2),"")</f>
        <v/>
      </c>
      <c r="AW130" s="4" t="str">
        <f>IF(AN130&lt;&gt;"",ROUND(AN130/SI!$C$9,2),"")</f>
        <v/>
      </c>
      <c r="AX130" s="261" t="str">
        <f>IF(AO130&lt;&gt;"",ROUND(AO130/SI!$C$9,2),"")</f>
        <v/>
      </c>
      <c r="AY130" s="28" t="str">
        <f t="shared" si="45"/>
        <v/>
      </c>
      <c r="AZ130" s="4" t="str">
        <f>IF(AY130&lt;&gt;"",ROUND(AY130/(SI!$C$9*SI!$C$10),2),"")</f>
        <v/>
      </c>
      <c r="BA130" s="4" t="str">
        <f t="shared" si="46"/>
        <v/>
      </c>
      <c r="BB130" s="4" t="str">
        <f t="shared" si="47"/>
        <v/>
      </c>
      <c r="BC130" s="4" t="str">
        <f t="shared" si="48"/>
        <v/>
      </c>
      <c r="BD130" s="4" t="str">
        <f t="shared" si="49"/>
        <v/>
      </c>
      <c r="BE130" s="4" t="str">
        <f>IF(AND(X130&lt;&gt;""),ROUND(X130/SI!$C$10,2),"")</f>
        <v/>
      </c>
      <c r="BF130" s="4" t="str">
        <f t="shared" si="51"/>
        <v/>
      </c>
      <c r="BG130" s="264" t="str">
        <f t="shared" si="50"/>
        <v/>
      </c>
      <c r="BH130" s="71" t="str">
        <f>IF(F130&lt;&gt;"",VLOOKUP(F130,DUTY_2025!A:O,15,FALSE),"")</f>
        <v/>
      </c>
    </row>
    <row r="131" spans="1:60" x14ac:dyDescent="0.25">
      <c r="A131" s="133">
        <f t="shared" si="26"/>
        <v>66</v>
      </c>
      <c r="B131" s="83" t="str">
        <f t="shared" si="27"/>
        <v/>
      </c>
      <c r="C131" s="126">
        <v>1</v>
      </c>
      <c r="D131" s="127"/>
      <c r="E131" s="91"/>
      <c r="F131" s="114"/>
      <c r="G131" s="27" t="str">
        <f>IF(F131&lt;&gt;"",IFERROR(VLOOKUP(F131,DUTY_2025!A:I,6,FALSE),""),"")</f>
        <v/>
      </c>
      <c r="H131" s="85" t="s">
        <v>133</v>
      </c>
      <c r="I131" s="27" t="str">
        <f>IF(F131&lt;&gt;"",IFERROR(VLOOKUP(F131,DUTY_2025!A:H,2,FALSE),""),"")</f>
        <v/>
      </c>
      <c r="J131" s="89"/>
      <c r="K131" s="89"/>
      <c r="L131" s="92"/>
      <c r="M131" s="93"/>
      <c r="N131" s="90"/>
      <c r="O131" s="25"/>
      <c r="P131" s="116"/>
      <c r="Q131" s="23"/>
      <c r="R131" s="27"/>
      <c r="S131" s="86" t="str">
        <f t="shared" si="28"/>
        <v/>
      </c>
      <c r="T131" s="87" t="str">
        <f t="shared" si="29"/>
        <v/>
      </c>
      <c r="U131" s="87" t="str" cm="1">
        <f t="array" ref="U131">IF(AND(H131&lt;&gt;"YES",P131&lt;&gt;"",R131&lt;&gt;"",Q131&lt;&gt;""),
_xlfn.SWITCH(Q131,
"INR",_xlfn.SWITCH(R131,"KG",P131*S131,"CTN",P131,"UNIT",P131*N131,"NET",P131/M131,0),
"USD",_xlfn.SWITCH(R131,"KG",P131*S131*SI!$C$10,"CTN",P131*SI!$C$10,"UNIT",P131*N131*SI!$C$10,"NET",P131*SI!$C$10/M131,0),
"LKR",_xlfn.SWITCH(R131,"KG",P131*S131/SI!$C$9,"CTN",P131/SI!$C$9,"UNIT",P131*N131/SI!$C$9,"NET",P131/(M131*SI!$C$9),0),
0),
"")</f>
        <v/>
      </c>
      <c r="V131" s="87" t="str">
        <f t="shared" si="30"/>
        <v/>
      </c>
      <c r="W131" s="87" t="str">
        <f t="shared" si="31"/>
        <v/>
      </c>
      <c r="X131" s="88" t="str">
        <f t="shared" si="32"/>
        <v/>
      </c>
      <c r="Y131" s="24" t="str">
        <f t="shared" si="33"/>
        <v/>
      </c>
      <c r="Z131" s="267" t="str">
        <f>IF(AND(H131&lt;&gt;"yes",F131&lt;&gt;""),IFERROR(VLOOKUP(F131,DUTY_2025!A:F,5,FALSE),""),"")</f>
        <v/>
      </c>
      <c r="AA131" s="271" t="str">
        <f t="shared" si="34"/>
        <v/>
      </c>
      <c r="AB131" s="16" t="str">
        <f t="shared" si="35"/>
        <v/>
      </c>
      <c r="AC131" s="16" t="str">
        <f>IF(AA131&lt;&gt;"",ROUND(AA131*SI!$C$9,0),"")</f>
        <v/>
      </c>
      <c r="AD131" s="4" t="str">
        <f>IF(AC131&lt;&gt;"",ROUND(AC131/(SI!$C$9*SI!$C$10),2),"")</f>
        <v/>
      </c>
      <c r="AE131" s="30" t="str">
        <f>IF(AND(X131&lt;&gt;""), ROUND((SI!$E$23)*(X131/SUM($X$5:$X$493)),0),"")</f>
        <v/>
      </c>
      <c r="AF131" s="272" t="str">
        <f t="shared" si="36"/>
        <v/>
      </c>
      <c r="AG131" s="28" t="str">
        <f t="shared" si="37"/>
        <v/>
      </c>
      <c r="AH131" s="4" t="str">
        <f>IF(AD131&lt;&gt;"",ROUND(AD131*10*SI!$C$9/2,0),"")</f>
        <v/>
      </c>
      <c r="AI131" s="29" t="str">
        <f>IF(AND(X131&lt;&gt;""), ROUND((SI!$E$28)*(X131/SUM($X$5:$X$493)),0),"")</f>
        <v/>
      </c>
      <c r="AJ131" s="4" t="str">
        <f t="shared" si="38"/>
        <v/>
      </c>
      <c r="AK131" s="4" t="str">
        <f t="shared" si="39"/>
        <v/>
      </c>
      <c r="AL131" s="4" t="str">
        <f t="shared" si="40"/>
        <v/>
      </c>
      <c r="AM131" s="4" t="str">
        <f t="shared" si="41"/>
        <v/>
      </c>
      <c r="AN131" s="195" t="str">
        <f t="shared" si="42"/>
        <v/>
      </c>
      <c r="AO131" s="261" t="str">
        <f>IF(AND(AM131&lt;&gt;"",P131&lt;&gt;""),ROUND((AM131*((100+SI!$C$11)/100)),0),"")</f>
        <v/>
      </c>
      <c r="AP131" s="28" t="str">
        <f>IF(AG131&lt;&gt;"",ROUND(AG131/SI!$C$9,2),"")</f>
        <v/>
      </c>
      <c r="AQ131" s="4" t="str">
        <f>IF(AH131&lt;&gt;"",ROUND(AH131/SI!$C$9,2),"")</f>
        <v/>
      </c>
      <c r="AR131" s="29" t="str">
        <f>IF(AI131&lt;&gt;"",ROUND(AI131/SI!$C$9,2),"")</f>
        <v/>
      </c>
      <c r="AS131" s="4" t="str">
        <f t="shared" si="43"/>
        <v/>
      </c>
      <c r="AT131" s="4" t="str">
        <f t="shared" si="44"/>
        <v/>
      </c>
      <c r="AU131" s="4" t="str">
        <f>IF(AL131&lt;&gt;"",ROUND(AL131/SI!$C$9,2),"")</f>
        <v/>
      </c>
      <c r="AV131" s="4" t="str">
        <f>IF(AM131&lt;&gt;"",ROUND(AM131/SI!$C$9,2),"")</f>
        <v/>
      </c>
      <c r="AW131" s="4" t="str">
        <f>IF(AN131&lt;&gt;"",ROUND(AN131/SI!$C$9,2),"")</f>
        <v/>
      </c>
      <c r="AX131" s="261" t="str">
        <f>IF(AO131&lt;&gt;"",ROUND(AO131/SI!$C$9,2),"")</f>
        <v/>
      </c>
      <c r="AY131" s="28" t="str">
        <f t="shared" si="45"/>
        <v/>
      </c>
      <c r="AZ131" s="4" t="str">
        <f>IF(AY131&lt;&gt;"",ROUND(AY131/(SI!$C$9*SI!$C$10),2),"")</f>
        <v/>
      </c>
      <c r="BA131" s="4" t="str">
        <f t="shared" si="46"/>
        <v/>
      </c>
      <c r="BB131" s="4" t="str">
        <f t="shared" si="47"/>
        <v/>
      </c>
      <c r="BC131" s="4" t="str">
        <f t="shared" si="48"/>
        <v/>
      </c>
      <c r="BD131" s="4" t="str">
        <f t="shared" si="49"/>
        <v/>
      </c>
      <c r="BE131" s="4" t="str">
        <f>IF(AND(X131&lt;&gt;""),ROUND(X131/SI!$C$10,2),"")</f>
        <v/>
      </c>
      <c r="BF131" s="4" t="str">
        <f t="shared" si="51"/>
        <v/>
      </c>
      <c r="BG131" s="264" t="str">
        <f t="shared" si="50"/>
        <v/>
      </c>
      <c r="BH131" s="71" t="str">
        <f>IF(F131&lt;&gt;"",VLOOKUP(F131,DUTY_2025!A:O,15,FALSE),"")</f>
        <v/>
      </c>
    </row>
    <row r="132" spans="1:60" x14ac:dyDescent="0.25">
      <c r="A132" s="133">
        <f t="shared" si="26"/>
        <v>66</v>
      </c>
      <c r="B132" s="83" t="str">
        <f t="shared" si="27"/>
        <v/>
      </c>
      <c r="C132" s="126">
        <v>1</v>
      </c>
      <c r="D132" s="127"/>
      <c r="E132" s="91"/>
      <c r="F132" s="114"/>
      <c r="G132" s="27" t="str">
        <f>IF(F132&lt;&gt;"",IFERROR(VLOOKUP(F132,DUTY_2025!A:I,6,FALSE),""),"")</f>
        <v/>
      </c>
      <c r="H132" s="85" t="s">
        <v>133</v>
      </c>
      <c r="I132" s="27" t="str">
        <f>IF(F132&lt;&gt;"",IFERROR(VLOOKUP(F132,DUTY_2025!A:H,2,FALSE),""),"")</f>
        <v/>
      </c>
      <c r="J132" s="89"/>
      <c r="K132" s="89"/>
      <c r="L132" s="92"/>
      <c r="M132" s="27"/>
      <c r="N132" s="84"/>
      <c r="O132" s="25"/>
      <c r="P132" s="116"/>
      <c r="Q132" s="23"/>
      <c r="R132" s="27"/>
      <c r="S132" s="86" t="str">
        <f t="shared" si="28"/>
        <v/>
      </c>
      <c r="T132" s="87" t="str">
        <f t="shared" si="29"/>
        <v/>
      </c>
      <c r="U132" s="87" t="str" cm="1">
        <f t="array" ref="U132">IF(AND(H132&lt;&gt;"YES",P132&lt;&gt;"",R132&lt;&gt;"",Q132&lt;&gt;""),
_xlfn.SWITCH(Q132,
"INR",_xlfn.SWITCH(R132,"KG",P132*S132,"CTN",P132,"UNIT",P132*N132,"NET",P132/M132,0),
"USD",_xlfn.SWITCH(R132,"KG",P132*S132*SI!$C$10,"CTN",P132*SI!$C$10,"UNIT",P132*N132*SI!$C$10,"NET",P132*SI!$C$10/M132,0),
"LKR",_xlfn.SWITCH(R132,"KG",P132*S132/SI!$C$9,"CTN",P132/SI!$C$9,"UNIT",P132*N132/SI!$C$9,"NET",P132/(M132*SI!$C$9),0),
0),
"")</f>
        <v/>
      </c>
      <c r="V132" s="87" t="str">
        <f t="shared" si="30"/>
        <v/>
      </c>
      <c r="W132" s="87" t="str">
        <f t="shared" si="31"/>
        <v/>
      </c>
      <c r="X132" s="88" t="str">
        <f t="shared" si="32"/>
        <v/>
      </c>
      <c r="Y132" s="24" t="str">
        <f t="shared" si="33"/>
        <v/>
      </c>
      <c r="Z132" s="267" t="str">
        <f>IF(AND(H132&lt;&gt;"yes",F132&lt;&gt;""),IFERROR(VLOOKUP(F132,DUTY_2025!A:F,5,FALSE),""),"")</f>
        <v/>
      </c>
      <c r="AA132" s="271" t="str">
        <f t="shared" si="34"/>
        <v/>
      </c>
      <c r="AB132" s="16" t="str">
        <f t="shared" si="35"/>
        <v/>
      </c>
      <c r="AC132" s="16" t="str">
        <f>IF(AA132&lt;&gt;"",ROUND(AA132*SI!$C$9,0),"")</f>
        <v/>
      </c>
      <c r="AD132" s="4" t="str">
        <f>IF(AC132&lt;&gt;"",ROUND(AC132/(SI!$C$9*SI!$C$10),2),"")</f>
        <v/>
      </c>
      <c r="AE132" s="30" t="str">
        <f>IF(AND(X132&lt;&gt;""), ROUND((SI!$E$23)*(X132/SUM($X$5:$X$493)),0),"")</f>
        <v/>
      </c>
      <c r="AF132" s="272" t="str">
        <f t="shared" si="36"/>
        <v/>
      </c>
      <c r="AG132" s="28" t="str">
        <f t="shared" si="37"/>
        <v/>
      </c>
      <c r="AH132" s="4" t="str">
        <f>IF(AD132&lt;&gt;"",ROUND(AD132*10*SI!$C$9/2,0),"")</f>
        <v/>
      </c>
      <c r="AI132" s="29" t="str">
        <f>IF(AND(X132&lt;&gt;""), ROUND((SI!$E$28)*(X132/SUM($X$5:$X$493)),0),"")</f>
        <v/>
      </c>
      <c r="AJ132" s="4" t="str">
        <f t="shared" si="38"/>
        <v/>
      </c>
      <c r="AK132" s="4" t="str">
        <f t="shared" si="39"/>
        <v/>
      </c>
      <c r="AL132" s="4" t="str">
        <f t="shared" si="40"/>
        <v/>
      </c>
      <c r="AM132" s="4" t="str">
        <f t="shared" si="41"/>
        <v/>
      </c>
      <c r="AN132" s="195" t="str">
        <f t="shared" si="42"/>
        <v/>
      </c>
      <c r="AO132" s="261" t="str">
        <f>IF(AND(AM132&lt;&gt;"",P132&lt;&gt;""),ROUND((AM132*((100+SI!$C$11)/100)),0),"")</f>
        <v/>
      </c>
      <c r="AP132" s="28" t="str">
        <f>IF(AG132&lt;&gt;"",ROUND(AG132/SI!$C$9,2),"")</f>
        <v/>
      </c>
      <c r="AQ132" s="4" t="str">
        <f>IF(AH132&lt;&gt;"",ROUND(AH132/SI!$C$9,2),"")</f>
        <v/>
      </c>
      <c r="AR132" s="29" t="str">
        <f>IF(AI132&lt;&gt;"",ROUND(AI132/SI!$C$9,2),"")</f>
        <v/>
      </c>
      <c r="AS132" s="4" t="str">
        <f t="shared" si="43"/>
        <v/>
      </c>
      <c r="AT132" s="4" t="str">
        <f t="shared" si="44"/>
        <v/>
      </c>
      <c r="AU132" s="4" t="str">
        <f>IF(AL132&lt;&gt;"",ROUND(AL132/SI!$C$9,2),"")</f>
        <v/>
      </c>
      <c r="AV132" s="4" t="str">
        <f>IF(AM132&lt;&gt;"",ROUND(AM132/SI!$C$9,2),"")</f>
        <v/>
      </c>
      <c r="AW132" s="4" t="str">
        <f>IF(AN132&lt;&gt;"",ROUND(AN132/SI!$C$9,2),"")</f>
        <v/>
      </c>
      <c r="AX132" s="261" t="str">
        <f>IF(AO132&lt;&gt;"",ROUND(AO132/SI!$C$9,2),"")</f>
        <v/>
      </c>
      <c r="AY132" s="28" t="str">
        <f t="shared" si="45"/>
        <v/>
      </c>
      <c r="AZ132" s="4" t="str">
        <f>IF(AY132&lt;&gt;"",ROUND(AY132/(SI!$C$9*SI!$C$10),2),"")</f>
        <v/>
      </c>
      <c r="BA132" s="4" t="str">
        <f t="shared" si="46"/>
        <v/>
      </c>
      <c r="BB132" s="4" t="str">
        <f t="shared" si="47"/>
        <v/>
      </c>
      <c r="BC132" s="4" t="str">
        <f t="shared" si="48"/>
        <v/>
      </c>
      <c r="BD132" s="4" t="str">
        <f t="shared" si="49"/>
        <v/>
      </c>
      <c r="BE132" s="4" t="str">
        <f>IF(AND(X132&lt;&gt;""),ROUND(X132/SI!$C$10,2),"")</f>
        <v/>
      </c>
      <c r="BF132" s="4" t="str">
        <f t="shared" si="51"/>
        <v/>
      </c>
      <c r="BG132" s="264" t="str">
        <f t="shared" si="50"/>
        <v/>
      </c>
      <c r="BH132" s="71" t="str">
        <f>IF(F132&lt;&gt;"",VLOOKUP(F132,DUTY_2025!A:O,15,FALSE),"")</f>
        <v/>
      </c>
    </row>
    <row r="133" spans="1:60" x14ac:dyDescent="0.25">
      <c r="A133" s="133">
        <f t="shared" si="26"/>
        <v>66</v>
      </c>
      <c r="B133" s="83" t="str">
        <f t="shared" si="27"/>
        <v/>
      </c>
      <c r="C133" s="126">
        <v>1</v>
      </c>
      <c r="D133" s="127"/>
      <c r="E133" s="91"/>
      <c r="F133" s="32"/>
      <c r="G133" s="27" t="str">
        <f>IF(F133&lt;&gt;"",IFERROR(VLOOKUP(F133,DUTY_2025!A:I,6,FALSE),""),"")</f>
        <v/>
      </c>
      <c r="H133" s="85" t="s">
        <v>133</v>
      </c>
      <c r="I133" s="27" t="str">
        <f>IF(F133&lt;&gt;"",IFERROR(VLOOKUP(F133,DUTY_2025!A:H,2,FALSE),""),"")</f>
        <v/>
      </c>
      <c r="J133" s="89"/>
      <c r="K133" s="89"/>
      <c r="L133" s="92"/>
      <c r="M133" s="93"/>
      <c r="N133" s="90"/>
      <c r="O133" s="25"/>
      <c r="P133" s="116"/>
      <c r="Q133" s="23"/>
      <c r="R133" s="27"/>
      <c r="S133" s="86" t="str">
        <f t="shared" si="28"/>
        <v/>
      </c>
      <c r="T133" s="87" t="str">
        <f t="shared" si="29"/>
        <v/>
      </c>
      <c r="U133" s="87" t="str" cm="1">
        <f t="array" ref="U133">IF(AND(H133&lt;&gt;"YES",P133&lt;&gt;"",R133&lt;&gt;"",Q133&lt;&gt;""),
_xlfn.SWITCH(Q133,
"INR",_xlfn.SWITCH(R133,"KG",P133*S133,"CTN",P133,"UNIT",P133*N133,"NET",P133/M133,0),
"USD",_xlfn.SWITCH(R133,"KG",P133*S133*SI!$C$10,"CTN",P133*SI!$C$10,"UNIT",P133*N133*SI!$C$10,"NET",P133*SI!$C$10/M133,0),
"LKR",_xlfn.SWITCH(R133,"KG",P133*S133/SI!$C$9,"CTN",P133/SI!$C$9,"UNIT",P133*N133/SI!$C$9,"NET",P133/(M133*SI!$C$9),0),
0),
"")</f>
        <v/>
      </c>
      <c r="V133" s="87" t="str">
        <f t="shared" si="30"/>
        <v/>
      </c>
      <c r="W133" s="87" t="str">
        <f t="shared" si="31"/>
        <v/>
      </c>
      <c r="X133" s="88" t="str">
        <f t="shared" si="32"/>
        <v/>
      </c>
      <c r="Y133" s="24" t="str">
        <f t="shared" si="33"/>
        <v/>
      </c>
      <c r="Z133" s="267" t="str">
        <f>IF(AND(H133&lt;&gt;"yes",F133&lt;&gt;""),IFERROR(VLOOKUP(F133,DUTY_2025!A:F,5,FALSE),""),"")</f>
        <v/>
      </c>
      <c r="AA133" s="271" t="str">
        <f t="shared" si="34"/>
        <v/>
      </c>
      <c r="AB133" s="16" t="str">
        <f t="shared" si="35"/>
        <v/>
      </c>
      <c r="AC133" s="16" t="str">
        <f>IF(AA133&lt;&gt;"",ROUND(AA133*SI!$C$9,0),"")</f>
        <v/>
      </c>
      <c r="AD133" s="4" t="str">
        <f>IF(AC133&lt;&gt;"",ROUND(AC133/(SI!$C$9*SI!$C$10),2),"")</f>
        <v/>
      </c>
      <c r="AE133" s="30" t="str">
        <f>IF(AND(X133&lt;&gt;""), ROUND((SI!$E$23)*(X133/SUM($X$5:$X$493)),0),"")</f>
        <v/>
      </c>
      <c r="AF133" s="272" t="str">
        <f t="shared" si="36"/>
        <v/>
      </c>
      <c r="AG133" s="28" t="str">
        <f t="shared" si="37"/>
        <v/>
      </c>
      <c r="AH133" s="4" t="str">
        <f>IF(AD133&lt;&gt;"",ROUND(AD133*10*SI!$C$9/2,0),"")</f>
        <v/>
      </c>
      <c r="AI133" s="29" t="str">
        <f>IF(AND(X133&lt;&gt;""), ROUND((SI!$E$28)*(X133/SUM($X$5:$X$493)),0),"")</f>
        <v/>
      </c>
      <c r="AJ133" s="4" t="str">
        <f t="shared" si="38"/>
        <v/>
      </c>
      <c r="AK133" s="4" t="str">
        <f t="shared" si="39"/>
        <v/>
      </c>
      <c r="AL133" s="4" t="str">
        <f t="shared" si="40"/>
        <v/>
      </c>
      <c r="AM133" s="4" t="str">
        <f t="shared" si="41"/>
        <v/>
      </c>
      <c r="AN133" s="195" t="str">
        <f t="shared" si="42"/>
        <v/>
      </c>
      <c r="AO133" s="261" t="str">
        <f>IF(AND(AM133&lt;&gt;"",P133&lt;&gt;""),ROUND((AM133*((100+SI!$C$11)/100)),0),"")</f>
        <v/>
      </c>
      <c r="AP133" s="28" t="str">
        <f>IF(AG133&lt;&gt;"",ROUND(AG133/SI!$C$9,2),"")</f>
        <v/>
      </c>
      <c r="AQ133" s="4" t="str">
        <f>IF(AH133&lt;&gt;"",ROUND(AH133/SI!$C$9,2),"")</f>
        <v/>
      </c>
      <c r="AR133" s="29" t="str">
        <f>IF(AI133&lt;&gt;"",ROUND(AI133/SI!$C$9,2),"")</f>
        <v/>
      </c>
      <c r="AS133" s="4" t="str">
        <f t="shared" si="43"/>
        <v/>
      </c>
      <c r="AT133" s="4" t="str">
        <f t="shared" si="44"/>
        <v/>
      </c>
      <c r="AU133" s="4" t="str">
        <f>IF(AL133&lt;&gt;"",ROUND(AL133/SI!$C$9,2),"")</f>
        <v/>
      </c>
      <c r="AV133" s="4" t="str">
        <f>IF(AM133&lt;&gt;"",ROUND(AM133/SI!$C$9,2),"")</f>
        <v/>
      </c>
      <c r="AW133" s="4" t="str">
        <f>IF(AN133&lt;&gt;"",ROUND(AN133/SI!$C$9,2),"")</f>
        <v/>
      </c>
      <c r="AX133" s="261" t="str">
        <f>IF(AO133&lt;&gt;"",ROUND(AO133/SI!$C$9,2),"")</f>
        <v/>
      </c>
      <c r="AY133" s="28" t="str">
        <f t="shared" si="45"/>
        <v/>
      </c>
      <c r="AZ133" s="4" t="str">
        <f>IF(AY133&lt;&gt;"",ROUND(AY133/(SI!$C$9*SI!$C$10),2),"")</f>
        <v/>
      </c>
      <c r="BA133" s="4" t="str">
        <f t="shared" si="46"/>
        <v/>
      </c>
      <c r="BB133" s="4" t="str">
        <f t="shared" si="47"/>
        <v/>
      </c>
      <c r="BC133" s="4" t="str">
        <f t="shared" si="48"/>
        <v/>
      </c>
      <c r="BD133" s="4" t="str">
        <f t="shared" si="49"/>
        <v/>
      </c>
      <c r="BE133" s="4" t="str">
        <f>IF(AND(X133&lt;&gt;""),ROUND(X133/SI!$C$10,2),"")</f>
        <v/>
      </c>
      <c r="BF133" s="4" t="str">
        <f t="shared" si="51"/>
        <v/>
      </c>
      <c r="BG133" s="264" t="str">
        <f t="shared" si="50"/>
        <v/>
      </c>
      <c r="BH133" s="71" t="str">
        <f>IF(F133&lt;&gt;"",VLOOKUP(F133,DUTY_2025!A:O,15,FALSE),"")</f>
        <v/>
      </c>
    </row>
    <row r="134" spans="1:60" x14ac:dyDescent="0.25">
      <c r="A134" s="133">
        <f t="shared" ref="A134:A197" si="52">IF(AND(F134&lt;&gt;"",H134&lt;&gt;"YES"),IF(A133&lt;&gt;"",A133,0)+1,A133)</f>
        <v>66</v>
      </c>
      <c r="B134" s="83" t="str">
        <f t="shared" ref="B134:B197" si="53">IF(AND(F134&lt;&gt;"",H134&lt;&gt;"YES"),IF(B133&lt;&gt;"",B133,A133)+1,"")</f>
        <v/>
      </c>
      <c r="C134" s="126">
        <v>1</v>
      </c>
      <c r="D134" s="127"/>
      <c r="E134" s="91"/>
      <c r="F134" s="36"/>
      <c r="G134" s="27" t="str">
        <f>IF(F134&lt;&gt;"",IFERROR(VLOOKUP(F134,DUTY_2025!A:I,6,FALSE),""),"")</f>
        <v/>
      </c>
      <c r="H134" s="85" t="s">
        <v>133</v>
      </c>
      <c r="I134" s="27" t="str">
        <f>IF(F134&lt;&gt;"",IFERROR(VLOOKUP(F134,DUTY_2025!A:H,2,FALSE),""),"")</f>
        <v/>
      </c>
      <c r="J134" s="99"/>
      <c r="K134" s="99"/>
      <c r="L134" s="91"/>
      <c r="M134" s="93"/>
      <c r="N134" s="90"/>
      <c r="O134" s="25"/>
      <c r="P134" s="117"/>
      <c r="Q134" s="23"/>
      <c r="R134" s="27"/>
      <c r="S134" s="86" t="str">
        <f t="shared" ref="S134:S197" si="54">IF(AND(H134&lt;&gt;"YES",N134&lt;&gt;""),N134*L134/1000,"")</f>
        <v/>
      </c>
      <c r="T134" s="87" t="str">
        <f t="shared" ref="T134:T197" si="55">IF(S134&lt;&gt;"",S134*1.1,"")</f>
        <v/>
      </c>
      <c r="U134" s="87" t="str" cm="1">
        <f t="array" ref="U134">IF(AND(H134&lt;&gt;"YES",P134&lt;&gt;"",R134&lt;&gt;"",Q134&lt;&gt;""),
_xlfn.SWITCH(Q134,
"INR",_xlfn.SWITCH(R134,"KG",P134*S134,"CTN",P134,"UNIT",P134*N134,"NET",P134/M134,0),
"USD",_xlfn.SWITCH(R134,"KG",P134*S134*SI!$C$10,"CTN",P134*SI!$C$10,"UNIT",P134*N134*SI!$C$10,"NET",P134*SI!$C$10/M134,0),
"LKR",_xlfn.SWITCH(R134,"KG",P134*S134/SI!$C$9,"CTN",P134/SI!$C$9,"UNIT",P134*N134/SI!$C$9,"NET",P134/(M134*SI!$C$9),0),
0),
"")</f>
        <v/>
      </c>
      <c r="V134" s="87" t="str">
        <f t="shared" ref="V134:V197" si="56">IF(AND(S134&lt;&gt;"",M134&lt;&gt;"",N134&lt;&gt;""),S134*M134,"")</f>
        <v/>
      </c>
      <c r="W134" s="87" t="str">
        <f t="shared" ref="W134:W197" si="57">IF(V134&lt;&gt;"",V134*1.1,"")</f>
        <v/>
      </c>
      <c r="X134" s="88" t="str">
        <f t="shared" ref="X134:X197" si="58">IF(AND(U134&lt;&gt;"",M134&lt;&gt;""),U134*M134,"")</f>
        <v/>
      </c>
      <c r="Y134" s="24" t="str">
        <f t="shared" ref="Y134:Y197" si="59">IF(AND(H134&lt;&gt;"YES",M134&lt;&gt;"",N134&lt;&gt;""),IF(E134=1,(N134*M134)/2,N134*M134),"")</f>
        <v/>
      </c>
      <c r="Z134" s="267" t="str">
        <f>IF(AND(H134&lt;&gt;"yes",F134&lt;&gt;""),IFERROR(VLOOKUP(F134,DUTY_2025!A:F,5,FALSE),""),"")</f>
        <v/>
      </c>
      <c r="AA134" s="271" t="str">
        <f t="shared" ref="AA134:AA197" si="60">IF(B134&lt;&gt;"",IF(AND(X134&lt;&gt;"", O134&lt;&gt;""),IF(ROUND(X134*100/(100+O134),0)=0,"",ROUND(X134*100/(100+O134),0)),""),"")</f>
        <v/>
      </c>
      <c r="AB134" s="16" t="str">
        <f t="shared" ref="AB134:AB197" si="61">IF(M134&lt;&gt;"",IF(AND(X134&lt;&gt;"",AA134&lt;&gt;""),X134-AA134,""),"")</f>
        <v/>
      </c>
      <c r="AC134" s="16" t="str">
        <f>IF(AA134&lt;&gt;"",ROUND(AA134*SI!$C$9,0),"")</f>
        <v/>
      </c>
      <c r="AD134" s="4" t="str">
        <f>IF(AC134&lt;&gt;"",ROUND(AC134/(SI!$C$9*SI!$C$10),2),"")</f>
        <v/>
      </c>
      <c r="AE134" s="30" t="str">
        <f>IF(AND(X134&lt;&gt;""), ROUND((SI!$E$23)*(X134/SUM($X$5:$X$493)),0),"")</f>
        <v/>
      </c>
      <c r="AF134" s="272" t="str">
        <f t="shared" ref="AF134:AF197" si="62">IF(AND(AC134&lt;&gt;"",AE134&lt;&gt;""),ROUND(AC134+AE134,0),"")</f>
        <v/>
      </c>
      <c r="AG134" s="28" t="str">
        <f t="shared" ref="AG134:AG197" si="63">IF(AND(Z134&lt;&gt;"",V134&lt;&gt;""),Z134*V134,"")</f>
        <v/>
      </c>
      <c r="AH134" s="4" t="str">
        <f>IF(AD134&lt;&gt;"",ROUND(AD134*10*SI!$C$9/2,0),"")</f>
        <v/>
      </c>
      <c r="AI134" s="29" t="str">
        <f>IF(AND(X134&lt;&gt;""), ROUND((SI!$E$28)*(X134/SUM($X$5:$X$493)),0),"")</f>
        <v/>
      </c>
      <c r="AJ134" s="4" t="str">
        <f t="shared" ref="AJ134:AJ197" si="64">IF(AND(AG134&lt;&gt;"",AI134&lt;&gt;"",AH134&lt;&gt;""),AG134+AI134+AH134,"")</f>
        <v/>
      </c>
      <c r="AK134" s="4" t="str">
        <f t="shared" ref="AK134:AK197" si="65">IF(AND(AJ134&lt;&gt;"",Y134&lt;&gt;""),ROUND(AJ134/Y134,0),"")</f>
        <v/>
      </c>
      <c r="AL134" s="4" t="str">
        <f t="shared" ref="AL134:AL197" si="66">IF(AND(AC134&lt;&gt;"",Y134&lt;&gt;""),ROUND(AF134/Y134,0),"")</f>
        <v/>
      </c>
      <c r="AM134" s="4" t="str">
        <f t="shared" ref="AM134:AM197" si="67">IF(AND(AK134&lt;&gt;"",AL134&lt;&gt;""),AK134+AL134,"")</f>
        <v/>
      </c>
      <c r="AN134" s="195" t="str">
        <f t="shared" ref="AN134:AN197" si="68">IF(AND(AF134&lt;&gt;"",AG134&lt;&gt;"",AH134&lt;&gt;"",AI134&lt;&gt;""),AF134+AG134+AH134+AI134,"")</f>
        <v/>
      </c>
      <c r="AO134" s="261" t="str">
        <f>IF(AND(AM134&lt;&gt;"",P134&lt;&gt;""),ROUND((AM134*((100+SI!$C$11)/100)),0),"")</f>
        <v/>
      </c>
      <c r="AP134" s="28" t="str">
        <f>IF(AG134&lt;&gt;"",ROUND(AG134/SI!$C$9,2),"")</f>
        <v/>
      </c>
      <c r="AQ134" s="4" t="str">
        <f>IF(AH134&lt;&gt;"",ROUND(AH134/SI!$C$9,2),"")</f>
        <v/>
      </c>
      <c r="AR134" s="29" t="str">
        <f>IF(AI134&lt;&gt;"",ROUND(AI134/SI!$C$9,2),"")</f>
        <v/>
      </c>
      <c r="AS134" s="4" t="str">
        <f t="shared" ref="AS134:AS197" si="69">IF(AND(AP134&lt;&gt;"",AR134&lt;&gt;"",AQ134&lt;&gt;""),AP134+AR134+AQ134,"")</f>
        <v/>
      </c>
      <c r="AT134" s="4" t="str">
        <f t="shared" ref="AT134:AT197" si="70">IF(AND(AS134&lt;&gt;"",Y134&lt;&gt;""),ROUND(AS134/Y134,2),"")</f>
        <v/>
      </c>
      <c r="AU134" s="4" t="str">
        <f>IF(AL134&lt;&gt;"",ROUND(AL134/SI!$C$9,2),"")</f>
        <v/>
      </c>
      <c r="AV134" s="4" t="str">
        <f>IF(AM134&lt;&gt;"",ROUND(AM134/SI!$C$9,2),"")</f>
        <v/>
      </c>
      <c r="AW134" s="4" t="str">
        <f>IF(AN134&lt;&gt;"",ROUND(AN134/SI!$C$9,2),"")</f>
        <v/>
      </c>
      <c r="AX134" s="261" t="str">
        <f>IF(AO134&lt;&gt;"",ROUND(AO134/SI!$C$9,2),"")</f>
        <v/>
      </c>
      <c r="AY134" s="28" t="str">
        <f t="shared" ref="AY134:AY197" si="71">IF(AF134&lt;&gt;"",AF134,"")</f>
        <v/>
      </c>
      <c r="AZ134" s="4" t="str">
        <f>IF(AY134&lt;&gt;"",ROUND(AY134/(SI!$C$9*SI!$C$10),2),"")</f>
        <v/>
      </c>
      <c r="BA134" s="4" t="str">
        <f t="shared" ref="BA134:BA197" si="72">IF(AND(AY134&lt;&gt;"",BH134&lt;&gt;""),ROUND(AY134*BH134/100,2),"")</f>
        <v/>
      </c>
      <c r="BB134" s="4" t="str">
        <f t="shared" ref="BB134:BB197" si="73">IF(AND(AZ134&lt;&gt;"",BH134&lt;&gt;""),ROUND(AZ134*BH134/100,2),"")</f>
        <v/>
      </c>
      <c r="BC134" s="4" t="str">
        <f t="shared" ref="BC134:BC197" si="74">IF(AND(BB134&lt;&gt;"",Y134&lt;&gt;""),ROUND(BB134/Y134,3),"")</f>
        <v/>
      </c>
      <c r="BD134" s="4" t="str">
        <f t="shared" ref="BD134:BD197" si="75">IF(AND(BB134&lt;&gt;"",T134&lt;&gt;""),ROUND(BB134/V134,3),"")</f>
        <v/>
      </c>
      <c r="BE134" s="4" t="str">
        <f>IF(AND(X134&lt;&gt;""),ROUND(X134/SI!$C$10,2),"")</f>
        <v/>
      </c>
      <c r="BF134" s="4" t="str">
        <f t="shared" si="51"/>
        <v/>
      </c>
      <c r="BG134" s="264" t="str">
        <f t="shared" ref="BG134:BG197" si="76">IF(AND(BE134&lt;&gt;"",V134&lt;&gt;""),ROUND(BE134/V134,3),"")</f>
        <v/>
      </c>
      <c r="BH134" s="71" t="str">
        <f>IF(F134&lt;&gt;"",VLOOKUP(F134,DUTY_2025!A:O,15,FALSE),"")</f>
        <v/>
      </c>
    </row>
    <row r="135" spans="1:60" x14ac:dyDescent="0.25">
      <c r="A135" s="133">
        <f t="shared" si="52"/>
        <v>66</v>
      </c>
      <c r="B135" s="83" t="str">
        <f t="shared" si="53"/>
        <v/>
      </c>
      <c r="C135" s="126">
        <v>1</v>
      </c>
      <c r="D135" s="127"/>
      <c r="E135" s="91"/>
      <c r="F135" s="36"/>
      <c r="G135" s="27" t="str">
        <f>IF(F135&lt;&gt;"",IFERROR(VLOOKUP(F135,DUTY_2025!A:I,6,FALSE),""),"")</f>
        <v/>
      </c>
      <c r="H135" s="85" t="s">
        <v>133</v>
      </c>
      <c r="I135" s="27" t="str">
        <f>IF(F135&lt;&gt;"",IFERROR(VLOOKUP(F135,DUTY_2025!A:H,2,FALSE),""),"")</f>
        <v/>
      </c>
      <c r="J135" s="89"/>
      <c r="K135" s="89"/>
      <c r="L135" s="92"/>
      <c r="M135" s="93"/>
      <c r="N135" s="90"/>
      <c r="O135" s="25"/>
      <c r="P135" s="118"/>
      <c r="Q135" s="23"/>
      <c r="R135" s="27"/>
      <c r="S135" s="86" t="str">
        <f t="shared" si="54"/>
        <v/>
      </c>
      <c r="T135" s="87" t="str">
        <f t="shared" si="55"/>
        <v/>
      </c>
      <c r="U135" s="87" t="str" cm="1">
        <f t="array" ref="U135">IF(AND(H135&lt;&gt;"YES",P135&lt;&gt;"",R135&lt;&gt;"",Q135&lt;&gt;""),
_xlfn.SWITCH(Q135,
"INR",_xlfn.SWITCH(R135,"KG",P135*S135,"CTN",P135,"UNIT",P135*N135,"NET",P135/M135,0),
"USD",_xlfn.SWITCH(R135,"KG",P135*S135*SI!$C$10,"CTN",P135*SI!$C$10,"UNIT",P135*N135*SI!$C$10,"NET",P135*SI!$C$10/M135,0),
"LKR",_xlfn.SWITCH(R135,"KG",P135*S135/SI!$C$9,"CTN",P135/SI!$C$9,"UNIT",P135*N135/SI!$C$9,"NET",P135/(M135*SI!$C$9),0),
0),
"")</f>
        <v/>
      </c>
      <c r="V135" s="87" t="str">
        <f t="shared" si="56"/>
        <v/>
      </c>
      <c r="W135" s="87" t="str">
        <f t="shared" si="57"/>
        <v/>
      </c>
      <c r="X135" s="88" t="str">
        <f t="shared" si="58"/>
        <v/>
      </c>
      <c r="Y135" s="24" t="str">
        <f t="shared" si="59"/>
        <v/>
      </c>
      <c r="Z135" s="267" t="str">
        <f>IF(AND(H135&lt;&gt;"yes",F135&lt;&gt;""),IFERROR(VLOOKUP(F135,DUTY_2025!A:F,5,FALSE),""),"")</f>
        <v/>
      </c>
      <c r="AA135" s="271" t="str">
        <f t="shared" si="60"/>
        <v/>
      </c>
      <c r="AB135" s="16" t="str">
        <f t="shared" si="61"/>
        <v/>
      </c>
      <c r="AC135" s="16" t="str">
        <f>IF(AA135&lt;&gt;"",ROUND(AA135*SI!$C$9,0),"")</f>
        <v/>
      </c>
      <c r="AD135" s="4" t="str">
        <f>IF(AC135&lt;&gt;"",ROUND(AC135/(SI!$C$9*SI!$C$10),2),"")</f>
        <v/>
      </c>
      <c r="AE135" s="30" t="str">
        <f>IF(AND(X135&lt;&gt;""), ROUND((SI!$E$23)*(X135/SUM($X$5:$X$493)),0),"")</f>
        <v/>
      </c>
      <c r="AF135" s="272" t="str">
        <f t="shared" si="62"/>
        <v/>
      </c>
      <c r="AG135" s="28" t="str">
        <f t="shared" si="63"/>
        <v/>
      </c>
      <c r="AH135" s="4" t="str">
        <f>IF(AD135&lt;&gt;"",ROUND(AD135*10*SI!$C$9/2,0),"")</f>
        <v/>
      </c>
      <c r="AI135" s="29" t="str">
        <f>IF(AND(X135&lt;&gt;""), ROUND((SI!$E$28)*(X135/SUM($X$5:$X$493)),0),"")</f>
        <v/>
      </c>
      <c r="AJ135" s="4" t="str">
        <f t="shared" si="64"/>
        <v/>
      </c>
      <c r="AK135" s="4" t="str">
        <f t="shared" si="65"/>
        <v/>
      </c>
      <c r="AL135" s="4" t="str">
        <f t="shared" si="66"/>
        <v/>
      </c>
      <c r="AM135" s="4" t="str">
        <f t="shared" si="67"/>
        <v/>
      </c>
      <c r="AN135" s="195" t="str">
        <f t="shared" si="68"/>
        <v/>
      </c>
      <c r="AO135" s="261" t="str">
        <f>IF(AND(AM135&lt;&gt;"",P135&lt;&gt;""),ROUND((AM135*((100+SI!$C$11)/100)),0),"")</f>
        <v/>
      </c>
      <c r="AP135" s="28" t="str">
        <f>IF(AG135&lt;&gt;"",ROUND(AG135/SI!$C$9,2),"")</f>
        <v/>
      </c>
      <c r="AQ135" s="4" t="str">
        <f>IF(AH135&lt;&gt;"",ROUND(AH135/SI!$C$9,2),"")</f>
        <v/>
      </c>
      <c r="AR135" s="29" t="str">
        <f>IF(AI135&lt;&gt;"",ROUND(AI135/SI!$C$9,2),"")</f>
        <v/>
      </c>
      <c r="AS135" s="4" t="str">
        <f t="shared" si="69"/>
        <v/>
      </c>
      <c r="AT135" s="4" t="str">
        <f t="shared" si="70"/>
        <v/>
      </c>
      <c r="AU135" s="4" t="str">
        <f>IF(AL135&lt;&gt;"",ROUND(AL135/SI!$C$9,2),"")</f>
        <v/>
      </c>
      <c r="AV135" s="4" t="str">
        <f>IF(AM135&lt;&gt;"",ROUND(AM135/SI!$C$9,2),"")</f>
        <v/>
      </c>
      <c r="AW135" s="4" t="str">
        <f>IF(AN135&lt;&gt;"",ROUND(AN135/SI!$C$9,2),"")</f>
        <v/>
      </c>
      <c r="AX135" s="261" t="str">
        <f>IF(AO135&lt;&gt;"",ROUND(AO135/SI!$C$9,2),"")</f>
        <v/>
      </c>
      <c r="AY135" s="28" t="str">
        <f t="shared" si="71"/>
        <v/>
      </c>
      <c r="AZ135" s="4" t="str">
        <f>IF(AY135&lt;&gt;"",ROUND(AY135/(SI!$C$9*SI!$C$10),2),"")</f>
        <v/>
      </c>
      <c r="BA135" s="4" t="str">
        <f t="shared" si="72"/>
        <v/>
      </c>
      <c r="BB135" s="4" t="str">
        <f t="shared" si="73"/>
        <v/>
      </c>
      <c r="BC135" s="4" t="str">
        <f t="shared" si="74"/>
        <v/>
      </c>
      <c r="BD135" s="4" t="str">
        <f t="shared" si="75"/>
        <v/>
      </c>
      <c r="BE135" s="4" t="str">
        <f>IF(AND(X135&lt;&gt;""),ROUND(X135/SI!$C$10,2),"")</f>
        <v/>
      </c>
      <c r="BF135" s="4" t="str">
        <f t="shared" ref="BF135:BF198" si="77">IF(AND(BE135&lt;&gt;"",Y135&lt;&gt;""),ROUND(BE135/Y135,3),"")</f>
        <v/>
      </c>
      <c r="BG135" s="264" t="str">
        <f t="shared" si="76"/>
        <v/>
      </c>
      <c r="BH135" s="71" t="str">
        <f>IF(F135&lt;&gt;"",VLOOKUP(F135,DUTY_2025!A:O,15,FALSE),"")</f>
        <v/>
      </c>
    </row>
    <row r="136" spans="1:60" x14ac:dyDescent="0.25">
      <c r="A136" s="133">
        <f t="shared" si="52"/>
        <v>66</v>
      </c>
      <c r="B136" s="83" t="str">
        <f t="shared" si="53"/>
        <v/>
      </c>
      <c r="C136" s="126">
        <v>1</v>
      </c>
      <c r="D136" s="127"/>
      <c r="E136" s="91"/>
      <c r="F136" s="114"/>
      <c r="G136" s="27" t="str">
        <f>IF(F136&lt;&gt;"",IFERROR(VLOOKUP(F136,DUTY_2025!A:I,6,FALSE),""),"")</f>
        <v/>
      </c>
      <c r="H136" s="85" t="s">
        <v>133</v>
      </c>
      <c r="I136" s="27" t="str">
        <f>IF(F136&lt;&gt;"",IFERROR(VLOOKUP(F136,DUTY_2025!A:H,2,FALSE),""),"")</f>
        <v/>
      </c>
      <c r="J136" s="89"/>
      <c r="K136" s="89"/>
      <c r="L136" s="92"/>
      <c r="M136" s="93"/>
      <c r="N136" s="90"/>
      <c r="O136" s="25"/>
      <c r="P136" s="116"/>
      <c r="Q136" s="23"/>
      <c r="R136" s="27"/>
      <c r="S136" s="86" t="str">
        <f t="shared" si="54"/>
        <v/>
      </c>
      <c r="T136" s="87" t="str">
        <f t="shared" si="55"/>
        <v/>
      </c>
      <c r="U136" s="87" t="str" cm="1">
        <f t="array" ref="U136">IF(AND(H136&lt;&gt;"YES",P136&lt;&gt;"",R136&lt;&gt;"",Q136&lt;&gt;""),
_xlfn.SWITCH(Q136,
"INR",_xlfn.SWITCH(R136,"KG",P136*S136,"CTN",P136,"UNIT",P136*N136,"NET",P136/M136,0),
"USD",_xlfn.SWITCH(R136,"KG",P136*S136*SI!$C$10,"CTN",P136*SI!$C$10,"UNIT",P136*N136*SI!$C$10,"NET",P136*SI!$C$10/M136,0),
"LKR",_xlfn.SWITCH(R136,"KG",P136*S136/SI!$C$9,"CTN",P136/SI!$C$9,"UNIT",P136*N136/SI!$C$9,"NET",P136/(M136*SI!$C$9),0),
0),
"")</f>
        <v/>
      </c>
      <c r="V136" s="87" t="str">
        <f t="shared" si="56"/>
        <v/>
      </c>
      <c r="W136" s="87" t="str">
        <f t="shared" si="57"/>
        <v/>
      </c>
      <c r="X136" s="88" t="str">
        <f t="shared" si="58"/>
        <v/>
      </c>
      <c r="Y136" s="24" t="str">
        <f t="shared" si="59"/>
        <v/>
      </c>
      <c r="Z136" s="267" t="str">
        <f>IF(AND(H136&lt;&gt;"yes",F136&lt;&gt;""),IFERROR(VLOOKUP(F136,DUTY_2025!A:F,5,FALSE),""),"")</f>
        <v/>
      </c>
      <c r="AA136" s="271" t="str">
        <f t="shared" si="60"/>
        <v/>
      </c>
      <c r="AB136" s="16" t="str">
        <f t="shared" si="61"/>
        <v/>
      </c>
      <c r="AC136" s="16" t="str">
        <f>IF(AA136&lt;&gt;"",ROUND(AA136*SI!$C$9,0),"")</f>
        <v/>
      </c>
      <c r="AD136" s="4" t="str">
        <f>IF(AC136&lt;&gt;"",ROUND(AC136/(SI!$C$9*SI!$C$10),2),"")</f>
        <v/>
      </c>
      <c r="AE136" s="30" t="str">
        <f>IF(AND(X136&lt;&gt;""), ROUND((SI!$E$23)*(X136/SUM($X$5:$X$493)),0),"")</f>
        <v/>
      </c>
      <c r="AF136" s="272" t="str">
        <f t="shared" si="62"/>
        <v/>
      </c>
      <c r="AG136" s="28" t="str">
        <f t="shared" si="63"/>
        <v/>
      </c>
      <c r="AH136" s="4" t="str">
        <f>IF(AD136&lt;&gt;"",ROUND(AD136*10*SI!$C$9/2,0),"")</f>
        <v/>
      </c>
      <c r="AI136" s="29" t="str">
        <f>IF(AND(X136&lt;&gt;""), ROUND((SI!$E$28)*(X136/SUM($X$5:$X$493)),0),"")</f>
        <v/>
      </c>
      <c r="AJ136" s="4" t="str">
        <f t="shared" si="64"/>
        <v/>
      </c>
      <c r="AK136" s="4" t="str">
        <f t="shared" si="65"/>
        <v/>
      </c>
      <c r="AL136" s="4" t="str">
        <f t="shared" si="66"/>
        <v/>
      </c>
      <c r="AM136" s="4" t="str">
        <f t="shared" si="67"/>
        <v/>
      </c>
      <c r="AN136" s="195" t="str">
        <f t="shared" si="68"/>
        <v/>
      </c>
      <c r="AO136" s="261" t="str">
        <f>IF(AND(AM136&lt;&gt;"",P136&lt;&gt;""),ROUND((AM136*((100+SI!$C$11)/100)),0),"")</f>
        <v/>
      </c>
      <c r="AP136" s="28" t="str">
        <f>IF(AG136&lt;&gt;"",ROUND(AG136/SI!$C$9,2),"")</f>
        <v/>
      </c>
      <c r="AQ136" s="4" t="str">
        <f>IF(AH136&lt;&gt;"",ROUND(AH136/SI!$C$9,2),"")</f>
        <v/>
      </c>
      <c r="AR136" s="29" t="str">
        <f>IF(AI136&lt;&gt;"",ROUND(AI136/SI!$C$9,2),"")</f>
        <v/>
      </c>
      <c r="AS136" s="4" t="str">
        <f t="shared" si="69"/>
        <v/>
      </c>
      <c r="AT136" s="4" t="str">
        <f t="shared" si="70"/>
        <v/>
      </c>
      <c r="AU136" s="4" t="str">
        <f>IF(AL136&lt;&gt;"",ROUND(AL136/SI!$C$9,2),"")</f>
        <v/>
      </c>
      <c r="AV136" s="4" t="str">
        <f>IF(AM136&lt;&gt;"",ROUND(AM136/SI!$C$9,2),"")</f>
        <v/>
      </c>
      <c r="AW136" s="4" t="str">
        <f>IF(AN136&lt;&gt;"",ROUND(AN136/SI!$C$9,2),"")</f>
        <v/>
      </c>
      <c r="AX136" s="261" t="str">
        <f>IF(AO136&lt;&gt;"",ROUND(AO136/SI!$C$9,2),"")</f>
        <v/>
      </c>
      <c r="AY136" s="28" t="str">
        <f t="shared" si="71"/>
        <v/>
      </c>
      <c r="AZ136" s="4" t="str">
        <f>IF(AY136&lt;&gt;"",ROUND(AY136/(SI!$C$9*SI!$C$10),2),"")</f>
        <v/>
      </c>
      <c r="BA136" s="4" t="str">
        <f t="shared" si="72"/>
        <v/>
      </c>
      <c r="BB136" s="4" t="str">
        <f t="shared" si="73"/>
        <v/>
      </c>
      <c r="BC136" s="4" t="str">
        <f t="shared" si="74"/>
        <v/>
      </c>
      <c r="BD136" s="4" t="str">
        <f t="shared" si="75"/>
        <v/>
      </c>
      <c r="BE136" s="4" t="str">
        <f>IF(AND(X136&lt;&gt;""),ROUND(X136/SI!$C$10,2),"")</f>
        <v/>
      </c>
      <c r="BF136" s="4" t="str">
        <f t="shared" si="77"/>
        <v/>
      </c>
      <c r="BG136" s="264" t="str">
        <f t="shared" si="76"/>
        <v/>
      </c>
      <c r="BH136" s="71" t="str">
        <f>IF(F136&lt;&gt;"",VLOOKUP(F136,DUTY_2025!A:O,15,FALSE),"")</f>
        <v/>
      </c>
    </row>
    <row r="137" spans="1:60" x14ac:dyDescent="0.25">
      <c r="A137" s="133">
        <f t="shared" si="52"/>
        <v>66</v>
      </c>
      <c r="B137" s="83" t="str">
        <f t="shared" si="53"/>
        <v/>
      </c>
      <c r="C137" s="126"/>
      <c r="D137" s="127"/>
      <c r="E137" s="91"/>
      <c r="F137" s="114"/>
      <c r="G137" s="27" t="str">
        <f>IF(F137&lt;&gt;"",IFERROR(VLOOKUP(F137,DUTY_2025!A:I,6,FALSE),""),"")</f>
        <v/>
      </c>
      <c r="H137" s="85" t="s">
        <v>133</v>
      </c>
      <c r="I137" s="27" t="str">
        <f>IF(F137&lt;&gt;"",IFERROR(VLOOKUP(F137,DUTY_2025!A:H,2,FALSE),""),"")</f>
        <v/>
      </c>
      <c r="J137" s="89"/>
      <c r="K137" s="89"/>
      <c r="L137" s="92"/>
      <c r="M137" s="93"/>
      <c r="N137" s="90"/>
      <c r="O137" s="25"/>
      <c r="P137" s="116"/>
      <c r="Q137" s="23"/>
      <c r="R137" s="27"/>
      <c r="S137" s="86" t="str">
        <f t="shared" si="54"/>
        <v/>
      </c>
      <c r="T137" s="87" t="str">
        <f t="shared" si="55"/>
        <v/>
      </c>
      <c r="U137" s="87" t="str" cm="1">
        <f t="array" ref="U137">IF(AND(H137&lt;&gt;"YES",P137&lt;&gt;"",R137&lt;&gt;"",Q137&lt;&gt;""),
_xlfn.SWITCH(Q137,
"INR",_xlfn.SWITCH(R137,"KG",P137*S137,"CTN",P137,"UNIT",P137*N137,"NET",P137/M137,0),
"USD",_xlfn.SWITCH(R137,"KG",P137*S137*SI!$C$10,"CTN",P137*SI!$C$10,"UNIT",P137*N137*SI!$C$10,"NET",P137*SI!$C$10/M137,0),
"LKR",_xlfn.SWITCH(R137,"KG",P137*S137/SI!$C$9,"CTN",P137/SI!$C$9,"UNIT",P137*N137/SI!$C$9,"NET",P137/(M137*SI!$C$9),0),
0),
"")</f>
        <v/>
      </c>
      <c r="V137" s="87" t="str">
        <f t="shared" si="56"/>
        <v/>
      </c>
      <c r="W137" s="87" t="str">
        <f t="shared" si="57"/>
        <v/>
      </c>
      <c r="X137" s="88" t="str">
        <f t="shared" si="58"/>
        <v/>
      </c>
      <c r="Y137" s="24" t="str">
        <f t="shared" si="59"/>
        <v/>
      </c>
      <c r="Z137" s="267" t="str">
        <f>IF(AND(H137&lt;&gt;"yes",F137&lt;&gt;""),IFERROR(VLOOKUP(F137,DUTY_2025!A:F,5,FALSE),""),"")</f>
        <v/>
      </c>
      <c r="AA137" s="271" t="str">
        <f t="shared" si="60"/>
        <v/>
      </c>
      <c r="AB137" s="16" t="str">
        <f t="shared" si="61"/>
        <v/>
      </c>
      <c r="AC137" s="16" t="str">
        <f>IF(AA137&lt;&gt;"",ROUND(AA137*SI!$C$9,0),"")</f>
        <v/>
      </c>
      <c r="AD137" s="4" t="str">
        <f>IF(AC137&lt;&gt;"",ROUND(AC137/(SI!$C$9*SI!$C$10),2),"")</f>
        <v/>
      </c>
      <c r="AE137" s="30" t="str">
        <f>IF(AND(X137&lt;&gt;""), ROUND((SI!$E$23)*(X137/SUM($X$5:$X$493)),0),"")</f>
        <v/>
      </c>
      <c r="AF137" s="272" t="str">
        <f t="shared" si="62"/>
        <v/>
      </c>
      <c r="AG137" s="28" t="str">
        <f t="shared" si="63"/>
        <v/>
      </c>
      <c r="AH137" s="4" t="str">
        <f>IF(AD137&lt;&gt;"",ROUND(AD137*10*SI!$C$9/2,0),"")</f>
        <v/>
      </c>
      <c r="AI137" s="29" t="str">
        <f>IF(AND(X137&lt;&gt;""), ROUND((SI!$E$28)*(X137/SUM($X$5:$X$493)),0),"")</f>
        <v/>
      </c>
      <c r="AJ137" s="4" t="str">
        <f t="shared" si="64"/>
        <v/>
      </c>
      <c r="AK137" s="4" t="str">
        <f t="shared" si="65"/>
        <v/>
      </c>
      <c r="AL137" s="4" t="str">
        <f t="shared" si="66"/>
        <v/>
      </c>
      <c r="AM137" s="4" t="str">
        <f t="shared" si="67"/>
        <v/>
      </c>
      <c r="AN137" s="195" t="str">
        <f t="shared" si="68"/>
        <v/>
      </c>
      <c r="AO137" s="261" t="str">
        <f>IF(AND(AM137&lt;&gt;"",P137&lt;&gt;""),ROUND((AM137*((100+SI!$C$11)/100)),0),"")</f>
        <v/>
      </c>
      <c r="AP137" s="28" t="str">
        <f>IF(AG137&lt;&gt;"",ROUND(AG137/SI!$C$9,2),"")</f>
        <v/>
      </c>
      <c r="AQ137" s="4" t="str">
        <f>IF(AH137&lt;&gt;"",ROUND(AH137/SI!$C$9,2),"")</f>
        <v/>
      </c>
      <c r="AR137" s="29" t="str">
        <f>IF(AI137&lt;&gt;"",ROUND(AI137/SI!$C$9,2),"")</f>
        <v/>
      </c>
      <c r="AS137" s="4" t="str">
        <f t="shared" si="69"/>
        <v/>
      </c>
      <c r="AT137" s="4" t="str">
        <f t="shared" si="70"/>
        <v/>
      </c>
      <c r="AU137" s="4" t="str">
        <f>IF(AL137&lt;&gt;"",ROUND(AL137/SI!$C$9,2),"")</f>
        <v/>
      </c>
      <c r="AV137" s="4" t="str">
        <f>IF(AM137&lt;&gt;"",ROUND(AM137/SI!$C$9,2),"")</f>
        <v/>
      </c>
      <c r="AW137" s="4" t="str">
        <f>IF(AN137&lt;&gt;"",ROUND(AN137/SI!$C$9,2),"")</f>
        <v/>
      </c>
      <c r="AX137" s="261" t="str">
        <f>IF(AO137&lt;&gt;"",ROUND(AO137/SI!$C$9,2),"")</f>
        <v/>
      </c>
      <c r="AY137" s="28" t="str">
        <f t="shared" si="71"/>
        <v/>
      </c>
      <c r="AZ137" s="4" t="str">
        <f>IF(AY137&lt;&gt;"",ROUND(AY137/(SI!$C$9*SI!$C$10),2),"")</f>
        <v/>
      </c>
      <c r="BA137" s="4" t="str">
        <f t="shared" si="72"/>
        <v/>
      </c>
      <c r="BB137" s="4" t="str">
        <f t="shared" si="73"/>
        <v/>
      </c>
      <c r="BC137" s="4" t="str">
        <f t="shared" si="74"/>
        <v/>
      </c>
      <c r="BD137" s="4" t="str">
        <f t="shared" si="75"/>
        <v/>
      </c>
      <c r="BE137" s="4" t="str">
        <f>IF(AND(X137&lt;&gt;""),ROUND(X137/SI!$C$10,2),"")</f>
        <v/>
      </c>
      <c r="BF137" s="4" t="str">
        <f t="shared" si="77"/>
        <v/>
      </c>
      <c r="BG137" s="264" t="str">
        <f t="shared" si="76"/>
        <v/>
      </c>
      <c r="BH137" s="71" t="str">
        <f>IF(F137&lt;&gt;"",VLOOKUP(F137,DUTY_2025!A:O,15,FALSE),"")</f>
        <v/>
      </c>
    </row>
    <row r="138" spans="1:60" x14ac:dyDescent="0.25">
      <c r="A138" s="133">
        <f t="shared" si="52"/>
        <v>66</v>
      </c>
      <c r="B138" s="83" t="str">
        <f t="shared" si="53"/>
        <v/>
      </c>
      <c r="C138" s="126"/>
      <c r="D138" s="127"/>
      <c r="E138" s="91"/>
      <c r="F138" s="32"/>
      <c r="G138" s="27" t="str">
        <f>IF(F138&lt;&gt;"",IFERROR(VLOOKUP(F138,DUTY_2025!A:I,6,FALSE),""),"")</f>
        <v/>
      </c>
      <c r="H138" s="85" t="s">
        <v>133</v>
      </c>
      <c r="I138" s="27" t="str">
        <f>IF(F138&lt;&gt;"",IFERROR(VLOOKUP(F138,DUTY_2025!A:H,2,FALSE),""),"")</f>
        <v/>
      </c>
      <c r="J138" s="89"/>
      <c r="K138" s="89"/>
      <c r="L138" s="92"/>
      <c r="M138" s="93"/>
      <c r="N138" s="90"/>
      <c r="O138" s="25"/>
      <c r="P138" s="116"/>
      <c r="Q138" s="23"/>
      <c r="R138" s="27"/>
      <c r="S138" s="86" t="str">
        <f t="shared" si="54"/>
        <v/>
      </c>
      <c r="T138" s="87" t="str">
        <f t="shared" si="55"/>
        <v/>
      </c>
      <c r="U138" s="87" t="str" cm="1">
        <f t="array" ref="U138">IF(AND(H138&lt;&gt;"YES",P138&lt;&gt;"",R138&lt;&gt;"",Q138&lt;&gt;""),
_xlfn.SWITCH(Q138,
"INR",_xlfn.SWITCH(R138,"KG",P138*S138,"CTN",P138,"UNIT",P138*N138,"NET",P138/M138,0),
"USD",_xlfn.SWITCH(R138,"KG",P138*S138*SI!$C$10,"CTN",P138*SI!$C$10,"UNIT",P138*N138*SI!$C$10,"NET",P138*SI!$C$10/M138,0),
"LKR",_xlfn.SWITCH(R138,"KG",P138*S138/SI!$C$9,"CTN",P138/SI!$C$9,"UNIT",P138*N138/SI!$C$9,"NET",P138/(M138*SI!$C$9),0),
0),
"")</f>
        <v/>
      </c>
      <c r="V138" s="87" t="str">
        <f t="shared" si="56"/>
        <v/>
      </c>
      <c r="W138" s="87" t="str">
        <f t="shared" si="57"/>
        <v/>
      </c>
      <c r="X138" s="88" t="str">
        <f t="shared" si="58"/>
        <v/>
      </c>
      <c r="Y138" s="24" t="str">
        <f t="shared" si="59"/>
        <v/>
      </c>
      <c r="Z138" s="267" t="str">
        <f>IF(AND(H138&lt;&gt;"yes",F138&lt;&gt;""),IFERROR(VLOOKUP(F138,DUTY_2025!A:F,5,FALSE),""),"")</f>
        <v/>
      </c>
      <c r="AA138" s="271" t="str">
        <f t="shared" si="60"/>
        <v/>
      </c>
      <c r="AB138" s="16" t="str">
        <f t="shared" si="61"/>
        <v/>
      </c>
      <c r="AC138" s="16" t="str">
        <f>IF(AA138&lt;&gt;"",ROUND(AA138*SI!$C$9,0),"")</f>
        <v/>
      </c>
      <c r="AD138" s="4" t="str">
        <f>IF(AC138&lt;&gt;"",ROUND(AC138/(SI!$C$9*SI!$C$10),2),"")</f>
        <v/>
      </c>
      <c r="AE138" s="30" t="str">
        <f>IF(AND(X138&lt;&gt;""), ROUND((SI!$E$23)*(X138/SUM($X$5:$X$493)),0),"")</f>
        <v/>
      </c>
      <c r="AF138" s="272" t="str">
        <f t="shared" si="62"/>
        <v/>
      </c>
      <c r="AG138" s="28" t="str">
        <f t="shared" si="63"/>
        <v/>
      </c>
      <c r="AH138" s="4" t="str">
        <f>IF(AD138&lt;&gt;"",ROUND(AD138*10*SI!$C$9/2,0),"")</f>
        <v/>
      </c>
      <c r="AI138" s="29" t="str">
        <f>IF(AND(X138&lt;&gt;""), ROUND((SI!$E$28)*(X138/SUM($X$5:$X$493)),0),"")</f>
        <v/>
      </c>
      <c r="AJ138" s="4" t="str">
        <f t="shared" si="64"/>
        <v/>
      </c>
      <c r="AK138" s="4" t="str">
        <f t="shared" si="65"/>
        <v/>
      </c>
      <c r="AL138" s="4" t="str">
        <f t="shared" si="66"/>
        <v/>
      </c>
      <c r="AM138" s="4" t="str">
        <f t="shared" si="67"/>
        <v/>
      </c>
      <c r="AN138" s="195" t="str">
        <f t="shared" si="68"/>
        <v/>
      </c>
      <c r="AO138" s="261" t="str">
        <f>IF(AND(AM138&lt;&gt;"",P138&lt;&gt;""),ROUND((AM138*((100+SI!$C$11)/100)),0),"")</f>
        <v/>
      </c>
      <c r="AP138" s="28" t="str">
        <f>IF(AG138&lt;&gt;"",ROUND(AG138/SI!$C$9,2),"")</f>
        <v/>
      </c>
      <c r="AQ138" s="4" t="str">
        <f>IF(AH138&lt;&gt;"",ROUND(AH138/SI!$C$9,2),"")</f>
        <v/>
      </c>
      <c r="AR138" s="29" t="str">
        <f>IF(AI138&lt;&gt;"",ROUND(AI138/SI!$C$9,2),"")</f>
        <v/>
      </c>
      <c r="AS138" s="4" t="str">
        <f t="shared" si="69"/>
        <v/>
      </c>
      <c r="AT138" s="4" t="str">
        <f t="shared" si="70"/>
        <v/>
      </c>
      <c r="AU138" s="4" t="str">
        <f>IF(AL138&lt;&gt;"",ROUND(AL138/SI!$C$9,2),"")</f>
        <v/>
      </c>
      <c r="AV138" s="4" t="str">
        <f>IF(AM138&lt;&gt;"",ROUND(AM138/SI!$C$9,2),"")</f>
        <v/>
      </c>
      <c r="AW138" s="4" t="str">
        <f>IF(AN138&lt;&gt;"",ROUND(AN138/SI!$C$9,2),"")</f>
        <v/>
      </c>
      <c r="AX138" s="261" t="str">
        <f>IF(AO138&lt;&gt;"",ROUND(AO138/SI!$C$9,2),"")</f>
        <v/>
      </c>
      <c r="AY138" s="28" t="str">
        <f t="shared" si="71"/>
        <v/>
      </c>
      <c r="AZ138" s="4" t="str">
        <f>IF(AY138&lt;&gt;"",ROUND(AY138/(SI!$C$9*SI!$C$10),2),"")</f>
        <v/>
      </c>
      <c r="BA138" s="4" t="str">
        <f t="shared" si="72"/>
        <v/>
      </c>
      <c r="BB138" s="4" t="str">
        <f t="shared" si="73"/>
        <v/>
      </c>
      <c r="BC138" s="4" t="str">
        <f t="shared" si="74"/>
        <v/>
      </c>
      <c r="BD138" s="4" t="str">
        <f t="shared" si="75"/>
        <v/>
      </c>
      <c r="BE138" s="4" t="str">
        <f>IF(AND(X138&lt;&gt;""),ROUND(X138/SI!$C$10,2),"")</f>
        <v/>
      </c>
      <c r="BF138" s="4" t="str">
        <f t="shared" si="77"/>
        <v/>
      </c>
      <c r="BG138" s="264" t="str">
        <f t="shared" si="76"/>
        <v/>
      </c>
      <c r="BH138" s="71" t="str">
        <f>IF(F138&lt;&gt;"",VLOOKUP(F138,DUTY_2025!A:O,15,FALSE),"")</f>
        <v/>
      </c>
    </row>
    <row r="139" spans="1:60" x14ac:dyDescent="0.25">
      <c r="A139" s="133">
        <f t="shared" si="52"/>
        <v>66</v>
      </c>
      <c r="B139" s="83" t="str">
        <f t="shared" si="53"/>
        <v/>
      </c>
      <c r="C139" s="126"/>
      <c r="D139" s="127"/>
      <c r="E139" s="91"/>
      <c r="F139" s="114"/>
      <c r="G139" s="27" t="str">
        <f>IF(F139&lt;&gt;"",IFERROR(VLOOKUP(F139,DUTY_2025!A:I,6,FALSE),""),"")</f>
        <v/>
      </c>
      <c r="H139" s="85" t="s">
        <v>133</v>
      </c>
      <c r="I139" s="27" t="str">
        <f>IF(F139&lt;&gt;"",IFERROR(VLOOKUP(F139,DUTY_2025!A:H,2,FALSE),""),"")</f>
        <v/>
      </c>
      <c r="J139" s="89"/>
      <c r="K139" s="89"/>
      <c r="L139" s="92"/>
      <c r="M139" s="93"/>
      <c r="N139" s="90"/>
      <c r="O139" s="25"/>
      <c r="P139" s="116"/>
      <c r="Q139" s="23"/>
      <c r="R139" s="27"/>
      <c r="S139" s="86" t="str">
        <f t="shared" si="54"/>
        <v/>
      </c>
      <c r="T139" s="87" t="str">
        <f t="shared" si="55"/>
        <v/>
      </c>
      <c r="U139" s="87" t="str" cm="1">
        <f t="array" ref="U139">IF(AND(H139&lt;&gt;"YES",P139&lt;&gt;"",R139&lt;&gt;"",Q139&lt;&gt;""),
_xlfn.SWITCH(Q139,
"INR",_xlfn.SWITCH(R139,"KG",P139*S139,"CTN",P139,"UNIT",P139*N139,"NET",P139/M139,0),
"USD",_xlfn.SWITCH(R139,"KG",P139*S139*SI!$C$10,"CTN",P139*SI!$C$10,"UNIT",P139*N139*SI!$C$10,"NET",P139*SI!$C$10/M139,0),
"LKR",_xlfn.SWITCH(R139,"KG",P139*S139/SI!$C$9,"CTN",P139/SI!$C$9,"UNIT",P139*N139/SI!$C$9,"NET",P139/(M139*SI!$C$9),0),
0),
"")</f>
        <v/>
      </c>
      <c r="V139" s="87" t="str">
        <f t="shared" si="56"/>
        <v/>
      </c>
      <c r="W139" s="87" t="str">
        <f t="shared" si="57"/>
        <v/>
      </c>
      <c r="X139" s="88" t="str">
        <f t="shared" si="58"/>
        <v/>
      </c>
      <c r="Y139" s="24" t="str">
        <f t="shared" si="59"/>
        <v/>
      </c>
      <c r="Z139" s="267" t="str">
        <f>IF(AND(H139&lt;&gt;"yes",F139&lt;&gt;""),IFERROR(VLOOKUP(F139,DUTY_2025!A:F,5,FALSE),""),"")</f>
        <v/>
      </c>
      <c r="AA139" s="271" t="str">
        <f t="shared" si="60"/>
        <v/>
      </c>
      <c r="AB139" s="16" t="str">
        <f t="shared" si="61"/>
        <v/>
      </c>
      <c r="AC139" s="16" t="str">
        <f>IF(AA139&lt;&gt;"",ROUND(AA139*SI!$C$9,0),"")</f>
        <v/>
      </c>
      <c r="AD139" s="4" t="str">
        <f>IF(AC139&lt;&gt;"",ROUND(AC139/(SI!$C$9*SI!$C$10),2),"")</f>
        <v/>
      </c>
      <c r="AE139" s="30" t="str">
        <f>IF(AND(X139&lt;&gt;""), ROUND((SI!$E$23)*(X139/SUM($X$5:$X$493)),0),"")</f>
        <v/>
      </c>
      <c r="AF139" s="272" t="str">
        <f t="shared" si="62"/>
        <v/>
      </c>
      <c r="AG139" s="28" t="str">
        <f t="shared" si="63"/>
        <v/>
      </c>
      <c r="AH139" s="4" t="str">
        <f>IF(AD139&lt;&gt;"",ROUND(AD139*10*SI!$C$9/2,0),"")</f>
        <v/>
      </c>
      <c r="AI139" s="29" t="str">
        <f>IF(AND(X139&lt;&gt;""), ROUND((SI!$E$28)*(X139/SUM($X$5:$X$493)),0),"")</f>
        <v/>
      </c>
      <c r="AJ139" s="4" t="str">
        <f t="shared" si="64"/>
        <v/>
      </c>
      <c r="AK139" s="4" t="str">
        <f t="shared" si="65"/>
        <v/>
      </c>
      <c r="AL139" s="4" t="str">
        <f t="shared" si="66"/>
        <v/>
      </c>
      <c r="AM139" s="4" t="str">
        <f t="shared" si="67"/>
        <v/>
      </c>
      <c r="AN139" s="195" t="str">
        <f t="shared" si="68"/>
        <v/>
      </c>
      <c r="AO139" s="261" t="str">
        <f>IF(AND(AM139&lt;&gt;"",P139&lt;&gt;""),ROUND((AM139*((100+SI!$C$11)/100)),0),"")</f>
        <v/>
      </c>
      <c r="AP139" s="28" t="str">
        <f>IF(AG139&lt;&gt;"",ROUND(AG139/SI!$C$9,2),"")</f>
        <v/>
      </c>
      <c r="AQ139" s="4" t="str">
        <f>IF(AH139&lt;&gt;"",ROUND(AH139/SI!$C$9,2),"")</f>
        <v/>
      </c>
      <c r="AR139" s="29" t="str">
        <f>IF(AI139&lt;&gt;"",ROUND(AI139/SI!$C$9,2),"")</f>
        <v/>
      </c>
      <c r="AS139" s="4" t="str">
        <f t="shared" si="69"/>
        <v/>
      </c>
      <c r="AT139" s="4" t="str">
        <f t="shared" si="70"/>
        <v/>
      </c>
      <c r="AU139" s="4" t="str">
        <f>IF(AL139&lt;&gt;"",ROUND(AL139/SI!$C$9,2),"")</f>
        <v/>
      </c>
      <c r="AV139" s="4" t="str">
        <f>IF(AM139&lt;&gt;"",ROUND(AM139/SI!$C$9,2),"")</f>
        <v/>
      </c>
      <c r="AW139" s="4" t="str">
        <f>IF(AN139&lt;&gt;"",ROUND(AN139/SI!$C$9,2),"")</f>
        <v/>
      </c>
      <c r="AX139" s="261" t="str">
        <f>IF(AO139&lt;&gt;"",ROUND(AO139/SI!$C$9,2),"")</f>
        <v/>
      </c>
      <c r="AY139" s="28" t="str">
        <f t="shared" si="71"/>
        <v/>
      </c>
      <c r="AZ139" s="4" t="str">
        <f>IF(AY139&lt;&gt;"",ROUND(AY139/(SI!$C$9*SI!$C$10),2),"")</f>
        <v/>
      </c>
      <c r="BA139" s="4" t="str">
        <f t="shared" si="72"/>
        <v/>
      </c>
      <c r="BB139" s="4" t="str">
        <f t="shared" si="73"/>
        <v/>
      </c>
      <c r="BC139" s="4" t="str">
        <f t="shared" si="74"/>
        <v/>
      </c>
      <c r="BD139" s="4" t="str">
        <f t="shared" si="75"/>
        <v/>
      </c>
      <c r="BE139" s="4" t="str">
        <f>IF(AND(X139&lt;&gt;""),ROUND(X139/SI!$C$10,2),"")</f>
        <v/>
      </c>
      <c r="BF139" s="4" t="str">
        <f t="shared" si="77"/>
        <v/>
      </c>
      <c r="BG139" s="264" t="str">
        <f t="shared" si="76"/>
        <v/>
      </c>
      <c r="BH139" s="71" t="str">
        <f>IF(F139&lt;&gt;"",VLOOKUP(F139,DUTY_2025!A:O,15,FALSE),"")</f>
        <v/>
      </c>
    </row>
    <row r="140" spans="1:60" x14ac:dyDescent="0.25">
      <c r="A140" s="133">
        <f t="shared" si="52"/>
        <v>66</v>
      </c>
      <c r="B140" s="83" t="str">
        <f t="shared" si="53"/>
        <v/>
      </c>
      <c r="C140" s="126"/>
      <c r="D140" s="127"/>
      <c r="E140" s="91"/>
      <c r="F140" s="114"/>
      <c r="G140" s="27" t="str">
        <f>IF(F140&lt;&gt;"",IFERROR(VLOOKUP(F140,DUTY_2025!A:I,6,FALSE),""),"")</f>
        <v/>
      </c>
      <c r="H140" s="85" t="s">
        <v>133</v>
      </c>
      <c r="I140" s="27" t="str">
        <f>IF(F140&lt;&gt;"",IFERROR(VLOOKUP(F140,DUTY_2025!A:H,2,FALSE),""),"")</f>
        <v/>
      </c>
      <c r="J140" s="89"/>
      <c r="K140" s="89"/>
      <c r="L140" s="92"/>
      <c r="M140" s="93"/>
      <c r="N140" s="90"/>
      <c r="O140" s="25"/>
      <c r="P140" s="116"/>
      <c r="Q140" s="23"/>
      <c r="R140" s="27"/>
      <c r="S140" s="86" t="str">
        <f t="shared" si="54"/>
        <v/>
      </c>
      <c r="T140" s="87" t="str">
        <f t="shared" si="55"/>
        <v/>
      </c>
      <c r="U140" s="87" t="str" cm="1">
        <f t="array" ref="U140">IF(AND(H140&lt;&gt;"YES",P140&lt;&gt;"",R140&lt;&gt;"",Q140&lt;&gt;""),
_xlfn.SWITCH(Q140,
"INR",_xlfn.SWITCH(R140,"KG",P140*S140,"CTN",P140,"UNIT",P140*N140,"NET",P140/M140,0),
"USD",_xlfn.SWITCH(R140,"KG",P140*S140*SI!$C$10,"CTN",P140*SI!$C$10,"UNIT",P140*N140*SI!$C$10,"NET",P140*SI!$C$10/M140,0),
"LKR",_xlfn.SWITCH(R140,"KG",P140*S140/SI!$C$9,"CTN",P140/SI!$C$9,"UNIT",P140*N140/SI!$C$9,"NET",P140/(M140*SI!$C$9),0),
0),
"")</f>
        <v/>
      </c>
      <c r="V140" s="87" t="str">
        <f t="shared" si="56"/>
        <v/>
      </c>
      <c r="W140" s="87" t="str">
        <f t="shared" si="57"/>
        <v/>
      </c>
      <c r="X140" s="88" t="str">
        <f t="shared" si="58"/>
        <v/>
      </c>
      <c r="Y140" s="24" t="str">
        <f t="shared" si="59"/>
        <v/>
      </c>
      <c r="Z140" s="267" t="str">
        <f>IF(AND(H140&lt;&gt;"yes",F140&lt;&gt;""),IFERROR(VLOOKUP(F140,DUTY_2025!A:F,5,FALSE),""),"")</f>
        <v/>
      </c>
      <c r="AA140" s="271" t="str">
        <f t="shared" si="60"/>
        <v/>
      </c>
      <c r="AB140" s="16" t="str">
        <f t="shared" si="61"/>
        <v/>
      </c>
      <c r="AC140" s="16" t="str">
        <f>IF(AA140&lt;&gt;"",ROUND(AA140*SI!$C$9,0),"")</f>
        <v/>
      </c>
      <c r="AD140" s="4" t="str">
        <f>IF(AC140&lt;&gt;"",ROUND(AC140/(SI!$C$9*SI!$C$10),2),"")</f>
        <v/>
      </c>
      <c r="AE140" s="30" t="str">
        <f>IF(AND(X140&lt;&gt;""), ROUND((SI!$E$23)*(X140/SUM($X$5:$X$493)),0),"")</f>
        <v/>
      </c>
      <c r="AF140" s="272" t="str">
        <f t="shared" si="62"/>
        <v/>
      </c>
      <c r="AG140" s="28" t="str">
        <f t="shared" si="63"/>
        <v/>
      </c>
      <c r="AH140" s="4" t="str">
        <f>IF(AD140&lt;&gt;"",ROUND(AD140*10*SI!$C$9/2,0),"")</f>
        <v/>
      </c>
      <c r="AI140" s="29" t="str">
        <f>IF(AND(X140&lt;&gt;""), ROUND((SI!$E$28)*(X140/SUM($X$5:$X$493)),0),"")</f>
        <v/>
      </c>
      <c r="AJ140" s="4" t="str">
        <f t="shared" si="64"/>
        <v/>
      </c>
      <c r="AK140" s="4" t="str">
        <f t="shared" si="65"/>
        <v/>
      </c>
      <c r="AL140" s="4" t="str">
        <f t="shared" si="66"/>
        <v/>
      </c>
      <c r="AM140" s="4" t="str">
        <f t="shared" si="67"/>
        <v/>
      </c>
      <c r="AN140" s="195" t="str">
        <f t="shared" si="68"/>
        <v/>
      </c>
      <c r="AO140" s="261" t="str">
        <f>IF(AND(AM140&lt;&gt;"",P140&lt;&gt;""),ROUND((AM140*((100+SI!$C$11)/100)),0),"")</f>
        <v/>
      </c>
      <c r="AP140" s="28" t="str">
        <f>IF(AG140&lt;&gt;"",ROUND(AG140/SI!$C$9,2),"")</f>
        <v/>
      </c>
      <c r="AQ140" s="4" t="str">
        <f>IF(AH140&lt;&gt;"",ROUND(AH140/SI!$C$9,2),"")</f>
        <v/>
      </c>
      <c r="AR140" s="29" t="str">
        <f>IF(AI140&lt;&gt;"",ROUND(AI140/SI!$C$9,2),"")</f>
        <v/>
      </c>
      <c r="AS140" s="4" t="str">
        <f t="shared" si="69"/>
        <v/>
      </c>
      <c r="AT140" s="4" t="str">
        <f t="shared" si="70"/>
        <v/>
      </c>
      <c r="AU140" s="4" t="str">
        <f>IF(AL140&lt;&gt;"",ROUND(AL140/SI!$C$9,2),"")</f>
        <v/>
      </c>
      <c r="AV140" s="4" t="str">
        <f>IF(AM140&lt;&gt;"",ROUND(AM140/SI!$C$9,2),"")</f>
        <v/>
      </c>
      <c r="AW140" s="4" t="str">
        <f>IF(AN140&lt;&gt;"",ROUND(AN140/SI!$C$9,2),"")</f>
        <v/>
      </c>
      <c r="AX140" s="261" t="str">
        <f>IF(AO140&lt;&gt;"",ROUND(AO140/SI!$C$9,2),"")</f>
        <v/>
      </c>
      <c r="AY140" s="28" t="str">
        <f t="shared" si="71"/>
        <v/>
      </c>
      <c r="AZ140" s="4" t="str">
        <f>IF(AY140&lt;&gt;"",ROUND(AY140/(SI!$C$9*SI!$C$10),2),"")</f>
        <v/>
      </c>
      <c r="BA140" s="4" t="str">
        <f t="shared" si="72"/>
        <v/>
      </c>
      <c r="BB140" s="4" t="str">
        <f t="shared" si="73"/>
        <v/>
      </c>
      <c r="BC140" s="4" t="str">
        <f t="shared" si="74"/>
        <v/>
      </c>
      <c r="BD140" s="4" t="str">
        <f t="shared" si="75"/>
        <v/>
      </c>
      <c r="BE140" s="4" t="str">
        <f>IF(AND(X140&lt;&gt;""),ROUND(X140/SI!$C$10,2),"")</f>
        <v/>
      </c>
      <c r="BF140" s="4" t="str">
        <f t="shared" si="77"/>
        <v/>
      </c>
      <c r="BG140" s="264" t="str">
        <f t="shared" si="76"/>
        <v/>
      </c>
      <c r="BH140" s="71" t="str">
        <f>IF(F140&lt;&gt;"",VLOOKUP(F140,DUTY_2025!A:O,15,FALSE),"")</f>
        <v/>
      </c>
    </row>
    <row r="141" spans="1:60" x14ac:dyDescent="0.25">
      <c r="A141" s="133">
        <f t="shared" si="52"/>
        <v>66</v>
      </c>
      <c r="B141" s="83" t="str">
        <f t="shared" si="53"/>
        <v/>
      </c>
      <c r="C141" s="126"/>
      <c r="D141" s="127"/>
      <c r="E141" s="91"/>
      <c r="F141" s="114"/>
      <c r="G141" s="27" t="str">
        <f>IF(F141&lt;&gt;"",IFERROR(VLOOKUP(F141,DUTY_2025!A:I,6,FALSE),""),"")</f>
        <v/>
      </c>
      <c r="H141" s="85" t="s">
        <v>133</v>
      </c>
      <c r="I141" s="27" t="str">
        <f>IF(F141&lt;&gt;"",IFERROR(VLOOKUP(F141,DUTY_2025!A:H,2,FALSE),""),"")</f>
        <v/>
      </c>
      <c r="J141" s="89"/>
      <c r="K141" s="89"/>
      <c r="L141" s="92"/>
      <c r="M141" s="93"/>
      <c r="N141" s="90"/>
      <c r="O141" s="25"/>
      <c r="P141" s="116"/>
      <c r="Q141" s="23"/>
      <c r="R141" s="27"/>
      <c r="S141" s="86" t="str">
        <f t="shared" si="54"/>
        <v/>
      </c>
      <c r="T141" s="87" t="str">
        <f t="shared" si="55"/>
        <v/>
      </c>
      <c r="U141" s="87" t="str" cm="1">
        <f t="array" ref="U141">IF(AND(H141&lt;&gt;"YES",P141&lt;&gt;"",R141&lt;&gt;"",Q141&lt;&gt;""),
_xlfn.SWITCH(Q141,
"INR",_xlfn.SWITCH(R141,"KG",P141*S141,"CTN",P141,"UNIT",P141*N141,"NET",P141/M141,0),
"USD",_xlfn.SWITCH(R141,"KG",P141*S141*SI!$C$10,"CTN",P141*SI!$C$10,"UNIT",P141*N141*SI!$C$10,"NET",P141*SI!$C$10/M141,0),
"LKR",_xlfn.SWITCH(R141,"KG",P141*S141/SI!$C$9,"CTN",P141/SI!$C$9,"UNIT",P141*N141/SI!$C$9,"NET",P141/(M141*SI!$C$9),0),
0),
"")</f>
        <v/>
      </c>
      <c r="V141" s="87" t="str">
        <f t="shared" si="56"/>
        <v/>
      </c>
      <c r="W141" s="87" t="str">
        <f t="shared" si="57"/>
        <v/>
      </c>
      <c r="X141" s="88" t="str">
        <f t="shared" si="58"/>
        <v/>
      </c>
      <c r="Y141" s="24" t="str">
        <f t="shared" si="59"/>
        <v/>
      </c>
      <c r="Z141" s="267" t="str">
        <f>IF(AND(H141&lt;&gt;"yes",F141&lt;&gt;""),IFERROR(VLOOKUP(F141,DUTY_2025!A:F,5,FALSE),""),"")</f>
        <v/>
      </c>
      <c r="AA141" s="271" t="str">
        <f t="shared" si="60"/>
        <v/>
      </c>
      <c r="AB141" s="16" t="str">
        <f t="shared" si="61"/>
        <v/>
      </c>
      <c r="AC141" s="16" t="str">
        <f>IF(AA141&lt;&gt;"",ROUND(AA141*SI!$C$9,0),"")</f>
        <v/>
      </c>
      <c r="AD141" s="4" t="str">
        <f>IF(AC141&lt;&gt;"",ROUND(AC141/(SI!$C$9*SI!$C$10),2),"")</f>
        <v/>
      </c>
      <c r="AE141" s="30" t="str">
        <f>IF(AND(X141&lt;&gt;""), ROUND((SI!$E$23)*(X141/SUM($X$5:$X$493)),0),"")</f>
        <v/>
      </c>
      <c r="AF141" s="272" t="str">
        <f t="shared" si="62"/>
        <v/>
      </c>
      <c r="AG141" s="28" t="str">
        <f t="shared" si="63"/>
        <v/>
      </c>
      <c r="AH141" s="4" t="str">
        <f>IF(AD141&lt;&gt;"",ROUND(AD141*10*SI!$C$9/2,0),"")</f>
        <v/>
      </c>
      <c r="AI141" s="29" t="str">
        <f>IF(AND(X141&lt;&gt;""), ROUND((SI!$E$28)*(X141/SUM($X$5:$X$493)),0),"")</f>
        <v/>
      </c>
      <c r="AJ141" s="4" t="str">
        <f t="shared" si="64"/>
        <v/>
      </c>
      <c r="AK141" s="4" t="str">
        <f t="shared" si="65"/>
        <v/>
      </c>
      <c r="AL141" s="4" t="str">
        <f t="shared" si="66"/>
        <v/>
      </c>
      <c r="AM141" s="4" t="str">
        <f t="shared" si="67"/>
        <v/>
      </c>
      <c r="AN141" s="195" t="str">
        <f t="shared" si="68"/>
        <v/>
      </c>
      <c r="AO141" s="261" t="str">
        <f>IF(AND(AM141&lt;&gt;"",P141&lt;&gt;""),ROUND((AM141*((100+SI!$C$11)/100)),0),"")</f>
        <v/>
      </c>
      <c r="AP141" s="28" t="str">
        <f>IF(AG141&lt;&gt;"",ROUND(AG141/SI!$C$9,2),"")</f>
        <v/>
      </c>
      <c r="AQ141" s="4" t="str">
        <f>IF(AH141&lt;&gt;"",ROUND(AH141/SI!$C$9,2),"")</f>
        <v/>
      </c>
      <c r="AR141" s="29" t="str">
        <f>IF(AI141&lt;&gt;"",ROUND(AI141/SI!$C$9,2),"")</f>
        <v/>
      </c>
      <c r="AS141" s="4" t="str">
        <f t="shared" si="69"/>
        <v/>
      </c>
      <c r="AT141" s="4" t="str">
        <f t="shared" si="70"/>
        <v/>
      </c>
      <c r="AU141" s="4" t="str">
        <f>IF(AL141&lt;&gt;"",ROUND(AL141/SI!$C$9,2),"")</f>
        <v/>
      </c>
      <c r="AV141" s="4" t="str">
        <f>IF(AM141&lt;&gt;"",ROUND(AM141/SI!$C$9,2),"")</f>
        <v/>
      </c>
      <c r="AW141" s="4" t="str">
        <f>IF(AN141&lt;&gt;"",ROUND(AN141/SI!$C$9,2),"")</f>
        <v/>
      </c>
      <c r="AX141" s="261" t="str">
        <f>IF(AO141&lt;&gt;"",ROUND(AO141/SI!$C$9,2),"")</f>
        <v/>
      </c>
      <c r="AY141" s="28" t="str">
        <f t="shared" si="71"/>
        <v/>
      </c>
      <c r="AZ141" s="4" t="str">
        <f>IF(AY141&lt;&gt;"",ROUND(AY141/(SI!$C$9*SI!$C$10),2),"")</f>
        <v/>
      </c>
      <c r="BA141" s="4" t="str">
        <f t="shared" si="72"/>
        <v/>
      </c>
      <c r="BB141" s="4" t="str">
        <f t="shared" si="73"/>
        <v/>
      </c>
      <c r="BC141" s="4" t="str">
        <f t="shared" si="74"/>
        <v/>
      </c>
      <c r="BD141" s="4" t="str">
        <f t="shared" si="75"/>
        <v/>
      </c>
      <c r="BE141" s="4" t="str">
        <f>IF(AND(X141&lt;&gt;""),ROUND(X141/SI!$C$10,2),"")</f>
        <v/>
      </c>
      <c r="BF141" s="4" t="str">
        <f t="shared" si="77"/>
        <v/>
      </c>
      <c r="BG141" s="264" t="str">
        <f t="shared" si="76"/>
        <v/>
      </c>
      <c r="BH141" s="71" t="str">
        <f>IF(F141&lt;&gt;"",VLOOKUP(F141,DUTY_2025!A:O,15,FALSE),"")</f>
        <v/>
      </c>
    </row>
    <row r="142" spans="1:60" x14ac:dyDescent="0.25">
      <c r="A142" s="133">
        <f t="shared" si="52"/>
        <v>66</v>
      </c>
      <c r="B142" s="83" t="str">
        <f t="shared" si="53"/>
        <v/>
      </c>
      <c r="C142" s="126"/>
      <c r="D142" s="127"/>
      <c r="E142" s="91"/>
      <c r="F142" s="114"/>
      <c r="G142" s="27" t="str">
        <f>IF(F142&lt;&gt;"",IFERROR(VLOOKUP(F142,DUTY_2025!A:I,6,FALSE),""),"")</f>
        <v/>
      </c>
      <c r="H142" s="85" t="s">
        <v>133</v>
      </c>
      <c r="I142" s="27" t="str">
        <f>IF(F142&lt;&gt;"",IFERROR(VLOOKUP(F142,DUTY_2025!A:H,2,FALSE),""),"")</f>
        <v/>
      </c>
      <c r="J142" s="89"/>
      <c r="K142" s="89"/>
      <c r="L142" s="92"/>
      <c r="M142" s="93"/>
      <c r="N142" s="90"/>
      <c r="O142" s="25"/>
      <c r="P142" s="116"/>
      <c r="Q142" s="23"/>
      <c r="R142" s="27"/>
      <c r="S142" s="86" t="str">
        <f t="shared" si="54"/>
        <v/>
      </c>
      <c r="T142" s="87" t="str">
        <f t="shared" si="55"/>
        <v/>
      </c>
      <c r="U142" s="87" t="str" cm="1">
        <f t="array" ref="U142">IF(AND(H142&lt;&gt;"YES",P142&lt;&gt;"",R142&lt;&gt;"",Q142&lt;&gt;""),
_xlfn.SWITCH(Q142,
"INR",_xlfn.SWITCH(R142,"KG",P142*S142,"CTN",P142,"UNIT",P142*N142,"NET",P142/M142,0),
"USD",_xlfn.SWITCH(R142,"KG",P142*S142*SI!$C$10,"CTN",P142*SI!$C$10,"UNIT",P142*N142*SI!$C$10,"NET",P142*SI!$C$10/M142,0),
"LKR",_xlfn.SWITCH(R142,"KG",P142*S142/SI!$C$9,"CTN",P142/SI!$C$9,"UNIT",P142*N142/SI!$C$9,"NET",P142/(M142*SI!$C$9),0),
0),
"")</f>
        <v/>
      </c>
      <c r="V142" s="87" t="str">
        <f t="shared" si="56"/>
        <v/>
      </c>
      <c r="W142" s="87" t="str">
        <f t="shared" si="57"/>
        <v/>
      </c>
      <c r="X142" s="88" t="str">
        <f t="shared" si="58"/>
        <v/>
      </c>
      <c r="Y142" s="24" t="str">
        <f t="shared" si="59"/>
        <v/>
      </c>
      <c r="Z142" s="267" t="str">
        <f>IF(AND(H142&lt;&gt;"yes",F142&lt;&gt;""),IFERROR(VLOOKUP(F142,DUTY_2025!A:F,5,FALSE),""),"")</f>
        <v/>
      </c>
      <c r="AA142" s="271" t="str">
        <f t="shared" si="60"/>
        <v/>
      </c>
      <c r="AB142" s="16" t="str">
        <f t="shared" si="61"/>
        <v/>
      </c>
      <c r="AC142" s="16" t="str">
        <f>IF(AA142&lt;&gt;"",ROUND(AA142*SI!$C$9,0),"")</f>
        <v/>
      </c>
      <c r="AD142" s="4" t="str">
        <f>IF(AC142&lt;&gt;"",ROUND(AC142/(SI!$C$9*SI!$C$10),2),"")</f>
        <v/>
      </c>
      <c r="AE142" s="30" t="str">
        <f>IF(AND(X142&lt;&gt;""), ROUND((SI!$E$23)*(X142/SUM($X$5:$X$493)),0),"")</f>
        <v/>
      </c>
      <c r="AF142" s="272" t="str">
        <f t="shared" si="62"/>
        <v/>
      </c>
      <c r="AG142" s="28" t="str">
        <f t="shared" si="63"/>
        <v/>
      </c>
      <c r="AH142" s="4" t="str">
        <f>IF(AD142&lt;&gt;"",ROUND(AD142*10*SI!$C$9/2,0),"")</f>
        <v/>
      </c>
      <c r="AI142" s="29" t="str">
        <f>IF(AND(X142&lt;&gt;""), ROUND((SI!$E$28)*(X142/SUM($X$5:$X$493)),0),"")</f>
        <v/>
      </c>
      <c r="AJ142" s="4" t="str">
        <f t="shared" si="64"/>
        <v/>
      </c>
      <c r="AK142" s="4" t="str">
        <f t="shared" si="65"/>
        <v/>
      </c>
      <c r="AL142" s="4" t="str">
        <f t="shared" si="66"/>
        <v/>
      </c>
      <c r="AM142" s="4" t="str">
        <f t="shared" si="67"/>
        <v/>
      </c>
      <c r="AN142" s="195" t="str">
        <f t="shared" si="68"/>
        <v/>
      </c>
      <c r="AO142" s="261" t="str">
        <f>IF(AND(AM142&lt;&gt;"",P142&lt;&gt;""),ROUND((AM142*((100+SI!$C$11)/100)),0),"")</f>
        <v/>
      </c>
      <c r="AP142" s="28" t="str">
        <f>IF(AG142&lt;&gt;"",ROUND(AG142/SI!$C$9,2),"")</f>
        <v/>
      </c>
      <c r="AQ142" s="4" t="str">
        <f>IF(AH142&lt;&gt;"",ROUND(AH142/SI!$C$9,2),"")</f>
        <v/>
      </c>
      <c r="AR142" s="29" t="str">
        <f>IF(AI142&lt;&gt;"",ROUND(AI142/SI!$C$9,2),"")</f>
        <v/>
      </c>
      <c r="AS142" s="4" t="str">
        <f t="shared" si="69"/>
        <v/>
      </c>
      <c r="AT142" s="4" t="str">
        <f t="shared" si="70"/>
        <v/>
      </c>
      <c r="AU142" s="4" t="str">
        <f>IF(AL142&lt;&gt;"",ROUND(AL142/SI!$C$9,2),"")</f>
        <v/>
      </c>
      <c r="AV142" s="4" t="str">
        <f>IF(AM142&lt;&gt;"",ROUND(AM142/SI!$C$9,2),"")</f>
        <v/>
      </c>
      <c r="AW142" s="4" t="str">
        <f>IF(AN142&lt;&gt;"",ROUND(AN142/SI!$C$9,2),"")</f>
        <v/>
      </c>
      <c r="AX142" s="261" t="str">
        <f>IF(AO142&lt;&gt;"",ROUND(AO142/SI!$C$9,2),"")</f>
        <v/>
      </c>
      <c r="AY142" s="28" t="str">
        <f t="shared" si="71"/>
        <v/>
      </c>
      <c r="AZ142" s="4" t="str">
        <f>IF(AY142&lt;&gt;"",ROUND(AY142/(SI!$C$9*SI!$C$10),2),"")</f>
        <v/>
      </c>
      <c r="BA142" s="4" t="str">
        <f t="shared" si="72"/>
        <v/>
      </c>
      <c r="BB142" s="4" t="str">
        <f t="shared" si="73"/>
        <v/>
      </c>
      <c r="BC142" s="4" t="str">
        <f t="shared" si="74"/>
        <v/>
      </c>
      <c r="BD142" s="4" t="str">
        <f t="shared" si="75"/>
        <v/>
      </c>
      <c r="BE142" s="4" t="str">
        <f>IF(AND(X142&lt;&gt;""),ROUND(X142/SI!$C$10,2),"")</f>
        <v/>
      </c>
      <c r="BF142" s="4" t="str">
        <f t="shared" si="77"/>
        <v/>
      </c>
      <c r="BG142" s="264" t="str">
        <f t="shared" si="76"/>
        <v/>
      </c>
      <c r="BH142" s="71" t="str">
        <f>IF(F142&lt;&gt;"",VLOOKUP(F142,DUTY_2025!A:O,15,FALSE),"")</f>
        <v/>
      </c>
    </row>
    <row r="143" spans="1:60" x14ac:dyDescent="0.25">
      <c r="A143" s="133">
        <f t="shared" si="52"/>
        <v>66</v>
      </c>
      <c r="B143" s="83" t="str">
        <f t="shared" si="53"/>
        <v/>
      </c>
      <c r="C143" s="126"/>
      <c r="D143" s="127"/>
      <c r="E143" s="91"/>
      <c r="F143" s="85"/>
      <c r="G143" s="27" t="str">
        <f>IF(F143&lt;&gt;"",IFERROR(VLOOKUP(F143,DUTY_2025!A:I,6,FALSE),""),"")</f>
        <v/>
      </c>
      <c r="H143" s="85" t="s">
        <v>133</v>
      </c>
      <c r="I143" s="27" t="str">
        <f>IF(F143&lt;&gt;"",IFERROR(VLOOKUP(F143,DUTY_2025!A:H,2,FALSE),""),"")</f>
        <v/>
      </c>
      <c r="J143" s="89"/>
      <c r="K143" s="89"/>
      <c r="L143" s="92"/>
      <c r="M143" s="93"/>
      <c r="N143" s="90"/>
      <c r="O143" s="25"/>
      <c r="P143" s="116"/>
      <c r="Q143" s="23"/>
      <c r="R143" s="27"/>
      <c r="S143" s="86" t="str">
        <f t="shared" si="54"/>
        <v/>
      </c>
      <c r="T143" s="87" t="str">
        <f t="shared" si="55"/>
        <v/>
      </c>
      <c r="U143" s="87" t="str" cm="1">
        <f t="array" ref="U143">IF(AND(H143&lt;&gt;"YES",P143&lt;&gt;"",R143&lt;&gt;"",Q143&lt;&gt;""),
_xlfn.SWITCH(Q143,
"INR",_xlfn.SWITCH(R143,"KG",P143*S143,"CTN",P143,"UNIT",P143*N143,"NET",P143/M143,0),
"USD",_xlfn.SWITCH(R143,"KG",P143*S143*SI!$C$10,"CTN",P143*SI!$C$10,"UNIT",P143*N143*SI!$C$10,"NET",P143*SI!$C$10/M143,0),
"LKR",_xlfn.SWITCH(R143,"KG",P143*S143/SI!$C$9,"CTN",P143/SI!$C$9,"UNIT",P143*N143/SI!$C$9,"NET",P143/(M143*SI!$C$9),0),
0),
"")</f>
        <v/>
      </c>
      <c r="V143" s="87" t="str">
        <f t="shared" si="56"/>
        <v/>
      </c>
      <c r="W143" s="87" t="str">
        <f t="shared" si="57"/>
        <v/>
      </c>
      <c r="X143" s="88" t="str">
        <f t="shared" si="58"/>
        <v/>
      </c>
      <c r="Y143" s="24" t="str">
        <f t="shared" si="59"/>
        <v/>
      </c>
      <c r="Z143" s="267" t="str">
        <f>IF(AND(H143&lt;&gt;"yes",F143&lt;&gt;""),IFERROR(VLOOKUP(F143,DUTY_2025!A:F,5,FALSE),""),"")</f>
        <v/>
      </c>
      <c r="AA143" s="271" t="str">
        <f t="shared" si="60"/>
        <v/>
      </c>
      <c r="AB143" s="16" t="str">
        <f t="shared" si="61"/>
        <v/>
      </c>
      <c r="AC143" s="16" t="str">
        <f>IF(AA143&lt;&gt;"",ROUND(AA143*SI!$C$9,0),"")</f>
        <v/>
      </c>
      <c r="AD143" s="4" t="str">
        <f>IF(AC143&lt;&gt;"",ROUND(AC143/(SI!$C$9*SI!$C$10),2),"")</f>
        <v/>
      </c>
      <c r="AE143" s="30" t="str">
        <f>IF(AND(X143&lt;&gt;""), ROUND((SI!$E$23)*(X143/SUM($X$5:$X$493)),0),"")</f>
        <v/>
      </c>
      <c r="AF143" s="272" t="str">
        <f t="shared" si="62"/>
        <v/>
      </c>
      <c r="AG143" s="28" t="str">
        <f t="shared" si="63"/>
        <v/>
      </c>
      <c r="AH143" s="4" t="str">
        <f>IF(AD143&lt;&gt;"",ROUND(AD143*10*SI!$C$9/2,0),"")</f>
        <v/>
      </c>
      <c r="AI143" s="29" t="str">
        <f>IF(AND(X143&lt;&gt;""), ROUND((SI!$E$28)*(X143/SUM($X$5:$X$493)),0),"")</f>
        <v/>
      </c>
      <c r="AJ143" s="4" t="str">
        <f t="shared" si="64"/>
        <v/>
      </c>
      <c r="AK143" s="4" t="str">
        <f t="shared" si="65"/>
        <v/>
      </c>
      <c r="AL143" s="4" t="str">
        <f t="shared" si="66"/>
        <v/>
      </c>
      <c r="AM143" s="4" t="str">
        <f t="shared" si="67"/>
        <v/>
      </c>
      <c r="AN143" s="195" t="str">
        <f t="shared" si="68"/>
        <v/>
      </c>
      <c r="AO143" s="261" t="str">
        <f>IF(AND(AM143&lt;&gt;"",P143&lt;&gt;""),ROUND((AM143*((100+SI!$C$11)/100)),0),"")</f>
        <v/>
      </c>
      <c r="AP143" s="28" t="str">
        <f>IF(AG143&lt;&gt;"",ROUND(AG143/SI!$C$9,2),"")</f>
        <v/>
      </c>
      <c r="AQ143" s="4" t="str">
        <f>IF(AH143&lt;&gt;"",ROUND(AH143/SI!$C$9,2),"")</f>
        <v/>
      </c>
      <c r="AR143" s="29" t="str">
        <f>IF(AI143&lt;&gt;"",ROUND(AI143/SI!$C$9,2),"")</f>
        <v/>
      </c>
      <c r="AS143" s="4" t="str">
        <f t="shared" si="69"/>
        <v/>
      </c>
      <c r="AT143" s="4" t="str">
        <f t="shared" si="70"/>
        <v/>
      </c>
      <c r="AU143" s="4" t="str">
        <f>IF(AL143&lt;&gt;"",ROUND(AL143/SI!$C$9,2),"")</f>
        <v/>
      </c>
      <c r="AV143" s="4" t="str">
        <f>IF(AM143&lt;&gt;"",ROUND(AM143/SI!$C$9,2),"")</f>
        <v/>
      </c>
      <c r="AW143" s="4" t="str">
        <f>IF(AN143&lt;&gt;"",ROUND(AN143/SI!$C$9,2),"")</f>
        <v/>
      </c>
      <c r="AX143" s="261" t="str">
        <f>IF(AO143&lt;&gt;"",ROUND(AO143/SI!$C$9,2),"")</f>
        <v/>
      </c>
      <c r="AY143" s="28" t="str">
        <f t="shared" si="71"/>
        <v/>
      </c>
      <c r="AZ143" s="4" t="str">
        <f>IF(AY143&lt;&gt;"",ROUND(AY143/(SI!$C$9*SI!$C$10),2),"")</f>
        <v/>
      </c>
      <c r="BA143" s="4" t="str">
        <f t="shared" si="72"/>
        <v/>
      </c>
      <c r="BB143" s="4" t="str">
        <f t="shared" si="73"/>
        <v/>
      </c>
      <c r="BC143" s="4" t="str">
        <f t="shared" si="74"/>
        <v/>
      </c>
      <c r="BD143" s="4" t="str">
        <f t="shared" si="75"/>
        <v/>
      </c>
      <c r="BE143" s="4" t="str">
        <f>IF(AND(X143&lt;&gt;""),ROUND(X143/SI!$C$10,2),"")</f>
        <v/>
      </c>
      <c r="BF143" s="4" t="str">
        <f t="shared" si="77"/>
        <v/>
      </c>
      <c r="BG143" s="264" t="str">
        <f t="shared" si="76"/>
        <v/>
      </c>
      <c r="BH143" s="71" t="str">
        <f>IF(F143&lt;&gt;"",VLOOKUP(F143,DUTY_2025!A:O,15,FALSE),"")</f>
        <v/>
      </c>
    </row>
    <row r="144" spans="1:60" x14ac:dyDescent="0.25">
      <c r="A144" s="133">
        <f t="shared" si="52"/>
        <v>66</v>
      </c>
      <c r="B144" s="83" t="str">
        <f t="shared" si="53"/>
        <v/>
      </c>
      <c r="C144" s="126"/>
      <c r="D144" s="127"/>
      <c r="E144" s="91"/>
      <c r="F144" s="85"/>
      <c r="G144" s="27" t="str">
        <f>IF(F144&lt;&gt;"",IFERROR(VLOOKUP(F144,DUTY_2025!A:I,6,FALSE),""),"")</f>
        <v/>
      </c>
      <c r="H144" s="85" t="s">
        <v>133</v>
      </c>
      <c r="I144" s="27" t="str">
        <f>IF(F144&lt;&gt;"",IFERROR(VLOOKUP(F144,DUTY_2025!A:H,2,FALSE),""),"")</f>
        <v/>
      </c>
      <c r="J144" s="89"/>
      <c r="K144" s="89"/>
      <c r="L144" s="92"/>
      <c r="M144" s="93"/>
      <c r="N144" s="90"/>
      <c r="O144" s="25"/>
      <c r="P144" s="116"/>
      <c r="Q144" s="23"/>
      <c r="R144" s="27"/>
      <c r="S144" s="86" t="str">
        <f t="shared" si="54"/>
        <v/>
      </c>
      <c r="T144" s="87" t="str">
        <f t="shared" si="55"/>
        <v/>
      </c>
      <c r="U144" s="87" t="str" cm="1">
        <f t="array" ref="U144">IF(AND(H144&lt;&gt;"YES",P144&lt;&gt;"",R144&lt;&gt;"",Q144&lt;&gt;""),
_xlfn.SWITCH(Q144,
"INR",_xlfn.SWITCH(R144,"KG",P144*S144,"CTN",P144,"UNIT",P144*N144,"NET",P144/M144,0),
"USD",_xlfn.SWITCH(R144,"KG",P144*S144*SI!$C$10,"CTN",P144*SI!$C$10,"UNIT",P144*N144*SI!$C$10,"NET",P144*SI!$C$10/M144,0),
"LKR",_xlfn.SWITCH(R144,"KG",P144*S144/SI!$C$9,"CTN",P144/SI!$C$9,"UNIT",P144*N144/SI!$C$9,"NET",P144/(M144*SI!$C$9),0),
0),
"")</f>
        <v/>
      </c>
      <c r="V144" s="87" t="str">
        <f t="shared" si="56"/>
        <v/>
      </c>
      <c r="W144" s="87" t="str">
        <f t="shared" si="57"/>
        <v/>
      </c>
      <c r="X144" s="88" t="str">
        <f t="shared" si="58"/>
        <v/>
      </c>
      <c r="Y144" s="24" t="str">
        <f t="shared" si="59"/>
        <v/>
      </c>
      <c r="Z144" s="267" t="str">
        <f>IF(AND(H144&lt;&gt;"yes",F144&lt;&gt;""),IFERROR(VLOOKUP(F144,DUTY_2025!A:F,5,FALSE),""),"")</f>
        <v/>
      </c>
      <c r="AA144" s="271" t="str">
        <f t="shared" si="60"/>
        <v/>
      </c>
      <c r="AB144" s="16" t="str">
        <f t="shared" si="61"/>
        <v/>
      </c>
      <c r="AC144" s="16" t="str">
        <f>IF(AA144&lt;&gt;"",ROUND(AA144*SI!$C$9,0),"")</f>
        <v/>
      </c>
      <c r="AD144" s="4" t="str">
        <f>IF(AC144&lt;&gt;"",ROUND(AC144/(SI!$C$9*SI!$C$10),2),"")</f>
        <v/>
      </c>
      <c r="AE144" s="30" t="str">
        <f>IF(AND(X144&lt;&gt;""), ROUND((SI!$E$23)*(X144/SUM($X$5:$X$493)),0),"")</f>
        <v/>
      </c>
      <c r="AF144" s="272" t="str">
        <f t="shared" si="62"/>
        <v/>
      </c>
      <c r="AG144" s="28" t="str">
        <f t="shared" si="63"/>
        <v/>
      </c>
      <c r="AH144" s="4" t="str">
        <f>IF(AD144&lt;&gt;"",ROUND(AD144*10*SI!$C$9/2,0),"")</f>
        <v/>
      </c>
      <c r="AI144" s="29" t="str">
        <f>IF(AND(X144&lt;&gt;""), ROUND((SI!$E$28)*(X144/SUM($X$5:$X$493)),0),"")</f>
        <v/>
      </c>
      <c r="AJ144" s="4" t="str">
        <f t="shared" si="64"/>
        <v/>
      </c>
      <c r="AK144" s="4" t="str">
        <f t="shared" si="65"/>
        <v/>
      </c>
      <c r="AL144" s="4" t="str">
        <f t="shared" si="66"/>
        <v/>
      </c>
      <c r="AM144" s="4" t="str">
        <f t="shared" si="67"/>
        <v/>
      </c>
      <c r="AN144" s="195" t="str">
        <f t="shared" si="68"/>
        <v/>
      </c>
      <c r="AO144" s="261" t="str">
        <f>IF(AND(AM144&lt;&gt;"",P144&lt;&gt;""),ROUND((AM144*((100+SI!$C$11)/100)),0),"")</f>
        <v/>
      </c>
      <c r="AP144" s="28" t="str">
        <f>IF(AG144&lt;&gt;"",ROUND(AG144/SI!$C$9,2),"")</f>
        <v/>
      </c>
      <c r="AQ144" s="4" t="str">
        <f>IF(AH144&lt;&gt;"",ROUND(AH144/SI!$C$9,2),"")</f>
        <v/>
      </c>
      <c r="AR144" s="29" t="str">
        <f>IF(AI144&lt;&gt;"",ROUND(AI144/SI!$C$9,2),"")</f>
        <v/>
      </c>
      <c r="AS144" s="4" t="str">
        <f t="shared" si="69"/>
        <v/>
      </c>
      <c r="AT144" s="4" t="str">
        <f t="shared" si="70"/>
        <v/>
      </c>
      <c r="AU144" s="4" t="str">
        <f>IF(AL144&lt;&gt;"",ROUND(AL144/SI!$C$9,2),"")</f>
        <v/>
      </c>
      <c r="AV144" s="4" t="str">
        <f>IF(AM144&lt;&gt;"",ROUND(AM144/SI!$C$9,2),"")</f>
        <v/>
      </c>
      <c r="AW144" s="4" t="str">
        <f>IF(AN144&lt;&gt;"",ROUND(AN144/SI!$C$9,2),"")</f>
        <v/>
      </c>
      <c r="AX144" s="261" t="str">
        <f>IF(AO144&lt;&gt;"",ROUND(AO144/SI!$C$9,2),"")</f>
        <v/>
      </c>
      <c r="AY144" s="28" t="str">
        <f t="shared" si="71"/>
        <v/>
      </c>
      <c r="AZ144" s="4" t="str">
        <f>IF(AY144&lt;&gt;"",ROUND(AY144/(SI!$C$9*SI!$C$10),2),"")</f>
        <v/>
      </c>
      <c r="BA144" s="4" t="str">
        <f t="shared" si="72"/>
        <v/>
      </c>
      <c r="BB144" s="4" t="str">
        <f t="shared" si="73"/>
        <v/>
      </c>
      <c r="BC144" s="4" t="str">
        <f t="shared" si="74"/>
        <v/>
      </c>
      <c r="BD144" s="4" t="str">
        <f t="shared" si="75"/>
        <v/>
      </c>
      <c r="BE144" s="4" t="str">
        <f>IF(AND(X144&lt;&gt;""),ROUND(X144/SI!$C$10,2),"")</f>
        <v/>
      </c>
      <c r="BF144" s="4" t="str">
        <f t="shared" si="77"/>
        <v/>
      </c>
      <c r="BG144" s="264" t="str">
        <f t="shared" si="76"/>
        <v/>
      </c>
      <c r="BH144" s="71" t="str">
        <f>IF(F144&lt;&gt;"",VLOOKUP(F144,DUTY_2025!A:O,15,FALSE),"")</f>
        <v/>
      </c>
    </row>
    <row r="145" spans="1:60" x14ac:dyDescent="0.25">
      <c r="A145" s="133">
        <f t="shared" si="52"/>
        <v>66</v>
      </c>
      <c r="B145" s="83" t="str">
        <f t="shared" si="53"/>
        <v/>
      </c>
      <c r="C145" s="126"/>
      <c r="D145" s="127"/>
      <c r="E145" s="91"/>
      <c r="F145" s="85"/>
      <c r="G145" s="27" t="str">
        <f>IF(F145&lt;&gt;"",IFERROR(VLOOKUP(F145,DUTY_2025!A:I,6,FALSE),""),"")</f>
        <v/>
      </c>
      <c r="H145" s="85" t="s">
        <v>133</v>
      </c>
      <c r="I145" s="27" t="str">
        <f>IF(F145&lt;&gt;"",IFERROR(VLOOKUP(F145,DUTY_2025!A:H,2,FALSE),""),"")</f>
        <v/>
      </c>
      <c r="J145" s="89"/>
      <c r="K145" s="89"/>
      <c r="L145" s="92"/>
      <c r="M145" s="93"/>
      <c r="N145" s="90"/>
      <c r="O145" s="25"/>
      <c r="P145" s="116"/>
      <c r="Q145" s="23"/>
      <c r="R145" s="27"/>
      <c r="S145" s="86" t="str">
        <f t="shared" si="54"/>
        <v/>
      </c>
      <c r="T145" s="87" t="str">
        <f t="shared" si="55"/>
        <v/>
      </c>
      <c r="U145" s="87" t="str" cm="1">
        <f t="array" ref="U145">IF(AND(H145&lt;&gt;"YES",P145&lt;&gt;"",R145&lt;&gt;"",Q145&lt;&gt;""),
_xlfn.SWITCH(Q145,
"INR",_xlfn.SWITCH(R145,"KG",P145*S145,"CTN",P145,"UNIT",P145*N145,"NET",P145/M145,0),
"USD",_xlfn.SWITCH(R145,"KG",P145*S145*SI!$C$10,"CTN",P145*SI!$C$10,"UNIT",P145*N145*SI!$C$10,"NET",P145*SI!$C$10/M145,0),
"LKR",_xlfn.SWITCH(R145,"KG",P145*S145/SI!$C$9,"CTN",P145/SI!$C$9,"UNIT",P145*N145/SI!$C$9,"NET",P145/(M145*SI!$C$9),0),
0),
"")</f>
        <v/>
      </c>
      <c r="V145" s="87" t="str">
        <f t="shared" si="56"/>
        <v/>
      </c>
      <c r="W145" s="87" t="str">
        <f t="shared" si="57"/>
        <v/>
      </c>
      <c r="X145" s="88" t="str">
        <f t="shared" si="58"/>
        <v/>
      </c>
      <c r="Y145" s="24" t="str">
        <f t="shared" si="59"/>
        <v/>
      </c>
      <c r="Z145" s="267" t="str">
        <f>IF(AND(H145&lt;&gt;"yes",F145&lt;&gt;""),IFERROR(VLOOKUP(F145,DUTY_2025!A:F,5,FALSE),""),"")</f>
        <v/>
      </c>
      <c r="AA145" s="271" t="str">
        <f t="shared" si="60"/>
        <v/>
      </c>
      <c r="AB145" s="16" t="str">
        <f t="shared" si="61"/>
        <v/>
      </c>
      <c r="AC145" s="16" t="str">
        <f>IF(AA145&lt;&gt;"",ROUND(AA145*SI!$C$9,0),"")</f>
        <v/>
      </c>
      <c r="AD145" s="4" t="str">
        <f>IF(AC145&lt;&gt;"",ROUND(AC145/(SI!$C$9*SI!$C$10),2),"")</f>
        <v/>
      </c>
      <c r="AE145" s="30" t="str">
        <f>IF(AND(X145&lt;&gt;""), ROUND((SI!$E$23)*(X145/SUM($X$5:$X$493)),0),"")</f>
        <v/>
      </c>
      <c r="AF145" s="272" t="str">
        <f t="shared" si="62"/>
        <v/>
      </c>
      <c r="AG145" s="28" t="str">
        <f t="shared" si="63"/>
        <v/>
      </c>
      <c r="AH145" s="4" t="str">
        <f>IF(AD145&lt;&gt;"",ROUND(AD145*10*SI!$C$9/2,0),"")</f>
        <v/>
      </c>
      <c r="AI145" s="29" t="str">
        <f>IF(AND(X145&lt;&gt;""), ROUND((SI!$E$28)*(X145/SUM($X$5:$X$493)),0),"")</f>
        <v/>
      </c>
      <c r="AJ145" s="4" t="str">
        <f t="shared" si="64"/>
        <v/>
      </c>
      <c r="AK145" s="4" t="str">
        <f t="shared" si="65"/>
        <v/>
      </c>
      <c r="AL145" s="4" t="str">
        <f t="shared" si="66"/>
        <v/>
      </c>
      <c r="AM145" s="4" t="str">
        <f t="shared" si="67"/>
        <v/>
      </c>
      <c r="AN145" s="195" t="str">
        <f t="shared" si="68"/>
        <v/>
      </c>
      <c r="AO145" s="261" t="str">
        <f>IF(AND(AM145&lt;&gt;"",P145&lt;&gt;""),ROUND((AM145*((100+SI!$C$11)/100)),0),"")</f>
        <v/>
      </c>
      <c r="AP145" s="28" t="str">
        <f>IF(AG145&lt;&gt;"",ROUND(AG145/SI!$C$9,2),"")</f>
        <v/>
      </c>
      <c r="AQ145" s="4" t="str">
        <f>IF(AH145&lt;&gt;"",ROUND(AH145/SI!$C$9,2),"")</f>
        <v/>
      </c>
      <c r="AR145" s="29" t="str">
        <f>IF(AI145&lt;&gt;"",ROUND(AI145/SI!$C$9,2),"")</f>
        <v/>
      </c>
      <c r="AS145" s="4" t="str">
        <f t="shared" si="69"/>
        <v/>
      </c>
      <c r="AT145" s="4" t="str">
        <f t="shared" si="70"/>
        <v/>
      </c>
      <c r="AU145" s="4" t="str">
        <f>IF(AL145&lt;&gt;"",ROUND(AL145/SI!$C$9,2),"")</f>
        <v/>
      </c>
      <c r="AV145" s="4" t="str">
        <f>IF(AM145&lt;&gt;"",ROUND(AM145/SI!$C$9,2),"")</f>
        <v/>
      </c>
      <c r="AW145" s="4" t="str">
        <f>IF(AN145&lt;&gt;"",ROUND(AN145/SI!$C$9,2),"")</f>
        <v/>
      </c>
      <c r="AX145" s="261" t="str">
        <f>IF(AO145&lt;&gt;"",ROUND(AO145/SI!$C$9,2),"")</f>
        <v/>
      </c>
      <c r="AY145" s="28" t="str">
        <f t="shared" si="71"/>
        <v/>
      </c>
      <c r="AZ145" s="4" t="str">
        <f>IF(AY145&lt;&gt;"",ROUND(AY145/(SI!$C$9*SI!$C$10),2),"")</f>
        <v/>
      </c>
      <c r="BA145" s="4" t="str">
        <f t="shared" si="72"/>
        <v/>
      </c>
      <c r="BB145" s="4" t="str">
        <f t="shared" si="73"/>
        <v/>
      </c>
      <c r="BC145" s="4" t="str">
        <f t="shared" si="74"/>
        <v/>
      </c>
      <c r="BD145" s="4" t="str">
        <f t="shared" si="75"/>
        <v/>
      </c>
      <c r="BE145" s="4" t="str">
        <f>IF(AND(X145&lt;&gt;""),ROUND(X145/SI!$C$10,2),"")</f>
        <v/>
      </c>
      <c r="BF145" s="4" t="str">
        <f t="shared" si="77"/>
        <v/>
      </c>
      <c r="BG145" s="264" t="str">
        <f t="shared" si="76"/>
        <v/>
      </c>
      <c r="BH145" s="71" t="str">
        <f>IF(F145&lt;&gt;"",VLOOKUP(F145,DUTY_2025!A:O,15,FALSE),"")</f>
        <v/>
      </c>
    </row>
    <row r="146" spans="1:60" x14ac:dyDescent="0.25">
      <c r="A146" s="133">
        <f t="shared" si="52"/>
        <v>66</v>
      </c>
      <c r="B146" s="83" t="str">
        <f t="shared" si="53"/>
        <v/>
      </c>
      <c r="C146" s="126"/>
      <c r="D146" s="127"/>
      <c r="E146" s="91"/>
      <c r="F146" s="85"/>
      <c r="G146" s="27" t="str">
        <f>IF(F146&lt;&gt;"",IFERROR(VLOOKUP(F146,DUTY_2025!A:I,6,FALSE),""),"")</f>
        <v/>
      </c>
      <c r="H146" s="85" t="s">
        <v>133</v>
      </c>
      <c r="I146" s="27" t="str">
        <f>IF(F146&lt;&gt;"",IFERROR(VLOOKUP(F146,DUTY_2025!A:H,2,FALSE),""),"")</f>
        <v/>
      </c>
      <c r="J146" s="89"/>
      <c r="K146" s="89"/>
      <c r="L146" s="92"/>
      <c r="M146" s="93"/>
      <c r="N146" s="90"/>
      <c r="O146" s="25"/>
      <c r="P146" s="116"/>
      <c r="Q146" s="23"/>
      <c r="R146" s="27"/>
      <c r="S146" s="86" t="str">
        <f t="shared" si="54"/>
        <v/>
      </c>
      <c r="T146" s="87" t="str">
        <f t="shared" si="55"/>
        <v/>
      </c>
      <c r="U146" s="87" t="str" cm="1">
        <f t="array" ref="U146">IF(AND(H146&lt;&gt;"YES",P146&lt;&gt;"",R146&lt;&gt;"",Q146&lt;&gt;""),
_xlfn.SWITCH(Q146,
"INR",_xlfn.SWITCH(R146,"KG",P146*S146,"CTN",P146,"UNIT",P146*N146,"NET",P146/M146,0),
"USD",_xlfn.SWITCH(R146,"KG",P146*S146*SI!$C$10,"CTN",P146*SI!$C$10,"UNIT",P146*N146*SI!$C$10,"NET",P146*SI!$C$10/M146,0),
"LKR",_xlfn.SWITCH(R146,"KG",P146*S146/SI!$C$9,"CTN",P146/SI!$C$9,"UNIT",P146*N146/SI!$C$9,"NET",P146/(M146*SI!$C$9),0),
0),
"")</f>
        <v/>
      </c>
      <c r="V146" s="87" t="str">
        <f t="shared" si="56"/>
        <v/>
      </c>
      <c r="W146" s="87" t="str">
        <f t="shared" si="57"/>
        <v/>
      </c>
      <c r="X146" s="88" t="str">
        <f t="shared" si="58"/>
        <v/>
      </c>
      <c r="Y146" s="24" t="str">
        <f t="shared" si="59"/>
        <v/>
      </c>
      <c r="Z146" s="267" t="str">
        <f>IF(AND(H146&lt;&gt;"yes",F146&lt;&gt;""),IFERROR(VLOOKUP(F146,DUTY_2025!A:F,5,FALSE),""),"")</f>
        <v/>
      </c>
      <c r="AA146" s="271" t="str">
        <f t="shared" si="60"/>
        <v/>
      </c>
      <c r="AB146" s="16" t="str">
        <f t="shared" si="61"/>
        <v/>
      </c>
      <c r="AC146" s="16" t="str">
        <f>IF(AA146&lt;&gt;"",ROUND(AA146*SI!$C$9,0),"")</f>
        <v/>
      </c>
      <c r="AD146" s="4" t="str">
        <f>IF(AC146&lt;&gt;"",ROUND(AC146/(SI!$C$9*SI!$C$10),2),"")</f>
        <v/>
      </c>
      <c r="AE146" s="30" t="str">
        <f>IF(AND(X146&lt;&gt;""), ROUND((SI!$E$23)*(X146/SUM($X$5:$X$493)),0),"")</f>
        <v/>
      </c>
      <c r="AF146" s="272" t="str">
        <f t="shared" si="62"/>
        <v/>
      </c>
      <c r="AG146" s="28" t="str">
        <f t="shared" si="63"/>
        <v/>
      </c>
      <c r="AH146" s="4" t="str">
        <f>IF(AD146&lt;&gt;"",ROUND(AD146*10*SI!$C$9/2,0),"")</f>
        <v/>
      </c>
      <c r="AI146" s="29" t="str">
        <f>IF(AND(X146&lt;&gt;""), ROUND((SI!$E$28)*(X146/SUM($X$5:$X$493)),0),"")</f>
        <v/>
      </c>
      <c r="AJ146" s="4" t="str">
        <f t="shared" si="64"/>
        <v/>
      </c>
      <c r="AK146" s="4" t="str">
        <f t="shared" si="65"/>
        <v/>
      </c>
      <c r="AL146" s="4" t="str">
        <f t="shared" si="66"/>
        <v/>
      </c>
      <c r="AM146" s="4" t="str">
        <f t="shared" si="67"/>
        <v/>
      </c>
      <c r="AN146" s="195" t="str">
        <f t="shared" si="68"/>
        <v/>
      </c>
      <c r="AO146" s="261" t="str">
        <f>IF(AND(AM146&lt;&gt;"",P146&lt;&gt;""),ROUND((AM146*((100+SI!$C$11)/100)),0),"")</f>
        <v/>
      </c>
      <c r="AP146" s="28" t="str">
        <f>IF(AG146&lt;&gt;"",ROUND(AG146/SI!$C$9,2),"")</f>
        <v/>
      </c>
      <c r="AQ146" s="4" t="str">
        <f>IF(AH146&lt;&gt;"",ROUND(AH146/SI!$C$9,2),"")</f>
        <v/>
      </c>
      <c r="AR146" s="29" t="str">
        <f>IF(AI146&lt;&gt;"",ROUND(AI146/SI!$C$9,2),"")</f>
        <v/>
      </c>
      <c r="AS146" s="4" t="str">
        <f t="shared" si="69"/>
        <v/>
      </c>
      <c r="AT146" s="4" t="str">
        <f t="shared" si="70"/>
        <v/>
      </c>
      <c r="AU146" s="4" t="str">
        <f>IF(AL146&lt;&gt;"",ROUND(AL146/SI!$C$9,2),"")</f>
        <v/>
      </c>
      <c r="AV146" s="4" t="str">
        <f>IF(AM146&lt;&gt;"",ROUND(AM146/SI!$C$9,2),"")</f>
        <v/>
      </c>
      <c r="AW146" s="4" t="str">
        <f>IF(AN146&lt;&gt;"",ROUND(AN146/SI!$C$9,2),"")</f>
        <v/>
      </c>
      <c r="AX146" s="261" t="str">
        <f>IF(AO146&lt;&gt;"",ROUND(AO146/SI!$C$9,2),"")</f>
        <v/>
      </c>
      <c r="AY146" s="28" t="str">
        <f t="shared" si="71"/>
        <v/>
      </c>
      <c r="AZ146" s="4" t="str">
        <f>IF(AY146&lt;&gt;"",ROUND(AY146/(SI!$C$9*SI!$C$10),2),"")</f>
        <v/>
      </c>
      <c r="BA146" s="4" t="str">
        <f t="shared" si="72"/>
        <v/>
      </c>
      <c r="BB146" s="4" t="str">
        <f t="shared" si="73"/>
        <v/>
      </c>
      <c r="BC146" s="4" t="str">
        <f t="shared" si="74"/>
        <v/>
      </c>
      <c r="BD146" s="4" t="str">
        <f t="shared" si="75"/>
        <v/>
      </c>
      <c r="BE146" s="4" t="str">
        <f>IF(AND(X146&lt;&gt;""),ROUND(X146/SI!$C$10,2),"")</f>
        <v/>
      </c>
      <c r="BF146" s="4" t="str">
        <f t="shared" si="77"/>
        <v/>
      </c>
      <c r="BG146" s="264" t="str">
        <f t="shared" si="76"/>
        <v/>
      </c>
      <c r="BH146" s="71" t="str">
        <f>IF(F146&lt;&gt;"",VLOOKUP(F146,DUTY_2025!A:O,15,FALSE),"")</f>
        <v/>
      </c>
    </row>
    <row r="147" spans="1:60" x14ac:dyDescent="0.25">
      <c r="A147" s="133">
        <f t="shared" si="52"/>
        <v>66</v>
      </c>
      <c r="B147" s="83" t="str">
        <f t="shared" si="53"/>
        <v/>
      </c>
      <c r="C147" s="126"/>
      <c r="D147" s="127"/>
      <c r="E147" s="91"/>
      <c r="F147" s="85"/>
      <c r="G147" s="27" t="str">
        <f>IF(F147&lt;&gt;"",IFERROR(VLOOKUP(F147,DUTY_2025!A:I,6,FALSE),""),"")</f>
        <v/>
      </c>
      <c r="H147" s="85" t="s">
        <v>133</v>
      </c>
      <c r="I147" s="27" t="str">
        <f>IF(F147&lt;&gt;"",IFERROR(VLOOKUP(F147,DUTY_2025!A:H,2,FALSE),""),"")</f>
        <v/>
      </c>
      <c r="J147" s="89"/>
      <c r="K147" s="89"/>
      <c r="L147" s="92"/>
      <c r="M147" s="93"/>
      <c r="N147" s="90"/>
      <c r="O147" s="25"/>
      <c r="P147" s="116"/>
      <c r="Q147" s="23"/>
      <c r="R147" s="27"/>
      <c r="S147" s="86" t="str">
        <f t="shared" si="54"/>
        <v/>
      </c>
      <c r="T147" s="87" t="str">
        <f t="shared" si="55"/>
        <v/>
      </c>
      <c r="U147" s="87" t="str" cm="1">
        <f t="array" ref="U147">IF(AND(H147&lt;&gt;"YES",P147&lt;&gt;"",R147&lt;&gt;"",Q147&lt;&gt;""),
_xlfn.SWITCH(Q147,
"INR",_xlfn.SWITCH(R147,"KG",P147*S147,"CTN",P147,"UNIT",P147*N147,"NET",P147/M147,0),
"USD",_xlfn.SWITCH(R147,"KG",P147*S147*SI!$C$10,"CTN",P147*SI!$C$10,"UNIT",P147*N147*SI!$C$10,"NET",P147*SI!$C$10/M147,0),
"LKR",_xlfn.SWITCH(R147,"KG",P147*S147/SI!$C$9,"CTN",P147/SI!$C$9,"UNIT",P147*N147/SI!$C$9,"NET",P147/(M147*SI!$C$9),0),
0),
"")</f>
        <v/>
      </c>
      <c r="V147" s="87" t="str">
        <f t="shared" si="56"/>
        <v/>
      </c>
      <c r="W147" s="87" t="str">
        <f t="shared" si="57"/>
        <v/>
      </c>
      <c r="X147" s="88" t="str">
        <f t="shared" si="58"/>
        <v/>
      </c>
      <c r="Y147" s="24" t="str">
        <f t="shared" si="59"/>
        <v/>
      </c>
      <c r="Z147" s="267" t="str">
        <f>IF(AND(H147&lt;&gt;"yes",F147&lt;&gt;""),IFERROR(VLOOKUP(F147,DUTY_2025!A:F,5,FALSE),""),"")</f>
        <v/>
      </c>
      <c r="AA147" s="271" t="str">
        <f t="shared" si="60"/>
        <v/>
      </c>
      <c r="AB147" s="16" t="str">
        <f t="shared" si="61"/>
        <v/>
      </c>
      <c r="AC147" s="16" t="str">
        <f>IF(AA147&lt;&gt;"",ROUND(AA147*SI!$C$9,0),"")</f>
        <v/>
      </c>
      <c r="AD147" s="4" t="str">
        <f>IF(AC147&lt;&gt;"",ROUND(AC147/(SI!$C$9*SI!$C$10),2),"")</f>
        <v/>
      </c>
      <c r="AE147" s="30" t="str">
        <f>IF(AND(X147&lt;&gt;""), ROUND((SI!$E$23)*(X147/SUM($X$5:$X$493)),0),"")</f>
        <v/>
      </c>
      <c r="AF147" s="272" t="str">
        <f t="shared" si="62"/>
        <v/>
      </c>
      <c r="AG147" s="28" t="str">
        <f t="shared" si="63"/>
        <v/>
      </c>
      <c r="AH147" s="4" t="str">
        <f>IF(AD147&lt;&gt;"",ROUND(AD147*10*SI!$C$9/2,0),"")</f>
        <v/>
      </c>
      <c r="AI147" s="29" t="str">
        <f>IF(AND(X147&lt;&gt;""), ROUND((SI!$E$28)*(X147/SUM($X$5:$X$493)),0),"")</f>
        <v/>
      </c>
      <c r="AJ147" s="4" t="str">
        <f t="shared" si="64"/>
        <v/>
      </c>
      <c r="AK147" s="4" t="str">
        <f t="shared" si="65"/>
        <v/>
      </c>
      <c r="AL147" s="4" t="str">
        <f t="shared" si="66"/>
        <v/>
      </c>
      <c r="AM147" s="4" t="str">
        <f t="shared" si="67"/>
        <v/>
      </c>
      <c r="AN147" s="195" t="str">
        <f t="shared" si="68"/>
        <v/>
      </c>
      <c r="AO147" s="261" t="str">
        <f>IF(AND(AM147&lt;&gt;"",P147&lt;&gt;""),ROUND((AM147*((100+SI!$C$11)/100)),0),"")</f>
        <v/>
      </c>
      <c r="AP147" s="28" t="str">
        <f>IF(AG147&lt;&gt;"",ROUND(AG147/SI!$C$9,2),"")</f>
        <v/>
      </c>
      <c r="AQ147" s="4" t="str">
        <f>IF(AH147&lt;&gt;"",ROUND(AH147/SI!$C$9,2),"")</f>
        <v/>
      </c>
      <c r="AR147" s="29" t="str">
        <f>IF(AI147&lt;&gt;"",ROUND(AI147/SI!$C$9,2),"")</f>
        <v/>
      </c>
      <c r="AS147" s="4" t="str">
        <f t="shared" si="69"/>
        <v/>
      </c>
      <c r="AT147" s="4" t="str">
        <f t="shared" si="70"/>
        <v/>
      </c>
      <c r="AU147" s="4" t="str">
        <f>IF(AL147&lt;&gt;"",ROUND(AL147/SI!$C$9,2),"")</f>
        <v/>
      </c>
      <c r="AV147" s="4" t="str">
        <f>IF(AM147&lt;&gt;"",ROUND(AM147/SI!$C$9,2),"")</f>
        <v/>
      </c>
      <c r="AW147" s="4" t="str">
        <f>IF(AN147&lt;&gt;"",ROUND(AN147/SI!$C$9,2),"")</f>
        <v/>
      </c>
      <c r="AX147" s="261" t="str">
        <f>IF(AO147&lt;&gt;"",ROUND(AO147/SI!$C$9,2),"")</f>
        <v/>
      </c>
      <c r="AY147" s="28" t="str">
        <f t="shared" si="71"/>
        <v/>
      </c>
      <c r="AZ147" s="4" t="str">
        <f>IF(AY147&lt;&gt;"",ROUND(AY147/(SI!$C$9*SI!$C$10),2),"")</f>
        <v/>
      </c>
      <c r="BA147" s="4" t="str">
        <f t="shared" si="72"/>
        <v/>
      </c>
      <c r="BB147" s="4" t="str">
        <f t="shared" si="73"/>
        <v/>
      </c>
      <c r="BC147" s="4" t="str">
        <f t="shared" si="74"/>
        <v/>
      </c>
      <c r="BD147" s="4" t="str">
        <f t="shared" si="75"/>
        <v/>
      </c>
      <c r="BE147" s="4" t="str">
        <f>IF(AND(X147&lt;&gt;""),ROUND(X147/SI!$C$10,2),"")</f>
        <v/>
      </c>
      <c r="BF147" s="4" t="str">
        <f t="shared" si="77"/>
        <v/>
      </c>
      <c r="BG147" s="264" t="str">
        <f t="shared" si="76"/>
        <v/>
      </c>
      <c r="BH147" s="71" t="str">
        <f>IF(F147&lt;&gt;"",VLOOKUP(F147,DUTY_2025!A:O,15,FALSE),"")</f>
        <v/>
      </c>
    </row>
    <row r="148" spans="1:60" x14ac:dyDescent="0.25">
      <c r="A148" s="133">
        <f t="shared" si="52"/>
        <v>66</v>
      </c>
      <c r="B148" s="83" t="str">
        <f t="shared" si="53"/>
        <v/>
      </c>
      <c r="C148" s="126"/>
      <c r="D148" s="127"/>
      <c r="E148" s="91"/>
      <c r="F148" s="85"/>
      <c r="G148" s="27" t="str">
        <f>IF(F148&lt;&gt;"",IFERROR(VLOOKUP(F148,DUTY_2025!A:I,6,FALSE),""),"")</f>
        <v/>
      </c>
      <c r="H148" s="85" t="s">
        <v>133</v>
      </c>
      <c r="I148" s="27" t="str">
        <f>IF(F148&lt;&gt;"",IFERROR(VLOOKUP(F148,DUTY_2025!A:H,2,FALSE),""),"")</f>
        <v/>
      </c>
      <c r="J148" s="89"/>
      <c r="K148" s="89"/>
      <c r="L148" s="92"/>
      <c r="M148" s="93"/>
      <c r="N148" s="90"/>
      <c r="O148" s="25"/>
      <c r="P148" s="116"/>
      <c r="Q148" s="23"/>
      <c r="R148" s="27"/>
      <c r="S148" s="86" t="str">
        <f t="shared" si="54"/>
        <v/>
      </c>
      <c r="T148" s="87" t="str">
        <f t="shared" si="55"/>
        <v/>
      </c>
      <c r="U148" s="87" t="str" cm="1">
        <f t="array" ref="U148">IF(AND(H148&lt;&gt;"YES",P148&lt;&gt;"",R148&lt;&gt;"",Q148&lt;&gt;""),
_xlfn.SWITCH(Q148,
"INR",_xlfn.SWITCH(R148,"KG",P148*S148,"CTN",P148,"UNIT",P148*N148,"NET",P148/M148,0),
"USD",_xlfn.SWITCH(R148,"KG",P148*S148*SI!$C$10,"CTN",P148*SI!$C$10,"UNIT",P148*N148*SI!$C$10,"NET",P148*SI!$C$10/M148,0),
"LKR",_xlfn.SWITCH(R148,"KG",P148*S148/SI!$C$9,"CTN",P148/SI!$C$9,"UNIT",P148*N148/SI!$C$9,"NET",P148/(M148*SI!$C$9),0),
0),
"")</f>
        <v/>
      </c>
      <c r="V148" s="87" t="str">
        <f t="shared" si="56"/>
        <v/>
      </c>
      <c r="W148" s="87" t="str">
        <f t="shared" si="57"/>
        <v/>
      </c>
      <c r="X148" s="88" t="str">
        <f t="shared" si="58"/>
        <v/>
      </c>
      <c r="Y148" s="24" t="str">
        <f t="shared" si="59"/>
        <v/>
      </c>
      <c r="Z148" s="267" t="str">
        <f>IF(AND(H148&lt;&gt;"yes",F148&lt;&gt;""),IFERROR(VLOOKUP(F148,DUTY_2025!A:F,5,FALSE),""),"")</f>
        <v/>
      </c>
      <c r="AA148" s="271" t="str">
        <f t="shared" si="60"/>
        <v/>
      </c>
      <c r="AB148" s="16" t="str">
        <f t="shared" si="61"/>
        <v/>
      </c>
      <c r="AC148" s="16" t="str">
        <f>IF(AA148&lt;&gt;"",ROUND(AA148*SI!$C$9,0),"")</f>
        <v/>
      </c>
      <c r="AD148" s="4" t="str">
        <f>IF(AC148&lt;&gt;"",ROUND(AC148/(SI!$C$9*SI!$C$10),2),"")</f>
        <v/>
      </c>
      <c r="AE148" s="30" t="str">
        <f>IF(AND(X148&lt;&gt;""), ROUND((SI!$E$23)*(X148/SUM($X$5:$X$493)),0),"")</f>
        <v/>
      </c>
      <c r="AF148" s="272" t="str">
        <f t="shared" si="62"/>
        <v/>
      </c>
      <c r="AG148" s="28" t="str">
        <f t="shared" si="63"/>
        <v/>
      </c>
      <c r="AH148" s="4" t="str">
        <f>IF(AD148&lt;&gt;"",ROUND(AD148*10*SI!$C$9/2,0),"")</f>
        <v/>
      </c>
      <c r="AI148" s="29" t="str">
        <f>IF(AND(X148&lt;&gt;""), ROUND((SI!$E$28)*(X148/SUM($X$5:$X$493)),0),"")</f>
        <v/>
      </c>
      <c r="AJ148" s="4" t="str">
        <f t="shared" si="64"/>
        <v/>
      </c>
      <c r="AK148" s="4" t="str">
        <f t="shared" si="65"/>
        <v/>
      </c>
      <c r="AL148" s="4" t="str">
        <f t="shared" si="66"/>
        <v/>
      </c>
      <c r="AM148" s="4" t="str">
        <f t="shared" si="67"/>
        <v/>
      </c>
      <c r="AN148" s="195" t="str">
        <f t="shared" si="68"/>
        <v/>
      </c>
      <c r="AO148" s="261" t="str">
        <f>IF(AND(AM148&lt;&gt;"",P148&lt;&gt;""),ROUND((AM148*((100+SI!$C$11)/100)),0),"")</f>
        <v/>
      </c>
      <c r="AP148" s="28" t="str">
        <f>IF(AG148&lt;&gt;"",ROUND(AG148/SI!$C$9,2),"")</f>
        <v/>
      </c>
      <c r="AQ148" s="4" t="str">
        <f>IF(AH148&lt;&gt;"",ROUND(AH148/SI!$C$9,2),"")</f>
        <v/>
      </c>
      <c r="AR148" s="29" t="str">
        <f>IF(AI148&lt;&gt;"",ROUND(AI148/SI!$C$9,2),"")</f>
        <v/>
      </c>
      <c r="AS148" s="4" t="str">
        <f t="shared" si="69"/>
        <v/>
      </c>
      <c r="AT148" s="4" t="str">
        <f t="shared" si="70"/>
        <v/>
      </c>
      <c r="AU148" s="4" t="str">
        <f>IF(AL148&lt;&gt;"",ROUND(AL148/SI!$C$9,2),"")</f>
        <v/>
      </c>
      <c r="AV148" s="4" t="str">
        <f>IF(AM148&lt;&gt;"",ROUND(AM148/SI!$C$9,2),"")</f>
        <v/>
      </c>
      <c r="AW148" s="4" t="str">
        <f>IF(AN148&lt;&gt;"",ROUND(AN148/SI!$C$9,2),"")</f>
        <v/>
      </c>
      <c r="AX148" s="261" t="str">
        <f>IF(AO148&lt;&gt;"",ROUND(AO148/SI!$C$9,2),"")</f>
        <v/>
      </c>
      <c r="AY148" s="28" t="str">
        <f t="shared" si="71"/>
        <v/>
      </c>
      <c r="AZ148" s="4" t="str">
        <f>IF(AY148&lt;&gt;"",ROUND(AY148/(SI!$C$9*SI!$C$10),2),"")</f>
        <v/>
      </c>
      <c r="BA148" s="4" t="str">
        <f t="shared" si="72"/>
        <v/>
      </c>
      <c r="BB148" s="4" t="str">
        <f t="shared" si="73"/>
        <v/>
      </c>
      <c r="BC148" s="4" t="str">
        <f t="shared" si="74"/>
        <v/>
      </c>
      <c r="BD148" s="4" t="str">
        <f t="shared" si="75"/>
        <v/>
      </c>
      <c r="BE148" s="4" t="str">
        <f>IF(AND(X148&lt;&gt;""),ROUND(X148/SI!$C$10,2),"")</f>
        <v/>
      </c>
      <c r="BF148" s="4" t="str">
        <f t="shared" si="77"/>
        <v/>
      </c>
      <c r="BG148" s="264" t="str">
        <f t="shared" si="76"/>
        <v/>
      </c>
      <c r="BH148" s="71" t="str">
        <f>IF(F148&lt;&gt;"",VLOOKUP(F148,DUTY_2025!A:O,15,FALSE),"")</f>
        <v/>
      </c>
    </row>
    <row r="149" spans="1:60" x14ac:dyDescent="0.25">
      <c r="A149" s="133">
        <f t="shared" si="52"/>
        <v>66</v>
      </c>
      <c r="B149" s="83" t="str">
        <f t="shared" si="53"/>
        <v/>
      </c>
      <c r="C149" s="126"/>
      <c r="D149" s="127"/>
      <c r="E149" s="91"/>
      <c r="F149" s="85"/>
      <c r="G149" s="27" t="str">
        <f>IF(F149&lt;&gt;"",IFERROR(VLOOKUP(F149,DUTY_2025!A:I,6,FALSE),""),"")</f>
        <v/>
      </c>
      <c r="H149" s="85" t="s">
        <v>133</v>
      </c>
      <c r="I149" s="27" t="str">
        <f>IF(F149&lt;&gt;"",IFERROR(VLOOKUP(F149,DUTY_2025!A:H,2,FALSE),""),"")</f>
        <v/>
      </c>
      <c r="J149" s="89"/>
      <c r="K149" s="89"/>
      <c r="L149" s="92"/>
      <c r="M149" s="93"/>
      <c r="N149" s="90"/>
      <c r="O149" s="25"/>
      <c r="P149" s="116"/>
      <c r="Q149" s="23"/>
      <c r="R149" s="27"/>
      <c r="S149" s="86" t="str">
        <f t="shared" si="54"/>
        <v/>
      </c>
      <c r="T149" s="87" t="str">
        <f t="shared" si="55"/>
        <v/>
      </c>
      <c r="U149" s="87" t="str" cm="1">
        <f t="array" ref="U149">IF(AND(H149&lt;&gt;"YES",P149&lt;&gt;"",R149&lt;&gt;"",Q149&lt;&gt;""),
_xlfn.SWITCH(Q149,
"INR",_xlfn.SWITCH(R149,"KG",P149*S149,"CTN",P149,"UNIT",P149*N149,"NET",P149/M149,0),
"USD",_xlfn.SWITCH(R149,"KG",P149*S149*SI!$C$10,"CTN",P149*SI!$C$10,"UNIT",P149*N149*SI!$C$10,"NET",P149*SI!$C$10/M149,0),
"LKR",_xlfn.SWITCH(R149,"KG",P149*S149/SI!$C$9,"CTN",P149/SI!$C$9,"UNIT",P149*N149/SI!$C$9,"NET",P149/(M149*SI!$C$9),0),
0),
"")</f>
        <v/>
      </c>
      <c r="V149" s="87" t="str">
        <f t="shared" si="56"/>
        <v/>
      </c>
      <c r="W149" s="87" t="str">
        <f t="shared" si="57"/>
        <v/>
      </c>
      <c r="X149" s="88" t="str">
        <f t="shared" si="58"/>
        <v/>
      </c>
      <c r="Y149" s="24" t="str">
        <f t="shared" si="59"/>
        <v/>
      </c>
      <c r="Z149" s="267" t="str">
        <f>IF(AND(H149&lt;&gt;"yes",F149&lt;&gt;""),IFERROR(VLOOKUP(F149,DUTY_2025!A:F,5,FALSE),""),"")</f>
        <v/>
      </c>
      <c r="AA149" s="271" t="str">
        <f t="shared" si="60"/>
        <v/>
      </c>
      <c r="AB149" s="16" t="str">
        <f t="shared" si="61"/>
        <v/>
      </c>
      <c r="AC149" s="16" t="str">
        <f>IF(AA149&lt;&gt;"",ROUND(AA149*SI!$C$9,0),"")</f>
        <v/>
      </c>
      <c r="AD149" s="4" t="str">
        <f>IF(AC149&lt;&gt;"",ROUND(AC149/(SI!$C$9*SI!$C$10),2),"")</f>
        <v/>
      </c>
      <c r="AE149" s="30" t="str">
        <f>IF(AND(X149&lt;&gt;""), ROUND((SI!$E$23)*(X149/SUM($X$5:$X$493)),0),"")</f>
        <v/>
      </c>
      <c r="AF149" s="272" t="str">
        <f t="shared" si="62"/>
        <v/>
      </c>
      <c r="AG149" s="28" t="str">
        <f t="shared" si="63"/>
        <v/>
      </c>
      <c r="AH149" s="4" t="str">
        <f>IF(AD149&lt;&gt;"",ROUND(AD149*10*SI!$C$9/2,0),"")</f>
        <v/>
      </c>
      <c r="AI149" s="29" t="str">
        <f>IF(AND(X149&lt;&gt;""), ROUND((SI!$E$28)*(X149/SUM($X$5:$X$493)),0),"")</f>
        <v/>
      </c>
      <c r="AJ149" s="4" t="str">
        <f t="shared" si="64"/>
        <v/>
      </c>
      <c r="AK149" s="4" t="str">
        <f t="shared" si="65"/>
        <v/>
      </c>
      <c r="AL149" s="4" t="str">
        <f t="shared" si="66"/>
        <v/>
      </c>
      <c r="AM149" s="4" t="str">
        <f t="shared" si="67"/>
        <v/>
      </c>
      <c r="AN149" s="195" t="str">
        <f t="shared" si="68"/>
        <v/>
      </c>
      <c r="AO149" s="261" t="str">
        <f>IF(AND(AM149&lt;&gt;"",P149&lt;&gt;""),ROUND((AM149*((100+SI!$C$11)/100)),0),"")</f>
        <v/>
      </c>
      <c r="AP149" s="28" t="str">
        <f>IF(AG149&lt;&gt;"",ROUND(AG149/SI!$C$9,2),"")</f>
        <v/>
      </c>
      <c r="AQ149" s="4" t="str">
        <f>IF(AH149&lt;&gt;"",ROUND(AH149/SI!$C$9,2),"")</f>
        <v/>
      </c>
      <c r="AR149" s="29" t="str">
        <f>IF(AI149&lt;&gt;"",ROUND(AI149/SI!$C$9,2),"")</f>
        <v/>
      </c>
      <c r="AS149" s="4" t="str">
        <f t="shared" si="69"/>
        <v/>
      </c>
      <c r="AT149" s="4" t="str">
        <f t="shared" si="70"/>
        <v/>
      </c>
      <c r="AU149" s="4" t="str">
        <f>IF(AL149&lt;&gt;"",ROUND(AL149/SI!$C$9,2),"")</f>
        <v/>
      </c>
      <c r="AV149" s="4" t="str">
        <f>IF(AM149&lt;&gt;"",ROUND(AM149/SI!$C$9,2),"")</f>
        <v/>
      </c>
      <c r="AW149" s="4" t="str">
        <f>IF(AN149&lt;&gt;"",ROUND(AN149/SI!$C$9,2),"")</f>
        <v/>
      </c>
      <c r="AX149" s="261" t="str">
        <f>IF(AO149&lt;&gt;"",ROUND(AO149/SI!$C$9,2),"")</f>
        <v/>
      </c>
      <c r="AY149" s="28" t="str">
        <f t="shared" si="71"/>
        <v/>
      </c>
      <c r="AZ149" s="4" t="str">
        <f>IF(AY149&lt;&gt;"",ROUND(AY149/(SI!$C$9*SI!$C$10),2),"")</f>
        <v/>
      </c>
      <c r="BA149" s="4" t="str">
        <f t="shared" si="72"/>
        <v/>
      </c>
      <c r="BB149" s="4" t="str">
        <f t="shared" si="73"/>
        <v/>
      </c>
      <c r="BC149" s="4" t="str">
        <f t="shared" si="74"/>
        <v/>
      </c>
      <c r="BD149" s="4" t="str">
        <f t="shared" si="75"/>
        <v/>
      </c>
      <c r="BE149" s="4" t="str">
        <f>IF(AND(X149&lt;&gt;""),ROUND(X149/SI!$C$10,2),"")</f>
        <v/>
      </c>
      <c r="BF149" s="4" t="str">
        <f t="shared" si="77"/>
        <v/>
      </c>
      <c r="BG149" s="264" t="str">
        <f t="shared" si="76"/>
        <v/>
      </c>
      <c r="BH149" s="71" t="str">
        <f>IF(F149&lt;&gt;"",VLOOKUP(F149,DUTY_2025!A:O,15,FALSE),"")</f>
        <v/>
      </c>
    </row>
    <row r="150" spans="1:60" x14ac:dyDescent="0.25">
      <c r="A150" s="133">
        <f t="shared" si="52"/>
        <v>66</v>
      </c>
      <c r="B150" s="83" t="str">
        <f t="shared" si="53"/>
        <v/>
      </c>
      <c r="C150" s="126"/>
      <c r="D150" s="127"/>
      <c r="E150" s="91"/>
      <c r="F150" s="85"/>
      <c r="G150" s="27" t="str">
        <f>IF(F150&lt;&gt;"",IFERROR(VLOOKUP(F150,DUTY_2025!A:I,6,FALSE),""),"")</f>
        <v/>
      </c>
      <c r="H150" s="85" t="s">
        <v>133</v>
      </c>
      <c r="I150" s="27" t="str">
        <f>IF(F150&lt;&gt;"",IFERROR(VLOOKUP(F150,DUTY_2025!A:H,2,FALSE),""),"")</f>
        <v/>
      </c>
      <c r="J150" s="89"/>
      <c r="K150" s="89"/>
      <c r="L150" s="90"/>
      <c r="M150" s="93"/>
      <c r="N150" s="90"/>
      <c r="O150" s="25"/>
      <c r="P150" s="116"/>
      <c r="Q150" s="23"/>
      <c r="R150" s="27"/>
      <c r="S150" s="86" t="str">
        <f t="shared" si="54"/>
        <v/>
      </c>
      <c r="T150" s="87" t="str">
        <f t="shared" si="55"/>
        <v/>
      </c>
      <c r="U150" s="87" t="str" cm="1">
        <f t="array" ref="U150">IF(AND(H150&lt;&gt;"YES",P150&lt;&gt;"",R150&lt;&gt;"",Q150&lt;&gt;""),
_xlfn.SWITCH(Q150,
"INR",_xlfn.SWITCH(R150,"KG",P150*S150,"CTN",P150,"UNIT",P150*N150,"NET",P150/M150,0),
"USD",_xlfn.SWITCH(R150,"KG",P150*S150*SI!$C$10,"CTN",P150*SI!$C$10,"UNIT",P150*N150*SI!$C$10,"NET",P150*SI!$C$10/M150,0),
"LKR",_xlfn.SWITCH(R150,"KG",P150*S150/SI!$C$9,"CTN",P150/SI!$C$9,"UNIT",P150*N150/SI!$C$9,"NET",P150/(M150*SI!$C$9),0),
0),
"")</f>
        <v/>
      </c>
      <c r="V150" s="87" t="str">
        <f t="shared" si="56"/>
        <v/>
      </c>
      <c r="W150" s="87" t="str">
        <f t="shared" si="57"/>
        <v/>
      </c>
      <c r="X150" s="88" t="str">
        <f t="shared" si="58"/>
        <v/>
      </c>
      <c r="Y150" s="24" t="str">
        <f t="shared" si="59"/>
        <v/>
      </c>
      <c r="Z150" s="267" t="str">
        <f>IF(AND(H150&lt;&gt;"yes",F150&lt;&gt;""),IFERROR(VLOOKUP(F150,DUTY_2025!A:F,5,FALSE),""),"")</f>
        <v/>
      </c>
      <c r="AA150" s="271" t="str">
        <f t="shared" si="60"/>
        <v/>
      </c>
      <c r="AB150" s="16" t="str">
        <f t="shared" si="61"/>
        <v/>
      </c>
      <c r="AC150" s="16" t="str">
        <f>IF(AA150&lt;&gt;"",ROUND(AA150*SI!$C$9,0),"")</f>
        <v/>
      </c>
      <c r="AD150" s="4" t="str">
        <f>IF(AC150&lt;&gt;"",ROUND(AC150/(SI!$C$9*SI!$C$10),2),"")</f>
        <v/>
      </c>
      <c r="AE150" s="30" t="str">
        <f>IF(AND(X150&lt;&gt;""), ROUND((SI!$E$23)*(X150/SUM($X$5:$X$493)),0),"")</f>
        <v/>
      </c>
      <c r="AF150" s="272" t="str">
        <f t="shared" si="62"/>
        <v/>
      </c>
      <c r="AG150" s="28" t="str">
        <f t="shared" si="63"/>
        <v/>
      </c>
      <c r="AH150" s="4" t="str">
        <f>IF(AD150&lt;&gt;"",ROUND(AD150*10*SI!$C$9/2,0),"")</f>
        <v/>
      </c>
      <c r="AI150" s="29" t="str">
        <f>IF(AND(X150&lt;&gt;""), ROUND((SI!$E$28)*(X150/SUM($X$5:$X$493)),0),"")</f>
        <v/>
      </c>
      <c r="AJ150" s="4" t="str">
        <f t="shared" si="64"/>
        <v/>
      </c>
      <c r="AK150" s="4" t="str">
        <f t="shared" si="65"/>
        <v/>
      </c>
      <c r="AL150" s="4" t="str">
        <f t="shared" si="66"/>
        <v/>
      </c>
      <c r="AM150" s="4" t="str">
        <f t="shared" si="67"/>
        <v/>
      </c>
      <c r="AN150" s="195" t="str">
        <f t="shared" si="68"/>
        <v/>
      </c>
      <c r="AO150" s="261" t="str">
        <f>IF(AND(AM150&lt;&gt;"",P150&lt;&gt;""),ROUND((AM150*((100+SI!$C$11)/100)),0),"")</f>
        <v/>
      </c>
      <c r="AP150" s="28" t="str">
        <f>IF(AG150&lt;&gt;"",ROUND(AG150/SI!$C$9,2),"")</f>
        <v/>
      </c>
      <c r="AQ150" s="4" t="str">
        <f>IF(AH150&lt;&gt;"",ROUND(AH150/SI!$C$9,2),"")</f>
        <v/>
      </c>
      <c r="AR150" s="29" t="str">
        <f>IF(AI150&lt;&gt;"",ROUND(AI150/SI!$C$9,2),"")</f>
        <v/>
      </c>
      <c r="AS150" s="4" t="str">
        <f t="shared" si="69"/>
        <v/>
      </c>
      <c r="AT150" s="4" t="str">
        <f t="shared" si="70"/>
        <v/>
      </c>
      <c r="AU150" s="4" t="str">
        <f>IF(AL150&lt;&gt;"",ROUND(AL150/SI!$C$9,2),"")</f>
        <v/>
      </c>
      <c r="AV150" s="4" t="str">
        <f>IF(AM150&lt;&gt;"",ROUND(AM150/SI!$C$9,2),"")</f>
        <v/>
      </c>
      <c r="AW150" s="4" t="str">
        <f>IF(AN150&lt;&gt;"",ROUND(AN150/SI!$C$9,2),"")</f>
        <v/>
      </c>
      <c r="AX150" s="261" t="str">
        <f>IF(AO150&lt;&gt;"",ROUND(AO150/SI!$C$9,2),"")</f>
        <v/>
      </c>
      <c r="AY150" s="28" t="str">
        <f t="shared" si="71"/>
        <v/>
      </c>
      <c r="AZ150" s="4" t="str">
        <f>IF(AY150&lt;&gt;"",ROUND(AY150/(SI!$C$9*SI!$C$10),2),"")</f>
        <v/>
      </c>
      <c r="BA150" s="4" t="str">
        <f t="shared" si="72"/>
        <v/>
      </c>
      <c r="BB150" s="4" t="str">
        <f t="shared" si="73"/>
        <v/>
      </c>
      <c r="BC150" s="4" t="str">
        <f t="shared" si="74"/>
        <v/>
      </c>
      <c r="BD150" s="4" t="str">
        <f t="shared" si="75"/>
        <v/>
      </c>
      <c r="BE150" s="4" t="str">
        <f>IF(AND(X150&lt;&gt;""),ROUND(X150/SI!$C$10,2),"")</f>
        <v/>
      </c>
      <c r="BF150" s="4" t="str">
        <f t="shared" si="77"/>
        <v/>
      </c>
      <c r="BG150" s="264" t="str">
        <f t="shared" si="76"/>
        <v/>
      </c>
      <c r="BH150" s="71" t="str">
        <f>IF(F150&lt;&gt;"",VLOOKUP(F150,DUTY_2025!A:O,15,FALSE),"")</f>
        <v/>
      </c>
    </row>
    <row r="151" spans="1:60" x14ac:dyDescent="0.25">
      <c r="A151" s="133">
        <f t="shared" si="52"/>
        <v>66</v>
      </c>
      <c r="B151" s="83" t="str">
        <f t="shared" si="53"/>
        <v/>
      </c>
      <c r="C151" s="126"/>
      <c r="D151" s="127"/>
      <c r="E151" s="91"/>
      <c r="F151" s="85"/>
      <c r="G151" s="27" t="str">
        <f>IF(F151&lt;&gt;"",IFERROR(VLOOKUP(F151,DUTY_2025!A:I,6,FALSE),""),"")</f>
        <v/>
      </c>
      <c r="H151" s="85" t="s">
        <v>133</v>
      </c>
      <c r="I151" s="27" t="str">
        <f>IF(F151&lt;&gt;"",IFERROR(VLOOKUP(F151,DUTY_2025!A:H,2,FALSE),""),"")</f>
        <v/>
      </c>
      <c r="J151" s="89"/>
      <c r="K151" s="89"/>
      <c r="L151" s="92"/>
      <c r="M151" s="93"/>
      <c r="N151" s="90"/>
      <c r="O151" s="25"/>
      <c r="P151" s="116"/>
      <c r="Q151" s="23"/>
      <c r="R151" s="27"/>
      <c r="S151" s="86" t="str">
        <f t="shared" si="54"/>
        <v/>
      </c>
      <c r="T151" s="87" t="str">
        <f t="shared" si="55"/>
        <v/>
      </c>
      <c r="U151" s="87" t="str" cm="1">
        <f t="array" ref="U151">IF(AND(H151&lt;&gt;"YES",P151&lt;&gt;"",R151&lt;&gt;"",Q151&lt;&gt;""),
_xlfn.SWITCH(Q151,
"INR",_xlfn.SWITCH(R151,"KG",P151*S151,"CTN",P151,"UNIT",P151*N151,"NET",P151/M151,0),
"USD",_xlfn.SWITCH(R151,"KG",P151*S151*SI!$C$10,"CTN",P151*SI!$C$10,"UNIT",P151*N151*SI!$C$10,"NET",P151*SI!$C$10/M151,0),
"LKR",_xlfn.SWITCH(R151,"KG",P151*S151/SI!$C$9,"CTN",P151/SI!$C$9,"UNIT",P151*N151/SI!$C$9,"NET",P151/(M151*SI!$C$9),0),
0),
"")</f>
        <v/>
      </c>
      <c r="V151" s="87" t="str">
        <f t="shared" si="56"/>
        <v/>
      </c>
      <c r="W151" s="87" t="str">
        <f t="shared" si="57"/>
        <v/>
      </c>
      <c r="X151" s="88" t="str">
        <f t="shared" si="58"/>
        <v/>
      </c>
      <c r="Y151" s="24" t="str">
        <f t="shared" si="59"/>
        <v/>
      </c>
      <c r="Z151" s="267" t="str">
        <f>IF(AND(H151&lt;&gt;"yes",F151&lt;&gt;""),IFERROR(VLOOKUP(F151,DUTY_2025!A:F,5,FALSE),""),"")</f>
        <v/>
      </c>
      <c r="AA151" s="271" t="str">
        <f t="shared" si="60"/>
        <v/>
      </c>
      <c r="AB151" s="16" t="str">
        <f t="shared" si="61"/>
        <v/>
      </c>
      <c r="AC151" s="16" t="str">
        <f>IF(AA151&lt;&gt;"",ROUND(AA151*SI!$C$9,0),"")</f>
        <v/>
      </c>
      <c r="AD151" s="4" t="str">
        <f>IF(AC151&lt;&gt;"",ROUND(AC151/(SI!$C$9*SI!$C$10),2),"")</f>
        <v/>
      </c>
      <c r="AE151" s="30" t="str">
        <f>IF(AND(X151&lt;&gt;""), ROUND((SI!$E$23)*(X151/SUM($X$5:$X$493)),0),"")</f>
        <v/>
      </c>
      <c r="AF151" s="272" t="str">
        <f t="shared" si="62"/>
        <v/>
      </c>
      <c r="AG151" s="28" t="str">
        <f t="shared" si="63"/>
        <v/>
      </c>
      <c r="AH151" s="4" t="str">
        <f>IF(AD151&lt;&gt;"",ROUND(AD151*10*SI!$C$9/2,0),"")</f>
        <v/>
      </c>
      <c r="AI151" s="29" t="str">
        <f>IF(AND(X151&lt;&gt;""), ROUND((SI!$E$28)*(X151/SUM($X$5:$X$493)),0),"")</f>
        <v/>
      </c>
      <c r="AJ151" s="4" t="str">
        <f t="shared" si="64"/>
        <v/>
      </c>
      <c r="AK151" s="4" t="str">
        <f t="shared" si="65"/>
        <v/>
      </c>
      <c r="AL151" s="4" t="str">
        <f t="shared" si="66"/>
        <v/>
      </c>
      <c r="AM151" s="4" t="str">
        <f t="shared" si="67"/>
        <v/>
      </c>
      <c r="AN151" s="195" t="str">
        <f t="shared" si="68"/>
        <v/>
      </c>
      <c r="AO151" s="261" t="str">
        <f>IF(AND(AM151&lt;&gt;"",P151&lt;&gt;""),ROUND((AM151*((100+SI!$C$11)/100)),0),"")</f>
        <v/>
      </c>
      <c r="AP151" s="28" t="str">
        <f>IF(AG151&lt;&gt;"",ROUND(AG151/SI!$C$9,2),"")</f>
        <v/>
      </c>
      <c r="AQ151" s="4" t="str">
        <f>IF(AH151&lt;&gt;"",ROUND(AH151/SI!$C$9,2),"")</f>
        <v/>
      </c>
      <c r="AR151" s="29" t="str">
        <f>IF(AI151&lt;&gt;"",ROUND(AI151/SI!$C$9,2),"")</f>
        <v/>
      </c>
      <c r="AS151" s="4" t="str">
        <f t="shared" si="69"/>
        <v/>
      </c>
      <c r="AT151" s="4" t="str">
        <f t="shared" si="70"/>
        <v/>
      </c>
      <c r="AU151" s="4" t="str">
        <f>IF(AL151&lt;&gt;"",ROUND(AL151/SI!$C$9,2),"")</f>
        <v/>
      </c>
      <c r="AV151" s="4" t="str">
        <f>IF(AM151&lt;&gt;"",ROUND(AM151/SI!$C$9,2),"")</f>
        <v/>
      </c>
      <c r="AW151" s="4" t="str">
        <f>IF(AN151&lt;&gt;"",ROUND(AN151/SI!$C$9,2),"")</f>
        <v/>
      </c>
      <c r="AX151" s="261" t="str">
        <f>IF(AO151&lt;&gt;"",ROUND(AO151/SI!$C$9,2),"")</f>
        <v/>
      </c>
      <c r="AY151" s="28" t="str">
        <f t="shared" si="71"/>
        <v/>
      </c>
      <c r="AZ151" s="4" t="str">
        <f>IF(AY151&lt;&gt;"",ROUND(AY151/(SI!$C$9*SI!$C$10),2),"")</f>
        <v/>
      </c>
      <c r="BA151" s="4" t="str">
        <f t="shared" si="72"/>
        <v/>
      </c>
      <c r="BB151" s="4" t="str">
        <f t="shared" si="73"/>
        <v/>
      </c>
      <c r="BC151" s="4" t="str">
        <f t="shared" si="74"/>
        <v/>
      </c>
      <c r="BD151" s="4" t="str">
        <f t="shared" si="75"/>
        <v/>
      </c>
      <c r="BE151" s="4" t="str">
        <f>IF(AND(X151&lt;&gt;""),ROUND(X151/SI!$C$10,2),"")</f>
        <v/>
      </c>
      <c r="BF151" s="4" t="str">
        <f t="shared" si="77"/>
        <v/>
      </c>
      <c r="BG151" s="264" t="str">
        <f t="shared" si="76"/>
        <v/>
      </c>
      <c r="BH151" s="71" t="str">
        <f>IF(F151&lt;&gt;"",VLOOKUP(F151,DUTY_2025!A:O,15,FALSE),"")</f>
        <v/>
      </c>
    </row>
    <row r="152" spans="1:60" x14ac:dyDescent="0.25">
      <c r="A152" s="133">
        <f t="shared" si="52"/>
        <v>66</v>
      </c>
      <c r="B152" s="83" t="str">
        <f t="shared" si="53"/>
        <v/>
      </c>
      <c r="C152" s="126"/>
      <c r="D152" s="127"/>
      <c r="E152" s="91"/>
      <c r="F152" s="85"/>
      <c r="G152" s="27" t="str">
        <f>IF(F152&lt;&gt;"",IFERROR(VLOOKUP(F152,DUTY_2025!A:I,6,FALSE),""),"")</f>
        <v/>
      </c>
      <c r="H152" s="85" t="s">
        <v>133</v>
      </c>
      <c r="I152" s="27" t="str">
        <f>IF(F152&lt;&gt;"",IFERROR(VLOOKUP(F152,DUTY_2025!A:H,2,FALSE),""),"")</f>
        <v/>
      </c>
      <c r="J152" s="94"/>
      <c r="K152" s="94"/>
      <c r="L152" s="92"/>
      <c r="M152" s="93"/>
      <c r="N152" s="90"/>
      <c r="O152" s="25"/>
      <c r="P152" s="116"/>
      <c r="Q152" s="23"/>
      <c r="R152" s="27"/>
      <c r="S152" s="86" t="str">
        <f t="shared" si="54"/>
        <v/>
      </c>
      <c r="T152" s="87" t="str">
        <f t="shared" si="55"/>
        <v/>
      </c>
      <c r="U152" s="87" t="str" cm="1">
        <f t="array" ref="U152">IF(AND(H152&lt;&gt;"YES",P152&lt;&gt;"",R152&lt;&gt;"",Q152&lt;&gt;""),
_xlfn.SWITCH(Q152,
"INR",_xlfn.SWITCH(R152,"KG",P152*S152,"CTN",P152,"UNIT",P152*N152,"NET",P152/M152,0),
"USD",_xlfn.SWITCH(R152,"KG",P152*S152*SI!$C$10,"CTN",P152*SI!$C$10,"UNIT",P152*N152*SI!$C$10,"NET",P152*SI!$C$10/M152,0),
"LKR",_xlfn.SWITCH(R152,"KG",P152*S152/SI!$C$9,"CTN",P152/SI!$C$9,"UNIT",P152*N152/SI!$C$9,"NET",P152/(M152*SI!$C$9),0),
0),
"")</f>
        <v/>
      </c>
      <c r="V152" s="87" t="str">
        <f t="shared" si="56"/>
        <v/>
      </c>
      <c r="W152" s="87" t="str">
        <f t="shared" si="57"/>
        <v/>
      </c>
      <c r="X152" s="88" t="str">
        <f t="shared" si="58"/>
        <v/>
      </c>
      <c r="Y152" s="24" t="str">
        <f t="shared" si="59"/>
        <v/>
      </c>
      <c r="Z152" s="267" t="str">
        <f>IF(AND(H152&lt;&gt;"yes",F152&lt;&gt;""),IFERROR(VLOOKUP(F152,DUTY_2025!A:F,5,FALSE),""),"")</f>
        <v/>
      </c>
      <c r="AA152" s="271" t="str">
        <f t="shared" si="60"/>
        <v/>
      </c>
      <c r="AB152" s="16" t="str">
        <f t="shared" si="61"/>
        <v/>
      </c>
      <c r="AC152" s="16" t="str">
        <f>IF(AA152&lt;&gt;"",ROUND(AA152*SI!$C$9,0),"")</f>
        <v/>
      </c>
      <c r="AD152" s="4" t="str">
        <f>IF(AC152&lt;&gt;"",ROUND(AC152/(SI!$C$9*SI!$C$10),2),"")</f>
        <v/>
      </c>
      <c r="AE152" s="30" t="str">
        <f>IF(AND(X152&lt;&gt;""), ROUND((SI!$E$23)*(X152/SUM($X$5:$X$493)),0),"")</f>
        <v/>
      </c>
      <c r="AF152" s="272" t="str">
        <f t="shared" si="62"/>
        <v/>
      </c>
      <c r="AG152" s="28" t="str">
        <f t="shared" si="63"/>
        <v/>
      </c>
      <c r="AH152" s="4" t="str">
        <f>IF(AD152&lt;&gt;"",ROUND(AD152*10*SI!$C$9/2,0),"")</f>
        <v/>
      </c>
      <c r="AI152" s="29" t="str">
        <f>IF(AND(X152&lt;&gt;""), ROUND((SI!$E$28)*(X152/SUM($X$5:$X$493)),0),"")</f>
        <v/>
      </c>
      <c r="AJ152" s="4" t="str">
        <f t="shared" si="64"/>
        <v/>
      </c>
      <c r="AK152" s="4" t="str">
        <f t="shared" si="65"/>
        <v/>
      </c>
      <c r="AL152" s="4" t="str">
        <f t="shared" si="66"/>
        <v/>
      </c>
      <c r="AM152" s="4" t="str">
        <f t="shared" si="67"/>
        <v/>
      </c>
      <c r="AN152" s="195" t="str">
        <f t="shared" si="68"/>
        <v/>
      </c>
      <c r="AO152" s="261" t="str">
        <f>IF(AND(AM152&lt;&gt;"",P152&lt;&gt;""),ROUND((AM152*((100+SI!$C$11)/100)),0),"")</f>
        <v/>
      </c>
      <c r="AP152" s="28" t="str">
        <f>IF(AG152&lt;&gt;"",ROUND(AG152/SI!$C$9,2),"")</f>
        <v/>
      </c>
      <c r="AQ152" s="4" t="str">
        <f>IF(AH152&lt;&gt;"",ROUND(AH152/SI!$C$9,2),"")</f>
        <v/>
      </c>
      <c r="AR152" s="29" t="str">
        <f>IF(AI152&lt;&gt;"",ROUND(AI152/SI!$C$9,2),"")</f>
        <v/>
      </c>
      <c r="AS152" s="4" t="str">
        <f t="shared" si="69"/>
        <v/>
      </c>
      <c r="AT152" s="4" t="str">
        <f t="shared" si="70"/>
        <v/>
      </c>
      <c r="AU152" s="4" t="str">
        <f>IF(AL152&lt;&gt;"",ROUND(AL152/SI!$C$9,2),"")</f>
        <v/>
      </c>
      <c r="AV152" s="4" t="str">
        <f>IF(AM152&lt;&gt;"",ROUND(AM152/SI!$C$9,2),"")</f>
        <v/>
      </c>
      <c r="AW152" s="4" t="str">
        <f>IF(AN152&lt;&gt;"",ROUND(AN152/SI!$C$9,2),"")</f>
        <v/>
      </c>
      <c r="AX152" s="261" t="str">
        <f>IF(AO152&lt;&gt;"",ROUND(AO152/SI!$C$9,2),"")</f>
        <v/>
      </c>
      <c r="AY152" s="28" t="str">
        <f t="shared" si="71"/>
        <v/>
      </c>
      <c r="AZ152" s="4" t="str">
        <f>IF(AY152&lt;&gt;"",ROUND(AY152/(SI!$C$9*SI!$C$10),2),"")</f>
        <v/>
      </c>
      <c r="BA152" s="4" t="str">
        <f t="shared" si="72"/>
        <v/>
      </c>
      <c r="BB152" s="4" t="str">
        <f t="shared" si="73"/>
        <v/>
      </c>
      <c r="BC152" s="4" t="str">
        <f t="shared" si="74"/>
        <v/>
      </c>
      <c r="BD152" s="4" t="str">
        <f t="shared" si="75"/>
        <v/>
      </c>
      <c r="BE152" s="4" t="str">
        <f>IF(AND(X152&lt;&gt;""),ROUND(X152/SI!$C$10,2),"")</f>
        <v/>
      </c>
      <c r="BF152" s="4" t="str">
        <f t="shared" si="77"/>
        <v/>
      </c>
      <c r="BG152" s="264" t="str">
        <f t="shared" si="76"/>
        <v/>
      </c>
      <c r="BH152" s="71" t="str">
        <f>IF(F152&lt;&gt;"",VLOOKUP(F152,DUTY_2025!A:O,15,FALSE),"")</f>
        <v/>
      </c>
    </row>
    <row r="153" spans="1:60" x14ac:dyDescent="0.25">
      <c r="A153" s="133">
        <f t="shared" si="52"/>
        <v>66</v>
      </c>
      <c r="B153" s="83" t="str">
        <f t="shared" si="53"/>
        <v/>
      </c>
      <c r="C153" s="126"/>
      <c r="D153" s="127"/>
      <c r="E153" s="91"/>
      <c r="F153" s="85"/>
      <c r="G153" s="27" t="str">
        <f>IF(F153&lt;&gt;"",IFERROR(VLOOKUP(F153,DUTY_2025!A:I,6,FALSE),""),"")</f>
        <v/>
      </c>
      <c r="H153" s="85" t="s">
        <v>133</v>
      </c>
      <c r="I153" s="27" t="str">
        <f>IF(F153&lt;&gt;"",IFERROR(VLOOKUP(F153,DUTY_2025!A:H,2,FALSE),""),"")</f>
        <v/>
      </c>
      <c r="J153" s="89"/>
      <c r="K153" s="89"/>
      <c r="L153" s="92"/>
      <c r="M153" s="93"/>
      <c r="N153" s="90"/>
      <c r="O153" s="25"/>
      <c r="P153" s="116"/>
      <c r="Q153" s="23"/>
      <c r="R153" s="27"/>
      <c r="S153" s="86" t="str">
        <f t="shared" si="54"/>
        <v/>
      </c>
      <c r="T153" s="87" t="str">
        <f t="shared" si="55"/>
        <v/>
      </c>
      <c r="U153" s="87" t="str" cm="1">
        <f t="array" ref="U153">IF(AND(H153&lt;&gt;"YES",P153&lt;&gt;"",R153&lt;&gt;"",Q153&lt;&gt;""),
_xlfn.SWITCH(Q153,
"INR",_xlfn.SWITCH(R153,"KG",P153*S153,"CTN",P153,"UNIT",P153*N153,"NET",P153/M153,0),
"USD",_xlfn.SWITCH(R153,"KG",P153*S153*SI!$C$10,"CTN",P153*SI!$C$10,"UNIT",P153*N153*SI!$C$10,"NET",P153*SI!$C$10/M153,0),
"LKR",_xlfn.SWITCH(R153,"KG",P153*S153/SI!$C$9,"CTN",P153/SI!$C$9,"UNIT",P153*N153/SI!$C$9,"NET",P153/(M153*SI!$C$9),0),
0),
"")</f>
        <v/>
      </c>
      <c r="V153" s="87" t="str">
        <f t="shared" si="56"/>
        <v/>
      </c>
      <c r="W153" s="87" t="str">
        <f t="shared" si="57"/>
        <v/>
      </c>
      <c r="X153" s="88" t="str">
        <f t="shared" si="58"/>
        <v/>
      </c>
      <c r="Y153" s="24" t="str">
        <f t="shared" si="59"/>
        <v/>
      </c>
      <c r="Z153" s="267" t="str">
        <f>IF(AND(H153&lt;&gt;"yes",F153&lt;&gt;""),IFERROR(VLOOKUP(F153,DUTY_2025!A:F,5,FALSE),""),"")</f>
        <v/>
      </c>
      <c r="AA153" s="271" t="str">
        <f t="shared" si="60"/>
        <v/>
      </c>
      <c r="AB153" s="16" t="str">
        <f t="shared" si="61"/>
        <v/>
      </c>
      <c r="AC153" s="16" t="str">
        <f>IF(AA153&lt;&gt;"",ROUND(AA153*SI!$C$9,0),"")</f>
        <v/>
      </c>
      <c r="AD153" s="4" t="str">
        <f>IF(AC153&lt;&gt;"",ROUND(AC153/(SI!$C$9*SI!$C$10),2),"")</f>
        <v/>
      </c>
      <c r="AE153" s="30" t="str">
        <f>IF(AND(X153&lt;&gt;""), ROUND((SI!$E$23)*(X153/SUM($X$5:$X$493)),0),"")</f>
        <v/>
      </c>
      <c r="AF153" s="272" t="str">
        <f t="shared" si="62"/>
        <v/>
      </c>
      <c r="AG153" s="28" t="str">
        <f t="shared" si="63"/>
        <v/>
      </c>
      <c r="AH153" s="4" t="str">
        <f>IF(AD153&lt;&gt;"",ROUND(AD153*10*SI!$C$9/2,0),"")</f>
        <v/>
      </c>
      <c r="AI153" s="29" t="str">
        <f>IF(AND(X153&lt;&gt;""), ROUND((SI!$E$28)*(X153/SUM($X$5:$X$493)),0),"")</f>
        <v/>
      </c>
      <c r="AJ153" s="4" t="str">
        <f t="shared" si="64"/>
        <v/>
      </c>
      <c r="AK153" s="4" t="str">
        <f t="shared" si="65"/>
        <v/>
      </c>
      <c r="AL153" s="4" t="str">
        <f t="shared" si="66"/>
        <v/>
      </c>
      <c r="AM153" s="4" t="str">
        <f t="shared" si="67"/>
        <v/>
      </c>
      <c r="AN153" s="195" t="str">
        <f t="shared" si="68"/>
        <v/>
      </c>
      <c r="AO153" s="261" t="str">
        <f>IF(AND(AM153&lt;&gt;"",P153&lt;&gt;""),ROUND((AM153*((100+SI!$C$11)/100)),0),"")</f>
        <v/>
      </c>
      <c r="AP153" s="28" t="str">
        <f>IF(AG153&lt;&gt;"",ROUND(AG153/SI!$C$9,2),"")</f>
        <v/>
      </c>
      <c r="AQ153" s="4" t="str">
        <f>IF(AH153&lt;&gt;"",ROUND(AH153/SI!$C$9,2),"")</f>
        <v/>
      </c>
      <c r="AR153" s="29" t="str">
        <f>IF(AI153&lt;&gt;"",ROUND(AI153/SI!$C$9,2),"")</f>
        <v/>
      </c>
      <c r="AS153" s="4" t="str">
        <f t="shared" si="69"/>
        <v/>
      </c>
      <c r="AT153" s="4" t="str">
        <f t="shared" si="70"/>
        <v/>
      </c>
      <c r="AU153" s="4" t="str">
        <f>IF(AL153&lt;&gt;"",ROUND(AL153/SI!$C$9,2),"")</f>
        <v/>
      </c>
      <c r="AV153" s="4" t="str">
        <f>IF(AM153&lt;&gt;"",ROUND(AM153/SI!$C$9,2),"")</f>
        <v/>
      </c>
      <c r="AW153" s="4" t="str">
        <f>IF(AN153&lt;&gt;"",ROUND(AN153/SI!$C$9,2),"")</f>
        <v/>
      </c>
      <c r="AX153" s="261" t="str">
        <f>IF(AO153&lt;&gt;"",ROUND(AO153/SI!$C$9,2),"")</f>
        <v/>
      </c>
      <c r="AY153" s="28" t="str">
        <f t="shared" si="71"/>
        <v/>
      </c>
      <c r="AZ153" s="4" t="str">
        <f>IF(AY153&lt;&gt;"",ROUND(AY153/(SI!$C$9*SI!$C$10),2),"")</f>
        <v/>
      </c>
      <c r="BA153" s="4" t="str">
        <f t="shared" si="72"/>
        <v/>
      </c>
      <c r="BB153" s="4" t="str">
        <f t="shared" si="73"/>
        <v/>
      </c>
      <c r="BC153" s="4" t="str">
        <f t="shared" si="74"/>
        <v/>
      </c>
      <c r="BD153" s="4" t="str">
        <f t="shared" si="75"/>
        <v/>
      </c>
      <c r="BE153" s="4" t="str">
        <f>IF(AND(X153&lt;&gt;""),ROUND(X153/SI!$C$10,2),"")</f>
        <v/>
      </c>
      <c r="BF153" s="4" t="str">
        <f t="shared" si="77"/>
        <v/>
      </c>
      <c r="BG153" s="264" t="str">
        <f t="shared" si="76"/>
        <v/>
      </c>
      <c r="BH153" s="71" t="str">
        <f>IF(F153&lt;&gt;"",VLOOKUP(F153,DUTY_2025!A:O,15,FALSE),"")</f>
        <v/>
      </c>
    </row>
    <row r="154" spans="1:60" x14ac:dyDescent="0.25">
      <c r="A154" s="133">
        <f t="shared" si="52"/>
        <v>66</v>
      </c>
      <c r="B154" s="83" t="str">
        <f t="shared" si="53"/>
        <v/>
      </c>
      <c r="C154" s="126"/>
      <c r="D154" s="127"/>
      <c r="E154" s="91"/>
      <c r="F154" s="85"/>
      <c r="G154" s="27" t="str">
        <f>IF(F154&lt;&gt;"",IFERROR(VLOOKUP(F154,DUTY_2025!A:I,6,FALSE),""),"")</f>
        <v/>
      </c>
      <c r="H154" s="85" t="s">
        <v>133</v>
      </c>
      <c r="I154" s="27"/>
      <c r="J154" s="89"/>
      <c r="K154" s="89"/>
      <c r="L154" s="92"/>
      <c r="M154" s="93"/>
      <c r="N154" s="90"/>
      <c r="O154" s="25"/>
      <c r="P154" s="116"/>
      <c r="Q154" s="23"/>
      <c r="R154" s="27"/>
      <c r="S154" s="86" t="str">
        <f t="shared" si="54"/>
        <v/>
      </c>
      <c r="T154" s="87" t="str">
        <f t="shared" si="55"/>
        <v/>
      </c>
      <c r="U154" s="87" t="str" cm="1">
        <f t="array" ref="U154">IF(AND(H154&lt;&gt;"YES",P154&lt;&gt;"",R154&lt;&gt;"",Q154&lt;&gt;""),
_xlfn.SWITCH(Q154,
"INR",_xlfn.SWITCH(R154,"KG",P154*S154,"CTN",P154,"UNIT",P154*N154,"NET",P154/M154,0),
"USD",_xlfn.SWITCH(R154,"KG",P154*S154*SI!$C$10,"CTN",P154*SI!$C$10,"UNIT",P154*N154*SI!$C$10,"NET",P154*SI!$C$10/M154,0),
"LKR",_xlfn.SWITCH(R154,"KG",P154*S154/SI!$C$9,"CTN",P154/SI!$C$9,"UNIT",P154*N154/SI!$C$9,"NET",P154/(M154*SI!$C$9),0),
0),
"")</f>
        <v/>
      </c>
      <c r="V154" s="87" t="str">
        <f t="shared" si="56"/>
        <v/>
      </c>
      <c r="W154" s="87" t="str">
        <f t="shared" si="57"/>
        <v/>
      </c>
      <c r="X154" s="88" t="str">
        <f t="shared" si="58"/>
        <v/>
      </c>
      <c r="Y154" s="24" t="str">
        <f t="shared" si="59"/>
        <v/>
      </c>
      <c r="Z154" s="267" t="str">
        <f>IF(AND(H154&lt;&gt;"yes",F154&lt;&gt;""),IFERROR(VLOOKUP(F154,DUTY_2025!A:F,5,FALSE),""),"")</f>
        <v/>
      </c>
      <c r="AA154" s="271" t="str">
        <f t="shared" si="60"/>
        <v/>
      </c>
      <c r="AB154" s="16" t="str">
        <f t="shared" si="61"/>
        <v/>
      </c>
      <c r="AC154" s="16" t="str">
        <f>IF(AA154&lt;&gt;"",ROUND(AA154*SI!$C$9,0),"")</f>
        <v/>
      </c>
      <c r="AD154" s="4" t="str">
        <f>IF(AC154&lt;&gt;"",ROUND(AC154/(SI!$C$9*SI!$C$10),2),"")</f>
        <v/>
      </c>
      <c r="AE154" s="30" t="str">
        <f>IF(AND(X154&lt;&gt;""), ROUND((SI!$E$23)*(X154/SUM($X$5:$X$493)),0),"")</f>
        <v/>
      </c>
      <c r="AF154" s="272" t="str">
        <f t="shared" si="62"/>
        <v/>
      </c>
      <c r="AG154" s="28" t="str">
        <f t="shared" si="63"/>
        <v/>
      </c>
      <c r="AH154" s="4" t="str">
        <f>IF(AD154&lt;&gt;"",ROUND(AD154*10*SI!$C$9/2,0),"")</f>
        <v/>
      </c>
      <c r="AI154" s="29" t="str">
        <f>IF(AND(X154&lt;&gt;""), ROUND((SI!$E$28)*(X154/SUM($X$5:$X$493)),0),"")</f>
        <v/>
      </c>
      <c r="AJ154" s="4" t="str">
        <f t="shared" si="64"/>
        <v/>
      </c>
      <c r="AK154" s="4" t="str">
        <f t="shared" si="65"/>
        <v/>
      </c>
      <c r="AL154" s="4" t="str">
        <f t="shared" si="66"/>
        <v/>
      </c>
      <c r="AM154" s="4" t="str">
        <f t="shared" si="67"/>
        <v/>
      </c>
      <c r="AN154" s="195" t="str">
        <f t="shared" si="68"/>
        <v/>
      </c>
      <c r="AO154" s="261" t="str">
        <f>IF(AND(AM154&lt;&gt;"",P154&lt;&gt;""),ROUND((AM154*((100+SI!$C$11)/100)),0),"")</f>
        <v/>
      </c>
      <c r="AP154" s="28" t="str">
        <f>IF(AG154&lt;&gt;"",ROUND(AG154/SI!$C$9,2),"")</f>
        <v/>
      </c>
      <c r="AQ154" s="4" t="str">
        <f>IF(AH154&lt;&gt;"",ROUND(AH154/SI!$C$9,2),"")</f>
        <v/>
      </c>
      <c r="AR154" s="29" t="str">
        <f>IF(AI154&lt;&gt;"",ROUND(AI154/SI!$C$9,2),"")</f>
        <v/>
      </c>
      <c r="AS154" s="4" t="str">
        <f t="shared" si="69"/>
        <v/>
      </c>
      <c r="AT154" s="4" t="str">
        <f t="shared" si="70"/>
        <v/>
      </c>
      <c r="AU154" s="4" t="str">
        <f>IF(AL154&lt;&gt;"",ROUND(AL154/SI!$C$9,2),"")</f>
        <v/>
      </c>
      <c r="AV154" s="4" t="str">
        <f>IF(AM154&lt;&gt;"",ROUND(AM154/SI!$C$9,2),"")</f>
        <v/>
      </c>
      <c r="AW154" s="4" t="str">
        <f>IF(AN154&lt;&gt;"",ROUND(AN154/SI!$C$9,2),"")</f>
        <v/>
      </c>
      <c r="AX154" s="261" t="str">
        <f>IF(AO154&lt;&gt;"",ROUND(AO154/SI!$C$9,2),"")</f>
        <v/>
      </c>
      <c r="AY154" s="28" t="str">
        <f t="shared" si="71"/>
        <v/>
      </c>
      <c r="AZ154" s="4" t="str">
        <f>IF(AY154&lt;&gt;"",ROUND(AY154/(SI!$C$9*SI!$C$10),2),"")</f>
        <v/>
      </c>
      <c r="BA154" s="4" t="str">
        <f t="shared" si="72"/>
        <v/>
      </c>
      <c r="BB154" s="4" t="str">
        <f t="shared" si="73"/>
        <v/>
      </c>
      <c r="BC154" s="4" t="str">
        <f t="shared" si="74"/>
        <v/>
      </c>
      <c r="BD154" s="4" t="str">
        <f t="shared" si="75"/>
        <v/>
      </c>
      <c r="BE154" s="4" t="str">
        <f>IF(AND(X154&lt;&gt;""),ROUND(X154/SI!$C$10,2),"")</f>
        <v/>
      </c>
      <c r="BF154" s="4" t="str">
        <f t="shared" si="77"/>
        <v/>
      </c>
      <c r="BG154" s="264" t="str">
        <f t="shared" si="76"/>
        <v/>
      </c>
      <c r="BH154" s="71" t="str">
        <f>IF(F154&lt;&gt;"",VLOOKUP(F154,DUTY_2025!A:O,15,FALSE),"")</f>
        <v/>
      </c>
    </row>
    <row r="155" spans="1:60" x14ac:dyDescent="0.25">
      <c r="A155" s="133">
        <f t="shared" si="52"/>
        <v>66</v>
      </c>
      <c r="B155" s="83" t="str">
        <f t="shared" si="53"/>
        <v/>
      </c>
      <c r="C155" s="126"/>
      <c r="D155" s="130"/>
      <c r="E155" s="91"/>
      <c r="F155" s="85"/>
      <c r="G155" s="27" t="str">
        <f>IF(F155&lt;&gt;"",IFERROR(VLOOKUP(F155,DUTY_2025!A:I,6,FALSE),""),"")</f>
        <v/>
      </c>
      <c r="H155" s="85" t="s">
        <v>133</v>
      </c>
      <c r="I155" s="27"/>
      <c r="J155" s="96"/>
      <c r="K155" s="96"/>
      <c r="L155" s="25"/>
      <c r="M155" s="25"/>
      <c r="N155" s="90"/>
      <c r="O155" s="25"/>
      <c r="P155" s="116"/>
      <c r="Q155" s="23"/>
      <c r="R155" s="27"/>
      <c r="S155" s="86" t="str">
        <f t="shared" si="54"/>
        <v/>
      </c>
      <c r="T155" s="87" t="str">
        <f t="shared" si="55"/>
        <v/>
      </c>
      <c r="U155" s="87" t="str" cm="1">
        <f t="array" ref="U155">IF(AND(H155&lt;&gt;"YES",P155&lt;&gt;"",R155&lt;&gt;"",Q155&lt;&gt;""),
_xlfn.SWITCH(Q155,
"INR",_xlfn.SWITCH(R155,"KG",P155*S155,"CTN",P155,"UNIT",P155*N155,"NET",P155/M155,0),
"USD",_xlfn.SWITCH(R155,"KG",P155*S155*SI!$C$10,"CTN",P155*SI!$C$10,"UNIT",P155*N155*SI!$C$10,"NET",P155*SI!$C$10/M155,0),
"LKR",_xlfn.SWITCH(R155,"KG",P155*S155/SI!$C$9,"CTN",P155/SI!$C$9,"UNIT",P155*N155/SI!$C$9,"NET",P155/(M155*SI!$C$9),0),
0),
"")</f>
        <v/>
      </c>
      <c r="V155" s="87" t="str">
        <f t="shared" si="56"/>
        <v/>
      </c>
      <c r="W155" s="87" t="str">
        <f t="shared" si="57"/>
        <v/>
      </c>
      <c r="X155" s="88" t="str">
        <f t="shared" si="58"/>
        <v/>
      </c>
      <c r="Y155" s="24" t="str">
        <f t="shared" si="59"/>
        <v/>
      </c>
      <c r="Z155" s="267" t="str">
        <f>IF(AND(H155&lt;&gt;"yes",F155&lt;&gt;""),IFERROR(VLOOKUP(F155,DUTY_2025!A:F,5,FALSE),""),"")</f>
        <v/>
      </c>
      <c r="AA155" s="271" t="str">
        <f t="shared" si="60"/>
        <v/>
      </c>
      <c r="AB155" s="16" t="str">
        <f t="shared" si="61"/>
        <v/>
      </c>
      <c r="AC155" s="16" t="str">
        <f>IF(AA155&lt;&gt;"",ROUND(AA155*SI!$C$9,0),"")</f>
        <v/>
      </c>
      <c r="AD155" s="4" t="str">
        <f>IF(AC155&lt;&gt;"",ROUND(AC155/(SI!$C$9*SI!$C$10),2),"")</f>
        <v/>
      </c>
      <c r="AE155" s="30" t="str">
        <f>IF(AND(X155&lt;&gt;""), ROUND((SI!$E$23)*(X155/SUM($X$5:$X$493)),0),"")</f>
        <v/>
      </c>
      <c r="AF155" s="272" t="str">
        <f t="shared" si="62"/>
        <v/>
      </c>
      <c r="AG155" s="28" t="str">
        <f t="shared" si="63"/>
        <v/>
      </c>
      <c r="AH155" s="4" t="str">
        <f>IF(AD155&lt;&gt;"",ROUND(AD155*10*SI!$C$9/2,0),"")</f>
        <v/>
      </c>
      <c r="AI155" s="29" t="str">
        <f>IF(AND(X155&lt;&gt;""), ROUND((SI!$E$28)*(X155/SUM($X$5:$X$493)),0),"")</f>
        <v/>
      </c>
      <c r="AJ155" s="4" t="str">
        <f t="shared" si="64"/>
        <v/>
      </c>
      <c r="AK155" s="4" t="str">
        <f t="shared" si="65"/>
        <v/>
      </c>
      <c r="AL155" s="4" t="str">
        <f t="shared" si="66"/>
        <v/>
      </c>
      <c r="AM155" s="4" t="str">
        <f t="shared" si="67"/>
        <v/>
      </c>
      <c r="AN155" s="195" t="str">
        <f t="shared" si="68"/>
        <v/>
      </c>
      <c r="AO155" s="261" t="str">
        <f>IF(AND(AM155&lt;&gt;"",P155&lt;&gt;""),ROUND((AM155*((100+SI!$C$11)/100)),0),"")</f>
        <v/>
      </c>
      <c r="AP155" s="28" t="str">
        <f>IF(AG155&lt;&gt;"",ROUND(AG155/SI!$C$9,2),"")</f>
        <v/>
      </c>
      <c r="AQ155" s="4" t="str">
        <f>IF(AH155&lt;&gt;"",ROUND(AH155/SI!$C$9,2),"")</f>
        <v/>
      </c>
      <c r="AR155" s="29" t="str">
        <f>IF(AI155&lt;&gt;"",ROUND(AI155/SI!$C$9,2),"")</f>
        <v/>
      </c>
      <c r="AS155" s="4" t="str">
        <f t="shared" si="69"/>
        <v/>
      </c>
      <c r="AT155" s="4" t="str">
        <f t="shared" si="70"/>
        <v/>
      </c>
      <c r="AU155" s="4" t="str">
        <f>IF(AL155&lt;&gt;"",ROUND(AL155/SI!$C$9,2),"")</f>
        <v/>
      </c>
      <c r="AV155" s="4" t="str">
        <f>IF(AM155&lt;&gt;"",ROUND(AM155/SI!$C$9,2),"")</f>
        <v/>
      </c>
      <c r="AW155" s="4" t="str">
        <f>IF(AN155&lt;&gt;"",ROUND(AN155/SI!$C$9,2),"")</f>
        <v/>
      </c>
      <c r="AX155" s="261" t="str">
        <f>IF(AO155&lt;&gt;"",ROUND(AO155/SI!$C$9,2),"")</f>
        <v/>
      </c>
      <c r="AY155" s="28" t="str">
        <f t="shared" si="71"/>
        <v/>
      </c>
      <c r="AZ155" s="4" t="str">
        <f>IF(AY155&lt;&gt;"",ROUND(AY155/(SI!$C$9*SI!$C$10),2),"")</f>
        <v/>
      </c>
      <c r="BA155" s="4" t="str">
        <f t="shared" si="72"/>
        <v/>
      </c>
      <c r="BB155" s="4" t="str">
        <f t="shared" si="73"/>
        <v/>
      </c>
      <c r="BC155" s="4" t="str">
        <f t="shared" si="74"/>
        <v/>
      </c>
      <c r="BD155" s="4" t="str">
        <f t="shared" si="75"/>
        <v/>
      </c>
      <c r="BE155" s="4" t="str">
        <f>IF(AND(X155&lt;&gt;""),ROUND(X155/SI!$C$10,2),"")</f>
        <v/>
      </c>
      <c r="BF155" s="4" t="str">
        <f t="shared" si="77"/>
        <v/>
      </c>
      <c r="BG155" s="264" t="str">
        <f t="shared" si="76"/>
        <v/>
      </c>
      <c r="BH155" s="71" t="str">
        <f>IF(F155&lt;&gt;"",VLOOKUP(F155,DUTY_2025!A:O,15,FALSE),"")</f>
        <v/>
      </c>
    </row>
    <row r="156" spans="1:60" x14ac:dyDescent="0.25">
      <c r="A156" s="133">
        <f t="shared" si="52"/>
        <v>66</v>
      </c>
      <c r="B156" s="83" t="str">
        <f t="shared" si="53"/>
        <v/>
      </c>
      <c r="C156" s="126"/>
      <c r="D156" s="130"/>
      <c r="E156" s="22"/>
      <c r="F156" s="85"/>
      <c r="G156" s="27" t="str">
        <f>IF(F156&lt;&gt;"",IFERROR(VLOOKUP(F156,DUTY_2025!A:I,6,FALSE),""),"")</f>
        <v/>
      </c>
      <c r="H156" s="85" t="s">
        <v>133</v>
      </c>
      <c r="I156" s="27"/>
      <c r="J156" s="96"/>
      <c r="K156" s="96"/>
      <c r="L156" s="25"/>
      <c r="M156" s="25"/>
      <c r="N156" s="90"/>
      <c r="O156" s="25"/>
      <c r="P156" s="116"/>
      <c r="Q156" s="23"/>
      <c r="R156" s="27"/>
      <c r="S156" s="86" t="str">
        <f t="shared" si="54"/>
        <v/>
      </c>
      <c r="T156" s="87" t="str">
        <f t="shared" si="55"/>
        <v/>
      </c>
      <c r="U156" s="87" t="str" cm="1">
        <f t="array" ref="U156">IF(AND(H156&lt;&gt;"YES",P156&lt;&gt;"",R156&lt;&gt;"",Q156&lt;&gt;""),
_xlfn.SWITCH(Q156,
"INR",_xlfn.SWITCH(R156,"KG",P156*S156,"CTN",P156,"UNIT",P156*N156,"NET",P156/M156,0),
"USD",_xlfn.SWITCH(R156,"KG",P156*S156*SI!$C$10,"CTN",P156*SI!$C$10,"UNIT",P156*N156*SI!$C$10,"NET",P156*SI!$C$10/M156,0),
"LKR",_xlfn.SWITCH(R156,"KG",P156*S156/SI!$C$9,"CTN",P156/SI!$C$9,"UNIT",P156*N156/SI!$C$9,"NET",P156/(M156*SI!$C$9),0),
0),
"")</f>
        <v/>
      </c>
      <c r="V156" s="87" t="str">
        <f t="shared" si="56"/>
        <v/>
      </c>
      <c r="W156" s="87" t="str">
        <f t="shared" si="57"/>
        <v/>
      </c>
      <c r="X156" s="88" t="str">
        <f t="shared" si="58"/>
        <v/>
      </c>
      <c r="Y156" s="24" t="str">
        <f t="shared" si="59"/>
        <v/>
      </c>
      <c r="Z156" s="267" t="str">
        <f>IF(AND(H156&lt;&gt;"yes",F156&lt;&gt;""),IFERROR(VLOOKUP(F156,DUTY_2025!A:F,5,FALSE),""),"")</f>
        <v/>
      </c>
      <c r="AA156" s="271" t="str">
        <f t="shared" si="60"/>
        <v/>
      </c>
      <c r="AB156" s="16" t="str">
        <f t="shared" si="61"/>
        <v/>
      </c>
      <c r="AC156" s="16" t="str">
        <f>IF(AA156&lt;&gt;"",ROUND(AA156*SI!$C$9,0),"")</f>
        <v/>
      </c>
      <c r="AD156" s="4" t="str">
        <f>IF(AC156&lt;&gt;"",ROUND(AC156/(SI!$C$9*SI!$C$10),2),"")</f>
        <v/>
      </c>
      <c r="AE156" s="30" t="str">
        <f>IF(AND(X156&lt;&gt;""), ROUND((SI!$E$23)*(X156/SUM($X$5:$X$493)),0),"")</f>
        <v/>
      </c>
      <c r="AF156" s="272" t="str">
        <f t="shared" si="62"/>
        <v/>
      </c>
      <c r="AG156" s="28" t="str">
        <f t="shared" si="63"/>
        <v/>
      </c>
      <c r="AH156" s="4" t="str">
        <f>IF(AD156&lt;&gt;"",ROUND(AD156*10*SI!$C$9/2,0),"")</f>
        <v/>
      </c>
      <c r="AI156" s="29" t="str">
        <f>IF(AND(X156&lt;&gt;""), ROUND((SI!$E$28)*(X156/SUM($X$5:$X$493)),0),"")</f>
        <v/>
      </c>
      <c r="AJ156" s="4" t="str">
        <f t="shared" si="64"/>
        <v/>
      </c>
      <c r="AK156" s="4" t="str">
        <f t="shared" si="65"/>
        <v/>
      </c>
      <c r="AL156" s="4" t="str">
        <f t="shared" si="66"/>
        <v/>
      </c>
      <c r="AM156" s="4" t="str">
        <f t="shared" si="67"/>
        <v/>
      </c>
      <c r="AN156" s="195" t="str">
        <f t="shared" si="68"/>
        <v/>
      </c>
      <c r="AO156" s="261" t="str">
        <f>IF(AND(AM156&lt;&gt;"",P156&lt;&gt;""),ROUND((AM156*((100+SI!$C$11)/100)),0),"")</f>
        <v/>
      </c>
      <c r="AP156" s="28" t="str">
        <f>IF(AG156&lt;&gt;"",ROUND(AG156/SI!$C$9,2),"")</f>
        <v/>
      </c>
      <c r="AQ156" s="4" t="str">
        <f>IF(AH156&lt;&gt;"",ROUND(AH156/SI!$C$9,2),"")</f>
        <v/>
      </c>
      <c r="AR156" s="29" t="str">
        <f>IF(AI156&lt;&gt;"",ROUND(AI156/SI!$C$9,2),"")</f>
        <v/>
      </c>
      <c r="AS156" s="4" t="str">
        <f t="shared" si="69"/>
        <v/>
      </c>
      <c r="AT156" s="4" t="str">
        <f t="shared" si="70"/>
        <v/>
      </c>
      <c r="AU156" s="4" t="str">
        <f>IF(AL156&lt;&gt;"",ROUND(AL156/SI!$C$9,2),"")</f>
        <v/>
      </c>
      <c r="AV156" s="4" t="str">
        <f>IF(AM156&lt;&gt;"",ROUND(AM156/SI!$C$9,2),"")</f>
        <v/>
      </c>
      <c r="AW156" s="4" t="str">
        <f>IF(AN156&lt;&gt;"",ROUND(AN156/SI!$C$9,2),"")</f>
        <v/>
      </c>
      <c r="AX156" s="261" t="str">
        <f>IF(AO156&lt;&gt;"",ROUND(AO156/SI!$C$9,2),"")</f>
        <v/>
      </c>
      <c r="AY156" s="28" t="str">
        <f t="shared" si="71"/>
        <v/>
      </c>
      <c r="AZ156" s="4" t="str">
        <f>IF(AY156&lt;&gt;"",ROUND(AY156/(SI!$C$9*SI!$C$10),2),"")</f>
        <v/>
      </c>
      <c r="BA156" s="4" t="str">
        <f t="shared" si="72"/>
        <v/>
      </c>
      <c r="BB156" s="4" t="str">
        <f t="shared" si="73"/>
        <v/>
      </c>
      <c r="BC156" s="4" t="str">
        <f t="shared" si="74"/>
        <v/>
      </c>
      <c r="BD156" s="4" t="str">
        <f t="shared" si="75"/>
        <v/>
      </c>
      <c r="BE156" s="4" t="str">
        <f>IF(AND(X156&lt;&gt;""),ROUND(X156/SI!$C$10,2),"")</f>
        <v/>
      </c>
      <c r="BF156" s="4" t="str">
        <f t="shared" si="77"/>
        <v/>
      </c>
      <c r="BG156" s="264" t="str">
        <f t="shared" si="76"/>
        <v/>
      </c>
      <c r="BH156" s="71" t="str">
        <f>IF(F156&lt;&gt;"",VLOOKUP(F156,DUTY_2025!A:O,15,FALSE),"")</f>
        <v/>
      </c>
    </row>
    <row r="157" spans="1:60" x14ac:dyDescent="0.25">
      <c r="A157" s="133">
        <f t="shared" si="52"/>
        <v>66</v>
      </c>
      <c r="B157" s="83" t="str">
        <f t="shared" si="53"/>
        <v/>
      </c>
      <c r="C157" s="126"/>
      <c r="D157" s="131"/>
      <c r="E157" s="91"/>
      <c r="F157" s="85"/>
      <c r="G157" s="27" t="str">
        <f>IF(F157&lt;&gt;"",IFERROR(VLOOKUP(F157,DUTY_2025!A:I,6,FALSE),""),"")</f>
        <v/>
      </c>
      <c r="H157" s="85" t="s">
        <v>133</v>
      </c>
      <c r="I157" s="27"/>
      <c r="J157" s="97"/>
      <c r="K157" s="97"/>
      <c r="L157" s="25"/>
      <c r="M157" s="25"/>
      <c r="N157" s="90"/>
      <c r="O157" s="25"/>
      <c r="P157" s="116"/>
      <c r="Q157" s="23"/>
      <c r="R157" s="27"/>
      <c r="S157" s="86" t="str">
        <f t="shared" si="54"/>
        <v/>
      </c>
      <c r="T157" s="87" t="str">
        <f t="shared" si="55"/>
        <v/>
      </c>
      <c r="U157" s="87" t="str" cm="1">
        <f t="array" ref="U157">IF(AND(H157&lt;&gt;"YES",P157&lt;&gt;"",R157&lt;&gt;"",Q157&lt;&gt;""),
_xlfn.SWITCH(Q157,
"INR",_xlfn.SWITCH(R157,"KG",P157*S157,"CTN",P157,"UNIT",P157*N157,"NET",P157/M157,0),
"USD",_xlfn.SWITCH(R157,"KG",P157*S157*SI!$C$10,"CTN",P157*SI!$C$10,"UNIT",P157*N157*SI!$C$10,"NET",P157*SI!$C$10/M157,0),
"LKR",_xlfn.SWITCH(R157,"KG",P157*S157/SI!$C$9,"CTN",P157/SI!$C$9,"UNIT",P157*N157/SI!$C$9,"NET",P157/(M157*SI!$C$9),0),
0),
"")</f>
        <v/>
      </c>
      <c r="V157" s="87" t="str">
        <f t="shared" si="56"/>
        <v/>
      </c>
      <c r="W157" s="87" t="str">
        <f t="shared" si="57"/>
        <v/>
      </c>
      <c r="X157" s="88" t="str">
        <f t="shared" si="58"/>
        <v/>
      </c>
      <c r="Y157" s="24" t="str">
        <f t="shared" si="59"/>
        <v/>
      </c>
      <c r="Z157" s="267" t="str">
        <f>IF(AND(H157&lt;&gt;"yes",F157&lt;&gt;""),IFERROR(VLOOKUP(F157,DUTY_2025!A:F,5,FALSE),""),"")</f>
        <v/>
      </c>
      <c r="AA157" s="271" t="str">
        <f t="shared" si="60"/>
        <v/>
      </c>
      <c r="AB157" s="16" t="str">
        <f t="shared" si="61"/>
        <v/>
      </c>
      <c r="AC157" s="16" t="str">
        <f>IF(AA157&lt;&gt;"",ROUND(AA157*SI!$C$9,0),"")</f>
        <v/>
      </c>
      <c r="AD157" s="4" t="str">
        <f>IF(AC157&lt;&gt;"",ROUND(AC157/(SI!$C$9*SI!$C$10),2),"")</f>
        <v/>
      </c>
      <c r="AE157" s="30" t="str">
        <f>IF(AND(X157&lt;&gt;""), ROUND((SI!$E$23)*(X157/SUM($X$5:$X$493)),0),"")</f>
        <v/>
      </c>
      <c r="AF157" s="272" t="str">
        <f t="shared" si="62"/>
        <v/>
      </c>
      <c r="AG157" s="28" t="str">
        <f t="shared" si="63"/>
        <v/>
      </c>
      <c r="AH157" s="4" t="str">
        <f>IF(AD157&lt;&gt;"",ROUND(AD157*10*SI!$C$9/2,0),"")</f>
        <v/>
      </c>
      <c r="AI157" s="29" t="str">
        <f>IF(AND(X157&lt;&gt;""), ROUND((SI!$E$28)*(X157/SUM($X$5:$X$493)),0),"")</f>
        <v/>
      </c>
      <c r="AJ157" s="4" t="str">
        <f t="shared" si="64"/>
        <v/>
      </c>
      <c r="AK157" s="4" t="str">
        <f t="shared" si="65"/>
        <v/>
      </c>
      <c r="AL157" s="4" t="str">
        <f t="shared" si="66"/>
        <v/>
      </c>
      <c r="AM157" s="4" t="str">
        <f t="shared" si="67"/>
        <v/>
      </c>
      <c r="AN157" s="195" t="str">
        <f t="shared" si="68"/>
        <v/>
      </c>
      <c r="AO157" s="261" t="str">
        <f>IF(AND(AM157&lt;&gt;"",P157&lt;&gt;""),ROUND((AM157*((100+SI!$C$11)/100)),0),"")</f>
        <v/>
      </c>
      <c r="AP157" s="28" t="str">
        <f>IF(AG157&lt;&gt;"",ROUND(AG157/SI!$C$9,2),"")</f>
        <v/>
      </c>
      <c r="AQ157" s="4" t="str">
        <f>IF(AH157&lt;&gt;"",ROUND(AH157/SI!$C$9,2),"")</f>
        <v/>
      </c>
      <c r="AR157" s="29" t="str">
        <f>IF(AI157&lt;&gt;"",ROUND(AI157/SI!$C$9,2),"")</f>
        <v/>
      </c>
      <c r="AS157" s="4" t="str">
        <f t="shared" si="69"/>
        <v/>
      </c>
      <c r="AT157" s="4" t="str">
        <f t="shared" si="70"/>
        <v/>
      </c>
      <c r="AU157" s="4" t="str">
        <f>IF(AL157&lt;&gt;"",ROUND(AL157/SI!$C$9,2),"")</f>
        <v/>
      </c>
      <c r="AV157" s="4" t="str">
        <f>IF(AM157&lt;&gt;"",ROUND(AM157/SI!$C$9,2),"")</f>
        <v/>
      </c>
      <c r="AW157" s="4" t="str">
        <f>IF(AN157&lt;&gt;"",ROUND(AN157/SI!$C$9,2),"")</f>
        <v/>
      </c>
      <c r="AX157" s="261" t="str">
        <f>IF(AO157&lt;&gt;"",ROUND(AO157/SI!$C$9,2),"")</f>
        <v/>
      </c>
      <c r="AY157" s="28" t="str">
        <f t="shared" si="71"/>
        <v/>
      </c>
      <c r="AZ157" s="4" t="str">
        <f>IF(AY157&lt;&gt;"",ROUND(AY157/(SI!$C$9*SI!$C$10),2),"")</f>
        <v/>
      </c>
      <c r="BA157" s="4" t="str">
        <f t="shared" si="72"/>
        <v/>
      </c>
      <c r="BB157" s="4" t="str">
        <f t="shared" si="73"/>
        <v/>
      </c>
      <c r="BC157" s="4" t="str">
        <f t="shared" si="74"/>
        <v/>
      </c>
      <c r="BD157" s="4" t="str">
        <f t="shared" si="75"/>
        <v/>
      </c>
      <c r="BE157" s="4" t="str">
        <f>IF(AND(X157&lt;&gt;""),ROUND(X157/SI!$C$10,2),"")</f>
        <v/>
      </c>
      <c r="BF157" s="4" t="str">
        <f t="shared" si="77"/>
        <v/>
      </c>
      <c r="BG157" s="264" t="str">
        <f t="shared" si="76"/>
        <v/>
      </c>
      <c r="BH157" s="71" t="str">
        <f>IF(F157&lt;&gt;"",VLOOKUP(F157,DUTY_2025!A:O,15,FALSE),"")</f>
        <v/>
      </c>
    </row>
    <row r="158" spans="1:60" x14ac:dyDescent="0.25">
      <c r="A158" s="133">
        <f t="shared" si="52"/>
        <v>66</v>
      </c>
      <c r="B158" s="83" t="str">
        <f t="shared" si="53"/>
        <v/>
      </c>
      <c r="C158" s="126"/>
      <c r="D158" s="130"/>
      <c r="E158" s="91"/>
      <c r="F158" s="85"/>
      <c r="G158" s="27" t="str">
        <f>IF(F158&lt;&gt;"",IFERROR(VLOOKUP(F158,DUTY_2025!A:I,6,FALSE),""),"")</f>
        <v/>
      </c>
      <c r="H158" s="85" t="s">
        <v>133</v>
      </c>
      <c r="I158" s="27"/>
      <c r="J158" s="98"/>
      <c r="K158" s="98"/>
      <c r="L158" s="22"/>
      <c r="M158" s="22"/>
      <c r="N158" s="84"/>
      <c r="O158" s="22"/>
      <c r="P158" s="116"/>
      <c r="Q158" s="23"/>
      <c r="R158" s="27"/>
      <c r="S158" s="86" t="str">
        <f t="shared" si="54"/>
        <v/>
      </c>
      <c r="T158" s="87" t="str">
        <f t="shared" si="55"/>
        <v/>
      </c>
      <c r="U158" s="87" t="str" cm="1">
        <f t="array" ref="U158">IF(AND(H158&lt;&gt;"YES",P158&lt;&gt;"",R158&lt;&gt;"",Q158&lt;&gt;""),
_xlfn.SWITCH(Q158,
"INR",_xlfn.SWITCH(R158,"KG",P158*S158,"CTN",P158,"UNIT",P158*N158,"NET",P158/M158,0),
"USD",_xlfn.SWITCH(R158,"KG",P158*S158*SI!$C$10,"CTN",P158*SI!$C$10,"UNIT",P158*N158*SI!$C$10,"NET",P158*SI!$C$10/M158,0),
"LKR",_xlfn.SWITCH(R158,"KG",P158*S158/SI!$C$9,"CTN",P158/SI!$C$9,"UNIT",P158*N158/SI!$C$9,"NET",P158/(M158*SI!$C$9),0),
0),
"")</f>
        <v/>
      </c>
      <c r="V158" s="87" t="str">
        <f t="shared" si="56"/>
        <v/>
      </c>
      <c r="W158" s="87" t="str">
        <f t="shared" si="57"/>
        <v/>
      </c>
      <c r="X158" s="88" t="str">
        <f t="shared" si="58"/>
        <v/>
      </c>
      <c r="Y158" s="24" t="str">
        <f t="shared" si="59"/>
        <v/>
      </c>
      <c r="Z158" s="267" t="str">
        <f>IF(AND(H158&lt;&gt;"yes",F158&lt;&gt;""),IFERROR(VLOOKUP(F158,DUTY_2025!A:F,5,FALSE),""),"")</f>
        <v/>
      </c>
      <c r="AA158" s="271" t="str">
        <f t="shared" si="60"/>
        <v/>
      </c>
      <c r="AB158" s="16" t="str">
        <f t="shared" si="61"/>
        <v/>
      </c>
      <c r="AC158" s="16" t="str">
        <f>IF(AA158&lt;&gt;"",ROUND(AA158*SI!$C$9,0),"")</f>
        <v/>
      </c>
      <c r="AD158" s="4" t="str">
        <f>IF(AC158&lt;&gt;"",ROUND(AC158/(SI!$C$9*SI!$C$10),2),"")</f>
        <v/>
      </c>
      <c r="AE158" s="30" t="str">
        <f>IF(AND(X158&lt;&gt;""), ROUND((SI!$E$23)*(X158/SUM($X$5:$X$493)),0),"")</f>
        <v/>
      </c>
      <c r="AF158" s="272" t="str">
        <f t="shared" si="62"/>
        <v/>
      </c>
      <c r="AG158" s="28" t="str">
        <f t="shared" si="63"/>
        <v/>
      </c>
      <c r="AH158" s="4" t="str">
        <f>IF(AD158&lt;&gt;"",ROUND(AD158*10*SI!$C$9/2,0),"")</f>
        <v/>
      </c>
      <c r="AI158" s="29" t="str">
        <f>IF(AND(X158&lt;&gt;""), ROUND((SI!$E$28)*(X158/SUM($X$5:$X$493)),0),"")</f>
        <v/>
      </c>
      <c r="AJ158" s="4" t="str">
        <f t="shared" si="64"/>
        <v/>
      </c>
      <c r="AK158" s="4" t="str">
        <f t="shared" si="65"/>
        <v/>
      </c>
      <c r="AL158" s="4" t="str">
        <f t="shared" si="66"/>
        <v/>
      </c>
      <c r="AM158" s="4" t="str">
        <f t="shared" si="67"/>
        <v/>
      </c>
      <c r="AN158" s="195" t="str">
        <f t="shared" si="68"/>
        <v/>
      </c>
      <c r="AO158" s="261" t="str">
        <f>IF(AND(AM158&lt;&gt;"",P158&lt;&gt;""),ROUND((AM158*((100+SI!$C$11)/100)),0),"")</f>
        <v/>
      </c>
      <c r="AP158" s="28" t="str">
        <f>IF(AG158&lt;&gt;"",ROUND(AG158/SI!$C$9,2),"")</f>
        <v/>
      </c>
      <c r="AQ158" s="4" t="str">
        <f>IF(AH158&lt;&gt;"",ROUND(AH158/SI!$C$9,2),"")</f>
        <v/>
      </c>
      <c r="AR158" s="29" t="str">
        <f>IF(AI158&lt;&gt;"",ROUND(AI158/SI!$C$9,2),"")</f>
        <v/>
      </c>
      <c r="AS158" s="4" t="str">
        <f t="shared" si="69"/>
        <v/>
      </c>
      <c r="AT158" s="4" t="str">
        <f t="shared" si="70"/>
        <v/>
      </c>
      <c r="AU158" s="4" t="str">
        <f>IF(AL158&lt;&gt;"",ROUND(AL158/SI!$C$9,2),"")</f>
        <v/>
      </c>
      <c r="AV158" s="4" t="str">
        <f>IF(AM158&lt;&gt;"",ROUND(AM158/SI!$C$9,2),"")</f>
        <v/>
      </c>
      <c r="AW158" s="4" t="str">
        <f>IF(AN158&lt;&gt;"",ROUND(AN158/SI!$C$9,2),"")</f>
        <v/>
      </c>
      <c r="AX158" s="261" t="str">
        <f>IF(AO158&lt;&gt;"",ROUND(AO158/SI!$C$9,2),"")</f>
        <v/>
      </c>
      <c r="AY158" s="28" t="str">
        <f t="shared" si="71"/>
        <v/>
      </c>
      <c r="AZ158" s="4" t="str">
        <f>IF(AY158&lt;&gt;"",ROUND(AY158/(SI!$C$9*SI!$C$10),2),"")</f>
        <v/>
      </c>
      <c r="BA158" s="4" t="str">
        <f t="shared" si="72"/>
        <v/>
      </c>
      <c r="BB158" s="4" t="str">
        <f t="shared" si="73"/>
        <v/>
      </c>
      <c r="BC158" s="4" t="str">
        <f t="shared" si="74"/>
        <v/>
      </c>
      <c r="BD158" s="4" t="str">
        <f t="shared" si="75"/>
        <v/>
      </c>
      <c r="BE158" s="4" t="str">
        <f>IF(AND(X158&lt;&gt;""),ROUND(X158/SI!$C$10,2),"")</f>
        <v/>
      </c>
      <c r="BF158" s="4" t="str">
        <f t="shared" si="77"/>
        <v/>
      </c>
      <c r="BG158" s="264" t="str">
        <f t="shared" si="76"/>
        <v/>
      </c>
      <c r="BH158" s="71" t="str">
        <f>IF(F158&lt;&gt;"",VLOOKUP(F158,DUTY_2025!A:O,15,FALSE),"")</f>
        <v/>
      </c>
    </row>
    <row r="159" spans="1:60" x14ac:dyDescent="0.25">
      <c r="A159" s="133">
        <f t="shared" si="52"/>
        <v>66</v>
      </c>
      <c r="B159" s="83" t="str">
        <f t="shared" si="53"/>
        <v/>
      </c>
      <c r="C159" s="126"/>
      <c r="D159" s="128"/>
      <c r="E159" s="91"/>
      <c r="F159" s="85"/>
      <c r="G159" s="27" t="str">
        <f>IF(F159&lt;&gt;"",IFERROR(VLOOKUP(F159,DUTY_2025!A:I,6,FALSE),""),"")</f>
        <v/>
      </c>
      <c r="H159" s="85" t="s">
        <v>133</v>
      </c>
      <c r="I159" s="27"/>
      <c r="J159" s="99"/>
      <c r="K159" s="99"/>
      <c r="L159" s="91"/>
      <c r="M159" s="27"/>
      <c r="N159" s="84"/>
      <c r="O159" s="22"/>
      <c r="P159" s="116"/>
      <c r="Q159" s="23"/>
      <c r="R159" s="27"/>
      <c r="S159" s="86" t="str">
        <f t="shared" si="54"/>
        <v/>
      </c>
      <c r="T159" s="87" t="str">
        <f t="shared" si="55"/>
        <v/>
      </c>
      <c r="U159" s="87" t="str" cm="1">
        <f t="array" ref="U159">IF(AND(H159&lt;&gt;"YES",P159&lt;&gt;"",R159&lt;&gt;"",Q159&lt;&gt;""),
_xlfn.SWITCH(Q159,
"INR",_xlfn.SWITCH(R159,"KG",P159*S159,"CTN",P159,"UNIT",P159*N159,"NET",P159/M159,0),
"USD",_xlfn.SWITCH(R159,"KG",P159*S159*SI!$C$10,"CTN",P159*SI!$C$10,"UNIT",P159*N159*SI!$C$10,"NET",P159*SI!$C$10/M159,0),
"LKR",_xlfn.SWITCH(R159,"KG",P159*S159/SI!$C$9,"CTN",P159/SI!$C$9,"UNIT",P159*N159/SI!$C$9,"NET",P159/(M159*SI!$C$9),0),
0),
"")</f>
        <v/>
      </c>
      <c r="V159" s="87" t="str">
        <f t="shared" si="56"/>
        <v/>
      </c>
      <c r="W159" s="87" t="str">
        <f t="shared" si="57"/>
        <v/>
      </c>
      <c r="X159" s="88" t="str">
        <f t="shared" si="58"/>
        <v/>
      </c>
      <c r="Y159" s="24" t="str">
        <f t="shared" si="59"/>
        <v/>
      </c>
      <c r="Z159" s="267" t="str">
        <f>IF(AND(H159&lt;&gt;"yes",F159&lt;&gt;""),IFERROR(VLOOKUP(F159,DUTY_2025!A:F,5,FALSE),""),"")</f>
        <v/>
      </c>
      <c r="AA159" s="271" t="str">
        <f t="shared" si="60"/>
        <v/>
      </c>
      <c r="AB159" s="16" t="str">
        <f t="shared" si="61"/>
        <v/>
      </c>
      <c r="AC159" s="16" t="str">
        <f>IF(AA159&lt;&gt;"",ROUND(AA159*SI!$C$9,0),"")</f>
        <v/>
      </c>
      <c r="AD159" s="4" t="str">
        <f>IF(AC159&lt;&gt;"",ROUND(AC159/(SI!$C$9*SI!$C$10),2),"")</f>
        <v/>
      </c>
      <c r="AE159" s="30" t="str">
        <f>IF(AND(X159&lt;&gt;""), ROUND((SI!$E$23)*(X159/SUM($X$5:$X$493)),0),"")</f>
        <v/>
      </c>
      <c r="AF159" s="272" t="str">
        <f t="shared" si="62"/>
        <v/>
      </c>
      <c r="AG159" s="28" t="str">
        <f t="shared" si="63"/>
        <v/>
      </c>
      <c r="AH159" s="4" t="str">
        <f>IF(AD159&lt;&gt;"",ROUND(AD159*10*SI!$C$9/2,0),"")</f>
        <v/>
      </c>
      <c r="AI159" s="29" t="str">
        <f>IF(AND(X159&lt;&gt;""), ROUND((SI!$E$28)*(X159/SUM($X$5:$X$493)),0),"")</f>
        <v/>
      </c>
      <c r="AJ159" s="4" t="str">
        <f t="shared" si="64"/>
        <v/>
      </c>
      <c r="AK159" s="4" t="str">
        <f t="shared" si="65"/>
        <v/>
      </c>
      <c r="AL159" s="4" t="str">
        <f t="shared" si="66"/>
        <v/>
      </c>
      <c r="AM159" s="4" t="str">
        <f t="shared" si="67"/>
        <v/>
      </c>
      <c r="AN159" s="195" t="str">
        <f t="shared" si="68"/>
        <v/>
      </c>
      <c r="AO159" s="261" t="str">
        <f>IF(AND(AM159&lt;&gt;"",P159&lt;&gt;""),ROUND((AM159*((100+SI!$C$11)/100)),0),"")</f>
        <v/>
      </c>
      <c r="AP159" s="28" t="str">
        <f>IF(AG159&lt;&gt;"",ROUND(AG159/SI!$C$9,2),"")</f>
        <v/>
      </c>
      <c r="AQ159" s="4" t="str">
        <f>IF(AH159&lt;&gt;"",ROUND(AH159/SI!$C$9,2),"")</f>
        <v/>
      </c>
      <c r="AR159" s="29" t="str">
        <f>IF(AI159&lt;&gt;"",ROUND(AI159/SI!$C$9,2),"")</f>
        <v/>
      </c>
      <c r="AS159" s="4" t="str">
        <f t="shared" si="69"/>
        <v/>
      </c>
      <c r="AT159" s="4" t="str">
        <f t="shared" si="70"/>
        <v/>
      </c>
      <c r="AU159" s="4" t="str">
        <f>IF(AL159&lt;&gt;"",ROUND(AL159/SI!$C$9,2),"")</f>
        <v/>
      </c>
      <c r="AV159" s="4" t="str">
        <f>IF(AM159&lt;&gt;"",ROUND(AM159/SI!$C$9,2),"")</f>
        <v/>
      </c>
      <c r="AW159" s="4" t="str">
        <f>IF(AN159&lt;&gt;"",ROUND(AN159/SI!$C$9,2),"")</f>
        <v/>
      </c>
      <c r="AX159" s="261" t="str">
        <f>IF(AO159&lt;&gt;"",ROUND(AO159/SI!$C$9,2),"")</f>
        <v/>
      </c>
      <c r="AY159" s="28" t="str">
        <f t="shared" si="71"/>
        <v/>
      </c>
      <c r="AZ159" s="4" t="str">
        <f>IF(AY159&lt;&gt;"",ROUND(AY159/(SI!$C$9*SI!$C$10),2),"")</f>
        <v/>
      </c>
      <c r="BA159" s="4" t="str">
        <f t="shared" si="72"/>
        <v/>
      </c>
      <c r="BB159" s="4" t="str">
        <f t="shared" si="73"/>
        <v/>
      </c>
      <c r="BC159" s="4" t="str">
        <f t="shared" si="74"/>
        <v/>
      </c>
      <c r="BD159" s="4" t="str">
        <f t="shared" si="75"/>
        <v/>
      </c>
      <c r="BE159" s="4" t="str">
        <f>IF(AND(X159&lt;&gt;""),ROUND(X159/SI!$C$10,2),"")</f>
        <v/>
      </c>
      <c r="BF159" s="4" t="str">
        <f t="shared" si="77"/>
        <v/>
      </c>
      <c r="BG159" s="264" t="str">
        <f t="shared" si="76"/>
        <v/>
      </c>
      <c r="BH159" s="71" t="str">
        <f>IF(F159&lt;&gt;"",VLOOKUP(F159,DUTY_2025!A:O,15,FALSE),"")</f>
        <v/>
      </c>
    </row>
    <row r="160" spans="1:60" x14ac:dyDescent="0.25">
      <c r="A160" s="133">
        <f t="shared" si="52"/>
        <v>66</v>
      </c>
      <c r="B160" s="83" t="str">
        <f t="shared" si="53"/>
        <v/>
      </c>
      <c r="C160" s="126"/>
      <c r="D160" s="128"/>
      <c r="E160" s="91"/>
      <c r="F160" s="85"/>
      <c r="G160" s="27" t="str">
        <f>IF(F160&lt;&gt;"",IFERROR(VLOOKUP(F160,DUTY_2025!A:I,6,FALSE),""),"")</f>
        <v/>
      </c>
      <c r="H160" s="85" t="s">
        <v>133</v>
      </c>
      <c r="I160" s="27"/>
      <c r="J160" s="99"/>
      <c r="K160" s="99"/>
      <c r="L160" s="91"/>
      <c r="M160" s="27"/>
      <c r="N160" s="84"/>
      <c r="O160" s="22"/>
      <c r="P160" s="116"/>
      <c r="Q160" s="23"/>
      <c r="R160" s="27"/>
      <c r="S160" s="86" t="str">
        <f t="shared" si="54"/>
        <v/>
      </c>
      <c r="T160" s="87" t="str">
        <f t="shared" si="55"/>
        <v/>
      </c>
      <c r="U160" s="87" t="str" cm="1">
        <f t="array" ref="U160">IF(AND(H160&lt;&gt;"YES",P160&lt;&gt;"",R160&lt;&gt;"",Q160&lt;&gt;""),
_xlfn.SWITCH(Q160,
"INR",_xlfn.SWITCH(R160,"KG",P160*S160,"CTN",P160,"UNIT",P160*N160,"NET",P160/M160,0),
"USD",_xlfn.SWITCH(R160,"KG",P160*S160*SI!$C$10,"CTN",P160*SI!$C$10,"UNIT",P160*N160*SI!$C$10,"NET",P160*SI!$C$10/M160,0),
"LKR",_xlfn.SWITCH(R160,"KG",P160*S160/SI!$C$9,"CTN",P160/SI!$C$9,"UNIT",P160*N160/SI!$C$9,"NET",P160/(M160*SI!$C$9),0),
0),
"")</f>
        <v/>
      </c>
      <c r="V160" s="87" t="str">
        <f t="shared" si="56"/>
        <v/>
      </c>
      <c r="W160" s="87" t="str">
        <f t="shared" si="57"/>
        <v/>
      </c>
      <c r="X160" s="88" t="str">
        <f t="shared" si="58"/>
        <v/>
      </c>
      <c r="Y160" s="24" t="str">
        <f t="shared" si="59"/>
        <v/>
      </c>
      <c r="Z160" s="267" t="str">
        <f>IF(AND(H160&lt;&gt;"yes",F160&lt;&gt;""),IFERROR(VLOOKUP(F160,DUTY_2025!A:F,5,FALSE),""),"")</f>
        <v/>
      </c>
      <c r="AA160" s="271" t="str">
        <f t="shared" si="60"/>
        <v/>
      </c>
      <c r="AB160" s="16" t="str">
        <f t="shared" si="61"/>
        <v/>
      </c>
      <c r="AC160" s="16" t="str">
        <f>IF(AA160&lt;&gt;"",ROUND(AA160*SI!$C$9,0),"")</f>
        <v/>
      </c>
      <c r="AD160" s="4" t="str">
        <f>IF(AC160&lt;&gt;"",ROUND(AC160/(SI!$C$9*SI!$C$10),2),"")</f>
        <v/>
      </c>
      <c r="AE160" s="30" t="str">
        <f>IF(AND(X160&lt;&gt;""), ROUND((SI!$E$23)*(X160/SUM($X$5:$X$493)),0),"")</f>
        <v/>
      </c>
      <c r="AF160" s="272" t="str">
        <f t="shared" si="62"/>
        <v/>
      </c>
      <c r="AG160" s="28" t="str">
        <f t="shared" si="63"/>
        <v/>
      </c>
      <c r="AH160" s="4" t="str">
        <f>IF(AD160&lt;&gt;"",ROUND(AD160*10*SI!$C$9/2,0),"")</f>
        <v/>
      </c>
      <c r="AI160" s="29" t="str">
        <f>IF(AND(X160&lt;&gt;""), ROUND((SI!$E$28)*(X160/SUM($X$5:$X$493)),0),"")</f>
        <v/>
      </c>
      <c r="AJ160" s="4" t="str">
        <f t="shared" si="64"/>
        <v/>
      </c>
      <c r="AK160" s="4" t="str">
        <f t="shared" si="65"/>
        <v/>
      </c>
      <c r="AL160" s="4" t="str">
        <f t="shared" si="66"/>
        <v/>
      </c>
      <c r="AM160" s="4" t="str">
        <f t="shared" si="67"/>
        <v/>
      </c>
      <c r="AN160" s="195" t="str">
        <f t="shared" si="68"/>
        <v/>
      </c>
      <c r="AO160" s="261" t="str">
        <f>IF(AND(AM160&lt;&gt;"",P160&lt;&gt;""),ROUND((AM160*((100+SI!$C$11)/100)),0),"")</f>
        <v/>
      </c>
      <c r="AP160" s="28" t="str">
        <f>IF(AG160&lt;&gt;"",ROUND(AG160/SI!$C$9,2),"")</f>
        <v/>
      </c>
      <c r="AQ160" s="4" t="str">
        <f>IF(AH160&lt;&gt;"",ROUND(AH160/SI!$C$9,2),"")</f>
        <v/>
      </c>
      <c r="AR160" s="29" t="str">
        <f>IF(AI160&lt;&gt;"",ROUND(AI160/SI!$C$9,2),"")</f>
        <v/>
      </c>
      <c r="AS160" s="4" t="str">
        <f t="shared" si="69"/>
        <v/>
      </c>
      <c r="AT160" s="4" t="str">
        <f t="shared" si="70"/>
        <v/>
      </c>
      <c r="AU160" s="4" t="str">
        <f>IF(AL160&lt;&gt;"",ROUND(AL160/SI!$C$9,2),"")</f>
        <v/>
      </c>
      <c r="AV160" s="4" t="str">
        <f>IF(AM160&lt;&gt;"",ROUND(AM160/SI!$C$9,2),"")</f>
        <v/>
      </c>
      <c r="AW160" s="4" t="str">
        <f>IF(AN160&lt;&gt;"",ROUND(AN160/SI!$C$9,2),"")</f>
        <v/>
      </c>
      <c r="AX160" s="261" t="str">
        <f>IF(AO160&lt;&gt;"",ROUND(AO160/SI!$C$9,2),"")</f>
        <v/>
      </c>
      <c r="AY160" s="28" t="str">
        <f t="shared" si="71"/>
        <v/>
      </c>
      <c r="AZ160" s="4" t="str">
        <f>IF(AY160&lt;&gt;"",ROUND(AY160/(SI!$C$9*SI!$C$10),2),"")</f>
        <v/>
      </c>
      <c r="BA160" s="4" t="str">
        <f t="shared" si="72"/>
        <v/>
      </c>
      <c r="BB160" s="4" t="str">
        <f t="shared" si="73"/>
        <v/>
      </c>
      <c r="BC160" s="4" t="str">
        <f t="shared" si="74"/>
        <v/>
      </c>
      <c r="BD160" s="4" t="str">
        <f t="shared" si="75"/>
        <v/>
      </c>
      <c r="BE160" s="4" t="str">
        <f>IF(AND(X160&lt;&gt;""),ROUND(X160/SI!$C$10,2),"")</f>
        <v/>
      </c>
      <c r="BF160" s="4" t="str">
        <f t="shared" si="77"/>
        <v/>
      </c>
      <c r="BG160" s="264" t="str">
        <f t="shared" si="76"/>
        <v/>
      </c>
      <c r="BH160" s="71" t="str">
        <f>IF(F160&lt;&gt;"",VLOOKUP(F160,DUTY_2025!A:O,15,FALSE),"")</f>
        <v/>
      </c>
    </row>
    <row r="161" spans="1:60" x14ac:dyDescent="0.25">
      <c r="A161" s="133">
        <f t="shared" si="52"/>
        <v>66</v>
      </c>
      <c r="B161" s="83" t="str">
        <f t="shared" si="53"/>
        <v/>
      </c>
      <c r="C161" s="126"/>
      <c r="D161" s="128"/>
      <c r="E161" s="91"/>
      <c r="F161" s="85"/>
      <c r="G161" s="27" t="str">
        <f>IF(F161&lt;&gt;"",IFERROR(VLOOKUP(F161,DUTY_2025!A:I,6,FALSE),""),"")</f>
        <v/>
      </c>
      <c r="H161" s="85" t="s">
        <v>133</v>
      </c>
      <c r="I161" s="27"/>
      <c r="J161" s="99"/>
      <c r="K161" s="99"/>
      <c r="L161" s="91"/>
      <c r="M161" s="27"/>
      <c r="N161" s="84"/>
      <c r="O161" s="22"/>
      <c r="P161" s="116"/>
      <c r="Q161" s="23"/>
      <c r="R161" s="27"/>
      <c r="S161" s="86" t="str">
        <f t="shared" si="54"/>
        <v/>
      </c>
      <c r="T161" s="87" t="str">
        <f t="shared" si="55"/>
        <v/>
      </c>
      <c r="U161" s="87" t="str" cm="1">
        <f t="array" ref="U161">IF(AND(H161&lt;&gt;"YES",P161&lt;&gt;"",R161&lt;&gt;"",Q161&lt;&gt;""),
_xlfn.SWITCH(Q161,
"INR",_xlfn.SWITCH(R161,"KG",P161*S161,"CTN",P161,"UNIT",P161*N161,"NET",P161/M161,0),
"USD",_xlfn.SWITCH(R161,"KG",P161*S161*SI!$C$10,"CTN",P161*SI!$C$10,"UNIT",P161*N161*SI!$C$10,"NET",P161*SI!$C$10/M161,0),
"LKR",_xlfn.SWITCH(R161,"KG",P161*S161/SI!$C$9,"CTN",P161/SI!$C$9,"UNIT",P161*N161/SI!$C$9,"NET",P161/(M161*SI!$C$9),0),
0),
"")</f>
        <v/>
      </c>
      <c r="V161" s="87" t="str">
        <f t="shared" si="56"/>
        <v/>
      </c>
      <c r="W161" s="87" t="str">
        <f t="shared" si="57"/>
        <v/>
      </c>
      <c r="X161" s="88" t="str">
        <f t="shared" si="58"/>
        <v/>
      </c>
      <c r="Y161" s="24" t="str">
        <f t="shared" si="59"/>
        <v/>
      </c>
      <c r="Z161" s="267" t="str">
        <f>IF(AND(H161&lt;&gt;"yes",F161&lt;&gt;""),IFERROR(VLOOKUP(F161,DUTY_2025!A:F,5,FALSE),""),"")</f>
        <v/>
      </c>
      <c r="AA161" s="271" t="str">
        <f t="shared" si="60"/>
        <v/>
      </c>
      <c r="AB161" s="16" t="str">
        <f t="shared" si="61"/>
        <v/>
      </c>
      <c r="AC161" s="16" t="str">
        <f>IF(AA161&lt;&gt;"",ROUND(AA161*SI!$C$9,0),"")</f>
        <v/>
      </c>
      <c r="AD161" s="4" t="str">
        <f>IF(AC161&lt;&gt;"",ROUND(AC161/(SI!$C$9*SI!$C$10),2),"")</f>
        <v/>
      </c>
      <c r="AE161" s="30" t="str">
        <f>IF(AND(X161&lt;&gt;""), ROUND((SI!$E$23)*(X161/SUM($X$5:$X$493)),0),"")</f>
        <v/>
      </c>
      <c r="AF161" s="272" t="str">
        <f t="shared" si="62"/>
        <v/>
      </c>
      <c r="AG161" s="28" t="str">
        <f t="shared" si="63"/>
        <v/>
      </c>
      <c r="AH161" s="4" t="str">
        <f>IF(AD161&lt;&gt;"",ROUND(AD161*10*SI!$C$9/2,0),"")</f>
        <v/>
      </c>
      <c r="AI161" s="29" t="str">
        <f>IF(AND(X161&lt;&gt;""), ROUND((SI!$E$28)*(X161/SUM($X$5:$X$493)),0),"")</f>
        <v/>
      </c>
      <c r="AJ161" s="4" t="str">
        <f t="shared" si="64"/>
        <v/>
      </c>
      <c r="AK161" s="4" t="str">
        <f t="shared" si="65"/>
        <v/>
      </c>
      <c r="AL161" s="4" t="str">
        <f t="shared" si="66"/>
        <v/>
      </c>
      <c r="AM161" s="4" t="str">
        <f t="shared" si="67"/>
        <v/>
      </c>
      <c r="AN161" s="195" t="str">
        <f t="shared" si="68"/>
        <v/>
      </c>
      <c r="AO161" s="261" t="str">
        <f>IF(AND(AM161&lt;&gt;"",P161&lt;&gt;""),ROUND((AM161*((100+SI!$C$11)/100)),0),"")</f>
        <v/>
      </c>
      <c r="AP161" s="28" t="str">
        <f>IF(AG161&lt;&gt;"",ROUND(AG161/SI!$C$9,2),"")</f>
        <v/>
      </c>
      <c r="AQ161" s="4" t="str">
        <f>IF(AH161&lt;&gt;"",ROUND(AH161/SI!$C$9,2),"")</f>
        <v/>
      </c>
      <c r="AR161" s="29" t="str">
        <f>IF(AI161&lt;&gt;"",ROUND(AI161/SI!$C$9,2),"")</f>
        <v/>
      </c>
      <c r="AS161" s="4" t="str">
        <f t="shared" si="69"/>
        <v/>
      </c>
      <c r="AT161" s="4" t="str">
        <f t="shared" si="70"/>
        <v/>
      </c>
      <c r="AU161" s="4" t="str">
        <f>IF(AL161&lt;&gt;"",ROUND(AL161/SI!$C$9,2),"")</f>
        <v/>
      </c>
      <c r="AV161" s="4" t="str">
        <f>IF(AM161&lt;&gt;"",ROUND(AM161/SI!$C$9,2),"")</f>
        <v/>
      </c>
      <c r="AW161" s="4" t="str">
        <f>IF(AN161&lt;&gt;"",ROUND(AN161/SI!$C$9,2),"")</f>
        <v/>
      </c>
      <c r="AX161" s="261" t="str">
        <f>IF(AO161&lt;&gt;"",ROUND(AO161/SI!$C$9,2),"")</f>
        <v/>
      </c>
      <c r="AY161" s="28" t="str">
        <f t="shared" si="71"/>
        <v/>
      </c>
      <c r="AZ161" s="4" t="str">
        <f>IF(AY161&lt;&gt;"",ROUND(AY161/(SI!$C$9*SI!$C$10),2),"")</f>
        <v/>
      </c>
      <c r="BA161" s="4" t="str">
        <f t="shared" si="72"/>
        <v/>
      </c>
      <c r="BB161" s="4" t="str">
        <f t="shared" si="73"/>
        <v/>
      </c>
      <c r="BC161" s="4" t="str">
        <f t="shared" si="74"/>
        <v/>
      </c>
      <c r="BD161" s="4" t="str">
        <f t="shared" si="75"/>
        <v/>
      </c>
      <c r="BE161" s="4" t="str">
        <f>IF(AND(X161&lt;&gt;""),ROUND(X161/SI!$C$10,2),"")</f>
        <v/>
      </c>
      <c r="BF161" s="4" t="str">
        <f t="shared" si="77"/>
        <v/>
      </c>
      <c r="BG161" s="264" t="str">
        <f t="shared" si="76"/>
        <v/>
      </c>
      <c r="BH161" s="71" t="str">
        <f>IF(F161&lt;&gt;"",VLOOKUP(F161,DUTY_2025!A:O,15,FALSE),"")</f>
        <v/>
      </c>
    </row>
    <row r="162" spans="1:60" x14ac:dyDescent="0.25">
      <c r="A162" s="133">
        <f t="shared" si="52"/>
        <v>66</v>
      </c>
      <c r="B162" s="83" t="str">
        <f t="shared" si="53"/>
        <v/>
      </c>
      <c r="C162" s="126"/>
      <c r="D162" s="128"/>
      <c r="E162" s="91"/>
      <c r="F162" s="85"/>
      <c r="G162" s="27" t="str">
        <f>IF(F162&lt;&gt;"",IFERROR(VLOOKUP(F162,DUTY_2025!A:I,6,FALSE),""),"")</f>
        <v/>
      </c>
      <c r="H162" s="85" t="s">
        <v>133</v>
      </c>
      <c r="I162" s="27"/>
      <c r="J162" s="99"/>
      <c r="K162" s="99"/>
      <c r="L162" s="91"/>
      <c r="M162" s="27"/>
      <c r="N162" s="84"/>
      <c r="O162" s="22"/>
      <c r="P162" s="116"/>
      <c r="Q162" s="23"/>
      <c r="R162" s="27"/>
      <c r="S162" s="86" t="str">
        <f t="shared" si="54"/>
        <v/>
      </c>
      <c r="T162" s="87" t="str">
        <f t="shared" si="55"/>
        <v/>
      </c>
      <c r="U162" s="87" t="str" cm="1">
        <f t="array" ref="U162">IF(AND(H162&lt;&gt;"YES",P162&lt;&gt;"",R162&lt;&gt;"",Q162&lt;&gt;""),
_xlfn.SWITCH(Q162,
"INR",_xlfn.SWITCH(R162,"KG",P162*S162,"CTN",P162,"UNIT",P162*N162,"NET",P162/M162,0),
"USD",_xlfn.SWITCH(R162,"KG",P162*S162*SI!$C$10,"CTN",P162*SI!$C$10,"UNIT",P162*N162*SI!$C$10,"NET",P162*SI!$C$10/M162,0),
"LKR",_xlfn.SWITCH(R162,"KG",P162*S162/SI!$C$9,"CTN",P162/SI!$C$9,"UNIT",P162*N162/SI!$C$9,"NET",P162/(M162*SI!$C$9),0),
0),
"")</f>
        <v/>
      </c>
      <c r="V162" s="87" t="str">
        <f t="shared" si="56"/>
        <v/>
      </c>
      <c r="W162" s="87" t="str">
        <f t="shared" si="57"/>
        <v/>
      </c>
      <c r="X162" s="88" t="str">
        <f t="shared" si="58"/>
        <v/>
      </c>
      <c r="Y162" s="24" t="str">
        <f t="shared" si="59"/>
        <v/>
      </c>
      <c r="Z162" s="267" t="str">
        <f>IF(AND(H162&lt;&gt;"yes",F162&lt;&gt;""),IFERROR(VLOOKUP(F162,DUTY_2025!A:F,5,FALSE),""),"")</f>
        <v/>
      </c>
      <c r="AA162" s="271" t="str">
        <f t="shared" si="60"/>
        <v/>
      </c>
      <c r="AB162" s="16" t="str">
        <f t="shared" si="61"/>
        <v/>
      </c>
      <c r="AC162" s="16" t="str">
        <f>IF(AA162&lt;&gt;"",ROUND(AA162*SI!$C$9,0),"")</f>
        <v/>
      </c>
      <c r="AD162" s="4" t="str">
        <f>IF(AC162&lt;&gt;"",ROUND(AC162/(SI!$C$9*SI!$C$10),2),"")</f>
        <v/>
      </c>
      <c r="AE162" s="30" t="str">
        <f>IF(AND(X162&lt;&gt;""), ROUND((SI!$E$23)*(X162/SUM($X$5:$X$493)),0),"")</f>
        <v/>
      </c>
      <c r="AF162" s="272" t="str">
        <f t="shared" si="62"/>
        <v/>
      </c>
      <c r="AG162" s="28" t="str">
        <f t="shared" si="63"/>
        <v/>
      </c>
      <c r="AH162" s="4" t="str">
        <f>IF(AD162&lt;&gt;"",ROUND(AD162*10*SI!$C$9/2,0),"")</f>
        <v/>
      </c>
      <c r="AI162" s="29" t="str">
        <f>IF(AND(X162&lt;&gt;""), ROUND((SI!$E$28)*(X162/SUM($X$5:$X$493)),0),"")</f>
        <v/>
      </c>
      <c r="AJ162" s="4" t="str">
        <f t="shared" si="64"/>
        <v/>
      </c>
      <c r="AK162" s="4" t="str">
        <f t="shared" si="65"/>
        <v/>
      </c>
      <c r="AL162" s="4" t="str">
        <f t="shared" si="66"/>
        <v/>
      </c>
      <c r="AM162" s="4" t="str">
        <f t="shared" si="67"/>
        <v/>
      </c>
      <c r="AN162" s="195" t="str">
        <f t="shared" si="68"/>
        <v/>
      </c>
      <c r="AO162" s="261" t="str">
        <f>IF(AND(AM162&lt;&gt;"",P162&lt;&gt;""),ROUND((AM162*((100+SI!$C$11)/100)),0),"")</f>
        <v/>
      </c>
      <c r="AP162" s="28" t="str">
        <f>IF(AG162&lt;&gt;"",ROUND(AG162/SI!$C$9,2),"")</f>
        <v/>
      </c>
      <c r="AQ162" s="4" t="str">
        <f>IF(AH162&lt;&gt;"",ROUND(AH162/SI!$C$9,2),"")</f>
        <v/>
      </c>
      <c r="AR162" s="29" t="str">
        <f>IF(AI162&lt;&gt;"",ROUND(AI162/SI!$C$9,2),"")</f>
        <v/>
      </c>
      <c r="AS162" s="4" t="str">
        <f t="shared" si="69"/>
        <v/>
      </c>
      <c r="AT162" s="4" t="str">
        <f t="shared" si="70"/>
        <v/>
      </c>
      <c r="AU162" s="4" t="str">
        <f>IF(AL162&lt;&gt;"",ROUND(AL162/SI!$C$9,2),"")</f>
        <v/>
      </c>
      <c r="AV162" s="4" t="str">
        <f>IF(AM162&lt;&gt;"",ROUND(AM162/SI!$C$9,2),"")</f>
        <v/>
      </c>
      <c r="AW162" s="4" t="str">
        <f>IF(AN162&lt;&gt;"",ROUND(AN162/SI!$C$9,2),"")</f>
        <v/>
      </c>
      <c r="AX162" s="261" t="str">
        <f>IF(AO162&lt;&gt;"",ROUND(AO162/SI!$C$9,2),"")</f>
        <v/>
      </c>
      <c r="AY162" s="28" t="str">
        <f t="shared" si="71"/>
        <v/>
      </c>
      <c r="AZ162" s="4" t="str">
        <f>IF(AY162&lt;&gt;"",ROUND(AY162/(SI!$C$9*SI!$C$10),2),"")</f>
        <v/>
      </c>
      <c r="BA162" s="4" t="str">
        <f t="shared" si="72"/>
        <v/>
      </c>
      <c r="BB162" s="4" t="str">
        <f t="shared" si="73"/>
        <v/>
      </c>
      <c r="BC162" s="4" t="str">
        <f t="shared" si="74"/>
        <v/>
      </c>
      <c r="BD162" s="4" t="str">
        <f t="shared" si="75"/>
        <v/>
      </c>
      <c r="BE162" s="4" t="str">
        <f>IF(AND(X162&lt;&gt;""),ROUND(X162/SI!$C$10,2),"")</f>
        <v/>
      </c>
      <c r="BF162" s="4" t="str">
        <f t="shared" si="77"/>
        <v/>
      </c>
      <c r="BG162" s="264" t="str">
        <f t="shared" si="76"/>
        <v/>
      </c>
      <c r="BH162" s="71" t="str">
        <f>IF(F162&lt;&gt;"",VLOOKUP(F162,DUTY_2025!A:O,15,FALSE),"")</f>
        <v/>
      </c>
    </row>
    <row r="163" spans="1:60" x14ac:dyDescent="0.25">
      <c r="A163" s="133">
        <f t="shared" si="52"/>
        <v>66</v>
      </c>
      <c r="B163" s="83" t="str">
        <f t="shared" si="53"/>
        <v/>
      </c>
      <c r="C163" s="126"/>
      <c r="D163" s="128"/>
      <c r="E163" s="91"/>
      <c r="F163" s="85"/>
      <c r="G163" s="27" t="str">
        <f>IF(F163&lt;&gt;"",IFERROR(VLOOKUP(F163,DUTY_2025!A:I,6,FALSE),""),"")</f>
        <v/>
      </c>
      <c r="H163" s="85" t="s">
        <v>133</v>
      </c>
      <c r="I163" s="27"/>
      <c r="J163" s="99"/>
      <c r="K163" s="99"/>
      <c r="L163" s="91"/>
      <c r="M163" s="27"/>
      <c r="N163" s="84"/>
      <c r="O163" s="22"/>
      <c r="P163" s="116"/>
      <c r="Q163" s="23"/>
      <c r="R163" s="27"/>
      <c r="S163" s="86" t="str">
        <f t="shared" si="54"/>
        <v/>
      </c>
      <c r="T163" s="87" t="str">
        <f t="shared" si="55"/>
        <v/>
      </c>
      <c r="U163" s="87" t="str" cm="1">
        <f t="array" ref="U163">IF(AND(H163&lt;&gt;"YES",P163&lt;&gt;"",R163&lt;&gt;"",Q163&lt;&gt;""),
_xlfn.SWITCH(Q163,
"INR",_xlfn.SWITCH(R163,"KG",P163*S163,"CTN",P163,"UNIT",P163*N163,"NET",P163/M163,0),
"USD",_xlfn.SWITCH(R163,"KG",P163*S163*SI!$C$10,"CTN",P163*SI!$C$10,"UNIT",P163*N163*SI!$C$10,"NET",P163*SI!$C$10/M163,0),
"LKR",_xlfn.SWITCH(R163,"KG",P163*S163/SI!$C$9,"CTN",P163/SI!$C$9,"UNIT",P163*N163/SI!$C$9,"NET",P163/(M163*SI!$C$9),0),
0),
"")</f>
        <v/>
      </c>
      <c r="V163" s="87" t="str">
        <f t="shared" si="56"/>
        <v/>
      </c>
      <c r="W163" s="87" t="str">
        <f t="shared" si="57"/>
        <v/>
      </c>
      <c r="X163" s="88" t="str">
        <f t="shared" si="58"/>
        <v/>
      </c>
      <c r="Y163" s="24" t="str">
        <f t="shared" si="59"/>
        <v/>
      </c>
      <c r="Z163" s="267" t="str">
        <f>IF(AND(H163&lt;&gt;"yes",F163&lt;&gt;""),IFERROR(VLOOKUP(F163,DUTY_2025!A:F,5,FALSE),""),"")</f>
        <v/>
      </c>
      <c r="AA163" s="271" t="str">
        <f t="shared" si="60"/>
        <v/>
      </c>
      <c r="AB163" s="16" t="str">
        <f t="shared" si="61"/>
        <v/>
      </c>
      <c r="AC163" s="16" t="str">
        <f>IF(AA163&lt;&gt;"",ROUND(AA163*SI!$C$9,0),"")</f>
        <v/>
      </c>
      <c r="AD163" s="4" t="str">
        <f>IF(AC163&lt;&gt;"",ROUND(AC163/(SI!$C$9*SI!$C$10),2),"")</f>
        <v/>
      </c>
      <c r="AE163" s="30" t="str">
        <f>IF(AND(X163&lt;&gt;""), ROUND((SI!$E$23)*(X163/SUM($X$5:$X$493)),0),"")</f>
        <v/>
      </c>
      <c r="AF163" s="272" t="str">
        <f t="shared" si="62"/>
        <v/>
      </c>
      <c r="AG163" s="28" t="str">
        <f t="shared" si="63"/>
        <v/>
      </c>
      <c r="AH163" s="4" t="str">
        <f>IF(AD163&lt;&gt;"",ROUND(AD163*10*SI!$C$9/2,0),"")</f>
        <v/>
      </c>
      <c r="AI163" s="29" t="str">
        <f>IF(AND(X163&lt;&gt;""), ROUND((SI!$E$28)*(X163/SUM($X$5:$X$493)),0),"")</f>
        <v/>
      </c>
      <c r="AJ163" s="4" t="str">
        <f t="shared" si="64"/>
        <v/>
      </c>
      <c r="AK163" s="4" t="str">
        <f t="shared" si="65"/>
        <v/>
      </c>
      <c r="AL163" s="4" t="str">
        <f t="shared" si="66"/>
        <v/>
      </c>
      <c r="AM163" s="4" t="str">
        <f t="shared" si="67"/>
        <v/>
      </c>
      <c r="AN163" s="195" t="str">
        <f t="shared" si="68"/>
        <v/>
      </c>
      <c r="AO163" s="261" t="str">
        <f>IF(AND(AM163&lt;&gt;"",P163&lt;&gt;""),ROUND((AM163*((100+SI!$C$11)/100)),0),"")</f>
        <v/>
      </c>
      <c r="AP163" s="28" t="str">
        <f>IF(AG163&lt;&gt;"",ROUND(AG163/SI!$C$9,2),"")</f>
        <v/>
      </c>
      <c r="AQ163" s="4" t="str">
        <f>IF(AH163&lt;&gt;"",ROUND(AH163/SI!$C$9,2),"")</f>
        <v/>
      </c>
      <c r="AR163" s="29" t="str">
        <f>IF(AI163&lt;&gt;"",ROUND(AI163/SI!$C$9,2),"")</f>
        <v/>
      </c>
      <c r="AS163" s="4" t="str">
        <f t="shared" si="69"/>
        <v/>
      </c>
      <c r="AT163" s="4" t="str">
        <f t="shared" si="70"/>
        <v/>
      </c>
      <c r="AU163" s="4" t="str">
        <f>IF(AL163&lt;&gt;"",ROUND(AL163/SI!$C$9,2),"")</f>
        <v/>
      </c>
      <c r="AV163" s="4" t="str">
        <f>IF(AM163&lt;&gt;"",ROUND(AM163/SI!$C$9,2),"")</f>
        <v/>
      </c>
      <c r="AW163" s="4" t="str">
        <f>IF(AN163&lt;&gt;"",ROUND(AN163/SI!$C$9,2),"")</f>
        <v/>
      </c>
      <c r="AX163" s="261" t="str">
        <f>IF(AO163&lt;&gt;"",ROUND(AO163/SI!$C$9,2),"")</f>
        <v/>
      </c>
      <c r="AY163" s="28" t="str">
        <f t="shared" si="71"/>
        <v/>
      </c>
      <c r="AZ163" s="4" t="str">
        <f>IF(AY163&lt;&gt;"",ROUND(AY163/(SI!$C$9*SI!$C$10),2),"")</f>
        <v/>
      </c>
      <c r="BA163" s="4" t="str">
        <f t="shared" si="72"/>
        <v/>
      </c>
      <c r="BB163" s="4" t="str">
        <f t="shared" si="73"/>
        <v/>
      </c>
      <c r="BC163" s="4" t="str">
        <f t="shared" si="74"/>
        <v/>
      </c>
      <c r="BD163" s="4" t="str">
        <f t="shared" si="75"/>
        <v/>
      </c>
      <c r="BE163" s="4" t="str">
        <f>IF(AND(X163&lt;&gt;""),ROUND(X163/SI!$C$10,2),"")</f>
        <v/>
      </c>
      <c r="BF163" s="4" t="str">
        <f t="shared" si="77"/>
        <v/>
      </c>
      <c r="BG163" s="264" t="str">
        <f t="shared" si="76"/>
        <v/>
      </c>
      <c r="BH163" s="71" t="str">
        <f>IF(F163&lt;&gt;"",VLOOKUP(F163,DUTY_2025!A:O,15,FALSE),"")</f>
        <v/>
      </c>
    </row>
    <row r="164" spans="1:60" x14ac:dyDescent="0.25">
      <c r="A164" s="133">
        <f t="shared" si="52"/>
        <v>66</v>
      </c>
      <c r="B164" s="83" t="str">
        <f t="shared" si="53"/>
        <v/>
      </c>
      <c r="C164" s="126"/>
      <c r="D164" s="128"/>
      <c r="E164" s="91"/>
      <c r="F164" s="85"/>
      <c r="G164" s="27" t="str">
        <f>IF(F164&lt;&gt;"",IFERROR(VLOOKUP(F164,DUTY_2025!A:I,6,FALSE),""),"")</f>
        <v/>
      </c>
      <c r="H164" s="85" t="s">
        <v>133</v>
      </c>
      <c r="I164" s="27"/>
      <c r="J164" s="99"/>
      <c r="K164" s="99"/>
      <c r="L164" s="91"/>
      <c r="M164" s="27"/>
      <c r="N164" s="84"/>
      <c r="O164" s="22"/>
      <c r="P164" s="116"/>
      <c r="Q164" s="23"/>
      <c r="R164" s="27"/>
      <c r="S164" s="86" t="str">
        <f t="shared" si="54"/>
        <v/>
      </c>
      <c r="T164" s="87" t="str">
        <f t="shared" si="55"/>
        <v/>
      </c>
      <c r="U164" s="87" t="str" cm="1">
        <f t="array" ref="U164">IF(AND(H164&lt;&gt;"YES",P164&lt;&gt;"",R164&lt;&gt;"",Q164&lt;&gt;""),
_xlfn.SWITCH(Q164,
"INR",_xlfn.SWITCH(R164,"KG",P164*S164,"CTN",P164,"UNIT",P164*N164,"NET",P164/M164,0),
"USD",_xlfn.SWITCH(R164,"KG",P164*S164*SI!$C$10,"CTN",P164*SI!$C$10,"UNIT",P164*N164*SI!$C$10,"NET",P164*SI!$C$10/M164,0),
"LKR",_xlfn.SWITCH(R164,"KG",P164*S164/SI!$C$9,"CTN",P164/SI!$C$9,"UNIT",P164*N164/SI!$C$9,"NET",P164/(M164*SI!$C$9),0),
0),
"")</f>
        <v/>
      </c>
      <c r="V164" s="87" t="str">
        <f t="shared" si="56"/>
        <v/>
      </c>
      <c r="W164" s="87" t="str">
        <f t="shared" si="57"/>
        <v/>
      </c>
      <c r="X164" s="88" t="str">
        <f t="shared" si="58"/>
        <v/>
      </c>
      <c r="Y164" s="24" t="str">
        <f t="shared" si="59"/>
        <v/>
      </c>
      <c r="Z164" s="267" t="str">
        <f>IF(AND(H164&lt;&gt;"yes",F164&lt;&gt;""),IFERROR(VLOOKUP(F164,DUTY_2025!A:F,5,FALSE),""),"")</f>
        <v/>
      </c>
      <c r="AA164" s="271" t="str">
        <f t="shared" si="60"/>
        <v/>
      </c>
      <c r="AB164" s="16" t="str">
        <f t="shared" si="61"/>
        <v/>
      </c>
      <c r="AC164" s="16" t="str">
        <f>IF(AA164&lt;&gt;"",ROUND(AA164*SI!$C$9,0),"")</f>
        <v/>
      </c>
      <c r="AD164" s="4" t="str">
        <f>IF(AC164&lt;&gt;"",ROUND(AC164/(SI!$C$9*SI!$C$10),2),"")</f>
        <v/>
      </c>
      <c r="AE164" s="30" t="str">
        <f>IF(AND(X164&lt;&gt;""), ROUND((SI!$E$23)*(X164/SUM($X$5:$X$493)),0),"")</f>
        <v/>
      </c>
      <c r="AF164" s="272" t="str">
        <f t="shared" si="62"/>
        <v/>
      </c>
      <c r="AG164" s="28" t="str">
        <f t="shared" si="63"/>
        <v/>
      </c>
      <c r="AH164" s="4" t="str">
        <f>IF(AD164&lt;&gt;"",ROUND(AD164*10*SI!$C$9/2,0),"")</f>
        <v/>
      </c>
      <c r="AI164" s="29" t="str">
        <f>IF(AND(X164&lt;&gt;""), ROUND((SI!$E$28)*(X164/SUM($X$5:$X$493)),0),"")</f>
        <v/>
      </c>
      <c r="AJ164" s="4" t="str">
        <f t="shared" si="64"/>
        <v/>
      </c>
      <c r="AK164" s="4" t="str">
        <f t="shared" si="65"/>
        <v/>
      </c>
      <c r="AL164" s="4" t="str">
        <f t="shared" si="66"/>
        <v/>
      </c>
      <c r="AM164" s="4" t="str">
        <f t="shared" si="67"/>
        <v/>
      </c>
      <c r="AN164" s="195" t="str">
        <f t="shared" si="68"/>
        <v/>
      </c>
      <c r="AO164" s="261" t="str">
        <f>IF(AND(AM164&lt;&gt;"",P164&lt;&gt;""),ROUND((AM164*((100+SI!$C$11)/100)),0),"")</f>
        <v/>
      </c>
      <c r="AP164" s="28" t="str">
        <f>IF(AG164&lt;&gt;"",ROUND(AG164/SI!$C$9,2),"")</f>
        <v/>
      </c>
      <c r="AQ164" s="4" t="str">
        <f>IF(AH164&lt;&gt;"",ROUND(AH164/SI!$C$9,2),"")</f>
        <v/>
      </c>
      <c r="AR164" s="29" t="str">
        <f>IF(AI164&lt;&gt;"",ROUND(AI164/SI!$C$9,2),"")</f>
        <v/>
      </c>
      <c r="AS164" s="4" t="str">
        <f t="shared" si="69"/>
        <v/>
      </c>
      <c r="AT164" s="4" t="str">
        <f t="shared" si="70"/>
        <v/>
      </c>
      <c r="AU164" s="4" t="str">
        <f>IF(AL164&lt;&gt;"",ROUND(AL164/SI!$C$9,2),"")</f>
        <v/>
      </c>
      <c r="AV164" s="4" t="str">
        <f>IF(AM164&lt;&gt;"",ROUND(AM164/SI!$C$9,2),"")</f>
        <v/>
      </c>
      <c r="AW164" s="4" t="str">
        <f>IF(AN164&lt;&gt;"",ROUND(AN164/SI!$C$9,2),"")</f>
        <v/>
      </c>
      <c r="AX164" s="261" t="str">
        <f>IF(AO164&lt;&gt;"",ROUND(AO164/SI!$C$9,2),"")</f>
        <v/>
      </c>
      <c r="AY164" s="28" t="str">
        <f t="shared" si="71"/>
        <v/>
      </c>
      <c r="AZ164" s="4" t="str">
        <f>IF(AY164&lt;&gt;"",ROUND(AY164/(SI!$C$9*SI!$C$10),2),"")</f>
        <v/>
      </c>
      <c r="BA164" s="4" t="str">
        <f t="shared" si="72"/>
        <v/>
      </c>
      <c r="BB164" s="4" t="str">
        <f t="shared" si="73"/>
        <v/>
      </c>
      <c r="BC164" s="4" t="str">
        <f t="shared" si="74"/>
        <v/>
      </c>
      <c r="BD164" s="4" t="str">
        <f t="shared" si="75"/>
        <v/>
      </c>
      <c r="BE164" s="4" t="str">
        <f>IF(AND(X164&lt;&gt;""),ROUND(X164/SI!$C$10,2),"")</f>
        <v/>
      </c>
      <c r="BF164" s="4" t="str">
        <f t="shared" si="77"/>
        <v/>
      </c>
      <c r="BG164" s="264" t="str">
        <f t="shared" si="76"/>
        <v/>
      </c>
      <c r="BH164" s="71" t="str">
        <f>IF(F164&lt;&gt;"",VLOOKUP(F164,DUTY_2025!A:O,15,FALSE),"")</f>
        <v/>
      </c>
    </row>
    <row r="165" spans="1:60" x14ac:dyDescent="0.25">
      <c r="A165" s="133">
        <f t="shared" si="52"/>
        <v>66</v>
      </c>
      <c r="B165" s="83" t="str">
        <f t="shared" si="53"/>
        <v/>
      </c>
      <c r="C165" s="126"/>
      <c r="D165" s="128"/>
      <c r="E165" s="91"/>
      <c r="F165" s="85"/>
      <c r="G165" s="27" t="str">
        <f>IF(F165&lt;&gt;"",IFERROR(VLOOKUP(F165,DUTY_2025!A:I,6,FALSE),""),"")</f>
        <v/>
      </c>
      <c r="H165" s="85" t="s">
        <v>133</v>
      </c>
      <c r="I165" s="27"/>
      <c r="J165" s="99"/>
      <c r="K165" s="99"/>
      <c r="L165" s="91"/>
      <c r="M165" s="27"/>
      <c r="N165" s="84"/>
      <c r="O165" s="22"/>
      <c r="P165" s="116"/>
      <c r="Q165" s="23"/>
      <c r="R165" s="27"/>
      <c r="S165" s="86" t="str">
        <f t="shared" si="54"/>
        <v/>
      </c>
      <c r="T165" s="87" t="str">
        <f t="shared" si="55"/>
        <v/>
      </c>
      <c r="U165" s="87" t="str" cm="1">
        <f t="array" ref="U165">IF(AND(H165&lt;&gt;"YES",P165&lt;&gt;"",R165&lt;&gt;"",Q165&lt;&gt;""),
_xlfn.SWITCH(Q165,
"INR",_xlfn.SWITCH(R165,"KG",P165*S165,"CTN",P165,"UNIT",P165*N165,"NET",P165/M165,0),
"USD",_xlfn.SWITCH(R165,"KG",P165*S165*SI!$C$10,"CTN",P165*SI!$C$10,"UNIT",P165*N165*SI!$C$10,"NET",P165*SI!$C$10/M165,0),
"LKR",_xlfn.SWITCH(R165,"KG",P165*S165/SI!$C$9,"CTN",P165/SI!$C$9,"UNIT",P165*N165/SI!$C$9,"NET",P165/(M165*SI!$C$9),0),
0),
"")</f>
        <v/>
      </c>
      <c r="V165" s="87" t="str">
        <f t="shared" si="56"/>
        <v/>
      </c>
      <c r="W165" s="87" t="str">
        <f t="shared" si="57"/>
        <v/>
      </c>
      <c r="X165" s="88" t="str">
        <f t="shared" si="58"/>
        <v/>
      </c>
      <c r="Y165" s="24" t="str">
        <f t="shared" si="59"/>
        <v/>
      </c>
      <c r="Z165" s="267" t="str">
        <f>IF(AND(H165&lt;&gt;"yes",F165&lt;&gt;""),IFERROR(VLOOKUP(F165,DUTY_2025!A:F,5,FALSE),""),"")</f>
        <v/>
      </c>
      <c r="AA165" s="271" t="str">
        <f t="shared" si="60"/>
        <v/>
      </c>
      <c r="AB165" s="16" t="str">
        <f t="shared" si="61"/>
        <v/>
      </c>
      <c r="AC165" s="16" t="str">
        <f>IF(AA165&lt;&gt;"",ROUND(AA165*SI!$C$9,0),"")</f>
        <v/>
      </c>
      <c r="AD165" s="4" t="str">
        <f>IF(AC165&lt;&gt;"",ROUND(AC165/(SI!$C$9*SI!$C$10),2),"")</f>
        <v/>
      </c>
      <c r="AE165" s="30" t="str">
        <f>IF(AND(X165&lt;&gt;""), ROUND((SI!$E$23)*(X165/SUM($X$5:$X$493)),0),"")</f>
        <v/>
      </c>
      <c r="AF165" s="272" t="str">
        <f t="shared" si="62"/>
        <v/>
      </c>
      <c r="AG165" s="28" t="str">
        <f t="shared" si="63"/>
        <v/>
      </c>
      <c r="AH165" s="4" t="str">
        <f>IF(AD165&lt;&gt;"",ROUND(AD165*10*SI!$C$9/2,0),"")</f>
        <v/>
      </c>
      <c r="AI165" s="29" t="str">
        <f>IF(AND(X165&lt;&gt;""), ROUND((SI!$E$28)*(X165/SUM($X$5:$X$493)),0),"")</f>
        <v/>
      </c>
      <c r="AJ165" s="4" t="str">
        <f t="shared" si="64"/>
        <v/>
      </c>
      <c r="AK165" s="4" t="str">
        <f t="shared" si="65"/>
        <v/>
      </c>
      <c r="AL165" s="4" t="str">
        <f t="shared" si="66"/>
        <v/>
      </c>
      <c r="AM165" s="4" t="str">
        <f t="shared" si="67"/>
        <v/>
      </c>
      <c r="AN165" s="195" t="str">
        <f t="shared" si="68"/>
        <v/>
      </c>
      <c r="AO165" s="261" t="str">
        <f>IF(AND(AM165&lt;&gt;"",P165&lt;&gt;""),ROUND((AM165*((100+SI!$C$11)/100)),0),"")</f>
        <v/>
      </c>
      <c r="AP165" s="28" t="str">
        <f>IF(AG165&lt;&gt;"",ROUND(AG165/SI!$C$9,2),"")</f>
        <v/>
      </c>
      <c r="AQ165" s="4" t="str">
        <f>IF(AH165&lt;&gt;"",ROUND(AH165/SI!$C$9,2),"")</f>
        <v/>
      </c>
      <c r="AR165" s="29" t="str">
        <f>IF(AI165&lt;&gt;"",ROUND(AI165/SI!$C$9,2),"")</f>
        <v/>
      </c>
      <c r="AS165" s="4" t="str">
        <f t="shared" si="69"/>
        <v/>
      </c>
      <c r="AT165" s="4" t="str">
        <f t="shared" si="70"/>
        <v/>
      </c>
      <c r="AU165" s="4" t="str">
        <f>IF(AL165&lt;&gt;"",ROUND(AL165/SI!$C$9,2),"")</f>
        <v/>
      </c>
      <c r="AV165" s="4" t="str">
        <f>IF(AM165&lt;&gt;"",ROUND(AM165/SI!$C$9,2),"")</f>
        <v/>
      </c>
      <c r="AW165" s="4" t="str">
        <f>IF(AN165&lt;&gt;"",ROUND(AN165/SI!$C$9,2),"")</f>
        <v/>
      </c>
      <c r="AX165" s="261" t="str">
        <f>IF(AO165&lt;&gt;"",ROUND(AO165/SI!$C$9,2),"")</f>
        <v/>
      </c>
      <c r="AY165" s="28" t="str">
        <f t="shared" si="71"/>
        <v/>
      </c>
      <c r="AZ165" s="4" t="str">
        <f>IF(AY165&lt;&gt;"",ROUND(AY165/(SI!$C$9*SI!$C$10),2),"")</f>
        <v/>
      </c>
      <c r="BA165" s="4" t="str">
        <f t="shared" si="72"/>
        <v/>
      </c>
      <c r="BB165" s="4" t="str">
        <f t="shared" si="73"/>
        <v/>
      </c>
      <c r="BC165" s="4" t="str">
        <f t="shared" si="74"/>
        <v/>
      </c>
      <c r="BD165" s="4" t="str">
        <f t="shared" si="75"/>
        <v/>
      </c>
      <c r="BE165" s="4" t="str">
        <f>IF(AND(X165&lt;&gt;""),ROUND(X165/SI!$C$10,2),"")</f>
        <v/>
      </c>
      <c r="BF165" s="4" t="str">
        <f t="shared" si="77"/>
        <v/>
      </c>
      <c r="BG165" s="264" t="str">
        <f t="shared" si="76"/>
        <v/>
      </c>
      <c r="BH165" s="71" t="str">
        <f>IF(F165&lt;&gt;"",VLOOKUP(F165,DUTY_2025!A:O,15,FALSE),"")</f>
        <v/>
      </c>
    </row>
    <row r="166" spans="1:60" x14ac:dyDescent="0.25">
      <c r="A166" s="133">
        <f t="shared" si="52"/>
        <v>66</v>
      </c>
      <c r="B166" s="83" t="str">
        <f t="shared" si="53"/>
        <v/>
      </c>
      <c r="C166" s="126"/>
      <c r="D166" s="128"/>
      <c r="E166" s="91"/>
      <c r="F166" s="85"/>
      <c r="G166" s="27" t="str">
        <f>IF(F166&lt;&gt;"",IFERROR(VLOOKUP(F166,DUTY_2025!A:I,6,FALSE),""),"")</f>
        <v/>
      </c>
      <c r="H166" s="85" t="s">
        <v>133</v>
      </c>
      <c r="I166" s="27"/>
      <c r="J166" s="99"/>
      <c r="K166" s="99"/>
      <c r="L166" s="91"/>
      <c r="M166" s="27"/>
      <c r="N166" s="84"/>
      <c r="O166" s="22"/>
      <c r="P166" s="116"/>
      <c r="Q166" s="23"/>
      <c r="R166" s="27"/>
      <c r="S166" s="86" t="str">
        <f t="shared" si="54"/>
        <v/>
      </c>
      <c r="T166" s="87" t="str">
        <f t="shared" si="55"/>
        <v/>
      </c>
      <c r="U166" s="87" t="str" cm="1">
        <f t="array" ref="U166">IF(AND(H166&lt;&gt;"YES",P166&lt;&gt;"",R166&lt;&gt;"",Q166&lt;&gt;""),
_xlfn.SWITCH(Q166,
"INR",_xlfn.SWITCH(R166,"KG",P166*S166,"CTN",P166,"UNIT",P166*N166,"NET",P166/M166,0),
"USD",_xlfn.SWITCH(R166,"KG",P166*S166*SI!$C$10,"CTN",P166*SI!$C$10,"UNIT",P166*N166*SI!$C$10,"NET",P166*SI!$C$10/M166,0),
"LKR",_xlfn.SWITCH(R166,"KG",P166*S166/SI!$C$9,"CTN",P166/SI!$C$9,"UNIT",P166*N166/SI!$C$9,"NET",P166/(M166*SI!$C$9),0),
0),
"")</f>
        <v/>
      </c>
      <c r="V166" s="87" t="str">
        <f t="shared" si="56"/>
        <v/>
      </c>
      <c r="W166" s="87" t="str">
        <f t="shared" si="57"/>
        <v/>
      </c>
      <c r="X166" s="88" t="str">
        <f t="shared" si="58"/>
        <v/>
      </c>
      <c r="Y166" s="24" t="str">
        <f t="shared" si="59"/>
        <v/>
      </c>
      <c r="Z166" s="267" t="str">
        <f>IF(AND(H166&lt;&gt;"yes",F166&lt;&gt;""),IFERROR(VLOOKUP(F166,DUTY_2025!A:F,5,FALSE),""),"")</f>
        <v/>
      </c>
      <c r="AA166" s="271" t="str">
        <f t="shared" si="60"/>
        <v/>
      </c>
      <c r="AB166" s="16" t="str">
        <f t="shared" si="61"/>
        <v/>
      </c>
      <c r="AC166" s="16" t="str">
        <f>IF(AA166&lt;&gt;"",ROUND(AA166*SI!$C$9,0),"")</f>
        <v/>
      </c>
      <c r="AD166" s="4" t="str">
        <f>IF(AC166&lt;&gt;"",ROUND(AC166/(SI!$C$9*SI!$C$10),2),"")</f>
        <v/>
      </c>
      <c r="AE166" s="30" t="str">
        <f>IF(AND(X166&lt;&gt;""), ROUND((SI!$E$23)*(X166/SUM($X$5:$X$493)),0),"")</f>
        <v/>
      </c>
      <c r="AF166" s="272" t="str">
        <f t="shared" si="62"/>
        <v/>
      </c>
      <c r="AG166" s="28" t="str">
        <f t="shared" si="63"/>
        <v/>
      </c>
      <c r="AH166" s="4" t="str">
        <f>IF(AD166&lt;&gt;"",ROUND(AD166*10*SI!$C$9/2,0),"")</f>
        <v/>
      </c>
      <c r="AI166" s="29" t="str">
        <f>IF(AND(X166&lt;&gt;""), ROUND((SI!$E$28)*(X166/SUM($X$5:$X$493)),0),"")</f>
        <v/>
      </c>
      <c r="AJ166" s="4" t="str">
        <f t="shared" si="64"/>
        <v/>
      </c>
      <c r="AK166" s="4" t="str">
        <f t="shared" si="65"/>
        <v/>
      </c>
      <c r="AL166" s="4" t="str">
        <f t="shared" si="66"/>
        <v/>
      </c>
      <c r="AM166" s="4" t="str">
        <f t="shared" si="67"/>
        <v/>
      </c>
      <c r="AN166" s="195" t="str">
        <f t="shared" si="68"/>
        <v/>
      </c>
      <c r="AO166" s="261" t="str">
        <f>IF(AND(AM166&lt;&gt;"",P166&lt;&gt;""),ROUND((AM166*((100+SI!$C$11)/100)),0),"")</f>
        <v/>
      </c>
      <c r="AP166" s="28" t="str">
        <f>IF(AG166&lt;&gt;"",ROUND(AG166/SI!$C$9,2),"")</f>
        <v/>
      </c>
      <c r="AQ166" s="4" t="str">
        <f>IF(AH166&lt;&gt;"",ROUND(AH166/SI!$C$9,2),"")</f>
        <v/>
      </c>
      <c r="AR166" s="29" t="str">
        <f>IF(AI166&lt;&gt;"",ROUND(AI166/SI!$C$9,2),"")</f>
        <v/>
      </c>
      <c r="AS166" s="4" t="str">
        <f t="shared" si="69"/>
        <v/>
      </c>
      <c r="AT166" s="4" t="str">
        <f t="shared" si="70"/>
        <v/>
      </c>
      <c r="AU166" s="4" t="str">
        <f>IF(AL166&lt;&gt;"",ROUND(AL166/SI!$C$9,2),"")</f>
        <v/>
      </c>
      <c r="AV166" s="4" t="str">
        <f>IF(AM166&lt;&gt;"",ROUND(AM166/SI!$C$9,2),"")</f>
        <v/>
      </c>
      <c r="AW166" s="4" t="str">
        <f>IF(AN166&lt;&gt;"",ROUND(AN166/SI!$C$9,2),"")</f>
        <v/>
      </c>
      <c r="AX166" s="261" t="str">
        <f>IF(AO166&lt;&gt;"",ROUND(AO166/SI!$C$9,2),"")</f>
        <v/>
      </c>
      <c r="AY166" s="28" t="str">
        <f t="shared" si="71"/>
        <v/>
      </c>
      <c r="AZ166" s="4" t="str">
        <f>IF(AY166&lt;&gt;"",ROUND(AY166/(SI!$C$9*SI!$C$10),2),"")</f>
        <v/>
      </c>
      <c r="BA166" s="4" t="str">
        <f t="shared" si="72"/>
        <v/>
      </c>
      <c r="BB166" s="4" t="str">
        <f t="shared" si="73"/>
        <v/>
      </c>
      <c r="BC166" s="4" t="str">
        <f t="shared" si="74"/>
        <v/>
      </c>
      <c r="BD166" s="4" t="str">
        <f t="shared" si="75"/>
        <v/>
      </c>
      <c r="BE166" s="4" t="str">
        <f>IF(AND(X166&lt;&gt;""),ROUND(X166/SI!$C$10,2),"")</f>
        <v/>
      </c>
      <c r="BF166" s="4" t="str">
        <f t="shared" si="77"/>
        <v/>
      </c>
      <c r="BG166" s="264" t="str">
        <f t="shared" si="76"/>
        <v/>
      </c>
      <c r="BH166" s="71" t="str">
        <f>IF(F166&lt;&gt;"",VLOOKUP(F166,DUTY_2025!A:O,15,FALSE),"")</f>
        <v/>
      </c>
    </row>
    <row r="167" spans="1:60" x14ac:dyDescent="0.25">
      <c r="A167" s="133">
        <f t="shared" si="52"/>
        <v>66</v>
      </c>
      <c r="B167" s="83" t="str">
        <f t="shared" si="53"/>
        <v/>
      </c>
      <c r="C167" s="126"/>
      <c r="D167" s="128"/>
      <c r="E167" s="91"/>
      <c r="F167" s="85"/>
      <c r="G167" s="27" t="str">
        <f>IF(F167&lt;&gt;"",IFERROR(VLOOKUP(F167,DUTY_2025!A:I,6,FALSE),""),"")</f>
        <v/>
      </c>
      <c r="H167" s="85" t="s">
        <v>133</v>
      </c>
      <c r="I167" s="27"/>
      <c r="J167" s="99"/>
      <c r="K167" s="99"/>
      <c r="L167" s="91"/>
      <c r="M167" s="27"/>
      <c r="N167" s="84"/>
      <c r="O167" s="22"/>
      <c r="P167" s="116"/>
      <c r="Q167" s="23"/>
      <c r="R167" s="27"/>
      <c r="S167" s="86" t="str">
        <f t="shared" si="54"/>
        <v/>
      </c>
      <c r="T167" s="87" t="str">
        <f t="shared" si="55"/>
        <v/>
      </c>
      <c r="U167" s="87" t="str" cm="1">
        <f t="array" ref="U167">IF(AND(H167&lt;&gt;"YES",P167&lt;&gt;"",R167&lt;&gt;"",Q167&lt;&gt;""),
_xlfn.SWITCH(Q167,
"INR",_xlfn.SWITCH(R167,"KG",P167*S167,"CTN",P167,"UNIT",P167*N167,"NET",P167/M167,0),
"USD",_xlfn.SWITCH(R167,"KG",P167*S167*SI!$C$10,"CTN",P167*SI!$C$10,"UNIT",P167*N167*SI!$C$10,"NET",P167*SI!$C$10/M167,0),
"LKR",_xlfn.SWITCH(R167,"KG",P167*S167/SI!$C$9,"CTN",P167/SI!$C$9,"UNIT",P167*N167/SI!$C$9,"NET",P167/(M167*SI!$C$9),0),
0),
"")</f>
        <v/>
      </c>
      <c r="V167" s="87" t="str">
        <f t="shared" si="56"/>
        <v/>
      </c>
      <c r="W167" s="87" t="str">
        <f t="shared" si="57"/>
        <v/>
      </c>
      <c r="X167" s="88" t="str">
        <f t="shared" si="58"/>
        <v/>
      </c>
      <c r="Y167" s="24" t="str">
        <f t="shared" si="59"/>
        <v/>
      </c>
      <c r="Z167" s="267" t="str">
        <f>IF(AND(H167&lt;&gt;"yes",F167&lt;&gt;""),IFERROR(VLOOKUP(F167,DUTY_2025!A:F,5,FALSE),""),"")</f>
        <v/>
      </c>
      <c r="AA167" s="271" t="str">
        <f t="shared" si="60"/>
        <v/>
      </c>
      <c r="AB167" s="16" t="str">
        <f t="shared" si="61"/>
        <v/>
      </c>
      <c r="AC167" s="16" t="str">
        <f>IF(AA167&lt;&gt;"",ROUND(AA167*SI!$C$9,0),"")</f>
        <v/>
      </c>
      <c r="AD167" s="4" t="str">
        <f>IF(AC167&lt;&gt;"",ROUND(AC167/(SI!$C$9*SI!$C$10),2),"")</f>
        <v/>
      </c>
      <c r="AE167" s="30" t="str">
        <f>IF(AND(X167&lt;&gt;""), ROUND((SI!$E$23)*(X167/SUM($X$5:$X$493)),0),"")</f>
        <v/>
      </c>
      <c r="AF167" s="272" t="str">
        <f t="shared" si="62"/>
        <v/>
      </c>
      <c r="AG167" s="28" t="str">
        <f t="shared" si="63"/>
        <v/>
      </c>
      <c r="AH167" s="4" t="str">
        <f>IF(AD167&lt;&gt;"",ROUND(AD167*10*SI!$C$9/2,0),"")</f>
        <v/>
      </c>
      <c r="AI167" s="29" t="str">
        <f>IF(AND(X167&lt;&gt;""), ROUND((SI!$E$28)*(X167/SUM($X$5:$X$493)),0),"")</f>
        <v/>
      </c>
      <c r="AJ167" s="4" t="str">
        <f t="shared" si="64"/>
        <v/>
      </c>
      <c r="AK167" s="4" t="str">
        <f t="shared" si="65"/>
        <v/>
      </c>
      <c r="AL167" s="4" t="str">
        <f t="shared" si="66"/>
        <v/>
      </c>
      <c r="AM167" s="4" t="str">
        <f t="shared" si="67"/>
        <v/>
      </c>
      <c r="AN167" s="195" t="str">
        <f t="shared" si="68"/>
        <v/>
      </c>
      <c r="AO167" s="261" t="str">
        <f>IF(AND(AM167&lt;&gt;"",P167&lt;&gt;""),ROUND((AM167*((100+SI!$C$11)/100)),0),"")</f>
        <v/>
      </c>
      <c r="AP167" s="28" t="str">
        <f>IF(AG167&lt;&gt;"",ROUND(AG167/SI!$C$9,2),"")</f>
        <v/>
      </c>
      <c r="AQ167" s="4" t="str">
        <f>IF(AH167&lt;&gt;"",ROUND(AH167/SI!$C$9,2),"")</f>
        <v/>
      </c>
      <c r="AR167" s="29" t="str">
        <f>IF(AI167&lt;&gt;"",ROUND(AI167/SI!$C$9,2),"")</f>
        <v/>
      </c>
      <c r="AS167" s="4" t="str">
        <f t="shared" si="69"/>
        <v/>
      </c>
      <c r="AT167" s="4" t="str">
        <f t="shared" si="70"/>
        <v/>
      </c>
      <c r="AU167" s="4" t="str">
        <f>IF(AL167&lt;&gt;"",ROUND(AL167/SI!$C$9,2),"")</f>
        <v/>
      </c>
      <c r="AV167" s="4" t="str">
        <f>IF(AM167&lt;&gt;"",ROUND(AM167/SI!$C$9,2),"")</f>
        <v/>
      </c>
      <c r="AW167" s="4" t="str">
        <f>IF(AN167&lt;&gt;"",ROUND(AN167/SI!$C$9,2),"")</f>
        <v/>
      </c>
      <c r="AX167" s="261" t="str">
        <f>IF(AO167&lt;&gt;"",ROUND(AO167/SI!$C$9,2),"")</f>
        <v/>
      </c>
      <c r="AY167" s="28" t="str">
        <f t="shared" si="71"/>
        <v/>
      </c>
      <c r="AZ167" s="4" t="str">
        <f>IF(AY167&lt;&gt;"",ROUND(AY167/(SI!$C$9*SI!$C$10),2),"")</f>
        <v/>
      </c>
      <c r="BA167" s="4" t="str">
        <f t="shared" si="72"/>
        <v/>
      </c>
      <c r="BB167" s="4" t="str">
        <f t="shared" si="73"/>
        <v/>
      </c>
      <c r="BC167" s="4" t="str">
        <f t="shared" si="74"/>
        <v/>
      </c>
      <c r="BD167" s="4" t="str">
        <f t="shared" si="75"/>
        <v/>
      </c>
      <c r="BE167" s="4" t="str">
        <f>IF(AND(X167&lt;&gt;""),ROUND(X167/SI!$C$10,2),"")</f>
        <v/>
      </c>
      <c r="BF167" s="4" t="str">
        <f t="shared" si="77"/>
        <v/>
      </c>
      <c r="BG167" s="264" t="str">
        <f t="shared" si="76"/>
        <v/>
      </c>
      <c r="BH167" s="71" t="str">
        <f>IF(F167&lt;&gt;"",VLOOKUP(F167,DUTY_2025!A:O,15,FALSE),"")</f>
        <v/>
      </c>
    </row>
    <row r="168" spans="1:60" x14ac:dyDescent="0.25">
      <c r="A168" s="133">
        <f t="shared" si="52"/>
        <v>66</v>
      </c>
      <c r="B168" s="83" t="str">
        <f t="shared" si="53"/>
        <v/>
      </c>
      <c r="C168" s="126"/>
      <c r="D168" s="128"/>
      <c r="E168" s="91"/>
      <c r="F168" s="85"/>
      <c r="G168" s="27" t="str">
        <f>IF(F168&lt;&gt;"",IFERROR(VLOOKUP(F168,DUTY_2025!A:I,6,FALSE),""),"")</f>
        <v/>
      </c>
      <c r="H168" s="85" t="s">
        <v>133</v>
      </c>
      <c r="I168" s="27"/>
      <c r="J168" s="99"/>
      <c r="K168" s="99"/>
      <c r="L168" s="91"/>
      <c r="M168" s="27"/>
      <c r="N168" s="84"/>
      <c r="O168" s="22"/>
      <c r="P168" s="116"/>
      <c r="Q168" s="23"/>
      <c r="R168" s="27"/>
      <c r="S168" s="86" t="str">
        <f t="shared" si="54"/>
        <v/>
      </c>
      <c r="T168" s="87" t="str">
        <f t="shared" si="55"/>
        <v/>
      </c>
      <c r="U168" s="87" t="str" cm="1">
        <f t="array" ref="U168">IF(AND(H168&lt;&gt;"YES",P168&lt;&gt;"",R168&lt;&gt;"",Q168&lt;&gt;""),
_xlfn.SWITCH(Q168,
"INR",_xlfn.SWITCH(R168,"KG",P168*S168,"CTN",P168,"UNIT",P168*N168,"NET",P168/M168,0),
"USD",_xlfn.SWITCH(R168,"KG",P168*S168*SI!$C$10,"CTN",P168*SI!$C$10,"UNIT",P168*N168*SI!$C$10,"NET",P168*SI!$C$10/M168,0),
"LKR",_xlfn.SWITCH(R168,"KG",P168*S168/SI!$C$9,"CTN",P168/SI!$C$9,"UNIT",P168*N168/SI!$C$9,"NET",P168/(M168*SI!$C$9),0),
0),
"")</f>
        <v/>
      </c>
      <c r="V168" s="87" t="str">
        <f t="shared" si="56"/>
        <v/>
      </c>
      <c r="W168" s="87" t="str">
        <f t="shared" si="57"/>
        <v/>
      </c>
      <c r="X168" s="88" t="str">
        <f t="shared" si="58"/>
        <v/>
      </c>
      <c r="Y168" s="24" t="str">
        <f t="shared" si="59"/>
        <v/>
      </c>
      <c r="Z168" s="267" t="str">
        <f>IF(AND(H168&lt;&gt;"yes",F168&lt;&gt;""),IFERROR(VLOOKUP(F168,DUTY_2025!A:F,5,FALSE),""),"")</f>
        <v/>
      </c>
      <c r="AA168" s="271" t="str">
        <f t="shared" si="60"/>
        <v/>
      </c>
      <c r="AB168" s="16" t="str">
        <f t="shared" si="61"/>
        <v/>
      </c>
      <c r="AC168" s="16" t="str">
        <f>IF(AA168&lt;&gt;"",ROUND(AA168*SI!$C$9,0),"")</f>
        <v/>
      </c>
      <c r="AD168" s="4" t="str">
        <f>IF(AC168&lt;&gt;"",ROUND(AC168/(SI!$C$9*SI!$C$10),2),"")</f>
        <v/>
      </c>
      <c r="AE168" s="30" t="str">
        <f>IF(AND(X168&lt;&gt;""), ROUND((SI!$E$23)*(X168/SUM($X$5:$X$493)),0),"")</f>
        <v/>
      </c>
      <c r="AF168" s="272" t="str">
        <f t="shared" si="62"/>
        <v/>
      </c>
      <c r="AG168" s="28" t="str">
        <f t="shared" si="63"/>
        <v/>
      </c>
      <c r="AH168" s="4" t="str">
        <f>IF(AD168&lt;&gt;"",ROUND(AD168*10*SI!$C$9/2,0),"")</f>
        <v/>
      </c>
      <c r="AI168" s="29" t="str">
        <f>IF(AND(X168&lt;&gt;""), ROUND((SI!$E$28)*(X168/SUM($X$5:$X$493)),0),"")</f>
        <v/>
      </c>
      <c r="AJ168" s="4" t="str">
        <f t="shared" si="64"/>
        <v/>
      </c>
      <c r="AK168" s="4" t="str">
        <f t="shared" si="65"/>
        <v/>
      </c>
      <c r="AL168" s="4" t="str">
        <f t="shared" si="66"/>
        <v/>
      </c>
      <c r="AM168" s="4" t="str">
        <f t="shared" si="67"/>
        <v/>
      </c>
      <c r="AN168" s="195" t="str">
        <f t="shared" si="68"/>
        <v/>
      </c>
      <c r="AO168" s="261" t="str">
        <f>IF(AND(AM168&lt;&gt;"",P168&lt;&gt;""),ROUND((AM168*((100+SI!$C$11)/100)),0),"")</f>
        <v/>
      </c>
      <c r="AP168" s="28" t="str">
        <f>IF(AG168&lt;&gt;"",ROUND(AG168/SI!$C$9,2),"")</f>
        <v/>
      </c>
      <c r="AQ168" s="4" t="str">
        <f>IF(AH168&lt;&gt;"",ROUND(AH168/SI!$C$9,2),"")</f>
        <v/>
      </c>
      <c r="AR168" s="29" t="str">
        <f>IF(AI168&lt;&gt;"",ROUND(AI168/SI!$C$9,2),"")</f>
        <v/>
      </c>
      <c r="AS168" s="4" t="str">
        <f t="shared" si="69"/>
        <v/>
      </c>
      <c r="AT168" s="4" t="str">
        <f t="shared" si="70"/>
        <v/>
      </c>
      <c r="AU168" s="4" t="str">
        <f>IF(AL168&lt;&gt;"",ROUND(AL168/SI!$C$9,2),"")</f>
        <v/>
      </c>
      <c r="AV168" s="4" t="str">
        <f>IF(AM168&lt;&gt;"",ROUND(AM168/SI!$C$9,2),"")</f>
        <v/>
      </c>
      <c r="AW168" s="4" t="str">
        <f>IF(AN168&lt;&gt;"",ROUND(AN168/SI!$C$9,2),"")</f>
        <v/>
      </c>
      <c r="AX168" s="261" t="str">
        <f>IF(AO168&lt;&gt;"",ROUND(AO168/SI!$C$9,2),"")</f>
        <v/>
      </c>
      <c r="AY168" s="28" t="str">
        <f t="shared" si="71"/>
        <v/>
      </c>
      <c r="AZ168" s="4" t="str">
        <f>IF(AY168&lt;&gt;"",ROUND(AY168/(SI!$C$9*SI!$C$10),2),"")</f>
        <v/>
      </c>
      <c r="BA168" s="4" t="str">
        <f t="shared" si="72"/>
        <v/>
      </c>
      <c r="BB168" s="4" t="str">
        <f t="shared" si="73"/>
        <v/>
      </c>
      <c r="BC168" s="4" t="str">
        <f t="shared" si="74"/>
        <v/>
      </c>
      <c r="BD168" s="4" t="str">
        <f t="shared" si="75"/>
        <v/>
      </c>
      <c r="BE168" s="4" t="str">
        <f>IF(AND(X168&lt;&gt;""),ROUND(X168/SI!$C$10,2),"")</f>
        <v/>
      </c>
      <c r="BF168" s="4" t="str">
        <f t="shared" si="77"/>
        <v/>
      </c>
      <c r="BG168" s="264" t="str">
        <f t="shared" si="76"/>
        <v/>
      </c>
      <c r="BH168" s="71" t="str">
        <f>IF(F168&lt;&gt;"",VLOOKUP(F168,DUTY_2025!A:O,15,FALSE),"")</f>
        <v/>
      </c>
    </row>
    <row r="169" spans="1:60" x14ac:dyDescent="0.25">
      <c r="A169" s="133">
        <f t="shared" si="52"/>
        <v>66</v>
      </c>
      <c r="B169" s="83" t="str">
        <f t="shared" si="53"/>
        <v/>
      </c>
      <c r="C169" s="126"/>
      <c r="D169" s="128"/>
      <c r="E169" s="91"/>
      <c r="F169" s="85"/>
      <c r="G169" s="27" t="str">
        <f>IF(F169&lt;&gt;"",IFERROR(VLOOKUP(F169,DUTY_2025!A:I,6,FALSE),""),"")</f>
        <v/>
      </c>
      <c r="H169" s="85" t="s">
        <v>133</v>
      </c>
      <c r="I169" s="27"/>
      <c r="J169" s="99"/>
      <c r="K169" s="99"/>
      <c r="L169" s="91"/>
      <c r="M169" s="27"/>
      <c r="N169" s="84"/>
      <c r="O169" s="22"/>
      <c r="P169" s="116"/>
      <c r="Q169" s="23"/>
      <c r="R169" s="27"/>
      <c r="S169" s="86" t="str">
        <f t="shared" si="54"/>
        <v/>
      </c>
      <c r="T169" s="87" t="str">
        <f t="shared" si="55"/>
        <v/>
      </c>
      <c r="U169" s="87" t="str" cm="1">
        <f t="array" ref="U169">IF(AND(H169&lt;&gt;"YES",P169&lt;&gt;"",R169&lt;&gt;"",Q169&lt;&gt;""),
_xlfn.SWITCH(Q169,
"INR",_xlfn.SWITCH(R169,"KG",P169*S169,"CTN",P169,"UNIT",P169*N169,"NET",P169/M169,0),
"USD",_xlfn.SWITCH(R169,"KG",P169*S169*SI!$C$10,"CTN",P169*SI!$C$10,"UNIT",P169*N169*SI!$C$10,"NET",P169*SI!$C$10/M169,0),
"LKR",_xlfn.SWITCH(R169,"KG",P169*S169/SI!$C$9,"CTN",P169/SI!$C$9,"UNIT",P169*N169/SI!$C$9,"NET",P169/(M169*SI!$C$9),0),
0),
"")</f>
        <v/>
      </c>
      <c r="V169" s="87" t="str">
        <f t="shared" si="56"/>
        <v/>
      </c>
      <c r="W169" s="87" t="str">
        <f t="shared" si="57"/>
        <v/>
      </c>
      <c r="X169" s="88" t="str">
        <f t="shared" si="58"/>
        <v/>
      </c>
      <c r="Y169" s="24" t="str">
        <f t="shared" si="59"/>
        <v/>
      </c>
      <c r="Z169" s="267" t="str">
        <f>IF(AND(H169&lt;&gt;"yes",F169&lt;&gt;""),IFERROR(VLOOKUP(F169,DUTY_2025!A:F,5,FALSE),""),"")</f>
        <v/>
      </c>
      <c r="AA169" s="271" t="str">
        <f t="shared" si="60"/>
        <v/>
      </c>
      <c r="AB169" s="16" t="str">
        <f t="shared" si="61"/>
        <v/>
      </c>
      <c r="AC169" s="16" t="str">
        <f>IF(AA169&lt;&gt;"",ROUND(AA169*SI!$C$9,0),"")</f>
        <v/>
      </c>
      <c r="AD169" s="4" t="str">
        <f>IF(AC169&lt;&gt;"",ROUND(AC169/(SI!$C$9*SI!$C$10),2),"")</f>
        <v/>
      </c>
      <c r="AE169" s="30" t="str">
        <f>IF(AND(X169&lt;&gt;""), ROUND((SI!$E$23)*(X169/SUM($X$5:$X$493)),0),"")</f>
        <v/>
      </c>
      <c r="AF169" s="272" t="str">
        <f t="shared" si="62"/>
        <v/>
      </c>
      <c r="AG169" s="28" t="str">
        <f t="shared" si="63"/>
        <v/>
      </c>
      <c r="AH169" s="4" t="str">
        <f>IF(AD169&lt;&gt;"",ROUND(AD169*10*SI!$C$9/2,0),"")</f>
        <v/>
      </c>
      <c r="AI169" s="29" t="str">
        <f>IF(AND(X169&lt;&gt;""), ROUND((SI!$E$28)*(X169/SUM($X$5:$X$493)),0),"")</f>
        <v/>
      </c>
      <c r="AJ169" s="4" t="str">
        <f t="shared" si="64"/>
        <v/>
      </c>
      <c r="AK169" s="4" t="str">
        <f t="shared" si="65"/>
        <v/>
      </c>
      <c r="AL169" s="4" t="str">
        <f t="shared" si="66"/>
        <v/>
      </c>
      <c r="AM169" s="4" t="str">
        <f t="shared" si="67"/>
        <v/>
      </c>
      <c r="AN169" s="195" t="str">
        <f t="shared" si="68"/>
        <v/>
      </c>
      <c r="AO169" s="261" t="str">
        <f>IF(AND(AM169&lt;&gt;"",P169&lt;&gt;""),ROUND((AM169*((100+SI!$C$11)/100)),0),"")</f>
        <v/>
      </c>
      <c r="AP169" s="28" t="str">
        <f>IF(AG169&lt;&gt;"",ROUND(AG169/SI!$C$9,2),"")</f>
        <v/>
      </c>
      <c r="AQ169" s="4" t="str">
        <f>IF(AH169&lt;&gt;"",ROUND(AH169/SI!$C$9,2),"")</f>
        <v/>
      </c>
      <c r="AR169" s="29" t="str">
        <f>IF(AI169&lt;&gt;"",ROUND(AI169/SI!$C$9,2),"")</f>
        <v/>
      </c>
      <c r="AS169" s="4" t="str">
        <f t="shared" si="69"/>
        <v/>
      </c>
      <c r="AT169" s="4" t="str">
        <f t="shared" si="70"/>
        <v/>
      </c>
      <c r="AU169" s="4" t="str">
        <f>IF(AL169&lt;&gt;"",ROUND(AL169/SI!$C$9,2),"")</f>
        <v/>
      </c>
      <c r="AV169" s="4" t="str">
        <f>IF(AM169&lt;&gt;"",ROUND(AM169/SI!$C$9,2),"")</f>
        <v/>
      </c>
      <c r="AW169" s="4" t="str">
        <f>IF(AN169&lt;&gt;"",ROUND(AN169/SI!$C$9,2),"")</f>
        <v/>
      </c>
      <c r="AX169" s="261" t="str">
        <f>IF(AO169&lt;&gt;"",ROUND(AO169/SI!$C$9,2),"")</f>
        <v/>
      </c>
      <c r="AY169" s="28" t="str">
        <f t="shared" si="71"/>
        <v/>
      </c>
      <c r="AZ169" s="4" t="str">
        <f>IF(AY169&lt;&gt;"",ROUND(AY169/(SI!$C$9*SI!$C$10),2),"")</f>
        <v/>
      </c>
      <c r="BA169" s="4" t="str">
        <f t="shared" si="72"/>
        <v/>
      </c>
      <c r="BB169" s="4" t="str">
        <f t="shared" si="73"/>
        <v/>
      </c>
      <c r="BC169" s="4" t="str">
        <f t="shared" si="74"/>
        <v/>
      </c>
      <c r="BD169" s="4" t="str">
        <f t="shared" si="75"/>
        <v/>
      </c>
      <c r="BE169" s="4" t="str">
        <f>IF(AND(X169&lt;&gt;""),ROUND(X169/SI!$C$10,2),"")</f>
        <v/>
      </c>
      <c r="BF169" s="4" t="str">
        <f t="shared" si="77"/>
        <v/>
      </c>
      <c r="BG169" s="264" t="str">
        <f t="shared" si="76"/>
        <v/>
      </c>
      <c r="BH169" s="71" t="str">
        <f>IF(F169&lt;&gt;"",VLOOKUP(F169,DUTY_2025!A:O,15,FALSE),"")</f>
        <v/>
      </c>
    </row>
    <row r="170" spans="1:60" x14ac:dyDescent="0.25">
      <c r="A170" s="133">
        <f t="shared" si="52"/>
        <v>66</v>
      </c>
      <c r="B170" s="83" t="str">
        <f t="shared" si="53"/>
        <v/>
      </c>
      <c r="C170" s="126"/>
      <c r="D170" s="128"/>
      <c r="E170" s="91"/>
      <c r="F170" s="85"/>
      <c r="G170" s="27" t="str">
        <f>IF(F170&lt;&gt;"",IFERROR(VLOOKUP(F170,DUTY_2025!A:I,6,FALSE),""),"")</f>
        <v/>
      </c>
      <c r="H170" s="85" t="s">
        <v>133</v>
      </c>
      <c r="I170" s="27"/>
      <c r="J170" s="99"/>
      <c r="K170" s="99"/>
      <c r="L170" s="91"/>
      <c r="M170" s="27"/>
      <c r="N170" s="84"/>
      <c r="O170" s="22"/>
      <c r="P170" s="116"/>
      <c r="Q170" s="23"/>
      <c r="R170" s="27"/>
      <c r="S170" s="86" t="str">
        <f t="shared" si="54"/>
        <v/>
      </c>
      <c r="T170" s="87" t="str">
        <f t="shared" si="55"/>
        <v/>
      </c>
      <c r="U170" s="87" t="str" cm="1">
        <f t="array" ref="U170">IF(AND(H170&lt;&gt;"YES",P170&lt;&gt;"",R170&lt;&gt;"",Q170&lt;&gt;""),
_xlfn.SWITCH(Q170,
"INR",_xlfn.SWITCH(R170,"KG",P170*S170,"CTN",P170,"UNIT",P170*N170,"NET",P170/M170,0),
"USD",_xlfn.SWITCH(R170,"KG",P170*S170*SI!$C$10,"CTN",P170*SI!$C$10,"UNIT",P170*N170*SI!$C$10,"NET",P170*SI!$C$10/M170,0),
"LKR",_xlfn.SWITCH(R170,"KG",P170*S170/SI!$C$9,"CTN",P170/SI!$C$9,"UNIT",P170*N170/SI!$C$9,"NET",P170/(M170*SI!$C$9),0),
0),
"")</f>
        <v/>
      </c>
      <c r="V170" s="87" t="str">
        <f t="shared" si="56"/>
        <v/>
      </c>
      <c r="W170" s="87" t="str">
        <f t="shared" si="57"/>
        <v/>
      </c>
      <c r="X170" s="88" t="str">
        <f t="shared" si="58"/>
        <v/>
      </c>
      <c r="Y170" s="24" t="str">
        <f t="shared" si="59"/>
        <v/>
      </c>
      <c r="Z170" s="267" t="str">
        <f>IF(AND(H170&lt;&gt;"yes",F170&lt;&gt;""),IFERROR(VLOOKUP(F170,DUTY_2025!A:F,5,FALSE),""),"")</f>
        <v/>
      </c>
      <c r="AA170" s="271" t="str">
        <f t="shared" si="60"/>
        <v/>
      </c>
      <c r="AB170" s="16" t="str">
        <f t="shared" si="61"/>
        <v/>
      </c>
      <c r="AC170" s="16" t="str">
        <f>IF(AA170&lt;&gt;"",ROUND(AA170*SI!$C$9,0),"")</f>
        <v/>
      </c>
      <c r="AD170" s="4" t="str">
        <f>IF(AC170&lt;&gt;"",ROUND(AC170/(SI!$C$9*SI!$C$10),2),"")</f>
        <v/>
      </c>
      <c r="AE170" s="30" t="str">
        <f>IF(AND(X170&lt;&gt;""), ROUND((SI!$E$23)*(X170/SUM($X$5:$X$493)),0),"")</f>
        <v/>
      </c>
      <c r="AF170" s="272" t="str">
        <f t="shared" si="62"/>
        <v/>
      </c>
      <c r="AG170" s="28" t="str">
        <f t="shared" si="63"/>
        <v/>
      </c>
      <c r="AH170" s="4" t="str">
        <f>IF(AD170&lt;&gt;"",ROUND(AD170*10*SI!$C$9/2,0),"")</f>
        <v/>
      </c>
      <c r="AI170" s="29" t="str">
        <f>IF(AND(X170&lt;&gt;""), ROUND((SI!$E$28)*(X170/SUM($X$5:$X$493)),0),"")</f>
        <v/>
      </c>
      <c r="AJ170" s="4" t="str">
        <f t="shared" si="64"/>
        <v/>
      </c>
      <c r="AK170" s="4" t="str">
        <f t="shared" si="65"/>
        <v/>
      </c>
      <c r="AL170" s="4" t="str">
        <f t="shared" si="66"/>
        <v/>
      </c>
      <c r="AM170" s="4" t="str">
        <f t="shared" si="67"/>
        <v/>
      </c>
      <c r="AN170" s="195" t="str">
        <f t="shared" si="68"/>
        <v/>
      </c>
      <c r="AO170" s="261" t="str">
        <f>IF(AND(AM170&lt;&gt;"",P170&lt;&gt;""),ROUND((AM170*((100+SI!$C$11)/100)),0),"")</f>
        <v/>
      </c>
      <c r="AP170" s="28" t="str">
        <f>IF(AG170&lt;&gt;"",ROUND(AG170/SI!$C$9,2),"")</f>
        <v/>
      </c>
      <c r="AQ170" s="4" t="str">
        <f>IF(AH170&lt;&gt;"",ROUND(AH170/SI!$C$9,2),"")</f>
        <v/>
      </c>
      <c r="AR170" s="29" t="str">
        <f>IF(AI170&lt;&gt;"",ROUND(AI170/SI!$C$9,2),"")</f>
        <v/>
      </c>
      <c r="AS170" s="4" t="str">
        <f t="shared" si="69"/>
        <v/>
      </c>
      <c r="AT170" s="4" t="str">
        <f t="shared" si="70"/>
        <v/>
      </c>
      <c r="AU170" s="4" t="str">
        <f>IF(AL170&lt;&gt;"",ROUND(AL170/SI!$C$9,2),"")</f>
        <v/>
      </c>
      <c r="AV170" s="4" t="str">
        <f>IF(AM170&lt;&gt;"",ROUND(AM170/SI!$C$9,2),"")</f>
        <v/>
      </c>
      <c r="AW170" s="4" t="str">
        <f>IF(AN170&lt;&gt;"",ROUND(AN170/SI!$C$9,2),"")</f>
        <v/>
      </c>
      <c r="AX170" s="261" t="str">
        <f>IF(AO170&lt;&gt;"",ROUND(AO170/SI!$C$9,2),"")</f>
        <v/>
      </c>
      <c r="AY170" s="28" t="str">
        <f t="shared" si="71"/>
        <v/>
      </c>
      <c r="AZ170" s="4" t="str">
        <f>IF(AY170&lt;&gt;"",ROUND(AY170/(SI!$C$9*SI!$C$10),2),"")</f>
        <v/>
      </c>
      <c r="BA170" s="4" t="str">
        <f t="shared" si="72"/>
        <v/>
      </c>
      <c r="BB170" s="4" t="str">
        <f t="shared" si="73"/>
        <v/>
      </c>
      <c r="BC170" s="4" t="str">
        <f t="shared" si="74"/>
        <v/>
      </c>
      <c r="BD170" s="4" t="str">
        <f t="shared" si="75"/>
        <v/>
      </c>
      <c r="BE170" s="4" t="str">
        <f>IF(AND(X170&lt;&gt;""),ROUND(X170/SI!$C$10,2),"")</f>
        <v/>
      </c>
      <c r="BF170" s="4" t="str">
        <f t="shared" si="77"/>
        <v/>
      </c>
      <c r="BG170" s="264" t="str">
        <f t="shared" si="76"/>
        <v/>
      </c>
      <c r="BH170" s="71" t="str">
        <f>IF(F170&lt;&gt;"",VLOOKUP(F170,DUTY_2025!A:O,15,FALSE),"")</f>
        <v/>
      </c>
    </row>
    <row r="171" spans="1:60" x14ac:dyDescent="0.25">
      <c r="A171" s="133">
        <f t="shared" si="52"/>
        <v>66</v>
      </c>
      <c r="B171" s="83" t="str">
        <f t="shared" si="53"/>
        <v/>
      </c>
      <c r="C171" s="126"/>
      <c r="D171" s="128"/>
      <c r="E171" s="91"/>
      <c r="F171" s="85"/>
      <c r="G171" s="27" t="str">
        <f>IF(F171&lt;&gt;"",IFERROR(VLOOKUP(F171,DUTY_2025!A:I,6,FALSE),""),"")</f>
        <v/>
      </c>
      <c r="H171" s="85" t="s">
        <v>133</v>
      </c>
      <c r="I171" s="27"/>
      <c r="J171" s="99"/>
      <c r="K171" s="99"/>
      <c r="L171" s="91"/>
      <c r="M171" s="27"/>
      <c r="N171" s="84"/>
      <c r="O171" s="22"/>
      <c r="P171" s="116"/>
      <c r="Q171" s="23"/>
      <c r="R171" s="27"/>
      <c r="S171" s="86" t="str">
        <f t="shared" si="54"/>
        <v/>
      </c>
      <c r="T171" s="87" t="str">
        <f t="shared" si="55"/>
        <v/>
      </c>
      <c r="U171" s="87" t="str" cm="1">
        <f t="array" ref="U171">IF(AND(H171&lt;&gt;"YES",P171&lt;&gt;"",R171&lt;&gt;"",Q171&lt;&gt;""),
_xlfn.SWITCH(Q171,
"INR",_xlfn.SWITCH(R171,"KG",P171*S171,"CTN",P171,"UNIT",P171*N171,"NET",P171/M171,0),
"USD",_xlfn.SWITCH(R171,"KG",P171*S171*SI!$C$10,"CTN",P171*SI!$C$10,"UNIT",P171*N171*SI!$C$10,"NET",P171*SI!$C$10/M171,0),
"LKR",_xlfn.SWITCH(R171,"KG",P171*S171/SI!$C$9,"CTN",P171/SI!$C$9,"UNIT",P171*N171/SI!$C$9,"NET",P171/(M171*SI!$C$9),0),
0),
"")</f>
        <v/>
      </c>
      <c r="V171" s="87" t="str">
        <f t="shared" si="56"/>
        <v/>
      </c>
      <c r="W171" s="87" t="str">
        <f t="shared" si="57"/>
        <v/>
      </c>
      <c r="X171" s="88" t="str">
        <f t="shared" si="58"/>
        <v/>
      </c>
      <c r="Y171" s="24" t="str">
        <f t="shared" si="59"/>
        <v/>
      </c>
      <c r="Z171" s="267" t="str">
        <f>IF(AND(H171&lt;&gt;"yes",F171&lt;&gt;""),IFERROR(VLOOKUP(F171,DUTY_2025!A:F,5,FALSE),""),"")</f>
        <v/>
      </c>
      <c r="AA171" s="271" t="str">
        <f t="shared" si="60"/>
        <v/>
      </c>
      <c r="AB171" s="16" t="str">
        <f t="shared" si="61"/>
        <v/>
      </c>
      <c r="AC171" s="16" t="str">
        <f>IF(AA171&lt;&gt;"",ROUND(AA171*SI!$C$9,0),"")</f>
        <v/>
      </c>
      <c r="AD171" s="4" t="str">
        <f>IF(AC171&lt;&gt;"",ROUND(AC171/(SI!$C$9*SI!$C$10),2),"")</f>
        <v/>
      </c>
      <c r="AE171" s="30" t="str">
        <f>IF(AND(X171&lt;&gt;""), ROUND((SI!$E$23)*(X171/SUM($X$5:$X$493)),0),"")</f>
        <v/>
      </c>
      <c r="AF171" s="272" t="str">
        <f t="shared" si="62"/>
        <v/>
      </c>
      <c r="AG171" s="28" t="str">
        <f t="shared" si="63"/>
        <v/>
      </c>
      <c r="AH171" s="4" t="str">
        <f>IF(AD171&lt;&gt;"",ROUND(AD171*10*SI!$C$9/2,0),"")</f>
        <v/>
      </c>
      <c r="AI171" s="29" t="str">
        <f>IF(AND(X171&lt;&gt;""), ROUND((SI!$E$28)*(X171/SUM($X$5:$X$493)),0),"")</f>
        <v/>
      </c>
      <c r="AJ171" s="4" t="str">
        <f t="shared" si="64"/>
        <v/>
      </c>
      <c r="AK171" s="4" t="str">
        <f t="shared" si="65"/>
        <v/>
      </c>
      <c r="AL171" s="4" t="str">
        <f t="shared" si="66"/>
        <v/>
      </c>
      <c r="AM171" s="4" t="str">
        <f t="shared" si="67"/>
        <v/>
      </c>
      <c r="AN171" s="195" t="str">
        <f t="shared" si="68"/>
        <v/>
      </c>
      <c r="AO171" s="261" t="str">
        <f>IF(AND(AM171&lt;&gt;"",P171&lt;&gt;""),ROUND((AM171*((100+SI!$C$11)/100)),0),"")</f>
        <v/>
      </c>
      <c r="AP171" s="28" t="str">
        <f>IF(AG171&lt;&gt;"",ROUND(AG171/SI!$C$9,2),"")</f>
        <v/>
      </c>
      <c r="AQ171" s="4" t="str">
        <f>IF(AH171&lt;&gt;"",ROUND(AH171/SI!$C$9,2),"")</f>
        <v/>
      </c>
      <c r="AR171" s="29" t="str">
        <f>IF(AI171&lt;&gt;"",ROUND(AI171/SI!$C$9,2),"")</f>
        <v/>
      </c>
      <c r="AS171" s="4" t="str">
        <f t="shared" si="69"/>
        <v/>
      </c>
      <c r="AT171" s="4" t="str">
        <f t="shared" si="70"/>
        <v/>
      </c>
      <c r="AU171" s="4" t="str">
        <f>IF(AL171&lt;&gt;"",ROUND(AL171/SI!$C$9,2),"")</f>
        <v/>
      </c>
      <c r="AV171" s="4" t="str">
        <f>IF(AM171&lt;&gt;"",ROUND(AM171/SI!$C$9,2),"")</f>
        <v/>
      </c>
      <c r="AW171" s="4" t="str">
        <f>IF(AN171&lt;&gt;"",ROUND(AN171/SI!$C$9,2),"")</f>
        <v/>
      </c>
      <c r="AX171" s="261" t="str">
        <f>IF(AO171&lt;&gt;"",ROUND(AO171/SI!$C$9,2),"")</f>
        <v/>
      </c>
      <c r="AY171" s="28" t="str">
        <f t="shared" si="71"/>
        <v/>
      </c>
      <c r="AZ171" s="4" t="str">
        <f>IF(AY171&lt;&gt;"",ROUND(AY171/(SI!$C$9*SI!$C$10),2),"")</f>
        <v/>
      </c>
      <c r="BA171" s="4" t="str">
        <f t="shared" si="72"/>
        <v/>
      </c>
      <c r="BB171" s="4" t="str">
        <f t="shared" si="73"/>
        <v/>
      </c>
      <c r="BC171" s="4" t="str">
        <f t="shared" si="74"/>
        <v/>
      </c>
      <c r="BD171" s="4" t="str">
        <f t="shared" si="75"/>
        <v/>
      </c>
      <c r="BE171" s="4" t="str">
        <f>IF(AND(X171&lt;&gt;""),ROUND(X171/SI!$C$10,2),"")</f>
        <v/>
      </c>
      <c r="BF171" s="4" t="str">
        <f t="shared" si="77"/>
        <v/>
      </c>
      <c r="BG171" s="264" t="str">
        <f t="shared" si="76"/>
        <v/>
      </c>
      <c r="BH171" s="71" t="str">
        <f>IF(F171&lt;&gt;"",VLOOKUP(F171,DUTY_2025!A:O,15,FALSE),"")</f>
        <v/>
      </c>
    </row>
    <row r="172" spans="1:60" x14ac:dyDescent="0.25">
      <c r="A172" s="133">
        <f t="shared" si="52"/>
        <v>66</v>
      </c>
      <c r="B172" s="83" t="str">
        <f t="shared" si="53"/>
        <v/>
      </c>
      <c r="C172" s="126"/>
      <c r="D172" s="128"/>
      <c r="E172" s="91"/>
      <c r="F172" s="85"/>
      <c r="G172" s="27" t="str">
        <f>IF(F172&lt;&gt;"",IFERROR(VLOOKUP(F172,DUTY_2025!A:I,6,FALSE),""),"")</f>
        <v/>
      </c>
      <c r="H172" s="85" t="s">
        <v>133</v>
      </c>
      <c r="I172" s="27"/>
      <c r="J172" s="99"/>
      <c r="K172" s="99"/>
      <c r="L172" s="91"/>
      <c r="M172" s="27"/>
      <c r="N172" s="84"/>
      <c r="O172" s="22"/>
      <c r="P172" s="116"/>
      <c r="Q172" s="23"/>
      <c r="R172" s="27"/>
      <c r="S172" s="86" t="str">
        <f t="shared" si="54"/>
        <v/>
      </c>
      <c r="T172" s="87" t="str">
        <f t="shared" si="55"/>
        <v/>
      </c>
      <c r="U172" s="87" t="str" cm="1">
        <f t="array" ref="U172">IF(AND(H172&lt;&gt;"YES",P172&lt;&gt;"",R172&lt;&gt;"",Q172&lt;&gt;""),
_xlfn.SWITCH(Q172,
"INR",_xlfn.SWITCH(R172,"KG",P172*S172,"CTN",P172,"UNIT",P172*N172,"NET",P172/M172,0),
"USD",_xlfn.SWITCH(R172,"KG",P172*S172*SI!$C$10,"CTN",P172*SI!$C$10,"UNIT",P172*N172*SI!$C$10,"NET",P172*SI!$C$10/M172,0),
"LKR",_xlfn.SWITCH(R172,"KG",P172*S172/SI!$C$9,"CTN",P172/SI!$C$9,"UNIT",P172*N172/SI!$C$9,"NET",P172/(M172*SI!$C$9),0),
0),
"")</f>
        <v/>
      </c>
      <c r="V172" s="87" t="str">
        <f t="shared" si="56"/>
        <v/>
      </c>
      <c r="W172" s="87" t="str">
        <f t="shared" si="57"/>
        <v/>
      </c>
      <c r="X172" s="88" t="str">
        <f t="shared" si="58"/>
        <v/>
      </c>
      <c r="Y172" s="24" t="str">
        <f t="shared" si="59"/>
        <v/>
      </c>
      <c r="Z172" s="267" t="str">
        <f>IF(AND(H172&lt;&gt;"yes",F172&lt;&gt;""),IFERROR(VLOOKUP(F172,DUTY_2025!A:F,5,FALSE),""),"")</f>
        <v/>
      </c>
      <c r="AA172" s="271" t="str">
        <f t="shared" si="60"/>
        <v/>
      </c>
      <c r="AB172" s="16" t="str">
        <f t="shared" si="61"/>
        <v/>
      </c>
      <c r="AC172" s="16" t="str">
        <f>IF(AA172&lt;&gt;"",ROUND(AA172*SI!$C$9,0),"")</f>
        <v/>
      </c>
      <c r="AD172" s="4" t="str">
        <f>IF(AC172&lt;&gt;"",ROUND(AC172/(SI!$C$9*SI!$C$10),2),"")</f>
        <v/>
      </c>
      <c r="AE172" s="30" t="str">
        <f>IF(AND(X172&lt;&gt;""), ROUND((SI!$E$23)*(X172/SUM($X$5:$X$493)),0),"")</f>
        <v/>
      </c>
      <c r="AF172" s="272" t="str">
        <f t="shared" si="62"/>
        <v/>
      </c>
      <c r="AG172" s="28" t="str">
        <f t="shared" si="63"/>
        <v/>
      </c>
      <c r="AH172" s="4" t="str">
        <f>IF(AD172&lt;&gt;"",ROUND(AD172*10*SI!$C$9/2,0),"")</f>
        <v/>
      </c>
      <c r="AI172" s="29" t="str">
        <f>IF(AND(X172&lt;&gt;""), ROUND((SI!$E$28)*(X172/SUM($X$5:$X$493)),0),"")</f>
        <v/>
      </c>
      <c r="AJ172" s="4" t="str">
        <f t="shared" si="64"/>
        <v/>
      </c>
      <c r="AK172" s="4" t="str">
        <f t="shared" si="65"/>
        <v/>
      </c>
      <c r="AL172" s="4" t="str">
        <f t="shared" si="66"/>
        <v/>
      </c>
      <c r="AM172" s="4" t="str">
        <f t="shared" si="67"/>
        <v/>
      </c>
      <c r="AN172" s="195" t="str">
        <f t="shared" si="68"/>
        <v/>
      </c>
      <c r="AO172" s="261" t="str">
        <f>IF(AND(AM172&lt;&gt;"",P172&lt;&gt;""),ROUND((AM172*((100+SI!$C$11)/100)),0),"")</f>
        <v/>
      </c>
      <c r="AP172" s="28" t="str">
        <f>IF(AG172&lt;&gt;"",ROUND(AG172/SI!$C$9,2),"")</f>
        <v/>
      </c>
      <c r="AQ172" s="4" t="str">
        <f>IF(AH172&lt;&gt;"",ROUND(AH172/SI!$C$9,2),"")</f>
        <v/>
      </c>
      <c r="AR172" s="29" t="str">
        <f>IF(AI172&lt;&gt;"",ROUND(AI172/SI!$C$9,2),"")</f>
        <v/>
      </c>
      <c r="AS172" s="4" t="str">
        <f t="shared" si="69"/>
        <v/>
      </c>
      <c r="AT172" s="4" t="str">
        <f t="shared" si="70"/>
        <v/>
      </c>
      <c r="AU172" s="4" t="str">
        <f>IF(AL172&lt;&gt;"",ROUND(AL172/SI!$C$9,2),"")</f>
        <v/>
      </c>
      <c r="AV172" s="4" t="str">
        <f>IF(AM172&lt;&gt;"",ROUND(AM172/SI!$C$9,2),"")</f>
        <v/>
      </c>
      <c r="AW172" s="4" t="str">
        <f>IF(AN172&lt;&gt;"",ROUND(AN172/SI!$C$9,2),"")</f>
        <v/>
      </c>
      <c r="AX172" s="261" t="str">
        <f>IF(AO172&lt;&gt;"",ROUND(AO172/SI!$C$9,2),"")</f>
        <v/>
      </c>
      <c r="AY172" s="28" t="str">
        <f t="shared" si="71"/>
        <v/>
      </c>
      <c r="AZ172" s="4" t="str">
        <f>IF(AY172&lt;&gt;"",ROUND(AY172/(SI!$C$9*SI!$C$10),2),"")</f>
        <v/>
      </c>
      <c r="BA172" s="4" t="str">
        <f t="shared" si="72"/>
        <v/>
      </c>
      <c r="BB172" s="4" t="str">
        <f t="shared" si="73"/>
        <v/>
      </c>
      <c r="BC172" s="4" t="str">
        <f t="shared" si="74"/>
        <v/>
      </c>
      <c r="BD172" s="4" t="str">
        <f t="shared" si="75"/>
        <v/>
      </c>
      <c r="BE172" s="4" t="str">
        <f>IF(AND(X172&lt;&gt;""),ROUND(X172/SI!$C$10,2),"")</f>
        <v/>
      </c>
      <c r="BF172" s="4" t="str">
        <f t="shared" si="77"/>
        <v/>
      </c>
      <c r="BG172" s="264" t="str">
        <f t="shared" si="76"/>
        <v/>
      </c>
      <c r="BH172" s="71" t="str">
        <f>IF(F172&lt;&gt;"",VLOOKUP(F172,DUTY_2025!A:O,15,FALSE),"")</f>
        <v/>
      </c>
    </row>
    <row r="173" spans="1:60" x14ac:dyDescent="0.25">
      <c r="A173" s="133">
        <f t="shared" si="52"/>
        <v>66</v>
      </c>
      <c r="B173" s="83" t="str">
        <f t="shared" si="53"/>
        <v/>
      </c>
      <c r="C173" s="126"/>
      <c r="D173" s="128"/>
      <c r="E173" s="91"/>
      <c r="F173" s="85"/>
      <c r="G173" s="27" t="str">
        <f>IF(F173&lt;&gt;"",IFERROR(VLOOKUP(F173,DUTY_2025!A:I,6,FALSE),""),"")</f>
        <v/>
      </c>
      <c r="H173" s="85" t="s">
        <v>133</v>
      </c>
      <c r="I173" s="27"/>
      <c r="J173" s="99"/>
      <c r="K173" s="99"/>
      <c r="L173" s="91"/>
      <c r="M173" s="27"/>
      <c r="N173" s="84"/>
      <c r="O173" s="22"/>
      <c r="P173" s="116"/>
      <c r="Q173" s="23"/>
      <c r="R173" s="27"/>
      <c r="S173" s="86" t="str">
        <f t="shared" si="54"/>
        <v/>
      </c>
      <c r="T173" s="87" t="str">
        <f t="shared" si="55"/>
        <v/>
      </c>
      <c r="U173" s="87" t="str" cm="1">
        <f t="array" ref="U173">IF(AND(H173&lt;&gt;"YES",P173&lt;&gt;"",R173&lt;&gt;"",Q173&lt;&gt;""),
_xlfn.SWITCH(Q173,
"INR",_xlfn.SWITCH(R173,"KG",P173*S173,"CTN",P173,"UNIT",P173*N173,"NET",P173/M173,0),
"USD",_xlfn.SWITCH(R173,"KG",P173*S173*SI!$C$10,"CTN",P173*SI!$C$10,"UNIT",P173*N173*SI!$C$10,"NET",P173*SI!$C$10/M173,0),
"LKR",_xlfn.SWITCH(R173,"KG",P173*S173/SI!$C$9,"CTN",P173/SI!$C$9,"UNIT",P173*N173/SI!$C$9,"NET",P173/(M173*SI!$C$9),0),
0),
"")</f>
        <v/>
      </c>
      <c r="V173" s="87" t="str">
        <f t="shared" si="56"/>
        <v/>
      </c>
      <c r="W173" s="87" t="str">
        <f t="shared" si="57"/>
        <v/>
      </c>
      <c r="X173" s="88" t="str">
        <f t="shared" si="58"/>
        <v/>
      </c>
      <c r="Y173" s="24" t="str">
        <f t="shared" si="59"/>
        <v/>
      </c>
      <c r="Z173" s="267" t="str">
        <f>IF(AND(H173&lt;&gt;"yes",F173&lt;&gt;""),IFERROR(VLOOKUP(F173,DUTY_2025!A:F,5,FALSE),""),"")</f>
        <v/>
      </c>
      <c r="AA173" s="271" t="str">
        <f t="shared" si="60"/>
        <v/>
      </c>
      <c r="AB173" s="16" t="str">
        <f t="shared" si="61"/>
        <v/>
      </c>
      <c r="AC173" s="16" t="str">
        <f>IF(AA173&lt;&gt;"",ROUND(AA173*SI!$C$9,0),"")</f>
        <v/>
      </c>
      <c r="AD173" s="4" t="str">
        <f>IF(AC173&lt;&gt;"",ROUND(AC173/(SI!$C$9*SI!$C$10),2),"")</f>
        <v/>
      </c>
      <c r="AE173" s="30" t="str">
        <f>IF(AND(X173&lt;&gt;""), ROUND((SI!$E$23)*(X173/SUM($X$5:$X$493)),0),"")</f>
        <v/>
      </c>
      <c r="AF173" s="272" t="str">
        <f t="shared" si="62"/>
        <v/>
      </c>
      <c r="AG173" s="28" t="str">
        <f t="shared" si="63"/>
        <v/>
      </c>
      <c r="AH173" s="4" t="str">
        <f>IF(AD173&lt;&gt;"",ROUND(AD173*10*SI!$C$9/2,0),"")</f>
        <v/>
      </c>
      <c r="AI173" s="29" t="str">
        <f>IF(AND(X173&lt;&gt;""), ROUND((SI!$E$28)*(X173/SUM($X$5:$X$493)),0),"")</f>
        <v/>
      </c>
      <c r="AJ173" s="4" t="str">
        <f t="shared" si="64"/>
        <v/>
      </c>
      <c r="AK173" s="4" t="str">
        <f t="shared" si="65"/>
        <v/>
      </c>
      <c r="AL173" s="4" t="str">
        <f t="shared" si="66"/>
        <v/>
      </c>
      <c r="AM173" s="4" t="str">
        <f t="shared" si="67"/>
        <v/>
      </c>
      <c r="AN173" s="195" t="str">
        <f t="shared" si="68"/>
        <v/>
      </c>
      <c r="AO173" s="261" t="str">
        <f>IF(AND(AM173&lt;&gt;"",P173&lt;&gt;""),ROUND((AM173*((100+SI!$C$11)/100)),0),"")</f>
        <v/>
      </c>
      <c r="AP173" s="28" t="str">
        <f>IF(AG173&lt;&gt;"",ROUND(AG173/SI!$C$9,2),"")</f>
        <v/>
      </c>
      <c r="AQ173" s="4" t="str">
        <f>IF(AH173&lt;&gt;"",ROUND(AH173/SI!$C$9,2),"")</f>
        <v/>
      </c>
      <c r="AR173" s="29" t="str">
        <f>IF(AI173&lt;&gt;"",ROUND(AI173/SI!$C$9,2),"")</f>
        <v/>
      </c>
      <c r="AS173" s="4" t="str">
        <f t="shared" si="69"/>
        <v/>
      </c>
      <c r="AT173" s="4" t="str">
        <f t="shared" si="70"/>
        <v/>
      </c>
      <c r="AU173" s="4" t="str">
        <f>IF(AL173&lt;&gt;"",ROUND(AL173/SI!$C$9,2),"")</f>
        <v/>
      </c>
      <c r="AV173" s="4" t="str">
        <f>IF(AM173&lt;&gt;"",ROUND(AM173/SI!$C$9,2),"")</f>
        <v/>
      </c>
      <c r="AW173" s="4" t="str">
        <f>IF(AN173&lt;&gt;"",ROUND(AN173/SI!$C$9,2),"")</f>
        <v/>
      </c>
      <c r="AX173" s="261" t="str">
        <f>IF(AO173&lt;&gt;"",ROUND(AO173/SI!$C$9,2),"")</f>
        <v/>
      </c>
      <c r="AY173" s="28" t="str">
        <f t="shared" si="71"/>
        <v/>
      </c>
      <c r="AZ173" s="4" t="str">
        <f>IF(AY173&lt;&gt;"",ROUND(AY173/(SI!$C$9*SI!$C$10),2),"")</f>
        <v/>
      </c>
      <c r="BA173" s="4" t="str">
        <f t="shared" si="72"/>
        <v/>
      </c>
      <c r="BB173" s="4" t="str">
        <f t="shared" si="73"/>
        <v/>
      </c>
      <c r="BC173" s="4" t="str">
        <f t="shared" si="74"/>
        <v/>
      </c>
      <c r="BD173" s="4" t="str">
        <f t="shared" si="75"/>
        <v/>
      </c>
      <c r="BE173" s="4" t="str">
        <f>IF(AND(X173&lt;&gt;""),ROUND(X173/SI!$C$10,2),"")</f>
        <v/>
      </c>
      <c r="BF173" s="4" t="str">
        <f t="shared" si="77"/>
        <v/>
      </c>
      <c r="BG173" s="264" t="str">
        <f t="shared" si="76"/>
        <v/>
      </c>
      <c r="BH173" s="71" t="str">
        <f>IF(F173&lt;&gt;"",VLOOKUP(F173,DUTY_2025!A:O,15,FALSE),"")</f>
        <v/>
      </c>
    </row>
    <row r="174" spans="1:60" x14ac:dyDescent="0.25">
      <c r="A174" s="133">
        <f t="shared" si="52"/>
        <v>66</v>
      </c>
      <c r="B174" s="83" t="str">
        <f t="shared" si="53"/>
        <v/>
      </c>
      <c r="C174" s="126"/>
      <c r="D174" s="128"/>
      <c r="E174" s="91"/>
      <c r="F174" s="85"/>
      <c r="G174" s="27" t="str">
        <f>IF(F174&lt;&gt;"",IFERROR(VLOOKUP(F174,DUTY_2025!A:I,6,FALSE),""),"")</f>
        <v/>
      </c>
      <c r="H174" s="85" t="s">
        <v>133</v>
      </c>
      <c r="I174" s="27"/>
      <c r="J174" s="99"/>
      <c r="K174" s="99"/>
      <c r="L174" s="84"/>
      <c r="M174" s="27"/>
      <c r="N174" s="84"/>
      <c r="O174" s="22"/>
      <c r="P174" s="116"/>
      <c r="Q174" s="23"/>
      <c r="R174" s="27"/>
      <c r="S174" s="86" t="str">
        <f t="shared" si="54"/>
        <v/>
      </c>
      <c r="T174" s="87" t="str">
        <f t="shared" si="55"/>
        <v/>
      </c>
      <c r="U174" s="87" t="str" cm="1">
        <f t="array" ref="U174">IF(AND(H174&lt;&gt;"YES",P174&lt;&gt;"",R174&lt;&gt;"",Q174&lt;&gt;""),
_xlfn.SWITCH(Q174,
"INR",_xlfn.SWITCH(R174,"KG",P174*S174,"CTN",P174,"UNIT",P174*N174,"NET",P174/M174,0),
"USD",_xlfn.SWITCH(R174,"KG",P174*S174*SI!$C$10,"CTN",P174*SI!$C$10,"UNIT",P174*N174*SI!$C$10,"NET",P174*SI!$C$10/M174,0),
"LKR",_xlfn.SWITCH(R174,"KG",P174*S174/SI!$C$9,"CTN",P174/SI!$C$9,"UNIT",P174*N174/SI!$C$9,"NET",P174/(M174*SI!$C$9),0),
0),
"")</f>
        <v/>
      </c>
      <c r="V174" s="87" t="str">
        <f t="shared" si="56"/>
        <v/>
      </c>
      <c r="W174" s="87" t="str">
        <f t="shared" si="57"/>
        <v/>
      </c>
      <c r="X174" s="88" t="str">
        <f t="shared" si="58"/>
        <v/>
      </c>
      <c r="Y174" s="24" t="str">
        <f t="shared" si="59"/>
        <v/>
      </c>
      <c r="Z174" s="267" t="str">
        <f>IF(AND(H174&lt;&gt;"yes",F174&lt;&gt;""),IFERROR(VLOOKUP(F174,DUTY_2025!A:F,5,FALSE),""),"")</f>
        <v/>
      </c>
      <c r="AA174" s="271" t="str">
        <f t="shared" si="60"/>
        <v/>
      </c>
      <c r="AB174" s="16" t="str">
        <f t="shared" si="61"/>
        <v/>
      </c>
      <c r="AC174" s="16" t="str">
        <f>IF(AA174&lt;&gt;"",ROUND(AA174*SI!$C$9,0),"")</f>
        <v/>
      </c>
      <c r="AD174" s="4" t="str">
        <f>IF(AC174&lt;&gt;"",ROUND(AC174/(SI!$C$9*SI!$C$10),2),"")</f>
        <v/>
      </c>
      <c r="AE174" s="30" t="str">
        <f>IF(AND(X174&lt;&gt;""), ROUND((SI!$E$23)*(X174/SUM($X$5:$X$493)),0),"")</f>
        <v/>
      </c>
      <c r="AF174" s="272" t="str">
        <f t="shared" si="62"/>
        <v/>
      </c>
      <c r="AG174" s="28" t="str">
        <f t="shared" si="63"/>
        <v/>
      </c>
      <c r="AH174" s="4" t="str">
        <f>IF(AD174&lt;&gt;"",ROUND(AD174*10*SI!$C$9/2,0),"")</f>
        <v/>
      </c>
      <c r="AI174" s="29" t="str">
        <f>IF(AND(X174&lt;&gt;""), ROUND((SI!$E$28)*(X174/SUM($X$5:$X$493)),0),"")</f>
        <v/>
      </c>
      <c r="AJ174" s="4" t="str">
        <f t="shared" si="64"/>
        <v/>
      </c>
      <c r="AK174" s="4" t="str">
        <f t="shared" si="65"/>
        <v/>
      </c>
      <c r="AL174" s="4" t="str">
        <f t="shared" si="66"/>
        <v/>
      </c>
      <c r="AM174" s="4" t="str">
        <f t="shared" si="67"/>
        <v/>
      </c>
      <c r="AN174" s="195" t="str">
        <f t="shared" si="68"/>
        <v/>
      </c>
      <c r="AO174" s="261" t="str">
        <f>IF(AND(AM174&lt;&gt;"",P174&lt;&gt;""),ROUND((AM174*((100+SI!$C$11)/100)),0),"")</f>
        <v/>
      </c>
      <c r="AP174" s="28" t="str">
        <f>IF(AG174&lt;&gt;"",ROUND(AG174/SI!$C$9,2),"")</f>
        <v/>
      </c>
      <c r="AQ174" s="4" t="str">
        <f>IF(AH174&lt;&gt;"",ROUND(AH174/SI!$C$9,2),"")</f>
        <v/>
      </c>
      <c r="AR174" s="29" t="str">
        <f>IF(AI174&lt;&gt;"",ROUND(AI174/SI!$C$9,2),"")</f>
        <v/>
      </c>
      <c r="AS174" s="4" t="str">
        <f t="shared" si="69"/>
        <v/>
      </c>
      <c r="AT174" s="4" t="str">
        <f t="shared" si="70"/>
        <v/>
      </c>
      <c r="AU174" s="4" t="str">
        <f>IF(AL174&lt;&gt;"",ROUND(AL174/SI!$C$9,2),"")</f>
        <v/>
      </c>
      <c r="AV174" s="4" t="str">
        <f>IF(AM174&lt;&gt;"",ROUND(AM174/SI!$C$9,2),"")</f>
        <v/>
      </c>
      <c r="AW174" s="4" t="str">
        <f>IF(AN174&lt;&gt;"",ROUND(AN174/SI!$C$9,2),"")</f>
        <v/>
      </c>
      <c r="AX174" s="261" t="str">
        <f>IF(AO174&lt;&gt;"",ROUND(AO174/SI!$C$9,2),"")</f>
        <v/>
      </c>
      <c r="AY174" s="28" t="str">
        <f t="shared" si="71"/>
        <v/>
      </c>
      <c r="AZ174" s="4" t="str">
        <f>IF(AY174&lt;&gt;"",ROUND(AY174/(SI!$C$9*SI!$C$10),2),"")</f>
        <v/>
      </c>
      <c r="BA174" s="4" t="str">
        <f t="shared" si="72"/>
        <v/>
      </c>
      <c r="BB174" s="4" t="str">
        <f t="shared" si="73"/>
        <v/>
      </c>
      <c r="BC174" s="4" t="str">
        <f t="shared" si="74"/>
        <v/>
      </c>
      <c r="BD174" s="4" t="str">
        <f t="shared" si="75"/>
        <v/>
      </c>
      <c r="BE174" s="4" t="str">
        <f>IF(AND(X174&lt;&gt;""),ROUND(X174/SI!$C$10,2),"")</f>
        <v/>
      </c>
      <c r="BF174" s="4" t="str">
        <f t="shared" si="77"/>
        <v/>
      </c>
      <c r="BG174" s="264" t="str">
        <f t="shared" si="76"/>
        <v/>
      </c>
      <c r="BH174" s="71" t="str">
        <f>IF(F174&lt;&gt;"",VLOOKUP(F174,DUTY_2025!A:O,15,FALSE),"")</f>
        <v/>
      </c>
    </row>
    <row r="175" spans="1:60" x14ac:dyDescent="0.25">
      <c r="A175" s="133">
        <f t="shared" si="52"/>
        <v>66</v>
      </c>
      <c r="B175" s="83" t="str">
        <f t="shared" si="53"/>
        <v/>
      </c>
      <c r="C175" s="126"/>
      <c r="D175" s="128"/>
      <c r="E175" s="91"/>
      <c r="F175" s="85"/>
      <c r="G175" s="27" t="str">
        <f>IF(F175&lt;&gt;"",IFERROR(VLOOKUP(F175,DUTY_2025!A:I,6,FALSE),""),"")</f>
        <v/>
      </c>
      <c r="H175" s="85" t="s">
        <v>133</v>
      </c>
      <c r="I175" s="27"/>
      <c r="J175" s="99"/>
      <c r="K175" s="99"/>
      <c r="L175" s="91"/>
      <c r="M175" s="27"/>
      <c r="N175" s="84"/>
      <c r="O175" s="22"/>
      <c r="P175" s="116"/>
      <c r="Q175" s="23"/>
      <c r="R175" s="27"/>
      <c r="S175" s="86" t="str">
        <f t="shared" si="54"/>
        <v/>
      </c>
      <c r="T175" s="87" t="str">
        <f t="shared" si="55"/>
        <v/>
      </c>
      <c r="U175" s="87" t="str" cm="1">
        <f t="array" ref="U175">IF(AND(H175&lt;&gt;"YES",P175&lt;&gt;"",R175&lt;&gt;"",Q175&lt;&gt;""),
_xlfn.SWITCH(Q175,
"INR",_xlfn.SWITCH(R175,"KG",P175*S175,"CTN",P175,"UNIT",P175*N175,"NET",P175/M175,0),
"USD",_xlfn.SWITCH(R175,"KG",P175*S175*SI!$C$10,"CTN",P175*SI!$C$10,"UNIT",P175*N175*SI!$C$10,"NET",P175*SI!$C$10/M175,0),
"LKR",_xlfn.SWITCH(R175,"KG",P175*S175/SI!$C$9,"CTN",P175/SI!$C$9,"UNIT",P175*N175/SI!$C$9,"NET",P175/(M175*SI!$C$9),0),
0),
"")</f>
        <v/>
      </c>
      <c r="V175" s="87" t="str">
        <f t="shared" si="56"/>
        <v/>
      </c>
      <c r="W175" s="87" t="str">
        <f t="shared" si="57"/>
        <v/>
      </c>
      <c r="X175" s="88" t="str">
        <f t="shared" si="58"/>
        <v/>
      </c>
      <c r="Y175" s="24" t="str">
        <f t="shared" si="59"/>
        <v/>
      </c>
      <c r="Z175" s="267" t="str">
        <f>IF(AND(H175&lt;&gt;"yes",F175&lt;&gt;""),IFERROR(VLOOKUP(F175,DUTY_2025!A:F,5,FALSE),""),"")</f>
        <v/>
      </c>
      <c r="AA175" s="271" t="str">
        <f t="shared" si="60"/>
        <v/>
      </c>
      <c r="AB175" s="16" t="str">
        <f t="shared" si="61"/>
        <v/>
      </c>
      <c r="AC175" s="16" t="str">
        <f>IF(AA175&lt;&gt;"",ROUND(AA175*SI!$C$9,0),"")</f>
        <v/>
      </c>
      <c r="AD175" s="4" t="str">
        <f>IF(AC175&lt;&gt;"",ROUND(AC175/(SI!$C$9*SI!$C$10),2),"")</f>
        <v/>
      </c>
      <c r="AE175" s="30" t="str">
        <f>IF(AND(X175&lt;&gt;""), ROUND((SI!$E$23)*(X175/SUM($X$5:$X$493)),0),"")</f>
        <v/>
      </c>
      <c r="AF175" s="272" t="str">
        <f t="shared" si="62"/>
        <v/>
      </c>
      <c r="AG175" s="28" t="str">
        <f t="shared" si="63"/>
        <v/>
      </c>
      <c r="AH175" s="4" t="str">
        <f>IF(AD175&lt;&gt;"",ROUND(AD175*10*SI!$C$9/2,0),"")</f>
        <v/>
      </c>
      <c r="AI175" s="29" t="str">
        <f>IF(AND(X175&lt;&gt;""), ROUND((SI!$E$28)*(X175/SUM($X$5:$X$493)),0),"")</f>
        <v/>
      </c>
      <c r="AJ175" s="4" t="str">
        <f t="shared" si="64"/>
        <v/>
      </c>
      <c r="AK175" s="4" t="str">
        <f t="shared" si="65"/>
        <v/>
      </c>
      <c r="AL175" s="4" t="str">
        <f t="shared" si="66"/>
        <v/>
      </c>
      <c r="AM175" s="4" t="str">
        <f t="shared" si="67"/>
        <v/>
      </c>
      <c r="AN175" s="195" t="str">
        <f t="shared" si="68"/>
        <v/>
      </c>
      <c r="AO175" s="261" t="str">
        <f>IF(AND(AM175&lt;&gt;"",P175&lt;&gt;""),ROUND((AM175*((100+SI!$C$11)/100)),0),"")</f>
        <v/>
      </c>
      <c r="AP175" s="28" t="str">
        <f>IF(AG175&lt;&gt;"",ROUND(AG175/SI!$C$9,2),"")</f>
        <v/>
      </c>
      <c r="AQ175" s="4" t="str">
        <f>IF(AH175&lt;&gt;"",ROUND(AH175/SI!$C$9,2),"")</f>
        <v/>
      </c>
      <c r="AR175" s="29" t="str">
        <f>IF(AI175&lt;&gt;"",ROUND(AI175/SI!$C$9,2),"")</f>
        <v/>
      </c>
      <c r="AS175" s="4" t="str">
        <f t="shared" si="69"/>
        <v/>
      </c>
      <c r="AT175" s="4" t="str">
        <f t="shared" si="70"/>
        <v/>
      </c>
      <c r="AU175" s="4" t="str">
        <f>IF(AL175&lt;&gt;"",ROUND(AL175/SI!$C$9,2),"")</f>
        <v/>
      </c>
      <c r="AV175" s="4" t="str">
        <f>IF(AM175&lt;&gt;"",ROUND(AM175/SI!$C$9,2),"")</f>
        <v/>
      </c>
      <c r="AW175" s="4" t="str">
        <f>IF(AN175&lt;&gt;"",ROUND(AN175/SI!$C$9,2),"")</f>
        <v/>
      </c>
      <c r="AX175" s="261" t="str">
        <f>IF(AO175&lt;&gt;"",ROUND(AO175/SI!$C$9,2),"")</f>
        <v/>
      </c>
      <c r="AY175" s="28" t="str">
        <f t="shared" si="71"/>
        <v/>
      </c>
      <c r="AZ175" s="4" t="str">
        <f>IF(AY175&lt;&gt;"",ROUND(AY175/(SI!$C$9*SI!$C$10),2),"")</f>
        <v/>
      </c>
      <c r="BA175" s="4" t="str">
        <f t="shared" si="72"/>
        <v/>
      </c>
      <c r="BB175" s="4" t="str">
        <f t="shared" si="73"/>
        <v/>
      </c>
      <c r="BC175" s="4" t="str">
        <f t="shared" si="74"/>
        <v/>
      </c>
      <c r="BD175" s="4" t="str">
        <f t="shared" si="75"/>
        <v/>
      </c>
      <c r="BE175" s="4" t="str">
        <f>IF(AND(X175&lt;&gt;""),ROUND(X175/SI!$C$10,2),"")</f>
        <v/>
      </c>
      <c r="BF175" s="4" t="str">
        <f t="shared" si="77"/>
        <v/>
      </c>
      <c r="BG175" s="264" t="str">
        <f t="shared" si="76"/>
        <v/>
      </c>
      <c r="BH175" s="71" t="str">
        <f>IF(F175&lt;&gt;"",VLOOKUP(F175,DUTY_2025!A:O,15,FALSE),"")</f>
        <v/>
      </c>
    </row>
    <row r="176" spans="1:60" x14ac:dyDescent="0.25">
      <c r="A176" s="133">
        <f t="shared" si="52"/>
        <v>66</v>
      </c>
      <c r="B176" s="83" t="str">
        <f t="shared" si="53"/>
        <v/>
      </c>
      <c r="C176" s="126"/>
      <c r="D176" s="129"/>
      <c r="E176" s="91"/>
      <c r="F176" s="85"/>
      <c r="G176" s="27" t="str">
        <f>IF(F176&lt;&gt;"",IFERROR(VLOOKUP(F176,DUTY_2025!A:I,6,FALSE),""),"")</f>
        <v/>
      </c>
      <c r="H176" s="85" t="s">
        <v>133</v>
      </c>
      <c r="I176" s="27"/>
      <c r="J176" s="100"/>
      <c r="K176" s="100"/>
      <c r="L176" s="91"/>
      <c r="M176" s="27"/>
      <c r="N176" s="84"/>
      <c r="O176" s="22"/>
      <c r="P176" s="116"/>
      <c r="Q176" s="23"/>
      <c r="R176" s="27"/>
      <c r="S176" s="86" t="str">
        <f t="shared" si="54"/>
        <v/>
      </c>
      <c r="T176" s="87" t="str">
        <f t="shared" si="55"/>
        <v/>
      </c>
      <c r="U176" s="87" t="str" cm="1">
        <f t="array" ref="U176">IF(AND(H176&lt;&gt;"YES",P176&lt;&gt;"",R176&lt;&gt;"",Q176&lt;&gt;""),
_xlfn.SWITCH(Q176,
"INR",_xlfn.SWITCH(R176,"KG",P176*S176,"CTN",P176,"UNIT",P176*N176,"NET",P176/M176,0),
"USD",_xlfn.SWITCH(R176,"KG",P176*S176*SI!$C$10,"CTN",P176*SI!$C$10,"UNIT",P176*N176*SI!$C$10,"NET",P176*SI!$C$10/M176,0),
"LKR",_xlfn.SWITCH(R176,"KG",P176*S176/SI!$C$9,"CTN",P176/SI!$C$9,"UNIT",P176*N176/SI!$C$9,"NET",P176/(M176*SI!$C$9),0),
0),
"")</f>
        <v/>
      </c>
      <c r="V176" s="87" t="str">
        <f t="shared" si="56"/>
        <v/>
      </c>
      <c r="W176" s="87" t="str">
        <f t="shared" si="57"/>
        <v/>
      </c>
      <c r="X176" s="88" t="str">
        <f t="shared" si="58"/>
        <v/>
      </c>
      <c r="Y176" s="24" t="str">
        <f t="shared" si="59"/>
        <v/>
      </c>
      <c r="Z176" s="267" t="str">
        <f>IF(AND(H176&lt;&gt;"yes",F176&lt;&gt;""),IFERROR(VLOOKUP(F176,DUTY_2025!A:F,5,FALSE),""),"")</f>
        <v/>
      </c>
      <c r="AA176" s="271" t="str">
        <f t="shared" si="60"/>
        <v/>
      </c>
      <c r="AB176" s="16" t="str">
        <f t="shared" si="61"/>
        <v/>
      </c>
      <c r="AC176" s="16" t="str">
        <f>IF(AA176&lt;&gt;"",ROUND(AA176*SI!$C$9,0),"")</f>
        <v/>
      </c>
      <c r="AD176" s="4" t="str">
        <f>IF(AC176&lt;&gt;"",ROUND(AC176/(SI!$C$9*SI!$C$10),2),"")</f>
        <v/>
      </c>
      <c r="AE176" s="30" t="str">
        <f>IF(AND(X176&lt;&gt;""), ROUND((SI!$E$23)*(X176/SUM($X$5:$X$493)),0),"")</f>
        <v/>
      </c>
      <c r="AF176" s="272" t="str">
        <f t="shared" si="62"/>
        <v/>
      </c>
      <c r="AG176" s="28" t="str">
        <f t="shared" si="63"/>
        <v/>
      </c>
      <c r="AH176" s="4" t="str">
        <f>IF(AD176&lt;&gt;"",ROUND(AD176*10*SI!$C$9/2,0),"")</f>
        <v/>
      </c>
      <c r="AI176" s="29" t="str">
        <f>IF(AND(X176&lt;&gt;""), ROUND((SI!$E$28)*(X176/SUM($X$5:$X$493)),0),"")</f>
        <v/>
      </c>
      <c r="AJ176" s="4" t="str">
        <f t="shared" si="64"/>
        <v/>
      </c>
      <c r="AK176" s="4" t="str">
        <f t="shared" si="65"/>
        <v/>
      </c>
      <c r="AL176" s="4" t="str">
        <f t="shared" si="66"/>
        <v/>
      </c>
      <c r="AM176" s="4" t="str">
        <f t="shared" si="67"/>
        <v/>
      </c>
      <c r="AN176" s="195" t="str">
        <f t="shared" si="68"/>
        <v/>
      </c>
      <c r="AO176" s="261" t="str">
        <f>IF(AND(AM176&lt;&gt;"",P176&lt;&gt;""),ROUND((AM176*((100+SI!$C$11)/100)),0),"")</f>
        <v/>
      </c>
      <c r="AP176" s="28" t="str">
        <f>IF(AG176&lt;&gt;"",ROUND(AG176/SI!$C$9,2),"")</f>
        <v/>
      </c>
      <c r="AQ176" s="4" t="str">
        <f>IF(AH176&lt;&gt;"",ROUND(AH176/SI!$C$9,2),"")</f>
        <v/>
      </c>
      <c r="AR176" s="29" t="str">
        <f>IF(AI176&lt;&gt;"",ROUND(AI176/SI!$C$9,2),"")</f>
        <v/>
      </c>
      <c r="AS176" s="4" t="str">
        <f t="shared" si="69"/>
        <v/>
      </c>
      <c r="AT176" s="4" t="str">
        <f t="shared" si="70"/>
        <v/>
      </c>
      <c r="AU176" s="4" t="str">
        <f>IF(AL176&lt;&gt;"",ROUND(AL176/SI!$C$9,2),"")</f>
        <v/>
      </c>
      <c r="AV176" s="4" t="str">
        <f>IF(AM176&lt;&gt;"",ROUND(AM176/SI!$C$9,2),"")</f>
        <v/>
      </c>
      <c r="AW176" s="4" t="str">
        <f>IF(AN176&lt;&gt;"",ROUND(AN176/SI!$C$9,2),"")</f>
        <v/>
      </c>
      <c r="AX176" s="261" t="str">
        <f>IF(AO176&lt;&gt;"",ROUND(AO176/SI!$C$9,2),"")</f>
        <v/>
      </c>
      <c r="AY176" s="28" t="str">
        <f t="shared" si="71"/>
        <v/>
      </c>
      <c r="AZ176" s="4" t="str">
        <f>IF(AY176&lt;&gt;"",ROUND(AY176/(SI!$C$9*SI!$C$10),2),"")</f>
        <v/>
      </c>
      <c r="BA176" s="4" t="str">
        <f t="shared" si="72"/>
        <v/>
      </c>
      <c r="BB176" s="4" t="str">
        <f t="shared" si="73"/>
        <v/>
      </c>
      <c r="BC176" s="4" t="str">
        <f t="shared" si="74"/>
        <v/>
      </c>
      <c r="BD176" s="4" t="str">
        <f t="shared" si="75"/>
        <v/>
      </c>
      <c r="BE176" s="4" t="str">
        <f>IF(AND(X176&lt;&gt;""),ROUND(X176/SI!$C$10,2),"")</f>
        <v/>
      </c>
      <c r="BF176" s="4" t="str">
        <f t="shared" si="77"/>
        <v/>
      </c>
      <c r="BG176" s="264" t="str">
        <f t="shared" si="76"/>
        <v/>
      </c>
      <c r="BH176" s="71" t="str">
        <f>IF(F176&lt;&gt;"",VLOOKUP(F176,DUTY_2025!A:O,15,FALSE),"")</f>
        <v/>
      </c>
    </row>
    <row r="177" spans="1:60" x14ac:dyDescent="0.25">
      <c r="A177" s="133">
        <f t="shared" si="52"/>
        <v>66</v>
      </c>
      <c r="B177" s="83" t="str">
        <f t="shared" si="53"/>
        <v/>
      </c>
      <c r="C177" s="126"/>
      <c r="D177" s="128"/>
      <c r="E177" s="22"/>
      <c r="F177" s="85"/>
      <c r="G177" s="27" t="str">
        <f>IF(F177&lt;&gt;"",IFERROR(VLOOKUP(F177,DUTY_2025!A:I,6,FALSE),""),"")</f>
        <v/>
      </c>
      <c r="H177" s="85" t="s">
        <v>133</v>
      </c>
      <c r="I177" s="27"/>
      <c r="J177" s="99"/>
      <c r="K177" s="99"/>
      <c r="L177" s="91"/>
      <c r="M177" s="27"/>
      <c r="N177" s="84"/>
      <c r="O177" s="22"/>
      <c r="P177" s="116"/>
      <c r="Q177" s="23"/>
      <c r="R177" s="27"/>
      <c r="S177" s="86" t="str">
        <f t="shared" si="54"/>
        <v/>
      </c>
      <c r="T177" s="87" t="str">
        <f t="shared" si="55"/>
        <v/>
      </c>
      <c r="U177" s="87" t="str" cm="1">
        <f t="array" ref="U177">IF(AND(H177&lt;&gt;"YES",P177&lt;&gt;"",R177&lt;&gt;"",Q177&lt;&gt;""),
_xlfn.SWITCH(Q177,
"INR",_xlfn.SWITCH(R177,"KG",P177*S177,"CTN",P177,"UNIT",P177*N177,"NET",P177/M177,0),
"USD",_xlfn.SWITCH(R177,"KG",P177*S177*SI!$C$10,"CTN",P177*SI!$C$10,"UNIT",P177*N177*SI!$C$10,"NET",P177*SI!$C$10/M177,0),
"LKR",_xlfn.SWITCH(R177,"KG",P177*S177/SI!$C$9,"CTN",P177/SI!$C$9,"UNIT",P177*N177/SI!$C$9,"NET",P177/(M177*SI!$C$9),0),
0),
"")</f>
        <v/>
      </c>
      <c r="V177" s="87" t="str">
        <f t="shared" si="56"/>
        <v/>
      </c>
      <c r="W177" s="87" t="str">
        <f t="shared" si="57"/>
        <v/>
      </c>
      <c r="X177" s="88" t="str">
        <f t="shared" si="58"/>
        <v/>
      </c>
      <c r="Y177" s="24" t="str">
        <f t="shared" si="59"/>
        <v/>
      </c>
      <c r="Z177" s="267" t="str">
        <f>IF(AND(H177&lt;&gt;"yes",F177&lt;&gt;""),IFERROR(VLOOKUP(F177,DUTY_2025!A:F,5,FALSE),""),"")</f>
        <v/>
      </c>
      <c r="AA177" s="271" t="str">
        <f t="shared" si="60"/>
        <v/>
      </c>
      <c r="AB177" s="16" t="str">
        <f t="shared" si="61"/>
        <v/>
      </c>
      <c r="AC177" s="16" t="str">
        <f>IF(AA177&lt;&gt;"",ROUND(AA177*SI!$C$9,0),"")</f>
        <v/>
      </c>
      <c r="AD177" s="4" t="str">
        <f>IF(AC177&lt;&gt;"",ROUND(AC177/(SI!$C$9*SI!$C$10),2),"")</f>
        <v/>
      </c>
      <c r="AE177" s="30" t="str">
        <f>IF(AND(X177&lt;&gt;""), ROUND((SI!$E$23)*(X177/SUM($X$5:$X$493)),0),"")</f>
        <v/>
      </c>
      <c r="AF177" s="272" t="str">
        <f t="shared" si="62"/>
        <v/>
      </c>
      <c r="AG177" s="28" t="str">
        <f t="shared" si="63"/>
        <v/>
      </c>
      <c r="AH177" s="4" t="str">
        <f>IF(AD177&lt;&gt;"",ROUND(AD177*10*SI!$C$9/2,0),"")</f>
        <v/>
      </c>
      <c r="AI177" s="29" t="str">
        <f>IF(AND(X177&lt;&gt;""), ROUND((SI!$E$28)*(X177/SUM($X$5:$X$493)),0),"")</f>
        <v/>
      </c>
      <c r="AJ177" s="4" t="str">
        <f t="shared" si="64"/>
        <v/>
      </c>
      <c r="AK177" s="4" t="str">
        <f t="shared" si="65"/>
        <v/>
      </c>
      <c r="AL177" s="4" t="str">
        <f t="shared" si="66"/>
        <v/>
      </c>
      <c r="AM177" s="4" t="str">
        <f t="shared" si="67"/>
        <v/>
      </c>
      <c r="AN177" s="195" t="str">
        <f t="shared" si="68"/>
        <v/>
      </c>
      <c r="AO177" s="261" t="str">
        <f>IF(AND(AM177&lt;&gt;"",P177&lt;&gt;""),ROUND((AM177*((100+SI!$C$11)/100)),0),"")</f>
        <v/>
      </c>
      <c r="AP177" s="28" t="str">
        <f>IF(AG177&lt;&gt;"",ROUND(AG177/SI!$C$9,2),"")</f>
        <v/>
      </c>
      <c r="AQ177" s="4" t="str">
        <f>IF(AH177&lt;&gt;"",ROUND(AH177/SI!$C$9,2),"")</f>
        <v/>
      </c>
      <c r="AR177" s="29" t="str">
        <f>IF(AI177&lt;&gt;"",ROUND(AI177/SI!$C$9,2),"")</f>
        <v/>
      </c>
      <c r="AS177" s="4" t="str">
        <f t="shared" si="69"/>
        <v/>
      </c>
      <c r="AT177" s="4" t="str">
        <f t="shared" si="70"/>
        <v/>
      </c>
      <c r="AU177" s="4" t="str">
        <f>IF(AL177&lt;&gt;"",ROUND(AL177/SI!$C$9,2),"")</f>
        <v/>
      </c>
      <c r="AV177" s="4" t="str">
        <f>IF(AM177&lt;&gt;"",ROUND(AM177/SI!$C$9,2),"")</f>
        <v/>
      </c>
      <c r="AW177" s="4" t="str">
        <f>IF(AN177&lt;&gt;"",ROUND(AN177/SI!$C$9,2),"")</f>
        <v/>
      </c>
      <c r="AX177" s="261" t="str">
        <f>IF(AO177&lt;&gt;"",ROUND(AO177/SI!$C$9,2),"")</f>
        <v/>
      </c>
      <c r="AY177" s="28" t="str">
        <f t="shared" si="71"/>
        <v/>
      </c>
      <c r="AZ177" s="4" t="str">
        <f>IF(AY177&lt;&gt;"",ROUND(AY177/(SI!$C$9*SI!$C$10),2),"")</f>
        <v/>
      </c>
      <c r="BA177" s="4" t="str">
        <f t="shared" si="72"/>
        <v/>
      </c>
      <c r="BB177" s="4" t="str">
        <f t="shared" si="73"/>
        <v/>
      </c>
      <c r="BC177" s="4" t="str">
        <f t="shared" si="74"/>
        <v/>
      </c>
      <c r="BD177" s="4" t="str">
        <f t="shared" si="75"/>
        <v/>
      </c>
      <c r="BE177" s="4" t="str">
        <f>IF(AND(X177&lt;&gt;""),ROUND(X177/SI!$C$10,2),"")</f>
        <v/>
      </c>
      <c r="BF177" s="4" t="str">
        <f t="shared" si="77"/>
        <v/>
      </c>
      <c r="BG177" s="264" t="str">
        <f t="shared" si="76"/>
        <v/>
      </c>
      <c r="BH177" s="71" t="str">
        <f>IF(F177&lt;&gt;"",VLOOKUP(F177,DUTY_2025!A:O,15,FALSE),"")</f>
        <v/>
      </c>
    </row>
    <row r="178" spans="1:60" x14ac:dyDescent="0.25">
      <c r="A178" s="133">
        <f t="shared" si="52"/>
        <v>66</v>
      </c>
      <c r="B178" s="83" t="str">
        <f t="shared" si="53"/>
        <v/>
      </c>
      <c r="C178" s="126"/>
      <c r="D178" s="128"/>
      <c r="E178" s="22"/>
      <c r="F178" s="85"/>
      <c r="G178" s="27" t="str">
        <f>IF(F178&lt;&gt;"",IFERROR(VLOOKUP(F178,DUTY_2025!A:I,6,FALSE),""),"")</f>
        <v/>
      </c>
      <c r="H178" s="85" t="s">
        <v>133</v>
      </c>
      <c r="I178" s="27"/>
      <c r="J178" s="99"/>
      <c r="K178" s="99"/>
      <c r="L178" s="91"/>
      <c r="M178" s="27"/>
      <c r="N178" s="84"/>
      <c r="O178" s="22"/>
      <c r="P178" s="116"/>
      <c r="Q178" s="23"/>
      <c r="R178" s="27"/>
      <c r="S178" s="86" t="str">
        <f t="shared" si="54"/>
        <v/>
      </c>
      <c r="T178" s="87" t="str">
        <f t="shared" si="55"/>
        <v/>
      </c>
      <c r="U178" s="87" t="str" cm="1">
        <f t="array" ref="U178">IF(AND(H178&lt;&gt;"YES",P178&lt;&gt;"",R178&lt;&gt;"",Q178&lt;&gt;""),
_xlfn.SWITCH(Q178,
"INR",_xlfn.SWITCH(R178,"KG",P178*S178,"CTN",P178,"UNIT",P178*N178,"NET",P178/M178,0),
"USD",_xlfn.SWITCH(R178,"KG",P178*S178*SI!$C$10,"CTN",P178*SI!$C$10,"UNIT",P178*N178*SI!$C$10,"NET",P178*SI!$C$10/M178,0),
"LKR",_xlfn.SWITCH(R178,"KG",P178*S178/SI!$C$9,"CTN",P178/SI!$C$9,"UNIT",P178*N178/SI!$C$9,"NET",P178/(M178*SI!$C$9),0),
0),
"")</f>
        <v/>
      </c>
      <c r="V178" s="87" t="str">
        <f t="shared" si="56"/>
        <v/>
      </c>
      <c r="W178" s="87" t="str">
        <f t="shared" si="57"/>
        <v/>
      </c>
      <c r="X178" s="88" t="str">
        <f t="shared" si="58"/>
        <v/>
      </c>
      <c r="Y178" s="24" t="str">
        <f t="shared" si="59"/>
        <v/>
      </c>
      <c r="Z178" s="267" t="str">
        <f>IF(AND(H178&lt;&gt;"yes",F178&lt;&gt;""),IFERROR(VLOOKUP(F178,DUTY_2025!A:F,5,FALSE),""),"")</f>
        <v/>
      </c>
      <c r="AA178" s="271" t="str">
        <f t="shared" si="60"/>
        <v/>
      </c>
      <c r="AB178" s="16" t="str">
        <f t="shared" si="61"/>
        <v/>
      </c>
      <c r="AC178" s="16" t="str">
        <f>IF(AA178&lt;&gt;"",ROUND(AA178*SI!$C$9,0),"")</f>
        <v/>
      </c>
      <c r="AD178" s="4" t="str">
        <f>IF(AC178&lt;&gt;"",ROUND(AC178/(SI!$C$9*SI!$C$10),2),"")</f>
        <v/>
      </c>
      <c r="AE178" s="30" t="str">
        <f>IF(AND(X178&lt;&gt;""), ROUND((SI!$E$23)*(X178/SUM($X$5:$X$493)),0),"")</f>
        <v/>
      </c>
      <c r="AF178" s="272" t="str">
        <f t="shared" si="62"/>
        <v/>
      </c>
      <c r="AG178" s="28" t="str">
        <f t="shared" si="63"/>
        <v/>
      </c>
      <c r="AH178" s="4" t="str">
        <f>IF(AD178&lt;&gt;"",ROUND(AD178*10*SI!$C$9/2,0),"")</f>
        <v/>
      </c>
      <c r="AI178" s="29" t="str">
        <f>IF(AND(X178&lt;&gt;""), ROUND((SI!$E$28)*(X178/SUM($X$5:$X$493)),0),"")</f>
        <v/>
      </c>
      <c r="AJ178" s="4" t="str">
        <f t="shared" si="64"/>
        <v/>
      </c>
      <c r="AK178" s="4" t="str">
        <f t="shared" si="65"/>
        <v/>
      </c>
      <c r="AL178" s="4" t="str">
        <f t="shared" si="66"/>
        <v/>
      </c>
      <c r="AM178" s="4" t="str">
        <f t="shared" si="67"/>
        <v/>
      </c>
      <c r="AN178" s="195" t="str">
        <f t="shared" si="68"/>
        <v/>
      </c>
      <c r="AO178" s="261" t="str">
        <f>IF(AND(AM178&lt;&gt;"",P178&lt;&gt;""),ROUND((AM178*((100+SI!$C$11)/100)),0),"")</f>
        <v/>
      </c>
      <c r="AP178" s="28" t="str">
        <f>IF(AG178&lt;&gt;"",ROUND(AG178/SI!$C$9,2),"")</f>
        <v/>
      </c>
      <c r="AQ178" s="4" t="str">
        <f>IF(AH178&lt;&gt;"",ROUND(AH178/SI!$C$9,2),"")</f>
        <v/>
      </c>
      <c r="AR178" s="29" t="str">
        <f>IF(AI178&lt;&gt;"",ROUND(AI178/SI!$C$9,2),"")</f>
        <v/>
      </c>
      <c r="AS178" s="4" t="str">
        <f t="shared" si="69"/>
        <v/>
      </c>
      <c r="AT178" s="4" t="str">
        <f t="shared" si="70"/>
        <v/>
      </c>
      <c r="AU178" s="4" t="str">
        <f>IF(AL178&lt;&gt;"",ROUND(AL178/SI!$C$9,2),"")</f>
        <v/>
      </c>
      <c r="AV178" s="4" t="str">
        <f>IF(AM178&lt;&gt;"",ROUND(AM178/SI!$C$9,2),"")</f>
        <v/>
      </c>
      <c r="AW178" s="4" t="str">
        <f>IF(AN178&lt;&gt;"",ROUND(AN178/SI!$C$9,2),"")</f>
        <v/>
      </c>
      <c r="AX178" s="261" t="str">
        <f>IF(AO178&lt;&gt;"",ROUND(AO178/SI!$C$9,2),"")</f>
        <v/>
      </c>
      <c r="AY178" s="28" t="str">
        <f t="shared" si="71"/>
        <v/>
      </c>
      <c r="AZ178" s="4" t="str">
        <f>IF(AY178&lt;&gt;"",ROUND(AY178/(SI!$C$9*SI!$C$10),2),"")</f>
        <v/>
      </c>
      <c r="BA178" s="4" t="str">
        <f t="shared" si="72"/>
        <v/>
      </c>
      <c r="BB178" s="4" t="str">
        <f t="shared" si="73"/>
        <v/>
      </c>
      <c r="BC178" s="4" t="str">
        <f t="shared" si="74"/>
        <v/>
      </c>
      <c r="BD178" s="4" t="str">
        <f t="shared" si="75"/>
        <v/>
      </c>
      <c r="BE178" s="4" t="str">
        <f>IF(AND(X178&lt;&gt;""),ROUND(X178/SI!$C$10,2),"")</f>
        <v/>
      </c>
      <c r="BF178" s="4" t="str">
        <f t="shared" si="77"/>
        <v/>
      </c>
      <c r="BG178" s="264" t="str">
        <f t="shared" si="76"/>
        <v/>
      </c>
      <c r="BH178" s="71" t="str">
        <f>IF(F178&lt;&gt;"",VLOOKUP(F178,DUTY_2025!A:O,15,FALSE),"")</f>
        <v/>
      </c>
    </row>
    <row r="179" spans="1:60" x14ac:dyDescent="0.25">
      <c r="A179" s="133">
        <f t="shared" si="52"/>
        <v>66</v>
      </c>
      <c r="B179" s="83" t="str">
        <f t="shared" si="53"/>
        <v/>
      </c>
      <c r="C179" s="126"/>
      <c r="D179" s="130"/>
      <c r="E179" s="22"/>
      <c r="F179" s="85"/>
      <c r="G179" s="27" t="str">
        <f>IF(F179&lt;&gt;"",IFERROR(VLOOKUP(F179,DUTY_2025!A:I,6,FALSE),""),"")</f>
        <v/>
      </c>
      <c r="H179" s="85" t="s">
        <v>133</v>
      </c>
      <c r="I179" s="27"/>
      <c r="J179" s="98"/>
      <c r="K179" s="98"/>
      <c r="L179" s="22"/>
      <c r="M179" s="22"/>
      <c r="N179" s="84"/>
      <c r="O179" s="22"/>
      <c r="P179" s="116"/>
      <c r="Q179" s="23"/>
      <c r="R179" s="27"/>
      <c r="S179" s="86" t="str">
        <f t="shared" si="54"/>
        <v/>
      </c>
      <c r="T179" s="87" t="str">
        <f t="shared" si="55"/>
        <v/>
      </c>
      <c r="U179" s="87" t="str" cm="1">
        <f t="array" ref="U179">IF(AND(H179&lt;&gt;"YES",P179&lt;&gt;"",R179&lt;&gt;"",Q179&lt;&gt;""),
_xlfn.SWITCH(Q179,
"INR",_xlfn.SWITCH(R179,"KG",P179*S179,"CTN",P179,"UNIT",P179*N179,"NET",P179/M179,0),
"USD",_xlfn.SWITCH(R179,"KG",P179*S179*SI!$C$10,"CTN",P179*SI!$C$10,"UNIT",P179*N179*SI!$C$10,"NET",P179*SI!$C$10/M179,0),
"LKR",_xlfn.SWITCH(R179,"KG",P179*S179/SI!$C$9,"CTN",P179/SI!$C$9,"UNIT",P179*N179/SI!$C$9,"NET",P179/(M179*SI!$C$9),0),
0),
"")</f>
        <v/>
      </c>
      <c r="V179" s="87" t="str">
        <f t="shared" si="56"/>
        <v/>
      </c>
      <c r="W179" s="87" t="str">
        <f t="shared" si="57"/>
        <v/>
      </c>
      <c r="X179" s="88" t="str">
        <f t="shared" si="58"/>
        <v/>
      </c>
      <c r="Y179" s="24" t="str">
        <f t="shared" si="59"/>
        <v/>
      </c>
      <c r="Z179" s="267" t="str">
        <f>IF(AND(H179&lt;&gt;"yes",F179&lt;&gt;""),IFERROR(VLOOKUP(F179,DUTY_2025!A:F,5,FALSE),""),"")</f>
        <v/>
      </c>
      <c r="AA179" s="271" t="str">
        <f t="shared" si="60"/>
        <v/>
      </c>
      <c r="AB179" s="16" t="str">
        <f t="shared" si="61"/>
        <v/>
      </c>
      <c r="AC179" s="16" t="str">
        <f>IF(AA179&lt;&gt;"",ROUND(AA179*SI!$C$9,0),"")</f>
        <v/>
      </c>
      <c r="AD179" s="4" t="str">
        <f>IF(AC179&lt;&gt;"",ROUND(AC179/(SI!$C$9*SI!$C$10),2),"")</f>
        <v/>
      </c>
      <c r="AE179" s="30" t="str">
        <f>IF(AND(X179&lt;&gt;""), ROUND((SI!$E$23)*(X179/SUM($X$5:$X$493)),0),"")</f>
        <v/>
      </c>
      <c r="AF179" s="272" t="str">
        <f t="shared" si="62"/>
        <v/>
      </c>
      <c r="AG179" s="28" t="str">
        <f t="shared" si="63"/>
        <v/>
      </c>
      <c r="AH179" s="4" t="str">
        <f>IF(AD179&lt;&gt;"",ROUND(AD179*10*SI!$C$9/2,0),"")</f>
        <v/>
      </c>
      <c r="AI179" s="29" t="str">
        <f>IF(AND(X179&lt;&gt;""), ROUND((SI!$E$28)*(X179/SUM($X$5:$X$493)),0),"")</f>
        <v/>
      </c>
      <c r="AJ179" s="4" t="str">
        <f t="shared" si="64"/>
        <v/>
      </c>
      <c r="AK179" s="4" t="str">
        <f t="shared" si="65"/>
        <v/>
      </c>
      <c r="AL179" s="4" t="str">
        <f t="shared" si="66"/>
        <v/>
      </c>
      <c r="AM179" s="4" t="str">
        <f t="shared" si="67"/>
        <v/>
      </c>
      <c r="AN179" s="195" t="str">
        <f t="shared" si="68"/>
        <v/>
      </c>
      <c r="AO179" s="261" t="str">
        <f>IF(AND(AM179&lt;&gt;"",P179&lt;&gt;""),ROUND((AM179*((100+SI!$C$11)/100)),0),"")</f>
        <v/>
      </c>
      <c r="AP179" s="28" t="str">
        <f>IF(AG179&lt;&gt;"",ROUND(AG179/SI!$C$9,2),"")</f>
        <v/>
      </c>
      <c r="AQ179" s="4" t="str">
        <f>IF(AH179&lt;&gt;"",ROUND(AH179/SI!$C$9,2),"")</f>
        <v/>
      </c>
      <c r="AR179" s="29" t="str">
        <f>IF(AI179&lt;&gt;"",ROUND(AI179/SI!$C$9,2),"")</f>
        <v/>
      </c>
      <c r="AS179" s="4" t="str">
        <f t="shared" si="69"/>
        <v/>
      </c>
      <c r="AT179" s="4" t="str">
        <f t="shared" si="70"/>
        <v/>
      </c>
      <c r="AU179" s="4" t="str">
        <f>IF(AL179&lt;&gt;"",ROUND(AL179/SI!$C$9,2),"")</f>
        <v/>
      </c>
      <c r="AV179" s="4" t="str">
        <f>IF(AM179&lt;&gt;"",ROUND(AM179/SI!$C$9,2),"")</f>
        <v/>
      </c>
      <c r="AW179" s="4" t="str">
        <f>IF(AN179&lt;&gt;"",ROUND(AN179/SI!$C$9,2),"")</f>
        <v/>
      </c>
      <c r="AX179" s="261" t="str">
        <f>IF(AO179&lt;&gt;"",ROUND(AO179/SI!$C$9,2),"")</f>
        <v/>
      </c>
      <c r="AY179" s="28" t="str">
        <f t="shared" si="71"/>
        <v/>
      </c>
      <c r="AZ179" s="4" t="str">
        <f>IF(AY179&lt;&gt;"",ROUND(AY179/(SI!$C$9*SI!$C$10),2),"")</f>
        <v/>
      </c>
      <c r="BA179" s="4" t="str">
        <f t="shared" si="72"/>
        <v/>
      </c>
      <c r="BB179" s="4" t="str">
        <f t="shared" si="73"/>
        <v/>
      </c>
      <c r="BC179" s="4" t="str">
        <f t="shared" si="74"/>
        <v/>
      </c>
      <c r="BD179" s="4" t="str">
        <f t="shared" si="75"/>
        <v/>
      </c>
      <c r="BE179" s="4" t="str">
        <f>IF(AND(X179&lt;&gt;""),ROUND(X179/SI!$C$10,2),"")</f>
        <v/>
      </c>
      <c r="BF179" s="4" t="str">
        <f t="shared" si="77"/>
        <v/>
      </c>
      <c r="BG179" s="264" t="str">
        <f t="shared" si="76"/>
        <v/>
      </c>
      <c r="BH179" s="71" t="str">
        <f>IF(F179&lt;&gt;"",VLOOKUP(F179,DUTY_2025!A:O,15,FALSE),"")</f>
        <v/>
      </c>
    </row>
    <row r="180" spans="1:60" x14ac:dyDescent="0.25">
      <c r="A180" s="133">
        <f t="shared" si="52"/>
        <v>66</v>
      </c>
      <c r="B180" s="83" t="str">
        <f t="shared" si="53"/>
        <v/>
      </c>
      <c r="C180" s="126"/>
      <c r="D180" s="130"/>
      <c r="E180" s="22"/>
      <c r="F180" s="85"/>
      <c r="G180" s="27" t="str">
        <f>IF(F180&lt;&gt;"",IFERROR(VLOOKUP(F180,DUTY_2025!A:I,6,FALSE),""),"")</f>
        <v/>
      </c>
      <c r="H180" s="85" t="s">
        <v>133</v>
      </c>
      <c r="I180" s="27"/>
      <c r="J180" s="98"/>
      <c r="K180" s="98"/>
      <c r="L180" s="22"/>
      <c r="M180" s="22"/>
      <c r="N180" s="84"/>
      <c r="O180" s="22"/>
      <c r="P180" s="116"/>
      <c r="Q180" s="23"/>
      <c r="R180" s="27"/>
      <c r="S180" s="86" t="str">
        <f t="shared" si="54"/>
        <v/>
      </c>
      <c r="T180" s="87" t="str">
        <f t="shared" si="55"/>
        <v/>
      </c>
      <c r="U180" s="87" t="str" cm="1">
        <f t="array" ref="U180">IF(AND(H180&lt;&gt;"YES",P180&lt;&gt;"",R180&lt;&gt;"",Q180&lt;&gt;""),
_xlfn.SWITCH(Q180,
"INR",_xlfn.SWITCH(R180,"KG",P180*S180,"CTN",P180,"UNIT",P180*N180,"NET",P180/M180,0),
"USD",_xlfn.SWITCH(R180,"KG",P180*S180*SI!$C$10,"CTN",P180*SI!$C$10,"UNIT",P180*N180*SI!$C$10,"NET",P180*SI!$C$10/M180,0),
"LKR",_xlfn.SWITCH(R180,"KG",P180*S180/SI!$C$9,"CTN",P180/SI!$C$9,"UNIT",P180*N180/SI!$C$9,"NET",P180/(M180*SI!$C$9),0),
0),
"")</f>
        <v/>
      </c>
      <c r="V180" s="87" t="str">
        <f t="shared" si="56"/>
        <v/>
      </c>
      <c r="W180" s="87" t="str">
        <f t="shared" si="57"/>
        <v/>
      </c>
      <c r="X180" s="88" t="str">
        <f t="shared" si="58"/>
        <v/>
      </c>
      <c r="Y180" s="24" t="str">
        <f t="shared" si="59"/>
        <v/>
      </c>
      <c r="Z180" s="267" t="str">
        <f>IF(AND(H180&lt;&gt;"yes",F180&lt;&gt;""),IFERROR(VLOOKUP(F180,DUTY_2025!A:F,5,FALSE),""),"")</f>
        <v/>
      </c>
      <c r="AA180" s="271" t="str">
        <f t="shared" si="60"/>
        <v/>
      </c>
      <c r="AB180" s="16" t="str">
        <f t="shared" si="61"/>
        <v/>
      </c>
      <c r="AC180" s="16" t="str">
        <f>IF(AA180&lt;&gt;"",ROUND(AA180*SI!$C$9,0),"")</f>
        <v/>
      </c>
      <c r="AD180" s="4" t="str">
        <f>IF(AC180&lt;&gt;"",ROUND(AC180/(SI!$C$9*SI!$C$10),2),"")</f>
        <v/>
      </c>
      <c r="AE180" s="30" t="str">
        <f>IF(AND(X180&lt;&gt;""), ROUND((SI!$E$23)*(X180/SUM($X$5:$X$493)),0),"")</f>
        <v/>
      </c>
      <c r="AF180" s="272" t="str">
        <f t="shared" si="62"/>
        <v/>
      </c>
      <c r="AG180" s="28" t="str">
        <f t="shared" si="63"/>
        <v/>
      </c>
      <c r="AH180" s="4" t="str">
        <f>IF(AD180&lt;&gt;"",ROUND(AD180*10*SI!$C$9/2,0),"")</f>
        <v/>
      </c>
      <c r="AI180" s="29" t="str">
        <f>IF(AND(X180&lt;&gt;""), ROUND((SI!$E$28)*(X180/SUM($X$5:$X$493)),0),"")</f>
        <v/>
      </c>
      <c r="AJ180" s="4" t="str">
        <f t="shared" si="64"/>
        <v/>
      </c>
      <c r="AK180" s="4" t="str">
        <f t="shared" si="65"/>
        <v/>
      </c>
      <c r="AL180" s="4" t="str">
        <f t="shared" si="66"/>
        <v/>
      </c>
      <c r="AM180" s="4" t="str">
        <f t="shared" si="67"/>
        <v/>
      </c>
      <c r="AN180" s="195" t="str">
        <f t="shared" si="68"/>
        <v/>
      </c>
      <c r="AO180" s="261" t="str">
        <f>IF(AND(AM180&lt;&gt;"",P180&lt;&gt;""),ROUND((AM180*((100+SI!$C$11)/100)),0),"")</f>
        <v/>
      </c>
      <c r="AP180" s="28" t="str">
        <f>IF(AG180&lt;&gt;"",ROUND(AG180/SI!$C$9,2),"")</f>
        <v/>
      </c>
      <c r="AQ180" s="4" t="str">
        <f>IF(AH180&lt;&gt;"",ROUND(AH180/SI!$C$9,2),"")</f>
        <v/>
      </c>
      <c r="AR180" s="29" t="str">
        <f>IF(AI180&lt;&gt;"",ROUND(AI180/SI!$C$9,2),"")</f>
        <v/>
      </c>
      <c r="AS180" s="4" t="str">
        <f t="shared" si="69"/>
        <v/>
      </c>
      <c r="AT180" s="4" t="str">
        <f t="shared" si="70"/>
        <v/>
      </c>
      <c r="AU180" s="4" t="str">
        <f>IF(AL180&lt;&gt;"",ROUND(AL180/SI!$C$9,2),"")</f>
        <v/>
      </c>
      <c r="AV180" s="4" t="str">
        <f>IF(AM180&lt;&gt;"",ROUND(AM180/SI!$C$9,2),"")</f>
        <v/>
      </c>
      <c r="AW180" s="4" t="str">
        <f>IF(AN180&lt;&gt;"",ROUND(AN180/SI!$C$9,2),"")</f>
        <v/>
      </c>
      <c r="AX180" s="261" t="str">
        <f>IF(AO180&lt;&gt;"",ROUND(AO180/SI!$C$9,2),"")</f>
        <v/>
      </c>
      <c r="AY180" s="28" t="str">
        <f t="shared" si="71"/>
        <v/>
      </c>
      <c r="AZ180" s="4" t="str">
        <f>IF(AY180&lt;&gt;"",ROUND(AY180/(SI!$C$9*SI!$C$10),2),"")</f>
        <v/>
      </c>
      <c r="BA180" s="4" t="str">
        <f t="shared" si="72"/>
        <v/>
      </c>
      <c r="BB180" s="4" t="str">
        <f t="shared" si="73"/>
        <v/>
      </c>
      <c r="BC180" s="4" t="str">
        <f t="shared" si="74"/>
        <v/>
      </c>
      <c r="BD180" s="4" t="str">
        <f t="shared" si="75"/>
        <v/>
      </c>
      <c r="BE180" s="4" t="str">
        <f>IF(AND(X180&lt;&gt;""),ROUND(X180/SI!$C$10,2),"")</f>
        <v/>
      </c>
      <c r="BF180" s="4" t="str">
        <f t="shared" si="77"/>
        <v/>
      </c>
      <c r="BG180" s="264" t="str">
        <f t="shared" si="76"/>
        <v/>
      </c>
      <c r="BH180" s="71" t="str">
        <f>IF(F180&lt;&gt;"",VLOOKUP(F180,DUTY_2025!A:O,15,FALSE),"")</f>
        <v/>
      </c>
    </row>
    <row r="181" spans="1:60" x14ac:dyDescent="0.25">
      <c r="A181" s="133">
        <f t="shared" si="52"/>
        <v>66</v>
      </c>
      <c r="B181" s="83" t="str">
        <f t="shared" si="53"/>
        <v/>
      </c>
      <c r="C181" s="126"/>
      <c r="D181" s="131"/>
      <c r="E181" s="22"/>
      <c r="F181" s="85"/>
      <c r="G181" s="27" t="str">
        <f>IF(F181&lt;&gt;"",IFERROR(VLOOKUP(F181,DUTY_2025!A:I,6,FALSE),""),"")</f>
        <v/>
      </c>
      <c r="H181" s="85" t="s">
        <v>133</v>
      </c>
      <c r="I181" s="27"/>
      <c r="J181" s="101"/>
      <c r="K181" s="101"/>
      <c r="L181" s="22"/>
      <c r="M181" s="22"/>
      <c r="N181" s="84"/>
      <c r="O181" s="22"/>
      <c r="P181" s="116"/>
      <c r="Q181" s="23"/>
      <c r="R181" s="27"/>
      <c r="S181" s="86" t="str">
        <f t="shared" si="54"/>
        <v/>
      </c>
      <c r="T181" s="87" t="str">
        <f t="shared" si="55"/>
        <v/>
      </c>
      <c r="U181" s="87" t="str" cm="1">
        <f t="array" ref="U181">IF(AND(H181&lt;&gt;"YES",P181&lt;&gt;"",R181&lt;&gt;"",Q181&lt;&gt;""),
_xlfn.SWITCH(Q181,
"INR",_xlfn.SWITCH(R181,"KG",P181*S181,"CTN",P181,"UNIT",P181*N181,"NET",P181/M181,0),
"USD",_xlfn.SWITCH(R181,"KG",P181*S181*SI!$C$10,"CTN",P181*SI!$C$10,"UNIT",P181*N181*SI!$C$10,"NET",P181*SI!$C$10/M181,0),
"LKR",_xlfn.SWITCH(R181,"KG",P181*S181/SI!$C$9,"CTN",P181/SI!$C$9,"UNIT",P181*N181/SI!$C$9,"NET",P181/(M181*SI!$C$9),0),
0),
"")</f>
        <v/>
      </c>
      <c r="V181" s="87" t="str">
        <f t="shared" si="56"/>
        <v/>
      </c>
      <c r="W181" s="87" t="str">
        <f t="shared" si="57"/>
        <v/>
      </c>
      <c r="X181" s="88" t="str">
        <f t="shared" si="58"/>
        <v/>
      </c>
      <c r="Y181" s="24" t="str">
        <f t="shared" si="59"/>
        <v/>
      </c>
      <c r="Z181" s="267" t="str">
        <f>IF(AND(H181&lt;&gt;"yes",F181&lt;&gt;""),IFERROR(VLOOKUP(F181,DUTY_2025!A:F,5,FALSE),""),"")</f>
        <v/>
      </c>
      <c r="AA181" s="271" t="str">
        <f t="shared" si="60"/>
        <v/>
      </c>
      <c r="AB181" s="16" t="str">
        <f t="shared" si="61"/>
        <v/>
      </c>
      <c r="AC181" s="16" t="str">
        <f>IF(AA181&lt;&gt;"",ROUND(AA181*SI!$C$9,0),"")</f>
        <v/>
      </c>
      <c r="AD181" s="4" t="str">
        <f>IF(AC181&lt;&gt;"",ROUND(AC181/(SI!$C$9*SI!$C$10),2),"")</f>
        <v/>
      </c>
      <c r="AE181" s="30" t="str">
        <f>IF(AND(X181&lt;&gt;""), ROUND((SI!$E$23)*(X181/SUM($X$5:$X$493)),0),"")</f>
        <v/>
      </c>
      <c r="AF181" s="272" t="str">
        <f t="shared" si="62"/>
        <v/>
      </c>
      <c r="AG181" s="28" t="str">
        <f t="shared" si="63"/>
        <v/>
      </c>
      <c r="AH181" s="4" t="str">
        <f>IF(AD181&lt;&gt;"",ROUND(AD181*10*SI!$C$9/2,0),"")</f>
        <v/>
      </c>
      <c r="AI181" s="29" t="str">
        <f>IF(AND(X181&lt;&gt;""), ROUND((SI!$E$28)*(X181/SUM($X$5:$X$493)),0),"")</f>
        <v/>
      </c>
      <c r="AJ181" s="4" t="str">
        <f t="shared" si="64"/>
        <v/>
      </c>
      <c r="AK181" s="4" t="str">
        <f t="shared" si="65"/>
        <v/>
      </c>
      <c r="AL181" s="4" t="str">
        <f t="shared" si="66"/>
        <v/>
      </c>
      <c r="AM181" s="4" t="str">
        <f t="shared" si="67"/>
        <v/>
      </c>
      <c r="AN181" s="195" t="str">
        <f t="shared" si="68"/>
        <v/>
      </c>
      <c r="AO181" s="261" t="str">
        <f>IF(AND(AM181&lt;&gt;"",P181&lt;&gt;""),ROUND((AM181*((100+SI!$C$11)/100)),0),"")</f>
        <v/>
      </c>
      <c r="AP181" s="28" t="str">
        <f>IF(AG181&lt;&gt;"",ROUND(AG181/SI!$C$9,2),"")</f>
        <v/>
      </c>
      <c r="AQ181" s="4" t="str">
        <f>IF(AH181&lt;&gt;"",ROUND(AH181/SI!$C$9,2),"")</f>
        <v/>
      </c>
      <c r="AR181" s="29" t="str">
        <f>IF(AI181&lt;&gt;"",ROUND(AI181/SI!$C$9,2),"")</f>
        <v/>
      </c>
      <c r="AS181" s="4" t="str">
        <f t="shared" si="69"/>
        <v/>
      </c>
      <c r="AT181" s="4" t="str">
        <f t="shared" si="70"/>
        <v/>
      </c>
      <c r="AU181" s="4" t="str">
        <f>IF(AL181&lt;&gt;"",ROUND(AL181/SI!$C$9,2),"")</f>
        <v/>
      </c>
      <c r="AV181" s="4" t="str">
        <f>IF(AM181&lt;&gt;"",ROUND(AM181/SI!$C$9,2),"")</f>
        <v/>
      </c>
      <c r="AW181" s="4" t="str">
        <f>IF(AN181&lt;&gt;"",ROUND(AN181/SI!$C$9,2),"")</f>
        <v/>
      </c>
      <c r="AX181" s="261" t="str">
        <f>IF(AO181&lt;&gt;"",ROUND(AO181/SI!$C$9,2),"")</f>
        <v/>
      </c>
      <c r="AY181" s="28" t="str">
        <f t="shared" si="71"/>
        <v/>
      </c>
      <c r="AZ181" s="4" t="str">
        <f>IF(AY181&lt;&gt;"",ROUND(AY181/(SI!$C$9*SI!$C$10),2),"")</f>
        <v/>
      </c>
      <c r="BA181" s="4" t="str">
        <f t="shared" si="72"/>
        <v/>
      </c>
      <c r="BB181" s="4" t="str">
        <f t="shared" si="73"/>
        <v/>
      </c>
      <c r="BC181" s="4" t="str">
        <f t="shared" si="74"/>
        <v/>
      </c>
      <c r="BD181" s="4" t="str">
        <f t="shared" si="75"/>
        <v/>
      </c>
      <c r="BE181" s="4" t="str">
        <f>IF(AND(X181&lt;&gt;""),ROUND(X181/SI!$C$10,2),"")</f>
        <v/>
      </c>
      <c r="BF181" s="4" t="str">
        <f t="shared" si="77"/>
        <v/>
      </c>
      <c r="BG181" s="264" t="str">
        <f t="shared" si="76"/>
        <v/>
      </c>
      <c r="BH181" s="71" t="str">
        <f>IF(F181&lt;&gt;"",VLOOKUP(F181,DUTY_2025!A:O,15,FALSE),"")</f>
        <v/>
      </c>
    </row>
    <row r="182" spans="1:60" x14ac:dyDescent="0.25">
      <c r="A182" s="133">
        <f t="shared" si="52"/>
        <v>66</v>
      </c>
      <c r="B182" s="83" t="str">
        <f t="shared" si="53"/>
        <v/>
      </c>
      <c r="C182" s="126"/>
      <c r="D182" s="130"/>
      <c r="E182" s="22"/>
      <c r="F182" s="85"/>
      <c r="G182" s="27" t="str">
        <f>IF(F182&lt;&gt;"",IFERROR(VLOOKUP(F182,DUTY_2025!A:I,6,FALSE),""),"")</f>
        <v/>
      </c>
      <c r="H182" s="85" t="s">
        <v>133</v>
      </c>
      <c r="I182" s="27"/>
      <c r="J182" s="98"/>
      <c r="K182" s="98"/>
      <c r="L182" s="22"/>
      <c r="M182" s="22"/>
      <c r="N182" s="84"/>
      <c r="O182" s="22"/>
      <c r="P182" s="116"/>
      <c r="Q182" s="23"/>
      <c r="R182" s="27"/>
      <c r="S182" s="86" t="str">
        <f t="shared" si="54"/>
        <v/>
      </c>
      <c r="T182" s="87" t="str">
        <f t="shared" si="55"/>
        <v/>
      </c>
      <c r="U182" s="87" t="str" cm="1">
        <f t="array" ref="U182">IF(AND(H182&lt;&gt;"YES",P182&lt;&gt;"",R182&lt;&gt;"",Q182&lt;&gt;""),
_xlfn.SWITCH(Q182,
"INR",_xlfn.SWITCH(R182,"KG",P182*S182,"CTN",P182,"UNIT",P182*N182,"NET",P182/M182,0),
"USD",_xlfn.SWITCH(R182,"KG",P182*S182*SI!$C$10,"CTN",P182*SI!$C$10,"UNIT",P182*N182*SI!$C$10,"NET",P182*SI!$C$10/M182,0),
"LKR",_xlfn.SWITCH(R182,"KG",P182*S182/SI!$C$9,"CTN",P182/SI!$C$9,"UNIT",P182*N182/SI!$C$9,"NET",P182/(M182*SI!$C$9),0),
0),
"")</f>
        <v/>
      </c>
      <c r="V182" s="87" t="str">
        <f t="shared" si="56"/>
        <v/>
      </c>
      <c r="W182" s="87" t="str">
        <f t="shared" si="57"/>
        <v/>
      </c>
      <c r="X182" s="88" t="str">
        <f t="shared" si="58"/>
        <v/>
      </c>
      <c r="Y182" s="24" t="str">
        <f t="shared" si="59"/>
        <v/>
      </c>
      <c r="Z182" s="267" t="str">
        <f>IF(AND(H182&lt;&gt;"yes",F182&lt;&gt;""),IFERROR(VLOOKUP(F182,DUTY_2025!A:F,5,FALSE),""),"")</f>
        <v/>
      </c>
      <c r="AA182" s="271" t="str">
        <f t="shared" si="60"/>
        <v/>
      </c>
      <c r="AB182" s="16" t="str">
        <f t="shared" si="61"/>
        <v/>
      </c>
      <c r="AC182" s="16" t="str">
        <f>IF(AA182&lt;&gt;"",ROUND(AA182*SI!$C$9,0),"")</f>
        <v/>
      </c>
      <c r="AD182" s="4" t="str">
        <f>IF(AC182&lt;&gt;"",ROUND(AC182/(SI!$C$9*SI!$C$10),2),"")</f>
        <v/>
      </c>
      <c r="AE182" s="30" t="str">
        <f>IF(AND(X182&lt;&gt;""), ROUND((SI!$E$23)*(X182/SUM($X$5:$X$493)),0),"")</f>
        <v/>
      </c>
      <c r="AF182" s="272" t="str">
        <f t="shared" si="62"/>
        <v/>
      </c>
      <c r="AG182" s="28" t="str">
        <f t="shared" si="63"/>
        <v/>
      </c>
      <c r="AH182" s="4" t="str">
        <f>IF(AD182&lt;&gt;"",ROUND(AD182*10*SI!$C$9/2,0),"")</f>
        <v/>
      </c>
      <c r="AI182" s="29" t="str">
        <f>IF(AND(X182&lt;&gt;""), ROUND((SI!$E$28)*(X182/SUM($X$5:$X$493)),0),"")</f>
        <v/>
      </c>
      <c r="AJ182" s="4" t="str">
        <f t="shared" si="64"/>
        <v/>
      </c>
      <c r="AK182" s="4" t="str">
        <f t="shared" si="65"/>
        <v/>
      </c>
      <c r="AL182" s="4" t="str">
        <f t="shared" si="66"/>
        <v/>
      </c>
      <c r="AM182" s="4" t="str">
        <f t="shared" si="67"/>
        <v/>
      </c>
      <c r="AN182" s="195" t="str">
        <f t="shared" si="68"/>
        <v/>
      </c>
      <c r="AO182" s="261" t="str">
        <f>IF(AND(AM182&lt;&gt;"",P182&lt;&gt;""),ROUND((AM182*((100+SI!$C$11)/100)),0),"")</f>
        <v/>
      </c>
      <c r="AP182" s="28" t="str">
        <f>IF(AG182&lt;&gt;"",ROUND(AG182/SI!$C$9,2),"")</f>
        <v/>
      </c>
      <c r="AQ182" s="4" t="str">
        <f>IF(AH182&lt;&gt;"",ROUND(AH182/SI!$C$9,2),"")</f>
        <v/>
      </c>
      <c r="AR182" s="29" t="str">
        <f>IF(AI182&lt;&gt;"",ROUND(AI182/SI!$C$9,2),"")</f>
        <v/>
      </c>
      <c r="AS182" s="4" t="str">
        <f t="shared" si="69"/>
        <v/>
      </c>
      <c r="AT182" s="4" t="str">
        <f t="shared" si="70"/>
        <v/>
      </c>
      <c r="AU182" s="4" t="str">
        <f>IF(AL182&lt;&gt;"",ROUND(AL182/SI!$C$9,2),"")</f>
        <v/>
      </c>
      <c r="AV182" s="4" t="str">
        <f>IF(AM182&lt;&gt;"",ROUND(AM182/SI!$C$9,2),"")</f>
        <v/>
      </c>
      <c r="AW182" s="4" t="str">
        <f>IF(AN182&lt;&gt;"",ROUND(AN182/SI!$C$9,2),"")</f>
        <v/>
      </c>
      <c r="AX182" s="261" t="str">
        <f>IF(AO182&lt;&gt;"",ROUND(AO182/SI!$C$9,2),"")</f>
        <v/>
      </c>
      <c r="AY182" s="28" t="str">
        <f t="shared" si="71"/>
        <v/>
      </c>
      <c r="AZ182" s="4" t="str">
        <f>IF(AY182&lt;&gt;"",ROUND(AY182/(SI!$C$9*SI!$C$10),2),"")</f>
        <v/>
      </c>
      <c r="BA182" s="4" t="str">
        <f t="shared" si="72"/>
        <v/>
      </c>
      <c r="BB182" s="4" t="str">
        <f t="shared" si="73"/>
        <v/>
      </c>
      <c r="BC182" s="4" t="str">
        <f t="shared" si="74"/>
        <v/>
      </c>
      <c r="BD182" s="4" t="str">
        <f t="shared" si="75"/>
        <v/>
      </c>
      <c r="BE182" s="4" t="str">
        <f>IF(AND(X182&lt;&gt;""),ROUND(X182/SI!$C$10,2),"")</f>
        <v/>
      </c>
      <c r="BF182" s="4" t="str">
        <f t="shared" si="77"/>
        <v/>
      </c>
      <c r="BG182" s="264" t="str">
        <f t="shared" si="76"/>
        <v/>
      </c>
      <c r="BH182" s="71" t="str">
        <f>IF(F182&lt;&gt;"",VLOOKUP(F182,DUTY_2025!A:O,15,FALSE),"")</f>
        <v/>
      </c>
    </row>
    <row r="183" spans="1:60" x14ac:dyDescent="0.25">
      <c r="A183" s="133">
        <f t="shared" si="52"/>
        <v>66</v>
      </c>
      <c r="B183" s="83" t="str">
        <f t="shared" si="53"/>
        <v/>
      </c>
      <c r="C183" s="126"/>
      <c r="D183" s="130"/>
      <c r="E183" s="22"/>
      <c r="F183" s="85"/>
      <c r="G183" s="27" t="str">
        <f>IF(F183&lt;&gt;"",IFERROR(VLOOKUP(F183,DUTY_2025!A:I,6,FALSE),""),"")</f>
        <v/>
      </c>
      <c r="H183" s="85" t="s">
        <v>133</v>
      </c>
      <c r="I183" s="27"/>
      <c r="J183" s="98"/>
      <c r="K183" s="98"/>
      <c r="L183" s="22"/>
      <c r="M183" s="22"/>
      <c r="N183" s="84"/>
      <c r="O183" s="22"/>
      <c r="P183" s="116"/>
      <c r="Q183" s="23"/>
      <c r="R183" s="27"/>
      <c r="S183" s="86" t="str">
        <f t="shared" si="54"/>
        <v/>
      </c>
      <c r="T183" s="87" t="str">
        <f t="shared" si="55"/>
        <v/>
      </c>
      <c r="U183" s="87" t="str" cm="1">
        <f t="array" ref="U183">IF(AND(H183&lt;&gt;"YES",P183&lt;&gt;"",R183&lt;&gt;"",Q183&lt;&gt;""),
_xlfn.SWITCH(Q183,
"INR",_xlfn.SWITCH(R183,"KG",P183*S183,"CTN",P183,"UNIT",P183*N183,"NET",P183/M183,0),
"USD",_xlfn.SWITCH(R183,"KG",P183*S183*SI!$C$10,"CTN",P183*SI!$C$10,"UNIT",P183*N183*SI!$C$10,"NET",P183*SI!$C$10/M183,0),
"LKR",_xlfn.SWITCH(R183,"KG",P183*S183/SI!$C$9,"CTN",P183/SI!$C$9,"UNIT",P183*N183/SI!$C$9,"NET",P183/(M183*SI!$C$9),0),
0),
"")</f>
        <v/>
      </c>
      <c r="V183" s="87" t="str">
        <f t="shared" si="56"/>
        <v/>
      </c>
      <c r="W183" s="87" t="str">
        <f t="shared" si="57"/>
        <v/>
      </c>
      <c r="X183" s="88" t="str">
        <f t="shared" si="58"/>
        <v/>
      </c>
      <c r="Y183" s="24" t="str">
        <f t="shared" si="59"/>
        <v/>
      </c>
      <c r="Z183" s="267" t="str">
        <f>IF(AND(H183&lt;&gt;"yes",F183&lt;&gt;""),IFERROR(VLOOKUP(F183,DUTY_2025!A:F,5,FALSE),""),"")</f>
        <v/>
      </c>
      <c r="AA183" s="271" t="str">
        <f t="shared" si="60"/>
        <v/>
      </c>
      <c r="AB183" s="16" t="str">
        <f t="shared" si="61"/>
        <v/>
      </c>
      <c r="AC183" s="16" t="str">
        <f>IF(AA183&lt;&gt;"",ROUND(AA183*SI!$C$9,0),"")</f>
        <v/>
      </c>
      <c r="AD183" s="4" t="str">
        <f>IF(AC183&lt;&gt;"",ROUND(AC183/(SI!$C$9*SI!$C$10),2),"")</f>
        <v/>
      </c>
      <c r="AE183" s="30" t="str">
        <f>IF(AND(X183&lt;&gt;""), ROUND((SI!$E$23)*(X183/SUM($X$5:$X$493)),0),"")</f>
        <v/>
      </c>
      <c r="AF183" s="272" t="str">
        <f t="shared" si="62"/>
        <v/>
      </c>
      <c r="AG183" s="28" t="str">
        <f t="shared" si="63"/>
        <v/>
      </c>
      <c r="AH183" s="4" t="str">
        <f>IF(AD183&lt;&gt;"",ROUND(AD183*10*SI!$C$9/2,0),"")</f>
        <v/>
      </c>
      <c r="AI183" s="29" t="str">
        <f>IF(AND(X183&lt;&gt;""), ROUND((SI!$E$28)*(X183/SUM($X$5:$X$493)),0),"")</f>
        <v/>
      </c>
      <c r="AJ183" s="4" t="str">
        <f t="shared" si="64"/>
        <v/>
      </c>
      <c r="AK183" s="4" t="str">
        <f t="shared" si="65"/>
        <v/>
      </c>
      <c r="AL183" s="4" t="str">
        <f t="shared" si="66"/>
        <v/>
      </c>
      <c r="AM183" s="4" t="str">
        <f t="shared" si="67"/>
        <v/>
      </c>
      <c r="AN183" s="195" t="str">
        <f t="shared" si="68"/>
        <v/>
      </c>
      <c r="AO183" s="261" t="str">
        <f>IF(AND(AM183&lt;&gt;"",P183&lt;&gt;""),ROUND((AM183*((100+SI!$C$11)/100)),0),"")</f>
        <v/>
      </c>
      <c r="AP183" s="28" t="str">
        <f>IF(AG183&lt;&gt;"",ROUND(AG183/SI!$C$9,2),"")</f>
        <v/>
      </c>
      <c r="AQ183" s="4" t="str">
        <f>IF(AH183&lt;&gt;"",ROUND(AH183/SI!$C$9,2),"")</f>
        <v/>
      </c>
      <c r="AR183" s="29" t="str">
        <f>IF(AI183&lt;&gt;"",ROUND(AI183/SI!$C$9,2),"")</f>
        <v/>
      </c>
      <c r="AS183" s="4" t="str">
        <f t="shared" si="69"/>
        <v/>
      </c>
      <c r="AT183" s="4" t="str">
        <f t="shared" si="70"/>
        <v/>
      </c>
      <c r="AU183" s="4" t="str">
        <f>IF(AL183&lt;&gt;"",ROUND(AL183/SI!$C$9,2),"")</f>
        <v/>
      </c>
      <c r="AV183" s="4" t="str">
        <f>IF(AM183&lt;&gt;"",ROUND(AM183/SI!$C$9,2),"")</f>
        <v/>
      </c>
      <c r="AW183" s="4" t="str">
        <f>IF(AN183&lt;&gt;"",ROUND(AN183/SI!$C$9,2),"")</f>
        <v/>
      </c>
      <c r="AX183" s="261" t="str">
        <f>IF(AO183&lt;&gt;"",ROUND(AO183/SI!$C$9,2),"")</f>
        <v/>
      </c>
      <c r="AY183" s="28" t="str">
        <f t="shared" si="71"/>
        <v/>
      </c>
      <c r="AZ183" s="4" t="str">
        <f>IF(AY183&lt;&gt;"",ROUND(AY183/(SI!$C$9*SI!$C$10),2),"")</f>
        <v/>
      </c>
      <c r="BA183" s="4" t="str">
        <f t="shared" si="72"/>
        <v/>
      </c>
      <c r="BB183" s="4" t="str">
        <f t="shared" si="73"/>
        <v/>
      </c>
      <c r="BC183" s="4" t="str">
        <f t="shared" si="74"/>
        <v/>
      </c>
      <c r="BD183" s="4" t="str">
        <f t="shared" si="75"/>
        <v/>
      </c>
      <c r="BE183" s="4" t="str">
        <f>IF(AND(X183&lt;&gt;""),ROUND(X183/SI!$C$10,2),"")</f>
        <v/>
      </c>
      <c r="BF183" s="4" t="str">
        <f t="shared" si="77"/>
        <v/>
      </c>
      <c r="BG183" s="264" t="str">
        <f t="shared" si="76"/>
        <v/>
      </c>
      <c r="BH183" s="71" t="str">
        <f>IF(F183&lt;&gt;"",VLOOKUP(F183,DUTY_2025!A:O,15,FALSE),"")</f>
        <v/>
      </c>
    </row>
    <row r="184" spans="1:60" x14ac:dyDescent="0.25">
      <c r="A184" s="133">
        <f t="shared" si="52"/>
        <v>66</v>
      </c>
      <c r="B184" s="83" t="str">
        <f t="shared" si="53"/>
        <v/>
      </c>
      <c r="C184" s="126"/>
      <c r="D184" s="128"/>
      <c r="E184" s="22"/>
      <c r="F184" s="85"/>
      <c r="G184" s="27" t="str">
        <f>IF(F184&lt;&gt;"",IFERROR(VLOOKUP(F184,DUTY_2025!A:I,6,FALSE),""),"")</f>
        <v/>
      </c>
      <c r="H184" s="85" t="s">
        <v>133</v>
      </c>
      <c r="I184" s="27"/>
      <c r="J184" s="99"/>
      <c r="K184" s="99"/>
      <c r="L184" s="91"/>
      <c r="M184" s="27"/>
      <c r="N184" s="84"/>
      <c r="O184" s="22"/>
      <c r="P184" s="116"/>
      <c r="Q184" s="23"/>
      <c r="R184" s="27"/>
      <c r="S184" s="86" t="str">
        <f t="shared" si="54"/>
        <v/>
      </c>
      <c r="T184" s="87" t="str">
        <f t="shared" si="55"/>
        <v/>
      </c>
      <c r="U184" s="87" t="str" cm="1">
        <f t="array" ref="U184">IF(AND(H184&lt;&gt;"YES",P184&lt;&gt;"",R184&lt;&gt;"",Q184&lt;&gt;""),
_xlfn.SWITCH(Q184,
"INR",_xlfn.SWITCH(R184,"KG",P184*S184,"CTN",P184,"UNIT",P184*N184,"NET",P184/M184,0),
"USD",_xlfn.SWITCH(R184,"KG",P184*S184*SI!$C$10,"CTN",P184*SI!$C$10,"UNIT",P184*N184*SI!$C$10,"NET",P184*SI!$C$10/M184,0),
"LKR",_xlfn.SWITCH(R184,"KG",P184*S184/SI!$C$9,"CTN",P184/SI!$C$9,"UNIT",P184*N184/SI!$C$9,"NET",P184/(M184*SI!$C$9),0),
0),
"")</f>
        <v/>
      </c>
      <c r="V184" s="87" t="str">
        <f t="shared" si="56"/>
        <v/>
      </c>
      <c r="W184" s="87" t="str">
        <f t="shared" si="57"/>
        <v/>
      </c>
      <c r="X184" s="88" t="str">
        <f t="shared" si="58"/>
        <v/>
      </c>
      <c r="Y184" s="24" t="str">
        <f t="shared" si="59"/>
        <v/>
      </c>
      <c r="Z184" s="267" t="str">
        <f>IF(AND(H184&lt;&gt;"yes",F184&lt;&gt;""),IFERROR(VLOOKUP(F184,DUTY_2025!A:F,5,FALSE),""),"")</f>
        <v/>
      </c>
      <c r="AA184" s="271" t="str">
        <f t="shared" si="60"/>
        <v/>
      </c>
      <c r="AB184" s="16" t="str">
        <f t="shared" si="61"/>
        <v/>
      </c>
      <c r="AC184" s="16" t="str">
        <f>IF(AA184&lt;&gt;"",ROUND(AA184*SI!$C$9,0),"")</f>
        <v/>
      </c>
      <c r="AD184" s="4" t="str">
        <f>IF(AC184&lt;&gt;"",ROUND(AC184/(SI!$C$9*SI!$C$10),2),"")</f>
        <v/>
      </c>
      <c r="AE184" s="30" t="str">
        <f>IF(AND(X184&lt;&gt;""), ROUND((SI!$E$23)*(X184/SUM($X$5:$X$493)),0),"")</f>
        <v/>
      </c>
      <c r="AF184" s="272" t="str">
        <f t="shared" si="62"/>
        <v/>
      </c>
      <c r="AG184" s="28" t="str">
        <f t="shared" si="63"/>
        <v/>
      </c>
      <c r="AH184" s="4" t="str">
        <f>IF(AD184&lt;&gt;"",ROUND(AD184*10*SI!$C$9/2,0),"")</f>
        <v/>
      </c>
      <c r="AI184" s="29" t="str">
        <f>IF(AND(X184&lt;&gt;""), ROUND((SI!$E$28)*(X184/SUM($X$5:$X$493)),0),"")</f>
        <v/>
      </c>
      <c r="AJ184" s="4" t="str">
        <f t="shared" si="64"/>
        <v/>
      </c>
      <c r="AK184" s="4" t="str">
        <f t="shared" si="65"/>
        <v/>
      </c>
      <c r="AL184" s="4" t="str">
        <f t="shared" si="66"/>
        <v/>
      </c>
      <c r="AM184" s="4" t="str">
        <f t="shared" si="67"/>
        <v/>
      </c>
      <c r="AN184" s="195" t="str">
        <f t="shared" si="68"/>
        <v/>
      </c>
      <c r="AO184" s="261" t="str">
        <f>IF(AND(AM184&lt;&gt;"",P184&lt;&gt;""),ROUND((AM184*((100+SI!$C$11)/100)),0),"")</f>
        <v/>
      </c>
      <c r="AP184" s="28" t="str">
        <f>IF(AG184&lt;&gt;"",ROUND(AG184/SI!$C$9,2),"")</f>
        <v/>
      </c>
      <c r="AQ184" s="4" t="str">
        <f>IF(AH184&lt;&gt;"",ROUND(AH184/SI!$C$9,2),"")</f>
        <v/>
      </c>
      <c r="AR184" s="29" t="str">
        <f>IF(AI184&lt;&gt;"",ROUND(AI184/SI!$C$9,2),"")</f>
        <v/>
      </c>
      <c r="AS184" s="4" t="str">
        <f t="shared" si="69"/>
        <v/>
      </c>
      <c r="AT184" s="4" t="str">
        <f t="shared" si="70"/>
        <v/>
      </c>
      <c r="AU184" s="4" t="str">
        <f>IF(AL184&lt;&gt;"",ROUND(AL184/SI!$C$9,2),"")</f>
        <v/>
      </c>
      <c r="AV184" s="4" t="str">
        <f>IF(AM184&lt;&gt;"",ROUND(AM184/SI!$C$9,2),"")</f>
        <v/>
      </c>
      <c r="AW184" s="4" t="str">
        <f>IF(AN184&lt;&gt;"",ROUND(AN184/SI!$C$9,2),"")</f>
        <v/>
      </c>
      <c r="AX184" s="261" t="str">
        <f>IF(AO184&lt;&gt;"",ROUND(AO184/SI!$C$9,2),"")</f>
        <v/>
      </c>
      <c r="AY184" s="28" t="str">
        <f t="shared" si="71"/>
        <v/>
      </c>
      <c r="AZ184" s="4" t="str">
        <f>IF(AY184&lt;&gt;"",ROUND(AY184/(SI!$C$9*SI!$C$10),2),"")</f>
        <v/>
      </c>
      <c r="BA184" s="4" t="str">
        <f t="shared" si="72"/>
        <v/>
      </c>
      <c r="BB184" s="4" t="str">
        <f t="shared" si="73"/>
        <v/>
      </c>
      <c r="BC184" s="4" t="str">
        <f t="shared" si="74"/>
        <v/>
      </c>
      <c r="BD184" s="4" t="str">
        <f t="shared" si="75"/>
        <v/>
      </c>
      <c r="BE184" s="4" t="str">
        <f>IF(AND(X184&lt;&gt;""),ROUND(X184/SI!$C$10,2),"")</f>
        <v/>
      </c>
      <c r="BF184" s="4" t="str">
        <f t="shared" si="77"/>
        <v/>
      </c>
      <c r="BG184" s="264" t="str">
        <f t="shared" si="76"/>
        <v/>
      </c>
      <c r="BH184" s="71" t="str">
        <f>IF(F184&lt;&gt;"",VLOOKUP(F184,DUTY_2025!A:O,15,FALSE),"")</f>
        <v/>
      </c>
    </row>
    <row r="185" spans="1:60" x14ac:dyDescent="0.25">
      <c r="A185" s="133">
        <f t="shared" si="52"/>
        <v>66</v>
      </c>
      <c r="B185" s="83" t="str">
        <f t="shared" si="53"/>
        <v/>
      </c>
      <c r="C185" s="126"/>
      <c r="D185" s="130"/>
      <c r="E185" s="22"/>
      <c r="F185" s="85"/>
      <c r="G185" s="27" t="str">
        <f>IF(F185&lt;&gt;"",IFERROR(VLOOKUP(F185,DUTY_2025!A:I,6,FALSE),""),"")</f>
        <v/>
      </c>
      <c r="H185" s="85" t="s">
        <v>133</v>
      </c>
      <c r="I185" s="27" t="str">
        <f>IF(F185&lt;&gt;"",IFERROR(VLOOKUP(F185,DUTY_2025!A:H,2,FALSE),""),"")</f>
        <v/>
      </c>
      <c r="J185" s="98"/>
      <c r="K185" s="98"/>
      <c r="L185" s="22"/>
      <c r="M185" s="22"/>
      <c r="N185" s="84"/>
      <c r="O185" s="22"/>
      <c r="P185" s="116"/>
      <c r="Q185" s="23"/>
      <c r="R185" s="27"/>
      <c r="S185" s="86" t="str">
        <f t="shared" si="54"/>
        <v/>
      </c>
      <c r="T185" s="87" t="str">
        <f t="shared" si="55"/>
        <v/>
      </c>
      <c r="U185" s="87" t="str" cm="1">
        <f t="array" ref="U185">IF(AND(H185&lt;&gt;"YES",P185&lt;&gt;"",R185&lt;&gt;"",Q185&lt;&gt;""),
_xlfn.SWITCH(Q185,
"INR",_xlfn.SWITCH(R185,"KG",P185*S185,"CTN",P185,"UNIT",P185*N185,"NET",P185/M185,0),
"USD",_xlfn.SWITCH(R185,"KG",P185*S185*SI!$C$10,"CTN",P185*SI!$C$10,"UNIT",P185*N185*SI!$C$10,"NET",P185*SI!$C$10/M185,0),
"LKR",_xlfn.SWITCH(R185,"KG",P185*S185/SI!$C$9,"CTN",P185/SI!$C$9,"UNIT",P185*N185/SI!$C$9,"NET",P185/(M185*SI!$C$9),0),
0),
"")</f>
        <v/>
      </c>
      <c r="V185" s="87" t="str">
        <f t="shared" si="56"/>
        <v/>
      </c>
      <c r="W185" s="87" t="str">
        <f t="shared" si="57"/>
        <v/>
      </c>
      <c r="X185" s="88" t="str">
        <f t="shared" si="58"/>
        <v/>
      </c>
      <c r="Y185" s="24" t="str">
        <f t="shared" si="59"/>
        <v/>
      </c>
      <c r="Z185" s="267" t="str">
        <f>IF(AND(H185&lt;&gt;"yes",F185&lt;&gt;""),IFERROR(VLOOKUP(F185,DUTY_2025!A:F,5,FALSE),""),"")</f>
        <v/>
      </c>
      <c r="AA185" s="271" t="str">
        <f t="shared" si="60"/>
        <v/>
      </c>
      <c r="AB185" s="16" t="str">
        <f t="shared" si="61"/>
        <v/>
      </c>
      <c r="AC185" s="16" t="str">
        <f>IF(AA185&lt;&gt;"",ROUND(AA185*SI!$C$9,0),"")</f>
        <v/>
      </c>
      <c r="AD185" s="4" t="str">
        <f>IF(AC185&lt;&gt;"",ROUND(AC185/(SI!$C$9*SI!$C$10),2),"")</f>
        <v/>
      </c>
      <c r="AE185" s="30" t="str">
        <f>IF(AND(X185&lt;&gt;""), ROUND((SI!$E$23)*(X185/SUM($X$5:$X$493)),0),"")</f>
        <v/>
      </c>
      <c r="AF185" s="272" t="str">
        <f t="shared" si="62"/>
        <v/>
      </c>
      <c r="AG185" s="28" t="str">
        <f t="shared" si="63"/>
        <v/>
      </c>
      <c r="AH185" s="4" t="str">
        <f>IF(AD185&lt;&gt;"",ROUND(AD185*10*SI!$C$9/2,0),"")</f>
        <v/>
      </c>
      <c r="AI185" s="29" t="str">
        <f>IF(AND(X185&lt;&gt;""), ROUND((SI!$E$28)*(X185/SUM($X$5:$X$493)),0),"")</f>
        <v/>
      </c>
      <c r="AJ185" s="4" t="str">
        <f t="shared" si="64"/>
        <v/>
      </c>
      <c r="AK185" s="4" t="str">
        <f t="shared" si="65"/>
        <v/>
      </c>
      <c r="AL185" s="4" t="str">
        <f t="shared" si="66"/>
        <v/>
      </c>
      <c r="AM185" s="4" t="str">
        <f t="shared" si="67"/>
        <v/>
      </c>
      <c r="AN185" s="195" t="str">
        <f t="shared" si="68"/>
        <v/>
      </c>
      <c r="AO185" s="261" t="str">
        <f>IF(AND(AM185&lt;&gt;"",P185&lt;&gt;""),ROUND((AM185*((100+SI!$C$11)/100)),0),"")</f>
        <v/>
      </c>
      <c r="AP185" s="28" t="str">
        <f>IF(AG185&lt;&gt;"",ROUND(AG185/SI!$C$9,2),"")</f>
        <v/>
      </c>
      <c r="AQ185" s="4" t="str">
        <f>IF(AH185&lt;&gt;"",ROUND(AH185/SI!$C$9,2),"")</f>
        <v/>
      </c>
      <c r="AR185" s="29" t="str">
        <f>IF(AI185&lt;&gt;"",ROUND(AI185/SI!$C$9,2),"")</f>
        <v/>
      </c>
      <c r="AS185" s="4" t="str">
        <f t="shared" si="69"/>
        <v/>
      </c>
      <c r="AT185" s="4" t="str">
        <f t="shared" si="70"/>
        <v/>
      </c>
      <c r="AU185" s="4" t="str">
        <f>IF(AL185&lt;&gt;"",ROUND(AL185/SI!$C$9,2),"")</f>
        <v/>
      </c>
      <c r="AV185" s="4" t="str">
        <f>IF(AM185&lt;&gt;"",ROUND(AM185/SI!$C$9,2),"")</f>
        <v/>
      </c>
      <c r="AW185" s="4" t="str">
        <f>IF(AN185&lt;&gt;"",ROUND(AN185/SI!$C$9,2),"")</f>
        <v/>
      </c>
      <c r="AX185" s="261" t="str">
        <f>IF(AO185&lt;&gt;"",ROUND(AO185/SI!$C$9,2),"")</f>
        <v/>
      </c>
      <c r="AY185" s="28" t="str">
        <f t="shared" si="71"/>
        <v/>
      </c>
      <c r="AZ185" s="4" t="str">
        <f>IF(AY185&lt;&gt;"",ROUND(AY185/(SI!$C$9*SI!$C$10),2),"")</f>
        <v/>
      </c>
      <c r="BA185" s="4" t="str">
        <f t="shared" si="72"/>
        <v/>
      </c>
      <c r="BB185" s="4" t="str">
        <f t="shared" si="73"/>
        <v/>
      </c>
      <c r="BC185" s="4" t="str">
        <f t="shared" si="74"/>
        <v/>
      </c>
      <c r="BD185" s="4" t="str">
        <f t="shared" si="75"/>
        <v/>
      </c>
      <c r="BE185" s="4" t="str">
        <f>IF(AND(X185&lt;&gt;""),ROUND(X185/SI!$C$10,2),"")</f>
        <v/>
      </c>
      <c r="BF185" s="4" t="str">
        <f t="shared" si="77"/>
        <v/>
      </c>
      <c r="BG185" s="264" t="str">
        <f t="shared" si="76"/>
        <v/>
      </c>
      <c r="BH185" s="71" t="str">
        <f>IF(F185&lt;&gt;"",VLOOKUP(F185,DUTY_2025!A:O,15,FALSE),"")</f>
        <v/>
      </c>
    </row>
    <row r="186" spans="1:60" x14ac:dyDescent="0.25">
      <c r="A186" s="133">
        <f t="shared" si="52"/>
        <v>66</v>
      </c>
      <c r="B186" s="83" t="str">
        <f t="shared" si="53"/>
        <v/>
      </c>
      <c r="C186" s="126"/>
      <c r="D186" s="130"/>
      <c r="E186" s="22"/>
      <c r="F186" s="85"/>
      <c r="G186" s="27" t="str">
        <f>IF(F186&lt;&gt;"",IFERROR(VLOOKUP(F186,DUTY_2025!A:I,6,FALSE),""),"")</f>
        <v/>
      </c>
      <c r="H186" s="85" t="s">
        <v>133</v>
      </c>
      <c r="I186" s="27" t="str">
        <f>IF(F186&lt;&gt;"",IFERROR(VLOOKUP(F186,DUTY_2025!A:H,2,FALSE),""),"")</f>
        <v/>
      </c>
      <c r="J186" s="98"/>
      <c r="K186" s="98"/>
      <c r="L186" s="22"/>
      <c r="M186" s="22"/>
      <c r="N186" s="84"/>
      <c r="O186" s="22"/>
      <c r="P186" s="116"/>
      <c r="Q186" s="23"/>
      <c r="R186" s="27"/>
      <c r="S186" s="86" t="str">
        <f t="shared" si="54"/>
        <v/>
      </c>
      <c r="T186" s="87" t="str">
        <f t="shared" si="55"/>
        <v/>
      </c>
      <c r="U186" s="87" t="str" cm="1">
        <f t="array" ref="U186">IF(AND(H186&lt;&gt;"YES",P186&lt;&gt;"",R186&lt;&gt;"",Q186&lt;&gt;""),
_xlfn.SWITCH(Q186,
"INR",_xlfn.SWITCH(R186,"KG",P186*S186,"CTN",P186,"UNIT",P186*N186,"NET",P186/M186,0),
"USD",_xlfn.SWITCH(R186,"KG",P186*S186*SI!$C$10,"CTN",P186*SI!$C$10,"UNIT",P186*N186*SI!$C$10,"NET",P186*SI!$C$10/M186,0),
"LKR",_xlfn.SWITCH(R186,"KG",P186*S186/SI!$C$9,"CTN",P186/SI!$C$9,"UNIT",P186*N186/SI!$C$9,"NET",P186/(M186*SI!$C$9),0),
0),
"")</f>
        <v/>
      </c>
      <c r="V186" s="87" t="str">
        <f t="shared" si="56"/>
        <v/>
      </c>
      <c r="W186" s="87" t="str">
        <f t="shared" si="57"/>
        <v/>
      </c>
      <c r="X186" s="88" t="str">
        <f t="shared" si="58"/>
        <v/>
      </c>
      <c r="Y186" s="24" t="str">
        <f t="shared" si="59"/>
        <v/>
      </c>
      <c r="Z186" s="267" t="str">
        <f>IF(AND(H186&lt;&gt;"yes",F186&lt;&gt;""),IFERROR(VLOOKUP(F186,DUTY_2025!A:F,5,FALSE),""),"")</f>
        <v/>
      </c>
      <c r="AA186" s="271" t="str">
        <f t="shared" si="60"/>
        <v/>
      </c>
      <c r="AB186" s="16" t="str">
        <f t="shared" si="61"/>
        <v/>
      </c>
      <c r="AC186" s="16" t="str">
        <f>IF(AA186&lt;&gt;"",ROUND(AA186*SI!$C$9,0),"")</f>
        <v/>
      </c>
      <c r="AD186" s="4" t="str">
        <f>IF(AC186&lt;&gt;"",ROUND(AC186/(SI!$C$9*SI!$C$10),2),"")</f>
        <v/>
      </c>
      <c r="AE186" s="30" t="str">
        <f>IF(AND(X186&lt;&gt;""), ROUND((SI!$E$23)*(X186/SUM($X$5:$X$493)),0),"")</f>
        <v/>
      </c>
      <c r="AF186" s="272" t="str">
        <f t="shared" si="62"/>
        <v/>
      </c>
      <c r="AG186" s="28" t="str">
        <f t="shared" si="63"/>
        <v/>
      </c>
      <c r="AH186" s="4" t="str">
        <f>IF(AD186&lt;&gt;"",ROUND(AD186*10*SI!$C$9/2,0),"")</f>
        <v/>
      </c>
      <c r="AI186" s="29" t="str">
        <f>IF(AND(X186&lt;&gt;""), ROUND((SI!$E$28)*(X186/SUM($X$5:$X$493)),0),"")</f>
        <v/>
      </c>
      <c r="AJ186" s="4" t="str">
        <f t="shared" si="64"/>
        <v/>
      </c>
      <c r="AK186" s="4" t="str">
        <f t="shared" si="65"/>
        <v/>
      </c>
      <c r="AL186" s="4" t="str">
        <f t="shared" si="66"/>
        <v/>
      </c>
      <c r="AM186" s="4" t="str">
        <f t="shared" si="67"/>
        <v/>
      </c>
      <c r="AN186" s="195" t="str">
        <f t="shared" si="68"/>
        <v/>
      </c>
      <c r="AO186" s="261" t="str">
        <f>IF(AND(AM186&lt;&gt;"",P186&lt;&gt;""),ROUND((AM186*((100+SI!$C$11)/100)),0),"")</f>
        <v/>
      </c>
      <c r="AP186" s="28" t="str">
        <f>IF(AG186&lt;&gt;"",ROUND(AG186/SI!$C$9,2),"")</f>
        <v/>
      </c>
      <c r="AQ186" s="4" t="str">
        <f>IF(AH186&lt;&gt;"",ROUND(AH186/SI!$C$9,2),"")</f>
        <v/>
      </c>
      <c r="AR186" s="29" t="str">
        <f>IF(AI186&lt;&gt;"",ROUND(AI186/SI!$C$9,2),"")</f>
        <v/>
      </c>
      <c r="AS186" s="4" t="str">
        <f t="shared" si="69"/>
        <v/>
      </c>
      <c r="AT186" s="4" t="str">
        <f t="shared" si="70"/>
        <v/>
      </c>
      <c r="AU186" s="4" t="str">
        <f>IF(AL186&lt;&gt;"",ROUND(AL186/SI!$C$9,2),"")</f>
        <v/>
      </c>
      <c r="AV186" s="4" t="str">
        <f>IF(AM186&lt;&gt;"",ROUND(AM186/SI!$C$9,2),"")</f>
        <v/>
      </c>
      <c r="AW186" s="4" t="str">
        <f>IF(AN186&lt;&gt;"",ROUND(AN186/SI!$C$9,2),"")</f>
        <v/>
      </c>
      <c r="AX186" s="261" t="str">
        <f>IF(AO186&lt;&gt;"",ROUND(AO186/SI!$C$9,2),"")</f>
        <v/>
      </c>
      <c r="AY186" s="28" t="str">
        <f t="shared" si="71"/>
        <v/>
      </c>
      <c r="AZ186" s="4" t="str">
        <f>IF(AY186&lt;&gt;"",ROUND(AY186/(SI!$C$9*SI!$C$10),2),"")</f>
        <v/>
      </c>
      <c r="BA186" s="4" t="str">
        <f t="shared" si="72"/>
        <v/>
      </c>
      <c r="BB186" s="4" t="str">
        <f t="shared" si="73"/>
        <v/>
      </c>
      <c r="BC186" s="4" t="str">
        <f t="shared" si="74"/>
        <v/>
      </c>
      <c r="BD186" s="4" t="str">
        <f t="shared" si="75"/>
        <v/>
      </c>
      <c r="BE186" s="4" t="str">
        <f>IF(AND(X186&lt;&gt;""),ROUND(X186/SI!$C$10,2),"")</f>
        <v/>
      </c>
      <c r="BF186" s="4" t="str">
        <f t="shared" si="77"/>
        <v/>
      </c>
      <c r="BG186" s="264" t="str">
        <f t="shared" si="76"/>
        <v/>
      </c>
      <c r="BH186" s="71" t="str">
        <f>IF(F186&lt;&gt;"",VLOOKUP(F186,DUTY_2025!A:O,15,FALSE),"")</f>
        <v/>
      </c>
    </row>
    <row r="187" spans="1:60" x14ac:dyDescent="0.25">
      <c r="A187" s="133">
        <f t="shared" si="52"/>
        <v>66</v>
      </c>
      <c r="B187" s="83" t="str">
        <f t="shared" si="53"/>
        <v/>
      </c>
      <c r="C187" s="126"/>
      <c r="D187" s="130"/>
      <c r="E187" s="22"/>
      <c r="F187" s="85"/>
      <c r="G187" s="27" t="str">
        <f>IF(F187&lt;&gt;"",IFERROR(VLOOKUP(F187,DUTY_2025!A:I,6,FALSE),""),"")</f>
        <v/>
      </c>
      <c r="H187" s="85" t="s">
        <v>133</v>
      </c>
      <c r="I187" s="27" t="str">
        <f>IF(F187&lt;&gt;"",IFERROR(VLOOKUP(F187,DUTY_2025!A:H,2,FALSE),""),"")</f>
        <v/>
      </c>
      <c r="J187" s="98"/>
      <c r="K187" s="98"/>
      <c r="L187" s="22"/>
      <c r="M187" s="22"/>
      <c r="N187" s="84"/>
      <c r="O187" s="22"/>
      <c r="P187" s="116"/>
      <c r="Q187" s="23"/>
      <c r="R187" s="27"/>
      <c r="S187" s="86" t="str">
        <f t="shared" si="54"/>
        <v/>
      </c>
      <c r="T187" s="87" t="str">
        <f t="shared" si="55"/>
        <v/>
      </c>
      <c r="U187" s="87" t="str" cm="1">
        <f t="array" ref="U187">IF(AND(H187&lt;&gt;"YES",P187&lt;&gt;"",R187&lt;&gt;"",Q187&lt;&gt;""),
_xlfn.SWITCH(Q187,
"INR",_xlfn.SWITCH(R187,"KG",P187*S187,"CTN",P187,"UNIT",P187*N187,"NET",P187/M187,0),
"USD",_xlfn.SWITCH(R187,"KG",P187*S187*SI!$C$10,"CTN",P187*SI!$C$10,"UNIT",P187*N187*SI!$C$10,"NET",P187*SI!$C$10/M187,0),
"LKR",_xlfn.SWITCH(R187,"KG",P187*S187/SI!$C$9,"CTN",P187/SI!$C$9,"UNIT",P187*N187/SI!$C$9,"NET",P187/(M187*SI!$C$9),0),
0),
"")</f>
        <v/>
      </c>
      <c r="V187" s="87" t="str">
        <f t="shared" si="56"/>
        <v/>
      </c>
      <c r="W187" s="87" t="str">
        <f t="shared" si="57"/>
        <v/>
      </c>
      <c r="X187" s="88" t="str">
        <f t="shared" si="58"/>
        <v/>
      </c>
      <c r="Y187" s="24" t="str">
        <f t="shared" si="59"/>
        <v/>
      </c>
      <c r="Z187" s="267" t="str">
        <f>IF(AND(H187&lt;&gt;"yes",F187&lt;&gt;""),IFERROR(VLOOKUP(F187,DUTY_2025!A:F,5,FALSE),""),"")</f>
        <v/>
      </c>
      <c r="AA187" s="271" t="str">
        <f t="shared" si="60"/>
        <v/>
      </c>
      <c r="AB187" s="16" t="str">
        <f t="shared" si="61"/>
        <v/>
      </c>
      <c r="AC187" s="16" t="str">
        <f>IF(AA187&lt;&gt;"",ROUND(AA187*SI!$C$9,0),"")</f>
        <v/>
      </c>
      <c r="AD187" s="4" t="str">
        <f>IF(AC187&lt;&gt;"",ROUND(AC187/(SI!$C$9*SI!$C$10),2),"")</f>
        <v/>
      </c>
      <c r="AE187" s="30" t="str">
        <f>IF(AND(X187&lt;&gt;""), ROUND((SI!$E$23)*(X187/SUM($X$5:$X$493)),0),"")</f>
        <v/>
      </c>
      <c r="AF187" s="272" t="str">
        <f t="shared" si="62"/>
        <v/>
      </c>
      <c r="AG187" s="28" t="str">
        <f t="shared" si="63"/>
        <v/>
      </c>
      <c r="AH187" s="4" t="str">
        <f>IF(AD187&lt;&gt;"",ROUND(AD187*10*SI!$C$9/2,0),"")</f>
        <v/>
      </c>
      <c r="AI187" s="29" t="str">
        <f>IF(AND(X187&lt;&gt;""), ROUND((SI!$E$28)*(X187/SUM($X$5:$X$493)),0),"")</f>
        <v/>
      </c>
      <c r="AJ187" s="4" t="str">
        <f t="shared" si="64"/>
        <v/>
      </c>
      <c r="AK187" s="4" t="str">
        <f t="shared" si="65"/>
        <v/>
      </c>
      <c r="AL187" s="4" t="str">
        <f t="shared" si="66"/>
        <v/>
      </c>
      <c r="AM187" s="4" t="str">
        <f t="shared" si="67"/>
        <v/>
      </c>
      <c r="AN187" s="195" t="str">
        <f t="shared" si="68"/>
        <v/>
      </c>
      <c r="AO187" s="261" t="str">
        <f>IF(AND(AM187&lt;&gt;"",P187&lt;&gt;""),ROUND((AM187*((100+SI!$C$11)/100)),0),"")</f>
        <v/>
      </c>
      <c r="AP187" s="28" t="str">
        <f>IF(AG187&lt;&gt;"",ROUND(AG187/SI!$C$9,2),"")</f>
        <v/>
      </c>
      <c r="AQ187" s="4" t="str">
        <f>IF(AH187&lt;&gt;"",ROUND(AH187/SI!$C$9,2),"")</f>
        <v/>
      </c>
      <c r="AR187" s="29" t="str">
        <f>IF(AI187&lt;&gt;"",ROUND(AI187/SI!$C$9,2),"")</f>
        <v/>
      </c>
      <c r="AS187" s="4" t="str">
        <f t="shared" si="69"/>
        <v/>
      </c>
      <c r="AT187" s="4" t="str">
        <f t="shared" si="70"/>
        <v/>
      </c>
      <c r="AU187" s="4" t="str">
        <f>IF(AL187&lt;&gt;"",ROUND(AL187/SI!$C$9,2),"")</f>
        <v/>
      </c>
      <c r="AV187" s="4" t="str">
        <f>IF(AM187&lt;&gt;"",ROUND(AM187/SI!$C$9,2),"")</f>
        <v/>
      </c>
      <c r="AW187" s="4" t="str">
        <f>IF(AN187&lt;&gt;"",ROUND(AN187/SI!$C$9,2),"")</f>
        <v/>
      </c>
      <c r="AX187" s="261" t="str">
        <f>IF(AO187&lt;&gt;"",ROUND(AO187/SI!$C$9,2),"")</f>
        <v/>
      </c>
      <c r="AY187" s="28" t="str">
        <f t="shared" si="71"/>
        <v/>
      </c>
      <c r="AZ187" s="4" t="str">
        <f>IF(AY187&lt;&gt;"",ROUND(AY187/(SI!$C$9*SI!$C$10),2),"")</f>
        <v/>
      </c>
      <c r="BA187" s="4" t="str">
        <f t="shared" si="72"/>
        <v/>
      </c>
      <c r="BB187" s="4" t="str">
        <f t="shared" si="73"/>
        <v/>
      </c>
      <c r="BC187" s="4" t="str">
        <f t="shared" si="74"/>
        <v/>
      </c>
      <c r="BD187" s="4" t="str">
        <f t="shared" si="75"/>
        <v/>
      </c>
      <c r="BE187" s="4" t="str">
        <f>IF(AND(X187&lt;&gt;""),ROUND(X187/SI!$C$10,2),"")</f>
        <v/>
      </c>
      <c r="BF187" s="4" t="str">
        <f t="shared" si="77"/>
        <v/>
      </c>
      <c r="BG187" s="264" t="str">
        <f t="shared" si="76"/>
        <v/>
      </c>
      <c r="BH187" s="71" t="str">
        <f>IF(F187&lt;&gt;"",VLOOKUP(F187,DUTY_2025!A:O,15,FALSE),"")</f>
        <v/>
      </c>
    </row>
    <row r="188" spans="1:60" x14ac:dyDescent="0.25">
      <c r="A188" s="133">
        <f t="shared" si="52"/>
        <v>66</v>
      </c>
      <c r="B188" s="83" t="str">
        <f t="shared" si="53"/>
        <v/>
      </c>
      <c r="C188" s="126"/>
      <c r="D188" s="130"/>
      <c r="E188" s="22"/>
      <c r="F188" s="85"/>
      <c r="G188" s="27" t="str">
        <f>IF(F188&lt;&gt;"",IFERROR(VLOOKUP(F188,DUTY_2025!A:I,6,FALSE),""),"")</f>
        <v/>
      </c>
      <c r="H188" s="85" t="s">
        <v>133</v>
      </c>
      <c r="I188" s="27" t="str">
        <f>IF(F188&lt;&gt;"",IFERROR(VLOOKUP(F188,DUTY_2025!A:H,2,FALSE),""),"")</f>
        <v/>
      </c>
      <c r="J188" s="98"/>
      <c r="K188" s="98"/>
      <c r="L188" s="22"/>
      <c r="M188" s="22"/>
      <c r="N188" s="84"/>
      <c r="O188" s="22"/>
      <c r="P188" s="116"/>
      <c r="Q188" s="23"/>
      <c r="R188" s="27"/>
      <c r="S188" s="86" t="str">
        <f t="shared" si="54"/>
        <v/>
      </c>
      <c r="T188" s="87" t="str">
        <f t="shared" si="55"/>
        <v/>
      </c>
      <c r="U188" s="87" t="str" cm="1">
        <f t="array" ref="U188">IF(AND(H188&lt;&gt;"YES",P188&lt;&gt;"",R188&lt;&gt;"",Q188&lt;&gt;""),
_xlfn.SWITCH(Q188,
"INR",_xlfn.SWITCH(R188,"KG",P188*S188,"CTN",P188,"UNIT",P188*N188,"NET",P188/M188,0),
"USD",_xlfn.SWITCH(R188,"KG",P188*S188*SI!$C$10,"CTN",P188*SI!$C$10,"UNIT",P188*N188*SI!$C$10,"NET",P188*SI!$C$10/M188,0),
"LKR",_xlfn.SWITCH(R188,"KG",P188*S188/SI!$C$9,"CTN",P188/SI!$C$9,"UNIT",P188*N188/SI!$C$9,"NET",P188/(M188*SI!$C$9),0),
0),
"")</f>
        <v/>
      </c>
      <c r="V188" s="87" t="str">
        <f t="shared" si="56"/>
        <v/>
      </c>
      <c r="W188" s="87" t="str">
        <f t="shared" si="57"/>
        <v/>
      </c>
      <c r="X188" s="88" t="str">
        <f t="shared" si="58"/>
        <v/>
      </c>
      <c r="Y188" s="24" t="str">
        <f t="shared" si="59"/>
        <v/>
      </c>
      <c r="Z188" s="267" t="str">
        <f>IF(AND(H188&lt;&gt;"yes",F188&lt;&gt;""),IFERROR(VLOOKUP(F188,DUTY_2025!A:F,5,FALSE),""),"")</f>
        <v/>
      </c>
      <c r="AA188" s="271" t="str">
        <f t="shared" si="60"/>
        <v/>
      </c>
      <c r="AB188" s="16" t="str">
        <f t="shared" si="61"/>
        <v/>
      </c>
      <c r="AC188" s="16" t="str">
        <f>IF(AA188&lt;&gt;"",ROUND(AA188*SI!$C$9,0),"")</f>
        <v/>
      </c>
      <c r="AD188" s="4" t="str">
        <f>IF(AC188&lt;&gt;"",ROUND(AC188/(SI!$C$9*SI!$C$10),2),"")</f>
        <v/>
      </c>
      <c r="AE188" s="30" t="str">
        <f>IF(AND(X188&lt;&gt;""), ROUND((SI!$E$23)*(X188/SUM($X$5:$X$493)),0),"")</f>
        <v/>
      </c>
      <c r="AF188" s="272" t="str">
        <f t="shared" si="62"/>
        <v/>
      </c>
      <c r="AG188" s="28" t="str">
        <f t="shared" si="63"/>
        <v/>
      </c>
      <c r="AH188" s="4" t="str">
        <f>IF(AD188&lt;&gt;"",ROUND(AD188*10*SI!$C$9/2,0),"")</f>
        <v/>
      </c>
      <c r="AI188" s="29" t="str">
        <f>IF(AND(X188&lt;&gt;""), ROUND((SI!$E$28)*(X188/SUM($X$5:$X$493)),0),"")</f>
        <v/>
      </c>
      <c r="AJ188" s="4" t="str">
        <f t="shared" si="64"/>
        <v/>
      </c>
      <c r="AK188" s="4" t="str">
        <f t="shared" si="65"/>
        <v/>
      </c>
      <c r="AL188" s="4" t="str">
        <f t="shared" si="66"/>
        <v/>
      </c>
      <c r="AM188" s="4" t="str">
        <f t="shared" si="67"/>
        <v/>
      </c>
      <c r="AN188" s="195" t="str">
        <f t="shared" si="68"/>
        <v/>
      </c>
      <c r="AO188" s="261" t="str">
        <f>IF(AND(AM188&lt;&gt;"",P188&lt;&gt;""),ROUND((AM188*((100+SI!$C$11)/100)),0),"")</f>
        <v/>
      </c>
      <c r="AP188" s="28" t="str">
        <f>IF(AG188&lt;&gt;"",ROUND(AG188/SI!$C$9,2),"")</f>
        <v/>
      </c>
      <c r="AQ188" s="4" t="str">
        <f>IF(AH188&lt;&gt;"",ROUND(AH188/SI!$C$9,2),"")</f>
        <v/>
      </c>
      <c r="AR188" s="29" t="str">
        <f>IF(AI188&lt;&gt;"",ROUND(AI188/SI!$C$9,2),"")</f>
        <v/>
      </c>
      <c r="AS188" s="4" t="str">
        <f t="shared" si="69"/>
        <v/>
      </c>
      <c r="AT188" s="4" t="str">
        <f t="shared" si="70"/>
        <v/>
      </c>
      <c r="AU188" s="4" t="str">
        <f>IF(AL188&lt;&gt;"",ROUND(AL188/SI!$C$9,2),"")</f>
        <v/>
      </c>
      <c r="AV188" s="4" t="str">
        <f>IF(AM188&lt;&gt;"",ROUND(AM188/SI!$C$9,2),"")</f>
        <v/>
      </c>
      <c r="AW188" s="4" t="str">
        <f>IF(AN188&lt;&gt;"",ROUND(AN188/SI!$C$9,2),"")</f>
        <v/>
      </c>
      <c r="AX188" s="261" t="str">
        <f>IF(AO188&lt;&gt;"",ROUND(AO188/SI!$C$9,2),"")</f>
        <v/>
      </c>
      <c r="AY188" s="28" t="str">
        <f t="shared" si="71"/>
        <v/>
      </c>
      <c r="AZ188" s="4" t="str">
        <f>IF(AY188&lt;&gt;"",ROUND(AY188/(SI!$C$9*SI!$C$10),2),"")</f>
        <v/>
      </c>
      <c r="BA188" s="4" t="str">
        <f t="shared" si="72"/>
        <v/>
      </c>
      <c r="BB188" s="4" t="str">
        <f t="shared" si="73"/>
        <v/>
      </c>
      <c r="BC188" s="4" t="str">
        <f t="shared" si="74"/>
        <v/>
      </c>
      <c r="BD188" s="4" t="str">
        <f t="shared" si="75"/>
        <v/>
      </c>
      <c r="BE188" s="4" t="str">
        <f>IF(AND(X188&lt;&gt;""),ROUND(X188/SI!$C$10,2),"")</f>
        <v/>
      </c>
      <c r="BF188" s="4" t="str">
        <f t="shared" si="77"/>
        <v/>
      </c>
      <c r="BG188" s="264" t="str">
        <f t="shared" si="76"/>
        <v/>
      </c>
      <c r="BH188" s="71" t="str">
        <f>IF(F188&lt;&gt;"",VLOOKUP(F188,DUTY_2025!A:O,15,FALSE),"")</f>
        <v/>
      </c>
    </row>
    <row r="189" spans="1:60" x14ac:dyDescent="0.25">
      <c r="A189" s="133">
        <f t="shared" si="52"/>
        <v>66</v>
      </c>
      <c r="B189" s="83" t="str">
        <f t="shared" si="53"/>
        <v/>
      </c>
      <c r="C189" s="126"/>
      <c r="D189" s="130"/>
      <c r="E189" s="22"/>
      <c r="F189" s="85"/>
      <c r="G189" s="27" t="str">
        <f>IF(F189&lt;&gt;"",IFERROR(VLOOKUP(F189,DUTY_2025!A:I,6,FALSE),""),"")</f>
        <v/>
      </c>
      <c r="H189" s="85" t="s">
        <v>133</v>
      </c>
      <c r="I189" s="27" t="str">
        <f>IF(F189&lt;&gt;"",IFERROR(VLOOKUP(F189,DUTY_2025!A:H,2,FALSE),""),"")</f>
        <v/>
      </c>
      <c r="J189" s="98"/>
      <c r="K189" s="98"/>
      <c r="L189" s="22"/>
      <c r="M189" s="22"/>
      <c r="N189" s="84"/>
      <c r="O189" s="22"/>
      <c r="P189" s="116"/>
      <c r="Q189" s="23"/>
      <c r="R189" s="27"/>
      <c r="S189" s="86" t="str">
        <f t="shared" si="54"/>
        <v/>
      </c>
      <c r="T189" s="87" t="str">
        <f t="shared" si="55"/>
        <v/>
      </c>
      <c r="U189" s="87" t="str" cm="1">
        <f t="array" ref="U189">IF(AND(H189&lt;&gt;"YES",P189&lt;&gt;"",R189&lt;&gt;"",Q189&lt;&gt;""),
_xlfn.SWITCH(Q189,
"INR",_xlfn.SWITCH(R189,"KG",P189*S189,"CTN",P189,"UNIT",P189*N189,"NET",P189/M189,0),
"USD",_xlfn.SWITCH(R189,"KG",P189*S189*SI!$C$10,"CTN",P189*SI!$C$10,"UNIT",P189*N189*SI!$C$10,"NET",P189*SI!$C$10/M189,0),
"LKR",_xlfn.SWITCH(R189,"KG",P189*S189/SI!$C$9,"CTN",P189/SI!$C$9,"UNIT",P189*N189/SI!$C$9,"NET",P189/(M189*SI!$C$9),0),
0),
"")</f>
        <v/>
      </c>
      <c r="V189" s="87" t="str">
        <f t="shared" si="56"/>
        <v/>
      </c>
      <c r="W189" s="87" t="str">
        <f t="shared" si="57"/>
        <v/>
      </c>
      <c r="X189" s="88" t="str">
        <f t="shared" si="58"/>
        <v/>
      </c>
      <c r="Y189" s="24" t="str">
        <f t="shared" si="59"/>
        <v/>
      </c>
      <c r="Z189" s="267" t="str">
        <f>IF(AND(H189&lt;&gt;"yes",F189&lt;&gt;""),IFERROR(VLOOKUP(F189,DUTY_2025!A:F,5,FALSE),""),"")</f>
        <v/>
      </c>
      <c r="AA189" s="271" t="str">
        <f t="shared" si="60"/>
        <v/>
      </c>
      <c r="AB189" s="16" t="str">
        <f t="shared" si="61"/>
        <v/>
      </c>
      <c r="AC189" s="16" t="str">
        <f>IF(AA189&lt;&gt;"",ROUND(AA189*SI!$C$9,0),"")</f>
        <v/>
      </c>
      <c r="AD189" s="4" t="str">
        <f>IF(AC189&lt;&gt;"",ROUND(AC189/(SI!$C$9*SI!$C$10),2),"")</f>
        <v/>
      </c>
      <c r="AE189" s="30" t="str">
        <f>IF(AND(X189&lt;&gt;""), ROUND((SI!$E$23)*(X189/SUM($X$5:$X$493)),0),"")</f>
        <v/>
      </c>
      <c r="AF189" s="272" t="str">
        <f t="shared" si="62"/>
        <v/>
      </c>
      <c r="AG189" s="28" t="str">
        <f t="shared" si="63"/>
        <v/>
      </c>
      <c r="AH189" s="4" t="str">
        <f>IF(AD189&lt;&gt;"",ROUND(AD189*10*SI!$C$9/2,0),"")</f>
        <v/>
      </c>
      <c r="AI189" s="29" t="str">
        <f>IF(AND(X189&lt;&gt;""), ROUND((SI!$E$28)*(X189/SUM($X$5:$X$493)),0),"")</f>
        <v/>
      </c>
      <c r="AJ189" s="4" t="str">
        <f t="shared" si="64"/>
        <v/>
      </c>
      <c r="AK189" s="4" t="str">
        <f t="shared" si="65"/>
        <v/>
      </c>
      <c r="AL189" s="4" t="str">
        <f t="shared" si="66"/>
        <v/>
      </c>
      <c r="AM189" s="4" t="str">
        <f t="shared" si="67"/>
        <v/>
      </c>
      <c r="AN189" s="195" t="str">
        <f t="shared" si="68"/>
        <v/>
      </c>
      <c r="AO189" s="261" t="str">
        <f>IF(AND(AM189&lt;&gt;"",P189&lt;&gt;""),ROUND((AM189*((100+SI!$C$11)/100)),0),"")</f>
        <v/>
      </c>
      <c r="AP189" s="28" t="str">
        <f>IF(AG189&lt;&gt;"",ROUND(AG189/SI!$C$9,2),"")</f>
        <v/>
      </c>
      <c r="AQ189" s="4" t="str">
        <f>IF(AH189&lt;&gt;"",ROUND(AH189/SI!$C$9,2),"")</f>
        <v/>
      </c>
      <c r="AR189" s="29" t="str">
        <f>IF(AI189&lt;&gt;"",ROUND(AI189/SI!$C$9,2),"")</f>
        <v/>
      </c>
      <c r="AS189" s="4" t="str">
        <f t="shared" si="69"/>
        <v/>
      </c>
      <c r="AT189" s="4" t="str">
        <f t="shared" si="70"/>
        <v/>
      </c>
      <c r="AU189" s="4" t="str">
        <f>IF(AL189&lt;&gt;"",ROUND(AL189/SI!$C$9,2),"")</f>
        <v/>
      </c>
      <c r="AV189" s="4" t="str">
        <f>IF(AM189&lt;&gt;"",ROUND(AM189/SI!$C$9,2),"")</f>
        <v/>
      </c>
      <c r="AW189" s="4" t="str">
        <f>IF(AN189&lt;&gt;"",ROUND(AN189/SI!$C$9,2),"")</f>
        <v/>
      </c>
      <c r="AX189" s="261" t="str">
        <f>IF(AO189&lt;&gt;"",ROUND(AO189/SI!$C$9,2),"")</f>
        <v/>
      </c>
      <c r="AY189" s="28" t="str">
        <f t="shared" si="71"/>
        <v/>
      </c>
      <c r="AZ189" s="4" t="str">
        <f>IF(AY189&lt;&gt;"",ROUND(AY189/(SI!$C$9*SI!$C$10),2),"")</f>
        <v/>
      </c>
      <c r="BA189" s="4" t="str">
        <f t="shared" si="72"/>
        <v/>
      </c>
      <c r="BB189" s="4" t="str">
        <f t="shared" si="73"/>
        <v/>
      </c>
      <c r="BC189" s="4" t="str">
        <f t="shared" si="74"/>
        <v/>
      </c>
      <c r="BD189" s="4" t="str">
        <f t="shared" si="75"/>
        <v/>
      </c>
      <c r="BE189" s="4" t="str">
        <f>IF(AND(X189&lt;&gt;""),ROUND(X189/SI!$C$10,2),"")</f>
        <v/>
      </c>
      <c r="BF189" s="4" t="str">
        <f t="shared" si="77"/>
        <v/>
      </c>
      <c r="BG189" s="264" t="str">
        <f t="shared" si="76"/>
        <v/>
      </c>
      <c r="BH189" s="71" t="str">
        <f>IF(F189&lt;&gt;"",VLOOKUP(F189,DUTY_2025!A:O,15,FALSE),"")</f>
        <v/>
      </c>
    </row>
    <row r="190" spans="1:60" x14ac:dyDescent="0.25">
      <c r="A190" s="133">
        <f t="shared" si="52"/>
        <v>66</v>
      </c>
      <c r="B190" s="83" t="str">
        <f t="shared" si="53"/>
        <v/>
      </c>
      <c r="C190" s="126"/>
      <c r="D190" s="130"/>
      <c r="E190" s="22"/>
      <c r="F190" s="85"/>
      <c r="G190" s="27" t="str">
        <f>IF(F190&lt;&gt;"",IFERROR(VLOOKUP(F190,DUTY_2025!A:I,6,FALSE),""),"")</f>
        <v/>
      </c>
      <c r="H190" s="85" t="s">
        <v>133</v>
      </c>
      <c r="I190" s="27" t="str">
        <f>IF(F190&lt;&gt;"",IFERROR(VLOOKUP(F190,DUTY_2025!A:H,2,FALSE),""),"")</f>
        <v/>
      </c>
      <c r="J190" s="98"/>
      <c r="K190" s="98"/>
      <c r="L190" s="22"/>
      <c r="M190" s="22"/>
      <c r="N190" s="84"/>
      <c r="O190" s="22"/>
      <c r="P190" s="116"/>
      <c r="Q190" s="23"/>
      <c r="R190" s="27"/>
      <c r="S190" s="86" t="str">
        <f t="shared" si="54"/>
        <v/>
      </c>
      <c r="T190" s="87" t="str">
        <f t="shared" si="55"/>
        <v/>
      </c>
      <c r="U190" s="87" t="str" cm="1">
        <f t="array" ref="U190">IF(AND(H190&lt;&gt;"YES",P190&lt;&gt;"",R190&lt;&gt;"",Q190&lt;&gt;""),
_xlfn.SWITCH(Q190,
"INR",_xlfn.SWITCH(R190,"KG",P190*S190,"CTN",P190,"UNIT",P190*N190,"NET",P190/M190,0),
"USD",_xlfn.SWITCH(R190,"KG",P190*S190*SI!$C$10,"CTN",P190*SI!$C$10,"UNIT",P190*N190*SI!$C$10,"NET",P190*SI!$C$10/M190,0),
"LKR",_xlfn.SWITCH(R190,"KG",P190*S190/SI!$C$9,"CTN",P190/SI!$C$9,"UNIT",P190*N190/SI!$C$9,"NET",P190/(M190*SI!$C$9),0),
0),
"")</f>
        <v/>
      </c>
      <c r="V190" s="87" t="str">
        <f t="shared" si="56"/>
        <v/>
      </c>
      <c r="W190" s="87" t="str">
        <f t="shared" si="57"/>
        <v/>
      </c>
      <c r="X190" s="88" t="str">
        <f t="shared" si="58"/>
        <v/>
      </c>
      <c r="Y190" s="24" t="str">
        <f t="shared" si="59"/>
        <v/>
      </c>
      <c r="Z190" s="267" t="str">
        <f>IF(AND(H190&lt;&gt;"yes",F190&lt;&gt;""),IFERROR(VLOOKUP(F190,DUTY_2025!A:F,5,FALSE),""),"")</f>
        <v/>
      </c>
      <c r="AA190" s="271" t="str">
        <f t="shared" si="60"/>
        <v/>
      </c>
      <c r="AB190" s="16" t="str">
        <f t="shared" si="61"/>
        <v/>
      </c>
      <c r="AC190" s="16" t="str">
        <f>IF(AA190&lt;&gt;"",ROUND(AA190*SI!$C$9,0),"")</f>
        <v/>
      </c>
      <c r="AD190" s="4" t="str">
        <f>IF(AC190&lt;&gt;"",ROUND(AC190/(SI!$C$9*SI!$C$10),2),"")</f>
        <v/>
      </c>
      <c r="AE190" s="30" t="str">
        <f>IF(AND(X190&lt;&gt;""), ROUND((SI!$E$23)*(X190/SUM($X$5:$X$493)),0),"")</f>
        <v/>
      </c>
      <c r="AF190" s="272" t="str">
        <f t="shared" si="62"/>
        <v/>
      </c>
      <c r="AG190" s="28" t="str">
        <f t="shared" si="63"/>
        <v/>
      </c>
      <c r="AH190" s="4" t="str">
        <f>IF(AD190&lt;&gt;"",ROUND(AD190*10*SI!$C$9/2,0),"")</f>
        <v/>
      </c>
      <c r="AI190" s="29" t="str">
        <f>IF(AND(X190&lt;&gt;""), ROUND((SI!$E$28)*(X190/SUM($X$5:$X$493)),0),"")</f>
        <v/>
      </c>
      <c r="AJ190" s="4" t="str">
        <f t="shared" si="64"/>
        <v/>
      </c>
      <c r="AK190" s="4" t="str">
        <f t="shared" si="65"/>
        <v/>
      </c>
      <c r="AL190" s="4" t="str">
        <f t="shared" si="66"/>
        <v/>
      </c>
      <c r="AM190" s="4" t="str">
        <f t="shared" si="67"/>
        <v/>
      </c>
      <c r="AN190" s="195" t="str">
        <f t="shared" si="68"/>
        <v/>
      </c>
      <c r="AO190" s="261" t="str">
        <f>IF(AND(AM190&lt;&gt;"",P190&lt;&gt;""),ROUND((AM190*((100+SI!$C$11)/100)),0),"")</f>
        <v/>
      </c>
      <c r="AP190" s="28" t="str">
        <f>IF(AG190&lt;&gt;"",ROUND(AG190/SI!$C$9,2),"")</f>
        <v/>
      </c>
      <c r="AQ190" s="4" t="str">
        <f>IF(AH190&lt;&gt;"",ROUND(AH190/SI!$C$9,2),"")</f>
        <v/>
      </c>
      <c r="AR190" s="29" t="str">
        <f>IF(AI190&lt;&gt;"",ROUND(AI190/SI!$C$9,2),"")</f>
        <v/>
      </c>
      <c r="AS190" s="4" t="str">
        <f t="shared" si="69"/>
        <v/>
      </c>
      <c r="AT190" s="4" t="str">
        <f t="shared" si="70"/>
        <v/>
      </c>
      <c r="AU190" s="4" t="str">
        <f>IF(AL190&lt;&gt;"",ROUND(AL190/SI!$C$9,2),"")</f>
        <v/>
      </c>
      <c r="AV190" s="4" t="str">
        <f>IF(AM190&lt;&gt;"",ROUND(AM190/SI!$C$9,2),"")</f>
        <v/>
      </c>
      <c r="AW190" s="4" t="str">
        <f>IF(AN190&lt;&gt;"",ROUND(AN190/SI!$C$9,2),"")</f>
        <v/>
      </c>
      <c r="AX190" s="261" t="str">
        <f>IF(AO190&lt;&gt;"",ROUND(AO190/SI!$C$9,2),"")</f>
        <v/>
      </c>
      <c r="AY190" s="28" t="str">
        <f t="shared" si="71"/>
        <v/>
      </c>
      <c r="AZ190" s="4" t="str">
        <f>IF(AY190&lt;&gt;"",ROUND(AY190/(SI!$C$9*SI!$C$10),2),"")</f>
        <v/>
      </c>
      <c r="BA190" s="4" t="str">
        <f t="shared" si="72"/>
        <v/>
      </c>
      <c r="BB190" s="4" t="str">
        <f t="shared" si="73"/>
        <v/>
      </c>
      <c r="BC190" s="4" t="str">
        <f t="shared" si="74"/>
        <v/>
      </c>
      <c r="BD190" s="4" t="str">
        <f t="shared" si="75"/>
        <v/>
      </c>
      <c r="BE190" s="4" t="str">
        <f>IF(AND(X190&lt;&gt;""),ROUND(X190/SI!$C$10,2),"")</f>
        <v/>
      </c>
      <c r="BF190" s="4" t="str">
        <f t="shared" si="77"/>
        <v/>
      </c>
      <c r="BG190" s="264" t="str">
        <f t="shared" si="76"/>
        <v/>
      </c>
      <c r="BH190" s="71" t="str">
        <f>IF(F190&lt;&gt;"",VLOOKUP(F190,DUTY_2025!A:O,15,FALSE),"")</f>
        <v/>
      </c>
    </row>
    <row r="191" spans="1:60" x14ac:dyDescent="0.25">
      <c r="A191" s="133">
        <f t="shared" si="52"/>
        <v>66</v>
      </c>
      <c r="B191" s="83" t="str">
        <f t="shared" si="53"/>
        <v/>
      </c>
      <c r="C191" s="126"/>
      <c r="D191" s="130"/>
      <c r="E191" s="22"/>
      <c r="F191" s="85"/>
      <c r="G191" s="27" t="str">
        <f>IF(F191&lt;&gt;"",IFERROR(VLOOKUP(F191,DUTY_2025!A:I,6,FALSE),""),"")</f>
        <v/>
      </c>
      <c r="H191" s="85" t="s">
        <v>133</v>
      </c>
      <c r="I191" s="27" t="str">
        <f>IF(F191&lt;&gt;"",IFERROR(VLOOKUP(F191,DUTY_2025!A:H,2,FALSE),""),"")</f>
        <v/>
      </c>
      <c r="J191" s="98"/>
      <c r="K191" s="98"/>
      <c r="L191" s="22"/>
      <c r="M191" s="22"/>
      <c r="N191" s="84"/>
      <c r="O191" s="22"/>
      <c r="P191" s="116"/>
      <c r="Q191" s="23"/>
      <c r="R191" s="27"/>
      <c r="S191" s="86" t="str">
        <f t="shared" si="54"/>
        <v/>
      </c>
      <c r="T191" s="87" t="str">
        <f t="shared" si="55"/>
        <v/>
      </c>
      <c r="U191" s="87" t="str" cm="1">
        <f t="array" ref="U191">IF(AND(H191&lt;&gt;"YES",P191&lt;&gt;"",R191&lt;&gt;"",Q191&lt;&gt;""),
_xlfn.SWITCH(Q191,
"INR",_xlfn.SWITCH(R191,"KG",P191*S191,"CTN",P191,"UNIT",P191*N191,"NET",P191/M191,0),
"USD",_xlfn.SWITCH(R191,"KG",P191*S191*SI!$C$10,"CTN",P191*SI!$C$10,"UNIT",P191*N191*SI!$C$10,"NET",P191*SI!$C$10/M191,0),
"LKR",_xlfn.SWITCH(R191,"KG",P191*S191/SI!$C$9,"CTN",P191/SI!$C$9,"UNIT",P191*N191/SI!$C$9,"NET",P191/(M191*SI!$C$9),0),
0),
"")</f>
        <v/>
      </c>
      <c r="V191" s="87" t="str">
        <f t="shared" si="56"/>
        <v/>
      </c>
      <c r="W191" s="87" t="str">
        <f t="shared" si="57"/>
        <v/>
      </c>
      <c r="X191" s="88" t="str">
        <f t="shared" si="58"/>
        <v/>
      </c>
      <c r="Y191" s="24" t="str">
        <f t="shared" si="59"/>
        <v/>
      </c>
      <c r="Z191" s="267" t="str">
        <f>IF(AND(H191&lt;&gt;"yes",F191&lt;&gt;""),IFERROR(VLOOKUP(F191,DUTY_2025!A:F,5,FALSE),""),"")</f>
        <v/>
      </c>
      <c r="AA191" s="271" t="str">
        <f t="shared" si="60"/>
        <v/>
      </c>
      <c r="AB191" s="16" t="str">
        <f t="shared" si="61"/>
        <v/>
      </c>
      <c r="AC191" s="16" t="str">
        <f>IF(AA191&lt;&gt;"",ROUND(AA191*SI!$C$9,0),"")</f>
        <v/>
      </c>
      <c r="AD191" s="4" t="str">
        <f>IF(AC191&lt;&gt;"",ROUND(AC191/(SI!$C$9*SI!$C$10),2),"")</f>
        <v/>
      </c>
      <c r="AE191" s="30" t="str">
        <f>IF(AND(X191&lt;&gt;""), ROUND((SI!$E$23)*(X191/SUM($X$5:$X$493)),0),"")</f>
        <v/>
      </c>
      <c r="AF191" s="272" t="str">
        <f t="shared" si="62"/>
        <v/>
      </c>
      <c r="AG191" s="28" t="str">
        <f t="shared" si="63"/>
        <v/>
      </c>
      <c r="AH191" s="4" t="str">
        <f>IF(AD191&lt;&gt;"",ROUND(AD191*10*SI!$C$9/2,0),"")</f>
        <v/>
      </c>
      <c r="AI191" s="29" t="str">
        <f>IF(AND(X191&lt;&gt;""), ROUND((SI!$E$28)*(X191/SUM($X$5:$X$493)),0),"")</f>
        <v/>
      </c>
      <c r="AJ191" s="4" t="str">
        <f t="shared" si="64"/>
        <v/>
      </c>
      <c r="AK191" s="4" t="str">
        <f t="shared" si="65"/>
        <v/>
      </c>
      <c r="AL191" s="4" t="str">
        <f t="shared" si="66"/>
        <v/>
      </c>
      <c r="AM191" s="4" t="str">
        <f t="shared" si="67"/>
        <v/>
      </c>
      <c r="AN191" s="195" t="str">
        <f t="shared" si="68"/>
        <v/>
      </c>
      <c r="AO191" s="261" t="str">
        <f>IF(AND(AM191&lt;&gt;"",P191&lt;&gt;""),ROUND((AM191*((100+SI!$C$11)/100)),0),"")</f>
        <v/>
      </c>
      <c r="AP191" s="28" t="str">
        <f>IF(AG191&lt;&gt;"",ROUND(AG191/SI!$C$9,2),"")</f>
        <v/>
      </c>
      <c r="AQ191" s="4" t="str">
        <f>IF(AH191&lt;&gt;"",ROUND(AH191/SI!$C$9,2),"")</f>
        <v/>
      </c>
      <c r="AR191" s="29" t="str">
        <f>IF(AI191&lt;&gt;"",ROUND(AI191/SI!$C$9,2),"")</f>
        <v/>
      </c>
      <c r="AS191" s="4" t="str">
        <f t="shared" si="69"/>
        <v/>
      </c>
      <c r="AT191" s="4" t="str">
        <f t="shared" si="70"/>
        <v/>
      </c>
      <c r="AU191" s="4" t="str">
        <f>IF(AL191&lt;&gt;"",ROUND(AL191/SI!$C$9,2),"")</f>
        <v/>
      </c>
      <c r="AV191" s="4" t="str">
        <f>IF(AM191&lt;&gt;"",ROUND(AM191/SI!$C$9,2),"")</f>
        <v/>
      </c>
      <c r="AW191" s="4" t="str">
        <f>IF(AN191&lt;&gt;"",ROUND(AN191/SI!$C$9,2),"")</f>
        <v/>
      </c>
      <c r="AX191" s="261" t="str">
        <f>IF(AO191&lt;&gt;"",ROUND(AO191/SI!$C$9,2),"")</f>
        <v/>
      </c>
      <c r="AY191" s="28" t="str">
        <f t="shared" si="71"/>
        <v/>
      </c>
      <c r="AZ191" s="4" t="str">
        <f>IF(AY191&lt;&gt;"",ROUND(AY191/(SI!$C$9*SI!$C$10),2),"")</f>
        <v/>
      </c>
      <c r="BA191" s="4" t="str">
        <f t="shared" si="72"/>
        <v/>
      </c>
      <c r="BB191" s="4" t="str">
        <f t="shared" si="73"/>
        <v/>
      </c>
      <c r="BC191" s="4" t="str">
        <f t="shared" si="74"/>
        <v/>
      </c>
      <c r="BD191" s="4" t="str">
        <f t="shared" si="75"/>
        <v/>
      </c>
      <c r="BE191" s="4" t="str">
        <f>IF(AND(X191&lt;&gt;""),ROUND(X191/SI!$C$10,2),"")</f>
        <v/>
      </c>
      <c r="BF191" s="4" t="str">
        <f t="shared" si="77"/>
        <v/>
      </c>
      <c r="BG191" s="264" t="str">
        <f t="shared" si="76"/>
        <v/>
      </c>
      <c r="BH191" s="71" t="str">
        <f>IF(F191&lt;&gt;"",VLOOKUP(F191,DUTY_2025!A:O,15,FALSE),"")</f>
        <v/>
      </c>
    </row>
    <row r="192" spans="1:60" x14ac:dyDescent="0.25">
      <c r="A192" s="133">
        <f t="shared" si="52"/>
        <v>66</v>
      </c>
      <c r="B192" s="83" t="str">
        <f t="shared" si="53"/>
        <v/>
      </c>
      <c r="C192" s="126"/>
      <c r="D192" s="130"/>
      <c r="E192" s="22"/>
      <c r="F192" s="85"/>
      <c r="G192" s="27" t="str">
        <f>IF(F192&lt;&gt;"",IFERROR(VLOOKUP(F192,DUTY_2025!A:I,6,FALSE),""),"")</f>
        <v/>
      </c>
      <c r="H192" s="85" t="s">
        <v>133</v>
      </c>
      <c r="I192" s="27" t="str">
        <f>IF(F192&lt;&gt;"",IFERROR(VLOOKUP(F192,DUTY_2025!A:H,2,FALSE),""),"")</f>
        <v/>
      </c>
      <c r="J192" s="98"/>
      <c r="K192" s="98"/>
      <c r="L192" s="22"/>
      <c r="M192" s="22"/>
      <c r="N192" s="84"/>
      <c r="O192" s="22"/>
      <c r="P192" s="116"/>
      <c r="Q192" s="23"/>
      <c r="R192" s="27"/>
      <c r="S192" s="86" t="str">
        <f t="shared" si="54"/>
        <v/>
      </c>
      <c r="T192" s="87" t="str">
        <f t="shared" si="55"/>
        <v/>
      </c>
      <c r="U192" s="87" t="str" cm="1">
        <f t="array" ref="U192">IF(AND(H192&lt;&gt;"YES",P192&lt;&gt;"",R192&lt;&gt;"",Q192&lt;&gt;""),
_xlfn.SWITCH(Q192,
"INR",_xlfn.SWITCH(R192,"KG",P192*S192,"CTN",P192,"UNIT",P192*N192,"NET",P192/M192,0),
"USD",_xlfn.SWITCH(R192,"KG",P192*S192*SI!$C$10,"CTN",P192*SI!$C$10,"UNIT",P192*N192*SI!$C$10,"NET",P192*SI!$C$10/M192,0),
"LKR",_xlfn.SWITCH(R192,"KG",P192*S192/SI!$C$9,"CTN",P192/SI!$C$9,"UNIT",P192*N192/SI!$C$9,"NET",P192/(M192*SI!$C$9),0),
0),
"")</f>
        <v/>
      </c>
      <c r="V192" s="87" t="str">
        <f t="shared" si="56"/>
        <v/>
      </c>
      <c r="W192" s="87" t="str">
        <f t="shared" si="57"/>
        <v/>
      </c>
      <c r="X192" s="88" t="str">
        <f t="shared" si="58"/>
        <v/>
      </c>
      <c r="Y192" s="24" t="str">
        <f t="shared" si="59"/>
        <v/>
      </c>
      <c r="Z192" s="267" t="str">
        <f>IF(AND(H192&lt;&gt;"yes",F192&lt;&gt;""),IFERROR(VLOOKUP(F192,DUTY_2025!A:F,5,FALSE),""),"")</f>
        <v/>
      </c>
      <c r="AA192" s="271" t="str">
        <f t="shared" si="60"/>
        <v/>
      </c>
      <c r="AB192" s="16" t="str">
        <f t="shared" si="61"/>
        <v/>
      </c>
      <c r="AC192" s="16" t="str">
        <f>IF(AA192&lt;&gt;"",ROUND(AA192*SI!$C$9,0),"")</f>
        <v/>
      </c>
      <c r="AD192" s="4" t="str">
        <f>IF(AC192&lt;&gt;"",ROUND(AC192/(SI!$C$9*SI!$C$10),2),"")</f>
        <v/>
      </c>
      <c r="AE192" s="30" t="str">
        <f>IF(AND(X192&lt;&gt;""), ROUND((SI!$E$23)*(X192/SUM($X$5:$X$493)),0),"")</f>
        <v/>
      </c>
      <c r="AF192" s="272" t="str">
        <f t="shared" si="62"/>
        <v/>
      </c>
      <c r="AG192" s="28" t="str">
        <f t="shared" si="63"/>
        <v/>
      </c>
      <c r="AH192" s="4" t="str">
        <f>IF(AD192&lt;&gt;"",ROUND(AD192*10*SI!$C$9/2,0),"")</f>
        <v/>
      </c>
      <c r="AI192" s="29" t="str">
        <f>IF(AND(X192&lt;&gt;""), ROUND((SI!$E$28)*(X192/SUM($X$5:$X$493)),0),"")</f>
        <v/>
      </c>
      <c r="AJ192" s="4" t="str">
        <f t="shared" si="64"/>
        <v/>
      </c>
      <c r="AK192" s="4" t="str">
        <f t="shared" si="65"/>
        <v/>
      </c>
      <c r="AL192" s="4" t="str">
        <f t="shared" si="66"/>
        <v/>
      </c>
      <c r="AM192" s="4" t="str">
        <f t="shared" si="67"/>
        <v/>
      </c>
      <c r="AN192" s="195" t="str">
        <f t="shared" si="68"/>
        <v/>
      </c>
      <c r="AO192" s="261" t="str">
        <f>IF(AND(AM192&lt;&gt;"",P192&lt;&gt;""),ROUND((AM192*((100+SI!$C$11)/100)),0),"")</f>
        <v/>
      </c>
      <c r="AP192" s="28" t="str">
        <f>IF(AG192&lt;&gt;"",ROUND(AG192/SI!$C$9,2),"")</f>
        <v/>
      </c>
      <c r="AQ192" s="4" t="str">
        <f>IF(AH192&lt;&gt;"",ROUND(AH192/SI!$C$9,2),"")</f>
        <v/>
      </c>
      <c r="AR192" s="29" t="str">
        <f>IF(AI192&lt;&gt;"",ROUND(AI192/SI!$C$9,2),"")</f>
        <v/>
      </c>
      <c r="AS192" s="4" t="str">
        <f t="shared" si="69"/>
        <v/>
      </c>
      <c r="AT192" s="4" t="str">
        <f t="shared" si="70"/>
        <v/>
      </c>
      <c r="AU192" s="4" t="str">
        <f>IF(AL192&lt;&gt;"",ROUND(AL192/SI!$C$9,2),"")</f>
        <v/>
      </c>
      <c r="AV192" s="4" t="str">
        <f>IF(AM192&lt;&gt;"",ROUND(AM192/SI!$C$9,2),"")</f>
        <v/>
      </c>
      <c r="AW192" s="4" t="str">
        <f>IF(AN192&lt;&gt;"",ROUND(AN192/SI!$C$9,2),"")</f>
        <v/>
      </c>
      <c r="AX192" s="261" t="str">
        <f>IF(AO192&lt;&gt;"",ROUND(AO192/SI!$C$9,2),"")</f>
        <v/>
      </c>
      <c r="AY192" s="28" t="str">
        <f t="shared" si="71"/>
        <v/>
      </c>
      <c r="AZ192" s="4" t="str">
        <f>IF(AY192&lt;&gt;"",ROUND(AY192/(SI!$C$9*SI!$C$10),2),"")</f>
        <v/>
      </c>
      <c r="BA192" s="4" t="str">
        <f t="shared" si="72"/>
        <v/>
      </c>
      <c r="BB192" s="4" t="str">
        <f t="shared" si="73"/>
        <v/>
      </c>
      <c r="BC192" s="4" t="str">
        <f t="shared" si="74"/>
        <v/>
      </c>
      <c r="BD192" s="4" t="str">
        <f t="shared" si="75"/>
        <v/>
      </c>
      <c r="BE192" s="4" t="str">
        <f>IF(AND(X192&lt;&gt;""),ROUND(X192/SI!$C$10,2),"")</f>
        <v/>
      </c>
      <c r="BF192" s="4" t="str">
        <f t="shared" si="77"/>
        <v/>
      </c>
      <c r="BG192" s="264" t="str">
        <f t="shared" si="76"/>
        <v/>
      </c>
      <c r="BH192" s="71" t="str">
        <f>IF(F192&lt;&gt;"",VLOOKUP(F192,DUTY_2025!A:O,15,FALSE),"")</f>
        <v/>
      </c>
    </row>
    <row r="193" spans="1:60" x14ac:dyDescent="0.25">
      <c r="A193" s="133">
        <f t="shared" si="52"/>
        <v>66</v>
      </c>
      <c r="B193" s="83" t="str">
        <f t="shared" si="53"/>
        <v/>
      </c>
      <c r="C193" s="126"/>
      <c r="D193" s="130"/>
      <c r="E193" s="22"/>
      <c r="F193" s="85"/>
      <c r="G193" s="27" t="str">
        <f>IF(F193&lt;&gt;"",IFERROR(VLOOKUP(F193,DUTY_2025!A:I,6,FALSE),""),"")</f>
        <v/>
      </c>
      <c r="H193" s="85" t="s">
        <v>133</v>
      </c>
      <c r="I193" s="27" t="str">
        <f>IF(F193&lt;&gt;"",IFERROR(VLOOKUP(F193,DUTY_2025!A:H,2,FALSE),""),"")</f>
        <v/>
      </c>
      <c r="J193" s="98"/>
      <c r="K193" s="98"/>
      <c r="L193" s="22"/>
      <c r="M193" s="22"/>
      <c r="N193" s="84"/>
      <c r="O193" s="22"/>
      <c r="P193" s="116"/>
      <c r="Q193" s="23"/>
      <c r="R193" s="27"/>
      <c r="S193" s="86" t="str">
        <f t="shared" si="54"/>
        <v/>
      </c>
      <c r="T193" s="87" t="str">
        <f t="shared" si="55"/>
        <v/>
      </c>
      <c r="U193" s="87" t="str" cm="1">
        <f t="array" ref="U193">IF(AND(H193&lt;&gt;"YES",P193&lt;&gt;"",R193&lt;&gt;"",Q193&lt;&gt;""),
_xlfn.SWITCH(Q193,
"INR",_xlfn.SWITCH(R193,"KG",P193*S193,"CTN",P193,"UNIT",P193*N193,"NET",P193/M193,0),
"USD",_xlfn.SWITCH(R193,"KG",P193*S193*SI!$C$10,"CTN",P193*SI!$C$10,"UNIT",P193*N193*SI!$C$10,"NET",P193*SI!$C$10/M193,0),
"LKR",_xlfn.SWITCH(R193,"KG",P193*S193/SI!$C$9,"CTN",P193/SI!$C$9,"UNIT",P193*N193/SI!$C$9,"NET",P193/(M193*SI!$C$9),0),
0),
"")</f>
        <v/>
      </c>
      <c r="V193" s="87" t="str">
        <f t="shared" si="56"/>
        <v/>
      </c>
      <c r="W193" s="87" t="str">
        <f t="shared" si="57"/>
        <v/>
      </c>
      <c r="X193" s="88" t="str">
        <f t="shared" si="58"/>
        <v/>
      </c>
      <c r="Y193" s="24" t="str">
        <f t="shared" si="59"/>
        <v/>
      </c>
      <c r="Z193" s="267" t="str">
        <f>IF(AND(H193&lt;&gt;"yes",F193&lt;&gt;""),IFERROR(VLOOKUP(F193,DUTY_2025!A:F,5,FALSE),""),"")</f>
        <v/>
      </c>
      <c r="AA193" s="271" t="str">
        <f t="shared" si="60"/>
        <v/>
      </c>
      <c r="AB193" s="16" t="str">
        <f t="shared" si="61"/>
        <v/>
      </c>
      <c r="AC193" s="16" t="str">
        <f>IF(AA193&lt;&gt;"",ROUND(AA193*SI!$C$9,0),"")</f>
        <v/>
      </c>
      <c r="AD193" s="4" t="str">
        <f>IF(AC193&lt;&gt;"",ROUND(AC193/(SI!$C$9*SI!$C$10),2),"")</f>
        <v/>
      </c>
      <c r="AE193" s="30" t="str">
        <f>IF(AND(X193&lt;&gt;""), ROUND((SI!$E$23)*(X193/SUM($X$5:$X$493)),0),"")</f>
        <v/>
      </c>
      <c r="AF193" s="272" t="str">
        <f t="shared" si="62"/>
        <v/>
      </c>
      <c r="AG193" s="28" t="str">
        <f t="shared" si="63"/>
        <v/>
      </c>
      <c r="AH193" s="4" t="str">
        <f>IF(AD193&lt;&gt;"",ROUND(AD193*10*SI!$C$9/2,0),"")</f>
        <v/>
      </c>
      <c r="AI193" s="29" t="str">
        <f>IF(AND(X193&lt;&gt;""), ROUND((SI!$E$28)*(X193/SUM($X$5:$X$493)),0),"")</f>
        <v/>
      </c>
      <c r="AJ193" s="4" t="str">
        <f t="shared" si="64"/>
        <v/>
      </c>
      <c r="AK193" s="4" t="str">
        <f t="shared" si="65"/>
        <v/>
      </c>
      <c r="AL193" s="4" t="str">
        <f t="shared" si="66"/>
        <v/>
      </c>
      <c r="AM193" s="4" t="str">
        <f t="shared" si="67"/>
        <v/>
      </c>
      <c r="AN193" s="195" t="str">
        <f t="shared" si="68"/>
        <v/>
      </c>
      <c r="AO193" s="261" t="str">
        <f>IF(AND(AM193&lt;&gt;"",P193&lt;&gt;""),ROUND((AM193*((100+SI!$C$11)/100)),0),"")</f>
        <v/>
      </c>
      <c r="AP193" s="28" t="str">
        <f>IF(AG193&lt;&gt;"",ROUND(AG193/SI!$C$9,2),"")</f>
        <v/>
      </c>
      <c r="AQ193" s="4" t="str">
        <f>IF(AH193&lt;&gt;"",ROUND(AH193/SI!$C$9,2),"")</f>
        <v/>
      </c>
      <c r="AR193" s="29" t="str">
        <f>IF(AI193&lt;&gt;"",ROUND(AI193/SI!$C$9,2),"")</f>
        <v/>
      </c>
      <c r="AS193" s="4" t="str">
        <f t="shared" si="69"/>
        <v/>
      </c>
      <c r="AT193" s="4" t="str">
        <f t="shared" si="70"/>
        <v/>
      </c>
      <c r="AU193" s="4" t="str">
        <f>IF(AL193&lt;&gt;"",ROUND(AL193/SI!$C$9,2),"")</f>
        <v/>
      </c>
      <c r="AV193" s="4" t="str">
        <f>IF(AM193&lt;&gt;"",ROUND(AM193/SI!$C$9,2),"")</f>
        <v/>
      </c>
      <c r="AW193" s="4" t="str">
        <f>IF(AN193&lt;&gt;"",ROUND(AN193/SI!$C$9,2),"")</f>
        <v/>
      </c>
      <c r="AX193" s="261" t="str">
        <f>IF(AO193&lt;&gt;"",ROUND(AO193/SI!$C$9,2),"")</f>
        <v/>
      </c>
      <c r="AY193" s="28" t="str">
        <f t="shared" si="71"/>
        <v/>
      </c>
      <c r="AZ193" s="4" t="str">
        <f>IF(AY193&lt;&gt;"",ROUND(AY193/(SI!$C$9*SI!$C$10),2),"")</f>
        <v/>
      </c>
      <c r="BA193" s="4" t="str">
        <f t="shared" si="72"/>
        <v/>
      </c>
      <c r="BB193" s="4" t="str">
        <f t="shared" si="73"/>
        <v/>
      </c>
      <c r="BC193" s="4" t="str">
        <f t="shared" si="74"/>
        <v/>
      </c>
      <c r="BD193" s="4" t="str">
        <f t="shared" si="75"/>
        <v/>
      </c>
      <c r="BE193" s="4" t="str">
        <f>IF(AND(X193&lt;&gt;""),ROUND(X193/SI!$C$10,2),"")</f>
        <v/>
      </c>
      <c r="BF193" s="4" t="str">
        <f t="shared" si="77"/>
        <v/>
      </c>
      <c r="BG193" s="264" t="str">
        <f t="shared" si="76"/>
        <v/>
      </c>
      <c r="BH193" s="71" t="str">
        <f>IF(F193&lt;&gt;"",VLOOKUP(F193,DUTY_2025!A:O,15,FALSE),"")</f>
        <v/>
      </c>
    </row>
    <row r="194" spans="1:60" x14ac:dyDescent="0.25">
      <c r="A194" s="133">
        <f t="shared" si="52"/>
        <v>66</v>
      </c>
      <c r="B194" s="83" t="str">
        <f t="shared" si="53"/>
        <v/>
      </c>
      <c r="C194" s="126"/>
      <c r="D194" s="130"/>
      <c r="E194" s="22"/>
      <c r="F194" s="85"/>
      <c r="G194" s="27" t="str">
        <f>IF(F194&lt;&gt;"",IFERROR(VLOOKUP(F194,DUTY_2025!A:I,6,FALSE),""),"")</f>
        <v/>
      </c>
      <c r="H194" s="85" t="s">
        <v>133</v>
      </c>
      <c r="I194" s="27" t="str">
        <f>IF(F194&lt;&gt;"",IFERROR(VLOOKUP(F194,DUTY_2025!A:H,2,FALSE),""),"")</f>
        <v/>
      </c>
      <c r="J194" s="98"/>
      <c r="K194" s="98"/>
      <c r="L194" s="22"/>
      <c r="M194" s="22"/>
      <c r="N194" s="84"/>
      <c r="O194" s="22"/>
      <c r="P194" s="116"/>
      <c r="Q194" s="23"/>
      <c r="R194" s="27"/>
      <c r="S194" s="86" t="str">
        <f t="shared" si="54"/>
        <v/>
      </c>
      <c r="T194" s="87" t="str">
        <f t="shared" si="55"/>
        <v/>
      </c>
      <c r="U194" s="87" t="str" cm="1">
        <f t="array" ref="U194">IF(AND(H194&lt;&gt;"YES",P194&lt;&gt;"",R194&lt;&gt;"",Q194&lt;&gt;""),
_xlfn.SWITCH(Q194,
"INR",_xlfn.SWITCH(R194,"KG",P194*S194,"CTN",P194,"UNIT",P194*N194,"NET",P194/M194,0),
"USD",_xlfn.SWITCH(R194,"KG",P194*S194*SI!$C$10,"CTN",P194*SI!$C$10,"UNIT",P194*N194*SI!$C$10,"NET",P194*SI!$C$10/M194,0),
"LKR",_xlfn.SWITCH(R194,"KG",P194*S194/SI!$C$9,"CTN",P194/SI!$C$9,"UNIT",P194*N194/SI!$C$9,"NET",P194/(M194*SI!$C$9),0),
0),
"")</f>
        <v/>
      </c>
      <c r="V194" s="87" t="str">
        <f t="shared" si="56"/>
        <v/>
      </c>
      <c r="W194" s="87" t="str">
        <f t="shared" si="57"/>
        <v/>
      </c>
      <c r="X194" s="88" t="str">
        <f t="shared" si="58"/>
        <v/>
      </c>
      <c r="Y194" s="24" t="str">
        <f t="shared" si="59"/>
        <v/>
      </c>
      <c r="Z194" s="267" t="str">
        <f>IF(AND(H194&lt;&gt;"yes",F194&lt;&gt;""),IFERROR(VLOOKUP(F194,DUTY_2025!A:F,5,FALSE),""),"")</f>
        <v/>
      </c>
      <c r="AA194" s="271" t="str">
        <f t="shared" si="60"/>
        <v/>
      </c>
      <c r="AB194" s="16" t="str">
        <f t="shared" si="61"/>
        <v/>
      </c>
      <c r="AC194" s="16" t="str">
        <f>IF(AA194&lt;&gt;"",ROUND(AA194*SI!$C$9,0),"")</f>
        <v/>
      </c>
      <c r="AD194" s="4" t="str">
        <f>IF(AC194&lt;&gt;"",ROUND(AC194/(SI!$C$9*SI!$C$10),2),"")</f>
        <v/>
      </c>
      <c r="AE194" s="30" t="str">
        <f>IF(AND(X194&lt;&gt;""), ROUND((SI!$E$23)*(X194/SUM($X$5:$X$493)),0),"")</f>
        <v/>
      </c>
      <c r="AF194" s="272" t="str">
        <f t="shared" si="62"/>
        <v/>
      </c>
      <c r="AG194" s="28" t="str">
        <f t="shared" si="63"/>
        <v/>
      </c>
      <c r="AH194" s="4" t="str">
        <f>IF(AD194&lt;&gt;"",ROUND(AD194*10*SI!$C$9/2,0),"")</f>
        <v/>
      </c>
      <c r="AI194" s="29" t="str">
        <f>IF(AND(X194&lt;&gt;""), ROUND((SI!$E$28)*(X194/SUM($X$5:$X$493)),0),"")</f>
        <v/>
      </c>
      <c r="AJ194" s="4" t="str">
        <f t="shared" si="64"/>
        <v/>
      </c>
      <c r="AK194" s="4" t="str">
        <f t="shared" si="65"/>
        <v/>
      </c>
      <c r="AL194" s="4" t="str">
        <f t="shared" si="66"/>
        <v/>
      </c>
      <c r="AM194" s="4" t="str">
        <f t="shared" si="67"/>
        <v/>
      </c>
      <c r="AN194" s="195" t="str">
        <f t="shared" si="68"/>
        <v/>
      </c>
      <c r="AO194" s="261" t="str">
        <f>IF(AND(AM194&lt;&gt;"",P194&lt;&gt;""),ROUND((AM194*((100+SI!$C$11)/100)),0),"")</f>
        <v/>
      </c>
      <c r="AP194" s="28" t="str">
        <f>IF(AG194&lt;&gt;"",ROUND(AG194/SI!$C$9,2),"")</f>
        <v/>
      </c>
      <c r="AQ194" s="4" t="str">
        <f>IF(AH194&lt;&gt;"",ROUND(AH194/SI!$C$9,2),"")</f>
        <v/>
      </c>
      <c r="AR194" s="29" t="str">
        <f>IF(AI194&lt;&gt;"",ROUND(AI194/SI!$C$9,2),"")</f>
        <v/>
      </c>
      <c r="AS194" s="4" t="str">
        <f t="shared" si="69"/>
        <v/>
      </c>
      <c r="AT194" s="4" t="str">
        <f t="shared" si="70"/>
        <v/>
      </c>
      <c r="AU194" s="4" t="str">
        <f>IF(AL194&lt;&gt;"",ROUND(AL194/SI!$C$9,2),"")</f>
        <v/>
      </c>
      <c r="AV194" s="4" t="str">
        <f>IF(AM194&lt;&gt;"",ROUND(AM194/SI!$C$9,2),"")</f>
        <v/>
      </c>
      <c r="AW194" s="4" t="str">
        <f>IF(AN194&lt;&gt;"",ROUND(AN194/SI!$C$9,2),"")</f>
        <v/>
      </c>
      <c r="AX194" s="261" t="str">
        <f>IF(AO194&lt;&gt;"",ROUND(AO194/SI!$C$9,2),"")</f>
        <v/>
      </c>
      <c r="AY194" s="28" t="str">
        <f t="shared" si="71"/>
        <v/>
      </c>
      <c r="AZ194" s="4" t="str">
        <f>IF(AY194&lt;&gt;"",ROUND(AY194/(SI!$C$9*SI!$C$10),2),"")</f>
        <v/>
      </c>
      <c r="BA194" s="4" t="str">
        <f t="shared" si="72"/>
        <v/>
      </c>
      <c r="BB194" s="4" t="str">
        <f t="shared" si="73"/>
        <v/>
      </c>
      <c r="BC194" s="4" t="str">
        <f t="shared" si="74"/>
        <v/>
      </c>
      <c r="BD194" s="4" t="str">
        <f t="shared" si="75"/>
        <v/>
      </c>
      <c r="BE194" s="4" t="str">
        <f>IF(AND(X194&lt;&gt;""),ROUND(X194/SI!$C$10,2),"")</f>
        <v/>
      </c>
      <c r="BF194" s="4" t="str">
        <f t="shared" si="77"/>
        <v/>
      </c>
      <c r="BG194" s="264" t="str">
        <f t="shared" si="76"/>
        <v/>
      </c>
      <c r="BH194" s="71" t="str">
        <f>IF(F194&lt;&gt;"",VLOOKUP(F194,DUTY_2025!A:O,15,FALSE),"")</f>
        <v/>
      </c>
    </row>
    <row r="195" spans="1:60" x14ac:dyDescent="0.25">
      <c r="A195" s="133">
        <f t="shared" si="52"/>
        <v>66</v>
      </c>
      <c r="B195" s="83" t="str">
        <f t="shared" si="53"/>
        <v/>
      </c>
      <c r="C195" s="126"/>
      <c r="D195" s="130"/>
      <c r="E195" s="22"/>
      <c r="F195" s="85"/>
      <c r="G195" s="27" t="str">
        <f>IF(F195&lt;&gt;"",IFERROR(VLOOKUP(F195,DUTY_2025!A:I,6,FALSE),""),"")</f>
        <v/>
      </c>
      <c r="H195" s="85" t="s">
        <v>133</v>
      </c>
      <c r="I195" s="27" t="str">
        <f>IF(F195&lt;&gt;"",IFERROR(VLOOKUP(F195,DUTY_2025!A:H,2,FALSE),""),"")</f>
        <v/>
      </c>
      <c r="J195" s="98"/>
      <c r="K195" s="98"/>
      <c r="L195" s="22"/>
      <c r="M195" s="22"/>
      <c r="N195" s="84"/>
      <c r="O195" s="22"/>
      <c r="P195" s="116"/>
      <c r="Q195" s="23"/>
      <c r="R195" s="27"/>
      <c r="S195" s="86" t="str">
        <f t="shared" si="54"/>
        <v/>
      </c>
      <c r="T195" s="87" t="str">
        <f t="shared" si="55"/>
        <v/>
      </c>
      <c r="U195" s="87" t="str" cm="1">
        <f t="array" ref="U195">IF(AND(H195&lt;&gt;"YES",P195&lt;&gt;"",R195&lt;&gt;"",Q195&lt;&gt;""),
_xlfn.SWITCH(Q195,
"INR",_xlfn.SWITCH(R195,"KG",P195*S195,"CTN",P195,"UNIT",P195*N195,"NET",P195/M195,0),
"USD",_xlfn.SWITCH(R195,"KG",P195*S195*SI!$C$10,"CTN",P195*SI!$C$10,"UNIT",P195*N195*SI!$C$10,"NET",P195*SI!$C$10/M195,0),
"LKR",_xlfn.SWITCH(R195,"KG",P195*S195/SI!$C$9,"CTN",P195/SI!$C$9,"UNIT",P195*N195/SI!$C$9,"NET",P195/(M195*SI!$C$9),0),
0),
"")</f>
        <v/>
      </c>
      <c r="V195" s="87" t="str">
        <f t="shared" si="56"/>
        <v/>
      </c>
      <c r="W195" s="87" t="str">
        <f t="shared" si="57"/>
        <v/>
      </c>
      <c r="X195" s="88" t="str">
        <f t="shared" si="58"/>
        <v/>
      </c>
      <c r="Y195" s="24" t="str">
        <f t="shared" si="59"/>
        <v/>
      </c>
      <c r="Z195" s="267" t="str">
        <f>IF(AND(H195&lt;&gt;"yes",F195&lt;&gt;""),IFERROR(VLOOKUP(F195,DUTY_2025!A:F,5,FALSE),""),"")</f>
        <v/>
      </c>
      <c r="AA195" s="271" t="str">
        <f t="shared" si="60"/>
        <v/>
      </c>
      <c r="AB195" s="16" t="str">
        <f t="shared" si="61"/>
        <v/>
      </c>
      <c r="AC195" s="16" t="str">
        <f>IF(AA195&lt;&gt;"",ROUND(AA195*SI!$C$9,0),"")</f>
        <v/>
      </c>
      <c r="AD195" s="4" t="str">
        <f>IF(AC195&lt;&gt;"",ROUND(AC195/(SI!$C$9*SI!$C$10),2),"")</f>
        <v/>
      </c>
      <c r="AE195" s="30" t="str">
        <f>IF(AND(X195&lt;&gt;""), ROUND((SI!$E$23)*(X195/SUM($X$5:$X$493)),0),"")</f>
        <v/>
      </c>
      <c r="AF195" s="272" t="str">
        <f t="shared" si="62"/>
        <v/>
      </c>
      <c r="AG195" s="28" t="str">
        <f t="shared" si="63"/>
        <v/>
      </c>
      <c r="AH195" s="4" t="str">
        <f>IF(AD195&lt;&gt;"",ROUND(AD195*10*SI!$C$9/2,0),"")</f>
        <v/>
      </c>
      <c r="AI195" s="29" t="str">
        <f>IF(AND(X195&lt;&gt;""), ROUND((SI!$E$28)*(X195/SUM($X$5:$X$493)),0),"")</f>
        <v/>
      </c>
      <c r="AJ195" s="4" t="str">
        <f t="shared" si="64"/>
        <v/>
      </c>
      <c r="AK195" s="4" t="str">
        <f t="shared" si="65"/>
        <v/>
      </c>
      <c r="AL195" s="4" t="str">
        <f t="shared" si="66"/>
        <v/>
      </c>
      <c r="AM195" s="4" t="str">
        <f t="shared" si="67"/>
        <v/>
      </c>
      <c r="AN195" s="195" t="str">
        <f t="shared" si="68"/>
        <v/>
      </c>
      <c r="AO195" s="261" t="str">
        <f>IF(AND(AM195&lt;&gt;"",P195&lt;&gt;""),ROUND((AM195*((100+SI!$C$11)/100)),0),"")</f>
        <v/>
      </c>
      <c r="AP195" s="28" t="str">
        <f>IF(AG195&lt;&gt;"",ROUND(AG195/SI!$C$9,2),"")</f>
        <v/>
      </c>
      <c r="AQ195" s="4" t="str">
        <f>IF(AH195&lt;&gt;"",ROUND(AH195/SI!$C$9,2),"")</f>
        <v/>
      </c>
      <c r="AR195" s="29" t="str">
        <f>IF(AI195&lt;&gt;"",ROUND(AI195/SI!$C$9,2),"")</f>
        <v/>
      </c>
      <c r="AS195" s="4" t="str">
        <f t="shared" si="69"/>
        <v/>
      </c>
      <c r="AT195" s="4" t="str">
        <f t="shared" si="70"/>
        <v/>
      </c>
      <c r="AU195" s="4" t="str">
        <f>IF(AL195&lt;&gt;"",ROUND(AL195/SI!$C$9,2),"")</f>
        <v/>
      </c>
      <c r="AV195" s="4" t="str">
        <f>IF(AM195&lt;&gt;"",ROUND(AM195/SI!$C$9,2),"")</f>
        <v/>
      </c>
      <c r="AW195" s="4" t="str">
        <f>IF(AN195&lt;&gt;"",ROUND(AN195/SI!$C$9,2),"")</f>
        <v/>
      </c>
      <c r="AX195" s="261" t="str">
        <f>IF(AO195&lt;&gt;"",ROUND(AO195/SI!$C$9,2),"")</f>
        <v/>
      </c>
      <c r="AY195" s="28" t="str">
        <f t="shared" si="71"/>
        <v/>
      </c>
      <c r="AZ195" s="4" t="str">
        <f>IF(AY195&lt;&gt;"",ROUND(AY195/(SI!$C$9*SI!$C$10),2),"")</f>
        <v/>
      </c>
      <c r="BA195" s="4" t="str">
        <f t="shared" si="72"/>
        <v/>
      </c>
      <c r="BB195" s="4" t="str">
        <f t="shared" si="73"/>
        <v/>
      </c>
      <c r="BC195" s="4" t="str">
        <f t="shared" si="74"/>
        <v/>
      </c>
      <c r="BD195" s="4" t="str">
        <f t="shared" si="75"/>
        <v/>
      </c>
      <c r="BE195" s="4" t="str">
        <f>IF(AND(X195&lt;&gt;""),ROUND(X195/SI!$C$10,2),"")</f>
        <v/>
      </c>
      <c r="BF195" s="4" t="str">
        <f t="shared" si="77"/>
        <v/>
      </c>
      <c r="BG195" s="264" t="str">
        <f t="shared" si="76"/>
        <v/>
      </c>
      <c r="BH195" s="71" t="str">
        <f>IF(F195&lt;&gt;"",VLOOKUP(F195,DUTY_2025!A:O,15,FALSE),"")</f>
        <v/>
      </c>
    </row>
    <row r="196" spans="1:60" x14ac:dyDescent="0.25">
      <c r="A196" s="133">
        <f t="shared" si="52"/>
        <v>66</v>
      </c>
      <c r="B196" s="83" t="str">
        <f t="shared" si="53"/>
        <v/>
      </c>
      <c r="C196" s="126"/>
      <c r="D196" s="130"/>
      <c r="E196" s="22"/>
      <c r="F196" s="85"/>
      <c r="G196" s="27" t="str">
        <f>IF(F196&lt;&gt;"",IFERROR(VLOOKUP(F196,DUTY_2025!A:I,6,FALSE),""),"")</f>
        <v/>
      </c>
      <c r="H196" s="85" t="s">
        <v>133</v>
      </c>
      <c r="I196" s="27" t="str">
        <f>IF(F196&lt;&gt;"",IFERROR(VLOOKUP(F196,DUTY_2025!A:H,2,FALSE),""),"")</f>
        <v/>
      </c>
      <c r="J196" s="98"/>
      <c r="K196" s="98"/>
      <c r="L196" s="22"/>
      <c r="M196" s="22"/>
      <c r="N196" s="84"/>
      <c r="O196" s="22"/>
      <c r="P196" s="116"/>
      <c r="Q196" s="23"/>
      <c r="R196" s="27"/>
      <c r="S196" s="86" t="str">
        <f t="shared" si="54"/>
        <v/>
      </c>
      <c r="T196" s="87" t="str">
        <f t="shared" si="55"/>
        <v/>
      </c>
      <c r="U196" s="87" t="str" cm="1">
        <f t="array" ref="U196">IF(AND(H196&lt;&gt;"YES",P196&lt;&gt;"",R196&lt;&gt;"",Q196&lt;&gt;""),
_xlfn.SWITCH(Q196,
"INR",_xlfn.SWITCH(R196,"KG",P196*S196,"CTN",P196,"UNIT",P196*N196,"NET",P196/M196,0),
"USD",_xlfn.SWITCH(R196,"KG",P196*S196*SI!$C$10,"CTN",P196*SI!$C$10,"UNIT",P196*N196*SI!$C$10,"NET",P196*SI!$C$10/M196,0),
"LKR",_xlfn.SWITCH(R196,"KG",P196*S196/SI!$C$9,"CTN",P196/SI!$C$9,"UNIT",P196*N196/SI!$C$9,"NET",P196/(M196*SI!$C$9),0),
0),
"")</f>
        <v/>
      </c>
      <c r="V196" s="87" t="str">
        <f t="shared" si="56"/>
        <v/>
      </c>
      <c r="W196" s="87" t="str">
        <f t="shared" si="57"/>
        <v/>
      </c>
      <c r="X196" s="88" t="str">
        <f t="shared" si="58"/>
        <v/>
      </c>
      <c r="Y196" s="24" t="str">
        <f t="shared" si="59"/>
        <v/>
      </c>
      <c r="Z196" s="267" t="str">
        <f>IF(AND(H196&lt;&gt;"yes",F196&lt;&gt;""),IFERROR(VLOOKUP(F196,DUTY_2025!A:F,5,FALSE),""),"")</f>
        <v/>
      </c>
      <c r="AA196" s="271" t="str">
        <f t="shared" si="60"/>
        <v/>
      </c>
      <c r="AB196" s="16" t="str">
        <f t="shared" si="61"/>
        <v/>
      </c>
      <c r="AC196" s="16" t="str">
        <f>IF(AA196&lt;&gt;"",ROUND(AA196*SI!$C$9,0),"")</f>
        <v/>
      </c>
      <c r="AD196" s="4" t="str">
        <f>IF(AC196&lt;&gt;"",ROUND(AC196/(SI!$C$9*SI!$C$10),2),"")</f>
        <v/>
      </c>
      <c r="AE196" s="30" t="str">
        <f>IF(AND(X196&lt;&gt;""), ROUND((SI!$E$23)*(X196/SUM($X$5:$X$493)),0),"")</f>
        <v/>
      </c>
      <c r="AF196" s="272" t="str">
        <f t="shared" si="62"/>
        <v/>
      </c>
      <c r="AG196" s="28" t="str">
        <f t="shared" si="63"/>
        <v/>
      </c>
      <c r="AH196" s="4" t="str">
        <f>IF(AD196&lt;&gt;"",ROUND(AD196*10*SI!$C$9/2,0),"")</f>
        <v/>
      </c>
      <c r="AI196" s="29" t="str">
        <f>IF(AND(X196&lt;&gt;""), ROUND((SI!$E$28)*(X196/SUM($X$5:$X$493)),0),"")</f>
        <v/>
      </c>
      <c r="AJ196" s="4" t="str">
        <f t="shared" si="64"/>
        <v/>
      </c>
      <c r="AK196" s="4" t="str">
        <f t="shared" si="65"/>
        <v/>
      </c>
      <c r="AL196" s="4" t="str">
        <f t="shared" si="66"/>
        <v/>
      </c>
      <c r="AM196" s="4" t="str">
        <f t="shared" si="67"/>
        <v/>
      </c>
      <c r="AN196" s="195" t="str">
        <f t="shared" si="68"/>
        <v/>
      </c>
      <c r="AO196" s="261" t="str">
        <f>IF(AND(AM196&lt;&gt;"",P196&lt;&gt;""),ROUND((AM196*((100+SI!$C$11)/100)),0),"")</f>
        <v/>
      </c>
      <c r="AP196" s="28" t="str">
        <f>IF(AG196&lt;&gt;"",ROUND(AG196/SI!$C$9,2),"")</f>
        <v/>
      </c>
      <c r="AQ196" s="4" t="str">
        <f>IF(AH196&lt;&gt;"",ROUND(AH196/SI!$C$9,2),"")</f>
        <v/>
      </c>
      <c r="AR196" s="29" t="str">
        <f>IF(AI196&lt;&gt;"",ROUND(AI196/SI!$C$9,2),"")</f>
        <v/>
      </c>
      <c r="AS196" s="4" t="str">
        <f t="shared" si="69"/>
        <v/>
      </c>
      <c r="AT196" s="4" t="str">
        <f t="shared" si="70"/>
        <v/>
      </c>
      <c r="AU196" s="4" t="str">
        <f>IF(AL196&lt;&gt;"",ROUND(AL196/SI!$C$9,2),"")</f>
        <v/>
      </c>
      <c r="AV196" s="4" t="str">
        <f>IF(AM196&lt;&gt;"",ROUND(AM196/SI!$C$9,2),"")</f>
        <v/>
      </c>
      <c r="AW196" s="4" t="str">
        <f>IF(AN196&lt;&gt;"",ROUND(AN196/SI!$C$9,2),"")</f>
        <v/>
      </c>
      <c r="AX196" s="261" t="str">
        <f>IF(AO196&lt;&gt;"",ROUND(AO196/SI!$C$9,2),"")</f>
        <v/>
      </c>
      <c r="AY196" s="28" t="str">
        <f t="shared" si="71"/>
        <v/>
      </c>
      <c r="AZ196" s="4" t="str">
        <f>IF(AY196&lt;&gt;"",ROUND(AY196/(SI!$C$9*SI!$C$10),2),"")</f>
        <v/>
      </c>
      <c r="BA196" s="4" t="str">
        <f t="shared" si="72"/>
        <v/>
      </c>
      <c r="BB196" s="4" t="str">
        <f t="shared" si="73"/>
        <v/>
      </c>
      <c r="BC196" s="4" t="str">
        <f t="shared" si="74"/>
        <v/>
      </c>
      <c r="BD196" s="4" t="str">
        <f t="shared" si="75"/>
        <v/>
      </c>
      <c r="BE196" s="4" t="str">
        <f>IF(AND(X196&lt;&gt;""),ROUND(X196/SI!$C$10,2),"")</f>
        <v/>
      </c>
      <c r="BF196" s="4" t="str">
        <f t="shared" si="77"/>
        <v/>
      </c>
      <c r="BG196" s="264" t="str">
        <f t="shared" si="76"/>
        <v/>
      </c>
      <c r="BH196" s="71" t="str">
        <f>IF(F196&lt;&gt;"",VLOOKUP(F196,DUTY_2025!A:O,15,FALSE),"")</f>
        <v/>
      </c>
    </row>
    <row r="197" spans="1:60" x14ac:dyDescent="0.25">
      <c r="A197" s="133">
        <f t="shared" si="52"/>
        <v>66</v>
      </c>
      <c r="B197" s="83" t="str">
        <f t="shared" si="53"/>
        <v/>
      </c>
      <c r="C197" s="126"/>
      <c r="D197" s="130"/>
      <c r="E197" s="22"/>
      <c r="F197" s="85"/>
      <c r="G197" s="27" t="str">
        <f>IF(F197&lt;&gt;"",IFERROR(VLOOKUP(F197,DUTY_2025!A:I,6,FALSE),""),"")</f>
        <v/>
      </c>
      <c r="H197" s="85" t="s">
        <v>133</v>
      </c>
      <c r="I197" s="27" t="str">
        <f>IF(F197&lt;&gt;"",IFERROR(VLOOKUP(F197,DUTY_2025!A:H,2,FALSE),""),"")</f>
        <v/>
      </c>
      <c r="J197" s="98"/>
      <c r="K197" s="98"/>
      <c r="L197" s="22"/>
      <c r="M197" s="22"/>
      <c r="N197" s="84"/>
      <c r="O197" s="22"/>
      <c r="P197" s="116"/>
      <c r="Q197" s="23"/>
      <c r="R197" s="27"/>
      <c r="S197" s="86" t="str">
        <f t="shared" si="54"/>
        <v/>
      </c>
      <c r="T197" s="87" t="str">
        <f t="shared" si="55"/>
        <v/>
      </c>
      <c r="U197" s="87" t="str" cm="1">
        <f t="array" ref="U197">IF(AND(H197&lt;&gt;"YES",P197&lt;&gt;"",R197&lt;&gt;"",Q197&lt;&gt;""),
_xlfn.SWITCH(Q197,
"INR",_xlfn.SWITCH(R197,"KG",P197*S197,"CTN",P197,"UNIT",P197*N197,"NET",P197/M197,0),
"USD",_xlfn.SWITCH(R197,"KG",P197*S197*SI!$C$10,"CTN",P197*SI!$C$10,"UNIT",P197*N197*SI!$C$10,"NET",P197*SI!$C$10/M197,0),
"LKR",_xlfn.SWITCH(R197,"KG",P197*S197/SI!$C$9,"CTN",P197/SI!$C$9,"UNIT",P197*N197/SI!$C$9,"NET",P197/(M197*SI!$C$9),0),
0),
"")</f>
        <v/>
      </c>
      <c r="V197" s="87" t="str">
        <f t="shared" si="56"/>
        <v/>
      </c>
      <c r="W197" s="87" t="str">
        <f t="shared" si="57"/>
        <v/>
      </c>
      <c r="X197" s="88" t="str">
        <f t="shared" si="58"/>
        <v/>
      </c>
      <c r="Y197" s="24" t="str">
        <f t="shared" si="59"/>
        <v/>
      </c>
      <c r="Z197" s="267" t="str">
        <f>IF(AND(H197&lt;&gt;"yes",F197&lt;&gt;""),IFERROR(VLOOKUP(F197,DUTY_2025!A:F,5,FALSE),""),"")</f>
        <v/>
      </c>
      <c r="AA197" s="271" t="str">
        <f t="shared" si="60"/>
        <v/>
      </c>
      <c r="AB197" s="16" t="str">
        <f t="shared" si="61"/>
        <v/>
      </c>
      <c r="AC197" s="16" t="str">
        <f>IF(AA197&lt;&gt;"",ROUND(AA197*SI!$C$9,0),"")</f>
        <v/>
      </c>
      <c r="AD197" s="4" t="str">
        <f>IF(AC197&lt;&gt;"",ROUND(AC197/(SI!$C$9*SI!$C$10),2),"")</f>
        <v/>
      </c>
      <c r="AE197" s="30" t="str">
        <f>IF(AND(X197&lt;&gt;""), ROUND((SI!$E$23)*(X197/SUM($X$5:$X$493)),0),"")</f>
        <v/>
      </c>
      <c r="AF197" s="272" t="str">
        <f t="shared" si="62"/>
        <v/>
      </c>
      <c r="AG197" s="28" t="str">
        <f t="shared" si="63"/>
        <v/>
      </c>
      <c r="AH197" s="4" t="str">
        <f>IF(AD197&lt;&gt;"",ROUND(AD197*10*SI!$C$9/2,0),"")</f>
        <v/>
      </c>
      <c r="AI197" s="29" t="str">
        <f>IF(AND(X197&lt;&gt;""), ROUND((SI!$E$28)*(X197/SUM($X$5:$X$493)),0),"")</f>
        <v/>
      </c>
      <c r="AJ197" s="4" t="str">
        <f t="shared" si="64"/>
        <v/>
      </c>
      <c r="AK197" s="4" t="str">
        <f t="shared" si="65"/>
        <v/>
      </c>
      <c r="AL197" s="4" t="str">
        <f t="shared" si="66"/>
        <v/>
      </c>
      <c r="AM197" s="4" t="str">
        <f t="shared" si="67"/>
        <v/>
      </c>
      <c r="AN197" s="195" t="str">
        <f t="shared" si="68"/>
        <v/>
      </c>
      <c r="AO197" s="261" t="str">
        <f>IF(AND(AM197&lt;&gt;"",P197&lt;&gt;""),ROUND((AM197*((100+SI!$C$11)/100)),0),"")</f>
        <v/>
      </c>
      <c r="AP197" s="28" t="str">
        <f>IF(AG197&lt;&gt;"",ROUND(AG197/SI!$C$9,2),"")</f>
        <v/>
      </c>
      <c r="AQ197" s="4" t="str">
        <f>IF(AH197&lt;&gt;"",ROUND(AH197/SI!$C$9,2),"")</f>
        <v/>
      </c>
      <c r="AR197" s="29" t="str">
        <f>IF(AI197&lt;&gt;"",ROUND(AI197/SI!$C$9,2),"")</f>
        <v/>
      </c>
      <c r="AS197" s="4" t="str">
        <f t="shared" si="69"/>
        <v/>
      </c>
      <c r="AT197" s="4" t="str">
        <f t="shared" si="70"/>
        <v/>
      </c>
      <c r="AU197" s="4" t="str">
        <f>IF(AL197&lt;&gt;"",ROUND(AL197/SI!$C$9,2),"")</f>
        <v/>
      </c>
      <c r="AV197" s="4" t="str">
        <f>IF(AM197&lt;&gt;"",ROUND(AM197/SI!$C$9,2),"")</f>
        <v/>
      </c>
      <c r="AW197" s="4" t="str">
        <f>IF(AN197&lt;&gt;"",ROUND(AN197/SI!$C$9,2),"")</f>
        <v/>
      </c>
      <c r="AX197" s="261" t="str">
        <f>IF(AO197&lt;&gt;"",ROUND(AO197/SI!$C$9,2),"")</f>
        <v/>
      </c>
      <c r="AY197" s="28" t="str">
        <f t="shared" si="71"/>
        <v/>
      </c>
      <c r="AZ197" s="4" t="str">
        <f>IF(AY197&lt;&gt;"",ROUND(AY197/(SI!$C$9*SI!$C$10),2),"")</f>
        <v/>
      </c>
      <c r="BA197" s="4" t="str">
        <f t="shared" si="72"/>
        <v/>
      </c>
      <c r="BB197" s="4" t="str">
        <f t="shared" si="73"/>
        <v/>
      </c>
      <c r="BC197" s="4" t="str">
        <f t="shared" si="74"/>
        <v/>
      </c>
      <c r="BD197" s="4" t="str">
        <f t="shared" si="75"/>
        <v/>
      </c>
      <c r="BE197" s="4" t="str">
        <f>IF(AND(X197&lt;&gt;""),ROUND(X197/SI!$C$10,2),"")</f>
        <v/>
      </c>
      <c r="BF197" s="4" t="str">
        <f t="shared" si="77"/>
        <v/>
      </c>
      <c r="BG197" s="264" t="str">
        <f t="shared" si="76"/>
        <v/>
      </c>
      <c r="BH197" s="71" t="str">
        <f>IF(F197&lt;&gt;"",VLOOKUP(F197,DUTY_2025!A:O,15,FALSE),"")</f>
        <v/>
      </c>
    </row>
    <row r="198" spans="1:60" x14ac:dyDescent="0.25">
      <c r="A198" s="133">
        <f t="shared" ref="A198:A261" si="78">IF(AND(F198&lt;&gt;"",H198&lt;&gt;"YES"),IF(A197&lt;&gt;"",A197,0)+1,A197)</f>
        <v>66</v>
      </c>
      <c r="B198" s="83" t="str">
        <f t="shared" ref="B198:B261" si="79">IF(AND(F198&lt;&gt;"",H198&lt;&gt;"YES"),IF(B197&lt;&gt;"",B197,A197)+1,"")</f>
        <v/>
      </c>
      <c r="C198" s="126"/>
      <c r="D198" s="130"/>
      <c r="E198" s="22"/>
      <c r="F198" s="85"/>
      <c r="G198" s="27" t="str">
        <f>IF(F198&lt;&gt;"",IFERROR(VLOOKUP(F198,DUTY_2025!A:I,6,FALSE),""),"")</f>
        <v/>
      </c>
      <c r="H198" s="85" t="s">
        <v>133</v>
      </c>
      <c r="I198" s="27" t="str">
        <f>IF(F198&lt;&gt;"",IFERROR(VLOOKUP(F198,DUTY_2025!A:H,2,FALSE),""),"")</f>
        <v/>
      </c>
      <c r="J198" s="98"/>
      <c r="K198" s="98"/>
      <c r="L198" s="22"/>
      <c r="M198" s="22"/>
      <c r="N198" s="84"/>
      <c r="O198" s="22"/>
      <c r="P198" s="116"/>
      <c r="Q198" s="23"/>
      <c r="R198" s="27"/>
      <c r="S198" s="86" t="str">
        <f t="shared" ref="S198:S261" si="80">IF(AND(H198&lt;&gt;"YES",N198&lt;&gt;""),N198*L198/1000,"")</f>
        <v/>
      </c>
      <c r="T198" s="87" t="str">
        <f t="shared" ref="T198:T261" si="81">IF(S198&lt;&gt;"",S198*1.1,"")</f>
        <v/>
      </c>
      <c r="U198" s="87" t="str" cm="1">
        <f t="array" ref="U198">IF(AND(H198&lt;&gt;"YES",P198&lt;&gt;"",R198&lt;&gt;"",Q198&lt;&gt;""),
_xlfn.SWITCH(Q198,
"INR",_xlfn.SWITCH(R198,"KG",P198*S198,"CTN",P198,"UNIT",P198*N198,"NET",P198/M198,0),
"USD",_xlfn.SWITCH(R198,"KG",P198*S198*SI!$C$10,"CTN",P198*SI!$C$10,"UNIT",P198*N198*SI!$C$10,"NET",P198*SI!$C$10/M198,0),
"LKR",_xlfn.SWITCH(R198,"KG",P198*S198/SI!$C$9,"CTN",P198/SI!$C$9,"UNIT",P198*N198/SI!$C$9,"NET",P198/(M198*SI!$C$9),0),
0),
"")</f>
        <v/>
      </c>
      <c r="V198" s="87" t="str">
        <f t="shared" ref="V198:V261" si="82">IF(AND(S198&lt;&gt;"",M198&lt;&gt;"",N198&lt;&gt;""),S198*M198,"")</f>
        <v/>
      </c>
      <c r="W198" s="87" t="str">
        <f t="shared" ref="W198:W261" si="83">IF(V198&lt;&gt;"",V198*1.1,"")</f>
        <v/>
      </c>
      <c r="X198" s="88" t="str">
        <f t="shared" ref="X198:X261" si="84">IF(AND(U198&lt;&gt;"",M198&lt;&gt;""),U198*M198,"")</f>
        <v/>
      </c>
      <c r="Y198" s="24" t="str">
        <f t="shared" ref="Y198:Y261" si="85">IF(AND(H198&lt;&gt;"YES",M198&lt;&gt;"",N198&lt;&gt;""),IF(E198=1,(N198*M198)/2,N198*M198),"")</f>
        <v/>
      </c>
      <c r="Z198" s="267" t="str">
        <f>IF(AND(H198&lt;&gt;"yes",F198&lt;&gt;""),IFERROR(VLOOKUP(F198,DUTY_2025!A:F,5,FALSE),""),"")</f>
        <v/>
      </c>
      <c r="AA198" s="271" t="str">
        <f t="shared" ref="AA198:AA261" si="86">IF(B198&lt;&gt;"",IF(AND(X198&lt;&gt;"", O198&lt;&gt;""),IF(ROUND(X198*100/(100+O198),0)=0,"",ROUND(X198*100/(100+O198),0)),""),"")</f>
        <v/>
      </c>
      <c r="AB198" s="16" t="str">
        <f t="shared" ref="AB198:AB261" si="87">IF(M198&lt;&gt;"",IF(AND(X198&lt;&gt;"",AA198&lt;&gt;""),X198-AA198,""),"")</f>
        <v/>
      </c>
      <c r="AC198" s="16" t="str">
        <f>IF(AA198&lt;&gt;"",ROUND(AA198*SI!$C$9,0),"")</f>
        <v/>
      </c>
      <c r="AD198" s="4" t="str">
        <f>IF(AC198&lt;&gt;"",ROUND(AC198/(SI!$C$9*SI!$C$10),2),"")</f>
        <v/>
      </c>
      <c r="AE198" s="30" t="str">
        <f>IF(AND(X198&lt;&gt;""), ROUND((SI!$E$23)*(X198/SUM($X$5:$X$493)),0),"")</f>
        <v/>
      </c>
      <c r="AF198" s="272" t="str">
        <f t="shared" ref="AF198:AF261" si="88">IF(AND(AC198&lt;&gt;"",AE198&lt;&gt;""),ROUND(AC198+AE198,0),"")</f>
        <v/>
      </c>
      <c r="AG198" s="28" t="str">
        <f t="shared" ref="AG198:AG261" si="89">IF(AND(Z198&lt;&gt;"",V198&lt;&gt;""),Z198*V198,"")</f>
        <v/>
      </c>
      <c r="AH198" s="4" t="str">
        <f>IF(AD198&lt;&gt;"",ROUND(AD198*10*SI!$C$9/2,0),"")</f>
        <v/>
      </c>
      <c r="AI198" s="29" t="str">
        <f>IF(AND(X198&lt;&gt;""), ROUND((SI!$E$28)*(X198/SUM($X$5:$X$493)),0),"")</f>
        <v/>
      </c>
      <c r="AJ198" s="4" t="str">
        <f t="shared" ref="AJ198:AJ261" si="90">IF(AND(AG198&lt;&gt;"",AI198&lt;&gt;"",AH198&lt;&gt;""),AG198+AI198+AH198,"")</f>
        <v/>
      </c>
      <c r="AK198" s="4" t="str">
        <f t="shared" ref="AK198:AK261" si="91">IF(AND(AJ198&lt;&gt;"",Y198&lt;&gt;""),ROUND(AJ198/Y198,0),"")</f>
        <v/>
      </c>
      <c r="AL198" s="4" t="str">
        <f t="shared" ref="AL198:AL261" si="92">IF(AND(AC198&lt;&gt;"",Y198&lt;&gt;""),ROUND(AF198/Y198,0),"")</f>
        <v/>
      </c>
      <c r="AM198" s="4" t="str">
        <f t="shared" ref="AM198:AM261" si="93">IF(AND(AK198&lt;&gt;"",AL198&lt;&gt;""),AK198+AL198,"")</f>
        <v/>
      </c>
      <c r="AN198" s="195" t="str">
        <f t="shared" ref="AN198:AN261" si="94">IF(AND(AF198&lt;&gt;"",AG198&lt;&gt;"",AH198&lt;&gt;"",AI198&lt;&gt;""),AF198+AG198+AH198+AI198,"")</f>
        <v/>
      </c>
      <c r="AO198" s="261" t="str">
        <f>IF(AND(AM198&lt;&gt;"",P198&lt;&gt;""),ROUND((AM198*((100+SI!$C$11)/100)),0),"")</f>
        <v/>
      </c>
      <c r="AP198" s="28" t="str">
        <f>IF(AG198&lt;&gt;"",ROUND(AG198/SI!$C$9,2),"")</f>
        <v/>
      </c>
      <c r="AQ198" s="4" t="str">
        <f>IF(AH198&lt;&gt;"",ROUND(AH198/SI!$C$9,2),"")</f>
        <v/>
      </c>
      <c r="AR198" s="29" t="str">
        <f>IF(AI198&lt;&gt;"",ROUND(AI198/SI!$C$9,2),"")</f>
        <v/>
      </c>
      <c r="AS198" s="4" t="str">
        <f t="shared" ref="AS198:AS261" si="95">IF(AND(AP198&lt;&gt;"",AR198&lt;&gt;"",AQ198&lt;&gt;""),AP198+AR198+AQ198,"")</f>
        <v/>
      </c>
      <c r="AT198" s="4" t="str">
        <f t="shared" ref="AT198:AT261" si="96">IF(AND(AS198&lt;&gt;"",Y198&lt;&gt;""),ROUND(AS198/Y198,2),"")</f>
        <v/>
      </c>
      <c r="AU198" s="4" t="str">
        <f>IF(AL198&lt;&gt;"",ROUND(AL198/SI!$C$9,2),"")</f>
        <v/>
      </c>
      <c r="AV198" s="4" t="str">
        <f>IF(AM198&lt;&gt;"",ROUND(AM198/SI!$C$9,2),"")</f>
        <v/>
      </c>
      <c r="AW198" s="4" t="str">
        <f>IF(AN198&lt;&gt;"",ROUND(AN198/SI!$C$9,2),"")</f>
        <v/>
      </c>
      <c r="AX198" s="261" t="str">
        <f>IF(AO198&lt;&gt;"",ROUND(AO198/SI!$C$9,2),"")</f>
        <v/>
      </c>
      <c r="AY198" s="28" t="str">
        <f t="shared" ref="AY198:AY261" si="97">IF(AF198&lt;&gt;"",AF198,"")</f>
        <v/>
      </c>
      <c r="AZ198" s="4" t="str">
        <f>IF(AY198&lt;&gt;"",ROUND(AY198/(SI!$C$9*SI!$C$10),2),"")</f>
        <v/>
      </c>
      <c r="BA198" s="4" t="str">
        <f t="shared" ref="BA198:BA261" si="98">IF(AND(AY198&lt;&gt;"",BH198&lt;&gt;""),ROUND(AY198*BH198/100,2),"")</f>
        <v/>
      </c>
      <c r="BB198" s="4" t="str">
        <f t="shared" ref="BB198:BB261" si="99">IF(AND(AZ198&lt;&gt;"",BH198&lt;&gt;""),ROUND(AZ198*BH198/100,2),"")</f>
        <v/>
      </c>
      <c r="BC198" s="4" t="str">
        <f t="shared" ref="BC198:BC261" si="100">IF(AND(BB198&lt;&gt;"",Y198&lt;&gt;""),ROUND(BB198/Y198,3),"")</f>
        <v/>
      </c>
      <c r="BD198" s="4" t="str">
        <f t="shared" ref="BD198:BD261" si="101">IF(AND(BB198&lt;&gt;"",T198&lt;&gt;""),ROUND(BB198/V198,3),"")</f>
        <v/>
      </c>
      <c r="BE198" s="4" t="str">
        <f>IF(AND(X198&lt;&gt;""),ROUND(X198/SI!$C$10,2),"")</f>
        <v/>
      </c>
      <c r="BF198" s="4" t="str">
        <f t="shared" si="77"/>
        <v/>
      </c>
      <c r="BG198" s="264" t="str">
        <f t="shared" ref="BG198:BG261" si="102">IF(AND(BE198&lt;&gt;"",V198&lt;&gt;""),ROUND(BE198/V198,3),"")</f>
        <v/>
      </c>
      <c r="BH198" s="71" t="str">
        <f>IF(F198&lt;&gt;"",VLOOKUP(F198,DUTY_2025!A:O,15,FALSE),"")</f>
        <v/>
      </c>
    </row>
    <row r="199" spans="1:60" x14ac:dyDescent="0.25">
      <c r="A199" s="133">
        <f t="shared" si="78"/>
        <v>66</v>
      </c>
      <c r="B199" s="83" t="str">
        <f t="shared" si="79"/>
        <v/>
      </c>
      <c r="C199" s="126"/>
      <c r="D199" s="130"/>
      <c r="E199" s="22"/>
      <c r="F199" s="85"/>
      <c r="G199" s="27" t="str">
        <f>IF(F199&lt;&gt;"",IFERROR(VLOOKUP(F199,DUTY_2025!A:I,6,FALSE),""),"")</f>
        <v/>
      </c>
      <c r="H199" s="85" t="s">
        <v>133</v>
      </c>
      <c r="I199" s="27" t="str">
        <f>IF(F199&lt;&gt;"",IFERROR(VLOOKUP(F199,DUTY_2025!A:H,2,FALSE),""),"")</f>
        <v/>
      </c>
      <c r="J199" s="98"/>
      <c r="K199" s="98"/>
      <c r="L199" s="22"/>
      <c r="M199" s="22"/>
      <c r="N199" s="84"/>
      <c r="O199" s="22"/>
      <c r="P199" s="116"/>
      <c r="Q199" s="23"/>
      <c r="R199" s="27"/>
      <c r="S199" s="86" t="str">
        <f t="shared" si="80"/>
        <v/>
      </c>
      <c r="T199" s="87" t="str">
        <f t="shared" si="81"/>
        <v/>
      </c>
      <c r="U199" s="87" t="str" cm="1">
        <f t="array" ref="U199">IF(AND(H199&lt;&gt;"YES",P199&lt;&gt;"",R199&lt;&gt;"",Q199&lt;&gt;""),
_xlfn.SWITCH(Q199,
"INR",_xlfn.SWITCH(R199,"KG",P199*S199,"CTN",P199,"UNIT",P199*N199,"NET",P199/M199,0),
"USD",_xlfn.SWITCH(R199,"KG",P199*S199*SI!$C$10,"CTN",P199*SI!$C$10,"UNIT",P199*N199*SI!$C$10,"NET",P199*SI!$C$10/M199,0),
"LKR",_xlfn.SWITCH(R199,"KG",P199*S199/SI!$C$9,"CTN",P199/SI!$C$9,"UNIT",P199*N199/SI!$C$9,"NET",P199/(M199*SI!$C$9),0),
0),
"")</f>
        <v/>
      </c>
      <c r="V199" s="87" t="str">
        <f t="shared" si="82"/>
        <v/>
      </c>
      <c r="W199" s="87" t="str">
        <f t="shared" si="83"/>
        <v/>
      </c>
      <c r="X199" s="88" t="str">
        <f t="shared" si="84"/>
        <v/>
      </c>
      <c r="Y199" s="24" t="str">
        <f t="shared" si="85"/>
        <v/>
      </c>
      <c r="Z199" s="267" t="str">
        <f>IF(AND(H199&lt;&gt;"yes",F199&lt;&gt;""),IFERROR(VLOOKUP(F199,DUTY_2025!A:F,5,FALSE),""),"")</f>
        <v/>
      </c>
      <c r="AA199" s="271" t="str">
        <f t="shared" si="86"/>
        <v/>
      </c>
      <c r="AB199" s="16" t="str">
        <f t="shared" si="87"/>
        <v/>
      </c>
      <c r="AC199" s="16" t="str">
        <f>IF(AA199&lt;&gt;"",ROUND(AA199*SI!$C$9,0),"")</f>
        <v/>
      </c>
      <c r="AD199" s="4" t="str">
        <f>IF(AC199&lt;&gt;"",ROUND(AC199/(SI!$C$9*SI!$C$10),2),"")</f>
        <v/>
      </c>
      <c r="AE199" s="30" t="str">
        <f>IF(AND(X199&lt;&gt;""), ROUND((SI!$E$23)*(X199/SUM($X$5:$X$493)),0),"")</f>
        <v/>
      </c>
      <c r="AF199" s="272" t="str">
        <f t="shared" si="88"/>
        <v/>
      </c>
      <c r="AG199" s="28" t="str">
        <f t="shared" si="89"/>
        <v/>
      </c>
      <c r="AH199" s="4" t="str">
        <f>IF(AD199&lt;&gt;"",ROUND(AD199*10*SI!$C$9/2,0),"")</f>
        <v/>
      </c>
      <c r="AI199" s="29" t="str">
        <f>IF(AND(X199&lt;&gt;""), ROUND((SI!$E$28)*(X199/SUM($X$5:$X$493)),0),"")</f>
        <v/>
      </c>
      <c r="AJ199" s="4" t="str">
        <f t="shared" si="90"/>
        <v/>
      </c>
      <c r="AK199" s="4" t="str">
        <f t="shared" si="91"/>
        <v/>
      </c>
      <c r="AL199" s="4" t="str">
        <f t="shared" si="92"/>
        <v/>
      </c>
      <c r="AM199" s="4" t="str">
        <f t="shared" si="93"/>
        <v/>
      </c>
      <c r="AN199" s="195" t="str">
        <f t="shared" si="94"/>
        <v/>
      </c>
      <c r="AO199" s="261" t="str">
        <f>IF(AND(AM199&lt;&gt;"",P199&lt;&gt;""),ROUND((AM199*((100+SI!$C$11)/100)),0),"")</f>
        <v/>
      </c>
      <c r="AP199" s="28" t="str">
        <f>IF(AG199&lt;&gt;"",ROUND(AG199/SI!$C$9,2),"")</f>
        <v/>
      </c>
      <c r="AQ199" s="4" t="str">
        <f>IF(AH199&lt;&gt;"",ROUND(AH199/SI!$C$9,2),"")</f>
        <v/>
      </c>
      <c r="AR199" s="29" t="str">
        <f>IF(AI199&lt;&gt;"",ROUND(AI199/SI!$C$9,2),"")</f>
        <v/>
      </c>
      <c r="AS199" s="4" t="str">
        <f t="shared" si="95"/>
        <v/>
      </c>
      <c r="AT199" s="4" t="str">
        <f t="shared" si="96"/>
        <v/>
      </c>
      <c r="AU199" s="4" t="str">
        <f>IF(AL199&lt;&gt;"",ROUND(AL199/SI!$C$9,2),"")</f>
        <v/>
      </c>
      <c r="AV199" s="4" t="str">
        <f>IF(AM199&lt;&gt;"",ROUND(AM199/SI!$C$9,2),"")</f>
        <v/>
      </c>
      <c r="AW199" s="4" t="str">
        <f>IF(AN199&lt;&gt;"",ROUND(AN199/SI!$C$9,2),"")</f>
        <v/>
      </c>
      <c r="AX199" s="261" t="str">
        <f>IF(AO199&lt;&gt;"",ROUND(AO199/SI!$C$9,2),"")</f>
        <v/>
      </c>
      <c r="AY199" s="28" t="str">
        <f t="shared" si="97"/>
        <v/>
      </c>
      <c r="AZ199" s="4" t="str">
        <f>IF(AY199&lt;&gt;"",ROUND(AY199/(SI!$C$9*SI!$C$10),2),"")</f>
        <v/>
      </c>
      <c r="BA199" s="4" t="str">
        <f t="shared" si="98"/>
        <v/>
      </c>
      <c r="BB199" s="4" t="str">
        <f t="shared" si="99"/>
        <v/>
      </c>
      <c r="BC199" s="4" t="str">
        <f t="shared" si="100"/>
        <v/>
      </c>
      <c r="BD199" s="4" t="str">
        <f t="shared" si="101"/>
        <v/>
      </c>
      <c r="BE199" s="4" t="str">
        <f>IF(AND(X199&lt;&gt;""),ROUND(X199/SI!$C$10,2),"")</f>
        <v/>
      </c>
      <c r="BF199" s="4" t="str">
        <f t="shared" ref="BF199:BF262" si="103">IF(AND(BE199&lt;&gt;"",Y199&lt;&gt;""),ROUND(BE199/Y199,3),"")</f>
        <v/>
      </c>
      <c r="BG199" s="264" t="str">
        <f t="shared" si="102"/>
        <v/>
      </c>
      <c r="BH199" s="71" t="str">
        <f>IF(F199&lt;&gt;"",VLOOKUP(F199,DUTY_2025!A:O,15,FALSE),"")</f>
        <v/>
      </c>
    </row>
    <row r="200" spans="1:60" x14ac:dyDescent="0.25">
      <c r="A200" s="133">
        <f t="shared" si="78"/>
        <v>66</v>
      </c>
      <c r="B200" s="83" t="str">
        <f t="shared" si="79"/>
        <v/>
      </c>
      <c r="C200" s="126"/>
      <c r="D200" s="130"/>
      <c r="E200" s="22"/>
      <c r="F200" s="85"/>
      <c r="G200" s="27" t="str">
        <f>IF(F200&lt;&gt;"",IFERROR(VLOOKUP(F200,DUTY_2025!A:I,6,FALSE),""),"")</f>
        <v/>
      </c>
      <c r="H200" s="85" t="s">
        <v>133</v>
      </c>
      <c r="I200" s="27" t="str">
        <f>IF(F200&lt;&gt;"",IFERROR(VLOOKUP(F200,DUTY_2025!A:H,2,FALSE),""),"")</f>
        <v/>
      </c>
      <c r="J200" s="98"/>
      <c r="K200" s="98"/>
      <c r="L200" s="22"/>
      <c r="M200" s="22"/>
      <c r="N200" s="84"/>
      <c r="O200" s="22"/>
      <c r="P200" s="116"/>
      <c r="Q200" s="23"/>
      <c r="R200" s="27"/>
      <c r="S200" s="86" t="str">
        <f t="shared" si="80"/>
        <v/>
      </c>
      <c r="T200" s="87" t="str">
        <f t="shared" si="81"/>
        <v/>
      </c>
      <c r="U200" s="87" t="str" cm="1">
        <f t="array" ref="U200">IF(AND(H200&lt;&gt;"YES",P200&lt;&gt;"",R200&lt;&gt;"",Q200&lt;&gt;""),
_xlfn.SWITCH(Q200,
"INR",_xlfn.SWITCH(R200,"KG",P200*S200,"CTN",P200,"UNIT",P200*N200,"NET",P200/M200,0),
"USD",_xlfn.SWITCH(R200,"KG",P200*S200*SI!$C$10,"CTN",P200*SI!$C$10,"UNIT",P200*N200*SI!$C$10,"NET",P200*SI!$C$10/M200,0),
"LKR",_xlfn.SWITCH(R200,"KG",P200*S200/SI!$C$9,"CTN",P200/SI!$C$9,"UNIT",P200*N200/SI!$C$9,"NET",P200/(M200*SI!$C$9),0),
0),
"")</f>
        <v/>
      </c>
      <c r="V200" s="87" t="str">
        <f t="shared" si="82"/>
        <v/>
      </c>
      <c r="W200" s="87" t="str">
        <f t="shared" si="83"/>
        <v/>
      </c>
      <c r="X200" s="88" t="str">
        <f t="shared" si="84"/>
        <v/>
      </c>
      <c r="Y200" s="24" t="str">
        <f t="shared" si="85"/>
        <v/>
      </c>
      <c r="Z200" s="267" t="str">
        <f>IF(AND(H200&lt;&gt;"yes",F200&lt;&gt;""),IFERROR(VLOOKUP(F200,DUTY_2025!A:F,5,FALSE),""),"")</f>
        <v/>
      </c>
      <c r="AA200" s="271" t="str">
        <f t="shared" si="86"/>
        <v/>
      </c>
      <c r="AB200" s="16" t="str">
        <f t="shared" si="87"/>
        <v/>
      </c>
      <c r="AC200" s="16" t="str">
        <f>IF(AA200&lt;&gt;"",ROUND(AA200*SI!$C$9,0),"")</f>
        <v/>
      </c>
      <c r="AD200" s="4" t="str">
        <f>IF(AC200&lt;&gt;"",ROUND(AC200/(SI!$C$9*SI!$C$10),2),"")</f>
        <v/>
      </c>
      <c r="AE200" s="30" t="str">
        <f>IF(AND(X200&lt;&gt;""), ROUND((SI!$E$23)*(X200/SUM($X$5:$X$493)),0),"")</f>
        <v/>
      </c>
      <c r="AF200" s="272" t="str">
        <f t="shared" si="88"/>
        <v/>
      </c>
      <c r="AG200" s="28" t="str">
        <f t="shared" si="89"/>
        <v/>
      </c>
      <c r="AH200" s="4" t="str">
        <f>IF(AD200&lt;&gt;"",ROUND(AD200*10*SI!$C$9/2,0),"")</f>
        <v/>
      </c>
      <c r="AI200" s="29" t="str">
        <f>IF(AND(X200&lt;&gt;""), ROUND((SI!$E$28)*(X200/SUM($X$5:$X$493)),0),"")</f>
        <v/>
      </c>
      <c r="AJ200" s="4" t="str">
        <f t="shared" si="90"/>
        <v/>
      </c>
      <c r="AK200" s="4" t="str">
        <f t="shared" si="91"/>
        <v/>
      </c>
      <c r="AL200" s="4" t="str">
        <f t="shared" si="92"/>
        <v/>
      </c>
      <c r="AM200" s="4" t="str">
        <f t="shared" si="93"/>
        <v/>
      </c>
      <c r="AN200" s="195" t="str">
        <f t="shared" si="94"/>
        <v/>
      </c>
      <c r="AO200" s="261" t="str">
        <f>IF(AND(AM200&lt;&gt;"",P200&lt;&gt;""),ROUND((AM200*((100+SI!$C$11)/100)),0),"")</f>
        <v/>
      </c>
      <c r="AP200" s="28" t="str">
        <f>IF(AG200&lt;&gt;"",ROUND(AG200/SI!$C$9,2),"")</f>
        <v/>
      </c>
      <c r="AQ200" s="4" t="str">
        <f>IF(AH200&lt;&gt;"",ROUND(AH200/SI!$C$9,2),"")</f>
        <v/>
      </c>
      <c r="AR200" s="29" t="str">
        <f>IF(AI200&lt;&gt;"",ROUND(AI200/SI!$C$9,2),"")</f>
        <v/>
      </c>
      <c r="AS200" s="4" t="str">
        <f t="shared" si="95"/>
        <v/>
      </c>
      <c r="AT200" s="4" t="str">
        <f t="shared" si="96"/>
        <v/>
      </c>
      <c r="AU200" s="4" t="str">
        <f>IF(AL200&lt;&gt;"",ROUND(AL200/SI!$C$9,2),"")</f>
        <v/>
      </c>
      <c r="AV200" s="4" t="str">
        <f>IF(AM200&lt;&gt;"",ROUND(AM200/SI!$C$9,2),"")</f>
        <v/>
      </c>
      <c r="AW200" s="4" t="str">
        <f>IF(AN200&lt;&gt;"",ROUND(AN200/SI!$C$9,2),"")</f>
        <v/>
      </c>
      <c r="AX200" s="261" t="str">
        <f>IF(AO200&lt;&gt;"",ROUND(AO200/SI!$C$9,2),"")</f>
        <v/>
      </c>
      <c r="AY200" s="28" t="str">
        <f t="shared" si="97"/>
        <v/>
      </c>
      <c r="AZ200" s="4" t="str">
        <f>IF(AY200&lt;&gt;"",ROUND(AY200/(SI!$C$9*SI!$C$10),2),"")</f>
        <v/>
      </c>
      <c r="BA200" s="4" t="str">
        <f t="shared" si="98"/>
        <v/>
      </c>
      <c r="BB200" s="4" t="str">
        <f t="shared" si="99"/>
        <v/>
      </c>
      <c r="BC200" s="4" t="str">
        <f t="shared" si="100"/>
        <v/>
      </c>
      <c r="BD200" s="4" t="str">
        <f t="shared" si="101"/>
        <v/>
      </c>
      <c r="BE200" s="4" t="str">
        <f>IF(AND(X200&lt;&gt;""),ROUND(X200/SI!$C$10,2),"")</f>
        <v/>
      </c>
      <c r="BF200" s="4" t="str">
        <f t="shared" si="103"/>
        <v/>
      </c>
      <c r="BG200" s="264" t="str">
        <f t="shared" si="102"/>
        <v/>
      </c>
      <c r="BH200" s="71" t="str">
        <f>IF(F200&lt;&gt;"",VLOOKUP(F200,DUTY_2025!A:O,15,FALSE),"")</f>
        <v/>
      </c>
    </row>
    <row r="201" spans="1:60" x14ac:dyDescent="0.25">
      <c r="A201" s="133">
        <f t="shared" si="78"/>
        <v>66</v>
      </c>
      <c r="B201" s="83" t="str">
        <f t="shared" si="79"/>
        <v/>
      </c>
      <c r="C201" s="126"/>
      <c r="D201" s="130"/>
      <c r="E201" s="22"/>
      <c r="F201" s="85"/>
      <c r="G201" s="27" t="str">
        <f>IF(F201&lt;&gt;"",IFERROR(VLOOKUP(F201,DUTY_2025!A:I,6,FALSE),""),"")</f>
        <v/>
      </c>
      <c r="H201" s="85" t="s">
        <v>133</v>
      </c>
      <c r="I201" s="27" t="str">
        <f>IF(F201&lt;&gt;"",IFERROR(VLOOKUP(F201,DUTY_2025!A:H,2,FALSE),""),"")</f>
        <v/>
      </c>
      <c r="J201" s="98"/>
      <c r="K201" s="98"/>
      <c r="L201" s="22"/>
      <c r="M201" s="22"/>
      <c r="N201" s="84"/>
      <c r="O201" s="22"/>
      <c r="P201" s="116"/>
      <c r="Q201" s="23"/>
      <c r="R201" s="27"/>
      <c r="S201" s="86" t="str">
        <f t="shared" si="80"/>
        <v/>
      </c>
      <c r="T201" s="87" t="str">
        <f t="shared" si="81"/>
        <v/>
      </c>
      <c r="U201" s="87" t="str" cm="1">
        <f t="array" ref="U201">IF(AND(H201&lt;&gt;"YES",P201&lt;&gt;"",R201&lt;&gt;"",Q201&lt;&gt;""),
_xlfn.SWITCH(Q201,
"INR",_xlfn.SWITCH(R201,"KG",P201*S201,"CTN",P201,"UNIT",P201*N201,"NET",P201/M201,0),
"USD",_xlfn.SWITCH(R201,"KG",P201*S201*SI!$C$10,"CTN",P201*SI!$C$10,"UNIT",P201*N201*SI!$C$10,"NET",P201*SI!$C$10/M201,0),
"LKR",_xlfn.SWITCH(R201,"KG",P201*S201/SI!$C$9,"CTN",P201/SI!$C$9,"UNIT",P201*N201/SI!$C$9,"NET",P201/(M201*SI!$C$9),0),
0),
"")</f>
        <v/>
      </c>
      <c r="V201" s="87" t="str">
        <f t="shared" si="82"/>
        <v/>
      </c>
      <c r="W201" s="87" t="str">
        <f t="shared" si="83"/>
        <v/>
      </c>
      <c r="X201" s="88" t="str">
        <f t="shared" si="84"/>
        <v/>
      </c>
      <c r="Y201" s="24" t="str">
        <f t="shared" si="85"/>
        <v/>
      </c>
      <c r="Z201" s="267" t="str">
        <f>IF(AND(H201&lt;&gt;"yes",F201&lt;&gt;""),IFERROR(VLOOKUP(F201,DUTY_2025!A:F,5,FALSE),""),"")</f>
        <v/>
      </c>
      <c r="AA201" s="271" t="str">
        <f t="shared" si="86"/>
        <v/>
      </c>
      <c r="AB201" s="16" t="str">
        <f t="shared" si="87"/>
        <v/>
      </c>
      <c r="AC201" s="16" t="str">
        <f>IF(AA201&lt;&gt;"",ROUND(AA201*SI!$C$9,0),"")</f>
        <v/>
      </c>
      <c r="AD201" s="4" t="str">
        <f>IF(AC201&lt;&gt;"",ROUND(AC201/(SI!$C$9*SI!$C$10),2),"")</f>
        <v/>
      </c>
      <c r="AE201" s="30" t="str">
        <f>IF(AND(X201&lt;&gt;""), ROUND((SI!$E$23)*(X201/SUM($X$5:$X$493)),0),"")</f>
        <v/>
      </c>
      <c r="AF201" s="272" t="str">
        <f t="shared" si="88"/>
        <v/>
      </c>
      <c r="AG201" s="28" t="str">
        <f t="shared" si="89"/>
        <v/>
      </c>
      <c r="AH201" s="4" t="str">
        <f>IF(AD201&lt;&gt;"",ROUND(AD201*10*SI!$C$9/2,0),"")</f>
        <v/>
      </c>
      <c r="AI201" s="29" t="str">
        <f>IF(AND(X201&lt;&gt;""), ROUND((SI!$E$28)*(X201/SUM($X$5:$X$493)),0),"")</f>
        <v/>
      </c>
      <c r="AJ201" s="4" t="str">
        <f t="shared" si="90"/>
        <v/>
      </c>
      <c r="AK201" s="4" t="str">
        <f t="shared" si="91"/>
        <v/>
      </c>
      <c r="AL201" s="4" t="str">
        <f t="shared" si="92"/>
        <v/>
      </c>
      <c r="AM201" s="4" t="str">
        <f t="shared" si="93"/>
        <v/>
      </c>
      <c r="AN201" s="195" t="str">
        <f t="shared" si="94"/>
        <v/>
      </c>
      <c r="AO201" s="261" t="str">
        <f>IF(AND(AM201&lt;&gt;"",P201&lt;&gt;""),ROUND((AM201*((100+SI!$C$11)/100)),0),"")</f>
        <v/>
      </c>
      <c r="AP201" s="28" t="str">
        <f>IF(AG201&lt;&gt;"",ROUND(AG201/SI!$C$9,2),"")</f>
        <v/>
      </c>
      <c r="AQ201" s="4" t="str">
        <f>IF(AH201&lt;&gt;"",ROUND(AH201/SI!$C$9,2),"")</f>
        <v/>
      </c>
      <c r="AR201" s="29" t="str">
        <f>IF(AI201&lt;&gt;"",ROUND(AI201/SI!$C$9,2),"")</f>
        <v/>
      </c>
      <c r="AS201" s="4" t="str">
        <f t="shared" si="95"/>
        <v/>
      </c>
      <c r="AT201" s="4" t="str">
        <f t="shared" si="96"/>
        <v/>
      </c>
      <c r="AU201" s="4" t="str">
        <f>IF(AL201&lt;&gt;"",ROUND(AL201/SI!$C$9,2),"")</f>
        <v/>
      </c>
      <c r="AV201" s="4" t="str">
        <f>IF(AM201&lt;&gt;"",ROUND(AM201/SI!$C$9,2),"")</f>
        <v/>
      </c>
      <c r="AW201" s="4" t="str">
        <f>IF(AN201&lt;&gt;"",ROUND(AN201/SI!$C$9,2),"")</f>
        <v/>
      </c>
      <c r="AX201" s="261" t="str">
        <f>IF(AO201&lt;&gt;"",ROUND(AO201/SI!$C$9,2),"")</f>
        <v/>
      </c>
      <c r="AY201" s="28" t="str">
        <f t="shared" si="97"/>
        <v/>
      </c>
      <c r="AZ201" s="4" t="str">
        <f>IF(AY201&lt;&gt;"",ROUND(AY201/(SI!$C$9*SI!$C$10),2),"")</f>
        <v/>
      </c>
      <c r="BA201" s="4" t="str">
        <f t="shared" si="98"/>
        <v/>
      </c>
      <c r="BB201" s="4" t="str">
        <f t="shared" si="99"/>
        <v/>
      </c>
      <c r="BC201" s="4" t="str">
        <f t="shared" si="100"/>
        <v/>
      </c>
      <c r="BD201" s="4" t="str">
        <f t="shared" si="101"/>
        <v/>
      </c>
      <c r="BE201" s="4" t="str">
        <f>IF(AND(X201&lt;&gt;""),ROUND(X201/SI!$C$10,2),"")</f>
        <v/>
      </c>
      <c r="BF201" s="4" t="str">
        <f t="shared" si="103"/>
        <v/>
      </c>
      <c r="BG201" s="264" t="str">
        <f t="shared" si="102"/>
        <v/>
      </c>
      <c r="BH201" s="71" t="str">
        <f>IF(F201&lt;&gt;"",VLOOKUP(F201,DUTY_2025!A:O,15,FALSE),"")</f>
        <v/>
      </c>
    </row>
    <row r="202" spans="1:60" x14ac:dyDescent="0.25">
      <c r="A202" s="133">
        <f t="shared" si="78"/>
        <v>66</v>
      </c>
      <c r="B202" s="83" t="str">
        <f t="shared" si="79"/>
        <v/>
      </c>
      <c r="C202" s="126"/>
      <c r="D202" s="130"/>
      <c r="E202" s="22"/>
      <c r="F202" s="85"/>
      <c r="G202" s="27" t="str">
        <f>IF(F202&lt;&gt;"",IFERROR(VLOOKUP(F202,DUTY_2025!A:I,6,FALSE),""),"")</f>
        <v/>
      </c>
      <c r="H202" s="85" t="s">
        <v>133</v>
      </c>
      <c r="I202" s="27" t="str">
        <f>IF(F202&lt;&gt;"",IFERROR(VLOOKUP(F202,DUTY_2025!A:H,2,FALSE),""),"")</f>
        <v/>
      </c>
      <c r="J202" s="98"/>
      <c r="K202" s="98"/>
      <c r="L202" s="22"/>
      <c r="M202" s="22"/>
      <c r="N202" s="84"/>
      <c r="O202" s="22"/>
      <c r="P202" s="116"/>
      <c r="Q202" s="23"/>
      <c r="R202" s="27"/>
      <c r="S202" s="86" t="str">
        <f t="shared" si="80"/>
        <v/>
      </c>
      <c r="T202" s="87" t="str">
        <f t="shared" si="81"/>
        <v/>
      </c>
      <c r="U202" s="87" t="str" cm="1">
        <f t="array" ref="U202">IF(AND(H202&lt;&gt;"YES",P202&lt;&gt;"",R202&lt;&gt;"",Q202&lt;&gt;""),
_xlfn.SWITCH(Q202,
"INR",_xlfn.SWITCH(R202,"KG",P202*S202,"CTN",P202,"UNIT",P202*N202,"NET",P202/M202,0),
"USD",_xlfn.SWITCH(R202,"KG",P202*S202*SI!$C$10,"CTN",P202*SI!$C$10,"UNIT",P202*N202*SI!$C$10,"NET",P202*SI!$C$10/M202,0),
"LKR",_xlfn.SWITCH(R202,"KG",P202*S202/SI!$C$9,"CTN",P202/SI!$C$9,"UNIT",P202*N202/SI!$C$9,"NET",P202/(M202*SI!$C$9),0),
0),
"")</f>
        <v/>
      </c>
      <c r="V202" s="87" t="str">
        <f t="shared" si="82"/>
        <v/>
      </c>
      <c r="W202" s="87" t="str">
        <f t="shared" si="83"/>
        <v/>
      </c>
      <c r="X202" s="88" t="str">
        <f t="shared" si="84"/>
        <v/>
      </c>
      <c r="Y202" s="24" t="str">
        <f t="shared" si="85"/>
        <v/>
      </c>
      <c r="Z202" s="267" t="str">
        <f>IF(AND(H202&lt;&gt;"yes",F202&lt;&gt;""),IFERROR(VLOOKUP(F202,DUTY_2025!A:F,5,FALSE),""),"")</f>
        <v/>
      </c>
      <c r="AA202" s="271" t="str">
        <f t="shared" si="86"/>
        <v/>
      </c>
      <c r="AB202" s="16" t="str">
        <f t="shared" si="87"/>
        <v/>
      </c>
      <c r="AC202" s="16" t="str">
        <f>IF(AA202&lt;&gt;"",ROUND(AA202*SI!$C$9,0),"")</f>
        <v/>
      </c>
      <c r="AD202" s="4" t="str">
        <f>IF(AC202&lt;&gt;"",ROUND(AC202/(SI!$C$9*SI!$C$10),2),"")</f>
        <v/>
      </c>
      <c r="AE202" s="30" t="str">
        <f>IF(AND(X202&lt;&gt;""), ROUND((SI!$E$23)*(X202/SUM($X$5:$X$493)),0),"")</f>
        <v/>
      </c>
      <c r="AF202" s="272" t="str">
        <f t="shared" si="88"/>
        <v/>
      </c>
      <c r="AG202" s="28" t="str">
        <f t="shared" si="89"/>
        <v/>
      </c>
      <c r="AH202" s="4" t="str">
        <f>IF(AD202&lt;&gt;"",ROUND(AD202*10*SI!$C$9/2,0),"")</f>
        <v/>
      </c>
      <c r="AI202" s="29" t="str">
        <f>IF(AND(X202&lt;&gt;""), ROUND((SI!$E$28)*(X202/SUM($X$5:$X$493)),0),"")</f>
        <v/>
      </c>
      <c r="AJ202" s="4" t="str">
        <f t="shared" si="90"/>
        <v/>
      </c>
      <c r="AK202" s="4" t="str">
        <f t="shared" si="91"/>
        <v/>
      </c>
      <c r="AL202" s="4" t="str">
        <f t="shared" si="92"/>
        <v/>
      </c>
      <c r="AM202" s="4" t="str">
        <f t="shared" si="93"/>
        <v/>
      </c>
      <c r="AN202" s="195" t="str">
        <f t="shared" si="94"/>
        <v/>
      </c>
      <c r="AO202" s="261" t="str">
        <f>IF(AND(AM202&lt;&gt;"",P202&lt;&gt;""),ROUND((AM202*((100+SI!$C$11)/100)),0),"")</f>
        <v/>
      </c>
      <c r="AP202" s="28" t="str">
        <f>IF(AG202&lt;&gt;"",ROUND(AG202/SI!$C$9,2),"")</f>
        <v/>
      </c>
      <c r="AQ202" s="4" t="str">
        <f>IF(AH202&lt;&gt;"",ROUND(AH202/SI!$C$9,2),"")</f>
        <v/>
      </c>
      <c r="AR202" s="29" t="str">
        <f>IF(AI202&lt;&gt;"",ROUND(AI202/SI!$C$9,2),"")</f>
        <v/>
      </c>
      <c r="AS202" s="4" t="str">
        <f t="shared" si="95"/>
        <v/>
      </c>
      <c r="AT202" s="4" t="str">
        <f t="shared" si="96"/>
        <v/>
      </c>
      <c r="AU202" s="4" t="str">
        <f>IF(AL202&lt;&gt;"",ROUND(AL202/SI!$C$9,2),"")</f>
        <v/>
      </c>
      <c r="AV202" s="4" t="str">
        <f>IF(AM202&lt;&gt;"",ROUND(AM202/SI!$C$9,2),"")</f>
        <v/>
      </c>
      <c r="AW202" s="4" t="str">
        <f>IF(AN202&lt;&gt;"",ROUND(AN202/SI!$C$9,2),"")</f>
        <v/>
      </c>
      <c r="AX202" s="261" t="str">
        <f>IF(AO202&lt;&gt;"",ROUND(AO202/SI!$C$9,2),"")</f>
        <v/>
      </c>
      <c r="AY202" s="28" t="str">
        <f t="shared" si="97"/>
        <v/>
      </c>
      <c r="AZ202" s="4" t="str">
        <f>IF(AY202&lt;&gt;"",ROUND(AY202/(SI!$C$9*SI!$C$10),2),"")</f>
        <v/>
      </c>
      <c r="BA202" s="4" t="str">
        <f t="shared" si="98"/>
        <v/>
      </c>
      <c r="BB202" s="4" t="str">
        <f t="shared" si="99"/>
        <v/>
      </c>
      <c r="BC202" s="4" t="str">
        <f t="shared" si="100"/>
        <v/>
      </c>
      <c r="BD202" s="4" t="str">
        <f t="shared" si="101"/>
        <v/>
      </c>
      <c r="BE202" s="4" t="str">
        <f>IF(AND(X202&lt;&gt;""),ROUND(X202/SI!$C$10,2),"")</f>
        <v/>
      </c>
      <c r="BF202" s="4" t="str">
        <f t="shared" si="103"/>
        <v/>
      </c>
      <c r="BG202" s="264" t="str">
        <f t="shared" si="102"/>
        <v/>
      </c>
      <c r="BH202" s="71" t="str">
        <f>IF(F202&lt;&gt;"",VLOOKUP(F202,DUTY_2025!A:O,15,FALSE),"")</f>
        <v/>
      </c>
    </row>
    <row r="203" spans="1:60" x14ac:dyDescent="0.25">
      <c r="A203" s="133">
        <f t="shared" si="78"/>
        <v>66</v>
      </c>
      <c r="B203" s="83" t="str">
        <f t="shared" si="79"/>
        <v/>
      </c>
      <c r="C203" s="126"/>
      <c r="D203" s="130"/>
      <c r="E203" s="22"/>
      <c r="F203" s="85"/>
      <c r="G203" s="27" t="str">
        <f>IF(F203&lt;&gt;"",IFERROR(VLOOKUP(F203,DUTY_2025!A:I,6,FALSE),""),"")</f>
        <v/>
      </c>
      <c r="H203" s="85" t="s">
        <v>133</v>
      </c>
      <c r="I203" s="27" t="str">
        <f>IF(F203&lt;&gt;"",IFERROR(VLOOKUP(F203,DUTY_2025!A:H,2,FALSE),""),"")</f>
        <v/>
      </c>
      <c r="J203" s="98"/>
      <c r="K203" s="98"/>
      <c r="L203" s="22"/>
      <c r="M203" s="22"/>
      <c r="N203" s="84"/>
      <c r="O203" s="22"/>
      <c r="P203" s="116"/>
      <c r="Q203" s="23"/>
      <c r="R203" s="27"/>
      <c r="S203" s="86" t="str">
        <f t="shared" si="80"/>
        <v/>
      </c>
      <c r="T203" s="87" t="str">
        <f t="shared" si="81"/>
        <v/>
      </c>
      <c r="U203" s="87" t="str" cm="1">
        <f t="array" ref="U203">IF(AND(H203&lt;&gt;"YES",P203&lt;&gt;"",R203&lt;&gt;"",Q203&lt;&gt;""),
_xlfn.SWITCH(Q203,
"INR",_xlfn.SWITCH(R203,"KG",P203*S203,"CTN",P203,"UNIT",P203*N203,"NET",P203/M203,0),
"USD",_xlfn.SWITCH(R203,"KG",P203*S203*SI!$C$10,"CTN",P203*SI!$C$10,"UNIT",P203*N203*SI!$C$10,"NET",P203*SI!$C$10/M203,0),
"LKR",_xlfn.SWITCH(R203,"KG",P203*S203/SI!$C$9,"CTN",P203/SI!$C$9,"UNIT",P203*N203/SI!$C$9,"NET",P203/(M203*SI!$C$9),0),
0),
"")</f>
        <v/>
      </c>
      <c r="V203" s="87" t="str">
        <f t="shared" si="82"/>
        <v/>
      </c>
      <c r="W203" s="87" t="str">
        <f t="shared" si="83"/>
        <v/>
      </c>
      <c r="X203" s="88" t="str">
        <f t="shared" si="84"/>
        <v/>
      </c>
      <c r="Y203" s="24" t="str">
        <f t="shared" si="85"/>
        <v/>
      </c>
      <c r="Z203" s="267" t="str">
        <f>IF(AND(H203&lt;&gt;"yes",F203&lt;&gt;""),IFERROR(VLOOKUP(F203,DUTY_2025!A:F,5,FALSE),""),"")</f>
        <v/>
      </c>
      <c r="AA203" s="271" t="str">
        <f t="shared" si="86"/>
        <v/>
      </c>
      <c r="AB203" s="16" t="str">
        <f t="shared" si="87"/>
        <v/>
      </c>
      <c r="AC203" s="16" t="str">
        <f>IF(AA203&lt;&gt;"",ROUND(AA203*SI!$C$9,0),"")</f>
        <v/>
      </c>
      <c r="AD203" s="4" t="str">
        <f>IF(AC203&lt;&gt;"",ROUND(AC203/(SI!$C$9*SI!$C$10),2),"")</f>
        <v/>
      </c>
      <c r="AE203" s="30" t="str">
        <f>IF(AND(X203&lt;&gt;""), ROUND((SI!$E$23)*(X203/SUM($X$5:$X$493)),0),"")</f>
        <v/>
      </c>
      <c r="AF203" s="272" t="str">
        <f t="shared" si="88"/>
        <v/>
      </c>
      <c r="AG203" s="28" t="str">
        <f t="shared" si="89"/>
        <v/>
      </c>
      <c r="AH203" s="4" t="str">
        <f>IF(AD203&lt;&gt;"",ROUND(AD203*10*SI!$C$9/2,0),"")</f>
        <v/>
      </c>
      <c r="AI203" s="29" t="str">
        <f>IF(AND(X203&lt;&gt;""), ROUND((SI!$E$28)*(X203/SUM($X$5:$X$493)),0),"")</f>
        <v/>
      </c>
      <c r="AJ203" s="4" t="str">
        <f t="shared" si="90"/>
        <v/>
      </c>
      <c r="AK203" s="4" t="str">
        <f t="shared" si="91"/>
        <v/>
      </c>
      <c r="AL203" s="4" t="str">
        <f t="shared" si="92"/>
        <v/>
      </c>
      <c r="AM203" s="4" t="str">
        <f t="shared" si="93"/>
        <v/>
      </c>
      <c r="AN203" s="195" t="str">
        <f t="shared" si="94"/>
        <v/>
      </c>
      <c r="AO203" s="261" t="str">
        <f>IF(AND(AM203&lt;&gt;"",P203&lt;&gt;""),ROUND((AM203*((100+SI!$C$11)/100)),0),"")</f>
        <v/>
      </c>
      <c r="AP203" s="28" t="str">
        <f>IF(AG203&lt;&gt;"",ROUND(AG203/SI!$C$9,2),"")</f>
        <v/>
      </c>
      <c r="AQ203" s="4" t="str">
        <f>IF(AH203&lt;&gt;"",ROUND(AH203/SI!$C$9,2),"")</f>
        <v/>
      </c>
      <c r="AR203" s="29" t="str">
        <f>IF(AI203&lt;&gt;"",ROUND(AI203/SI!$C$9,2),"")</f>
        <v/>
      </c>
      <c r="AS203" s="4" t="str">
        <f t="shared" si="95"/>
        <v/>
      </c>
      <c r="AT203" s="4" t="str">
        <f t="shared" si="96"/>
        <v/>
      </c>
      <c r="AU203" s="4" t="str">
        <f>IF(AL203&lt;&gt;"",ROUND(AL203/SI!$C$9,2),"")</f>
        <v/>
      </c>
      <c r="AV203" s="4" t="str">
        <f>IF(AM203&lt;&gt;"",ROUND(AM203/SI!$C$9,2),"")</f>
        <v/>
      </c>
      <c r="AW203" s="4" t="str">
        <f>IF(AN203&lt;&gt;"",ROUND(AN203/SI!$C$9,2),"")</f>
        <v/>
      </c>
      <c r="AX203" s="261" t="str">
        <f>IF(AO203&lt;&gt;"",ROUND(AO203/SI!$C$9,2),"")</f>
        <v/>
      </c>
      <c r="AY203" s="28" t="str">
        <f t="shared" si="97"/>
        <v/>
      </c>
      <c r="AZ203" s="4" t="str">
        <f>IF(AY203&lt;&gt;"",ROUND(AY203/(SI!$C$9*SI!$C$10),2),"")</f>
        <v/>
      </c>
      <c r="BA203" s="4" t="str">
        <f t="shared" si="98"/>
        <v/>
      </c>
      <c r="BB203" s="4" t="str">
        <f t="shared" si="99"/>
        <v/>
      </c>
      <c r="BC203" s="4" t="str">
        <f t="shared" si="100"/>
        <v/>
      </c>
      <c r="BD203" s="4" t="str">
        <f t="shared" si="101"/>
        <v/>
      </c>
      <c r="BE203" s="4" t="str">
        <f>IF(AND(X203&lt;&gt;""),ROUND(X203/SI!$C$10,2),"")</f>
        <v/>
      </c>
      <c r="BF203" s="4" t="str">
        <f t="shared" si="103"/>
        <v/>
      </c>
      <c r="BG203" s="264" t="str">
        <f t="shared" si="102"/>
        <v/>
      </c>
      <c r="BH203" s="71" t="str">
        <f>IF(F203&lt;&gt;"",VLOOKUP(F203,DUTY_2025!A:O,15,FALSE),"")</f>
        <v/>
      </c>
    </row>
    <row r="204" spans="1:60" x14ac:dyDescent="0.25">
      <c r="A204" s="133">
        <f t="shared" si="78"/>
        <v>66</v>
      </c>
      <c r="B204" s="83" t="str">
        <f t="shared" si="79"/>
        <v/>
      </c>
      <c r="C204" s="126"/>
      <c r="D204" s="130"/>
      <c r="E204" s="22"/>
      <c r="F204" s="85"/>
      <c r="G204" s="27" t="str">
        <f>IF(F204&lt;&gt;"",IFERROR(VLOOKUP(F204,DUTY_2025!A:I,6,FALSE),""),"")</f>
        <v/>
      </c>
      <c r="H204" s="85" t="s">
        <v>133</v>
      </c>
      <c r="I204" s="27" t="str">
        <f>IF(F204&lt;&gt;"",IFERROR(VLOOKUP(F204,DUTY_2025!A:H,2,FALSE),""),"")</f>
        <v/>
      </c>
      <c r="J204" s="98"/>
      <c r="K204" s="98"/>
      <c r="L204" s="22"/>
      <c r="M204" s="22"/>
      <c r="N204" s="84"/>
      <c r="O204" s="22"/>
      <c r="P204" s="116"/>
      <c r="Q204" s="23"/>
      <c r="R204" s="27"/>
      <c r="S204" s="86" t="str">
        <f t="shared" si="80"/>
        <v/>
      </c>
      <c r="T204" s="87" t="str">
        <f t="shared" si="81"/>
        <v/>
      </c>
      <c r="U204" s="87" t="str" cm="1">
        <f t="array" ref="U204">IF(AND(H204&lt;&gt;"YES",P204&lt;&gt;"",R204&lt;&gt;"",Q204&lt;&gt;""),
_xlfn.SWITCH(Q204,
"INR",_xlfn.SWITCH(R204,"KG",P204*S204,"CTN",P204,"UNIT",P204*N204,"NET",P204/M204,0),
"USD",_xlfn.SWITCH(R204,"KG",P204*S204*SI!$C$10,"CTN",P204*SI!$C$10,"UNIT",P204*N204*SI!$C$10,"NET",P204*SI!$C$10/M204,0),
"LKR",_xlfn.SWITCH(R204,"KG",P204*S204/SI!$C$9,"CTN",P204/SI!$C$9,"UNIT",P204*N204/SI!$C$9,"NET",P204/(M204*SI!$C$9),0),
0),
"")</f>
        <v/>
      </c>
      <c r="V204" s="87" t="str">
        <f t="shared" si="82"/>
        <v/>
      </c>
      <c r="W204" s="87" t="str">
        <f t="shared" si="83"/>
        <v/>
      </c>
      <c r="X204" s="88" t="str">
        <f t="shared" si="84"/>
        <v/>
      </c>
      <c r="Y204" s="24" t="str">
        <f t="shared" si="85"/>
        <v/>
      </c>
      <c r="Z204" s="267" t="str">
        <f>IF(AND(H204&lt;&gt;"yes",F204&lt;&gt;""),IFERROR(VLOOKUP(F204,DUTY_2025!A:F,5,FALSE),""),"")</f>
        <v/>
      </c>
      <c r="AA204" s="271" t="str">
        <f t="shared" si="86"/>
        <v/>
      </c>
      <c r="AB204" s="16" t="str">
        <f t="shared" si="87"/>
        <v/>
      </c>
      <c r="AC204" s="16" t="str">
        <f>IF(AA204&lt;&gt;"",ROUND(AA204*SI!$C$9,0),"")</f>
        <v/>
      </c>
      <c r="AD204" s="4" t="str">
        <f>IF(AC204&lt;&gt;"",ROUND(AC204/(SI!$C$9*SI!$C$10),2),"")</f>
        <v/>
      </c>
      <c r="AE204" s="30" t="str">
        <f>IF(AND(X204&lt;&gt;""), ROUND((SI!$E$23)*(X204/SUM($X$5:$X$493)),0),"")</f>
        <v/>
      </c>
      <c r="AF204" s="272" t="str">
        <f t="shared" si="88"/>
        <v/>
      </c>
      <c r="AG204" s="28" t="str">
        <f t="shared" si="89"/>
        <v/>
      </c>
      <c r="AH204" s="4" t="str">
        <f>IF(AD204&lt;&gt;"",ROUND(AD204*10*SI!$C$9/2,0),"")</f>
        <v/>
      </c>
      <c r="AI204" s="29" t="str">
        <f>IF(AND(X204&lt;&gt;""), ROUND((SI!$E$28)*(X204/SUM($X$5:$X$493)),0),"")</f>
        <v/>
      </c>
      <c r="AJ204" s="4" t="str">
        <f t="shared" si="90"/>
        <v/>
      </c>
      <c r="AK204" s="4" t="str">
        <f t="shared" si="91"/>
        <v/>
      </c>
      <c r="AL204" s="4" t="str">
        <f t="shared" si="92"/>
        <v/>
      </c>
      <c r="AM204" s="4" t="str">
        <f t="shared" si="93"/>
        <v/>
      </c>
      <c r="AN204" s="195" t="str">
        <f t="shared" si="94"/>
        <v/>
      </c>
      <c r="AO204" s="261" t="str">
        <f>IF(AND(AM204&lt;&gt;"",P204&lt;&gt;""),ROUND((AM204*((100+SI!$C$11)/100)),0),"")</f>
        <v/>
      </c>
      <c r="AP204" s="28" t="str">
        <f>IF(AG204&lt;&gt;"",ROUND(AG204/SI!$C$9,2),"")</f>
        <v/>
      </c>
      <c r="AQ204" s="4" t="str">
        <f>IF(AH204&lt;&gt;"",ROUND(AH204/SI!$C$9,2),"")</f>
        <v/>
      </c>
      <c r="AR204" s="29" t="str">
        <f>IF(AI204&lt;&gt;"",ROUND(AI204/SI!$C$9,2),"")</f>
        <v/>
      </c>
      <c r="AS204" s="4" t="str">
        <f t="shared" si="95"/>
        <v/>
      </c>
      <c r="AT204" s="4" t="str">
        <f t="shared" si="96"/>
        <v/>
      </c>
      <c r="AU204" s="4" t="str">
        <f>IF(AL204&lt;&gt;"",ROUND(AL204/SI!$C$9,2),"")</f>
        <v/>
      </c>
      <c r="AV204" s="4" t="str">
        <f>IF(AM204&lt;&gt;"",ROUND(AM204/SI!$C$9,2),"")</f>
        <v/>
      </c>
      <c r="AW204" s="4" t="str">
        <f>IF(AN204&lt;&gt;"",ROUND(AN204/SI!$C$9,2),"")</f>
        <v/>
      </c>
      <c r="AX204" s="261" t="str">
        <f>IF(AO204&lt;&gt;"",ROUND(AO204/SI!$C$9,2),"")</f>
        <v/>
      </c>
      <c r="AY204" s="28" t="str">
        <f t="shared" si="97"/>
        <v/>
      </c>
      <c r="AZ204" s="4" t="str">
        <f>IF(AY204&lt;&gt;"",ROUND(AY204/(SI!$C$9*SI!$C$10),2),"")</f>
        <v/>
      </c>
      <c r="BA204" s="4" t="str">
        <f t="shared" si="98"/>
        <v/>
      </c>
      <c r="BB204" s="4" t="str">
        <f t="shared" si="99"/>
        <v/>
      </c>
      <c r="BC204" s="4" t="str">
        <f t="shared" si="100"/>
        <v/>
      </c>
      <c r="BD204" s="4" t="str">
        <f t="shared" si="101"/>
        <v/>
      </c>
      <c r="BE204" s="4" t="str">
        <f>IF(AND(X204&lt;&gt;""),ROUND(X204/SI!$C$10,2),"")</f>
        <v/>
      </c>
      <c r="BF204" s="4" t="str">
        <f t="shared" si="103"/>
        <v/>
      </c>
      <c r="BG204" s="264" t="str">
        <f t="shared" si="102"/>
        <v/>
      </c>
      <c r="BH204" s="71" t="str">
        <f>IF(F204&lt;&gt;"",VLOOKUP(F204,DUTY_2025!A:O,15,FALSE),"")</f>
        <v/>
      </c>
    </row>
    <row r="205" spans="1:60" x14ac:dyDescent="0.25">
      <c r="A205" s="133">
        <f t="shared" si="78"/>
        <v>66</v>
      </c>
      <c r="B205" s="83" t="str">
        <f t="shared" si="79"/>
        <v/>
      </c>
      <c r="C205" s="126"/>
      <c r="D205" s="130"/>
      <c r="E205" s="22"/>
      <c r="F205" s="85"/>
      <c r="G205" s="27" t="str">
        <f>IF(F205&lt;&gt;"",IFERROR(VLOOKUP(F205,DUTY_2025!A:I,6,FALSE),""),"")</f>
        <v/>
      </c>
      <c r="H205" s="85" t="s">
        <v>133</v>
      </c>
      <c r="I205" s="27" t="str">
        <f>IF(F205&lt;&gt;"",IFERROR(VLOOKUP(F205,DUTY_2025!A:H,2,FALSE),""),"")</f>
        <v/>
      </c>
      <c r="J205" s="98"/>
      <c r="K205" s="98"/>
      <c r="L205" s="22"/>
      <c r="M205" s="22"/>
      <c r="N205" s="84"/>
      <c r="O205" s="22"/>
      <c r="P205" s="116"/>
      <c r="Q205" s="23"/>
      <c r="R205" s="27"/>
      <c r="S205" s="86" t="str">
        <f t="shared" si="80"/>
        <v/>
      </c>
      <c r="T205" s="87" t="str">
        <f t="shared" si="81"/>
        <v/>
      </c>
      <c r="U205" s="87" t="str" cm="1">
        <f t="array" ref="U205">IF(AND(H205&lt;&gt;"YES",P205&lt;&gt;"",R205&lt;&gt;"",Q205&lt;&gt;""),
_xlfn.SWITCH(Q205,
"INR",_xlfn.SWITCH(R205,"KG",P205*S205,"CTN",P205,"UNIT",P205*N205,"NET",P205/M205,0),
"USD",_xlfn.SWITCH(R205,"KG",P205*S205*SI!$C$10,"CTN",P205*SI!$C$10,"UNIT",P205*N205*SI!$C$10,"NET",P205*SI!$C$10/M205,0),
"LKR",_xlfn.SWITCH(R205,"KG",P205*S205/SI!$C$9,"CTN",P205/SI!$C$9,"UNIT",P205*N205/SI!$C$9,"NET",P205/(M205*SI!$C$9),0),
0),
"")</f>
        <v/>
      </c>
      <c r="V205" s="87" t="str">
        <f t="shared" si="82"/>
        <v/>
      </c>
      <c r="W205" s="87" t="str">
        <f t="shared" si="83"/>
        <v/>
      </c>
      <c r="X205" s="88" t="str">
        <f t="shared" si="84"/>
        <v/>
      </c>
      <c r="Y205" s="24" t="str">
        <f t="shared" si="85"/>
        <v/>
      </c>
      <c r="Z205" s="267" t="str">
        <f>IF(AND(H205&lt;&gt;"yes",F205&lt;&gt;""),IFERROR(VLOOKUP(F205,DUTY_2025!A:F,5,FALSE),""),"")</f>
        <v/>
      </c>
      <c r="AA205" s="271" t="str">
        <f t="shared" si="86"/>
        <v/>
      </c>
      <c r="AB205" s="16" t="str">
        <f t="shared" si="87"/>
        <v/>
      </c>
      <c r="AC205" s="16" t="str">
        <f>IF(AA205&lt;&gt;"",ROUND(AA205*SI!$C$9,0),"")</f>
        <v/>
      </c>
      <c r="AD205" s="4" t="str">
        <f>IF(AC205&lt;&gt;"",ROUND(AC205/(SI!$C$9*SI!$C$10),2),"")</f>
        <v/>
      </c>
      <c r="AE205" s="30" t="str">
        <f>IF(AND(X205&lt;&gt;""), ROUND((SI!$E$23)*(X205/SUM($X$5:$X$493)),0),"")</f>
        <v/>
      </c>
      <c r="AF205" s="272" t="str">
        <f t="shared" si="88"/>
        <v/>
      </c>
      <c r="AG205" s="28" t="str">
        <f t="shared" si="89"/>
        <v/>
      </c>
      <c r="AH205" s="4" t="str">
        <f>IF(AD205&lt;&gt;"",ROUND(AD205*10*SI!$C$9/2,0),"")</f>
        <v/>
      </c>
      <c r="AI205" s="29" t="str">
        <f>IF(AND(X205&lt;&gt;""), ROUND((SI!$E$28)*(X205/SUM($X$5:$X$493)),0),"")</f>
        <v/>
      </c>
      <c r="AJ205" s="4" t="str">
        <f t="shared" si="90"/>
        <v/>
      </c>
      <c r="AK205" s="4" t="str">
        <f t="shared" si="91"/>
        <v/>
      </c>
      <c r="AL205" s="4" t="str">
        <f t="shared" si="92"/>
        <v/>
      </c>
      <c r="AM205" s="4" t="str">
        <f t="shared" si="93"/>
        <v/>
      </c>
      <c r="AN205" s="195" t="str">
        <f t="shared" si="94"/>
        <v/>
      </c>
      <c r="AO205" s="261" t="str">
        <f>IF(AND(AM205&lt;&gt;"",P205&lt;&gt;""),ROUND((AM205*((100+SI!$C$11)/100)),0),"")</f>
        <v/>
      </c>
      <c r="AP205" s="28" t="str">
        <f>IF(AG205&lt;&gt;"",ROUND(AG205/SI!$C$9,2),"")</f>
        <v/>
      </c>
      <c r="AQ205" s="4" t="str">
        <f>IF(AH205&lt;&gt;"",ROUND(AH205/SI!$C$9,2),"")</f>
        <v/>
      </c>
      <c r="AR205" s="29" t="str">
        <f>IF(AI205&lt;&gt;"",ROUND(AI205/SI!$C$9,2),"")</f>
        <v/>
      </c>
      <c r="AS205" s="4" t="str">
        <f t="shared" si="95"/>
        <v/>
      </c>
      <c r="AT205" s="4" t="str">
        <f t="shared" si="96"/>
        <v/>
      </c>
      <c r="AU205" s="4" t="str">
        <f>IF(AL205&lt;&gt;"",ROUND(AL205/SI!$C$9,2),"")</f>
        <v/>
      </c>
      <c r="AV205" s="4" t="str">
        <f>IF(AM205&lt;&gt;"",ROUND(AM205/SI!$C$9,2),"")</f>
        <v/>
      </c>
      <c r="AW205" s="4" t="str">
        <f>IF(AN205&lt;&gt;"",ROUND(AN205/SI!$C$9,2),"")</f>
        <v/>
      </c>
      <c r="AX205" s="261" t="str">
        <f>IF(AO205&lt;&gt;"",ROUND(AO205/SI!$C$9,2),"")</f>
        <v/>
      </c>
      <c r="AY205" s="28" t="str">
        <f t="shared" si="97"/>
        <v/>
      </c>
      <c r="AZ205" s="4" t="str">
        <f>IF(AY205&lt;&gt;"",ROUND(AY205/(SI!$C$9*SI!$C$10),2),"")</f>
        <v/>
      </c>
      <c r="BA205" s="4" t="str">
        <f t="shared" si="98"/>
        <v/>
      </c>
      <c r="BB205" s="4" t="str">
        <f t="shared" si="99"/>
        <v/>
      </c>
      <c r="BC205" s="4" t="str">
        <f t="shared" si="100"/>
        <v/>
      </c>
      <c r="BD205" s="4" t="str">
        <f t="shared" si="101"/>
        <v/>
      </c>
      <c r="BE205" s="4" t="str">
        <f>IF(AND(X205&lt;&gt;""),ROUND(X205/SI!$C$10,2),"")</f>
        <v/>
      </c>
      <c r="BF205" s="4" t="str">
        <f t="shared" si="103"/>
        <v/>
      </c>
      <c r="BG205" s="264" t="str">
        <f t="shared" si="102"/>
        <v/>
      </c>
      <c r="BH205" s="71" t="str">
        <f>IF(F205&lt;&gt;"",VLOOKUP(F205,DUTY_2025!A:O,15,FALSE),"")</f>
        <v/>
      </c>
    </row>
    <row r="206" spans="1:60" x14ac:dyDescent="0.25">
      <c r="A206" s="133">
        <f t="shared" si="78"/>
        <v>66</v>
      </c>
      <c r="B206" s="83" t="str">
        <f t="shared" si="79"/>
        <v/>
      </c>
      <c r="C206" s="126"/>
      <c r="D206" s="130"/>
      <c r="E206" s="22"/>
      <c r="F206" s="85"/>
      <c r="G206" s="27" t="str">
        <f>IF(F206&lt;&gt;"",IFERROR(VLOOKUP(F206,DUTY_2025!A:I,6,FALSE),""),"")</f>
        <v/>
      </c>
      <c r="H206" s="85" t="s">
        <v>133</v>
      </c>
      <c r="I206" s="27" t="str">
        <f>IF(F206&lt;&gt;"",IFERROR(VLOOKUP(F206,DUTY_2025!A:H,2,FALSE),""),"")</f>
        <v/>
      </c>
      <c r="J206" s="98"/>
      <c r="K206" s="98"/>
      <c r="L206" s="22"/>
      <c r="M206" s="22"/>
      <c r="N206" s="84"/>
      <c r="O206" s="22"/>
      <c r="P206" s="116"/>
      <c r="Q206" s="23"/>
      <c r="R206" s="27"/>
      <c r="S206" s="86" t="str">
        <f t="shared" si="80"/>
        <v/>
      </c>
      <c r="T206" s="87" t="str">
        <f t="shared" si="81"/>
        <v/>
      </c>
      <c r="U206" s="87" t="str" cm="1">
        <f t="array" ref="U206">IF(AND(H206&lt;&gt;"YES",P206&lt;&gt;"",R206&lt;&gt;"",Q206&lt;&gt;""),
_xlfn.SWITCH(Q206,
"INR",_xlfn.SWITCH(R206,"KG",P206*S206,"CTN",P206,"UNIT",P206*N206,"NET",P206/M206,0),
"USD",_xlfn.SWITCH(R206,"KG",P206*S206*SI!$C$10,"CTN",P206*SI!$C$10,"UNIT",P206*N206*SI!$C$10,"NET",P206*SI!$C$10/M206,0),
"LKR",_xlfn.SWITCH(R206,"KG",P206*S206/SI!$C$9,"CTN",P206/SI!$C$9,"UNIT",P206*N206/SI!$C$9,"NET",P206/(M206*SI!$C$9),0),
0),
"")</f>
        <v/>
      </c>
      <c r="V206" s="87" t="str">
        <f t="shared" si="82"/>
        <v/>
      </c>
      <c r="W206" s="87" t="str">
        <f t="shared" si="83"/>
        <v/>
      </c>
      <c r="X206" s="88" t="str">
        <f t="shared" si="84"/>
        <v/>
      </c>
      <c r="Y206" s="24" t="str">
        <f t="shared" si="85"/>
        <v/>
      </c>
      <c r="Z206" s="267" t="str">
        <f>IF(AND(H206&lt;&gt;"yes",F206&lt;&gt;""),IFERROR(VLOOKUP(F206,DUTY_2025!A:F,5,FALSE),""),"")</f>
        <v/>
      </c>
      <c r="AA206" s="271" t="str">
        <f t="shared" si="86"/>
        <v/>
      </c>
      <c r="AB206" s="16" t="str">
        <f t="shared" si="87"/>
        <v/>
      </c>
      <c r="AC206" s="16" t="str">
        <f>IF(AA206&lt;&gt;"",ROUND(AA206*SI!$C$9,0),"")</f>
        <v/>
      </c>
      <c r="AD206" s="4" t="str">
        <f>IF(AC206&lt;&gt;"",ROUND(AC206/(SI!$C$9*SI!$C$10),2),"")</f>
        <v/>
      </c>
      <c r="AE206" s="30" t="str">
        <f>IF(AND(X206&lt;&gt;""), ROUND((SI!$E$23)*(X206/SUM($X$5:$X$493)),0),"")</f>
        <v/>
      </c>
      <c r="AF206" s="272" t="str">
        <f t="shared" si="88"/>
        <v/>
      </c>
      <c r="AG206" s="28" t="str">
        <f t="shared" si="89"/>
        <v/>
      </c>
      <c r="AH206" s="4" t="str">
        <f>IF(AD206&lt;&gt;"",ROUND(AD206*10*SI!$C$9/2,0),"")</f>
        <v/>
      </c>
      <c r="AI206" s="29" t="str">
        <f>IF(AND(X206&lt;&gt;""), ROUND((SI!$E$28)*(X206/SUM($X$5:$X$493)),0),"")</f>
        <v/>
      </c>
      <c r="AJ206" s="4" t="str">
        <f t="shared" si="90"/>
        <v/>
      </c>
      <c r="AK206" s="4" t="str">
        <f t="shared" si="91"/>
        <v/>
      </c>
      <c r="AL206" s="4" t="str">
        <f t="shared" si="92"/>
        <v/>
      </c>
      <c r="AM206" s="4" t="str">
        <f t="shared" si="93"/>
        <v/>
      </c>
      <c r="AN206" s="195" t="str">
        <f t="shared" si="94"/>
        <v/>
      </c>
      <c r="AO206" s="261" t="str">
        <f>IF(AND(AM206&lt;&gt;"",P206&lt;&gt;""),ROUND((AM206*((100+SI!$C$11)/100)),0),"")</f>
        <v/>
      </c>
      <c r="AP206" s="28" t="str">
        <f>IF(AG206&lt;&gt;"",ROUND(AG206/SI!$C$9,2),"")</f>
        <v/>
      </c>
      <c r="AQ206" s="4" t="str">
        <f>IF(AH206&lt;&gt;"",ROUND(AH206/SI!$C$9,2),"")</f>
        <v/>
      </c>
      <c r="AR206" s="29" t="str">
        <f>IF(AI206&lt;&gt;"",ROUND(AI206/SI!$C$9,2),"")</f>
        <v/>
      </c>
      <c r="AS206" s="4" t="str">
        <f t="shared" si="95"/>
        <v/>
      </c>
      <c r="AT206" s="4" t="str">
        <f t="shared" si="96"/>
        <v/>
      </c>
      <c r="AU206" s="4" t="str">
        <f>IF(AL206&lt;&gt;"",ROUND(AL206/SI!$C$9,2),"")</f>
        <v/>
      </c>
      <c r="AV206" s="4" t="str">
        <f>IF(AM206&lt;&gt;"",ROUND(AM206/SI!$C$9,2),"")</f>
        <v/>
      </c>
      <c r="AW206" s="4" t="str">
        <f>IF(AN206&lt;&gt;"",ROUND(AN206/SI!$C$9,2),"")</f>
        <v/>
      </c>
      <c r="AX206" s="261" t="str">
        <f>IF(AO206&lt;&gt;"",ROUND(AO206/SI!$C$9,2),"")</f>
        <v/>
      </c>
      <c r="AY206" s="28" t="str">
        <f t="shared" si="97"/>
        <v/>
      </c>
      <c r="AZ206" s="4" t="str">
        <f>IF(AY206&lt;&gt;"",ROUND(AY206/(SI!$C$9*SI!$C$10),2),"")</f>
        <v/>
      </c>
      <c r="BA206" s="4" t="str">
        <f t="shared" si="98"/>
        <v/>
      </c>
      <c r="BB206" s="4" t="str">
        <f t="shared" si="99"/>
        <v/>
      </c>
      <c r="BC206" s="4" t="str">
        <f t="shared" si="100"/>
        <v/>
      </c>
      <c r="BD206" s="4" t="str">
        <f t="shared" si="101"/>
        <v/>
      </c>
      <c r="BE206" s="4" t="str">
        <f>IF(AND(X206&lt;&gt;""),ROUND(X206/SI!$C$10,2),"")</f>
        <v/>
      </c>
      <c r="BF206" s="4" t="str">
        <f t="shared" si="103"/>
        <v/>
      </c>
      <c r="BG206" s="264" t="str">
        <f t="shared" si="102"/>
        <v/>
      </c>
      <c r="BH206" s="71" t="str">
        <f>IF(F206&lt;&gt;"",VLOOKUP(F206,DUTY_2025!A:O,15,FALSE),"")</f>
        <v/>
      </c>
    </row>
    <row r="207" spans="1:60" x14ac:dyDescent="0.25">
      <c r="A207" s="133">
        <f t="shared" si="78"/>
        <v>66</v>
      </c>
      <c r="B207" s="83" t="str">
        <f t="shared" si="79"/>
        <v/>
      </c>
      <c r="C207" s="126"/>
      <c r="D207" s="130"/>
      <c r="E207" s="22"/>
      <c r="F207" s="85"/>
      <c r="G207" s="27" t="str">
        <f>IF(F207&lt;&gt;"",IFERROR(VLOOKUP(F207,DUTY_2025!A:I,6,FALSE),""),"")</f>
        <v/>
      </c>
      <c r="H207" s="85" t="s">
        <v>133</v>
      </c>
      <c r="I207" s="27" t="str">
        <f>IF(F207&lt;&gt;"",IFERROR(VLOOKUP(F207,DUTY_2025!A:H,2,FALSE),""),"")</f>
        <v/>
      </c>
      <c r="J207" s="98"/>
      <c r="K207" s="98"/>
      <c r="L207" s="22"/>
      <c r="M207" s="22"/>
      <c r="N207" s="84"/>
      <c r="O207" s="22"/>
      <c r="P207" s="116"/>
      <c r="Q207" s="23"/>
      <c r="R207" s="27"/>
      <c r="S207" s="86" t="str">
        <f t="shared" si="80"/>
        <v/>
      </c>
      <c r="T207" s="87" t="str">
        <f t="shared" si="81"/>
        <v/>
      </c>
      <c r="U207" s="87" t="str" cm="1">
        <f t="array" ref="U207">IF(AND(H207&lt;&gt;"YES",P207&lt;&gt;"",R207&lt;&gt;"",Q207&lt;&gt;""),
_xlfn.SWITCH(Q207,
"INR",_xlfn.SWITCH(R207,"KG",P207*S207,"CTN",P207,"UNIT",P207*N207,"NET",P207/M207,0),
"USD",_xlfn.SWITCH(R207,"KG",P207*S207*SI!$C$10,"CTN",P207*SI!$C$10,"UNIT",P207*N207*SI!$C$10,"NET",P207*SI!$C$10/M207,0),
"LKR",_xlfn.SWITCH(R207,"KG",P207*S207/SI!$C$9,"CTN",P207/SI!$C$9,"UNIT",P207*N207/SI!$C$9,"NET",P207/(M207*SI!$C$9),0),
0),
"")</f>
        <v/>
      </c>
      <c r="V207" s="87" t="str">
        <f t="shared" si="82"/>
        <v/>
      </c>
      <c r="W207" s="87" t="str">
        <f t="shared" si="83"/>
        <v/>
      </c>
      <c r="X207" s="88" t="str">
        <f t="shared" si="84"/>
        <v/>
      </c>
      <c r="Y207" s="24" t="str">
        <f t="shared" si="85"/>
        <v/>
      </c>
      <c r="Z207" s="267" t="str">
        <f>IF(AND(H207&lt;&gt;"yes",F207&lt;&gt;""),IFERROR(VLOOKUP(F207,DUTY_2025!A:F,5,FALSE),""),"")</f>
        <v/>
      </c>
      <c r="AA207" s="271" t="str">
        <f t="shared" si="86"/>
        <v/>
      </c>
      <c r="AB207" s="16" t="str">
        <f t="shared" si="87"/>
        <v/>
      </c>
      <c r="AC207" s="16" t="str">
        <f>IF(AA207&lt;&gt;"",ROUND(AA207*SI!$C$9,0),"")</f>
        <v/>
      </c>
      <c r="AD207" s="4" t="str">
        <f>IF(AC207&lt;&gt;"",ROUND(AC207/(SI!$C$9*SI!$C$10),2),"")</f>
        <v/>
      </c>
      <c r="AE207" s="30" t="str">
        <f>IF(AND(X207&lt;&gt;""), ROUND((SI!$E$23)*(X207/SUM($X$5:$X$493)),0),"")</f>
        <v/>
      </c>
      <c r="AF207" s="272" t="str">
        <f t="shared" si="88"/>
        <v/>
      </c>
      <c r="AG207" s="28" t="str">
        <f t="shared" si="89"/>
        <v/>
      </c>
      <c r="AH207" s="4" t="str">
        <f>IF(AD207&lt;&gt;"",ROUND(AD207*10*SI!$C$9/2,0),"")</f>
        <v/>
      </c>
      <c r="AI207" s="29" t="str">
        <f>IF(AND(X207&lt;&gt;""), ROUND((SI!$E$28)*(X207/SUM($X$5:$X$493)),0),"")</f>
        <v/>
      </c>
      <c r="AJ207" s="4" t="str">
        <f t="shared" si="90"/>
        <v/>
      </c>
      <c r="AK207" s="4" t="str">
        <f t="shared" si="91"/>
        <v/>
      </c>
      <c r="AL207" s="4" t="str">
        <f t="shared" si="92"/>
        <v/>
      </c>
      <c r="AM207" s="4" t="str">
        <f t="shared" si="93"/>
        <v/>
      </c>
      <c r="AN207" s="195" t="str">
        <f t="shared" si="94"/>
        <v/>
      </c>
      <c r="AO207" s="261" t="str">
        <f>IF(AND(AM207&lt;&gt;"",P207&lt;&gt;""),ROUND((AM207*((100+SI!$C$11)/100)),0),"")</f>
        <v/>
      </c>
      <c r="AP207" s="28" t="str">
        <f>IF(AG207&lt;&gt;"",ROUND(AG207/SI!$C$9,2),"")</f>
        <v/>
      </c>
      <c r="AQ207" s="4" t="str">
        <f>IF(AH207&lt;&gt;"",ROUND(AH207/SI!$C$9,2),"")</f>
        <v/>
      </c>
      <c r="AR207" s="29" t="str">
        <f>IF(AI207&lt;&gt;"",ROUND(AI207/SI!$C$9,2),"")</f>
        <v/>
      </c>
      <c r="AS207" s="4" t="str">
        <f t="shared" si="95"/>
        <v/>
      </c>
      <c r="AT207" s="4" t="str">
        <f t="shared" si="96"/>
        <v/>
      </c>
      <c r="AU207" s="4" t="str">
        <f>IF(AL207&lt;&gt;"",ROUND(AL207/SI!$C$9,2),"")</f>
        <v/>
      </c>
      <c r="AV207" s="4" t="str">
        <f>IF(AM207&lt;&gt;"",ROUND(AM207/SI!$C$9,2),"")</f>
        <v/>
      </c>
      <c r="AW207" s="4" t="str">
        <f>IF(AN207&lt;&gt;"",ROUND(AN207/SI!$C$9,2),"")</f>
        <v/>
      </c>
      <c r="AX207" s="261" t="str">
        <f>IF(AO207&lt;&gt;"",ROUND(AO207/SI!$C$9,2),"")</f>
        <v/>
      </c>
      <c r="AY207" s="28" t="str">
        <f t="shared" si="97"/>
        <v/>
      </c>
      <c r="AZ207" s="4" t="str">
        <f>IF(AY207&lt;&gt;"",ROUND(AY207/(SI!$C$9*SI!$C$10),2),"")</f>
        <v/>
      </c>
      <c r="BA207" s="4" t="str">
        <f t="shared" si="98"/>
        <v/>
      </c>
      <c r="BB207" s="4" t="str">
        <f t="shared" si="99"/>
        <v/>
      </c>
      <c r="BC207" s="4" t="str">
        <f t="shared" si="100"/>
        <v/>
      </c>
      <c r="BD207" s="4" t="str">
        <f t="shared" si="101"/>
        <v/>
      </c>
      <c r="BE207" s="4" t="str">
        <f>IF(AND(X207&lt;&gt;""),ROUND(X207/SI!$C$10,2),"")</f>
        <v/>
      </c>
      <c r="BF207" s="4" t="str">
        <f t="shared" si="103"/>
        <v/>
      </c>
      <c r="BG207" s="264" t="str">
        <f t="shared" si="102"/>
        <v/>
      </c>
      <c r="BH207" s="71" t="str">
        <f>IF(F207&lt;&gt;"",VLOOKUP(F207,DUTY_2025!A:O,15,FALSE),"")</f>
        <v/>
      </c>
    </row>
    <row r="208" spans="1:60" x14ac:dyDescent="0.25">
      <c r="A208" s="133">
        <f t="shared" si="78"/>
        <v>66</v>
      </c>
      <c r="B208" s="83" t="str">
        <f t="shared" si="79"/>
        <v/>
      </c>
      <c r="C208" s="126"/>
      <c r="D208" s="130"/>
      <c r="E208" s="22"/>
      <c r="F208" s="85"/>
      <c r="G208" s="27" t="str">
        <f>IF(F208&lt;&gt;"",IFERROR(VLOOKUP(F208,DUTY_2025!A:I,6,FALSE),""),"")</f>
        <v/>
      </c>
      <c r="H208" s="85" t="s">
        <v>133</v>
      </c>
      <c r="I208" s="27" t="str">
        <f>IF(F208&lt;&gt;"",IFERROR(VLOOKUP(F208,DUTY_2025!A:H,2,FALSE),""),"")</f>
        <v/>
      </c>
      <c r="J208" s="98"/>
      <c r="K208" s="98"/>
      <c r="L208" s="22"/>
      <c r="M208" s="22"/>
      <c r="N208" s="84"/>
      <c r="O208" s="22"/>
      <c r="P208" s="116"/>
      <c r="Q208" s="23"/>
      <c r="R208" s="27"/>
      <c r="S208" s="86" t="str">
        <f t="shared" si="80"/>
        <v/>
      </c>
      <c r="T208" s="87" t="str">
        <f t="shared" si="81"/>
        <v/>
      </c>
      <c r="U208" s="87" t="str" cm="1">
        <f t="array" ref="U208">IF(AND(H208&lt;&gt;"YES",P208&lt;&gt;"",R208&lt;&gt;"",Q208&lt;&gt;""),
_xlfn.SWITCH(Q208,
"INR",_xlfn.SWITCH(R208,"KG",P208*S208,"CTN",P208,"UNIT",P208*N208,"NET",P208/M208,0),
"USD",_xlfn.SWITCH(R208,"KG",P208*S208*SI!$C$10,"CTN",P208*SI!$C$10,"UNIT",P208*N208*SI!$C$10,"NET",P208*SI!$C$10/M208,0),
"LKR",_xlfn.SWITCH(R208,"KG",P208*S208/SI!$C$9,"CTN",P208/SI!$C$9,"UNIT",P208*N208/SI!$C$9,"NET",P208/(M208*SI!$C$9),0),
0),
"")</f>
        <v/>
      </c>
      <c r="V208" s="87" t="str">
        <f t="shared" si="82"/>
        <v/>
      </c>
      <c r="W208" s="87" t="str">
        <f t="shared" si="83"/>
        <v/>
      </c>
      <c r="X208" s="88" t="str">
        <f t="shared" si="84"/>
        <v/>
      </c>
      <c r="Y208" s="24" t="str">
        <f t="shared" si="85"/>
        <v/>
      </c>
      <c r="Z208" s="267" t="str">
        <f>IF(AND(H208&lt;&gt;"yes",F208&lt;&gt;""),IFERROR(VLOOKUP(F208,DUTY_2025!A:F,5,FALSE),""),"")</f>
        <v/>
      </c>
      <c r="AA208" s="271" t="str">
        <f t="shared" si="86"/>
        <v/>
      </c>
      <c r="AB208" s="16" t="str">
        <f t="shared" si="87"/>
        <v/>
      </c>
      <c r="AC208" s="16" t="str">
        <f>IF(AA208&lt;&gt;"",ROUND(AA208*SI!$C$9,0),"")</f>
        <v/>
      </c>
      <c r="AD208" s="4" t="str">
        <f>IF(AC208&lt;&gt;"",ROUND(AC208/(SI!$C$9*SI!$C$10),2),"")</f>
        <v/>
      </c>
      <c r="AE208" s="30" t="str">
        <f>IF(AND(X208&lt;&gt;""), ROUND((SI!$E$23)*(X208/SUM($X$5:$X$493)),0),"")</f>
        <v/>
      </c>
      <c r="AF208" s="272" t="str">
        <f t="shared" si="88"/>
        <v/>
      </c>
      <c r="AG208" s="28" t="str">
        <f t="shared" si="89"/>
        <v/>
      </c>
      <c r="AH208" s="4" t="str">
        <f>IF(AD208&lt;&gt;"",ROUND(AD208*10*SI!$C$9/2,0),"")</f>
        <v/>
      </c>
      <c r="AI208" s="29" t="str">
        <f>IF(AND(X208&lt;&gt;""), ROUND((SI!$E$28)*(X208/SUM($X$5:$X$493)),0),"")</f>
        <v/>
      </c>
      <c r="AJ208" s="4" t="str">
        <f t="shared" si="90"/>
        <v/>
      </c>
      <c r="AK208" s="4" t="str">
        <f t="shared" si="91"/>
        <v/>
      </c>
      <c r="AL208" s="4" t="str">
        <f t="shared" si="92"/>
        <v/>
      </c>
      <c r="AM208" s="4" t="str">
        <f t="shared" si="93"/>
        <v/>
      </c>
      <c r="AN208" s="195" t="str">
        <f t="shared" si="94"/>
        <v/>
      </c>
      <c r="AO208" s="261" t="str">
        <f>IF(AND(AM208&lt;&gt;"",P208&lt;&gt;""),ROUND((AM208*((100+SI!$C$11)/100)),0),"")</f>
        <v/>
      </c>
      <c r="AP208" s="28" t="str">
        <f>IF(AG208&lt;&gt;"",ROUND(AG208/SI!$C$9,2),"")</f>
        <v/>
      </c>
      <c r="AQ208" s="4" t="str">
        <f>IF(AH208&lt;&gt;"",ROUND(AH208/SI!$C$9,2),"")</f>
        <v/>
      </c>
      <c r="AR208" s="29" t="str">
        <f>IF(AI208&lt;&gt;"",ROUND(AI208/SI!$C$9,2),"")</f>
        <v/>
      </c>
      <c r="AS208" s="4" t="str">
        <f t="shared" si="95"/>
        <v/>
      </c>
      <c r="AT208" s="4" t="str">
        <f t="shared" si="96"/>
        <v/>
      </c>
      <c r="AU208" s="4" t="str">
        <f>IF(AL208&lt;&gt;"",ROUND(AL208/SI!$C$9,2),"")</f>
        <v/>
      </c>
      <c r="AV208" s="4" t="str">
        <f>IF(AM208&lt;&gt;"",ROUND(AM208/SI!$C$9,2),"")</f>
        <v/>
      </c>
      <c r="AW208" s="4" t="str">
        <f>IF(AN208&lt;&gt;"",ROUND(AN208/SI!$C$9,2),"")</f>
        <v/>
      </c>
      <c r="AX208" s="261" t="str">
        <f>IF(AO208&lt;&gt;"",ROUND(AO208/SI!$C$9,2),"")</f>
        <v/>
      </c>
      <c r="AY208" s="28" t="str">
        <f t="shared" si="97"/>
        <v/>
      </c>
      <c r="AZ208" s="4" t="str">
        <f>IF(AY208&lt;&gt;"",ROUND(AY208/(SI!$C$9*SI!$C$10),2),"")</f>
        <v/>
      </c>
      <c r="BA208" s="4" t="str">
        <f t="shared" si="98"/>
        <v/>
      </c>
      <c r="BB208" s="4" t="str">
        <f t="shared" si="99"/>
        <v/>
      </c>
      <c r="BC208" s="4" t="str">
        <f t="shared" si="100"/>
        <v/>
      </c>
      <c r="BD208" s="4" t="str">
        <f t="shared" si="101"/>
        <v/>
      </c>
      <c r="BE208" s="4" t="str">
        <f>IF(AND(X208&lt;&gt;""),ROUND(X208/SI!$C$10,2),"")</f>
        <v/>
      </c>
      <c r="BF208" s="4" t="str">
        <f t="shared" si="103"/>
        <v/>
      </c>
      <c r="BG208" s="264" t="str">
        <f t="shared" si="102"/>
        <v/>
      </c>
      <c r="BH208" s="71" t="str">
        <f>IF(F208&lt;&gt;"",VLOOKUP(F208,DUTY_2025!A:O,15,FALSE),"")</f>
        <v/>
      </c>
    </row>
    <row r="209" spans="1:60" x14ac:dyDescent="0.25">
      <c r="A209" s="133">
        <f t="shared" si="78"/>
        <v>66</v>
      </c>
      <c r="B209" s="83" t="str">
        <f t="shared" si="79"/>
        <v/>
      </c>
      <c r="C209" s="126"/>
      <c r="D209" s="130"/>
      <c r="E209" s="22"/>
      <c r="F209" s="85"/>
      <c r="G209" s="27" t="str">
        <f>IF(F209&lt;&gt;"",IFERROR(VLOOKUP(F209,DUTY_2025!A:I,6,FALSE),""),"")</f>
        <v/>
      </c>
      <c r="H209" s="85" t="s">
        <v>133</v>
      </c>
      <c r="I209" s="27" t="str">
        <f>IF(F209&lt;&gt;"",IFERROR(VLOOKUP(F209,DUTY_2025!A:H,2,FALSE),""),"")</f>
        <v/>
      </c>
      <c r="J209" s="98"/>
      <c r="K209" s="98"/>
      <c r="L209" s="22"/>
      <c r="M209" s="22"/>
      <c r="N209" s="84"/>
      <c r="O209" s="22"/>
      <c r="P209" s="116"/>
      <c r="Q209" s="23"/>
      <c r="R209" s="27"/>
      <c r="S209" s="86" t="str">
        <f t="shared" si="80"/>
        <v/>
      </c>
      <c r="T209" s="87" t="str">
        <f t="shared" si="81"/>
        <v/>
      </c>
      <c r="U209" s="87" t="str" cm="1">
        <f t="array" ref="U209">IF(AND(H209&lt;&gt;"YES",P209&lt;&gt;"",R209&lt;&gt;"",Q209&lt;&gt;""),
_xlfn.SWITCH(Q209,
"INR",_xlfn.SWITCH(R209,"KG",P209*S209,"CTN",P209,"UNIT",P209*N209,"NET",P209/M209,0),
"USD",_xlfn.SWITCH(R209,"KG",P209*S209*SI!$C$10,"CTN",P209*SI!$C$10,"UNIT",P209*N209*SI!$C$10,"NET",P209*SI!$C$10/M209,0),
"LKR",_xlfn.SWITCH(R209,"KG",P209*S209/SI!$C$9,"CTN",P209/SI!$C$9,"UNIT",P209*N209/SI!$C$9,"NET",P209/(M209*SI!$C$9),0),
0),
"")</f>
        <v/>
      </c>
      <c r="V209" s="87" t="str">
        <f t="shared" si="82"/>
        <v/>
      </c>
      <c r="W209" s="87" t="str">
        <f t="shared" si="83"/>
        <v/>
      </c>
      <c r="X209" s="88" t="str">
        <f t="shared" si="84"/>
        <v/>
      </c>
      <c r="Y209" s="24" t="str">
        <f t="shared" si="85"/>
        <v/>
      </c>
      <c r="Z209" s="267" t="str">
        <f>IF(AND(H209&lt;&gt;"yes",F209&lt;&gt;""),IFERROR(VLOOKUP(F209,DUTY_2025!A:F,5,FALSE),""),"")</f>
        <v/>
      </c>
      <c r="AA209" s="271" t="str">
        <f t="shared" si="86"/>
        <v/>
      </c>
      <c r="AB209" s="16" t="str">
        <f t="shared" si="87"/>
        <v/>
      </c>
      <c r="AC209" s="16" t="str">
        <f>IF(AA209&lt;&gt;"",ROUND(AA209*SI!$C$9,0),"")</f>
        <v/>
      </c>
      <c r="AD209" s="4" t="str">
        <f>IF(AC209&lt;&gt;"",ROUND(AC209/(SI!$C$9*SI!$C$10),2),"")</f>
        <v/>
      </c>
      <c r="AE209" s="30" t="str">
        <f>IF(AND(X209&lt;&gt;""), ROUND((SI!$E$23)*(X209/SUM($X$5:$X$493)),0),"")</f>
        <v/>
      </c>
      <c r="AF209" s="272" t="str">
        <f t="shared" si="88"/>
        <v/>
      </c>
      <c r="AG209" s="28" t="str">
        <f t="shared" si="89"/>
        <v/>
      </c>
      <c r="AH209" s="4" t="str">
        <f>IF(AD209&lt;&gt;"",ROUND(AD209*10*SI!$C$9/2,0),"")</f>
        <v/>
      </c>
      <c r="AI209" s="29" t="str">
        <f>IF(AND(X209&lt;&gt;""), ROUND((SI!$E$28)*(X209/SUM($X$5:$X$493)),0),"")</f>
        <v/>
      </c>
      <c r="AJ209" s="4" t="str">
        <f t="shared" si="90"/>
        <v/>
      </c>
      <c r="AK209" s="4" t="str">
        <f t="shared" si="91"/>
        <v/>
      </c>
      <c r="AL209" s="4" t="str">
        <f t="shared" si="92"/>
        <v/>
      </c>
      <c r="AM209" s="4" t="str">
        <f t="shared" si="93"/>
        <v/>
      </c>
      <c r="AN209" s="195" t="str">
        <f t="shared" si="94"/>
        <v/>
      </c>
      <c r="AO209" s="261" t="str">
        <f>IF(AND(AM209&lt;&gt;"",P209&lt;&gt;""),ROUND((AM209*((100+SI!$C$11)/100)),0),"")</f>
        <v/>
      </c>
      <c r="AP209" s="28" t="str">
        <f>IF(AG209&lt;&gt;"",ROUND(AG209/SI!$C$9,2),"")</f>
        <v/>
      </c>
      <c r="AQ209" s="4" t="str">
        <f>IF(AH209&lt;&gt;"",ROUND(AH209/SI!$C$9,2),"")</f>
        <v/>
      </c>
      <c r="AR209" s="29" t="str">
        <f>IF(AI209&lt;&gt;"",ROUND(AI209/SI!$C$9,2),"")</f>
        <v/>
      </c>
      <c r="AS209" s="4" t="str">
        <f t="shared" si="95"/>
        <v/>
      </c>
      <c r="AT209" s="4" t="str">
        <f t="shared" si="96"/>
        <v/>
      </c>
      <c r="AU209" s="4" t="str">
        <f>IF(AL209&lt;&gt;"",ROUND(AL209/SI!$C$9,2),"")</f>
        <v/>
      </c>
      <c r="AV209" s="4" t="str">
        <f>IF(AM209&lt;&gt;"",ROUND(AM209/SI!$C$9,2),"")</f>
        <v/>
      </c>
      <c r="AW209" s="4" t="str">
        <f>IF(AN209&lt;&gt;"",ROUND(AN209/SI!$C$9,2),"")</f>
        <v/>
      </c>
      <c r="AX209" s="261" t="str">
        <f>IF(AO209&lt;&gt;"",ROUND(AO209/SI!$C$9,2),"")</f>
        <v/>
      </c>
      <c r="AY209" s="28" t="str">
        <f t="shared" si="97"/>
        <v/>
      </c>
      <c r="AZ209" s="4" t="str">
        <f>IF(AY209&lt;&gt;"",ROUND(AY209/(SI!$C$9*SI!$C$10),2),"")</f>
        <v/>
      </c>
      <c r="BA209" s="4" t="str">
        <f t="shared" si="98"/>
        <v/>
      </c>
      <c r="BB209" s="4" t="str">
        <f t="shared" si="99"/>
        <v/>
      </c>
      <c r="BC209" s="4" t="str">
        <f t="shared" si="100"/>
        <v/>
      </c>
      <c r="BD209" s="4" t="str">
        <f t="shared" si="101"/>
        <v/>
      </c>
      <c r="BE209" s="4" t="str">
        <f>IF(AND(X209&lt;&gt;""),ROUND(X209/SI!$C$10,2),"")</f>
        <v/>
      </c>
      <c r="BF209" s="4" t="str">
        <f t="shared" si="103"/>
        <v/>
      </c>
      <c r="BG209" s="264" t="str">
        <f t="shared" si="102"/>
        <v/>
      </c>
      <c r="BH209" s="71" t="str">
        <f>IF(F209&lt;&gt;"",VLOOKUP(F209,DUTY_2025!A:O,15,FALSE),"")</f>
        <v/>
      </c>
    </row>
    <row r="210" spans="1:60" x14ac:dyDescent="0.25">
      <c r="A210" s="133">
        <f t="shared" si="78"/>
        <v>66</v>
      </c>
      <c r="B210" s="83" t="str">
        <f t="shared" si="79"/>
        <v/>
      </c>
      <c r="C210" s="126"/>
      <c r="D210" s="130"/>
      <c r="E210" s="22"/>
      <c r="F210" s="85"/>
      <c r="G210" s="27" t="str">
        <f>IF(F210&lt;&gt;"",IFERROR(VLOOKUP(F210,DUTY_2025!A:I,6,FALSE),""),"")</f>
        <v/>
      </c>
      <c r="H210" s="85" t="s">
        <v>133</v>
      </c>
      <c r="I210" s="27" t="str">
        <f>IF(F210&lt;&gt;"",IFERROR(VLOOKUP(F210,DUTY_2025!A:H,2,FALSE),""),"")</f>
        <v/>
      </c>
      <c r="J210" s="98"/>
      <c r="K210" s="98"/>
      <c r="L210" s="22"/>
      <c r="M210" s="22"/>
      <c r="N210" s="84"/>
      <c r="O210" s="22"/>
      <c r="P210" s="116"/>
      <c r="Q210" s="23"/>
      <c r="R210" s="27"/>
      <c r="S210" s="86" t="str">
        <f t="shared" si="80"/>
        <v/>
      </c>
      <c r="T210" s="87" t="str">
        <f t="shared" si="81"/>
        <v/>
      </c>
      <c r="U210" s="87" t="str" cm="1">
        <f t="array" ref="U210">IF(AND(H210&lt;&gt;"YES",P210&lt;&gt;"",R210&lt;&gt;"",Q210&lt;&gt;""),
_xlfn.SWITCH(Q210,
"INR",_xlfn.SWITCH(R210,"KG",P210*S210,"CTN",P210,"UNIT",P210*N210,"NET",P210/M210,0),
"USD",_xlfn.SWITCH(R210,"KG",P210*S210*SI!$C$10,"CTN",P210*SI!$C$10,"UNIT",P210*N210*SI!$C$10,"NET",P210*SI!$C$10/M210,0),
"LKR",_xlfn.SWITCH(R210,"KG",P210*S210/SI!$C$9,"CTN",P210/SI!$C$9,"UNIT",P210*N210/SI!$C$9,"NET",P210/(M210*SI!$C$9),0),
0),
"")</f>
        <v/>
      </c>
      <c r="V210" s="87" t="str">
        <f t="shared" si="82"/>
        <v/>
      </c>
      <c r="W210" s="87" t="str">
        <f t="shared" si="83"/>
        <v/>
      </c>
      <c r="X210" s="88" t="str">
        <f t="shared" si="84"/>
        <v/>
      </c>
      <c r="Y210" s="24" t="str">
        <f t="shared" si="85"/>
        <v/>
      </c>
      <c r="Z210" s="267" t="str">
        <f>IF(AND(H210&lt;&gt;"yes",F210&lt;&gt;""),IFERROR(VLOOKUP(F210,DUTY_2025!A:F,5,FALSE),""),"")</f>
        <v/>
      </c>
      <c r="AA210" s="271" t="str">
        <f t="shared" si="86"/>
        <v/>
      </c>
      <c r="AB210" s="16" t="str">
        <f t="shared" si="87"/>
        <v/>
      </c>
      <c r="AC210" s="16" t="str">
        <f>IF(AA210&lt;&gt;"",ROUND(AA210*SI!$C$9,0),"")</f>
        <v/>
      </c>
      <c r="AD210" s="4" t="str">
        <f>IF(AC210&lt;&gt;"",ROUND(AC210/(SI!$C$9*SI!$C$10),2),"")</f>
        <v/>
      </c>
      <c r="AE210" s="30" t="str">
        <f>IF(AND(X210&lt;&gt;""), ROUND((SI!$E$23)*(X210/SUM($X$5:$X$493)),0),"")</f>
        <v/>
      </c>
      <c r="AF210" s="272" t="str">
        <f t="shared" si="88"/>
        <v/>
      </c>
      <c r="AG210" s="28" t="str">
        <f t="shared" si="89"/>
        <v/>
      </c>
      <c r="AH210" s="4" t="str">
        <f>IF(AD210&lt;&gt;"",ROUND(AD210*10*SI!$C$9/2,0),"")</f>
        <v/>
      </c>
      <c r="AI210" s="29" t="str">
        <f>IF(AND(X210&lt;&gt;""), ROUND((SI!$E$28)*(X210/SUM($X$5:$X$493)),0),"")</f>
        <v/>
      </c>
      <c r="AJ210" s="4" t="str">
        <f t="shared" si="90"/>
        <v/>
      </c>
      <c r="AK210" s="4" t="str">
        <f t="shared" si="91"/>
        <v/>
      </c>
      <c r="AL210" s="4" t="str">
        <f t="shared" si="92"/>
        <v/>
      </c>
      <c r="AM210" s="4" t="str">
        <f t="shared" si="93"/>
        <v/>
      </c>
      <c r="AN210" s="195" t="str">
        <f t="shared" si="94"/>
        <v/>
      </c>
      <c r="AO210" s="261" t="str">
        <f>IF(AND(AM210&lt;&gt;"",P210&lt;&gt;""),ROUND((AM210*((100+SI!$C$11)/100)),0),"")</f>
        <v/>
      </c>
      <c r="AP210" s="28" t="str">
        <f>IF(AG210&lt;&gt;"",ROUND(AG210/SI!$C$9,2),"")</f>
        <v/>
      </c>
      <c r="AQ210" s="4" t="str">
        <f>IF(AH210&lt;&gt;"",ROUND(AH210/SI!$C$9,2),"")</f>
        <v/>
      </c>
      <c r="AR210" s="29" t="str">
        <f>IF(AI210&lt;&gt;"",ROUND(AI210/SI!$C$9,2),"")</f>
        <v/>
      </c>
      <c r="AS210" s="4" t="str">
        <f t="shared" si="95"/>
        <v/>
      </c>
      <c r="AT210" s="4" t="str">
        <f t="shared" si="96"/>
        <v/>
      </c>
      <c r="AU210" s="4" t="str">
        <f>IF(AL210&lt;&gt;"",ROUND(AL210/SI!$C$9,2),"")</f>
        <v/>
      </c>
      <c r="AV210" s="4" t="str">
        <f>IF(AM210&lt;&gt;"",ROUND(AM210/SI!$C$9,2),"")</f>
        <v/>
      </c>
      <c r="AW210" s="4" t="str">
        <f>IF(AN210&lt;&gt;"",ROUND(AN210/SI!$C$9,2),"")</f>
        <v/>
      </c>
      <c r="AX210" s="261" t="str">
        <f>IF(AO210&lt;&gt;"",ROUND(AO210/SI!$C$9,2),"")</f>
        <v/>
      </c>
      <c r="AY210" s="28" t="str">
        <f t="shared" si="97"/>
        <v/>
      </c>
      <c r="AZ210" s="4" t="str">
        <f>IF(AY210&lt;&gt;"",ROUND(AY210/(SI!$C$9*SI!$C$10),2),"")</f>
        <v/>
      </c>
      <c r="BA210" s="4" t="str">
        <f t="shared" si="98"/>
        <v/>
      </c>
      <c r="BB210" s="4" t="str">
        <f t="shared" si="99"/>
        <v/>
      </c>
      <c r="BC210" s="4" t="str">
        <f t="shared" si="100"/>
        <v/>
      </c>
      <c r="BD210" s="4" t="str">
        <f t="shared" si="101"/>
        <v/>
      </c>
      <c r="BE210" s="4" t="str">
        <f>IF(AND(X210&lt;&gt;""),ROUND(X210/SI!$C$10,2),"")</f>
        <v/>
      </c>
      <c r="BF210" s="4" t="str">
        <f t="shared" si="103"/>
        <v/>
      </c>
      <c r="BG210" s="264" t="str">
        <f t="shared" si="102"/>
        <v/>
      </c>
      <c r="BH210" s="71" t="str">
        <f>IF(F210&lt;&gt;"",VLOOKUP(F210,DUTY_2025!A:O,15,FALSE),"")</f>
        <v/>
      </c>
    </row>
    <row r="211" spans="1:60" x14ac:dyDescent="0.25">
      <c r="A211" s="133">
        <f t="shared" si="78"/>
        <v>66</v>
      </c>
      <c r="B211" s="83" t="str">
        <f t="shared" si="79"/>
        <v/>
      </c>
      <c r="C211" s="126"/>
      <c r="D211" s="130"/>
      <c r="E211" s="22"/>
      <c r="F211" s="85"/>
      <c r="G211" s="27" t="str">
        <f>IF(F211&lt;&gt;"",IFERROR(VLOOKUP(F211,DUTY_2025!A:I,6,FALSE),""),"")</f>
        <v/>
      </c>
      <c r="H211" s="85" t="s">
        <v>133</v>
      </c>
      <c r="I211" s="27" t="str">
        <f>IF(F211&lt;&gt;"",IFERROR(VLOOKUP(F211,DUTY_2025!A:H,2,FALSE),""),"")</f>
        <v/>
      </c>
      <c r="J211" s="98"/>
      <c r="K211" s="98"/>
      <c r="L211" s="22"/>
      <c r="M211" s="22"/>
      <c r="N211" s="84"/>
      <c r="O211" s="22"/>
      <c r="P211" s="116"/>
      <c r="Q211" s="23"/>
      <c r="R211" s="27"/>
      <c r="S211" s="86" t="str">
        <f t="shared" si="80"/>
        <v/>
      </c>
      <c r="T211" s="87" t="str">
        <f t="shared" si="81"/>
        <v/>
      </c>
      <c r="U211" s="87" t="str" cm="1">
        <f t="array" ref="U211">IF(AND(H211&lt;&gt;"YES",P211&lt;&gt;"",R211&lt;&gt;"",Q211&lt;&gt;""),
_xlfn.SWITCH(Q211,
"INR",_xlfn.SWITCH(R211,"KG",P211*S211,"CTN",P211,"UNIT",P211*N211,"NET",P211/M211,0),
"USD",_xlfn.SWITCH(R211,"KG",P211*S211*SI!$C$10,"CTN",P211*SI!$C$10,"UNIT",P211*N211*SI!$C$10,"NET",P211*SI!$C$10/M211,0),
"LKR",_xlfn.SWITCH(R211,"KG",P211*S211/SI!$C$9,"CTN",P211/SI!$C$9,"UNIT",P211*N211/SI!$C$9,"NET",P211/(M211*SI!$C$9),0),
0),
"")</f>
        <v/>
      </c>
      <c r="V211" s="87" t="str">
        <f t="shared" si="82"/>
        <v/>
      </c>
      <c r="W211" s="87" t="str">
        <f t="shared" si="83"/>
        <v/>
      </c>
      <c r="X211" s="88" t="str">
        <f t="shared" si="84"/>
        <v/>
      </c>
      <c r="Y211" s="24" t="str">
        <f t="shared" si="85"/>
        <v/>
      </c>
      <c r="Z211" s="267" t="str">
        <f>IF(AND(H211&lt;&gt;"yes",F211&lt;&gt;""),IFERROR(VLOOKUP(F211,DUTY_2025!A:F,5,FALSE),""),"")</f>
        <v/>
      </c>
      <c r="AA211" s="271" t="str">
        <f t="shared" si="86"/>
        <v/>
      </c>
      <c r="AB211" s="16" t="str">
        <f t="shared" si="87"/>
        <v/>
      </c>
      <c r="AC211" s="16" t="str">
        <f>IF(AA211&lt;&gt;"",ROUND(AA211*SI!$C$9,0),"")</f>
        <v/>
      </c>
      <c r="AD211" s="4" t="str">
        <f>IF(AC211&lt;&gt;"",ROUND(AC211/(SI!$C$9*SI!$C$10),2),"")</f>
        <v/>
      </c>
      <c r="AE211" s="30" t="str">
        <f>IF(AND(X211&lt;&gt;""), ROUND((SI!$E$23)*(X211/SUM($X$5:$X$493)),0),"")</f>
        <v/>
      </c>
      <c r="AF211" s="272" t="str">
        <f t="shared" si="88"/>
        <v/>
      </c>
      <c r="AG211" s="28" t="str">
        <f t="shared" si="89"/>
        <v/>
      </c>
      <c r="AH211" s="4" t="str">
        <f>IF(AD211&lt;&gt;"",ROUND(AD211*10*SI!$C$9/2,0),"")</f>
        <v/>
      </c>
      <c r="AI211" s="29" t="str">
        <f>IF(AND(X211&lt;&gt;""), ROUND((SI!$E$28)*(X211/SUM($X$5:$X$493)),0),"")</f>
        <v/>
      </c>
      <c r="AJ211" s="4" t="str">
        <f t="shared" si="90"/>
        <v/>
      </c>
      <c r="AK211" s="4" t="str">
        <f t="shared" si="91"/>
        <v/>
      </c>
      <c r="AL211" s="4" t="str">
        <f t="shared" si="92"/>
        <v/>
      </c>
      <c r="AM211" s="4" t="str">
        <f t="shared" si="93"/>
        <v/>
      </c>
      <c r="AN211" s="195" t="str">
        <f t="shared" si="94"/>
        <v/>
      </c>
      <c r="AO211" s="261" t="str">
        <f>IF(AND(AM211&lt;&gt;"",P211&lt;&gt;""),ROUND((AM211*((100+SI!$C$11)/100)),0),"")</f>
        <v/>
      </c>
      <c r="AP211" s="28" t="str">
        <f>IF(AG211&lt;&gt;"",ROUND(AG211/SI!$C$9,2),"")</f>
        <v/>
      </c>
      <c r="AQ211" s="4" t="str">
        <f>IF(AH211&lt;&gt;"",ROUND(AH211/SI!$C$9,2),"")</f>
        <v/>
      </c>
      <c r="AR211" s="29" t="str">
        <f>IF(AI211&lt;&gt;"",ROUND(AI211/SI!$C$9,2),"")</f>
        <v/>
      </c>
      <c r="AS211" s="4" t="str">
        <f t="shared" si="95"/>
        <v/>
      </c>
      <c r="AT211" s="4" t="str">
        <f t="shared" si="96"/>
        <v/>
      </c>
      <c r="AU211" s="4" t="str">
        <f>IF(AL211&lt;&gt;"",ROUND(AL211/SI!$C$9,2),"")</f>
        <v/>
      </c>
      <c r="AV211" s="4" t="str">
        <f>IF(AM211&lt;&gt;"",ROUND(AM211/SI!$C$9,2),"")</f>
        <v/>
      </c>
      <c r="AW211" s="4" t="str">
        <f>IF(AN211&lt;&gt;"",ROUND(AN211/SI!$C$9,2),"")</f>
        <v/>
      </c>
      <c r="AX211" s="261" t="str">
        <f>IF(AO211&lt;&gt;"",ROUND(AO211/SI!$C$9,2),"")</f>
        <v/>
      </c>
      <c r="AY211" s="28" t="str">
        <f t="shared" si="97"/>
        <v/>
      </c>
      <c r="AZ211" s="4" t="str">
        <f>IF(AY211&lt;&gt;"",ROUND(AY211/(SI!$C$9*SI!$C$10),2),"")</f>
        <v/>
      </c>
      <c r="BA211" s="4" t="str">
        <f t="shared" si="98"/>
        <v/>
      </c>
      <c r="BB211" s="4" t="str">
        <f t="shared" si="99"/>
        <v/>
      </c>
      <c r="BC211" s="4" t="str">
        <f t="shared" si="100"/>
        <v/>
      </c>
      <c r="BD211" s="4" t="str">
        <f t="shared" si="101"/>
        <v/>
      </c>
      <c r="BE211" s="4" t="str">
        <f>IF(AND(X211&lt;&gt;""),ROUND(X211/SI!$C$10,2),"")</f>
        <v/>
      </c>
      <c r="BF211" s="4" t="str">
        <f t="shared" si="103"/>
        <v/>
      </c>
      <c r="BG211" s="264" t="str">
        <f t="shared" si="102"/>
        <v/>
      </c>
      <c r="BH211" s="71" t="str">
        <f>IF(F211&lt;&gt;"",VLOOKUP(F211,DUTY_2025!A:O,15,FALSE),"")</f>
        <v/>
      </c>
    </row>
    <row r="212" spans="1:60" x14ac:dyDescent="0.25">
      <c r="A212" s="133">
        <f t="shared" si="78"/>
        <v>66</v>
      </c>
      <c r="B212" s="83" t="str">
        <f t="shared" si="79"/>
        <v/>
      </c>
      <c r="C212" s="126"/>
      <c r="D212" s="130"/>
      <c r="E212" s="22"/>
      <c r="F212" s="85"/>
      <c r="G212" s="27" t="str">
        <f>IF(F212&lt;&gt;"",IFERROR(VLOOKUP(F212,DUTY_2025!A:I,6,FALSE),""),"")</f>
        <v/>
      </c>
      <c r="H212" s="85" t="s">
        <v>133</v>
      </c>
      <c r="I212" s="27" t="str">
        <f>IF(F212&lt;&gt;"",IFERROR(VLOOKUP(F212,DUTY_2025!A:H,2,FALSE),""),"")</f>
        <v/>
      </c>
      <c r="J212" s="98"/>
      <c r="K212" s="98"/>
      <c r="L212" s="22"/>
      <c r="M212" s="22"/>
      <c r="N212" s="84"/>
      <c r="O212" s="22"/>
      <c r="P212" s="116"/>
      <c r="Q212" s="23"/>
      <c r="R212" s="27"/>
      <c r="S212" s="86" t="str">
        <f t="shared" si="80"/>
        <v/>
      </c>
      <c r="T212" s="87" t="str">
        <f t="shared" si="81"/>
        <v/>
      </c>
      <c r="U212" s="87" t="str" cm="1">
        <f t="array" ref="U212">IF(AND(H212&lt;&gt;"YES",P212&lt;&gt;"",R212&lt;&gt;"",Q212&lt;&gt;""),
_xlfn.SWITCH(Q212,
"INR",_xlfn.SWITCH(R212,"KG",P212*S212,"CTN",P212,"UNIT",P212*N212,"NET",P212/M212,0),
"USD",_xlfn.SWITCH(R212,"KG",P212*S212*SI!$C$10,"CTN",P212*SI!$C$10,"UNIT",P212*N212*SI!$C$10,"NET",P212*SI!$C$10/M212,0),
"LKR",_xlfn.SWITCH(R212,"KG",P212*S212/SI!$C$9,"CTN",P212/SI!$C$9,"UNIT",P212*N212/SI!$C$9,"NET",P212/(M212*SI!$C$9),0),
0),
"")</f>
        <v/>
      </c>
      <c r="V212" s="87" t="str">
        <f t="shared" si="82"/>
        <v/>
      </c>
      <c r="W212" s="87" t="str">
        <f t="shared" si="83"/>
        <v/>
      </c>
      <c r="X212" s="88" t="str">
        <f t="shared" si="84"/>
        <v/>
      </c>
      <c r="Y212" s="24" t="str">
        <f t="shared" si="85"/>
        <v/>
      </c>
      <c r="Z212" s="267" t="str">
        <f>IF(AND(H212&lt;&gt;"yes",F212&lt;&gt;""),IFERROR(VLOOKUP(F212,DUTY_2025!A:F,5,FALSE),""),"")</f>
        <v/>
      </c>
      <c r="AA212" s="271" t="str">
        <f t="shared" si="86"/>
        <v/>
      </c>
      <c r="AB212" s="16" t="str">
        <f t="shared" si="87"/>
        <v/>
      </c>
      <c r="AC212" s="16" t="str">
        <f>IF(AA212&lt;&gt;"",ROUND(AA212*SI!$C$9,0),"")</f>
        <v/>
      </c>
      <c r="AD212" s="4" t="str">
        <f>IF(AC212&lt;&gt;"",ROUND(AC212/(SI!$C$9*SI!$C$10),2),"")</f>
        <v/>
      </c>
      <c r="AE212" s="30" t="str">
        <f>IF(AND(X212&lt;&gt;""), ROUND((SI!$E$23)*(X212/SUM($X$5:$X$493)),0),"")</f>
        <v/>
      </c>
      <c r="AF212" s="272" t="str">
        <f t="shared" si="88"/>
        <v/>
      </c>
      <c r="AG212" s="28" t="str">
        <f t="shared" si="89"/>
        <v/>
      </c>
      <c r="AH212" s="4" t="str">
        <f>IF(AD212&lt;&gt;"",ROUND(AD212*10*SI!$C$9/2,0),"")</f>
        <v/>
      </c>
      <c r="AI212" s="29" t="str">
        <f>IF(AND(X212&lt;&gt;""), ROUND((SI!$E$28)*(X212/SUM($X$5:$X$493)),0),"")</f>
        <v/>
      </c>
      <c r="AJ212" s="4" t="str">
        <f t="shared" si="90"/>
        <v/>
      </c>
      <c r="AK212" s="4" t="str">
        <f t="shared" si="91"/>
        <v/>
      </c>
      <c r="AL212" s="4" t="str">
        <f t="shared" si="92"/>
        <v/>
      </c>
      <c r="AM212" s="4" t="str">
        <f t="shared" si="93"/>
        <v/>
      </c>
      <c r="AN212" s="195" t="str">
        <f t="shared" si="94"/>
        <v/>
      </c>
      <c r="AO212" s="261" t="str">
        <f>IF(AND(AM212&lt;&gt;"",P212&lt;&gt;""),ROUND((AM212*((100+SI!$C$11)/100)),0),"")</f>
        <v/>
      </c>
      <c r="AP212" s="28" t="str">
        <f>IF(AG212&lt;&gt;"",ROUND(AG212/SI!$C$9,2),"")</f>
        <v/>
      </c>
      <c r="AQ212" s="4" t="str">
        <f>IF(AH212&lt;&gt;"",ROUND(AH212/SI!$C$9,2),"")</f>
        <v/>
      </c>
      <c r="AR212" s="29" t="str">
        <f>IF(AI212&lt;&gt;"",ROUND(AI212/SI!$C$9,2),"")</f>
        <v/>
      </c>
      <c r="AS212" s="4" t="str">
        <f t="shared" si="95"/>
        <v/>
      </c>
      <c r="AT212" s="4" t="str">
        <f t="shared" si="96"/>
        <v/>
      </c>
      <c r="AU212" s="4" t="str">
        <f>IF(AL212&lt;&gt;"",ROUND(AL212/SI!$C$9,2),"")</f>
        <v/>
      </c>
      <c r="AV212" s="4" t="str">
        <f>IF(AM212&lt;&gt;"",ROUND(AM212/SI!$C$9,2),"")</f>
        <v/>
      </c>
      <c r="AW212" s="4" t="str">
        <f>IF(AN212&lt;&gt;"",ROUND(AN212/SI!$C$9,2),"")</f>
        <v/>
      </c>
      <c r="AX212" s="261" t="str">
        <f>IF(AO212&lt;&gt;"",ROUND(AO212/SI!$C$9,2),"")</f>
        <v/>
      </c>
      <c r="AY212" s="28" t="str">
        <f t="shared" si="97"/>
        <v/>
      </c>
      <c r="AZ212" s="4" t="str">
        <f>IF(AY212&lt;&gt;"",ROUND(AY212/(SI!$C$9*SI!$C$10),2),"")</f>
        <v/>
      </c>
      <c r="BA212" s="4" t="str">
        <f t="shared" si="98"/>
        <v/>
      </c>
      <c r="BB212" s="4" t="str">
        <f t="shared" si="99"/>
        <v/>
      </c>
      <c r="BC212" s="4" t="str">
        <f t="shared" si="100"/>
        <v/>
      </c>
      <c r="BD212" s="4" t="str">
        <f t="shared" si="101"/>
        <v/>
      </c>
      <c r="BE212" s="4" t="str">
        <f>IF(AND(X212&lt;&gt;""),ROUND(X212/SI!$C$10,2),"")</f>
        <v/>
      </c>
      <c r="BF212" s="4" t="str">
        <f t="shared" si="103"/>
        <v/>
      </c>
      <c r="BG212" s="264" t="str">
        <f t="shared" si="102"/>
        <v/>
      </c>
      <c r="BH212" s="71" t="str">
        <f>IF(F212&lt;&gt;"",VLOOKUP(F212,DUTY_2025!A:O,15,FALSE),"")</f>
        <v/>
      </c>
    </row>
    <row r="213" spans="1:60" x14ac:dyDescent="0.25">
      <c r="A213" s="133">
        <f t="shared" si="78"/>
        <v>66</v>
      </c>
      <c r="B213" s="83" t="str">
        <f t="shared" si="79"/>
        <v/>
      </c>
      <c r="C213" s="126"/>
      <c r="D213" s="130"/>
      <c r="E213" s="22"/>
      <c r="F213" s="85"/>
      <c r="G213" s="27" t="str">
        <f>IF(F213&lt;&gt;"",IFERROR(VLOOKUP(F213,DUTY_2025!A:I,6,FALSE),""),"")</f>
        <v/>
      </c>
      <c r="H213" s="85" t="s">
        <v>133</v>
      </c>
      <c r="I213" s="27" t="str">
        <f>IF(F213&lt;&gt;"",IFERROR(VLOOKUP(F213,DUTY_2025!A:H,2,FALSE),""),"")</f>
        <v/>
      </c>
      <c r="J213" s="98"/>
      <c r="K213" s="98"/>
      <c r="L213" s="22"/>
      <c r="M213" s="22"/>
      <c r="N213" s="84"/>
      <c r="O213" s="22"/>
      <c r="P213" s="116"/>
      <c r="Q213" s="23"/>
      <c r="R213" s="27"/>
      <c r="S213" s="86" t="str">
        <f t="shared" si="80"/>
        <v/>
      </c>
      <c r="T213" s="87" t="str">
        <f t="shared" si="81"/>
        <v/>
      </c>
      <c r="U213" s="87" t="str" cm="1">
        <f t="array" ref="U213">IF(AND(H213&lt;&gt;"YES",P213&lt;&gt;"",R213&lt;&gt;"",Q213&lt;&gt;""),
_xlfn.SWITCH(Q213,
"INR",_xlfn.SWITCH(R213,"KG",P213*S213,"CTN",P213,"UNIT",P213*N213,"NET",P213/M213,0),
"USD",_xlfn.SWITCH(R213,"KG",P213*S213*SI!$C$10,"CTN",P213*SI!$C$10,"UNIT",P213*N213*SI!$C$10,"NET",P213*SI!$C$10/M213,0),
"LKR",_xlfn.SWITCH(R213,"KG",P213*S213/SI!$C$9,"CTN",P213/SI!$C$9,"UNIT",P213*N213/SI!$C$9,"NET",P213/(M213*SI!$C$9),0),
0),
"")</f>
        <v/>
      </c>
      <c r="V213" s="87" t="str">
        <f t="shared" si="82"/>
        <v/>
      </c>
      <c r="W213" s="87" t="str">
        <f t="shared" si="83"/>
        <v/>
      </c>
      <c r="X213" s="88" t="str">
        <f t="shared" si="84"/>
        <v/>
      </c>
      <c r="Y213" s="24" t="str">
        <f t="shared" si="85"/>
        <v/>
      </c>
      <c r="Z213" s="267" t="str">
        <f>IF(AND(H213&lt;&gt;"yes",F213&lt;&gt;""),IFERROR(VLOOKUP(F213,DUTY_2025!A:F,5,FALSE),""),"")</f>
        <v/>
      </c>
      <c r="AA213" s="271" t="str">
        <f t="shared" si="86"/>
        <v/>
      </c>
      <c r="AB213" s="16" t="str">
        <f t="shared" si="87"/>
        <v/>
      </c>
      <c r="AC213" s="16" t="str">
        <f>IF(AA213&lt;&gt;"",ROUND(AA213*SI!$C$9,0),"")</f>
        <v/>
      </c>
      <c r="AD213" s="4" t="str">
        <f>IF(AC213&lt;&gt;"",ROUND(AC213/(SI!$C$9*SI!$C$10),2),"")</f>
        <v/>
      </c>
      <c r="AE213" s="30" t="str">
        <f>IF(AND(X213&lt;&gt;""), ROUND((SI!$E$23)*(X213/SUM($X$5:$X$493)),0),"")</f>
        <v/>
      </c>
      <c r="AF213" s="272" t="str">
        <f t="shared" si="88"/>
        <v/>
      </c>
      <c r="AG213" s="28" t="str">
        <f t="shared" si="89"/>
        <v/>
      </c>
      <c r="AH213" s="4" t="str">
        <f>IF(AD213&lt;&gt;"",ROUND(AD213*10*SI!$C$9/2,0),"")</f>
        <v/>
      </c>
      <c r="AI213" s="29" t="str">
        <f>IF(AND(X213&lt;&gt;""), ROUND((SI!$E$28)*(X213/SUM($X$5:$X$493)),0),"")</f>
        <v/>
      </c>
      <c r="AJ213" s="4" t="str">
        <f t="shared" si="90"/>
        <v/>
      </c>
      <c r="AK213" s="4" t="str">
        <f t="shared" si="91"/>
        <v/>
      </c>
      <c r="AL213" s="4" t="str">
        <f t="shared" si="92"/>
        <v/>
      </c>
      <c r="AM213" s="4" t="str">
        <f t="shared" si="93"/>
        <v/>
      </c>
      <c r="AN213" s="195" t="str">
        <f t="shared" si="94"/>
        <v/>
      </c>
      <c r="AO213" s="261" t="str">
        <f>IF(AND(AM213&lt;&gt;"",P213&lt;&gt;""),ROUND((AM213*((100+SI!$C$11)/100)),0),"")</f>
        <v/>
      </c>
      <c r="AP213" s="28" t="str">
        <f>IF(AG213&lt;&gt;"",ROUND(AG213/SI!$C$9,2),"")</f>
        <v/>
      </c>
      <c r="AQ213" s="4" t="str">
        <f>IF(AH213&lt;&gt;"",ROUND(AH213/SI!$C$9,2),"")</f>
        <v/>
      </c>
      <c r="AR213" s="29" t="str">
        <f>IF(AI213&lt;&gt;"",ROUND(AI213/SI!$C$9,2),"")</f>
        <v/>
      </c>
      <c r="AS213" s="4" t="str">
        <f t="shared" si="95"/>
        <v/>
      </c>
      <c r="AT213" s="4" t="str">
        <f t="shared" si="96"/>
        <v/>
      </c>
      <c r="AU213" s="4" t="str">
        <f>IF(AL213&lt;&gt;"",ROUND(AL213/SI!$C$9,2),"")</f>
        <v/>
      </c>
      <c r="AV213" s="4" t="str">
        <f>IF(AM213&lt;&gt;"",ROUND(AM213/SI!$C$9,2),"")</f>
        <v/>
      </c>
      <c r="AW213" s="4" t="str">
        <f>IF(AN213&lt;&gt;"",ROUND(AN213/SI!$C$9,2),"")</f>
        <v/>
      </c>
      <c r="AX213" s="261" t="str">
        <f>IF(AO213&lt;&gt;"",ROUND(AO213/SI!$C$9,2),"")</f>
        <v/>
      </c>
      <c r="AY213" s="28" t="str">
        <f t="shared" si="97"/>
        <v/>
      </c>
      <c r="AZ213" s="4" t="str">
        <f>IF(AY213&lt;&gt;"",ROUND(AY213/(SI!$C$9*SI!$C$10),2),"")</f>
        <v/>
      </c>
      <c r="BA213" s="4" t="str">
        <f t="shared" si="98"/>
        <v/>
      </c>
      <c r="BB213" s="4" t="str">
        <f t="shared" si="99"/>
        <v/>
      </c>
      <c r="BC213" s="4" t="str">
        <f t="shared" si="100"/>
        <v/>
      </c>
      <c r="BD213" s="4" t="str">
        <f t="shared" si="101"/>
        <v/>
      </c>
      <c r="BE213" s="4" t="str">
        <f>IF(AND(X213&lt;&gt;""),ROUND(X213/SI!$C$10,2),"")</f>
        <v/>
      </c>
      <c r="BF213" s="4" t="str">
        <f t="shared" si="103"/>
        <v/>
      </c>
      <c r="BG213" s="264" t="str">
        <f t="shared" si="102"/>
        <v/>
      </c>
      <c r="BH213" s="71" t="str">
        <f>IF(F213&lt;&gt;"",VLOOKUP(F213,DUTY_2025!A:O,15,FALSE),"")</f>
        <v/>
      </c>
    </row>
    <row r="214" spans="1:60" x14ac:dyDescent="0.25">
      <c r="A214" s="133">
        <f t="shared" si="78"/>
        <v>66</v>
      </c>
      <c r="B214" s="83" t="str">
        <f t="shared" si="79"/>
        <v/>
      </c>
      <c r="C214" s="126"/>
      <c r="D214" s="130"/>
      <c r="E214" s="22"/>
      <c r="F214" s="85"/>
      <c r="G214" s="27" t="str">
        <f>IF(F214&lt;&gt;"",IFERROR(VLOOKUP(F214,DUTY_2025!A:I,6,FALSE),""),"")</f>
        <v/>
      </c>
      <c r="H214" s="85" t="s">
        <v>133</v>
      </c>
      <c r="I214" s="27" t="str">
        <f>IF(F214&lt;&gt;"",IFERROR(VLOOKUP(F214,DUTY_2025!A:H,2,FALSE),""),"")</f>
        <v/>
      </c>
      <c r="J214" s="98"/>
      <c r="K214" s="98"/>
      <c r="L214" s="22"/>
      <c r="M214" s="22"/>
      <c r="N214" s="84"/>
      <c r="O214" s="22"/>
      <c r="P214" s="116"/>
      <c r="Q214" s="23"/>
      <c r="R214" s="27"/>
      <c r="S214" s="86" t="str">
        <f t="shared" si="80"/>
        <v/>
      </c>
      <c r="T214" s="87" t="str">
        <f t="shared" si="81"/>
        <v/>
      </c>
      <c r="U214" s="87" t="str" cm="1">
        <f t="array" ref="U214">IF(AND(H214&lt;&gt;"YES",P214&lt;&gt;"",R214&lt;&gt;"",Q214&lt;&gt;""),
_xlfn.SWITCH(Q214,
"INR",_xlfn.SWITCH(R214,"KG",P214*S214,"CTN",P214,"UNIT",P214*N214,"NET",P214/M214,0),
"USD",_xlfn.SWITCH(R214,"KG",P214*S214*SI!$C$10,"CTN",P214*SI!$C$10,"UNIT",P214*N214*SI!$C$10,"NET",P214*SI!$C$10/M214,0),
"LKR",_xlfn.SWITCH(R214,"KG",P214*S214/SI!$C$9,"CTN",P214/SI!$C$9,"UNIT",P214*N214/SI!$C$9,"NET",P214/(M214*SI!$C$9),0),
0),
"")</f>
        <v/>
      </c>
      <c r="V214" s="87" t="str">
        <f t="shared" si="82"/>
        <v/>
      </c>
      <c r="W214" s="87" t="str">
        <f t="shared" si="83"/>
        <v/>
      </c>
      <c r="X214" s="88" t="str">
        <f t="shared" si="84"/>
        <v/>
      </c>
      <c r="Y214" s="24" t="str">
        <f t="shared" si="85"/>
        <v/>
      </c>
      <c r="Z214" s="267" t="str">
        <f>IF(AND(H214&lt;&gt;"yes",F214&lt;&gt;""),IFERROR(VLOOKUP(F214,DUTY_2025!A:F,5,FALSE),""),"")</f>
        <v/>
      </c>
      <c r="AA214" s="271" t="str">
        <f t="shared" si="86"/>
        <v/>
      </c>
      <c r="AB214" s="16" t="str">
        <f t="shared" si="87"/>
        <v/>
      </c>
      <c r="AC214" s="16" t="str">
        <f>IF(AA214&lt;&gt;"",ROUND(AA214*SI!$C$9,0),"")</f>
        <v/>
      </c>
      <c r="AD214" s="4" t="str">
        <f>IF(AC214&lt;&gt;"",ROUND(AC214/(SI!$C$9*SI!$C$10),2),"")</f>
        <v/>
      </c>
      <c r="AE214" s="30" t="str">
        <f>IF(AND(X214&lt;&gt;""), ROUND((SI!$E$23)*(X214/SUM($X$5:$X$493)),0),"")</f>
        <v/>
      </c>
      <c r="AF214" s="272" t="str">
        <f t="shared" si="88"/>
        <v/>
      </c>
      <c r="AG214" s="28" t="str">
        <f t="shared" si="89"/>
        <v/>
      </c>
      <c r="AH214" s="4" t="str">
        <f>IF(AD214&lt;&gt;"",ROUND(AD214*10*SI!$C$9/2,0),"")</f>
        <v/>
      </c>
      <c r="AI214" s="29" t="str">
        <f>IF(AND(X214&lt;&gt;""), ROUND((SI!$E$28)*(X214/SUM($X$5:$X$493)),0),"")</f>
        <v/>
      </c>
      <c r="AJ214" s="4" t="str">
        <f t="shared" si="90"/>
        <v/>
      </c>
      <c r="AK214" s="4" t="str">
        <f t="shared" si="91"/>
        <v/>
      </c>
      <c r="AL214" s="4" t="str">
        <f t="shared" si="92"/>
        <v/>
      </c>
      <c r="AM214" s="4" t="str">
        <f t="shared" si="93"/>
        <v/>
      </c>
      <c r="AN214" s="195" t="str">
        <f t="shared" si="94"/>
        <v/>
      </c>
      <c r="AO214" s="261" t="str">
        <f>IF(AND(AM214&lt;&gt;"",P214&lt;&gt;""),ROUND((AM214*((100+SI!$C$11)/100)),0),"")</f>
        <v/>
      </c>
      <c r="AP214" s="28" t="str">
        <f>IF(AG214&lt;&gt;"",ROUND(AG214/SI!$C$9,2),"")</f>
        <v/>
      </c>
      <c r="AQ214" s="4" t="str">
        <f>IF(AH214&lt;&gt;"",ROUND(AH214/SI!$C$9,2),"")</f>
        <v/>
      </c>
      <c r="AR214" s="29" t="str">
        <f>IF(AI214&lt;&gt;"",ROUND(AI214/SI!$C$9,2),"")</f>
        <v/>
      </c>
      <c r="AS214" s="4" t="str">
        <f t="shared" si="95"/>
        <v/>
      </c>
      <c r="AT214" s="4" t="str">
        <f t="shared" si="96"/>
        <v/>
      </c>
      <c r="AU214" s="4" t="str">
        <f>IF(AL214&lt;&gt;"",ROUND(AL214/SI!$C$9,2),"")</f>
        <v/>
      </c>
      <c r="AV214" s="4" t="str">
        <f>IF(AM214&lt;&gt;"",ROUND(AM214/SI!$C$9,2),"")</f>
        <v/>
      </c>
      <c r="AW214" s="4" t="str">
        <f>IF(AN214&lt;&gt;"",ROUND(AN214/SI!$C$9,2),"")</f>
        <v/>
      </c>
      <c r="AX214" s="261" t="str">
        <f>IF(AO214&lt;&gt;"",ROUND(AO214/SI!$C$9,2),"")</f>
        <v/>
      </c>
      <c r="AY214" s="28" t="str">
        <f t="shared" si="97"/>
        <v/>
      </c>
      <c r="AZ214" s="4" t="str">
        <f>IF(AY214&lt;&gt;"",ROUND(AY214/(SI!$C$9*SI!$C$10),2),"")</f>
        <v/>
      </c>
      <c r="BA214" s="4" t="str">
        <f t="shared" si="98"/>
        <v/>
      </c>
      <c r="BB214" s="4" t="str">
        <f t="shared" si="99"/>
        <v/>
      </c>
      <c r="BC214" s="4" t="str">
        <f t="shared" si="100"/>
        <v/>
      </c>
      <c r="BD214" s="4" t="str">
        <f t="shared" si="101"/>
        <v/>
      </c>
      <c r="BE214" s="4" t="str">
        <f>IF(AND(X214&lt;&gt;""),ROUND(X214/SI!$C$10,2),"")</f>
        <v/>
      </c>
      <c r="BF214" s="4" t="str">
        <f t="shared" si="103"/>
        <v/>
      </c>
      <c r="BG214" s="264" t="str">
        <f t="shared" si="102"/>
        <v/>
      </c>
      <c r="BH214" s="71" t="str">
        <f>IF(F214&lt;&gt;"",VLOOKUP(F214,DUTY_2025!A:O,15,FALSE),"")</f>
        <v/>
      </c>
    </row>
    <row r="215" spans="1:60" x14ac:dyDescent="0.25">
      <c r="A215" s="133">
        <f t="shared" si="78"/>
        <v>66</v>
      </c>
      <c r="B215" s="83" t="str">
        <f t="shared" si="79"/>
        <v/>
      </c>
      <c r="C215" s="126"/>
      <c r="D215" s="130"/>
      <c r="E215" s="22"/>
      <c r="F215" s="85"/>
      <c r="G215" s="27" t="str">
        <f>IF(F215&lt;&gt;"",IFERROR(VLOOKUP(F215,DUTY_2025!A:I,6,FALSE),""),"")</f>
        <v/>
      </c>
      <c r="H215" s="85" t="s">
        <v>133</v>
      </c>
      <c r="I215" s="27" t="str">
        <f>IF(F215&lt;&gt;"",IFERROR(VLOOKUP(F215,DUTY_2025!A:H,2,FALSE),""),"")</f>
        <v/>
      </c>
      <c r="J215" s="98"/>
      <c r="K215" s="98"/>
      <c r="L215" s="22"/>
      <c r="M215" s="22"/>
      <c r="N215" s="84"/>
      <c r="O215" s="22"/>
      <c r="P215" s="116"/>
      <c r="Q215" s="23"/>
      <c r="R215" s="27"/>
      <c r="S215" s="86" t="str">
        <f t="shared" si="80"/>
        <v/>
      </c>
      <c r="T215" s="87" t="str">
        <f t="shared" si="81"/>
        <v/>
      </c>
      <c r="U215" s="87" t="str" cm="1">
        <f t="array" ref="U215">IF(AND(H215&lt;&gt;"YES",P215&lt;&gt;"",R215&lt;&gt;"",Q215&lt;&gt;""),
_xlfn.SWITCH(Q215,
"INR",_xlfn.SWITCH(R215,"KG",P215*S215,"CTN",P215,"UNIT",P215*N215,"NET",P215/M215,0),
"USD",_xlfn.SWITCH(R215,"KG",P215*S215*SI!$C$10,"CTN",P215*SI!$C$10,"UNIT",P215*N215*SI!$C$10,"NET",P215*SI!$C$10/M215,0),
"LKR",_xlfn.SWITCH(R215,"KG",P215*S215/SI!$C$9,"CTN",P215/SI!$C$9,"UNIT",P215*N215/SI!$C$9,"NET",P215/(M215*SI!$C$9),0),
0),
"")</f>
        <v/>
      </c>
      <c r="V215" s="87" t="str">
        <f t="shared" si="82"/>
        <v/>
      </c>
      <c r="W215" s="87" t="str">
        <f t="shared" si="83"/>
        <v/>
      </c>
      <c r="X215" s="88" t="str">
        <f t="shared" si="84"/>
        <v/>
      </c>
      <c r="Y215" s="24" t="str">
        <f t="shared" si="85"/>
        <v/>
      </c>
      <c r="Z215" s="267" t="str">
        <f>IF(AND(H215&lt;&gt;"yes",F215&lt;&gt;""),IFERROR(VLOOKUP(F215,DUTY_2025!A:F,5,FALSE),""),"")</f>
        <v/>
      </c>
      <c r="AA215" s="271" t="str">
        <f t="shared" si="86"/>
        <v/>
      </c>
      <c r="AB215" s="16" t="str">
        <f t="shared" si="87"/>
        <v/>
      </c>
      <c r="AC215" s="16" t="str">
        <f>IF(AA215&lt;&gt;"",ROUND(AA215*SI!$C$9,0),"")</f>
        <v/>
      </c>
      <c r="AD215" s="4" t="str">
        <f>IF(AC215&lt;&gt;"",ROUND(AC215/(SI!$C$9*SI!$C$10),2),"")</f>
        <v/>
      </c>
      <c r="AE215" s="30" t="str">
        <f>IF(AND(X215&lt;&gt;""), ROUND((SI!$E$23)*(X215/SUM($X$5:$X$493)),0),"")</f>
        <v/>
      </c>
      <c r="AF215" s="272" t="str">
        <f t="shared" si="88"/>
        <v/>
      </c>
      <c r="AG215" s="28" t="str">
        <f t="shared" si="89"/>
        <v/>
      </c>
      <c r="AH215" s="4" t="str">
        <f>IF(AD215&lt;&gt;"",ROUND(AD215*10*SI!$C$9/2,0),"")</f>
        <v/>
      </c>
      <c r="AI215" s="29" t="str">
        <f>IF(AND(X215&lt;&gt;""), ROUND((SI!$E$28)*(X215/SUM($X$5:$X$493)),0),"")</f>
        <v/>
      </c>
      <c r="AJ215" s="4" t="str">
        <f t="shared" si="90"/>
        <v/>
      </c>
      <c r="AK215" s="4" t="str">
        <f t="shared" si="91"/>
        <v/>
      </c>
      <c r="AL215" s="4" t="str">
        <f t="shared" si="92"/>
        <v/>
      </c>
      <c r="AM215" s="4" t="str">
        <f t="shared" si="93"/>
        <v/>
      </c>
      <c r="AN215" s="195" t="str">
        <f t="shared" si="94"/>
        <v/>
      </c>
      <c r="AO215" s="261" t="str">
        <f>IF(AND(AM215&lt;&gt;"",P215&lt;&gt;""),ROUND((AM215*((100+SI!$C$11)/100)),0),"")</f>
        <v/>
      </c>
      <c r="AP215" s="28" t="str">
        <f>IF(AG215&lt;&gt;"",ROUND(AG215/SI!$C$9,2),"")</f>
        <v/>
      </c>
      <c r="AQ215" s="4" t="str">
        <f>IF(AH215&lt;&gt;"",ROUND(AH215/SI!$C$9,2),"")</f>
        <v/>
      </c>
      <c r="AR215" s="29" t="str">
        <f>IF(AI215&lt;&gt;"",ROUND(AI215/SI!$C$9,2),"")</f>
        <v/>
      </c>
      <c r="AS215" s="4" t="str">
        <f t="shared" si="95"/>
        <v/>
      </c>
      <c r="AT215" s="4" t="str">
        <f t="shared" si="96"/>
        <v/>
      </c>
      <c r="AU215" s="4" t="str">
        <f>IF(AL215&lt;&gt;"",ROUND(AL215/SI!$C$9,2),"")</f>
        <v/>
      </c>
      <c r="AV215" s="4" t="str">
        <f>IF(AM215&lt;&gt;"",ROUND(AM215/SI!$C$9,2),"")</f>
        <v/>
      </c>
      <c r="AW215" s="4" t="str">
        <f>IF(AN215&lt;&gt;"",ROUND(AN215/SI!$C$9,2),"")</f>
        <v/>
      </c>
      <c r="AX215" s="261" t="str">
        <f>IF(AO215&lt;&gt;"",ROUND(AO215/SI!$C$9,2),"")</f>
        <v/>
      </c>
      <c r="AY215" s="28" t="str">
        <f t="shared" si="97"/>
        <v/>
      </c>
      <c r="AZ215" s="4" t="str">
        <f>IF(AY215&lt;&gt;"",ROUND(AY215/(SI!$C$9*SI!$C$10),2),"")</f>
        <v/>
      </c>
      <c r="BA215" s="4" t="str">
        <f t="shared" si="98"/>
        <v/>
      </c>
      <c r="BB215" s="4" t="str">
        <f t="shared" si="99"/>
        <v/>
      </c>
      <c r="BC215" s="4" t="str">
        <f t="shared" si="100"/>
        <v/>
      </c>
      <c r="BD215" s="4" t="str">
        <f t="shared" si="101"/>
        <v/>
      </c>
      <c r="BE215" s="4" t="str">
        <f>IF(AND(X215&lt;&gt;""),ROUND(X215/SI!$C$10,2),"")</f>
        <v/>
      </c>
      <c r="BF215" s="4" t="str">
        <f t="shared" si="103"/>
        <v/>
      </c>
      <c r="BG215" s="264" t="str">
        <f t="shared" si="102"/>
        <v/>
      </c>
      <c r="BH215" s="71" t="str">
        <f>IF(F215&lt;&gt;"",VLOOKUP(F215,DUTY_2025!A:O,15,FALSE),"")</f>
        <v/>
      </c>
    </row>
    <row r="216" spans="1:60" x14ac:dyDescent="0.25">
      <c r="A216" s="133">
        <f t="shared" si="78"/>
        <v>66</v>
      </c>
      <c r="B216" s="83" t="str">
        <f t="shared" si="79"/>
        <v/>
      </c>
      <c r="C216" s="126"/>
      <c r="D216" s="130"/>
      <c r="E216" s="22"/>
      <c r="F216" s="85"/>
      <c r="G216" s="27" t="str">
        <f>IF(F216&lt;&gt;"",IFERROR(VLOOKUP(F216,DUTY_2025!A:I,6,FALSE),""),"")</f>
        <v/>
      </c>
      <c r="H216" s="85" t="s">
        <v>133</v>
      </c>
      <c r="I216" s="27" t="str">
        <f>IF(F216&lt;&gt;"",IFERROR(VLOOKUP(F216,DUTY_2025!A:H,2,FALSE),""),"")</f>
        <v/>
      </c>
      <c r="J216" s="98"/>
      <c r="K216" s="98"/>
      <c r="L216" s="22"/>
      <c r="M216" s="22"/>
      <c r="N216" s="84"/>
      <c r="O216" s="22"/>
      <c r="P216" s="116"/>
      <c r="Q216" s="23"/>
      <c r="R216" s="27"/>
      <c r="S216" s="86" t="str">
        <f t="shared" si="80"/>
        <v/>
      </c>
      <c r="T216" s="87" t="str">
        <f t="shared" si="81"/>
        <v/>
      </c>
      <c r="U216" s="87" t="str" cm="1">
        <f t="array" ref="U216">IF(AND(H216&lt;&gt;"YES",P216&lt;&gt;"",R216&lt;&gt;"",Q216&lt;&gt;""),
_xlfn.SWITCH(Q216,
"INR",_xlfn.SWITCH(R216,"KG",P216*S216,"CTN",P216,"UNIT",P216*N216,"NET",P216/M216,0),
"USD",_xlfn.SWITCH(R216,"KG",P216*S216*SI!$C$10,"CTN",P216*SI!$C$10,"UNIT",P216*N216*SI!$C$10,"NET",P216*SI!$C$10/M216,0),
"LKR",_xlfn.SWITCH(R216,"KG",P216*S216/SI!$C$9,"CTN",P216/SI!$C$9,"UNIT",P216*N216/SI!$C$9,"NET",P216/(M216*SI!$C$9),0),
0),
"")</f>
        <v/>
      </c>
      <c r="V216" s="87" t="str">
        <f t="shared" si="82"/>
        <v/>
      </c>
      <c r="W216" s="87" t="str">
        <f t="shared" si="83"/>
        <v/>
      </c>
      <c r="X216" s="88" t="str">
        <f t="shared" si="84"/>
        <v/>
      </c>
      <c r="Y216" s="24" t="str">
        <f t="shared" si="85"/>
        <v/>
      </c>
      <c r="Z216" s="267" t="str">
        <f>IF(AND(H216&lt;&gt;"yes",F216&lt;&gt;""),IFERROR(VLOOKUP(F216,DUTY_2025!A:F,5,FALSE),""),"")</f>
        <v/>
      </c>
      <c r="AA216" s="271" t="str">
        <f t="shared" si="86"/>
        <v/>
      </c>
      <c r="AB216" s="16" t="str">
        <f t="shared" si="87"/>
        <v/>
      </c>
      <c r="AC216" s="16" t="str">
        <f>IF(AA216&lt;&gt;"",ROUND(AA216*SI!$C$9,0),"")</f>
        <v/>
      </c>
      <c r="AD216" s="4" t="str">
        <f>IF(AC216&lt;&gt;"",ROUND(AC216/(SI!$C$9*SI!$C$10),2),"")</f>
        <v/>
      </c>
      <c r="AE216" s="30" t="str">
        <f>IF(AND(X216&lt;&gt;""), ROUND((SI!$E$23)*(X216/SUM($X$5:$X$493)),0),"")</f>
        <v/>
      </c>
      <c r="AF216" s="272" t="str">
        <f t="shared" si="88"/>
        <v/>
      </c>
      <c r="AG216" s="28" t="str">
        <f t="shared" si="89"/>
        <v/>
      </c>
      <c r="AH216" s="4" t="str">
        <f>IF(AD216&lt;&gt;"",ROUND(AD216*10*SI!$C$9/2,0),"")</f>
        <v/>
      </c>
      <c r="AI216" s="29" t="str">
        <f>IF(AND(X216&lt;&gt;""), ROUND((SI!$E$28)*(X216/SUM($X$5:$X$493)),0),"")</f>
        <v/>
      </c>
      <c r="AJ216" s="4" t="str">
        <f t="shared" si="90"/>
        <v/>
      </c>
      <c r="AK216" s="4" t="str">
        <f t="shared" si="91"/>
        <v/>
      </c>
      <c r="AL216" s="4" t="str">
        <f t="shared" si="92"/>
        <v/>
      </c>
      <c r="AM216" s="4" t="str">
        <f t="shared" si="93"/>
        <v/>
      </c>
      <c r="AN216" s="195" t="str">
        <f t="shared" si="94"/>
        <v/>
      </c>
      <c r="AO216" s="261" t="str">
        <f>IF(AND(AM216&lt;&gt;"",P216&lt;&gt;""),ROUND((AM216*((100+SI!$C$11)/100)),0),"")</f>
        <v/>
      </c>
      <c r="AP216" s="28" t="str">
        <f>IF(AG216&lt;&gt;"",ROUND(AG216/SI!$C$9,2),"")</f>
        <v/>
      </c>
      <c r="AQ216" s="4" t="str">
        <f>IF(AH216&lt;&gt;"",ROUND(AH216/SI!$C$9,2),"")</f>
        <v/>
      </c>
      <c r="AR216" s="29" t="str">
        <f>IF(AI216&lt;&gt;"",ROUND(AI216/SI!$C$9,2),"")</f>
        <v/>
      </c>
      <c r="AS216" s="4" t="str">
        <f t="shared" si="95"/>
        <v/>
      </c>
      <c r="AT216" s="4" t="str">
        <f t="shared" si="96"/>
        <v/>
      </c>
      <c r="AU216" s="4" t="str">
        <f>IF(AL216&lt;&gt;"",ROUND(AL216/SI!$C$9,2),"")</f>
        <v/>
      </c>
      <c r="AV216" s="4" t="str">
        <f>IF(AM216&lt;&gt;"",ROUND(AM216/SI!$C$9,2),"")</f>
        <v/>
      </c>
      <c r="AW216" s="4" t="str">
        <f>IF(AN216&lt;&gt;"",ROUND(AN216/SI!$C$9,2),"")</f>
        <v/>
      </c>
      <c r="AX216" s="261" t="str">
        <f>IF(AO216&lt;&gt;"",ROUND(AO216/SI!$C$9,2),"")</f>
        <v/>
      </c>
      <c r="AY216" s="28" t="str">
        <f t="shared" si="97"/>
        <v/>
      </c>
      <c r="AZ216" s="4" t="str">
        <f>IF(AY216&lt;&gt;"",ROUND(AY216/(SI!$C$9*SI!$C$10),2),"")</f>
        <v/>
      </c>
      <c r="BA216" s="4" t="str">
        <f t="shared" si="98"/>
        <v/>
      </c>
      <c r="BB216" s="4" t="str">
        <f t="shared" si="99"/>
        <v/>
      </c>
      <c r="BC216" s="4" t="str">
        <f t="shared" si="100"/>
        <v/>
      </c>
      <c r="BD216" s="4" t="str">
        <f t="shared" si="101"/>
        <v/>
      </c>
      <c r="BE216" s="4" t="str">
        <f>IF(AND(X216&lt;&gt;""),ROUND(X216/SI!$C$10,2),"")</f>
        <v/>
      </c>
      <c r="BF216" s="4" t="str">
        <f t="shared" si="103"/>
        <v/>
      </c>
      <c r="BG216" s="264" t="str">
        <f t="shared" si="102"/>
        <v/>
      </c>
      <c r="BH216" s="71" t="str">
        <f>IF(F216&lt;&gt;"",VLOOKUP(F216,DUTY_2025!A:O,15,FALSE),"")</f>
        <v/>
      </c>
    </row>
    <row r="217" spans="1:60" x14ac:dyDescent="0.25">
      <c r="A217" s="133">
        <f t="shared" si="78"/>
        <v>66</v>
      </c>
      <c r="B217" s="83" t="str">
        <f t="shared" si="79"/>
        <v/>
      </c>
      <c r="C217" s="126"/>
      <c r="D217" s="130"/>
      <c r="E217" s="22"/>
      <c r="F217" s="85"/>
      <c r="G217" s="27" t="str">
        <f>IF(F217&lt;&gt;"",IFERROR(VLOOKUP(F217,DUTY_2025!A:I,6,FALSE),""),"")</f>
        <v/>
      </c>
      <c r="H217" s="85" t="s">
        <v>133</v>
      </c>
      <c r="I217" s="27" t="str">
        <f>IF(F217&lt;&gt;"",IFERROR(VLOOKUP(F217,DUTY_2025!A:H,2,FALSE),""),"")</f>
        <v/>
      </c>
      <c r="J217" s="98"/>
      <c r="K217" s="98"/>
      <c r="L217" s="22"/>
      <c r="M217" s="22"/>
      <c r="N217" s="84"/>
      <c r="O217" s="22"/>
      <c r="P217" s="116"/>
      <c r="Q217" s="23"/>
      <c r="R217" s="27"/>
      <c r="S217" s="86" t="str">
        <f t="shared" si="80"/>
        <v/>
      </c>
      <c r="T217" s="87" t="str">
        <f t="shared" si="81"/>
        <v/>
      </c>
      <c r="U217" s="87" t="str" cm="1">
        <f t="array" ref="U217">IF(AND(H217&lt;&gt;"YES",P217&lt;&gt;"",R217&lt;&gt;"",Q217&lt;&gt;""),
_xlfn.SWITCH(Q217,
"INR",_xlfn.SWITCH(R217,"KG",P217*S217,"CTN",P217,"UNIT",P217*N217,"NET",P217/M217,0),
"USD",_xlfn.SWITCH(R217,"KG",P217*S217*SI!$C$10,"CTN",P217*SI!$C$10,"UNIT",P217*N217*SI!$C$10,"NET",P217*SI!$C$10/M217,0),
"LKR",_xlfn.SWITCH(R217,"KG",P217*S217/SI!$C$9,"CTN",P217/SI!$C$9,"UNIT",P217*N217/SI!$C$9,"NET",P217/(M217*SI!$C$9),0),
0),
"")</f>
        <v/>
      </c>
      <c r="V217" s="87" t="str">
        <f t="shared" si="82"/>
        <v/>
      </c>
      <c r="W217" s="87" t="str">
        <f t="shared" si="83"/>
        <v/>
      </c>
      <c r="X217" s="88" t="str">
        <f t="shared" si="84"/>
        <v/>
      </c>
      <c r="Y217" s="24" t="str">
        <f t="shared" si="85"/>
        <v/>
      </c>
      <c r="Z217" s="267" t="str">
        <f>IF(AND(H217&lt;&gt;"yes",F217&lt;&gt;""),IFERROR(VLOOKUP(F217,DUTY_2025!A:F,5,FALSE),""),"")</f>
        <v/>
      </c>
      <c r="AA217" s="271" t="str">
        <f t="shared" si="86"/>
        <v/>
      </c>
      <c r="AB217" s="16" t="str">
        <f t="shared" si="87"/>
        <v/>
      </c>
      <c r="AC217" s="16" t="str">
        <f>IF(AA217&lt;&gt;"",ROUND(AA217*SI!$C$9,0),"")</f>
        <v/>
      </c>
      <c r="AD217" s="4" t="str">
        <f>IF(AC217&lt;&gt;"",ROUND(AC217/(SI!$C$9*SI!$C$10),2),"")</f>
        <v/>
      </c>
      <c r="AE217" s="30" t="str">
        <f>IF(AND(X217&lt;&gt;""), ROUND((SI!$E$23)*(X217/SUM($X$5:$X$493)),0),"")</f>
        <v/>
      </c>
      <c r="AF217" s="272" t="str">
        <f t="shared" si="88"/>
        <v/>
      </c>
      <c r="AG217" s="28" t="str">
        <f t="shared" si="89"/>
        <v/>
      </c>
      <c r="AH217" s="4" t="str">
        <f>IF(AD217&lt;&gt;"",ROUND(AD217*10*SI!$C$9/2,0),"")</f>
        <v/>
      </c>
      <c r="AI217" s="29" t="str">
        <f>IF(AND(X217&lt;&gt;""), ROUND((SI!$E$28)*(X217/SUM($X$5:$X$493)),0),"")</f>
        <v/>
      </c>
      <c r="AJ217" s="4" t="str">
        <f t="shared" si="90"/>
        <v/>
      </c>
      <c r="AK217" s="4" t="str">
        <f t="shared" si="91"/>
        <v/>
      </c>
      <c r="AL217" s="4" t="str">
        <f t="shared" si="92"/>
        <v/>
      </c>
      <c r="AM217" s="4" t="str">
        <f t="shared" si="93"/>
        <v/>
      </c>
      <c r="AN217" s="195" t="str">
        <f t="shared" si="94"/>
        <v/>
      </c>
      <c r="AO217" s="261" t="str">
        <f>IF(AND(AM217&lt;&gt;"",P217&lt;&gt;""),ROUND((AM217*((100+SI!$C$11)/100)),0),"")</f>
        <v/>
      </c>
      <c r="AP217" s="28" t="str">
        <f>IF(AG217&lt;&gt;"",ROUND(AG217/SI!$C$9,2),"")</f>
        <v/>
      </c>
      <c r="AQ217" s="4" t="str">
        <f>IF(AH217&lt;&gt;"",ROUND(AH217/SI!$C$9,2),"")</f>
        <v/>
      </c>
      <c r="AR217" s="29" t="str">
        <f>IF(AI217&lt;&gt;"",ROUND(AI217/SI!$C$9,2),"")</f>
        <v/>
      </c>
      <c r="AS217" s="4" t="str">
        <f t="shared" si="95"/>
        <v/>
      </c>
      <c r="AT217" s="4" t="str">
        <f t="shared" si="96"/>
        <v/>
      </c>
      <c r="AU217" s="4" t="str">
        <f>IF(AL217&lt;&gt;"",ROUND(AL217/SI!$C$9,2),"")</f>
        <v/>
      </c>
      <c r="AV217" s="4" t="str">
        <f>IF(AM217&lt;&gt;"",ROUND(AM217/SI!$C$9,2),"")</f>
        <v/>
      </c>
      <c r="AW217" s="4" t="str">
        <f>IF(AN217&lt;&gt;"",ROUND(AN217/SI!$C$9,2),"")</f>
        <v/>
      </c>
      <c r="AX217" s="261" t="str">
        <f>IF(AO217&lt;&gt;"",ROUND(AO217/SI!$C$9,2),"")</f>
        <v/>
      </c>
      <c r="AY217" s="28" t="str">
        <f t="shared" si="97"/>
        <v/>
      </c>
      <c r="AZ217" s="4" t="str">
        <f>IF(AY217&lt;&gt;"",ROUND(AY217/(SI!$C$9*SI!$C$10),2),"")</f>
        <v/>
      </c>
      <c r="BA217" s="4" t="str">
        <f t="shared" si="98"/>
        <v/>
      </c>
      <c r="BB217" s="4" t="str">
        <f t="shared" si="99"/>
        <v/>
      </c>
      <c r="BC217" s="4" t="str">
        <f t="shared" si="100"/>
        <v/>
      </c>
      <c r="BD217" s="4" t="str">
        <f t="shared" si="101"/>
        <v/>
      </c>
      <c r="BE217" s="4" t="str">
        <f>IF(AND(X217&lt;&gt;""),ROUND(X217/SI!$C$10,2),"")</f>
        <v/>
      </c>
      <c r="BF217" s="4" t="str">
        <f t="shared" si="103"/>
        <v/>
      </c>
      <c r="BG217" s="264" t="str">
        <f t="shared" si="102"/>
        <v/>
      </c>
      <c r="BH217" s="71" t="str">
        <f>IF(F217&lt;&gt;"",VLOOKUP(F217,DUTY_2025!A:O,15,FALSE),"")</f>
        <v/>
      </c>
    </row>
    <row r="218" spans="1:60" x14ac:dyDescent="0.25">
      <c r="A218" s="133">
        <f t="shared" si="78"/>
        <v>66</v>
      </c>
      <c r="B218" s="83" t="str">
        <f t="shared" si="79"/>
        <v/>
      </c>
      <c r="C218" s="126"/>
      <c r="D218" s="130"/>
      <c r="E218" s="22"/>
      <c r="F218" s="85"/>
      <c r="G218" s="27" t="str">
        <f>IF(F218&lt;&gt;"",IFERROR(VLOOKUP(F218,DUTY_2025!A:I,6,FALSE),""),"")</f>
        <v/>
      </c>
      <c r="H218" s="85" t="s">
        <v>133</v>
      </c>
      <c r="I218" s="27" t="str">
        <f>IF(F218&lt;&gt;"",IFERROR(VLOOKUP(F218,DUTY_2025!A:H,2,FALSE),""),"")</f>
        <v/>
      </c>
      <c r="J218" s="98"/>
      <c r="K218" s="98"/>
      <c r="L218" s="22"/>
      <c r="M218" s="22"/>
      <c r="N218" s="84"/>
      <c r="O218" s="22"/>
      <c r="P218" s="116"/>
      <c r="Q218" s="23"/>
      <c r="R218" s="27"/>
      <c r="S218" s="86" t="str">
        <f t="shared" si="80"/>
        <v/>
      </c>
      <c r="T218" s="87" t="str">
        <f t="shared" si="81"/>
        <v/>
      </c>
      <c r="U218" s="87" t="str" cm="1">
        <f t="array" ref="U218">IF(AND(H218&lt;&gt;"YES",P218&lt;&gt;"",R218&lt;&gt;"",Q218&lt;&gt;""),
_xlfn.SWITCH(Q218,
"INR",_xlfn.SWITCH(R218,"KG",P218*S218,"CTN",P218,"UNIT",P218*N218,"NET",P218/M218,0),
"USD",_xlfn.SWITCH(R218,"KG",P218*S218*SI!$C$10,"CTN",P218*SI!$C$10,"UNIT",P218*N218*SI!$C$10,"NET",P218*SI!$C$10/M218,0),
"LKR",_xlfn.SWITCH(R218,"KG",P218*S218/SI!$C$9,"CTN",P218/SI!$C$9,"UNIT",P218*N218/SI!$C$9,"NET",P218/(M218*SI!$C$9),0),
0),
"")</f>
        <v/>
      </c>
      <c r="V218" s="87" t="str">
        <f t="shared" si="82"/>
        <v/>
      </c>
      <c r="W218" s="87" t="str">
        <f t="shared" si="83"/>
        <v/>
      </c>
      <c r="X218" s="88" t="str">
        <f t="shared" si="84"/>
        <v/>
      </c>
      <c r="Y218" s="24" t="str">
        <f t="shared" si="85"/>
        <v/>
      </c>
      <c r="Z218" s="267" t="str">
        <f>IF(AND(H218&lt;&gt;"yes",F218&lt;&gt;""),IFERROR(VLOOKUP(F218,DUTY_2025!A:F,5,FALSE),""),"")</f>
        <v/>
      </c>
      <c r="AA218" s="271" t="str">
        <f t="shared" si="86"/>
        <v/>
      </c>
      <c r="AB218" s="16" t="str">
        <f t="shared" si="87"/>
        <v/>
      </c>
      <c r="AC218" s="16" t="str">
        <f>IF(AA218&lt;&gt;"",ROUND(AA218*SI!$C$9,0),"")</f>
        <v/>
      </c>
      <c r="AD218" s="4" t="str">
        <f>IF(AC218&lt;&gt;"",ROUND(AC218/(SI!$C$9*SI!$C$10),2),"")</f>
        <v/>
      </c>
      <c r="AE218" s="30" t="str">
        <f>IF(AND(X218&lt;&gt;""), ROUND((SI!$E$23)*(X218/SUM($X$5:$X$493)),0),"")</f>
        <v/>
      </c>
      <c r="AF218" s="272" t="str">
        <f t="shared" si="88"/>
        <v/>
      </c>
      <c r="AG218" s="28" t="str">
        <f t="shared" si="89"/>
        <v/>
      </c>
      <c r="AH218" s="4" t="str">
        <f>IF(AD218&lt;&gt;"",ROUND(AD218*10*SI!$C$9/2,0),"")</f>
        <v/>
      </c>
      <c r="AI218" s="29" t="str">
        <f>IF(AND(X218&lt;&gt;""), ROUND((SI!$E$28)*(X218/SUM($X$5:$X$493)),0),"")</f>
        <v/>
      </c>
      <c r="AJ218" s="4" t="str">
        <f t="shared" si="90"/>
        <v/>
      </c>
      <c r="AK218" s="4" t="str">
        <f t="shared" si="91"/>
        <v/>
      </c>
      <c r="AL218" s="4" t="str">
        <f t="shared" si="92"/>
        <v/>
      </c>
      <c r="AM218" s="4" t="str">
        <f t="shared" si="93"/>
        <v/>
      </c>
      <c r="AN218" s="195" t="str">
        <f t="shared" si="94"/>
        <v/>
      </c>
      <c r="AO218" s="261" t="str">
        <f>IF(AND(AM218&lt;&gt;"",P218&lt;&gt;""),ROUND((AM218*((100+SI!$C$11)/100)),0),"")</f>
        <v/>
      </c>
      <c r="AP218" s="28" t="str">
        <f>IF(AG218&lt;&gt;"",ROUND(AG218/SI!$C$9,2),"")</f>
        <v/>
      </c>
      <c r="AQ218" s="4" t="str">
        <f>IF(AH218&lt;&gt;"",ROUND(AH218/SI!$C$9,2),"")</f>
        <v/>
      </c>
      <c r="AR218" s="29" t="str">
        <f>IF(AI218&lt;&gt;"",ROUND(AI218/SI!$C$9,2),"")</f>
        <v/>
      </c>
      <c r="AS218" s="4" t="str">
        <f t="shared" si="95"/>
        <v/>
      </c>
      <c r="AT218" s="4" t="str">
        <f t="shared" si="96"/>
        <v/>
      </c>
      <c r="AU218" s="4" t="str">
        <f>IF(AL218&lt;&gt;"",ROUND(AL218/SI!$C$9,2),"")</f>
        <v/>
      </c>
      <c r="AV218" s="4" t="str">
        <f>IF(AM218&lt;&gt;"",ROUND(AM218/SI!$C$9,2),"")</f>
        <v/>
      </c>
      <c r="AW218" s="4" t="str">
        <f>IF(AN218&lt;&gt;"",ROUND(AN218/SI!$C$9,2),"")</f>
        <v/>
      </c>
      <c r="AX218" s="261" t="str">
        <f>IF(AO218&lt;&gt;"",ROUND(AO218/SI!$C$9,2),"")</f>
        <v/>
      </c>
      <c r="AY218" s="28" t="str">
        <f t="shared" si="97"/>
        <v/>
      </c>
      <c r="AZ218" s="4" t="str">
        <f>IF(AY218&lt;&gt;"",ROUND(AY218/(SI!$C$9*SI!$C$10),2),"")</f>
        <v/>
      </c>
      <c r="BA218" s="4" t="str">
        <f t="shared" si="98"/>
        <v/>
      </c>
      <c r="BB218" s="4" t="str">
        <f t="shared" si="99"/>
        <v/>
      </c>
      <c r="BC218" s="4" t="str">
        <f t="shared" si="100"/>
        <v/>
      </c>
      <c r="BD218" s="4" t="str">
        <f t="shared" si="101"/>
        <v/>
      </c>
      <c r="BE218" s="4" t="str">
        <f>IF(AND(X218&lt;&gt;""),ROUND(X218/SI!$C$10,2),"")</f>
        <v/>
      </c>
      <c r="BF218" s="4" t="str">
        <f t="shared" si="103"/>
        <v/>
      </c>
      <c r="BG218" s="264" t="str">
        <f t="shared" si="102"/>
        <v/>
      </c>
      <c r="BH218" s="71" t="str">
        <f>IF(F218&lt;&gt;"",VLOOKUP(F218,DUTY_2025!A:O,15,FALSE),"")</f>
        <v/>
      </c>
    </row>
    <row r="219" spans="1:60" x14ac:dyDescent="0.25">
      <c r="A219" s="133">
        <f t="shared" si="78"/>
        <v>66</v>
      </c>
      <c r="B219" s="83" t="str">
        <f t="shared" si="79"/>
        <v/>
      </c>
      <c r="C219" s="126"/>
      <c r="D219" s="130"/>
      <c r="E219" s="22"/>
      <c r="F219" s="85"/>
      <c r="G219" s="27" t="str">
        <f>IF(F219&lt;&gt;"",IFERROR(VLOOKUP(F219,DUTY_2025!A:I,6,FALSE),""),"")</f>
        <v/>
      </c>
      <c r="H219" s="85" t="s">
        <v>133</v>
      </c>
      <c r="I219" s="27" t="str">
        <f>IF(F219&lt;&gt;"",IFERROR(VLOOKUP(F219,DUTY_2025!A:H,2,FALSE),""),"")</f>
        <v/>
      </c>
      <c r="J219" s="98"/>
      <c r="K219" s="98"/>
      <c r="L219" s="22"/>
      <c r="M219" s="22"/>
      <c r="N219" s="84"/>
      <c r="O219" s="22"/>
      <c r="P219" s="116"/>
      <c r="Q219" s="23"/>
      <c r="R219" s="27"/>
      <c r="S219" s="86" t="str">
        <f t="shared" si="80"/>
        <v/>
      </c>
      <c r="T219" s="87" t="str">
        <f t="shared" si="81"/>
        <v/>
      </c>
      <c r="U219" s="87" t="str" cm="1">
        <f t="array" ref="U219">IF(AND(H219&lt;&gt;"YES",P219&lt;&gt;"",R219&lt;&gt;"",Q219&lt;&gt;""),
_xlfn.SWITCH(Q219,
"INR",_xlfn.SWITCH(R219,"KG",P219*S219,"CTN",P219,"UNIT",P219*N219,"NET",P219/M219,0),
"USD",_xlfn.SWITCH(R219,"KG",P219*S219*SI!$C$10,"CTN",P219*SI!$C$10,"UNIT",P219*N219*SI!$C$10,"NET",P219*SI!$C$10/M219,0),
"LKR",_xlfn.SWITCH(R219,"KG",P219*S219/SI!$C$9,"CTN",P219/SI!$C$9,"UNIT",P219*N219/SI!$C$9,"NET",P219/(M219*SI!$C$9),0),
0),
"")</f>
        <v/>
      </c>
      <c r="V219" s="87" t="str">
        <f t="shared" si="82"/>
        <v/>
      </c>
      <c r="W219" s="87" t="str">
        <f t="shared" si="83"/>
        <v/>
      </c>
      <c r="X219" s="88" t="str">
        <f t="shared" si="84"/>
        <v/>
      </c>
      <c r="Y219" s="24" t="str">
        <f t="shared" si="85"/>
        <v/>
      </c>
      <c r="Z219" s="267" t="str">
        <f>IF(AND(H219&lt;&gt;"yes",F219&lt;&gt;""),IFERROR(VLOOKUP(F219,DUTY_2025!A:F,5,FALSE),""),"")</f>
        <v/>
      </c>
      <c r="AA219" s="271" t="str">
        <f t="shared" si="86"/>
        <v/>
      </c>
      <c r="AB219" s="16" t="str">
        <f t="shared" si="87"/>
        <v/>
      </c>
      <c r="AC219" s="16" t="str">
        <f>IF(AA219&lt;&gt;"",ROUND(AA219*SI!$C$9,0),"")</f>
        <v/>
      </c>
      <c r="AD219" s="4" t="str">
        <f>IF(AC219&lt;&gt;"",ROUND(AC219/(SI!$C$9*SI!$C$10),2),"")</f>
        <v/>
      </c>
      <c r="AE219" s="30" t="str">
        <f>IF(AND(X219&lt;&gt;""), ROUND((SI!$E$23)*(X219/SUM($X$5:$X$493)),0),"")</f>
        <v/>
      </c>
      <c r="AF219" s="272" t="str">
        <f t="shared" si="88"/>
        <v/>
      </c>
      <c r="AG219" s="28" t="str">
        <f t="shared" si="89"/>
        <v/>
      </c>
      <c r="AH219" s="4" t="str">
        <f>IF(AD219&lt;&gt;"",ROUND(AD219*10*SI!$C$9/2,0),"")</f>
        <v/>
      </c>
      <c r="AI219" s="29" t="str">
        <f>IF(AND(X219&lt;&gt;""), ROUND((SI!$E$28)*(X219/SUM($X$5:$X$493)),0),"")</f>
        <v/>
      </c>
      <c r="AJ219" s="4" t="str">
        <f t="shared" si="90"/>
        <v/>
      </c>
      <c r="AK219" s="4" t="str">
        <f t="shared" si="91"/>
        <v/>
      </c>
      <c r="AL219" s="4" t="str">
        <f t="shared" si="92"/>
        <v/>
      </c>
      <c r="AM219" s="4" t="str">
        <f t="shared" si="93"/>
        <v/>
      </c>
      <c r="AN219" s="195" t="str">
        <f t="shared" si="94"/>
        <v/>
      </c>
      <c r="AO219" s="261" t="str">
        <f>IF(AND(AM219&lt;&gt;"",P219&lt;&gt;""),ROUND((AM219*((100+SI!$C$11)/100)),0),"")</f>
        <v/>
      </c>
      <c r="AP219" s="28" t="str">
        <f>IF(AG219&lt;&gt;"",ROUND(AG219/SI!$C$9,2),"")</f>
        <v/>
      </c>
      <c r="AQ219" s="4" t="str">
        <f>IF(AH219&lt;&gt;"",ROUND(AH219/SI!$C$9,2),"")</f>
        <v/>
      </c>
      <c r="AR219" s="29" t="str">
        <f>IF(AI219&lt;&gt;"",ROUND(AI219/SI!$C$9,2),"")</f>
        <v/>
      </c>
      <c r="AS219" s="4" t="str">
        <f t="shared" si="95"/>
        <v/>
      </c>
      <c r="AT219" s="4" t="str">
        <f t="shared" si="96"/>
        <v/>
      </c>
      <c r="AU219" s="4" t="str">
        <f>IF(AL219&lt;&gt;"",ROUND(AL219/SI!$C$9,2),"")</f>
        <v/>
      </c>
      <c r="AV219" s="4" t="str">
        <f>IF(AM219&lt;&gt;"",ROUND(AM219/SI!$C$9,2),"")</f>
        <v/>
      </c>
      <c r="AW219" s="4" t="str">
        <f>IF(AN219&lt;&gt;"",ROUND(AN219/SI!$C$9,2),"")</f>
        <v/>
      </c>
      <c r="AX219" s="261" t="str">
        <f>IF(AO219&lt;&gt;"",ROUND(AO219/SI!$C$9,2),"")</f>
        <v/>
      </c>
      <c r="AY219" s="28" t="str">
        <f t="shared" si="97"/>
        <v/>
      </c>
      <c r="AZ219" s="4" t="str">
        <f>IF(AY219&lt;&gt;"",ROUND(AY219/(SI!$C$9*SI!$C$10),2),"")</f>
        <v/>
      </c>
      <c r="BA219" s="4" t="str">
        <f t="shared" si="98"/>
        <v/>
      </c>
      <c r="BB219" s="4" t="str">
        <f t="shared" si="99"/>
        <v/>
      </c>
      <c r="BC219" s="4" t="str">
        <f t="shared" si="100"/>
        <v/>
      </c>
      <c r="BD219" s="4" t="str">
        <f t="shared" si="101"/>
        <v/>
      </c>
      <c r="BE219" s="4" t="str">
        <f>IF(AND(X219&lt;&gt;""),ROUND(X219/SI!$C$10,2),"")</f>
        <v/>
      </c>
      <c r="BF219" s="4" t="str">
        <f t="shared" si="103"/>
        <v/>
      </c>
      <c r="BG219" s="264" t="str">
        <f t="shared" si="102"/>
        <v/>
      </c>
      <c r="BH219" s="71" t="str">
        <f>IF(F219&lt;&gt;"",VLOOKUP(F219,DUTY_2025!A:O,15,FALSE),"")</f>
        <v/>
      </c>
    </row>
    <row r="220" spans="1:60" x14ac:dyDescent="0.25">
      <c r="A220" s="133">
        <f t="shared" si="78"/>
        <v>66</v>
      </c>
      <c r="B220" s="83" t="str">
        <f t="shared" si="79"/>
        <v/>
      </c>
      <c r="C220" s="126"/>
      <c r="D220" s="130"/>
      <c r="E220" s="22"/>
      <c r="F220" s="85"/>
      <c r="G220" s="27" t="str">
        <f>IF(F220&lt;&gt;"",IFERROR(VLOOKUP(F220,DUTY_2025!A:I,6,FALSE),""),"")</f>
        <v/>
      </c>
      <c r="H220" s="85" t="s">
        <v>133</v>
      </c>
      <c r="I220" s="27" t="str">
        <f>IF(F220&lt;&gt;"",IFERROR(VLOOKUP(F220,DUTY_2025!A:H,2,FALSE),""),"")</f>
        <v/>
      </c>
      <c r="J220" s="98"/>
      <c r="K220" s="98"/>
      <c r="L220" s="22"/>
      <c r="M220" s="22"/>
      <c r="N220" s="84"/>
      <c r="O220" s="22"/>
      <c r="P220" s="116"/>
      <c r="Q220" s="23"/>
      <c r="R220" s="27"/>
      <c r="S220" s="86" t="str">
        <f t="shared" si="80"/>
        <v/>
      </c>
      <c r="T220" s="87" t="str">
        <f t="shared" si="81"/>
        <v/>
      </c>
      <c r="U220" s="87" t="str" cm="1">
        <f t="array" ref="U220">IF(AND(H220&lt;&gt;"YES",P220&lt;&gt;"",R220&lt;&gt;"",Q220&lt;&gt;""),
_xlfn.SWITCH(Q220,
"INR",_xlfn.SWITCH(R220,"KG",P220*S220,"CTN",P220,"UNIT",P220*N220,"NET",P220/M220,0),
"USD",_xlfn.SWITCH(R220,"KG",P220*S220*SI!$C$10,"CTN",P220*SI!$C$10,"UNIT",P220*N220*SI!$C$10,"NET",P220*SI!$C$10/M220,0),
"LKR",_xlfn.SWITCH(R220,"KG",P220*S220/SI!$C$9,"CTN",P220/SI!$C$9,"UNIT",P220*N220/SI!$C$9,"NET",P220/(M220*SI!$C$9),0),
0),
"")</f>
        <v/>
      </c>
      <c r="V220" s="87" t="str">
        <f t="shared" si="82"/>
        <v/>
      </c>
      <c r="W220" s="87" t="str">
        <f t="shared" si="83"/>
        <v/>
      </c>
      <c r="X220" s="88" t="str">
        <f t="shared" si="84"/>
        <v/>
      </c>
      <c r="Y220" s="24" t="str">
        <f t="shared" si="85"/>
        <v/>
      </c>
      <c r="Z220" s="267" t="str">
        <f>IF(AND(H220&lt;&gt;"yes",F220&lt;&gt;""),IFERROR(VLOOKUP(F220,DUTY_2025!A:F,5,FALSE),""),"")</f>
        <v/>
      </c>
      <c r="AA220" s="271" t="str">
        <f t="shared" si="86"/>
        <v/>
      </c>
      <c r="AB220" s="16" t="str">
        <f t="shared" si="87"/>
        <v/>
      </c>
      <c r="AC220" s="16" t="str">
        <f>IF(AA220&lt;&gt;"",ROUND(AA220*SI!$C$9,0),"")</f>
        <v/>
      </c>
      <c r="AD220" s="4" t="str">
        <f>IF(AC220&lt;&gt;"",ROUND(AC220/(SI!$C$9*SI!$C$10),2),"")</f>
        <v/>
      </c>
      <c r="AE220" s="30" t="str">
        <f>IF(AND(X220&lt;&gt;""), ROUND((SI!$E$23)*(X220/SUM($X$5:$X$493)),0),"")</f>
        <v/>
      </c>
      <c r="AF220" s="272" t="str">
        <f t="shared" si="88"/>
        <v/>
      </c>
      <c r="AG220" s="28" t="str">
        <f t="shared" si="89"/>
        <v/>
      </c>
      <c r="AH220" s="4" t="str">
        <f>IF(AD220&lt;&gt;"",ROUND(AD220*10*SI!$C$9/2,0),"")</f>
        <v/>
      </c>
      <c r="AI220" s="29" t="str">
        <f>IF(AND(X220&lt;&gt;""), ROUND((SI!$E$28)*(X220/SUM($X$5:$X$493)),0),"")</f>
        <v/>
      </c>
      <c r="AJ220" s="4" t="str">
        <f t="shared" si="90"/>
        <v/>
      </c>
      <c r="AK220" s="4" t="str">
        <f t="shared" si="91"/>
        <v/>
      </c>
      <c r="AL220" s="4" t="str">
        <f t="shared" si="92"/>
        <v/>
      </c>
      <c r="AM220" s="4" t="str">
        <f t="shared" si="93"/>
        <v/>
      </c>
      <c r="AN220" s="195" t="str">
        <f t="shared" si="94"/>
        <v/>
      </c>
      <c r="AO220" s="261" t="str">
        <f>IF(AND(AM220&lt;&gt;"",P220&lt;&gt;""),ROUND((AM220*((100+SI!$C$11)/100)),0),"")</f>
        <v/>
      </c>
      <c r="AP220" s="28" t="str">
        <f>IF(AG220&lt;&gt;"",ROUND(AG220/SI!$C$9,2),"")</f>
        <v/>
      </c>
      <c r="AQ220" s="4" t="str">
        <f>IF(AH220&lt;&gt;"",ROUND(AH220/SI!$C$9,2),"")</f>
        <v/>
      </c>
      <c r="AR220" s="29" t="str">
        <f>IF(AI220&lt;&gt;"",ROUND(AI220/SI!$C$9,2),"")</f>
        <v/>
      </c>
      <c r="AS220" s="4" t="str">
        <f t="shared" si="95"/>
        <v/>
      </c>
      <c r="AT220" s="4" t="str">
        <f t="shared" si="96"/>
        <v/>
      </c>
      <c r="AU220" s="4" t="str">
        <f>IF(AL220&lt;&gt;"",ROUND(AL220/SI!$C$9,2),"")</f>
        <v/>
      </c>
      <c r="AV220" s="4" t="str">
        <f>IF(AM220&lt;&gt;"",ROUND(AM220/SI!$C$9,2),"")</f>
        <v/>
      </c>
      <c r="AW220" s="4" t="str">
        <f>IF(AN220&lt;&gt;"",ROUND(AN220/SI!$C$9,2),"")</f>
        <v/>
      </c>
      <c r="AX220" s="261" t="str">
        <f>IF(AO220&lt;&gt;"",ROUND(AO220/SI!$C$9,2),"")</f>
        <v/>
      </c>
      <c r="AY220" s="28" t="str">
        <f t="shared" si="97"/>
        <v/>
      </c>
      <c r="AZ220" s="4" t="str">
        <f>IF(AY220&lt;&gt;"",ROUND(AY220/(SI!$C$9*SI!$C$10),2),"")</f>
        <v/>
      </c>
      <c r="BA220" s="4" t="str">
        <f t="shared" si="98"/>
        <v/>
      </c>
      <c r="BB220" s="4" t="str">
        <f t="shared" si="99"/>
        <v/>
      </c>
      <c r="BC220" s="4" t="str">
        <f t="shared" si="100"/>
        <v/>
      </c>
      <c r="BD220" s="4" t="str">
        <f t="shared" si="101"/>
        <v/>
      </c>
      <c r="BE220" s="4" t="str">
        <f>IF(AND(X220&lt;&gt;""),ROUND(X220/SI!$C$10,2),"")</f>
        <v/>
      </c>
      <c r="BF220" s="4" t="str">
        <f t="shared" si="103"/>
        <v/>
      </c>
      <c r="BG220" s="264" t="str">
        <f t="shared" si="102"/>
        <v/>
      </c>
      <c r="BH220" s="71" t="str">
        <f>IF(F220&lt;&gt;"",VLOOKUP(F220,DUTY_2025!A:O,15,FALSE),"")</f>
        <v/>
      </c>
    </row>
    <row r="221" spans="1:60" x14ac:dyDescent="0.25">
      <c r="A221" s="133">
        <f t="shared" si="78"/>
        <v>66</v>
      </c>
      <c r="B221" s="83" t="str">
        <f t="shared" si="79"/>
        <v/>
      </c>
      <c r="C221" s="126"/>
      <c r="D221" s="130"/>
      <c r="E221" s="22"/>
      <c r="F221" s="85"/>
      <c r="G221" s="27" t="str">
        <f>IF(F221&lt;&gt;"",IFERROR(VLOOKUP(F221,DUTY_2025!A:I,6,FALSE),""),"")</f>
        <v/>
      </c>
      <c r="H221" s="85" t="s">
        <v>133</v>
      </c>
      <c r="I221" s="27" t="str">
        <f>IF(F221&lt;&gt;"",IFERROR(VLOOKUP(F221,DUTY_2025!A:H,2,FALSE),""),"")</f>
        <v/>
      </c>
      <c r="J221" s="98"/>
      <c r="K221" s="98"/>
      <c r="L221" s="22"/>
      <c r="M221" s="22"/>
      <c r="N221" s="84"/>
      <c r="O221" s="22"/>
      <c r="P221" s="116"/>
      <c r="Q221" s="23"/>
      <c r="R221" s="27"/>
      <c r="S221" s="86" t="str">
        <f t="shared" si="80"/>
        <v/>
      </c>
      <c r="T221" s="87" t="str">
        <f t="shared" si="81"/>
        <v/>
      </c>
      <c r="U221" s="87" t="str" cm="1">
        <f t="array" ref="U221">IF(AND(H221&lt;&gt;"YES",P221&lt;&gt;"",R221&lt;&gt;"",Q221&lt;&gt;""),
_xlfn.SWITCH(Q221,
"INR",_xlfn.SWITCH(R221,"KG",P221*S221,"CTN",P221,"UNIT",P221*N221,"NET",P221/M221,0),
"USD",_xlfn.SWITCH(R221,"KG",P221*S221*SI!$C$10,"CTN",P221*SI!$C$10,"UNIT",P221*N221*SI!$C$10,"NET",P221*SI!$C$10/M221,0),
"LKR",_xlfn.SWITCH(R221,"KG",P221*S221/SI!$C$9,"CTN",P221/SI!$C$9,"UNIT",P221*N221/SI!$C$9,"NET",P221/(M221*SI!$C$9),0),
0),
"")</f>
        <v/>
      </c>
      <c r="V221" s="87" t="str">
        <f t="shared" si="82"/>
        <v/>
      </c>
      <c r="W221" s="87" t="str">
        <f t="shared" si="83"/>
        <v/>
      </c>
      <c r="X221" s="88" t="str">
        <f t="shared" si="84"/>
        <v/>
      </c>
      <c r="Y221" s="24" t="str">
        <f t="shared" si="85"/>
        <v/>
      </c>
      <c r="Z221" s="267" t="str">
        <f>IF(AND(H221&lt;&gt;"yes",F221&lt;&gt;""),IFERROR(VLOOKUP(F221,DUTY_2025!A:F,5,FALSE),""),"")</f>
        <v/>
      </c>
      <c r="AA221" s="271" t="str">
        <f t="shared" si="86"/>
        <v/>
      </c>
      <c r="AB221" s="16" t="str">
        <f t="shared" si="87"/>
        <v/>
      </c>
      <c r="AC221" s="16" t="str">
        <f>IF(AA221&lt;&gt;"",ROUND(AA221*SI!$C$9,0),"")</f>
        <v/>
      </c>
      <c r="AD221" s="4" t="str">
        <f>IF(AC221&lt;&gt;"",ROUND(AC221/(SI!$C$9*SI!$C$10),2),"")</f>
        <v/>
      </c>
      <c r="AE221" s="30" t="str">
        <f>IF(AND(X221&lt;&gt;""), ROUND((SI!$E$23)*(X221/SUM($X$5:$X$493)),0),"")</f>
        <v/>
      </c>
      <c r="AF221" s="272" t="str">
        <f t="shared" si="88"/>
        <v/>
      </c>
      <c r="AG221" s="28" t="str">
        <f t="shared" si="89"/>
        <v/>
      </c>
      <c r="AH221" s="4" t="str">
        <f>IF(AD221&lt;&gt;"",ROUND(AD221*10*SI!$C$9/2,0),"")</f>
        <v/>
      </c>
      <c r="AI221" s="29" t="str">
        <f>IF(AND(X221&lt;&gt;""), ROUND((SI!$E$28)*(X221/SUM($X$5:$X$493)),0),"")</f>
        <v/>
      </c>
      <c r="AJ221" s="4" t="str">
        <f t="shared" si="90"/>
        <v/>
      </c>
      <c r="AK221" s="4" t="str">
        <f t="shared" si="91"/>
        <v/>
      </c>
      <c r="AL221" s="4" t="str">
        <f t="shared" si="92"/>
        <v/>
      </c>
      <c r="AM221" s="4" t="str">
        <f t="shared" si="93"/>
        <v/>
      </c>
      <c r="AN221" s="195" t="str">
        <f t="shared" si="94"/>
        <v/>
      </c>
      <c r="AO221" s="261" t="str">
        <f>IF(AND(AM221&lt;&gt;"",P221&lt;&gt;""),ROUND((AM221*((100+SI!$C$11)/100)),0),"")</f>
        <v/>
      </c>
      <c r="AP221" s="28" t="str">
        <f>IF(AG221&lt;&gt;"",ROUND(AG221/SI!$C$9,2),"")</f>
        <v/>
      </c>
      <c r="AQ221" s="4" t="str">
        <f>IF(AH221&lt;&gt;"",ROUND(AH221/SI!$C$9,2),"")</f>
        <v/>
      </c>
      <c r="AR221" s="29" t="str">
        <f>IF(AI221&lt;&gt;"",ROUND(AI221/SI!$C$9,2),"")</f>
        <v/>
      </c>
      <c r="AS221" s="4" t="str">
        <f t="shared" si="95"/>
        <v/>
      </c>
      <c r="AT221" s="4" t="str">
        <f t="shared" si="96"/>
        <v/>
      </c>
      <c r="AU221" s="4" t="str">
        <f>IF(AL221&lt;&gt;"",ROUND(AL221/SI!$C$9,2),"")</f>
        <v/>
      </c>
      <c r="AV221" s="4" t="str">
        <f>IF(AM221&lt;&gt;"",ROUND(AM221/SI!$C$9,2),"")</f>
        <v/>
      </c>
      <c r="AW221" s="4" t="str">
        <f>IF(AN221&lt;&gt;"",ROUND(AN221/SI!$C$9,2),"")</f>
        <v/>
      </c>
      <c r="AX221" s="261" t="str">
        <f>IF(AO221&lt;&gt;"",ROUND(AO221/SI!$C$9,2),"")</f>
        <v/>
      </c>
      <c r="AY221" s="28" t="str">
        <f t="shared" si="97"/>
        <v/>
      </c>
      <c r="AZ221" s="4" t="str">
        <f>IF(AY221&lt;&gt;"",ROUND(AY221/(SI!$C$9*SI!$C$10),2),"")</f>
        <v/>
      </c>
      <c r="BA221" s="4" t="str">
        <f t="shared" si="98"/>
        <v/>
      </c>
      <c r="BB221" s="4" t="str">
        <f t="shared" si="99"/>
        <v/>
      </c>
      <c r="BC221" s="4" t="str">
        <f t="shared" si="100"/>
        <v/>
      </c>
      <c r="BD221" s="4" t="str">
        <f t="shared" si="101"/>
        <v/>
      </c>
      <c r="BE221" s="4" t="str">
        <f>IF(AND(X221&lt;&gt;""),ROUND(X221/SI!$C$10,2),"")</f>
        <v/>
      </c>
      <c r="BF221" s="4" t="str">
        <f t="shared" si="103"/>
        <v/>
      </c>
      <c r="BG221" s="264" t="str">
        <f t="shared" si="102"/>
        <v/>
      </c>
      <c r="BH221" s="71" t="str">
        <f>IF(F221&lt;&gt;"",VLOOKUP(F221,DUTY_2025!A:O,15,FALSE),"")</f>
        <v/>
      </c>
    </row>
    <row r="222" spans="1:60" x14ac:dyDescent="0.25">
      <c r="A222" s="133">
        <f t="shared" si="78"/>
        <v>66</v>
      </c>
      <c r="B222" s="83" t="str">
        <f t="shared" si="79"/>
        <v/>
      </c>
      <c r="C222" s="126"/>
      <c r="D222" s="130"/>
      <c r="E222" s="22"/>
      <c r="F222" s="85"/>
      <c r="G222" s="27" t="str">
        <f>IF(F222&lt;&gt;"",IFERROR(VLOOKUP(F222,DUTY_2025!A:I,6,FALSE),""),"")</f>
        <v/>
      </c>
      <c r="H222" s="85" t="s">
        <v>133</v>
      </c>
      <c r="I222" s="27" t="str">
        <f>IF(F222&lt;&gt;"",IFERROR(VLOOKUP(F222,DUTY_2025!A:H,2,FALSE),""),"")</f>
        <v/>
      </c>
      <c r="J222" s="98"/>
      <c r="K222" s="98"/>
      <c r="L222" s="22"/>
      <c r="M222" s="22"/>
      <c r="N222" s="84"/>
      <c r="O222" s="22"/>
      <c r="P222" s="116"/>
      <c r="Q222" s="23"/>
      <c r="R222" s="27"/>
      <c r="S222" s="86" t="str">
        <f t="shared" si="80"/>
        <v/>
      </c>
      <c r="T222" s="87" t="str">
        <f t="shared" si="81"/>
        <v/>
      </c>
      <c r="U222" s="87" t="str" cm="1">
        <f t="array" ref="U222">IF(AND(H222&lt;&gt;"YES",P222&lt;&gt;"",R222&lt;&gt;"",Q222&lt;&gt;""),
_xlfn.SWITCH(Q222,
"INR",_xlfn.SWITCH(R222,"KG",P222*S222,"CTN",P222,"UNIT",P222*N222,"NET",P222/M222,0),
"USD",_xlfn.SWITCH(R222,"KG",P222*S222*SI!$C$10,"CTN",P222*SI!$C$10,"UNIT",P222*N222*SI!$C$10,"NET",P222*SI!$C$10/M222,0),
"LKR",_xlfn.SWITCH(R222,"KG",P222*S222/SI!$C$9,"CTN",P222/SI!$C$9,"UNIT",P222*N222/SI!$C$9,"NET",P222/(M222*SI!$C$9),0),
0),
"")</f>
        <v/>
      </c>
      <c r="V222" s="87" t="str">
        <f t="shared" si="82"/>
        <v/>
      </c>
      <c r="W222" s="87" t="str">
        <f t="shared" si="83"/>
        <v/>
      </c>
      <c r="X222" s="88" t="str">
        <f t="shared" si="84"/>
        <v/>
      </c>
      <c r="Y222" s="24" t="str">
        <f t="shared" si="85"/>
        <v/>
      </c>
      <c r="Z222" s="267" t="str">
        <f>IF(AND(H222&lt;&gt;"yes",F222&lt;&gt;""),IFERROR(VLOOKUP(F222,DUTY_2025!A:F,5,FALSE),""),"")</f>
        <v/>
      </c>
      <c r="AA222" s="271" t="str">
        <f t="shared" si="86"/>
        <v/>
      </c>
      <c r="AB222" s="16" t="str">
        <f t="shared" si="87"/>
        <v/>
      </c>
      <c r="AC222" s="16" t="str">
        <f>IF(AA222&lt;&gt;"",ROUND(AA222*SI!$C$9,0),"")</f>
        <v/>
      </c>
      <c r="AD222" s="4" t="str">
        <f>IF(AC222&lt;&gt;"",ROUND(AC222/(SI!$C$9*SI!$C$10),2),"")</f>
        <v/>
      </c>
      <c r="AE222" s="30" t="str">
        <f>IF(AND(X222&lt;&gt;""), ROUND((SI!$E$23)*(X222/SUM($X$5:$X$493)),0),"")</f>
        <v/>
      </c>
      <c r="AF222" s="272" t="str">
        <f t="shared" si="88"/>
        <v/>
      </c>
      <c r="AG222" s="28" t="str">
        <f t="shared" si="89"/>
        <v/>
      </c>
      <c r="AH222" s="4" t="str">
        <f>IF(AD222&lt;&gt;"",ROUND(AD222*10*SI!$C$9/2,0),"")</f>
        <v/>
      </c>
      <c r="AI222" s="29" t="str">
        <f>IF(AND(X222&lt;&gt;""), ROUND((SI!$E$28)*(X222/SUM($X$5:$X$493)),0),"")</f>
        <v/>
      </c>
      <c r="AJ222" s="4" t="str">
        <f t="shared" si="90"/>
        <v/>
      </c>
      <c r="AK222" s="4" t="str">
        <f t="shared" si="91"/>
        <v/>
      </c>
      <c r="AL222" s="4" t="str">
        <f t="shared" si="92"/>
        <v/>
      </c>
      <c r="AM222" s="4" t="str">
        <f t="shared" si="93"/>
        <v/>
      </c>
      <c r="AN222" s="195" t="str">
        <f t="shared" si="94"/>
        <v/>
      </c>
      <c r="AO222" s="261" t="str">
        <f>IF(AND(AM222&lt;&gt;"",P222&lt;&gt;""),ROUND((AM222*((100+SI!$C$11)/100)),0),"")</f>
        <v/>
      </c>
      <c r="AP222" s="28" t="str">
        <f>IF(AG222&lt;&gt;"",ROUND(AG222/SI!$C$9,2),"")</f>
        <v/>
      </c>
      <c r="AQ222" s="4" t="str">
        <f>IF(AH222&lt;&gt;"",ROUND(AH222/SI!$C$9,2),"")</f>
        <v/>
      </c>
      <c r="AR222" s="29" t="str">
        <f>IF(AI222&lt;&gt;"",ROUND(AI222/SI!$C$9,2),"")</f>
        <v/>
      </c>
      <c r="AS222" s="4" t="str">
        <f t="shared" si="95"/>
        <v/>
      </c>
      <c r="AT222" s="4" t="str">
        <f t="shared" si="96"/>
        <v/>
      </c>
      <c r="AU222" s="4" t="str">
        <f>IF(AL222&lt;&gt;"",ROUND(AL222/SI!$C$9,2),"")</f>
        <v/>
      </c>
      <c r="AV222" s="4" t="str">
        <f>IF(AM222&lt;&gt;"",ROUND(AM222/SI!$C$9,2),"")</f>
        <v/>
      </c>
      <c r="AW222" s="4" t="str">
        <f>IF(AN222&lt;&gt;"",ROUND(AN222/SI!$C$9,2),"")</f>
        <v/>
      </c>
      <c r="AX222" s="261" t="str">
        <f>IF(AO222&lt;&gt;"",ROUND(AO222/SI!$C$9,2),"")</f>
        <v/>
      </c>
      <c r="AY222" s="28" t="str">
        <f t="shared" si="97"/>
        <v/>
      </c>
      <c r="AZ222" s="4" t="str">
        <f>IF(AY222&lt;&gt;"",ROUND(AY222/(SI!$C$9*SI!$C$10),2),"")</f>
        <v/>
      </c>
      <c r="BA222" s="4" t="str">
        <f t="shared" si="98"/>
        <v/>
      </c>
      <c r="BB222" s="4" t="str">
        <f t="shared" si="99"/>
        <v/>
      </c>
      <c r="BC222" s="4" t="str">
        <f t="shared" si="100"/>
        <v/>
      </c>
      <c r="BD222" s="4" t="str">
        <f t="shared" si="101"/>
        <v/>
      </c>
      <c r="BE222" s="4" t="str">
        <f>IF(AND(X222&lt;&gt;""),ROUND(X222/SI!$C$10,2),"")</f>
        <v/>
      </c>
      <c r="BF222" s="4" t="str">
        <f t="shared" si="103"/>
        <v/>
      </c>
      <c r="BG222" s="264" t="str">
        <f t="shared" si="102"/>
        <v/>
      </c>
      <c r="BH222" s="71" t="str">
        <f>IF(F222&lt;&gt;"",VLOOKUP(F222,DUTY_2025!A:O,15,FALSE),"")</f>
        <v/>
      </c>
    </row>
    <row r="223" spans="1:60" x14ac:dyDescent="0.25">
      <c r="A223" s="133">
        <f t="shared" si="78"/>
        <v>66</v>
      </c>
      <c r="B223" s="83" t="str">
        <f t="shared" si="79"/>
        <v/>
      </c>
      <c r="C223" s="126"/>
      <c r="D223" s="130"/>
      <c r="E223" s="22"/>
      <c r="F223" s="85"/>
      <c r="G223" s="27" t="str">
        <f>IF(F223&lt;&gt;"",IFERROR(VLOOKUP(F223,DUTY_2025!A:I,6,FALSE),""),"")</f>
        <v/>
      </c>
      <c r="H223" s="85" t="s">
        <v>133</v>
      </c>
      <c r="I223" s="27" t="str">
        <f>IF(F223&lt;&gt;"",IFERROR(VLOOKUP(F223,DUTY_2025!A:H,2,FALSE),""),"")</f>
        <v/>
      </c>
      <c r="J223" s="98"/>
      <c r="K223" s="98"/>
      <c r="L223" s="22"/>
      <c r="M223" s="22"/>
      <c r="N223" s="84"/>
      <c r="O223" s="22"/>
      <c r="P223" s="116"/>
      <c r="Q223" s="23"/>
      <c r="R223" s="27"/>
      <c r="S223" s="86" t="str">
        <f t="shared" si="80"/>
        <v/>
      </c>
      <c r="T223" s="87" t="str">
        <f t="shared" si="81"/>
        <v/>
      </c>
      <c r="U223" s="87" t="str" cm="1">
        <f t="array" ref="U223">IF(AND(H223&lt;&gt;"YES",P223&lt;&gt;"",R223&lt;&gt;"",Q223&lt;&gt;""),
_xlfn.SWITCH(Q223,
"INR",_xlfn.SWITCH(R223,"KG",P223*S223,"CTN",P223,"UNIT",P223*N223,"NET",P223/M223,0),
"USD",_xlfn.SWITCH(R223,"KG",P223*S223*SI!$C$10,"CTN",P223*SI!$C$10,"UNIT",P223*N223*SI!$C$10,"NET",P223*SI!$C$10/M223,0),
"LKR",_xlfn.SWITCH(R223,"KG",P223*S223/SI!$C$9,"CTN",P223/SI!$C$9,"UNIT",P223*N223/SI!$C$9,"NET",P223/(M223*SI!$C$9),0),
0),
"")</f>
        <v/>
      </c>
      <c r="V223" s="87" t="str">
        <f t="shared" si="82"/>
        <v/>
      </c>
      <c r="W223" s="87" t="str">
        <f t="shared" si="83"/>
        <v/>
      </c>
      <c r="X223" s="88" t="str">
        <f t="shared" si="84"/>
        <v/>
      </c>
      <c r="Y223" s="24" t="str">
        <f t="shared" si="85"/>
        <v/>
      </c>
      <c r="Z223" s="267" t="str">
        <f>IF(AND(H223&lt;&gt;"yes",F223&lt;&gt;""),IFERROR(VLOOKUP(F223,DUTY_2025!A:F,5,FALSE),""),"")</f>
        <v/>
      </c>
      <c r="AA223" s="271" t="str">
        <f t="shared" si="86"/>
        <v/>
      </c>
      <c r="AB223" s="16" t="str">
        <f t="shared" si="87"/>
        <v/>
      </c>
      <c r="AC223" s="16" t="str">
        <f>IF(AA223&lt;&gt;"",ROUND(AA223*SI!$C$9,0),"")</f>
        <v/>
      </c>
      <c r="AD223" s="4" t="str">
        <f>IF(AC223&lt;&gt;"",ROUND(AC223/(SI!$C$9*SI!$C$10),2),"")</f>
        <v/>
      </c>
      <c r="AE223" s="30" t="str">
        <f>IF(AND(X223&lt;&gt;""), ROUND((SI!$E$23)*(X223/SUM($X$5:$X$493)),0),"")</f>
        <v/>
      </c>
      <c r="AF223" s="272" t="str">
        <f t="shared" si="88"/>
        <v/>
      </c>
      <c r="AG223" s="28" t="str">
        <f t="shared" si="89"/>
        <v/>
      </c>
      <c r="AH223" s="4" t="str">
        <f>IF(AD223&lt;&gt;"",ROUND(AD223*10*SI!$C$9/2,0),"")</f>
        <v/>
      </c>
      <c r="AI223" s="29" t="str">
        <f>IF(AND(X223&lt;&gt;""), ROUND((SI!$E$28)*(X223/SUM($X$5:$X$493)),0),"")</f>
        <v/>
      </c>
      <c r="AJ223" s="4" t="str">
        <f t="shared" si="90"/>
        <v/>
      </c>
      <c r="AK223" s="4" t="str">
        <f t="shared" si="91"/>
        <v/>
      </c>
      <c r="AL223" s="4" t="str">
        <f t="shared" si="92"/>
        <v/>
      </c>
      <c r="AM223" s="4" t="str">
        <f t="shared" si="93"/>
        <v/>
      </c>
      <c r="AN223" s="195" t="str">
        <f t="shared" si="94"/>
        <v/>
      </c>
      <c r="AO223" s="261" t="str">
        <f>IF(AND(AM223&lt;&gt;"",P223&lt;&gt;""),ROUND((AM223*((100+SI!$C$11)/100)),0),"")</f>
        <v/>
      </c>
      <c r="AP223" s="28" t="str">
        <f>IF(AG223&lt;&gt;"",ROUND(AG223/SI!$C$9,2),"")</f>
        <v/>
      </c>
      <c r="AQ223" s="4" t="str">
        <f>IF(AH223&lt;&gt;"",ROUND(AH223/SI!$C$9,2),"")</f>
        <v/>
      </c>
      <c r="AR223" s="29" t="str">
        <f>IF(AI223&lt;&gt;"",ROUND(AI223/SI!$C$9,2),"")</f>
        <v/>
      </c>
      <c r="AS223" s="4" t="str">
        <f t="shared" si="95"/>
        <v/>
      </c>
      <c r="AT223" s="4" t="str">
        <f t="shared" si="96"/>
        <v/>
      </c>
      <c r="AU223" s="4" t="str">
        <f>IF(AL223&lt;&gt;"",ROUND(AL223/SI!$C$9,2),"")</f>
        <v/>
      </c>
      <c r="AV223" s="4" t="str">
        <f>IF(AM223&lt;&gt;"",ROUND(AM223/SI!$C$9,2),"")</f>
        <v/>
      </c>
      <c r="AW223" s="4" t="str">
        <f>IF(AN223&lt;&gt;"",ROUND(AN223/SI!$C$9,2),"")</f>
        <v/>
      </c>
      <c r="AX223" s="261" t="str">
        <f>IF(AO223&lt;&gt;"",ROUND(AO223/SI!$C$9,2),"")</f>
        <v/>
      </c>
      <c r="AY223" s="28" t="str">
        <f t="shared" si="97"/>
        <v/>
      </c>
      <c r="AZ223" s="4" t="str">
        <f>IF(AY223&lt;&gt;"",ROUND(AY223/(SI!$C$9*SI!$C$10),2),"")</f>
        <v/>
      </c>
      <c r="BA223" s="4" t="str">
        <f t="shared" si="98"/>
        <v/>
      </c>
      <c r="BB223" s="4" t="str">
        <f t="shared" si="99"/>
        <v/>
      </c>
      <c r="BC223" s="4" t="str">
        <f t="shared" si="100"/>
        <v/>
      </c>
      <c r="BD223" s="4" t="str">
        <f t="shared" si="101"/>
        <v/>
      </c>
      <c r="BE223" s="4" t="str">
        <f>IF(AND(X223&lt;&gt;""),ROUND(X223/SI!$C$10,2),"")</f>
        <v/>
      </c>
      <c r="BF223" s="4" t="str">
        <f t="shared" si="103"/>
        <v/>
      </c>
      <c r="BG223" s="264" t="str">
        <f t="shared" si="102"/>
        <v/>
      </c>
      <c r="BH223" s="71" t="str">
        <f>IF(F223&lt;&gt;"",VLOOKUP(F223,DUTY_2025!A:O,15,FALSE),"")</f>
        <v/>
      </c>
    </row>
    <row r="224" spans="1:60" x14ac:dyDescent="0.25">
      <c r="A224" s="133">
        <f t="shared" si="78"/>
        <v>66</v>
      </c>
      <c r="B224" s="83" t="str">
        <f t="shared" si="79"/>
        <v/>
      </c>
      <c r="C224" s="126"/>
      <c r="D224" s="130"/>
      <c r="E224" s="22"/>
      <c r="F224" s="85"/>
      <c r="G224" s="27" t="str">
        <f>IF(F224&lt;&gt;"",IFERROR(VLOOKUP(F224,DUTY_2025!A:I,6,FALSE),""),"")</f>
        <v/>
      </c>
      <c r="H224" s="85" t="s">
        <v>133</v>
      </c>
      <c r="I224" s="27" t="str">
        <f>IF(F224&lt;&gt;"",IFERROR(VLOOKUP(F224,DUTY_2025!A:H,2,FALSE),""),"")</f>
        <v/>
      </c>
      <c r="J224" s="98"/>
      <c r="K224" s="98"/>
      <c r="L224" s="22"/>
      <c r="M224" s="22"/>
      <c r="N224" s="84"/>
      <c r="O224" s="22"/>
      <c r="P224" s="116"/>
      <c r="Q224" s="23"/>
      <c r="R224" s="27"/>
      <c r="S224" s="86" t="str">
        <f t="shared" si="80"/>
        <v/>
      </c>
      <c r="T224" s="87" t="str">
        <f t="shared" si="81"/>
        <v/>
      </c>
      <c r="U224" s="87" t="str" cm="1">
        <f t="array" ref="U224">IF(AND(H224&lt;&gt;"YES",P224&lt;&gt;"",R224&lt;&gt;"",Q224&lt;&gt;""),
_xlfn.SWITCH(Q224,
"INR",_xlfn.SWITCH(R224,"KG",P224*S224,"CTN",P224,"UNIT",P224*N224,"NET",P224/M224,0),
"USD",_xlfn.SWITCH(R224,"KG",P224*S224*SI!$C$10,"CTN",P224*SI!$C$10,"UNIT",P224*N224*SI!$C$10,"NET",P224*SI!$C$10/M224,0),
"LKR",_xlfn.SWITCH(R224,"KG",P224*S224/SI!$C$9,"CTN",P224/SI!$C$9,"UNIT",P224*N224/SI!$C$9,"NET",P224/(M224*SI!$C$9),0),
0),
"")</f>
        <v/>
      </c>
      <c r="V224" s="87" t="str">
        <f t="shared" si="82"/>
        <v/>
      </c>
      <c r="W224" s="87" t="str">
        <f t="shared" si="83"/>
        <v/>
      </c>
      <c r="X224" s="88" t="str">
        <f t="shared" si="84"/>
        <v/>
      </c>
      <c r="Y224" s="24" t="str">
        <f t="shared" si="85"/>
        <v/>
      </c>
      <c r="Z224" s="267" t="str">
        <f>IF(AND(H224&lt;&gt;"yes",F224&lt;&gt;""),IFERROR(VLOOKUP(F224,DUTY_2025!A:F,5,FALSE),""),"")</f>
        <v/>
      </c>
      <c r="AA224" s="271" t="str">
        <f t="shared" si="86"/>
        <v/>
      </c>
      <c r="AB224" s="16" t="str">
        <f t="shared" si="87"/>
        <v/>
      </c>
      <c r="AC224" s="16" t="str">
        <f>IF(AA224&lt;&gt;"",ROUND(AA224*SI!$C$9,0),"")</f>
        <v/>
      </c>
      <c r="AD224" s="4" t="str">
        <f>IF(AC224&lt;&gt;"",ROUND(AC224/(SI!$C$9*SI!$C$10),2),"")</f>
        <v/>
      </c>
      <c r="AE224" s="30" t="str">
        <f>IF(AND(X224&lt;&gt;""), ROUND((SI!$E$23)*(X224/SUM($X$5:$X$493)),0),"")</f>
        <v/>
      </c>
      <c r="AF224" s="272" t="str">
        <f t="shared" si="88"/>
        <v/>
      </c>
      <c r="AG224" s="28" t="str">
        <f t="shared" si="89"/>
        <v/>
      </c>
      <c r="AH224" s="4" t="str">
        <f>IF(AD224&lt;&gt;"",ROUND(AD224*10*SI!$C$9/2,0),"")</f>
        <v/>
      </c>
      <c r="AI224" s="29" t="str">
        <f>IF(AND(X224&lt;&gt;""), ROUND((SI!$E$28)*(X224/SUM($X$5:$X$493)),0),"")</f>
        <v/>
      </c>
      <c r="AJ224" s="4" t="str">
        <f t="shared" si="90"/>
        <v/>
      </c>
      <c r="AK224" s="4" t="str">
        <f t="shared" si="91"/>
        <v/>
      </c>
      <c r="AL224" s="4" t="str">
        <f t="shared" si="92"/>
        <v/>
      </c>
      <c r="AM224" s="4" t="str">
        <f t="shared" si="93"/>
        <v/>
      </c>
      <c r="AN224" s="195" t="str">
        <f t="shared" si="94"/>
        <v/>
      </c>
      <c r="AO224" s="261" t="str">
        <f>IF(AND(AM224&lt;&gt;"",P224&lt;&gt;""),ROUND((AM224*((100+SI!$C$11)/100)),0),"")</f>
        <v/>
      </c>
      <c r="AP224" s="28" t="str">
        <f>IF(AG224&lt;&gt;"",ROUND(AG224/SI!$C$9,2),"")</f>
        <v/>
      </c>
      <c r="AQ224" s="4" t="str">
        <f>IF(AH224&lt;&gt;"",ROUND(AH224/SI!$C$9,2),"")</f>
        <v/>
      </c>
      <c r="AR224" s="29" t="str">
        <f>IF(AI224&lt;&gt;"",ROUND(AI224/SI!$C$9,2),"")</f>
        <v/>
      </c>
      <c r="AS224" s="4" t="str">
        <f t="shared" si="95"/>
        <v/>
      </c>
      <c r="AT224" s="4" t="str">
        <f t="shared" si="96"/>
        <v/>
      </c>
      <c r="AU224" s="4" t="str">
        <f>IF(AL224&lt;&gt;"",ROUND(AL224/SI!$C$9,2),"")</f>
        <v/>
      </c>
      <c r="AV224" s="4" t="str">
        <f>IF(AM224&lt;&gt;"",ROUND(AM224/SI!$C$9,2),"")</f>
        <v/>
      </c>
      <c r="AW224" s="4" t="str">
        <f>IF(AN224&lt;&gt;"",ROUND(AN224/SI!$C$9,2),"")</f>
        <v/>
      </c>
      <c r="AX224" s="261" t="str">
        <f>IF(AO224&lt;&gt;"",ROUND(AO224/SI!$C$9,2),"")</f>
        <v/>
      </c>
      <c r="AY224" s="28" t="str">
        <f t="shared" si="97"/>
        <v/>
      </c>
      <c r="AZ224" s="4" t="str">
        <f>IF(AY224&lt;&gt;"",ROUND(AY224/(SI!$C$9*SI!$C$10),2),"")</f>
        <v/>
      </c>
      <c r="BA224" s="4" t="str">
        <f t="shared" si="98"/>
        <v/>
      </c>
      <c r="BB224" s="4" t="str">
        <f t="shared" si="99"/>
        <v/>
      </c>
      <c r="BC224" s="4" t="str">
        <f t="shared" si="100"/>
        <v/>
      </c>
      <c r="BD224" s="4" t="str">
        <f t="shared" si="101"/>
        <v/>
      </c>
      <c r="BE224" s="4" t="str">
        <f>IF(AND(X224&lt;&gt;""),ROUND(X224/SI!$C$10,2),"")</f>
        <v/>
      </c>
      <c r="BF224" s="4" t="str">
        <f t="shared" si="103"/>
        <v/>
      </c>
      <c r="BG224" s="264" t="str">
        <f t="shared" si="102"/>
        <v/>
      </c>
      <c r="BH224" s="71" t="str">
        <f>IF(F224&lt;&gt;"",VLOOKUP(F224,DUTY_2025!A:O,15,FALSE),"")</f>
        <v/>
      </c>
    </row>
    <row r="225" spans="1:60" x14ac:dyDescent="0.25">
      <c r="A225" s="133">
        <f t="shared" si="78"/>
        <v>66</v>
      </c>
      <c r="B225" s="83" t="str">
        <f t="shared" si="79"/>
        <v/>
      </c>
      <c r="C225" s="126"/>
      <c r="D225" s="130"/>
      <c r="E225" s="22"/>
      <c r="F225" s="85"/>
      <c r="G225" s="27" t="str">
        <f>IF(F225&lt;&gt;"",IFERROR(VLOOKUP(F225,DUTY_2025!A:I,6,FALSE),""),"")</f>
        <v/>
      </c>
      <c r="H225" s="85" t="s">
        <v>133</v>
      </c>
      <c r="I225" s="27" t="str">
        <f>IF(F225&lt;&gt;"",IFERROR(VLOOKUP(F225,DUTY_2025!A:H,2,FALSE),""),"")</f>
        <v/>
      </c>
      <c r="J225" s="98"/>
      <c r="K225" s="98"/>
      <c r="L225" s="22"/>
      <c r="M225" s="22"/>
      <c r="N225" s="84"/>
      <c r="O225" s="22"/>
      <c r="P225" s="116"/>
      <c r="Q225" s="23"/>
      <c r="R225" s="27"/>
      <c r="S225" s="86" t="str">
        <f t="shared" si="80"/>
        <v/>
      </c>
      <c r="T225" s="87" t="str">
        <f t="shared" si="81"/>
        <v/>
      </c>
      <c r="U225" s="87" t="str" cm="1">
        <f t="array" ref="U225">IF(AND(H225&lt;&gt;"YES",P225&lt;&gt;"",R225&lt;&gt;"",Q225&lt;&gt;""),
_xlfn.SWITCH(Q225,
"INR",_xlfn.SWITCH(R225,"KG",P225*S225,"CTN",P225,"UNIT",P225*N225,"NET",P225/M225,0),
"USD",_xlfn.SWITCH(R225,"KG",P225*S225*SI!$C$10,"CTN",P225*SI!$C$10,"UNIT",P225*N225*SI!$C$10,"NET",P225*SI!$C$10/M225,0),
"LKR",_xlfn.SWITCH(R225,"KG",P225*S225/SI!$C$9,"CTN",P225/SI!$C$9,"UNIT",P225*N225/SI!$C$9,"NET",P225/(M225*SI!$C$9),0),
0),
"")</f>
        <v/>
      </c>
      <c r="V225" s="87" t="str">
        <f t="shared" si="82"/>
        <v/>
      </c>
      <c r="W225" s="87" t="str">
        <f t="shared" si="83"/>
        <v/>
      </c>
      <c r="X225" s="88" t="str">
        <f t="shared" si="84"/>
        <v/>
      </c>
      <c r="Y225" s="24" t="str">
        <f t="shared" si="85"/>
        <v/>
      </c>
      <c r="Z225" s="267" t="str">
        <f>IF(AND(H225&lt;&gt;"yes",F225&lt;&gt;""),IFERROR(VLOOKUP(F225,DUTY_2025!A:F,5,FALSE),""),"")</f>
        <v/>
      </c>
      <c r="AA225" s="271" t="str">
        <f t="shared" si="86"/>
        <v/>
      </c>
      <c r="AB225" s="16" t="str">
        <f t="shared" si="87"/>
        <v/>
      </c>
      <c r="AC225" s="16" t="str">
        <f>IF(AA225&lt;&gt;"",ROUND(AA225*SI!$C$9,0),"")</f>
        <v/>
      </c>
      <c r="AD225" s="4" t="str">
        <f>IF(AC225&lt;&gt;"",ROUND(AC225/(SI!$C$9*SI!$C$10),2),"")</f>
        <v/>
      </c>
      <c r="AE225" s="30" t="str">
        <f>IF(AND(X225&lt;&gt;""), ROUND((SI!$E$23)*(X225/SUM($X$5:$X$493)),0),"")</f>
        <v/>
      </c>
      <c r="AF225" s="272" t="str">
        <f t="shared" si="88"/>
        <v/>
      </c>
      <c r="AG225" s="28" t="str">
        <f t="shared" si="89"/>
        <v/>
      </c>
      <c r="AH225" s="4" t="str">
        <f>IF(AD225&lt;&gt;"",ROUND(AD225*10*SI!$C$9/2,0),"")</f>
        <v/>
      </c>
      <c r="AI225" s="29" t="str">
        <f>IF(AND(X225&lt;&gt;""), ROUND((SI!$E$28)*(X225/SUM($X$5:$X$493)),0),"")</f>
        <v/>
      </c>
      <c r="AJ225" s="4" t="str">
        <f t="shared" si="90"/>
        <v/>
      </c>
      <c r="AK225" s="4" t="str">
        <f t="shared" si="91"/>
        <v/>
      </c>
      <c r="AL225" s="4" t="str">
        <f t="shared" si="92"/>
        <v/>
      </c>
      <c r="AM225" s="4" t="str">
        <f t="shared" si="93"/>
        <v/>
      </c>
      <c r="AN225" s="195" t="str">
        <f t="shared" si="94"/>
        <v/>
      </c>
      <c r="AO225" s="261" t="str">
        <f>IF(AND(AM225&lt;&gt;"",P225&lt;&gt;""),ROUND((AM225*((100+SI!$C$11)/100)),0),"")</f>
        <v/>
      </c>
      <c r="AP225" s="28" t="str">
        <f>IF(AG225&lt;&gt;"",ROUND(AG225/SI!$C$9,2),"")</f>
        <v/>
      </c>
      <c r="AQ225" s="4" t="str">
        <f>IF(AH225&lt;&gt;"",ROUND(AH225/SI!$C$9,2),"")</f>
        <v/>
      </c>
      <c r="AR225" s="29" t="str">
        <f>IF(AI225&lt;&gt;"",ROUND(AI225/SI!$C$9,2),"")</f>
        <v/>
      </c>
      <c r="AS225" s="4" t="str">
        <f t="shared" si="95"/>
        <v/>
      </c>
      <c r="AT225" s="4" t="str">
        <f t="shared" si="96"/>
        <v/>
      </c>
      <c r="AU225" s="4" t="str">
        <f>IF(AL225&lt;&gt;"",ROUND(AL225/SI!$C$9,2),"")</f>
        <v/>
      </c>
      <c r="AV225" s="4" t="str">
        <f>IF(AM225&lt;&gt;"",ROUND(AM225/SI!$C$9,2),"")</f>
        <v/>
      </c>
      <c r="AW225" s="4" t="str">
        <f>IF(AN225&lt;&gt;"",ROUND(AN225/SI!$C$9,2),"")</f>
        <v/>
      </c>
      <c r="AX225" s="261" t="str">
        <f>IF(AO225&lt;&gt;"",ROUND(AO225/SI!$C$9,2),"")</f>
        <v/>
      </c>
      <c r="AY225" s="28" t="str">
        <f t="shared" si="97"/>
        <v/>
      </c>
      <c r="AZ225" s="4" t="str">
        <f>IF(AY225&lt;&gt;"",ROUND(AY225/(SI!$C$9*SI!$C$10),2),"")</f>
        <v/>
      </c>
      <c r="BA225" s="4" t="str">
        <f t="shared" si="98"/>
        <v/>
      </c>
      <c r="BB225" s="4" t="str">
        <f t="shared" si="99"/>
        <v/>
      </c>
      <c r="BC225" s="4" t="str">
        <f t="shared" si="100"/>
        <v/>
      </c>
      <c r="BD225" s="4" t="str">
        <f t="shared" si="101"/>
        <v/>
      </c>
      <c r="BE225" s="4" t="str">
        <f>IF(AND(X225&lt;&gt;""),ROUND(X225/SI!$C$10,2),"")</f>
        <v/>
      </c>
      <c r="BF225" s="4" t="str">
        <f t="shared" si="103"/>
        <v/>
      </c>
      <c r="BG225" s="264" t="str">
        <f t="shared" si="102"/>
        <v/>
      </c>
      <c r="BH225" s="71" t="str">
        <f>IF(F225&lt;&gt;"",VLOOKUP(F225,DUTY_2025!A:O,15,FALSE),"")</f>
        <v/>
      </c>
    </row>
    <row r="226" spans="1:60" x14ac:dyDescent="0.25">
      <c r="A226" s="133">
        <f t="shared" si="78"/>
        <v>66</v>
      </c>
      <c r="B226" s="83" t="str">
        <f t="shared" si="79"/>
        <v/>
      </c>
      <c r="C226" s="126"/>
      <c r="D226" s="130"/>
      <c r="E226" s="22"/>
      <c r="F226" s="85"/>
      <c r="G226" s="27" t="str">
        <f>IF(F226&lt;&gt;"",IFERROR(VLOOKUP(F226,DUTY_2025!A:I,6,FALSE),""),"")</f>
        <v/>
      </c>
      <c r="H226" s="85" t="s">
        <v>133</v>
      </c>
      <c r="I226" s="27" t="str">
        <f>IF(F226&lt;&gt;"",IFERROR(VLOOKUP(F226,DUTY_2025!A:H,2,FALSE),""),"")</f>
        <v/>
      </c>
      <c r="J226" s="98"/>
      <c r="K226" s="98"/>
      <c r="L226" s="22"/>
      <c r="M226" s="22"/>
      <c r="N226" s="84"/>
      <c r="O226" s="22"/>
      <c r="P226" s="116"/>
      <c r="Q226" s="23"/>
      <c r="R226" s="27"/>
      <c r="S226" s="86" t="str">
        <f t="shared" si="80"/>
        <v/>
      </c>
      <c r="T226" s="87" t="str">
        <f t="shared" si="81"/>
        <v/>
      </c>
      <c r="U226" s="87" t="str" cm="1">
        <f t="array" ref="U226">IF(AND(H226&lt;&gt;"YES",P226&lt;&gt;"",R226&lt;&gt;"",Q226&lt;&gt;""),
_xlfn.SWITCH(Q226,
"INR",_xlfn.SWITCH(R226,"KG",P226*S226,"CTN",P226,"UNIT",P226*N226,"NET",P226/M226,0),
"USD",_xlfn.SWITCH(R226,"KG",P226*S226*SI!$C$10,"CTN",P226*SI!$C$10,"UNIT",P226*N226*SI!$C$10,"NET",P226*SI!$C$10/M226,0),
"LKR",_xlfn.SWITCH(R226,"KG",P226*S226/SI!$C$9,"CTN",P226/SI!$C$9,"UNIT",P226*N226/SI!$C$9,"NET",P226/(M226*SI!$C$9),0),
0),
"")</f>
        <v/>
      </c>
      <c r="V226" s="87" t="str">
        <f t="shared" si="82"/>
        <v/>
      </c>
      <c r="W226" s="87" t="str">
        <f t="shared" si="83"/>
        <v/>
      </c>
      <c r="X226" s="88" t="str">
        <f t="shared" si="84"/>
        <v/>
      </c>
      <c r="Y226" s="24" t="str">
        <f t="shared" si="85"/>
        <v/>
      </c>
      <c r="Z226" s="267" t="str">
        <f>IF(AND(H226&lt;&gt;"yes",F226&lt;&gt;""),IFERROR(VLOOKUP(F226,DUTY_2025!A:F,5,FALSE),""),"")</f>
        <v/>
      </c>
      <c r="AA226" s="271" t="str">
        <f t="shared" si="86"/>
        <v/>
      </c>
      <c r="AB226" s="16" t="str">
        <f t="shared" si="87"/>
        <v/>
      </c>
      <c r="AC226" s="16" t="str">
        <f>IF(AA226&lt;&gt;"",ROUND(AA226*SI!$C$9,0),"")</f>
        <v/>
      </c>
      <c r="AD226" s="4" t="str">
        <f>IF(AC226&lt;&gt;"",ROUND(AC226/(SI!$C$9*SI!$C$10),2),"")</f>
        <v/>
      </c>
      <c r="AE226" s="30" t="str">
        <f>IF(AND(X226&lt;&gt;""), ROUND((SI!$E$23)*(X226/SUM($X$5:$X$493)),0),"")</f>
        <v/>
      </c>
      <c r="AF226" s="272" t="str">
        <f t="shared" si="88"/>
        <v/>
      </c>
      <c r="AG226" s="28" t="str">
        <f t="shared" si="89"/>
        <v/>
      </c>
      <c r="AH226" s="4" t="str">
        <f>IF(AD226&lt;&gt;"",ROUND(AD226*10*SI!$C$9/2,0),"")</f>
        <v/>
      </c>
      <c r="AI226" s="29" t="str">
        <f>IF(AND(X226&lt;&gt;""), ROUND((SI!$E$28)*(X226/SUM($X$5:$X$493)),0),"")</f>
        <v/>
      </c>
      <c r="AJ226" s="4" t="str">
        <f t="shared" si="90"/>
        <v/>
      </c>
      <c r="AK226" s="4" t="str">
        <f t="shared" si="91"/>
        <v/>
      </c>
      <c r="AL226" s="4" t="str">
        <f t="shared" si="92"/>
        <v/>
      </c>
      <c r="AM226" s="4" t="str">
        <f t="shared" si="93"/>
        <v/>
      </c>
      <c r="AN226" s="195" t="str">
        <f t="shared" si="94"/>
        <v/>
      </c>
      <c r="AO226" s="261" t="str">
        <f>IF(AND(AM226&lt;&gt;"",P226&lt;&gt;""),ROUND((AM226*((100+SI!$C$11)/100)),0),"")</f>
        <v/>
      </c>
      <c r="AP226" s="28" t="str">
        <f>IF(AG226&lt;&gt;"",ROUND(AG226/SI!$C$9,2),"")</f>
        <v/>
      </c>
      <c r="AQ226" s="4" t="str">
        <f>IF(AH226&lt;&gt;"",ROUND(AH226/SI!$C$9,2),"")</f>
        <v/>
      </c>
      <c r="AR226" s="29" t="str">
        <f>IF(AI226&lt;&gt;"",ROUND(AI226/SI!$C$9,2),"")</f>
        <v/>
      </c>
      <c r="AS226" s="4" t="str">
        <f t="shared" si="95"/>
        <v/>
      </c>
      <c r="AT226" s="4" t="str">
        <f t="shared" si="96"/>
        <v/>
      </c>
      <c r="AU226" s="4" t="str">
        <f>IF(AL226&lt;&gt;"",ROUND(AL226/SI!$C$9,2),"")</f>
        <v/>
      </c>
      <c r="AV226" s="4" t="str">
        <f>IF(AM226&lt;&gt;"",ROUND(AM226/SI!$C$9,2),"")</f>
        <v/>
      </c>
      <c r="AW226" s="4" t="str">
        <f>IF(AN226&lt;&gt;"",ROUND(AN226/SI!$C$9,2),"")</f>
        <v/>
      </c>
      <c r="AX226" s="261" t="str">
        <f>IF(AO226&lt;&gt;"",ROUND(AO226/SI!$C$9,2),"")</f>
        <v/>
      </c>
      <c r="AY226" s="28" t="str">
        <f t="shared" si="97"/>
        <v/>
      </c>
      <c r="AZ226" s="4" t="str">
        <f>IF(AY226&lt;&gt;"",ROUND(AY226/(SI!$C$9*SI!$C$10),2),"")</f>
        <v/>
      </c>
      <c r="BA226" s="4" t="str">
        <f t="shared" si="98"/>
        <v/>
      </c>
      <c r="BB226" s="4" t="str">
        <f t="shared" si="99"/>
        <v/>
      </c>
      <c r="BC226" s="4" t="str">
        <f t="shared" si="100"/>
        <v/>
      </c>
      <c r="BD226" s="4" t="str">
        <f t="shared" si="101"/>
        <v/>
      </c>
      <c r="BE226" s="4" t="str">
        <f>IF(AND(X226&lt;&gt;""),ROUND(X226/SI!$C$10,2),"")</f>
        <v/>
      </c>
      <c r="BF226" s="4" t="str">
        <f t="shared" si="103"/>
        <v/>
      </c>
      <c r="BG226" s="264" t="str">
        <f t="shared" si="102"/>
        <v/>
      </c>
      <c r="BH226" s="71" t="str">
        <f>IF(F226&lt;&gt;"",VLOOKUP(F226,DUTY_2025!A:O,15,FALSE),"")</f>
        <v/>
      </c>
    </row>
    <row r="227" spans="1:60" x14ac:dyDescent="0.25">
      <c r="A227" s="133">
        <f t="shared" si="78"/>
        <v>66</v>
      </c>
      <c r="B227" s="83" t="str">
        <f t="shared" si="79"/>
        <v/>
      </c>
      <c r="C227" s="126"/>
      <c r="D227" s="130"/>
      <c r="E227" s="22"/>
      <c r="F227" s="85"/>
      <c r="G227" s="27" t="str">
        <f>IF(F227&lt;&gt;"",IFERROR(VLOOKUP(F227,DUTY_2025!A:I,6,FALSE),""),"")</f>
        <v/>
      </c>
      <c r="H227" s="85" t="s">
        <v>133</v>
      </c>
      <c r="I227" s="27" t="str">
        <f>IF(F227&lt;&gt;"",IFERROR(VLOOKUP(F227,DUTY_2025!A:H,2,FALSE),""),"")</f>
        <v/>
      </c>
      <c r="J227" s="98"/>
      <c r="K227" s="98"/>
      <c r="L227" s="22"/>
      <c r="M227" s="22"/>
      <c r="N227" s="84"/>
      <c r="O227" s="22"/>
      <c r="P227" s="116"/>
      <c r="Q227" s="23"/>
      <c r="R227" s="27"/>
      <c r="S227" s="86" t="str">
        <f t="shared" si="80"/>
        <v/>
      </c>
      <c r="T227" s="87" t="str">
        <f t="shared" si="81"/>
        <v/>
      </c>
      <c r="U227" s="87" t="str" cm="1">
        <f t="array" ref="U227">IF(AND(H227&lt;&gt;"YES",P227&lt;&gt;"",R227&lt;&gt;"",Q227&lt;&gt;""),
_xlfn.SWITCH(Q227,
"INR",_xlfn.SWITCH(R227,"KG",P227*S227,"CTN",P227,"UNIT",P227*N227,"NET",P227/M227,0),
"USD",_xlfn.SWITCH(R227,"KG",P227*S227*SI!$C$10,"CTN",P227*SI!$C$10,"UNIT",P227*N227*SI!$C$10,"NET",P227*SI!$C$10/M227,0),
"LKR",_xlfn.SWITCH(R227,"KG",P227*S227/SI!$C$9,"CTN",P227/SI!$C$9,"UNIT",P227*N227/SI!$C$9,"NET",P227/(M227*SI!$C$9),0),
0),
"")</f>
        <v/>
      </c>
      <c r="V227" s="87" t="str">
        <f t="shared" si="82"/>
        <v/>
      </c>
      <c r="W227" s="87" t="str">
        <f t="shared" si="83"/>
        <v/>
      </c>
      <c r="X227" s="88" t="str">
        <f t="shared" si="84"/>
        <v/>
      </c>
      <c r="Y227" s="24" t="str">
        <f t="shared" si="85"/>
        <v/>
      </c>
      <c r="Z227" s="267" t="str">
        <f>IF(AND(H227&lt;&gt;"yes",F227&lt;&gt;""),IFERROR(VLOOKUP(F227,DUTY_2025!A:F,5,FALSE),""),"")</f>
        <v/>
      </c>
      <c r="AA227" s="271" t="str">
        <f t="shared" si="86"/>
        <v/>
      </c>
      <c r="AB227" s="16" t="str">
        <f t="shared" si="87"/>
        <v/>
      </c>
      <c r="AC227" s="16" t="str">
        <f>IF(AA227&lt;&gt;"",ROUND(AA227*SI!$C$9,0),"")</f>
        <v/>
      </c>
      <c r="AD227" s="4" t="str">
        <f>IF(AC227&lt;&gt;"",ROUND(AC227/(SI!$C$9*SI!$C$10),2),"")</f>
        <v/>
      </c>
      <c r="AE227" s="30" t="str">
        <f>IF(AND(X227&lt;&gt;""), ROUND((SI!$E$23)*(X227/SUM($X$5:$X$493)),0),"")</f>
        <v/>
      </c>
      <c r="AF227" s="272" t="str">
        <f t="shared" si="88"/>
        <v/>
      </c>
      <c r="AG227" s="28" t="str">
        <f t="shared" si="89"/>
        <v/>
      </c>
      <c r="AH227" s="4" t="str">
        <f>IF(AD227&lt;&gt;"",ROUND(AD227*10*SI!$C$9/2,0),"")</f>
        <v/>
      </c>
      <c r="AI227" s="29" t="str">
        <f>IF(AND(X227&lt;&gt;""), ROUND((SI!$E$28)*(X227/SUM($X$5:$X$493)),0),"")</f>
        <v/>
      </c>
      <c r="AJ227" s="4" t="str">
        <f t="shared" si="90"/>
        <v/>
      </c>
      <c r="AK227" s="4" t="str">
        <f t="shared" si="91"/>
        <v/>
      </c>
      <c r="AL227" s="4" t="str">
        <f t="shared" si="92"/>
        <v/>
      </c>
      <c r="AM227" s="4" t="str">
        <f t="shared" si="93"/>
        <v/>
      </c>
      <c r="AN227" s="195" t="str">
        <f t="shared" si="94"/>
        <v/>
      </c>
      <c r="AO227" s="261" t="str">
        <f>IF(AND(AM227&lt;&gt;"",P227&lt;&gt;""),ROUND((AM227*((100+SI!$C$11)/100)),0),"")</f>
        <v/>
      </c>
      <c r="AP227" s="28" t="str">
        <f>IF(AG227&lt;&gt;"",ROUND(AG227/SI!$C$9,2),"")</f>
        <v/>
      </c>
      <c r="AQ227" s="4" t="str">
        <f>IF(AH227&lt;&gt;"",ROUND(AH227/SI!$C$9,2),"")</f>
        <v/>
      </c>
      <c r="AR227" s="29" t="str">
        <f>IF(AI227&lt;&gt;"",ROUND(AI227/SI!$C$9,2),"")</f>
        <v/>
      </c>
      <c r="AS227" s="4" t="str">
        <f t="shared" si="95"/>
        <v/>
      </c>
      <c r="AT227" s="4" t="str">
        <f t="shared" si="96"/>
        <v/>
      </c>
      <c r="AU227" s="4" t="str">
        <f>IF(AL227&lt;&gt;"",ROUND(AL227/SI!$C$9,2),"")</f>
        <v/>
      </c>
      <c r="AV227" s="4" t="str">
        <f>IF(AM227&lt;&gt;"",ROUND(AM227/SI!$C$9,2),"")</f>
        <v/>
      </c>
      <c r="AW227" s="4" t="str">
        <f>IF(AN227&lt;&gt;"",ROUND(AN227/SI!$C$9,2),"")</f>
        <v/>
      </c>
      <c r="AX227" s="261" t="str">
        <f>IF(AO227&lt;&gt;"",ROUND(AO227/SI!$C$9,2),"")</f>
        <v/>
      </c>
      <c r="AY227" s="28" t="str">
        <f t="shared" si="97"/>
        <v/>
      </c>
      <c r="AZ227" s="4" t="str">
        <f>IF(AY227&lt;&gt;"",ROUND(AY227/(SI!$C$9*SI!$C$10),2),"")</f>
        <v/>
      </c>
      <c r="BA227" s="4" t="str">
        <f t="shared" si="98"/>
        <v/>
      </c>
      <c r="BB227" s="4" t="str">
        <f t="shared" si="99"/>
        <v/>
      </c>
      <c r="BC227" s="4" t="str">
        <f t="shared" si="100"/>
        <v/>
      </c>
      <c r="BD227" s="4" t="str">
        <f t="shared" si="101"/>
        <v/>
      </c>
      <c r="BE227" s="4" t="str">
        <f>IF(AND(X227&lt;&gt;""),ROUND(X227/SI!$C$10,2),"")</f>
        <v/>
      </c>
      <c r="BF227" s="4" t="str">
        <f t="shared" si="103"/>
        <v/>
      </c>
      <c r="BG227" s="264" t="str">
        <f t="shared" si="102"/>
        <v/>
      </c>
      <c r="BH227" s="71" t="str">
        <f>IF(F227&lt;&gt;"",VLOOKUP(F227,DUTY_2025!A:O,15,FALSE),"")</f>
        <v/>
      </c>
    </row>
    <row r="228" spans="1:60" x14ac:dyDescent="0.25">
      <c r="A228" s="133">
        <f t="shared" si="78"/>
        <v>66</v>
      </c>
      <c r="B228" s="83" t="str">
        <f t="shared" si="79"/>
        <v/>
      </c>
      <c r="C228" s="126"/>
      <c r="D228" s="130"/>
      <c r="E228" s="22"/>
      <c r="F228" s="85"/>
      <c r="G228" s="27" t="str">
        <f>IF(F228&lt;&gt;"",IFERROR(VLOOKUP(F228,DUTY_2025!A:I,6,FALSE),""),"")</f>
        <v/>
      </c>
      <c r="H228" s="85" t="s">
        <v>133</v>
      </c>
      <c r="I228" s="27" t="str">
        <f>IF(F228&lt;&gt;"",IFERROR(VLOOKUP(F228,DUTY_2025!A:H,2,FALSE),""),"")</f>
        <v/>
      </c>
      <c r="J228" s="98"/>
      <c r="K228" s="98"/>
      <c r="L228" s="22"/>
      <c r="M228" s="22"/>
      <c r="N228" s="84"/>
      <c r="O228" s="22"/>
      <c r="P228" s="116"/>
      <c r="Q228" s="23"/>
      <c r="R228" s="27"/>
      <c r="S228" s="86" t="str">
        <f t="shared" si="80"/>
        <v/>
      </c>
      <c r="T228" s="87" t="str">
        <f t="shared" si="81"/>
        <v/>
      </c>
      <c r="U228" s="87" t="str" cm="1">
        <f t="array" ref="U228">IF(AND(H228&lt;&gt;"YES",P228&lt;&gt;"",R228&lt;&gt;"",Q228&lt;&gt;""),
_xlfn.SWITCH(Q228,
"INR",_xlfn.SWITCH(R228,"KG",P228*S228,"CTN",P228,"UNIT",P228*N228,"NET",P228/M228,0),
"USD",_xlfn.SWITCH(R228,"KG",P228*S228*SI!$C$10,"CTN",P228*SI!$C$10,"UNIT",P228*N228*SI!$C$10,"NET",P228*SI!$C$10/M228,0),
"LKR",_xlfn.SWITCH(R228,"KG",P228*S228/SI!$C$9,"CTN",P228/SI!$C$9,"UNIT",P228*N228/SI!$C$9,"NET",P228/(M228*SI!$C$9),0),
0),
"")</f>
        <v/>
      </c>
      <c r="V228" s="87" t="str">
        <f t="shared" si="82"/>
        <v/>
      </c>
      <c r="W228" s="87" t="str">
        <f t="shared" si="83"/>
        <v/>
      </c>
      <c r="X228" s="88" t="str">
        <f t="shared" si="84"/>
        <v/>
      </c>
      <c r="Y228" s="24" t="str">
        <f t="shared" si="85"/>
        <v/>
      </c>
      <c r="Z228" s="267" t="str">
        <f>IF(AND(H228&lt;&gt;"yes",F228&lt;&gt;""),IFERROR(VLOOKUP(F228,DUTY_2025!A:F,5,FALSE),""),"")</f>
        <v/>
      </c>
      <c r="AA228" s="271" t="str">
        <f t="shared" si="86"/>
        <v/>
      </c>
      <c r="AB228" s="16" t="str">
        <f t="shared" si="87"/>
        <v/>
      </c>
      <c r="AC228" s="16" t="str">
        <f>IF(AA228&lt;&gt;"",ROUND(AA228*SI!$C$9,0),"")</f>
        <v/>
      </c>
      <c r="AD228" s="4" t="str">
        <f>IF(AC228&lt;&gt;"",ROUND(AC228/(SI!$C$9*SI!$C$10),2),"")</f>
        <v/>
      </c>
      <c r="AE228" s="30" t="str">
        <f>IF(AND(X228&lt;&gt;""), ROUND((SI!$E$23)*(X228/SUM($X$5:$X$493)),0),"")</f>
        <v/>
      </c>
      <c r="AF228" s="272" t="str">
        <f t="shared" si="88"/>
        <v/>
      </c>
      <c r="AG228" s="28" t="str">
        <f t="shared" si="89"/>
        <v/>
      </c>
      <c r="AH228" s="4" t="str">
        <f>IF(AD228&lt;&gt;"",ROUND(AD228*10*SI!$C$9/2,0),"")</f>
        <v/>
      </c>
      <c r="AI228" s="29" t="str">
        <f>IF(AND(X228&lt;&gt;""), ROUND((SI!$E$28)*(X228/SUM($X$5:$X$493)),0),"")</f>
        <v/>
      </c>
      <c r="AJ228" s="4" t="str">
        <f t="shared" si="90"/>
        <v/>
      </c>
      <c r="AK228" s="4" t="str">
        <f t="shared" si="91"/>
        <v/>
      </c>
      <c r="AL228" s="4" t="str">
        <f t="shared" si="92"/>
        <v/>
      </c>
      <c r="AM228" s="4" t="str">
        <f t="shared" si="93"/>
        <v/>
      </c>
      <c r="AN228" s="195" t="str">
        <f t="shared" si="94"/>
        <v/>
      </c>
      <c r="AO228" s="261" t="str">
        <f>IF(AND(AM228&lt;&gt;"",P228&lt;&gt;""),ROUND((AM228*((100+SI!$C$11)/100)),0),"")</f>
        <v/>
      </c>
      <c r="AP228" s="28" t="str">
        <f>IF(AG228&lt;&gt;"",ROUND(AG228/SI!$C$9,2),"")</f>
        <v/>
      </c>
      <c r="AQ228" s="4" t="str">
        <f>IF(AH228&lt;&gt;"",ROUND(AH228/SI!$C$9,2),"")</f>
        <v/>
      </c>
      <c r="AR228" s="29" t="str">
        <f>IF(AI228&lt;&gt;"",ROUND(AI228/SI!$C$9,2),"")</f>
        <v/>
      </c>
      <c r="AS228" s="4" t="str">
        <f t="shared" si="95"/>
        <v/>
      </c>
      <c r="AT228" s="4" t="str">
        <f t="shared" si="96"/>
        <v/>
      </c>
      <c r="AU228" s="4" t="str">
        <f>IF(AL228&lt;&gt;"",ROUND(AL228/SI!$C$9,2),"")</f>
        <v/>
      </c>
      <c r="AV228" s="4" t="str">
        <f>IF(AM228&lt;&gt;"",ROUND(AM228/SI!$C$9,2),"")</f>
        <v/>
      </c>
      <c r="AW228" s="4" t="str">
        <f>IF(AN228&lt;&gt;"",ROUND(AN228/SI!$C$9,2),"")</f>
        <v/>
      </c>
      <c r="AX228" s="261" t="str">
        <f>IF(AO228&lt;&gt;"",ROUND(AO228/SI!$C$9,2),"")</f>
        <v/>
      </c>
      <c r="AY228" s="28" t="str">
        <f t="shared" si="97"/>
        <v/>
      </c>
      <c r="AZ228" s="4" t="str">
        <f>IF(AY228&lt;&gt;"",ROUND(AY228/(SI!$C$9*SI!$C$10),2),"")</f>
        <v/>
      </c>
      <c r="BA228" s="4" t="str">
        <f t="shared" si="98"/>
        <v/>
      </c>
      <c r="BB228" s="4" t="str">
        <f t="shared" si="99"/>
        <v/>
      </c>
      <c r="BC228" s="4" t="str">
        <f t="shared" si="100"/>
        <v/>
      </c>
      <c r="BD228" s="4" t="str">
        <f t="shared" si="101"/>
        <v/>
      </c>
      <c r="BE228" s="4" t="str">
        <f>IF(AND(X228&lt;&gt;""),ROUND(X228/SI!$C$10,2),"")</f>
        <v/>
      </c>
      <c r="BF228" s="4" t="str">
        <f t="shared" si="103"/>
        <v/>
      </c>
      <c r="BG228" s="264" t="str">
        <f t="shared" si="102"/>
        <v/>
      </c>
      <c r="BH228" s="71" t="str">
        <f>IF(F228&lt;&gt;"",VLOOKUP(F228,DUTY_2025!A:O,15,FALSE),"")</f>
        <v/>
      </c>
    </row>
    <row r="229" spans="1:60" x14ac:dyDescent="0.25">
      <c r="A229" s="133">
        <f t="shared" si="78"/>
        <v>66</v>
      </c>
      <c r="B229" s="83" t="str">
        <f t="shared" si="79"/>
        <v/>
      </c>
      <c r="C229" s="126"/>
      <c r="D229" s="130"/>
      <c r="E229" s="22"/>
      <c r="F229" s="85"/>
      <c r="G229" s="27" t="str">
        <f>IF(F229&lt;&gt;"",IFERROR(VLOOKUP(F229,DUTY_2025!A:I,6,FALSE),""),"")</f>
        <v/>
      </c>
      <c r="H229" s="85" t="s">
        <v>133</v>
      </c>
      <c r="I229" s="27" t="str">
        <f>IF(F229&lt;&gt;"",IFERROR(VLOOKUP(F229,DUTY_2025!A:H,2,FALSE),""),"")</f>
        <v/>
      </c>
      <c r="J229" s="98"/>
      <c r="K229" s="98"/>
      <c r="L229" s="22"/>
      <c r="M229" s="22"/>
      <c r="N229" s="84"/>
      <c r="O229" s="22"/>
      <c r="P229" s="116"/>
      <c r="Q229" s="23"/>
      <c r="R229" s="27"/>
      <c r="S229" s="86" t="str">
        <f t="shared" si="80"/>
        <v/>
      </c>
      <c r="T229" s="87" t="str">
        <f t="shared" si="81"/>
        <v/>
      </c>
      <c r="U229" s="87" t="str" cm="1">
        <f t="array" ref="U229">IF(AND(H229&lt;&gt;"YES",P229&lt;&gt;"",R229&lt;&gt;"",Q229&lt;&gt;""),
_xlfn.SWITCH(Q229,
"INR",_xlfn.SWITCH(R229,"KG",P229*S229,"CTN",P229,"UNIT",P229*N229,"NET",P229/M229,0),
"USD",_xlfn.SWITCH(R229,"KG",P229*S229*SI!$C$10,"CTN",P229*SI!$C$10,"UNIT",P229*N229*SI!$C$10,"NET",P229*SI!$C$10/M229,0),
"LKR",_xlfn.SWITCH(R229,"KG",P229*S229/SI!$C$9,"CTN",P229/SI!$C$9,"UNIT",P229*N229/SI!$C$9,"NET",P229/(M229*SI!$C$9),0),
0),
"")</f>
        <v/>
      </c>
      <c r="V229" s="87" t="str">
        <f t="shared" si="82"/>
        <v/>
      </c>
      <c r="W229" s="87" t="str">
        <f t="shared" si="83"/>
        <v/>
      </c>
      <c r="X229" s="88" t="str">
        <f t="shared" si="84"/>
        <v/>
      </c>
      <c r="Y229" s="24" t="str">
        <f t="shared" si="85"/>
        <v/>
      </c>
      <c r="Z229" s="267" t="str">
        <f>IF(AND(H229&lt;&gt;"yes",F229&lt;&gt;""),IFERROR(VLOOKUP(F229,DUTY_2025!A:F,5,FALSE),""),"")</f>
        <v/>
      </c>
      <c r="AA229" s="271" t="str">
        <f t="shared" si="86"/>
        <v/>
      </c>
      <c r="AB229" s="16" t="str">
        <f t="shared" si="87"/>
        <v/>
      </c>
      <c r="AC229" s="16" t="str">
        <f>IF(AA229&lt;&gt;"",ROUND(AA229*SI!$C$9,0),"")</f>
        <v/>
      </c>
      <c r="AD229" s="4" t="str">
        <f>IF(AC229&lt;&gt;"",ROUND(AC229/(SI!$C$9*SI!$C$10),2),"")</f>
        <v/>
      </c>
      <c r="AE229" s="30" t="str">
        <f>IF(AND(X229&lt;&gt;""), ROUND((SI!$E$23)*(X229/SUM($X$5:$X$493)),0),"")</f>
        <v/>
      </c>
      <c r="AF229" s="272" t="str">
        <f t="shared" si="88"/>
        <v/>
      </c>
      <c r="AG229" s="28" t="str">
        <f t="shared" si="89"/>
        <v/>
      </c>
      <c r="AH229" s="4" t="str">
        <f>IF(AD229&lt;&gt;"",ROUND(AD229*10*SI!$C$9/2,0),"")</f>
        <v/>
      </c>
      <c r="AI229" s="29" t="str">
        <f>IF(AND(X229&lt;&gt;""), ROUND((SI!$E$28)*(X229/SUM($X$5:$X$493)),0),"")</f>
        <v/>
      </c>
      <c r="AJ229" s="4" t="str">
        <f t="shared" si="90"/>
        <v/>
      </c>
      <c r="AK229" s="4" t="str">
        <f t="shared" si="91"/>
        <v/>
      </c>
      <c r="AL229" s="4" t="str">
        <f t="shared" si="92"/>
        <v/>
      </c>
      <c r="AM229" s="4" t="str">
        <f t="shared" si="93"/>
        <v/>
      </c>
      <c r="AN229" s="195" t="str">
        <f t="shared" si="94"/>
        <v/>
      </c>
      <c r="AO229" s="261" t="str">
        <f>IF(AND(AM229&lt;&gt;"",P229&lt;&gt;""),ROUND((AM229*((100+SI!$C$11)/100)),0),"")</f>
        <v/>
      </c>
      <c r="AP229" s="28" t="str">
        <f>IF(AG229&lt;&gt;"",ROUND(AG229/SI!$C$9,2),"")</f>
        <v/>
      </c>
      <c r="AQ229" s="4" t="str">
        <f>IF(AH229&lt;&gt;"",ROUND(AH229/SI!$C$9,2),"")</f>
        <v/>
      </c>
      <c r="AR229" s="29" t="str">
        <f>IF(AI229&lt;&gt;"",ROUND(AI229/SI!$C$9,2),"")</f>
        <v/>
      </c>
      <c r="AS229" s="4" t="str">
        <f t="shared" si="95"/>
        <v/>
      </c>
      <c r="AT229" s="4" t="str">
        <f t="shared" si="96"/>
        <v/>
      </c>
      <c r="AU229" s="4" t="str">
        <f>IF(AL229&lt;&gt;"",ROUND(AL229/SI!$C$9,2),"")</f>
        <v/>
      </c>
      <c r="AV229" s="4" t="str">
        <f>IF(AM229&lt;&gt;"",ROUND(AM229/SI!$C$9,2),"")</f>
        <v/>
      </c>
      <c r="AW229" s="4" t="str">
        <f>IF(AN229&lt;&gt;"",ROUND(AN229/SI!$C$9,2),"")</f>
        <v/>
      </c>
      <c r="AX229" s="261" t="str">
        <f>IF(AO229&lt;&gt;"",ROUND(AO229/SI!$C$9,2),"")</f>
        <v/>
      </c>
      <c r="AY229" s="28" t="str">
        <f t="shared" si="97"/>
        <v/>
      </c>
      <c r="AZ229" s="4" t="str">
        <f>IF(AY229&lt;&gt;"",ROUND(AY229/(SI!$C$9*SI!$C$10),2),"")</f>
        <v/>
      </c>
      <c r="BA229" s="4" t="str">
        <f t="shared" si="98"/>
        <v/>
      </c>
      <c r="BB229" s="4" t="str">
        <f t="shared" si="99"/>
        <v/>
      </c>
      <c r="BC229" s="4" t="str">
        <f t="shared" si="100"/>
        <v/>
      </c>
      <c r="BD229" s="4" t="str">
        <f t="shared" si="101"/>
        <v/>
      </c>
      <c r="BE229" s="4" t="str">
        <f>IF(AND(X229&lt;&gt;""),ROUND(X229/SI!$C$10,2),"")</f>
        <v/>
      </c>
      <c r="BF229" s="4" t="str">
        <f t="shared" si="103"/>
        <v/>
      </c>
      <c r="BG229" s="264" t="str">
        <f t="shared" si="102"/>
        <v/>
      </c>
      <c r="BH229" s="71" t="str">
        <f>IF(F229&lt;&gt;"",VLOOKUP(F229,DUTY_2025!A:O,15,FALSE),"")</f>
        <v/>
      </c>
    </row>
    <row r="230" spans="1:60" x14ac:dyDescent="0.25">
      <c r="A230" s="133">
        <f t="shared" si="78"/>
        <v>66</v>
      </c>
      <c r="B230" s="83" t="str">
        <f t="shared" si="79"/>
        <v/>
      </c>
      <c r="C230" s="126"/>
      <c r="D230" s="130"/>
      <c r="E230" s="22"/>
      <c r="F230" s="85"/>
      <c r="G230" s="27" t="str">
        <f>IF(F230&lt;&gt;"",IFERROR(VLOOKUP(F230,DUTY_2025!A:I,6,FALSE),""),"")</f>
        <v/>
      </c>
      <c r="H230" s="85" t="s">
        <v>133</v>
      </c>
      <c r="I230" s="27" t="str">
        <f>IF(F230&lt;&gt;"",IFERROR(VLOOKUP(F230,DUTY_2025!A:H,2,FALSE),""),"")</f>
        <v/>
      </c>
      <c r="J230" s="98"/>
      <c r="K230" s="98"/>
      <c r="L230" s="22"/>
      <c r="M230" s="22"/>
      <c r="N230" s="84"/>
      <c r="O230" s="22"/>
      <c r="P230" s="116"/>
      <c r="Q230" s="23"/>
      <c r="R230" s="27"/>
      <c r="S230" s="86" t="str">
        <f t="shared" si="80"/>
        <v/>
      </c>
      <c r="T230" s="87" t="str">
        <f t="shared" si="81"/>
        <v/>
      </c>
      <c r="U230" s="87" t="str" cm="1">
        <f t="array" ref="U230">IF(AND(H230&lt;&gt;"YES",P230&lt;&gt;"",R230&lt;&gt;"",Q230&lt;&gt;""),
_xlfn.SWITCH(Q230,
"INR",_xlfn.SWITCH(R230,"KG",P230*S230,"CTN",P230,"UNIT",P230*N230,"NET",P230/M230,0),
"USD",_xlfn.SWITCH(R230,"KG",P230*S230*SI!$C$10,"CTN",P230*SI!$C$10,"UNIT",P230*N230*SI!$C$10,"NET",P230*SI!$C$10/M230,0),
"LKR",_xlfn.SWITCH(R230,"KG",P230*S230/SI!$C$9,"CTN",P230/SI!$C$9,"UNIT",P230*N230/SI!$C$9,"NET",P230/(M230*SI!$C$9),0),
0),
"")</f>
        <v/>
      </c>
      <c r="V230" s="87" t="str">
        <f t="shared" si="82"/>
        <v/>
      </c>
      <c r="W230" s="87" t="str">
        <f t="shared" si="83"/>
        <v/>
      </c>
      <c r="X230" s="88" t="str">
        <f t="shared" si="84"/>
        <v/>
      </c>
      <c r="Y230" s="24" t="str">
        <f t="shared" si="85"/>
        <v/>
      </c>
      <c r="Z230" s="267" t="str">
        <f>IF(AND(H230&lt;&gt;"yes",F230&lt;&gt;""),IFERROR(VLOOKUP(F230,DUTY_2025!A:F,5,FALSE),""),"")</f>
        <v/>
      </c>
      <c r="AA230" s="271" t="str">
        <f t="shared" si="86"/>
        <v/>
      </c>
      <c r="AB230" s="16" t="str">
        <f t="shared" si="87"/>
        <v/>
      </c>
      <c r="AC230" s="16" t="str">
        <f>IF(AA230&lt;&gt;"",ROUND(AA230*SI!$C$9,0),"")</f>
        <v/>
      </c>
      <c r="AD230" s="4" t="str">
        <f>IF(AC230&lt;&gt;"",ROUND(AC230/(SI!$C$9*SI!$C$10),2),"")</f>
        <v/>
      </c>
      <c r="AE230" s="30" t="str">
        <f>IF(AND(X230&lt;&gt;""), ROUND((SI!$E$23)*(X230/SUM($X$5:$X$493)),0),"")</f>
        <v/>
      </c>
      <c r="AF230" s="272" t="str">
        <f t="shared" si="88"/>
        <v/>
      </c>
      <c r="AG230" s="28" t="str">
        <f t="shared" si="89"/>
        <v/>
      </c>
      <c r="AH230" s="4" t="str">
        <f>IF(AD230&lt;&gt;"",ROUND(AD230*10*SI!$C$9/2,0),"")</f>
        <v/>
      </c>
      <c r="AI230" s="29" t="str">
        <f>IF(AND(X230&lt;&gt;""), ROUND((SI!$E$28)*(X230/SUM($X$5:$X$493)),0),"")</f>
        <v/>
      </c>
      <c r="AJ230" s="4" t="str">
        <f t="shared" si="90"/>
        <v/>
      </c>
      <c r="AK230" s="4" t="str">
        <f t="shared" si="91"/>
        <v/>
      </c>
      <c r="AL230" s="4" t="str">
        <f t="shared" si="92"/>
        <v/>
      </c>
      <c r="AM230" s="4" t="str">
        <f t="shared" si="93"/>
        <v/>
      </c>
      <c r="AN230" s="195" t="str">
        <f t="shared" si="94"/>
        <v/>
      </c>
      <c r="AO230" s="261" t="str">
        <f>IF(AND(AM230&lt;&gt;"",P230&lt;&gt;""),ROUND((AM230*((100+SI!$C$11)/100)),0),"")</f>
        <v/>
      </c>
      <c r="AP230" s="28" t="str">
        <f>IF(AG230&lt;&gt;"",ROUND(AG230/SI!$C$9,2),"")</f>
        <v/>
      </c>
      <c r="AQ230" s="4" t="str">
        <f>IF(AH230&lt;&gt;"",ROUND(AH230/SI!$C$9,2),"")</f>
        <v/>
      </c>
      <c r="AR230" s="29" t="str">
        <f>IF(AI230&lt;&gt;"",ROUND(AI230/SI!$C$9,2),"")</f>
        <v/>
      </c>
      <c r="AS230" s="4" t="str">
        <f t="shared" si="95"/>
        <v/>
      </c>
      <c r="AT230" s="4" t="str">
        <f t="shared" si="96"/>
        <v/>
      </c>
      <c r="AU230" s="4" t="str">
        <f>IF(AL230&lt;&gt;"",ROUND(AL230/SI!$C$9,2),"")</f>
        <v/>
      </c>
      <c r="AV230" s="4" t="str">
        <f>IF(AM230&lt;&gt;"",ROUND(AM230/SI!$C$9,2),"")</f>
        <v/>
      </c>
      <c r="AW230" s="4" t="str">
        <f>IF(AN230&lt;&gt;"",ROUND(AN230/SI!$C$9,2),"")</f>
        <v/>
      </c>
      <c r="AX230" s="261" t="str">
        <f>IF(AO230&lt;&gt;"",ROUND(AO230/SI!$C$9,2),"")</f>
        <v/>
      </c>
      <c r="AY230" s="28" t="str">
        <f t="shared" si="97"/>
        <v/>
      </c>
      <c r="AZ230" s="4" t="str">
        <f>IF(AY230&lt;&gt;"",ROUND(AY230/(SI!$C$9*SI!$C$10),2),"")</f>
        <v/>
      </c>
      <c r="BA230" s="4" t="str">
        <f t="shared" si="98"/>
        <v/>
      </c>
      <c r="BB230" s="4" t="str">
        <f t="shared" si="99"/>
        <v/>
      </c>
      <c r="BC230" s="4" t="str">
        <f t="shared" si="100"/>
        <v/>
      </c>
      <c r="BD230" s="4" t="str">
        <f t="shared" si="101"/>
        <v/>
      </c>
      <c r="BE230" s="4" t="str">
        <f>IF(AND(X230&lt;&gt;""),ROUND(X230/SI!$C$10,2),"")</f>
        <v/>
      </c>
      <c r="BF230" s="4" t="str">
        <f t="shared" si="103"/>
        <v/>
      </c>
      <c r="BG230" s="264" t="str">
        <f t="shared" si="102"/>
        <v/>
      </c>
      <c r="BH230" s="71" t="str">
        <f>IF(F230&lt;&gt;"",VLOOKUP(F230,DUTY_2025!A:O,15,FALSE),"")</f>
        <v/>
      </c>
    </row>
    <row r="231" spans="1:60" x14ac:dyDescent="0.25">
      <c r="A231" s="133">
        <f t="shared" si="78"/>
        <v>66</v>
      </c>
      <c r="B231" s="83" t="str">
        <f t="shared" si="79"/>
        <v/>
      </c>
      <c r="C231" s="126"/>
      <c r="D231" s="130"/>
      <c r="E231" s="22"/>
      <c r="F231" s="85"/>
      <c r="G231" s="27" t="str">
        <f>IF(F231&lt;&gt;"",IFERROR(VLOOKUP(F231,DUTY_2025!A:I,6,FALSE),""),"")</f>
        <v/>
      </c>
      <c r="H231" s="85" t="s">
        <v>133</v>
      </c>
      <c r="I231" s="27" t="str">
        <f>IF(F231&lt;&gt;"",IFERROR(VLOOKUP(F231,DUTY_2025!A:H,2,FALSE),""),"")</f>
        <v/>
      </c>
      <c r="J231" s="98"/>
      <c r="K231" s="98"/>
      <c r="L231" s="22"/>
      <c r="M231" s="22"/>
      <c r="N231" s="84"/>
      <c r="O231" s="22"/>
      <c r="P231" s="116"/>
      <c r="Q231" s="23"/>
      <c r="R231" s="27"/>
      <c r="S231" s="86" t="str">
        <f t="shared" si="80"/>
        <v/>
      </c>
      <c r="T231" s="87" t="str">
        <f t="shared" si="81"/>
        <v/>
      </c>
      <c r="U231" s="87" t="str" cm="1">
        <f t="array" ref="U231">IF(AND(H231&lt;&gt;"YES",P231&lt;&gt;"",R231&lt;&gt;"",Q231&lt;&gt;""),
_xlfn.SWITCH(Q231,
"INR",_xlfn.SWITCH(R231,"KG",P231*S231,"CTN",P231,"UNIT",P231*N231,"NET",P231/M231,0),
"USD",_xlfn.SWITCH(R231,"KG",P231*S231*SI!$C$10,"CTN",P231*SI!$C$10,"UNIT",P231*N231*SI!$C$10,"NET",P231*SI!$C$10/M231,0),
"LKR",_xlfn.SWITCH(R231,"KG",P231*S231/SI!$C$9,"CTN",P231/SI!$C$9,"UNIT",P231*N231/SI!$C$9,"NET",P231/(M231*SI!$C$9),0),
0),
"")</f>
        <v/>
      </c>
      <c r="V231" s="87" t="str">
        <f t="shared" si="82"/>
        <v/>
      </c>
      <c r="W231" s="87" t="str">
        <f t="shared" si="83"/>
        <v/>
      </c>
      <c r="X231" s="88" t="str">
        <f t="shared" si="84"/>
        <v/>
      </c>
      <c r="Y231" s="24" t="str">
        <f t="shared" si="85"/>
        <v/>
      </c>
      <c r="Z231" s="267" t="str">
        <f>IF(AND(H231&lt;&gt;"yes",F231&lt;&gt;""),IFERROR(VLOOKUP(F231,DUTY_2025!A:F,5,FALSE),""),"")</f>
        <v/>
      </c>
      <c r="AA231" s="271" t="str">
        <f t="shared" si="86"/>
        <v/>
      </c>
      <c r="AB231" s="16" t="str">
        <f t="shared" si="87"/>
        <v/>
      </c>
      <c r="AC231" s="16" t="str">
        <f>IF(AA231&lt;&gt;"",ROUND(AA231*SI!$C$9,0),"")</f>
        <v/>
      </c>
      <c r="AD231" s="4" t="str">
        <f>IF(AC231&lt;&gt;"",ROUND(AC231/(SI!$C$9*SI!$C$10),2),"")</f>
        <v/>
      </c>
      <c r="AE231" s="30" t="str">
        <f>IF(AND(X231&lt;&gt;""), ROUND((SI!$E$23)*(X231/SUM($X$5:$X$493)),0),"")</f>
        <v/>
      </c>
      <c r="AF231" s="272" t="str">
        <f t="shared" si="88"/>
        <v/>
      </c>
      <c r="AG231" s="28" t="str">
        <f t="shared" si="89"/>
        <v/>
      </c>
      <c r="AH231" s="4" t="str">
        <f>IF(AD231&lt;&gt;"",ROUND(AD231*10*SI!$C$9/2,0),"")</f>
        <v/>
      </c>
      <c r="AI231" s="29" t="str">
        <f>IF(AND(X231&lt;&gt;""), ROUND((SI!$E$28)*(X231/SUM($X$5:$X$493)),0),"")</f>
        <v/>
      </c>
      <c r="AJ231" s="4" t="str">
        <f t="shared" si="90"/>
        <v/>
      </c>
      <c r="AK231" s="4" t="str">
        <f t="shared" si="91"/>
        <v/>
      </c>
      <c r="AL231" s="4" t="str">
        <f t="shared" si="92"/>
        <v/>
      </c>
      <c r="AM231" s="4" t="str">
        <f t="shared" si="93"/>
        <v/>
      </c>
      <c r="AN231" s="195" t="str">
        <f t="shared" si="94"/>
        <v/>
      </c>
      <c r="AO231" s="261" t="str">
        <f>IF(AND(AM231&lt;&gt;"",P231&lt;&gt;""),ROUND((AM231*((100+SI!$C$11)/100)),0),"")</f>
        <v/>
      </c>
      <c r="AP231" s="28" t="str">
        <f>IF(AG231&lt;&gt;"",ROUND(AG231/SI!$C$9,2),"")</f>
        <v/>
      </c>
      <c r="AQ231" s="4" t="str">
        <f>IF(AH231&lt;&gt;"",ROUND(AH231/SI!$C$9,2),"")</f>
        <v/>
      </c>
      <c r="AR231" s="29" t="str">
        <f>IF(AI231&lt;&gt;"",ROUND(AI231/SI!$C$9,2),"")</f>
        <v/>
      </c>
      <c r="AS231" s="4" t="str">
        <f t="shared" si="95"/>
        <v/>
      </c>
      <c r="AT231" s="4" t="str">
        <f t="shared" si="96"/>
        <v/>
      </c>
      <c r="AU231" s="4" t="str">
        <f>IF(AL231&lt;&gt;"",ROUND(AL231/SI!$C$9,2),"")</f>
        <v/>
      </c>
      <c r="AV231" s="4" t="str">
        <f>IF(AM231&lt;&gt;"",ROUND(AM231/SI!$C$9,2),"")</f>
        <v/>
      </c>
      <c r="AW231" s="4" t="str">
        <f>IF(AN231&lt;&gt;"",ROUND(AN231/SI!$C$9,2),"")</f>
        <v/>
      </c>
      <c r="AX231" s="261" t="str">
        <f>IF(AO231&lt;&gt;"",ROUND(AO231/SI!$C$9,2),"")</f>
        <v/>
      </c>
      <c r="AY231" s="28" t="str">
        <f t="shared" si="97"/>
        <v/>
      </c>
      <c r="AZ231" s="4" t="str">
        <f>IF(AY231&lt;&gt;"",ROUND(AY231/(SI!$C$9*SI!$C$10),2),"")</f>
        <v/>
      </c>
      <c r="BA231" s="4" t="str">
        <f t="shared" si="98"/>
        <v/>
      </c>
      <c r="BB231" s="4" t="str">
        <f t="shared" si="99"/>
        <v/>
      </c>
      <c r="BC231" s="4" t="str">
        <f t="shared" si="100"/>
        <v/>
      </c>
      <c r="BD231" s="4" t="str">
        <f t="shared" si="101"/>
        <v/>
      </c>
      <c r="BE231" s="4" t="str">
        <f>IF(AND(X231&lt;&gt;""),ROUND(X231/SI!$C$10,2),"")</f>
        <v/>
      </c>
      <c r="BF231" s="4" t="str">
        <f t="shared" si="103"/>
        <v/>
      </c>
      <c r="BG231" s="264" t="str">
        <f t="shared" si="102"/>
        <v/>
      </c>
      <c r="BH231" s="71" t="str">
        <f>IF(F231&lt;&gt;"",VLOOKUP(F231,DUTY_2025!A:O,15,FALSE),"")</f>
        <v/>
      </c>
    </row>
    <row r="232" spans="1:60" x14ac:dyDescent="0.25">
      <c r="A232" s="133">
        <f t="shared" si="78"/>
        <v>66</v>
      </c>
      <c r="B232" s="83" t="str">
        <f t="shared" si="79"/>
        <v/>
      </c>
      <c r="C232" s="126"/>
      <c r="D232" s="130"/>
      <c r="E232" s="22"/>
      <c r="F232" s="85"/>
      <c r="G232" s="27" t="str">
        <f>IF(F232&lt;&gt;"",IFERROR(VLOOKUP(F232,DUTY_2025!A:I,6,FALSE),""),"")</f>
        <v/>
      </c>
      <c r="H232" s="85" t="s">
        <v>133</v>
      </c>
      <c r="I232" s="27" t="str">
        <f>IF(F232&lt;&gt;"",IFERROR(VLOOKUP(F232,DUTY_2025!A:H,2,FALSE),""),"")</f>
        <v/>
      </c>
      <c r="J232" s="98"/>
      <c r="K232" s="98"/>
      <c r="L232" s="22"/>
      <c r="M232" s="22"/>
      <c r="N232" s="84"/>
      <c r="O232" s="22"/>
      <c r="P232" s="116"/>
      <c r="Q232" s="23"/>
      <c r="R232" s="27"/>
      <c r="S232" s="86" t="str">
        <f t="shared" si="80"/>
        <v/>
      </c>
      <c r="T232" s="87" t="str">
        <f t="shared" si="81"/>
        <v/>
      </c>
      <c r="U232" s="87" t="str" cm="1">
        <f t="array" ref="U232">IF(AND(H232&lt;&gt;"YES",P232&lt;&gt;"",R232&lt;&gt;"",Q232&lt;&gt;""),
_xlfn.SWITCH(Q232,
"INR",_xlfn.SWITCH(R232,"KG",P232*S232,"CTN",P232,"UNIT",P232*N232,"NET",P232/M232,0),
"USD",_xlfn.SWITCH(R232,"KG",P232*S232*SI!$C$10,"CTN",P232*SI!$C$10,"UNIT",P232*N232*SI!$C$10,"NET",P232*SI!$C$10/M232,0),
"LKR",_xlfn.SWITCH(R232,"KG",P232*S232/SI!$C$9,"CTN",P232/SI!$C$9,"UNIT",P232*N232/SI!$C$9,"NET",P232/(M232*SI!$C$9),0),
0),
"")</f>
        <v/>
      </c>
      <c r="V232" s="87" t="str">
        <f t="shared" si="82"/>
        <v/>
      </c>
      <c r="W232" s="87" t="str">
        <f t="shared" si="83"/>
        <v/>
      </c>
      <c r="X232" s="88" t="str">
        <f t="shared" si="84"/>
        <v/>
      </c>
      <c r="Y232" s="24" t="str">
        <f t="shared" si="85"/>
        <v/>
      </c>
      <c r="Z232" s="267" t="str">
        <f>IF(AND(H232&lt;&gt;"yes",F232&lt;&gt;""),IFERROR(VLOOKUP(F232,DUTY_2025!A:F,5,FALSE),""),"")</f>
        <v/>
      </c>
      <c r="AA232" s="271" t="str">
        <f t="shared" si="86"/>
        <v/>
      </c>
      <c r="AB232" s="16" t="str">
        <f t="shared" si="87"/>
        <v/>
      </c>
      <c r="AC232" s="16" t="str">
        <f>IF(AA232&lt;&gt;"",ROUND(AA232*SI!$C$9,0),"")</f>
        <v/>
      </c>
      <c r="AD232" s="4" t="str">
        <f>IF(AC232&lt;&gt;"",ROUND(AC232/(SI!$C$9*SI!$C$10),2),"")</f>
        <v/>
      </c>
      <c r="AE232" s="30" t="str">
        <f>IF(AND(X232&lt;&gt;""), ROUND((SI!$E$23)*(X232/SUM($X$5:$X$493)),0),"")</f>
        <v/>
      </c>
      <c r="AF232" s="272" t="str">
        <f t="shared" si="88"/>
        <v/>
      </c>
      <c r="AG232" s="28" t="str">
        <f t="shared" si="89"/>
        <v/>
      </c>
      <c r="AH232" s="4" t="str">
        <f>IF(AD232&lt;&gt;"",ROUND(AD232*10*SI!$C$9/2,0),"")</f>
        <v/>
      </c>
      <c r="AI232" s="29" t="str">
        <f>IF(AND(X232&lt;&gt;""), ROUND((SI!$E$28)*(X232/SUM($X$5:$X$493)),0),"")</f>
        <v/>
      </c>
      <c r="AJ232" s="4" t="str">
        <f t="shared" si="90"/>
        <v/>
      </c>
      <c r="AK232" s="4" t="str">
        <f t="shared" si="91"/>
        <v/>
      </c>
      <c r="AL232" s="4" t="str">
        <f t="shared" si="92"/>
        <v/>
      </c>
      <c r="AM232" s="4" t="str">
        <f t="shared" si="93"/>
        <v/>
      </c>
      <c r="AN232" s="195" t="str">
        <f t="shared" si="94"/>
        <v/>
      </c>
      <c r="AO232" s="261" t="str">
        <f>IF(AND(AM232&lt;&gt;"",P232&lt;&gt;""),ROUND((AM232*((100+SI!$C$11)/100)),0),"")</f>
        <v/>
      </c>
      <c r="AP232" s="28" t="str">
        <f>IF(AG232&lt;&gt;"",ROUND(AG232/SI!$C$9,2),"")</f>
        <v/>
      </c>
      <c r="AQ232" s="4" t="str">
        <f>IF(AH232&lt;&gt;"",ROUND(AH232/SI!$C$9,2),"")</f>
        <v/>
      </c>
      <c r="AR232" s="29" t="str">
        <f>IF(AI232&lt;&gt;"",ROUND(AI232/SI!$C$9,2),"")</f>
        <v/>
      </c>
      <c r="AS232" s="4" t="str">
        <f t="shared" si="95"/>
        <v/>
      </c>
      <c r="AT232" s="4" t="str">
        <f t="shared" si="96"/>
        <v/>
      </c>
      <c r="AU232" s="4" t="str">
        <f>IF(AL232&lt;&gt;"",ROUND(AL232/SI!$C$9,2),"")</f>
        <v/>
      </c>
      <c r="AV232" s="4" t="str">
        <f>IF(AM232&lt;&gt;"",ROUND(AM232/SI!$C$9,2),"")</f>
        <v/>
      </c>
      <c r="AW232" s="4" t="str">
        <f>IF(AN232&lt;&gt;"",ROUND(AN232/SI!$C$9,2),"")</f>
        <v/>
      </c>
      <c r="AX232" s="261" t="str">
        <f>IF(AO232&lt;&gt;"",ROUND(AO232/SI!$C$9,2),"")</f>
        <v/>
      </c>
      <c r="AY232" s="28" t="str">
        <f t="shared" si="97"/>
        <v/>
      </c>
      <c r="AZ232" s="4" t="str">
        <f>IF(AY232&lt;&gt;"",ROUND(AY232/(SI!$C$9*SI!$C$10),2),"")</f>
        <v/>
      </c>
      <c r="BA232" s="4" t="str">
        <f t="shared" si="98"/>
        <v/>
      </c>
      <c r="BB232" s="4" t="str">
        <f t="shared" si="99"/>
        <v/>
      </c>
      <c r="BC232" s="4" t="str">
        <f t="shared" si="100"/>
        <v/>
      </c>
      <c r="BD232" s="4" t="str">
        <f t="shared" si="101"/>
        <v/>
      </c>
      <c r="BE232" s="4" t="str">
        <f>IF(AND(X232&lt;&gt;""),ROUND(X232/SI!$C$10,2),"")</f>
        <v/>
      </c>
      <c r="BF232" s="4" t="str">
        <f t="shared" si="103"/>
        <v/>
      </c>
      <c r="BG232" s="264" t="str">
        <f t="shared" si="102"/>
        <v/>
      </c>
      <c r="BH232" s="71" t="str">
        <f>IF(F232&lt;&gt;"",VLOOKUP(F232,DUTY_2025!A:O,15,FALSE),"")</f>
        <v/>
      </c>
    </row>
    <row r="233" spans="1:60" x14ac:dyDescent="0.25">
      <c r="A233" s="133">
        <f t="shared" si="78"/>
        <v>66</v>
      </c>
      <c r="B233" s="83" t="str">
        <f t="shared" si="79"/>
        <v/>
      </c>
      <c r="C233" s="126"/>
      <c r="D233" s="130"/>
      <c r="E233" s="22"/>
      <c r="F233" s="85"/>
      <c r="G233" s="27" t="str">
        <f>IF(F233&lt;&gt;"",IFERROR(VLOOKUP(F233,DUTY_2025!A:I,6,FALSE),""),"")</f>
        <v/>
      </c>
      <c r="H233" s="85" t="s">
        <v>133</v>
      </c>
      <c r="I233" s="27" t="str">
        <f>IF(F233&lt;&gt;"",IFERROR(VLOOKUP(F233,DUTY_2025!A:H,2,FALSE),""),"")</f>
        <v/>
      </c>
      <c r="J233" s="98"/>
      <c r="K233" s="98"/>
      <c r="L233" s="22"/>
      <c r="M233" s="22"/>
      <c r="N233" s="84"/>
      <c r="O233" s="22"/>
      <c r="P233" s="116"/>
      <c r="Q233" s="23"/>
      <c r="R233" s="27"/>
      <c r="S233" s="86" t="str">
        <f t="shared" si="80"/>
        <v/>
      </c>
      <c r="T233" s="87" t="str">
        <f t="shared" si="81"/>
        <v/>
      </c>
      <c r="U233" s="87" t="str" cm="1">
        <f t="array" ref="U233">IF(AND(H233&lt;&gt;"YES",P233&lt;&gt;"",R233&lt;&gt;"",Q233&lt;&gt;""),
_xlfn.SWITCH(Q233,
"INR",_xlfn.SWITCH(R233,"KG",P233*S233,"CTN",P233,"UNIT",P233*N233,"NET",P233/M233,0),
"USD",_xlfn.SWITCH(R233,"KG",P233*S233*SI!$C$10,"CTN",P233*SI!$C$10,"UNIT",P233*N233*SI!$C$10,"NET",P233*SI!$C$10/M233,0),
"LKR",_xlfn.SWITCH(R233,"KG",P233*S233/SI!$C$9,"CTN",P233/SI!$C$9,"UNIT",P233*N233/SI!$C$9,"NET",P233/(M233*SI!$C$9),0),
0),
"")</f>
        <v/>
      </c>
      <c r="V233" s="87" t="str">
        <f t="shared" si="82"/>
        <v/>
      </c>
      <c r="W233" s="87" t="str">
        <f t="shared" si="83"/>
        <v/>
      </c>
      <c r="X233" s="88" t="str">
        <f t="shared" si="84"/>
        <v/>
      </c>
      <c r="Y233" s="24" t="str">
        <f t="shared" si="85"/>
        <v/>
      </c>
      <c r="Z233" s="267" t="str">
        <f>IF(AND(H233&lt;&gt;"yes",F233&lt;&gt;""),IFERROR(VLOOKUP(F233,DUTY_2025!A:F,5,FALSE),""),"")</f>
        <v/>
      </c>
      <c r="AA233" s="271" t="str">
        <f t="shared" si="86"/>
        <v/>
      </c>
      <c r="AB233" s="16" t="str">
        <f t="shared" si="87"/>
        <v/>
      </c>
      <c r="AC233" s="16" t="str">
        <f>IF(AA233&lt;&gt;"",ROUND(AA233*SI!$C$9,0),"")</f>
        <v/>
      </c>
      <c r="AD233" s="4" t="str">
        <f>IF(AC233&lt;&gt;"",ROUND(AC233/(SI!$C$9*SI!$C$10),2),"")</f>
        <v/>
      </c>
      <c r="AE233" s="30" t="str">
        <f>IF(AND(X233&lt;&gt;""), ROUND((SI!$E$23)*(X233/SUM($X$5:$X$493)),0),"")</f>
        <v/>
      </c>
      <c r="AF233" s="272" t="str">
        <f t="shared" si="88"/>
        <v/>
      </c>
      <c r="AG233" s="28" t="str">
        <f t="shared" si="89"/>
        <v/>
      </c>
      <c r="AH233" s="4" t="str">
        <f>IF(AD233&lt;&gt;"",ROUND(AD233*10*SI!$C$9/2,0),"")</f>
        <v/>
      </c>
      <c r="AI233" s="29" t="str">
        <f>IF(AND(X233&lt;&gt;""), ROUND((SI!$E$28)*(X233/SUM($X$5:$X$493)),0),"")</f>
        <v/>
      </c>
      <c r="AJ233" s="4" t="str">
        <f t="shared" si="90"/>
        <v/>
      </c>
      <c r="AK233" s="4" t="str">
        <f t="shared" si="91"/>
        <v/>
      </c>
      <c r="AL233" s="4" t="str">
        <f t="shared" si="92"/>
        <v/>
      </c>
      <c r="AM233" s="4" t="str">
        <f t="shared" si="93"/>
        <v/>
      </c>
      <c r="AN233" s="195" t="str">
        <f t="shared" si="94"/>
        <v/>
      </c>
      <c r="AO233" s="261" t="str">
        <f>IF(AND(AM233&lt;&gt;"",P233&lt;&gt;""),ROUND((AM233*((100+SI!$C$11)/100)),0),"")</f>
        <v/>
      </c>
      <c r="AP233" s="28" t="str">
        <f>IF(AG233&lt;&gt;"",ROUND(AG233/SI!$C$9,2),"")</f>
        <v/>
      </c>
      <c r="AQ233" s="4" t="str">
        <f>IF(AH233&lt;&gt;"",ROUND(AH233/SI!$C$9,2),"")</f>
        <v/>
      </c>
      <c r="AR233" s="29" t="str">
        <f>IF(AI233&lt;&gt;"",ROUND(AI233/SI!$C$9,2),"")</f>
        <v/>
      </c>
      <c r="AS233" s="4" t="str">
        <f t="shared" si="95"/>
        <v/>
      </c>
      <c r="AT233" s="4" t="str">
        <f t="shared" si="96"/>
        <v/>
      </c>
      <c r="AU233" s="4" t="str">
        <f>IF(AL233&lt;&gt;"",ROUND(AL233/SI!$C$9,2),"")</f>
        <v/>
      </c>
      <c r="AV233" s="4" t="str">
        <f>IF(AM233&lt;&gt;"",ROUND(AM233/SI!$C$9,2),"")</f>
        <v/>
      </c>
      <c r="AW233" s="4" t="str">
        <f>IF(AN233&lt;&gt;"",ROUND(AN233/SI!$C$9,2),"")</f>
        <v/>
      </c>
      <c r="AX233" s="261" t="str">
        <f>IF(AO233&lt;&gt;"",ROUND(AO233/SI!$C$9,2),"")</f>
        <v/>
      </c>
      <c r="AY233" s="28" t="str">
        <f t="shared" si="97"/>
        <v/>
      </c>
      <c r="AZ233" s="4" t="str">
        <f>IF(AY233&lt;&gt;"",ROUND(AY233/(SI!$C$9*SI!$C$10),2),"")</f>
        <v/>
      </c>
      <c r="BA233" s="4" t="str">
        <f t="shared" si="98"/>
        <v/>
      </c>
      <c r="BB233" s="4" t="str">
        <f t="shared" si="99"/>
        <v/>
      </c>
      <c r="BC233" s="4" t="str">
        <f t="shared" si="100"/>
        <v/>
      </c>
      <c r="BD233" s="4" t="str">
        <f t="shared" si="101"/>
        <v/>
      </c>
      <c r="BE233" s="4" t="str">
        <f>IF(AND(X233&lt;&gt;""),ROUND(X233/SI!$C$10,2),"")</f>
        <v/>
      </c>
      <c r="BF233" s="4" t="str">
        <f t="shared" si="103"/>
        <v/>
      </c>
      <c r="BG233" s="264" t="str">
        <f t="shared" si="102"/>
        <v/>
      </c>
      <c r="BH233" s="71" t="str">
        <f>IF(F233&lt;&gt;"",VLOOKUP(F233,DUTY_2025!A:O,15,FALSE),"")</f>
        <v/>
      </c>
    </row>
    <row r="234" spans="1:60" x14ac:dyDescent="0.25">
      <c r="A234" s="133">
        <f t="shared" si="78"/>
        <v>66</v>
      </c>
      <c r="B234" s="83" t="str">
        <f t="shared" si="79"/>
        <v/>
      </c>
      <c r="C234" s="126"/>
      <c r="D234" s="130"/>
      <c r="E234" s="22"/>
      <c r="F234" s="85"/>
      <c r="G234" s="27" t="str">
        <f>IF(F234&lt;&gt;"",IFERROR(VLOOKUP(F234,DUTY_2025!A:I,6,FALSE),""),"")</f>
        <v/>
      </c>
      <c r="H234" s="85" t="s">
        <v>133</v>
      </c>
      <c r="I234" s="27" t="str">
        <f>IF(F234&lt;&gt;"",IFERROR(VLOOKUP(F234,DUTY_2025!A:H,2,FALSE),""),"")</f>
        <v/>
      </c>
      <c r="J234" s="98"/>
      <c r="K234" s="98"/>
      <c r="L234" s="22"/>
      <c r="M234" s="22"/>
      <c r="N234" s="84"/>
      <c r="O234" s="22"/>
      <c r="P234" s="116"/>
      <c r="Q234" s="23"/>
      <c r="R234" s="27"/>
      <c r="S234" s="86" t="str">
        <f t="shared" si="80"/>
        <v/>
      </c>
      <c r="T234" s="87" t="str">
        <f t="shared" si="81"/>
        <v/>
      </c>
      <c r="U234" s="87" t="str" cm="1">
        <f t="array" ref="U234">IF(AND(H234&lt;&gt;"YES",P234&lt;&gt;"",R234&lt;&gt;"",Q234&lt;&gt;""),
_xlfn.SWITCH(Q234,
"INR",_xlfn.SWITCH(R234,"KG",P234*S234,"CTN",P234,"UNIT",P234*N234,"NET",P234/M234,0),
"USD",_xlfn.SWITCH(R234,"KG",P234*S234*SI!$C$10,"CTN",P234*SI!$C$10,"UNIT",P234*N234*SI!$C$10,"NET",P234*SI!$C$10/M234,0),
"LKR",_xlfn.SWITCH(R234,"KG",P234*S234/SI!$C$9,"CTN",P234/SI!$C$9,"UNIT",P234*N234/SI!$C$9,"NET",P234/(M234*SI!$C$9),0),
0),
"")</f>
        <v/>
      </c>
      <c r="V234" s="87" t="str">
        <f t="shared" si="82"/>
        <v/>
      </c>
      <c r="W234" s="87" t="str">
        <f t="shared" si="83"/>
        <v/>
      </c>
      <c r="X234" s="88" t="str">
        <f t="shared" si="84"/>
        <v/>
      </c>
      <c r="Y234" s="24" t="str">
        <f t="shared" si="85"/>
        <v/>
      </c>
      <c r="Z234" s="267" t="str">
        <f>IF(AND(H234&lt;&gt;"yes",F234&lt;&gt;""),IFERROR(VLOOKUP(F234,DUTY_2025!A:F,5,FALSE),""),"")</f>
        <v/>
      </c>
      <c r="AA234" s="271" t="str">
        <f t="shared" si="86"/>
        <v/>
      </c>
      <c r="AB234" s="16" t="str">
        <f t="shared" si="87"/>
        <v/>
      </c>
      <c r="AC234" s="16" t="str">
        <f>IF(AA234&lt;&gt;"",ROUND(AA234*SI!$C$9,0),"")</f>
        <v/>
      </c>
      <c r="AD234" s="4" t="str">
        <f>IF(AC234&lt;&gt;"",ROUND(AC234/(SI!$C$9*SI!$C$10),2),"")</f>
        <v/>
      </c>
      <c r="AE234" s="30" t="str">
        <f>IF(AND(X234&lt;&gt;""), ROUND((SI!$E$23)*(X234/SUM($X$5:$X$493)),0),"")</f>
        <v/>
      </c>
      <c r="AF234" s="272" t="str">
        <f t="shared" si="88"/>
        <v/>
      </c>
      <c r="AG234" s="28" t="str">
        <f t="shared" si="89"/>
        <v/>
      </c>
      <c r="AH234" s="4" t="str">
        <f>IF(AD234&lt;&gt;"",ROUND(AD234*10*SI!$C$9/2,0),"")</f>
        <v/>
      </c>
      <c r="AI234" s="29" t="str">
        <f>IF(AND(X234&lt;&gt;""), ROUND((SI!$E$28)*(X234/SUM($X$5:$X$493)),0),"")</f>
        <v/>
      </c>
      <c r="AJ234" s="4" t="str">
        <f t="shared" si="90"/>
        <v/>
      </c>
      <c r="AK234" s="4" t="str">
        <f t="shared" si="91"/>
        <v/>
      </c>
      <c r="AL234" s="4" t="str">
        <f t="shared" si="92"/>
        <v/>
      </c>
      <c r="AM234" s="4" t="str">
        <f t="shared" si="93"/>
        <v/>
      </c>
      <c r="AN234" s="195" t="str">
        <f t="shared" si="94"/>
        <v/>
      </c>
      <c r="AO234" s="261" t="str">
        <f>IF(AND(AM234&lt;&gt;"",P234&lt;&gt;""),ROUND((AM234*((100+SI!$C$11)/100)),0),"")</f>
        <v/>
      </c>
      <c r="AP234" s="28" t="str">
        <f>IF(AG234&lt;&gt;"",ROUND(AG234/SI!$C$9,2),"")</f>
        <v/>
      </c>
      <c r="AQ234" s="4" t="str">
        <f>IF(AH234&lt;&gt;"",ROUND(AH234/SI!$C$9,2),"")</f>
        <v/>
      </c>
      <c r="AR234" s="29" t="str">
        <f>IF(AI234&lt;&gt;"",ROUND(AI234/SI!$C$9,2),"")</f>
        <v/>
      </c>
      <c r="AS234" s="4" t="str">
        <f t="shared" si="95"/>
        <v/>
      </c>
      <c r="AT234" s="4" t="str">
        <f t="shared" si="96"/>
        <v/>
      </c>
      <c r="AU234" s="4" t="str">
        <f>IF(AL234&lt;&gt;"",ROUND(AL234/SI!$C$9,2),"")</f>
        <v/>
      </c>
      <c r="AV234" s="4" t="str">
        <f>IF(AM234&lt;&gt;"",ROUND(AM234/SI!$C$9,2),"")</f>
        <v/>
      </c>
      <c r="AW234" s="4" t="str">
        <f>IF(AN234&lt;&gt;"",ROUND(AN234/SI!$C$9,2),"")</f>
        <v/>
      </c>
      <c r="AX234" s="261" t="str">
        <f>IF(AO234&lt;&gt;"",ROUND(AO234/SI!$C$9,2),"")</f>
        <v/>
      </c>
      <c r="AY234" s="28" t="str">
        <f t="shared" si="97"/>
        <v/>
      </c>
      <c r="AZ234" s="4" t="str">
        <f>IF(AY234&lt;&gt;"",ROUND(AY234/(SI!$C$9*SI!$C$10),2),"")</f>
        <v/>
      </c>
      <c r="BA234" s="4" t="str">
        <f t="shared" si="98"/>
        <v/>
      </c>
      <c r="BB234" s="4" t="str">
        <f t="shared" si="99"/>
        <v/>
      </c>
      <c r="BC234" s="4" t="str">
        <f t="shared" si="100"/>
        <v/>
      </c>
      <c r="BD234" s="4" t="str">
        <f t="shared" si="101"/>
        <v/>
      </c>
      <c r="BE234" s="4" t="str">
        <f>IF(AND(X234&lt;&gt;""),ROUND(X234/SI!$C$10,2),"")</f>
        <v/>
      </c>
      <c r="BF234" s="4" t="str">
        <f t="shared" si="103"/>
        <v/>
      </c>
      <c r="BG234" s="264" t="str">
        <f t="shared" si="102"/>
        <v/>
      </c>
      <c r="BH234" s="71" t="str">
        <f>IF(F234&lt;&gt;"",VLOOKUP(F234,DUTY_2025!A:O,15,FALSE),"")</f>
        <v/>
      </c>
    </row>
    <row r="235" spans="1:60" x14ac:dyDescent="0.25">
      <c r="A235" s="133">
        <f t="shared" si="78"/>
        <v>66</v>
      </c>
      <c r="B235" s="83" t="str">
        <f t="shared" si="79"/>
        <v/>
      </c>
      <c r="C235" s="126"/>
      <c r="D235" s="130"/>
      <c r="E235" s="22"/>
      <c r="F235" s="85"/>
      <c r="G235" s="27" t="str">
        <f>IF(F235&lt;&gt;"",IFERROR(VLOOKUP(F235,DUTY_2025!A:I,6,FALSE),""),"")</f>
        <v/>
      </c>
      <c r="H235" s="85" t="s">
        <v>133</v>
      </c>
      <c r="I235" s="27" t="str">
        <f>IF(F235&lt;&gt;"",IFERROR(VLOOKUP(F235,DUTY_2025!A:H,2,FALSE),""),"")</f>
        <v/>
      </c>
      <c r="J235" s="98"/>
      <c r="K235" s="98"/>
      <c r="L235" s="22"/>
      <c r="M235" s="22"/>
      <c r="N235" s="84"/>
      <c r="O235" s="22"/>
      <c r="P235" s="116"/>
      <c r="Q235" s="23"/>
      <c r="R235" s="27"/>
      <c r="S235" s="86" t="str">
        <f t="shared" si="80"/>
        <v/>
      </c>
      <c r="T235" s="87" t="str">
        <f t="shared" si="81"/>
        <v/>
      </c>
      <c r="U235" s="87" t="str" cm="1">
        <f t="array" ref="U235">IF(AND(H235&lt;&gt;"YES",P235&lt;&gt;"",R235&lt;&gt;"",Q235&lt;&gt;""),
_xlfn.SWITCH(Q235,
"INR",_xlfn.SWITCH(R235,"KG",P235*S235,"CTN",P235,"UNIT",P235*N235,"NET",P235/M235,0),
"USD",_xlfn.SWITCH(R235,"KG",P235*S235*SI!$C$10,"CTN",P235*SI!$C$10,"UNIT",P235*N235*SI!$C$10,"NET",P235*SI!$C$10/M235,0),
"LKR",_xlfn.SWITCH(R235,"KG",P235*S235/SI!$C$9,"CTN",P235/SI!$C$9,"UNIT",P235*N235/SI!$C$9,"NET",P235/(M235*SI!$C$9),0),
0),
"")</f>
        <v/>
      </c>
      <c r="V235" s="87" t="str">
        <f t="shared" si="82"/>
        <v/>
      </c>
      <c r="W235" s="87" t="str">
        <f t="shared" si="83"/>
        <v/>
      </c>
      <c r="X235" s="88" t="str">
        <f t="shared" si="84"/>
        <v/>
      </c>
      <c r="Y235" s="24" t="str">
        <f t="shared" si="85"/>
        <v/>
      </c>
      <c r="Z235" s="267" t="str">
        <f>IF(AND(H235&lt;&gt;"yes",F235&lt;&gt;""),IFERROR(VLOOKUP(F235,DUTY_2025!A:F,5,FALSE),""),"")</f>
        <v/>
      </c>
      <c r="AA235" s="271" t="str">
        <f t="shared" si="86"/>
        <v/>
      </c>
      <c r="AB235" s="16" t="str">
        <f t="shared" si="87"/>
        <v/>
      </c>
      <c r="AC235" s="16" t="str">
        <f>IF(AA235&lt;&gt;"",ROUND(AA235*SI!$C$9,0),"")</f>
        <v/>
      </c>
      <c r="AD235" s="4" t="str">
        <f>IF(AC235&lt;&gt;"",ROUND(AC235/(SI!$C$9*SI!$C$10),2),"")</f>
        <v/>
      </c>
      <c r="AE235" s="30" t="str">
        <f>IF(AND(X235&lt;&gt;""), ROUND((SI!$E$23)*(X235/SUM($X$5:$X$493)),0),"")</f>
        <v/>
      </c>
      <c r="AF235" s="272" t="str">
        <f t="shared" si="88"/>
        <v/>
      </c>
      <c r="AG235" s="28" t="str">
        <f t="shared" si="89"/>
        <v/>
      </c>
      <c r="AH235" s="4" t="str">
        <f>IF(AD235&lt;&gt;"",ROUND(AD235*10*SI!$C$9/2,0),"")</f>
        <v/>
      </c>
      <c r="AI235" s="29" t="str">
        <f>IF(AND(X235&lt;&gt;""), ROUND((SI!$E$28)*(X235/SUM($X$5:$X$493)),0),"")</f>
        <v/>
      </c>
      <c r="AJ235" s="4" t="str">
        <f t="shared" si="90"/>
        <v/>
      </c>
      <c r="AK235" s="4" t="str">
        <f t="shared" si="91"/>
        <v/>
      </c>
      <c r="AL235" s="4" t="str">
        <f t="shared" si="92"/>
        <v/>
      </c>
      <c r="AM235" s="4" t="str">
        <f t="shared" si="93"/>
        <v/>
      </c>
      <c r="AN235" s="195" t="str">
        <f t="shared" si="94"/>
        <v/>
      </c>
      <c r="AO235" s="261" t="str">
        <f>IF(AND(AM235&lt;&gt;"",P235&lt;&gt;""),ROUND((AM235*((100+SI!$C$11)/100)),0),"")</f>
        <v/>
      </c>
      <c r="AP235" s="28" t="str">
        <f>IF(AG235&lt;&gt;"",ROUND(AG235/SI!$C$9,2),"")</f>
        <v/>
      </c>
      <c r="AQ235" s="4" t="str">
        <f>IF(AH235&lt;&gt;"",ROUND(AH235/SI!$C$9,2),"")</f>
        <v/>
      </c>
      <c r="AR235" s="29" t="str">
        <f>IF(AI235&lt;&gt;"",ROUND(AI235/SI!$C$9,2),"")</f>
        <v/>
      </c>
      <c r="AS235" s="4" t="str">
        <f t="shared" si="95"/>
        <v/>
      </c>
      <c r="AT235" s="4" t="str">
        <f t="shared" si="96"/>
        <v/>
      </c>
      <c r="AU235" s="4" t="str">
        <f>IF(AL235&lt;&gt;"",ROUND(AL235/SI!$C$9,2),"")</f>
        <v/>
      </c>
      <c r="AV235" s="4" t="str">
        <f>IF(AM235&lt;&gt;"",ROUND(AM235/SI!$C$9,2),"")</f>
        <v/>
      </c>
      <c r="AW235" s="4" t="str">
        <f>IF(AN235&lt;&gt;"",ROUND(AN235/SI!$C$9,2),"")</f>
        <v/>
      </c>
      <c r="AX235" s="261" t="str">
        <f>IF(AO235&lt;&gt;"",ROUND(AO235/SI!$C$9,2),"")</f>
        <v/>
      </c>
      <c r="AY235" s="28" t="str">
        <f t="shared" si="97"/>
        <v/>
      </c>
      <c r="AZ235" s="4" t="str">
        <f>IF(AY235&lt;&gt;"",ROUND(AY235/(SI!$C$9*SI!$C$10),2),"")</f>
        <v/>
      </c>
      <c r="BA235" s="4" t="str">
        <f t="shared" si="98"/>
        <v/>
      </c>
      <c r="BB235" s="4" t="str">
        <f t="shared" si="99"/>
        <v/>
      </c>
      <c r="BC235" s="4" t="str">
        <f t="shared" si="100"/>
        <v/>
      </c>
      <c r="BD235" s="4" t="str">
        <f t="shared" si="101"/>
        <v/>
      </c>
      <c r="BE235" s="4" t="str">
        <f>IF(AND(X235&lt;&gt;""),ROUND(X235/SI!$C$10,2),"")</f>
        <v/>
      </c>
      <c r="BF235" s="4" t="str">
        <f t="shared" si="103"/>
        <v/>
      </c>
      <c r="BG235" s="264" t="str">
        <f t="shared" si="102"/>
        <v/>
      </c>
      <c r="BH235" s="71" t="str">
        <f>IF(F235&lt;&gt;"",VLOOKUP(F235,DUTY_2025!A:O,15,FALSE),"")</f>
        <v/>
      </c>
    </row>
    <row r="236" spans="1:60" x14ac:dyDescent="0.25">
      <c r="A236" s="133">
        <f t="shared" si="78"/>
        <v>66</v>
      </c>
      <c r="B236" s="83" t="str">
        <f t="shared" si="79"/>
        <v/>
      </c>
      <c r="C236" s="126"/>
      <c r="D236" s="130"/>
      <c r="E236" s="22"/>
      <c r="F236" s="85"/>
      <c r="G236" s="27" t="str">
        <f>IF(F236&lt;&gt;"",IFERROR(VLOOKUP(F236,DUTY_2025!A:I,6,FALSE),""),"")</f>
        <v/>
      </c>
      <c r="H236" s="85" t="s">
        <v>133</v>
      </c>
      <c r="I236" s="27" t="str">
        <f>IF(F236&lt;&gt;"",IFERROR(VLOOKUP(F236,DUTY_2025!A:H,2,FALSE),""),"")</f>
        <v/>
      </c>
      <c r="J236" s="98"/>
      <c r="K236" s="98"/>
      <c r="L236" s="22"/>
      <c r="M236" s="22"/>
      <c r="N236" s="84"/>
      <c r="O236" s="22"/>
      <c r="P236" s="116"/>
      <c r="Q236" s="23"/>
      <c r="R236" s="27"/>
      <c r="S236" s="86" t="str">
        <f t="shared" si="80"/>
        <v/>
      </c>
      <c r="T236" s="87" t="str">
        <f t="shared" si="81"/>
        <v/>
      </c>
      <c r="U236" s="87" t="str" cm="1">
        <f t="array" ref="U236">IF(AND(H236&lt;&gt;"YES",P236&lt;&gt;"",R236&lt;&gt;"",Q236&lt;&gt;""),
_xlfn.SWITCH(Q236,
"INR",_xlfn.SWITCH(R236,"KG",P236*S236,"CTN",P236,"UNIT",P236*N236,"NET",P236/M236,0),
"USD",_xlfn.SWITCH(R236,"KG",P236*S236*SI!$C$10,"CTN",P236*SI!$C$10,"UNIT",P236*N236*SI!$C$10,"NET",P236*SI!$C$10/M236,0),
"LKR",_xlfn.SWITCH(R236,"KG",P236*S236/SI!$C$9,"CTN",P236/SI!$C$9,"UNIT",P236*N236/SI!$C$9,"NET",P236/(M236*SI!$C$9),0),
0),
"")</f>
        <v/>
      </c>
      <c r="V236" s="87" t="str">
        <f t="shared" si="82"/>
        <v/>
      </c>
      <c r="W236" s="87" t="str">
        <f t="shared" si="83"/>
        <v/>
      </c>
      <c r="X236" s="88" t="str">
        <f t="shared" si="84"/>
        <v/>
      </c>
      <c r="Y236" s="24" t="str">
        <f t="shared" si="85"/>
        <v/>
      </c>
      <c r="Z236" s="267" t="str">
        <f>IF(AND(H236&lt;&gt;"yes",F236&lt;&gt;""),IFERROR(VLOOKUP(F236,DUTY_2025!A:F,5,FALSE),""),"")</f>
        <v/>
      </c>
      <c r="AA236" s="271" t="str">
        <f t="shared" si="86"/>
        <v/>
      </c>
      <c r="AB236" s="16" t="str">
        <f t="shared" si="87"/>
        <v/>
      </c>
      <c r="AC236" s="16" t="str">
        <f>IF(AA236&lt;&gt;"",ROUND(AA236*SI!$C$9,0),"")</f>
        <v/>
      </c>
      <c r="AD236" s="4" t="str">
        <f>IF(AC236&lt;&gt;"",ROUND(AC236/(SI!$C$9*SI!$C$10),2),"")</f>
        <v/>
      </c>
      <c r="AE236" s="30" t="str">
        <f>IF(AND(X236&lt;&gt;""), ROUND((SI!$E$23)*(X236/SUM($X$5:$X$493)),0),"")</f>
        <v/>
      </c>
      <c r="AF236" s="272" t="str">
        <f t="shared" si="88"/>
        <v/>
      </c>
      <c r="AG236" s="28" t="str">
        <f t="shared" si="89"/>
        <v/>
      </c>
      <c r="AH236" s="4" t="str">
        <f>IF(AD236&lt;&gt;"",ROUND(AD236*10*SI!$C$9/2,0),"")</f>
        <v/>
      </c>
      <c r="AI236" s="29" t="str">
        <f>IF(AND(X236&lt;&gt;""), ROUND((SI!$E$28)*(X236/SUM($X$5:$X$493)),0),"")</f>
        <v/>
      </c>
      <c r="AJ236" s="4" t="str">
        <f t="shared" si="90"/>
        <v/>
      </c>
      <c r="AK236" s="4" t="str">
        <f t="shared" si="91"/>
        <v/>
      </c>
      <c r="AL236" s="4" t="str">
        <f t="shared" si="92"/>
        <v/>
      </c>
      <c r="AM236" s="4" t="str">
        <f t="shared" si="93"/>
        <v/>
      </c>
      <c r="AN236" s="195" t="str">
        <f t="shared" si="94"/>
        <v/>
      </c>
      <c r="AO236" s="261" t="str">
        <f>IF(AND(AM236&lt;&gt;"",P236&lt;&gt;""),ROUND((AM236*((100+SI!$C$11)/100)),0),"")</f>
        <v/>
      </c>
      <c r="AP236" s="28" t="str">
        <f>IF(AG236&lt;&gt;"",ROUND(AG236/SI!$C$9,2),"")</f>
        <v/>
      </c>
      <c r="AQ236" s="4" t="str">
        <f>IF(AH236&lt;&gt;"",ROUND(AH236/SI!$C$9,2),"")</f>
        <v/>
      </c>
      <c r="AR236" s="29" t="str">
        <f>IF(AI236&lt;&gt;"",ROUND(AI236/SI!$C$9,2),"")</f>
        <v/>
      </c>
      <c r="AS236" s="4" t="str">
        <f t="shared" si="95"/>
        <v/>
      </c>
      <c r="AT236" s="4" t="str">
        <f t="shared" si="96"/>
        <v/>
      </c>
      <c r="AU236" s="4" t="str">
        <f>IF(AL236&lt;&gt;"",ROUND(AL236/SI!$C$9,2),"")</f>
        <v/>
      </c>
      <c r="AV236" s="4" t="str">
        <f>IF(AM236&lt;&gt;"",ROUND(AM236/SI!$C$9,2),"")</f>
        <v/>
      </c>
      <c r="AW236" s="4" t="str">
        <f>IF(AN236&lt;&gt;"",ROUND(AN236/SI!$C$9,2),"")</f>
        <v/>
      </c>
      <c r="AX236" s="261" t="str">
        <f>IF(AO236&lt;&gt;"",ROUND(AO236/SI!$C$9,2),"")</f>
        <v/>
      </c>
      <c r="AY236" s="28" t="str">
        <f t="shared" si="97"/>
        <v/>
      </c>
      <c r="AZ236" s="4" t="str">
        <f>IF(AY236&lt;&gt;"",ROUND(AY236/(SI!$C$9*SI!$C$10),2),"")</f>
        <v/>
      </c>
      <c r="BA236" s="4" t="str">
        <f t="shared" si="98"/>
        <v/>
      </c>
      <c r="BB236" s="4" t="str">
        <f t="shared" si="99"/>
        <v/>
      </c>
      <c r="BC236" s="4" t="str">
        <f t="shared" si="100"/>
        <v/>
      </c>
      <c r="BD236" s="4" t="str">
        <f t="shared" si="101"/>
        <v/>
      </c>
      <c r="BE236" s="4" t="str">
        <f>IF(AND(X236&lt;&gt;""),ROUND(X236/SI!$C$10,2),"")</f>
        <v/>
      </c>
      <c r="BF236" s="4" t="str">
        <f t="shared" si="103"/>
        <v/>
      </c>
      <c r="BG236" s="264" t="str">
        <f t="shared" si="102"/>
        <v/>
      </c>
      <c r="BH236" s="71" t="str">
        <f>IF(F236&lt;&gt;"",VLOOKUP(F236,DUTY_2025!A:O,15,FALSE),"")</f>
        <v/>
      </c>
    </row>
    <row r="237" spans="1:60" x14ac:dyDescent="0.25">
      <c r="A237" s="133">
        <f t="shared" si="78"/>
        <v>66</v>
      </c>
      <c r="B237" s="83" t="str">
        <f t="shared" si="79"/>
        <v/>
      </c>
      <c r="C237" s="126"/>
      <c r="D237" s="130"/>
      <c r="E237" s="22"/>
      <c r="F237" s="85"/>
      <c r="G237" s="27" t="str">
        <f>IF(F237&lt;&gt;"",IFERROR(VLOOKUP(F237,DUTY_2025!A:I,6,FALSE),""),"")</f>
        <v/>
      </c>
      <c r="H237" s="85" t="s">
        <v>133</v>
      </c>
      <c r="I237" s="27" t="str">
        <f>IF(F237&lt;&gt;"",IFERROR(VLOOKUP(F237,DUTY_2025!A:H,2,FALSE),""),"")</f>
        <v/>
      </c>
      <c r="J237" s="98"/>
      <c r="K237" s="98"/>
      <c r="L237" s="22"/>
      <c r="M237" s="22"/>
      <c r="N237" s="84"/>
      <c r="O237" s="22"/>
      <c r="P237" s="116"/>
      <c r="Q237" s="23"/>
      <c r="R237" s="27"/>
      <c r="S237" s="86" t="str">
        <f t="shared" si="80"/>
        <v/>
      </c>
      <c r="T237" s="87" t="str">
        <f t="shared" si="81"/>
        <v/>
      </c>
      <c r="U237" s="87" t="str" cm="1">
        <f t="array" ref="U237">IF(AND(H237&lt;&gt;"YES",P237&lt;&gt;"",R237&lt;&gt;"",Q237&lt;&gt;""),
_xlfn.SWITCH(Q237,
"INR",_xlfn.SWITCH(R237,"KG",P237*S237,"CTN",P237,"UNIT",P237*N237,"NET",P237/M237,0),
"USD",_xlfn.SWITCH(R237,"KG",P237*S237*SI!$C$10,"CTN",P237*SI!$C$10,"UNIT",P237*N237*SI!$C$10,"NET",P237*SI!$C$10/M237,0),
"LKR",_xlfn.SWITCH(R237,"KG",P237*S237/SI!$C$9,"CTN",P237/SI!$C$9,"UNIT",P237*N237/SI!$C$9,"NET",P237/(M237*SI!$C$9),0),
0),
"")</f>
        <v/>
      </c>
      <c r="V237" s="87" t="str">
        <f t="shared" si="82"/>
        <v/>
      </c>
      <c r="W237" s="87" t="str">
        <f t="shared" si="83"/>
        <v/>
      </c>
      <c r="X237" s="88" t="str">
        <f t="shared" si="84"/>
        <v/>
      </c>
      <c r="Y237" s="24" t="str">
        <f t="shared" si="85"/>
        <v/>
      </c>
      <c r="Z237" s="267" t="str">
        <f>IF(AND(H237&lt;&gt;"yes",F237&lt;&gt;""),IFERROR(VLOOKUP(F237,DUTY_2025!A:F,5,FALSE),""),"")</f>
        <v/>
      </c>
      <c r="AA237" s="271" t="str">
        <f t="shared" si="86"/>
        <v/>
      </c>
      <c r="AB237" s="16" t="str">
        <f t="shared" si="87"/>
        <v/>
      </c>
      <c r="AC237" s="16" t="str">
        <f>IF(AA237&lt;&gt;"",ROUND(AA237*SI!$C$9,0),"")</f>
        <v/>
      </c>
      <c r="AD237" s="4" t="str">
        <f>IF(AC237&lt;&gt;"",ROUND(AC237/(SI!$C$9*SI!$C$10),2),"")</f>
        <v/>
      </c>
      <c r="AE237" s="30" t="str">
        <f>IF(AND(X237&lt;&gt;""), ROUND((SI!$E$23)*(X237/SUM($X$5:$X$493)),0),"")</f>
        <v/>
      </c>
      <c r="AF237" s="272" t="str">
        <f t="shared" si="88"/>
        <v/>
      </c>
      <c r="AG237" s="28" t="str">
        <f t="shared" si="89"/>
        <v/>
      </c>
      <c r="AH237" s="4" t="str">
        <f>IF(AD237&lt;&gt;"",ROUND(AD237*10*SI!$C$9/2,0),"")</f>
        <v/>
      </c>
      <c r="AI237" s="29" t="str">
        <f>IF(AND(X237&lt;&gt;""), ROUND((SI!$E$28)*(X237/SUM($X$5:$X$493)),0),"")</f>
        <v/>
      </c>
      <c r="AJ237" s="4" t="str">
        <f t="shared" si="90"/>
        <v/>
      </c>
      <c r="AK237" s="4" t="str">
        <f t="shared" si="91"/>
        <v/>
      </c>
      <c r="AL237" s="4" t="str">
        <f t="shared" si="92"/>
        <v/>
      </c>
      <c r="AM237" s="4" t="str">
        <f t="shared" si="93"/>
        <v/>
      </c>
      <c r="AN237" s="195" t="str">
        <f t="shared" si="94"/>
        <v/>
      </c>
      <c r="AO237" s="261" t="str">
        <f>IF(AND(AM237&lt;&gt;"",P237&lt;&gt;""),ROUND((AM237*((100+SI!$C$11)/100)),0),"")</f>
        <v/>
      </c>
      <c r="AP237" s="28" t="str">
        <f>IF(AG237&lt;&gt;"",ROUND(AG237/SI!$C$9,2),"")</f>
        <v/>
      </c>
      <c r="AQ237" s="4" t="str">
        <f>IF(AH237&lt;&gt;"",ROUND(AH237/SI!$C$9,2),"")</f>
        <v/>
      </c>
      <c r="AR237" s="29" t="str">
        <f>IF(AI237&lt;&gt;"",ROUND(AI237/SI!$C$9,2),"")</f>
        <v/>
      </c>
      <c r="AS237" s="4" t="str">
        <f t="shared" si="95"/>
        <v/>
      </c>
      <c r="AT237" s="4" t="str">
        <f t="shared" si="96"/>
        <v/>
      </c>
      <c r="AU237" s="4" t="str">
        <f>IF(AL237&lt;&gt;"",ROUND(AL237/SI!$C$9,2),"")</f>
        <v/>
      </c>
      <c r="AV237" s="4" t="str">
        <f>IF(AM237&lt;&gt;"",ROUND(AM237/SI!$C$9,2),"")</f>
        <v/>
      </c>
      <c r="AW237" s="4" t="str">
        <f>IF(AN237&lt;&gt;"",ROUND(AN237/SI!$C$9,2),"")</f>
        <v/>
      </c>
      <c r="AX237" s="261" t="str">
        <f>IF(AO237&lt;&gt;"",ROUND(AO237/SI!$C$9,2),"")</f>
        <v/>
      </c>
      <c r="AY237" s="28" t="str">
        <f t="shared" si="97"/>
        <v/>
      </c>
      <c r="AZ237" s="4" t="str">
        <f>IF(AY237&lt;&gt;"",ROUND(AY237/(SI!$C$9*SI!$C$10),2),"")</f>
        <v/>
      </c>
      <c r="BA237" s="4" t="str">
        <f t="shared" si="98"/>
        <v/>
      </c>
      <c r="BB237" s="4" t="str">
        <f t="shared" si="99"/>
        <v/>
      </c>
      <c r="BC237" s="4" t="str">
        <f t="shared" si="100"/>
        <v/>
      </c>
      <c r="BD237" s="4" t="str">
        <f t="shared" si="101"/>
        <v/>
      </c>
      <c r="BE237" s="4" t="str">
        <f>IF(AND(X237&lt;&gt;""),ROUND(X237/SI!$C$10,2),"")</f>
        <v/>
      </c>
      <c r="BF237" s="4" t="str">
        <f t="shared" si="103"/>
        <v/>
      </c>
      <c r="BG237" s="264" t="str">
        <f t="shared" si="102"/>
        <v/>
      </c>
      <c r="BH237" s="71" t="str">
        <f>IF(F237&lt;&gt;"",VLOOKUP(F237,DUTY_2025!A:O,15,FALSE),"")</f>
        <v/>
      </c>
    </row>
    <row r="238" spans="1:60" x14ac:dyDescent="0.25">
      <c r="A238" s="133">
        <f t="shared" si="78"/>
        <v>66</v>
      </c>
      <c r="B238" s="83" t="str">
        <f t="shared" si="79"/>
        <v/>
      </c>
      <c r="C238" s="126"/>
      <c r="D238" s="130"/>
      <c r="E238" s="22"/>
      <c r="F238" s="85"/>
      <c r="G238" s="27" t="str">
        <f>IF(F238&lt;&gt;"",IFERROR(VLOOKUP(F238,DUTY_2025!A:I,6,FALSE),""),"")</f>
        <v/>
      </c>
      <c r="H238" s="85" t="s">
        <v>133</v>
      </c>
      <c r="I238" s="27" t="str">
        <f>IF(F238&lt;&gt;"",IFERROR(VLOOKUP(F238,DUTY_2025!A:H,2,FALSE),""),"")</f>
        <v/>
      </c>
      <c r="J238" s="98"/>
      <c r="K238" s="98"/>
      <c r="L238" s="22"/>
      <c r="M238" s="22"/>
      <c r="N238" s="84"/>
      <c r="O238" s="22"/>
      <c r="P238" s="116"/>
      <c r="Q238" s="23"/>
      <c r="R238" s="27"/>
      <c r="S238" s="86" t="str">
        <f t="shared" si="80"/>
        <v/>
      </c>
      <c r="T238" s="87" t="str">
        <f t="shared" si="81"/>
        <v/>
      </c>
      <c r="U238" s="87" t="str" cm="1">
        <f t="array" ref="U238">IF(AND(H238&lt;&gt;"YES",P238&lt;&gt;"",R238&lt;&gt;"",Q238&lt;&gt;""),
_xlfn.SWITCH(Q238,
"INR",_xlfn.SWITCH(R238,"KG",P238*S238,"CTN",P238,"UNIT",P238*N238,"NET",P238/M238,0),
"USD",_xlfn.SWITCH(R238,"KG",P238*S238*SI!$C$10,"CTN",P238*SI!$C$10,"UNIT",P238*N238*SI!$C$10,"NET",P238*SI!$C$10/M238,0),
"LKR",_xlfn.SWITCH(R238,"KG",P238*S238/SI!$C$9,"CTN",P238/SI!$C$9,"UNIT",P238*N238/SI!$C$9,"NET",P238/(M238*SI!$C$9),0),
0),
"")</f>
        <v/>
      </c>
      <c r="V238" s="87" t="str">
        <f t="shared" si="82"/>
        <v/>
      </c>
      <c r="W238" s="87" t="str">
        <f t="shared" si="83"/>
        <v/>
      </c>
      <c r="X238" s="88" t="str">
        <f t="shared" si="84"/>
        <v/>
      </c>
      <c r="Y238" s="24" t="str">
        <f t="shared" si="85"/>
        <v/>
      </c>
      <c r="Z238" s="267" t="str">
        <f>IF(AND(H238&lt;&gt;"yes",F238&lt;&gt;""),IFERROR(VLOOKUP(F238,DUTY_2025!A:F,5,FALSE),""),"")</f>
        <v/>
      </c>
      <c r="AA238" s="271" t="str">
        <f t="shared" si="86"/>
        <v/>
      </c>
      <c r="AB238" s="16" t="str">
        <f t="shared" si="87"/>
        <v/>
      </c>
      <c r="AC238" s="16" t="str">
        <f>IF(AA238&lt;&gt;"",ROUND(AA238*SI!$C$9,0),"")</f>
        <v/>
      </c>
      <c r="AD238" s="4" t="str">
        <f>IF(AC238&lt;&gt;"",ROUND(AC238/(SI!$C$9*SI!$C$10),2),"")</f>
        <v/>
      </c>
      <c r="AE238" s="30" t="str">
        <f>IF(AND(X238&lt;&gt;""), ROUND((SI!$E$23)*(X238/SUM($X$5:$X$493)),0),"")</f>
        <v/>
      </c>
      <c r="AF238" s="272" t="str">
        <f t="shared" si="88"/>
        <v/>
      </c>
      <c r="AG238" s="28" t="str">
        <f t="shared" si="89"/>
        <v/>
      </c>
      <c r="AH238" s="4" t="str">
        <f>IF(AD238&lt;&gt;"",ROUND(AD238*10*SI!$C$9/2,0),"")</f>
        <v/>
      </c>
      <c r="AI238" s="29" t="str">
        <f>IF(AND(X238&lt;&gt;""), ROUND((SI!$E$28)*(X238/SUM($X$5:$X$493)),0),"")</f>
        <v/>
      </c>
      <c r="AJ238" s="4" t="str">
        <f t="shared" si="90"/>
        <v/>
      </c>
      <c r="AK238" s="4" t="str">
        <f t="shared" si="91"/>
        <v/>
      </c>
      <c r="AL238" s="4" t="str">
        <f t="shared" si="92"/>
        <v/>
      </c>
      <c r="AM238" s="4" t="str">
        <f t="shared" si="93"/>
        <v/>
      </c>
      <c r="AN238" s="195" t="str">
        <f t="shared" si="94"/>
        <v/>
      </c>
      <c r="AO238" s="261" t="str">
        <f>IF(AND(AM238&lt;&gt;"",P238&lt;&gt;""),ROUND((AM238*((100+SI!$C$11)/100)),0),"")</f>
        <v/>
      </c>
      <c r="AP238" s="28" t="str">
        <f>IF(AG238&lt;&gt;"",ROUND(AG238/SI!$C$9,2),"")</f>
        <v/>
      </c>
      <c r="AQ238" s="4" t="str">
        <f>IF(AH238&lt;&gt;"",ROUND(AH238/SI!$C$9,2),"")</f>
        <v/>
      </c>
      <c r="AR238" s="29" t="str">
        <f>IF(AI238&lt;&gt;"",ROUND(AI238/SI!$C$9,2),"")</f>
        <v/>
      </c>
      <c r="AS238" s="4" t="str">
        <f t="shared" si="95"/>
        <v/>
      </c>
      <c r="AT238" s="4" t="str">
        <f t="shared" si="96"/>
        <v/>
      </c>
      <c r="AU238" s="4" t="str">
        <f>IF(AL238&lt;&gt;"",ROUND(AL238/SI!$C$9,2),"")</f>
        <v/>
      </c>
      <c r="AV238" s="4" t="str">
        <f>IF(AM238&lt;&gt;"",ROUND(AM238/SI!$C$9,2),"")</f>
        <v/>
      </c>
      <c r="AW238" s="4" t="str">
        <f>IF(AN238&lt;&gt;"",ROUND(AN238/SI!$C$9,2),"")</f>
        <v/>
      </c>
      <c r="AX238" s="261" t="str">
        <f>IF(AO238&lt;&gt;"",ROUND(AO238/SI!$C$9,2),"")</f>
        <v/>
      </c>
      <c r="AY238" s="28" t="str">
        <f t="shared" si="97"/>
        <v/>
      </c>
      <c r="AZ238" s="4" t="str">
        <f>IF(AY238&lt;&gt;"",ROUND(AY238/(SI!$C$9*SI!$C$10),2),"")</f>
        <v/>
      </c>
      <c r="BA238" s="4" t="str">
        <f t="shared" si="98"/>
        <v/>
      </c>
      <c r="BB238" s="4" t="str">
        <f t="shared" si="99"/>
        <v/>
      </c>
      <c r="BC238" s="4" t="str">
        <f t="shared" si="100"/>
        <v/>
      </c>
      <c r="BD238" s="4" t="str">
        <f t="shared" si="101"/>
        <v/>
      </c>
      <c r="BE238" s="4" t="str">
        <f>IF(AND(X238&lt;&gt;""),ROUND(X238/SI!$C$10,2),"")</f>
        <v/>
      </c>
      <c r="BF238" s="4" t="str">
        <f t="shared" si="103"/>
        <v/>
      </c>
      <c r="BG238" s="264" t="str">
        <f t="shared" si="102"/>
        <v/>
      </c>
      <c r="BH238" s="71" t="str">
        <f>IF(F238&lt;&gt;"",VLOOKUP(F238,DUTY_2025!A:O,15,FALSE),"")</f>
        <v/>
      </c>
    </row>
    <row r="239" spans="1:60" x14ac:dyDescent="0.25">
      <c r="A239" s="133">
        <f t="shared" si="78"/>
        <v>66</v>
      </c>
      <c r="B239" s="83" t="str">
        <f t="shared" si="79"/>
        <v/>
      </c>
      <c r="C239" s="126"/>
      <c r="D239" s="130"/>
      <c r="E239" s="22"/>
      <c r="F239" s="85"/>
      <c r="G239" s="27" t="str">
        <f>IF(F239&lt;&gt;"",IFERROR(VLOOKUP(F239,DUTY_2025!A:I,6,FALSE),""),"")</f>
        <v/>
      </c>
      <c r="H239" s="85" t="s">
        <v>133</v>
      </c>
      <c r="I239" s="27" t="str">
        <f>IF(F239&lt;&gt;"",IFERROR(VLOOKUP(F239,DUTY_2025!A:H,2,FALSE),""),"")</f>
        <v/>
      </c>
      <c r="J239" s="98"/>
      <c r="K239" s="98"/>
      <c r="L239" s="22"/>
      <c r="M239" s="22"/>
      <c r="N239" s="84"/>
      <c r="O239" s="22"/>
      <c r="P239" s="116"/>
      <c r="Q239" s="23"/>
      <c r="R239" s="27"/>
      <c r="S239" s="86" t="str">
        <f t="shared" si="80"/>
        <v/>
      </c>
      <c r="T239" s="87" t="str">
        <f t="shared" si="81"/>
        <v/>
      </c>
      <c r="U239" s="87" t="str" cm="1">
        <f t="array" ref="U239">IF(AND(H239&lt;&gt;"YES",P239&lt;&gt;"",R239&lt;&gt;"",Q239&lt;&gt;""),
_xlfn.SWITCH(Q239,
"INR",_xlfn.SWITCH(R239,"KG",P239*S239,"CTN",P239,"UNIT",P239*N239,"NET",P239/M239,0),
"USD",_xlfn.SWITCH(R239,"KG",P239*S239*SI!$C$10,"CTN",P239*SI!$C$10,"UNIT",P239*N239*SI!$C$10,"NET",P239*SI!$C$10/M239,0),
"LKR",_xlfn.SWITCH(R239,"KG",P239*S239/SI!$C$9,"CTN",P239/SI!$C$9,"UNIT",P239*N239/SI!$C$9,"NET",P239/(M239*SI!$C$9),0),
0),
"")</f>
        <v/>
      </c>
      <c r="V239" s="87" t="str">
        <f t="shared" si="82"/>
        <v/>
      </c>
      <c r="W239" s="87" t="str">
        <f t="shared" si="83"/>
        <v/>
      </c>
      <c r="X239" s="88" t="str">
        <f t="shared" si="84"/>
        <v/>
      </c>
      <c r="Y239" s="24" t="str">
        <f t="shared" si="85"/>
        <v/>
      </c>
      <c r="Z239" s="267" t="str">
        <f>IF(AND(H239&lt;&gt;"yes",F239&lt;&gt;""),IFERROR(VLOOKUP(F239,DUTY_2025!A:F,5,FALSE),""),"")</f>
        <v/>
      </c>
      <c r="AA239" s="271" t="str">
        <f t="shared" si="86"/>
        <v/>
      </c>
      <c r="AB239" s="16" t="str">
        <f t="shared" si="87"/>
        <v/>
      </c>
      <c r="AC239" s="16" t="str">
        <f>IF(AA239&lt;&gt;"",ROUND(AA239*SI!$C$9,0),"")</f>
        <v/>
      </c>
      <c r="AD239" s="4" t="str">
        <f>IF(AC239&lt;&gt;"",ROUND(AC239/(SI!$C$9*SI!$C$10),2),"")</f>
        <v/>
      </c>
      <c r="AE239" s="30" t="str">
        <f>IF(AND(X239&lt;&gt;""), ROUND((SI!$E$23)*(X239/SUM($X$5:$X$493)),0),"")</f>
        <v/>
      </c>
      <c r="AF239" s="272" t="str">
        <f t="shared" si="88"/>
        <v/>
      </c>
      <c r="AG239" s="28" t="str">
        <f t="shared" si="89"/>
        <v/>
      </c>
      <c r="AH239" s="4" t="str">
        <f>IF(AD239&lt;&gt;"",ROUND(AD239*10*SI!$C$9/2,0),"")</f>
        <v/>
      </c>
      <c r="AI239" s="29" t="str">
        <f>IF(AND(X239&lt;&gt;""), ROUND((SI!$E$28)*(X239/SUM($X$5:$X$493)),0),"")</f>
        <v/>
      </c>
      <c r="AJ239" s="4" t="str">
        <f t="shared" si="90"/>
        <v/>
      </c>
      <c r="AK239" s="4" t="str">
        <f t="shared" si="91"/>
        <v/>
      </c>
      <c r="AL239" s="4" t="str">
        <f t="shared" si="92"/>
        <v/>
      </c>
      <c r="AM239" s="4" t="str">
        <f t="shared" si="93"/>
        <v/>
      </c>
      <c r="AN239" s="195" t="str">
        <f t="shared" si="94"/>
        <v/>
      </c>
      <c r="AO239" s="261" t="str">
        <f>IF(AND(AM239&lt;&gt;"",P239&lt;&gt;""),ROUND((AM239*((100+SI!$C$11)/100)),0),"")</f>
        <v/>
      </c>
      <c r="AP239" s="28" t="str">
        <f>IF(AG239&lt;&gt;"",ROUND(AG239/SI!$C$9,2),"")</f>
        <v/>
      </c>
      <c r="AQ239" s="4" t="str">
        <f>IF(AH239&lt;&gt;"",ROUND(AH239/SI!$C$9,2),"")</f>
        <v/>
      </c>
      <c r="AR239" s="29" t="str">
        <f>IF(AI239&lt;&gt;"",ROUND(AI239/SI!$C$9,2),"")</f>
        <v/>
      </c>
      <c r="AS239" s="4" t="str">
        <f t="shared" si="95"/>
        <v/>
      </c>
      <c r="AT239" s="4" t="str">
        <f t="shared" si="96"/>
        <v/>
      </c>
      <c r="AU239" s="4" t="str">
        <f>IF(AL239&lt;&gt;"",ROUND(AL239/SI!$C$9,2),"")</f>
        <v/>
      </c>
      <c r="AV239" s="4" t="str">
        <f>IF(AM239&lt;&gt;"",ROUND(AM239/SI!$C$9,2),"")</f>
        <v/>
      </c>
      <c r="AW239" s="4" t="str">
        <f>IF(AN239&lt;&gt;"",ROUND(AN239/SI!$C$9,2),"")</f>
        <v/>
      </c>
      <c r="AX239" s="261" t="str">
        <f>IF(AO239&lt;&gt;"",ROUND(AO239/SI!$C$9,2),"")</f>
        <v/>
      </c>
      <c r="AY239" s="28" t="str">
        <f t="shared" si="97"/>
        <v/>
      </c>
      <c r="AZ239" s="4" t="str">
        <f>IF(AY239&lt;&gt;"",ROUND(AY239/(SI!$C$9*SI!$C$10),2),"")</f>
        <v/>
      </c>
      <c r="BA239" s="4" t="str">
        <f t="shared" si="98"/>
        <v/>
      </c>
      <c r="BB239" s="4" t="str">
        <f t="shared" si="99"/>
        <v/>
      </c>
      <c r="BC239" s="4" t="str">
        <f t="shared" si="100"/>
        <v/>
      </c>
      <c r="BD239" s="4" t="str">
        <f t="shared" si="101"/>
        <v/>
      </c>
      <c r="BE239" s="4" t="str">
        <f>IF(AND(X239&lt;&gt;""),ROUND(X239/SI!$C$10,2),"")</f>
        <v/>
      </c>
      <c r="BF239" s="4" t="str">
        <f t="shared" si="103"/>
        <v/>
      </c>
      <c r="BG239" s="264" t="str">
        <f t="shared" si="102"/>
        <v/>
      </c>
      <c r="BH239" s="71" t="str">
        <f>IF(F239&lt;&gt;"",VLOOKUP(F239,DUTY_2025!A:O,15,FALSE),"")</f>
        <v/>
      </c>
    </row>
    <row r="240" spans="1:60" x14ac:dyDescent="0.25">
      <c r="A240" s="133">
        <f t="shared" si="78"/>
        <v>66</v>
      </c>
      <c r="B240" s="83" t="str">
        <f t="shared" si="79"/>
        <v/>
      </c>
      <c r="C240" s="126"/>
      <c r="D240" s="130"/>
      <c r="E240" s="22"/>
      <c r="F240" s="85"/>
      <c r="G240" s="27" t="str">
        <f>IF(F240&lt;&gt;"",IFERROR(VLOOKUP(F240,DUTY_2025!A:I,6,FALSE),""),"")</f>
        <v/>
      </c>
      <c r="H240" s="85" t="s">
        <v>133</v>
      </c>
      <c r="I240" s="27" t="str">
        <f>IF(F240&lt;&gt;"",IFERROR(VLOOKUP(F240,DUTY_2025!A:H,2,FALSE),""),"")</f>
        <v/>
      </c>
      <c r="J240" s="98"/>
      <c r="K240" s="98"/>
      <c r="L240" s="22"/>
      <c r="M240" s="22"/>
      <c r="N240" s="84"/>
      <c r="O240" s="22"/>
      <c r="P240" s="116"/>
      <c r="Q240" s="23"/>
      <c r="R240" s="27"/>
      <c r="S240" s="86" t="str">
        <f t="shared" si="80"/>
        <v/>
      </c>
      <c r="T240" s="87" t="str">
        <f t="shared" si="81"/>
        <v/>
      </c>
      <c r="U240" s="87" t="str" cm="1">
        <f t="array" ref="U240">IF(AND(H240&lt;&gt;"YES",P240&lt;&gt;"",R240&lt;&gt;"",Q240&lt;&gt;""),
_xlfn.SWITCH(Q240,
"INR",_xlfn.SWITCH(R240,"KG",P240*S240,"CTN",P240,"UNIT",P240*N240,"NET",P240/M240,0),
"USD",_xlfn.SWITCH(R240,"KG",P240*S240*SI!$C$10,"CTN",P240*SI!$C$10,"UNIT",P240*N240*SI!$C$10,"NET",P240*SI!$C$10/M240,0),
"LKR",_xlfn.SWITCH(R240,"KG",P240*S240/SI!$C$9,"CTN",P240/SI!$C$9,"UNIT",P240*N240/SI!$C$9,"NET",P240/(M240*SI!$C$9),0),
0),
"")</f>
        <v/>
      </c>
      <c r="V240" s="87" t="str">
        <f t="shared" si="82"/>
        <v/>
      </c>
      <c r="W240" s="87" t="str">
        <f t="shared" si="83"/>
        <v/>
      </c>
      <c r="X240" s="88" t="str">
        <f t="shared" si="84"/>
        <v/>
      </c>
      <c r="Y240" s="24" t="str">
        <f t="shared" si="85"/>
        <v/>
      </c>
      <c r="Z240" s="267" t="str">
        <f>IF(AND(H240&lt;&gt;"yes",F240&lt;&gt;""),IFERROR(VLOOKUP(F240,DUTY_2025!A:F,5,FALSE),""),"")</f>
        <v/>
      </c>
      <c r="AA240" s="271" t="str">
        <f t="shared" si="86"/>
        <v/>
      </c>
      <c r="AB240" s="16" t="str">
        <f t="shared" si="87"/>
        <v/>
      </c>
      <c r="AC240" s="16" t="str">
        <f>IF(AA240&lt;&gt;"",ROUND(AA240*SI!$C$9,0),"")</f>
        <v/>
      </c>
      <c r="AD240" s="4" t="str">
        <f>IF(AC240&lt;&gt;"",ROUND(AC240/(SI!$C$9*SI!$C$10),2),"")</f>
        <v/>
      </c>
      <c r="AE240" s="30" t="str">
        <f>IF(AND(X240&lt;&gt;""), ROUND((SI!$E$23)*(X240/SUM($X$5:$X$493)),0),"")</f>
        <v/>
      </c>
      <c r="AF240" s="272" t="str">
        <f t="shared" si="88"/>
        <v/>
      </c>
      <c r="AG240" s="28" t="str">
        <f t="shared" si="89"/>
        <v/>
      </c>
      <c r="AH240" s="4" t="str">
        <f>IF(AD240&lt;&gt;"",ROUND(AD240*10*SI!$C$9/2,0),"")</f>
        <v/>
      </c>
      <c r="AI240" s="29" t="str">
        <f>IF(AND(X240&lt;&gt;""), ROUND((SI!$E$28)*(X240/SUM($X$5:$X$493)),0),"")</f>
        <v/>
      </c>
      <c r="AJ240" s="4" t="str">
        <f t="shared" si="90"/>
        <v/>
      </c>
      <c r="AK240" s="4" t="str">
        <f t="shared" si="91"/>
        <v/>
      </c>
      <c r="AL240" s="4" t="str">
        <f t="shared" si="92"/>
        <v/>
      </c>
      <c r="AM240" s="4" t="str">
        <f t="shared" si="93"/>
        <v/>
      </c>
      <c r="AN240" s="195" t="str">
        <f t="shared" si="94"/>
        <v/>
      </c>
      <c r="AO240" s="261" t="str">
        <f>IF(AND(AM240&lt;&gt;"",P240&lt;&gt;""),ROUND((AM240*((100+SI!$C$11)/100)),0),"")</f>
        <v/>
      </c>
      <c r="AP240" s="28" t="str">
        <f>IF(AG240&lt;&gt;"",ROUND(AG240/SI!$C$9,2),"")</f>
        <v/>
      </c>
      <c r="AQ240" s="4" t="str">
        <f>IF(AH240&lt;&gt;"",ROUND(AH240/SI!$C$9,2),"")</f>
        <v/>
      </c>
      <c r="AR240" s="29" t="str">
        <f>IF(AI240&lt;&gt;"",ROUND(AI240/SI!$C$9,2),"")</f>
        <v/>
      </c>
      <c r="AS240" s="4" t="str">
        <f t="shared" si="95"/>
        <v/>
      </c>
      <c r="AT240" s="4" t="str">
        <f t="shared" si="96"/>
        <v/>
      </c>
      <c r="AU240" s="4" t="str">
        <f>IF(AL240&lt;&gt;"",ROUND(AL240/SI!$C$9,2),"")</f>
        <v/>
      </c>
      <c r="AV240" s="4" t="str">
        <f>IF(AM240&lt;&gt;"",ROUND(AM240/SI!$C$9,2),"")</f>
        <v/>
      </c>
      <c r="AW240" s="4" t="str">
        <f>IF(AN240&lt;&gt;"",ROUND(AN240/SI!$C$9,2),"")</f>
        <v/>
      </c>
      <c r="AX240" s="261" t="str">
        <f>IF(AO240&lt;&gt;"",ROUND(AO240/SI!$C$9,2),"")</f>
        <v/>
      </c>
      <c r="AY240" s="28" t="str">
        <f t="shared" si="97"/>
        <v/>
      </c>
      <c r="AZ240" s="4" t="str">
        <f>IF(AY240&lt;&gt;"",ROUND(AY240/(SI!$C$9*SI!$C$10),2),"")</f>
        <v/>
      </c>
      <c r="BA240" s="4" t="str">
        <f t="shared" si="98"/>
        <v/>
      </c>
      <c r="BB240" s="4" t="str">
        <f t="shared" si="99"/>
        <v/>
      </c>
      <c r="BC240" s="4" t="str">
        <f t="shared" si="100"/>
        <v/>
      </c>
      <c r="BD240" s="4" t="str">
        <f t="shared" si="101"/>
        <v/>
      </c>
      <c r="BE240" s="4" t="str">
        <f>IF(AND(X240&lt;&gt;""),ROUND(X240/SI!$C$10,2),"")</f>
        <v/>
      </c>
      <c r="BF240" s="4" t="str">
        <f t="shared" si="103"/>
        <v/>
      </c>
      <c r="BG240" s="264" t="str">
        <f t="shared" si="102"/>
        <v/>
      </c>
      <c r="BH240" s="71" t="str">
        <f>IF(F240&lt;&gt;"",VLOOKUP(F240,DUTY_2025!A:O,15,FALSE),"")</f>
        <v/>
      </c>
    </row>
    <row r="241" spans="1:60" x14ac:dyDescent="0.25">
      <c r="A241" s="133">
        <f t="shared" si="78"/>
        <v>66</v>
      </c>
      <c r="B241" s="83" t="str">
        <f t="shared" si="79"/>
        <v/>
      </c>
      <c r="C241" s="126"/>
      <c r="D241" s="130"/>
      <c r="E241" s="22"/>
      <c r="F241" s="85"/>
      <c r="G241" s="27" t="str">
        <f>IF(F241&lt;&gt;"",IFERROR(VLOOKUP(F241,DUTY_2025!A:I,6,FALSE),""),"")</f>
        <v/>
      </c>
      <c r="H241" s="85" t="s">
        <v>133</v>
      </c>
      <c r="I241" s="27" t="str">
        <f>IF(F241&lt;&gt;"",IFERROR(VLOOKUP(F241,DUTY_2025!A:H,2,FALSE),""),"")</f>
        <v/>
      </c>
      <c r="J241" s="98"/>
      <c r="K241" s="98"/>
      <c r="L241" s="22"/>
      <c r="M241" s="22"/>
      <c r="N241" s="84"/>
      <c r="O241" s="22"/>
      <c r="P241" s="116"/>
      <c r="Q241" s="23"/>
      <c r="R241" s="27"/>
      <c r="S241" s="86" t="str">
        <f t="shared" si="80"/>
        <v/>
      </c>
      <c r="T241" s="87" t="str">
        <f t="shared" si="81"/>
        <v/>
      </c>
      <c r="U241" s="87" t="str" cm="1">
        <f t="array" ref="U241">IF(AND(H241&lt;&gt;"YES",P241&lt;&gt;"",R241&lt;&gt;"",Q241&lt;&gt;""),
_xlfn.SWITCH(Q241,
"INR",_xlfn.SWITCH(R241,"KG",P241*S241,"CTN",P241,"UNIT",P241*N241,"NET",P241/M241,0),
"USD",_xlfn.SWITCH(R241,"KG",P241*S241*SI!$C$10,"CTN",P241*SI!$C$10,"UNIT",P241*N241*SI!$C$10,"NET",P241*SI!$C$10/M241,0),
"LKR",_xlfn.SWITCH(R241,"KG",P241*S241/SI!$C$9,"CTN",P241/SI!$C$9,"UNIT",P241*N241/SI!$C$9,"NET",P241/(M241*SI!$C$9),0),
0),
"")</f>
        <v/>
      </c>
      <c r="V241" s="87" t="str">
        <f t="shared" si="82"/>
        <v/>
      </c>
      <c r="W241" s="87" t="str">
        <f t="shared" si="83"/>
        <v/>
      </c>
      <c r="X241" s="88" t="str">
        <f t="shared" si="84"/>
        <v/>
      </c>
      <c r="Y241" s="24" t="str">
        <f t="shared" si="85"/>
        <v/>
      </c>
      <c r="Z241" s="267" t="str">
        <f>IF(AND(H241&lt;&gt;"yes",F241&lt;&gt;""),IFERROR(VLOOKUP(F241,DUTY_2025!A:F,5,FALSE),""),"")</f>
        <v/>
      </c>
      <c r="AA241" s="271" t="str">
        <f t="shared" si="86"/>
        <v/>
      </c>
      <c r="AB241" s="16" t="str">
        <f t="shared" si="87"/>
        <v/>
      </c>
      <c r="AC241" s="16" t="str">
        <f>IF(AA241&lt;&gt;"",ROUND(AA241*SI!$C$9,0),"")</f>
        <v/>
      </c>
      <c r="AD241" s="4" t="str">
        <f>IF(AC241&lt;&gt;"",ROUND(AC241/(SI!$C$9*SI!$C$10),2),"")</f>
        <v/>
      </c>
      <c r="AE241" s="30" t="str">
        <f>IF(AND(X241&lt;&gt;""), ROUND((SI!$E$23)*(X241/SUM($X$5:$X$493)),0),"")</f>
        <v/>
      </c>
      <c r="AF241" s="272" t="str">
        <f t="shared" si="88"/>
        <v/>
      </c>
      <c r="AG241" s="28" t="str">
        <f t="shared" si="89"/>
        <v/>
      </c>
      <c r="AH241" s="4" t="str">
        <f>IF(AD241&lt;&gt;"",ROUND(AD241*10*SI!$C$9/2,0),"")</f>
        <v/>
      </c>
      <c r="AI241" s="29" t="str">
        <f>IF(AND(X241&lt;&gt;""), ROUND((SI!$E$28)*(X241/SUM($X$5:$X$493)),0),"")</f>
        <v/>
      </c>
      <c r="AJ241" s="4" t="str">
        <f t="shared" si="90"/>
        <v/>
      </c>
      <c r="AK241" s="4" t="str">
        <f t="shared" si="91"/>
        <v/>
      </c>
      <c r="AL241" s="4" t="str">
        <f t="shared" si="92"/>
        <v/>
      </c>
      <c r="AM241" s="4" t="str">
        <f t="shared" si="93"/>
        <v/>
      </c>
      <c r="AN241" s="195" t="str">
        <f t="shared" si="94"/>
        <v/>
      </c>
      <c r="AO241" s="261" t="str">
        <f>IF(AND(AM241&lt;&gt;"",P241&lt;&gt;""),ROUND((AM241*((100+SI!$C$11)/100)),0),"")</f>
        <v/>
      </c>
      <c r="AP241" s="28" t="str">
        <f>IF(AG241&lt;&gt;"",ROUND(AG241/SI!$C$9,2),"")</f>
        <v/>
      </c>
      <c r="AQ241" s="4" t="str">
        <f>IF(AH241&lt;&gt;"",ROUND(AH241/SI!$C$9,2),"")</f>
        <v/>
      </c>
      <c r="AR241" s="29" t="str">
        <f>IF(AI241&lt;&gt;"",ROUND(AI241/SI!$C$9,2),"")</f>
        <v/>
      </c>
      <c r="AS241" s="4" t="str">
        <f t="shared" si="95"/>
        <v/>
      </c>
      <c r="AT241" s="4" t="str">
        <f t="shared" si="96"/>
        <v/>
      </c>
      <c r="AU241" s="4" t="str">
        <f>IF(AL241&lt;&gt;"",ROUND(AL241/SI!$C$9,2),"")</f>
        <v/>
      </c>
      <c r="AV241" s="4" t="str">
        <f>IF(AM241&lt;&gt;"",ROUND(AM241/SI!$C$9,2),"")</f>
        <v/>
      </c>
      <c r="AW241" s="4" t="str">
        <f>IF(AN241&lt;&gt;"",ROUND(AN241/SI!$C$9,2),"")</f>
        <v/>
      </c>
      <c r="AX241" s="261" t="str">
        <f>IF(AO241&lt;&gt;"",ROUND(AO241/SI!$C$9,2),"")</f>
        <v/>
      </c>
      <c r="AY241" s="28" t="str">
        <f t="shared" si="97"/>
        <v/>
      </c>
      <c r="AZ241" s="4" t="str">
        <f>IF(AY241&lt;&gt;"",ROUND(AY241/(SI!$C$9*SI!$C$10),2),"")</f>
        <v/>
      </c>
      <c r="BA241" s="4" t="str">
        <f t="shared" si="98"/>
        <v/>
      </c>
      <c r="BB241" s="4" t="str">
        <f t="shared" si="99"/>
        <v/>
      </c>
      <c r="BC241" s="4" t="str">
        <f t="shared" si="100"/>
        <v/>
      </c>
      <c r="BD241" s="4" t="str">
        <f t="shared" si="101"/>
        <v/>
      </c>
      <c r="BE241" s="4" t="str">
        <f>IF(AND(X241&lt;&gt;""),ROUND(X241/SI!$C$10,2),"")</f>
        <v/>
      </c>
      <c r="BF241" s="4" t="str">
        <f t="shared" si="103"/>
        <v/>
      </c>
      <c r="BG241" s="264" t="str">
        <f t="shared" si="102"/>
        <v/>
      </c>
      <c r="BH241" s="71" t="str">
        <f>IF(F241&lt;&gt;"",VLOOKUP(F241,DUTY_2025!A:O,15,FALSE),"")</f>
        <v/>
      </c>
    </row>
    <row r="242" spans="1:60" x14ac:dyDescent="0.25">
      <c r="A242" s="133">
        <f t="shared" si="78"/>
        <v>66</v>
      </c>
      <c r="B242" s="83" t="str">
        <f t="shared" si="79"/>
        <v/>
      </c>
      <c r="C242" s="126"/>
      <c r="D242" s="130"/>
      <c r="E242" s="22"/>
      <c r="F242" s="85"/>
      <c r="G242" s="27" t="str">
        <f>IF(F242&lt;&gt;"",IFERROR(VLOOKUP(F242,DUTY_2025!A:I,6,FALSE),""),"")</f>
        <v/>
      </c>
      <c r="H242" s="85" t="s">
        <v>133</v>
      </c>
      <c r="I242" s="27" t="str">
        <f>IF(F242&lt;&gt;"",IFERROR(VLOOKUP(F242,DUTY_2025!A:H,2,FALSE),""),"")</f>
        <v/>
      </c>
      <c r="J242" s="98"/>
      <c r="K242" s="98"/>
      <c r="L242" s="22"/>
      <c r="M242" s="22"/>
      <c r="N242" s="84"/>
      <c r="O242" s="22"/>
      <c r="P242" s="116"/>
      <c r="Q242" s="23"/>
      <c r="R242" s="27"/>
      <c r="S242" s="86" t="str">
        <f t="shared" si="80"/>
        <v/>
      </c>
      <c r="T242" s="87" t="str">
        <f t="shared" si="81"/>
        <v/>
      </c>
      <c r="U242" s="87" t="str" cm="1">
        <f t="array" ref="U242">IF(AND(H242&lt;&gt;"YES",P242&lt;&gt;"",R242&lt;&gt;"",Q242&lt;&gt;""),
_xlfn.SWITCH(Q242,
"INR",_xlfn.SWITCH(R242,"KG",P242*S242,"CTN",P242,"UNIT",P242*N242,"NET",P242/M242,0),
"USD",_xlfn.SWITCH(R242,"KG",P242*S242*SI!$C$10,"CTN",P242*SI!$C$10,"UNIT",P242*N242*SI!$C$10,"NET",P242*SI!$C$10/M242,0),
"LKR",_xlfn.SWITCH(R242,"KG",P242*S242/SI!$C$9,"CTN",P242/SI!$C$9,"UNIT",P242*N242/SI!$C$9,"NET",P242/(M242*SI!$C$9),0),
0),
"")</f>
        <v/>
      </c>
      <c r="V242" s="87" t="str">
        <f t="shared" si="82"/>
        <v/>
      </c>
      <c r="W242" s="87" t="str">
        <f t="shared" si="83"/>
        <v/>
      </c>
      <c r="X242" s="88" t="str">
        <f t="shared" si="84"/>
        <v/>
      </c>
      <c r="Y242" s="24" t="str">
        <f t="shared" si="85"/>
        <v/>
      </c>
      <c r="Z242" s="267" t="str">
        <f>IF(AND(H242&lt;&gt;"yes",F242&lt;&gt;""),IFERROR(VLOOKUP(F242,DUTY_2025!A:F,5,FALSE),""),"")</f>
        <v/>
      </c>
      <c r="AA242" s="271" t="str">
        <f t="shared" si="86"/>
        <v/>
      </c>
      <c r="AB242" s="16" t="str">
        <f t="shared" si="87"/>
        <v/>
      </c>
      <c r="AC242" s="16" t="str">
        <f>IF(AA242&lt;&gt;"",ROUND(AA242*SI!$C$9,0),"")</f>
        <v/>
      </c>
      <c r="AD242" s="4" t="str">
        <f>IF(AC242&lt;&gt;"",ROUND(AC242/(SI!$C$9*SI!$C$10),2),"")</f>
        <v/>
      </c>
      <c r="AE242" s="30" t="str">
        <f>IF(AND(X242&lt;&gt;""), ROUND((SI!$E$23)*(X242/SUM($X$5:$X$493)),0),"")</f>
        <v/>
      </c>
      <c r="AF242" s="272" t="str">
        <f t="shared" si="88"/>
        <v/>
      </c>
      <c r="AG242" s="28" t="str">
        <f t="shared" si="89"/>
        <v/>
      </c>
      <c r="AH242" s="4" t="str">
        <f>IF(AD242&lt;&gt;"",ROUND(AD242*10*SI!$C$9/2,0),"")</f>
        <v/>
      </c>
      <c r="AI242" s="29" t="str">
        <f>IF(AND(X242&lt;&gt;""), ROUND((SI!$E$28)*(X242/SUM($X$5:$X$493)),0),"")</f>
        <v/>
      </c>
      <c r="AJ242" s="4" t="str">
        <f t="shared" si="90"/>
        <v/>
      </c>
      <c r="AK242" s="4" t="str">
        <f t="shared" si="91"/>
        <v/>
      </c>
      <c r="AL242" s="4" t="str">
        <f t="shared" si="92"/>
        <v/>
      </c>
      <c r="AM242" s="4" t="str">
        <f t="shared" si="93"/>
        <v/>
      </c>
      <c r="AN242" s="195" t="str">
        <f t="shared" si="94"/>
        <v/>
      </c>
      <c r="AO242" s="261" t="str">
        <f>IF(AND(AM242&lt;&gt;"",P242&lt;&gt;""),ROUND((AM242*((100+SI!$C$11)/100)),0),"")</f>
        <v/>
      </c>
      <c r="AP242" s="28" t="str">
        <f>IF(AG242&lt;&gt;"",ROUND(AG242/SI!$C$9,2),"")</f>
        <v/>
      </c>
      <c r="AQ242" s="4" t="str">
        <f>IF(AH242&lt;&gt;"",ROUND(AH242/SI!$C$9,2),"")</f>
        <v/>
      </c>
      <c r="AR242" s="29" t="str">
        <f>IF(AI242&lt;&gt;"",ROUND(AI242/SI!$C$9,2),"")</f>
        <v/>
      </c>
      <c r="AS242" s="4" t="str">
        <f t="shared" si="95"/>
        <v/>
      </c>
      <c r="AT242" s="4" t="str">
        <f t="shared" si="96"/>
        <v/>
      </c>
      <c r="AU242" s="4" t="str">
        <f>IF(AL242&lt;&gt;"",ROUND(AL242/SI!$C$9,2),"")</f>
        <v/>
      </c>
      <c r="AV242" s="4" t="str">
        <f>IF(AM242&lt;&gt;"",ROUND(AM242/SI!$C$9,2),"")</f>
        <v/>
      </c>
      <c r="AW242" s="4" t="str">
        <f>IF(AN242&lt;&gt;"",ROUND(AN242/SI!$C$9,2),"")</f>
        <v/>
      </c>
      <c r="AX242" s="261" t="str">
        <f>IF(AO242&lt;&gt;"",ROUND(AO242/SI!$C$9,2),"")</f>
        <v/>
      </c>
      <c r="AY242" s="28" t="str">
        <f t="shared" si="97"/>
        <v/>
      </c>
      <c r="AZ242" s="4" t="str">
        <f>IF(AY242&lt;&gt;"",ROUND(AY242/(SI!$C$9*SI!$C$10),2),"")</f>
        <v/>
      </c>
      <c r="BA242" s="4" t="str">
        <f t="shared" si="98"/>
        <v/>
      </c>
      <c r="BB242" s="4" t="str">
        <f t="shared" si="99"/>
        <v/>
      </c>
      <c r="BC242" s="4" t="str">
        <f t="shared" si="100"/>
        <v/>
      </c>
      <c r="BD242" s="4" t="str">
        <f t="shared" si="101"/>
        <v/>
      </c>
      <c r="BE242" s="4" t="str">
        <f>IF(AND(X242&lt;&gt;""),ROUND(X242/SI!$C$10,2),"")</f>
        <v/>
      </c>
      <c r="BF242" s="4" t="str">
        <f t="shared" si="103"/>
        <v/>
      </c>
      <c r="BG242" s="264" t="str">
        <f t="shared" si="102"/>
        <v/>
      </c>
      <c r="BH242" s="71" t="str">
        <f>IF(F242&lt;&gt;"",VLOOKUP(F242,DUTY_2025!A:O,15,FALSE),"")</f>
        <v/>
      </c>
    </row>
    <row r="243" spans="1:60" x14ac:dyDescent="0.25">
      <c r="A243" s="133">
        <f t="shared" si="78"/>
        <v>66</v>
      </c>
      <c r="B243" s="83" t="str">
        <f t="shared" si="79"/>
        <v/>
      </c>
      <c r="C243" s="126"/>
      <c r="D243" s="130"/>
      <c r="E243" s="22"/>
      <c r="F243" s="85"/>
      <c r="G243" s="27" t="str">
        <f>IF(F243&lt;&gt;"",IFERROR(VLOOKUP(F243,DUTY_2025!A:I,6,FALSE),""),"")</f>
        <v/>
      </c>
      <c r="H243" s="85" t="s">
        <v>133</v>
      </c>
      <c r="I243" s="27" t="str">
        <f>IF(F243&lt;&gt;"",IFERROR(VLOOKUP(F243,DUTY_2025!A:H,2,FALSE),""),"")</f>
        <v/>
      </c>
      <c r="J243" s="98"/>
      <c r="K243" s="98"/>
      <c r="L243" s="22"/>
      <c r="M243" s="22"/>
      <c r="N243" s="84"/>
      <c r="O243" s="22"/>
      <c r="P243" s="116"/>
      <c r="Q243" s="23"/>
      <c r="R243" s="27"/>
      <c r="S243" s="86" t="str">
        <f t="shared" si="80"/>
        <v/>
      </c>
      <c r="T243" s="87" t="str">
        <f t="shared" si="81"/>
        <v/>
      </c>
      <c r="U243" s="87" t="str" cm="1">
        <f t="array" ref="U243">IF(AND(H243&lt;&gt;"YES",P243&lt;&gt;"",R243&lt;&gt;"",Q243&lt;&gt;""),
_xlfn.SWITCH(Q243,
"INR",_xlfn.SWITCH(R243,"KG",P243*S243,"CTN",P243,"UNIT",P243*N243,"NET",P243/M243,0),
"USD",_xlfn.SWITCH(R243,"KG",P243*S243*SI!$C$10,"CTN",P243*SI!$C$10,"UNIT",P243*N243*SI!$C$10,"NET",P243*SI!$C$10/M243,0),
"LKR",_xlfn.SWITCH(R243,"KG",P243*S243/SI!$C$9,"CTN",P243/SI!$C$9,"UNIT",P243*N243/SI!$C$9,"NET",P243/(M243*SI!$C$9),0),
0),
"")</f>
        <v/>
      </c>
      <c r="V243" s="87" t="str">
        <f t="shared" si="82"/>
        <v/>
      </c>
      <c r="W243" s="87" t="str">
        <f t="shared" si="83"/>
        <v/>
      </c>
      <c r="X243" s="88" t="str">
        <f t="shared" si="84"/>
        <v/>
      </c>
      <c r="Y243" s="24" t="str">
        <f t="shared" si="85"/>
        <v/>
      </c>
      <c r="Z243" s="267" t="str">
        <f>IF(AND(H243&lt;&gt;"yes",F243&lt;&gt;""),IFERROR(VLOOKUP(F243,DUTY_2025!A:F,5,FALSE),""),"")</f>
        <v/>
      </c>
      <c r="AA243" s="271" t="str">
        <f t="shared" si="86"/>
        <v/>
      </c>
      <c r="AB243" s="16" t="str">
        <f t="shared" si="87"/>
        <v/>
      </c>
      <c r="AC243" s="16" t="str">
        <f>IF(AA243&lt;&gt;"",ROUND(AA243*SI!$C$9,0),"")</f>
        <v/>
      </c>
      <c r="AD243" s="4" t="str">
        <f>IF(AC243&lt;&gt;"",ROUND(AC243/(SI!$C$9*SI!$C$10),2),"")</f>
        <v/>
      </c>
      <c r="AE243" s="30" t="str">
        <f>IF(AND(X243&lt;&gt;""), ROUND((SI!$E$23)*(X243/SUM($X$5:$X$493)),0),"")</f>
        <v/>
      </c>
      <c r="AF243" s="272" t="str">
        <f t="shared" si="88"/>
        <v/>
      </c>
      <c r="AG243" s="28" t="str">
        <f t="shared" si="89"/>
        <v/>
      </c>
      <c r="AH243" s="4" t="str">
        <f>IF(AD243&lt;&gt;"",ROUND(AD243*10*SI!$C$9/2,0),"")</f>
        <v/>
      </c>
      <c r="AI243" s="29" t="str">
        <f>IF(AND(X243&lt;&gt;""), ROUND((SI!$E$28)*(X243/SUM($X$5:$X$493)),0),"")</f>
        <v/>
      </c>
      <c r="AJ243" s="4" t="str">
        <f t="shared" si="90"/>
        <v/>
      </c>
      <c r="AK243" s="4" t="str">
        <f t="shared" si="91"/>
        <v/>
      </c>
      <c r="AL243" s="4" t="str">
        <f t="shared" si="92"/>
        <v/>
      </c>
      <c r="AM243" s="4" t="str">
        <f t="shared" si="93"/>
        <v/>
      </c>
      <c r="AN243" s="195" t="str">
        <f t="shared" si="94"/>
        <v/>
      </c>
      <c r="AO243" s="261" t="str">
        <f>IF(AND(AM243&lt;&gt;"",P243&lt;&gt;""),ROUND((AM243*((100+SI!$C$11)/100)),0),"")</f>
        <v/>
      </c>
      <c r="AP243" s="28" t="str">
        <f>IF(AG243&lt;&gt;"",ROUND(AG243/SI!$C$9,2),"")</f>
        <v/>
      </c>
      <c r="AQ243" s="4" t="str">
        <f>IF(AH243&lt;&gt;"",ROUND(AH243/SI!$C$9,2),"")</f>
        <v/>
      </c>
      <c r="AR243" s="29" t="str">
        <f>IF(AI243&lt;&gt;"",ROUND(AI243/SI!$C$9,2),"")</f>
        <v/>
      </c>
      <c r="AS243" s="4" t="str">
        <f t="shared" si="95"/>
        <v/>
      </c>
      <c r="AT243" s="4" t="str">
        <f t="shared" si="96"/>
        <v/>
      </c>
      <c r="AU243" s="4" t="str">
        <f>IF(AL243&lt;&gt;"",ROUND(AL243/SI!$C$9,2),"")</f>
        <v/>
      </c>
      <c r="AV243" s="4" t="str">
        <f>IF(AM243&lt;&gt;"",ROUND(AM243/SI!$C$9,2),"")</f>
        <v/>
      </c>
      <c r="AW243" s="4" t="str">
        <f>IF(AN243&lt;&gt;"",ROUND(AN243/SI!$C$9,2),"")</f>
        <v/>
      </c>
      <c r="AX243" s="261" t="str">
        <f>IF(AO243&lt;&gt;"",ROUND(AO243/SI!$C$9,2),"")</f>
        <v/>
      </c>
      <c r="AY243" s="28" t="str">
        <f t="shared" si="97"/>
        <v/>
      </c>
      <c r="AZ243" s="4" t="str">
        <f>IF(AY243&lt;&gt;"",ROUND(AY243/(SI!$C$9*SI!$C$10),2),"")</f>
        <v/>
      </c>
      <c r="BA243" s="4" t="str">
        <f t="shared" si="98"/>
        <v/>
      </c>
      <c r="BB243" s="4" t="str">
        <f t="shared" si="99"/>
        <v/>
      </c>
      <c r="BC243" s="4" t="str">
        <f t="shared" si="100"/>
        <v/>
      </c>
      <c r="BD243" s="4" t="str">
        <f t="shared" si="101"/>
        <v/>
      </c>
      <c r="BE243" s="4" t="str">
        <f>IF(AND(X243&lt;&gt;""),ROUND(X243/SI!$C$10,2),"")</f>
        <v/>
      </c>
      <c r="BF243" s="4" t="str">
        <f t="shared" si="103"/>
        <v/>
      </c>
      <c r="BG243" s="264" t="str">
        <f t="shared" si="102"/>
        <v/>
      </c>
      <c r="BH243" s="71" t="str">
        <f>IF(F243&lt;&gt;"",VLOOKUP(F243,DUTY_2025!A:O,15,FALSE),"")</f>
        <v/>
      </c>
    </row>
    <row r="244" spans="1:60" x14ac:dyDescent="0.25">
      <c r="A244" s="133">
        <f t="shared" si="78"/>
        <v>66</v>
      </c>
      <c r="B244" s="83" t="str">
        <f t="shared" si="79"/>
        <v/>
      </c>
      <c r="C244" s="126"/>
      <c r="D244" s="130"/>
      <c r="E244" s="22"/>
      <c r="F244" s="85"/>
      <c r="G244" s="27" t="str">
        <f>IF(F244&lt;&gt;"",IFERROR(VLOOKUP(F244,DUTY_2025!A:I,6,FALSE),""),"")</f>
        <v/>
      </c>
      <c r="H244" s="85" t="s">
        <v>133</v>
      </c>
      <c r="I244" s="27" t="str">
        <f>IF(F244&lt;&gt;"",IFERROR(VLOOKUP(F244,DUTY_2025!A:H,2,FALSE),""),"")</f>
        <v/>
      </c>
      <c r="J244" s="98"/>
      <c r="K244" s="98"/>
      <c r="L244" s="22"/>
      <c r="M244" s="22"/>
      <c r="N244" s="84"/>
      <c r="O244" s="22"/>
      <c r="P244" s="116"/>
      <c r="Q244" s="23"/>
      <c r="R244" s="27"/>
      <c r="S244" s="86" t="str">
        <f t="shared" si="80"/>
        <v/>
      </c>
      <c r="T244" s="87" t="str">
        <f t="shared" si="81"/>
        <v/>
      </c>
      <c r="U244" s="87" t="str" cm="1">
        <f t="array" ref="U244">IF(AND(H244&lt;&gt;"YES",P244&lt;&gt;"",R244&lt;&gt;"",Q244&lt;&gt;""),
_xlfn.SWITCH(Q244,
"INR",_xlfn.SWITCH(R244,"KG",P244*S244,"CTN",P244,"UNIT",P244*N244,"NET",P244/M244,0),
"USD",_xlfn.SWITCH(R244,"KG",P244*S244*SI!$C$10,"CTN",P244*SI!$C$10,"UNIT",P244*N244*SI!$C$10,"NET",P244*SI!$C$10/M244,0),
"LKR",_xlfn.SWITCH(R244,"KG",P244*S244/SI!$C$9,"CTN",P244/SI!$C$9,"UNIT",P244*N244/SI!$C$9,"NET",P244/(M244*SI!$C$9),0),
0),
"")</f>
        <v/>
      </c>
      <c r="V244" s="87" t="str">
        <f t="shared" si="82"/>
        <v/>
      </c>
      <c r="W244" s="87" t="str">
        <f t="shared" si="83"/>
        <v/>
      </c>
      <c r="X244" s="88" t="str">
        <f t="shared" si="84"/>
        <v/>
      </c>
      <c r="Y244" s="24" t="str">
        <f t="shared" si="85"/>
        <v/>
      </c>
      <c r="Z244" s="267" t="str">
        <f>IF(AND(H244&lt;&gt;"yes",F244&lt;&gt;""),IFERROR(VLOOKUP(F244,DUTY_2025!A:F,5,FALSE),""),"")</f>
        <v/>
      </c>
      <c r="AA244" s="271" t="str">
        <f t="shared" si="86"/>
        <v/>
      </c>
      <c r="AB244" s="16" t="str">
        <f t="shared" si="87"/>
        <v/>
      </c>
      <c r="AC244" s="16" t="str">
        <f>IF(AA244&lt;&gt;"",ROUND(AA244*SI!$C$9,0),"")</f>
        <v/>
      </c>
      <c r="AD244" s="4" t="str">
        <f>IF(AC244&lt;&gt;"",ROUND(AC244/(SI!$C$9*SI!$C$10),2),"")</f>
        <v/>
      </c>
      <c r="AE244" s="30" t="str">
        <f>IF(AND(X244&lt;&gt;""), ROUND((SI!$E$23)*(X244/SUM($X$5:$X$493)),0),"")</f>
        <v/>
      </c>
      <c r="AF244" s="272" t="str">
        <f t="shared" si="88"/>
        <v/>
      </c>
      <c r="AG244" s="28" t="str">
        <f t="shared" si="89"/>
        <v/>
      </c>
      <c r="AH244" s="4" t="str">
        <f>IF(AD244&lt;&gt;"",ROUND(AD244*10*SI!$C$9/2,0),"")</f>
        <v/>
      </c>
      <c r="AI244" s="29" t="str">
        <f>IF(AND(X244&lt;&gt;""), ROUND((SI!$E$28)*(X244/SUM($X$5:$X$493)),0),"")</f>
        <v/>
      </c>
      <c r="AJ244" s="4" t="str">
        <f t="shared" si="90"/>
        <v/>
      </c>
      <c r="AK244" s="4" t="str">
        <f t="shared" si="91"/>
        <v/>
      </c>
      <c r="AL244" s="4" t="str">
        <f t="shared" si="92"/>
        <v/>
      </c>
      <c r="AM244" s="4" t="str">
        <f t="shared" si="93"/>
        <v/>
      </c>
      <c r="AN244" s="195" t="str">
        <f t="shared" si="94"/>
        <v/>
      </c>
      <c r="AO244" s="261" t="str">
        <f>IF(AND(AM244&lt;&gt;"",P244&lt;&gt;""),ROUND((AM244*((100+SI!$C$11)/100)),0),"")</f>
        <v/>
      </c>
      <c r="AP244" s="28" t="str">
        <f>IF(AG244&lt;&gt;"",ROUND(AG244/SI!$C$9,2),"")</f>
        <v/>
      </c>
      <c r="AQ244" s="4" t="str">
        <f>IF(AH244&lt;&gt;"",ROUND(AH244/SI!$C$9,2),"")</f>
        <v/>
      </c>
      <c r="AR244" s="29" t="str">
        <f>IF(AI244&lt;&gt;"",ROUND(AI244/SI!$C$9,2),"")</f>
        <v/>
      </c>
      <c r="AS244" s="4" t="str">
        <f t="shared" si="95"/>
        <v/>
      </c>
      <c r="AT244" s="4" t="str">
        <f t="shared" si="96"/>
        <v/>
      </c>
      <c r="AU244" s="4" t="str">
        <f>IF(AL244&lt;&gt;"",ROUND(AL244/SI!$C$9,2),"")</f>
        <v/>
      </c>
      <c r="AV244" s="4" t="str">
        <f>IF(AM244&lt;&gt;"",ROUND(AM244/SI!$C$9,2),"")</f>
        <v/>
      </c>
      <c r="AW244" s="4" t="str">
        <f>IF(AN244&lt;&gt;"",ROUND(AN244/SI!$C$9,2),"")</f>
        <v/>
      </c>
      <c r="AX244" s="261" t="str">
        <f>IF(AO244&lt;&gt;"",ROUND(AO244/SI!$C$9,2),"")</f>
        <v/>
      </c>
      <c r="AY244" s="28" t="str">
        <f t="shared" si="97"/>
        <v/>
      </c>
      <c r="AZ244" s="4" t="str">
        <f>IF(AY244&lt;&gt;"",ROUND(AY244/(SI!$C$9*SI!$C$10),2),"")</f>
        <v/>
      </c>
      <c r="BA244" s="4" t="str">
        <f t="shared" si="98"/>
        <v/>
      </c>
      <c r="BB244" s="4" t="str">
        <f t="shared" si="99"/>
        <v/>
      </c>
      <c r="BC244" s="4" t="str">
        <f t="shared" si="100"/>
        <v/>
      </c>
      <c r="BD244" s="4" t="str">
        <f t="shared" si="101"/>
        <v/>
      </c>
      <c r="BE244" s="4" t="str">
        <f>IF(AND(X244&lt;&gt;""),ROUND(X244/SI!$C$10,2),"")</f>
        <v/>
      </c>
      <c r="BF244" s="4" t="str">
        <f t="shared" si="103"/>
        <v/>
      </c>
      <c r="BG244" s="264" t="str">
        <f t="shared" si="102"/>
        <v/>
      </c>
      <c r="BH244" s="71" t="str">
        <f>IF(F244&lt;&gt;"",VLOOKUP(F244,DUTY_2025!A:O,15,FALSE),"")</f>
        <v/>
      </c>
    </row>
    <row r="245" spans="1:60" x14ac:dyDescent="0.25">
      <c r="A245" s="133">
        <f t="shared" si="78"/>
        <v>66</v>
      </c>
      <c r="B245" s="83" t="str">
        <f t="shared" si="79"/>
        <v/>
      </c>
      <c r="C245" s="126"/>
      <c r="D245" s="130"/>
      <c r="E245" s="22"/>
      <c r="F245" s="85"/>
      <c r="G245" s="27" t="str">
        <f>IF(F245&lt;&gt;"",IFERROR(VLOOKUP(F245,DUTY_2025!A:I,6,FALSE),""),"")</f>
        <v/>
      </c>
      <c r="H245" s="85" t="s">
        <v>133</v>
      </c>
      <c r="I245" s="27" t="str">
        <f>IF(F245&lt;&gt;"",IFERROR(VLOOKUP(F245,DUTY_2025!A:H,2,FALSE),""),"")</f>
        <v/>
      </c>
      <c r="J245" s="98"/>
      <c r="K245" s="98"/>
      <c r="L245" s="22"/>
      <c r="M245" s="22"/>
      <c r="N245" s="84"/>
      <c r="O245" s="22"/>
      <c r="P245" s="116"/>
      <c r="Q245" s="23"/>
      <c r="R245" s="27"/>
      <c r="S245" s="86" t="str">
        <f t="shared" si="80"/>
        <v/>
      </c>
      <c r="T245" s="87" t="str">
        <f t="shared" si="81"/>
        <v/>
      </c>
      <c r="U245" s="87" t="str" cm="1">
        <f t="array" ref="U245">IF(AND(H245&lt;&gt;"YES",P245&lt;&gt;"",R245&lt;&gt;"",Q245&lt;&gt;""),
_xlfn.SWITCH(Q245,
"INR",_xlfn.SWITCH(R245,"KG",P245*S245,"CTN",P245,"UNIT",P245*N245,"NET",P245/M245,0),
"USD",_xlfn.SWITCH(R245,"KG",P245*S245*SI!$C$10,"CTN",P245*SI!$C$10,"UNIT",P245*N245*SI!$C$10,"NET",P245*SI!$C$10/M245,0),
"LKR",_xlfn.SWITCH(R245,"KG",P245*S245/SI!$C$9,"CTN",P245/SI!$C$9,"UNIT",P245*N245/SI!$C$9,"NET",P245/(M245*SI!$C$9),0),
0),
"")</f>
        <v/>
      </c>
      <c r="V245" s="87" t="str">
        <f t="shared" si="82"/>
        <v/>
      </c>
      <c r="W245" s="87" t="str">
        <f t="shared" si="83"/>
        <v/>
      </c>
      <c r="X245" s="88" t="str">
        <f t="shared" si="84"/>
        <v/>
      </c>
      <c r="Y245" s="24" t="str">
        <f t="shared" si="85"/>
        <v/>
      </c>
      <c r="Z245" s="267" t="str">
        <f>IF(AND(H245&lt;&gt;"yes",F245&lt;&gt;""),IFERROR(VLOOKUP(F245,DUTY_2025!A:F,5,FALSE),""),"")</f>
        <v/>
      </c>
      <c r="AA245" s="271" t="str">
        <f t="shared" si="86"/>
        <v/>
      </c>
      <c r="AB245" s="16" t="str">
        <f t="shared" si="87"/>
        <v/>
      </c>
      <c r="AC245" s="16" t="str">
        <f>IF(AA245&lt;&gt;"",ROUND(AA245*SI!$C$9,0),"")</f>
        <v/>
      </c>
      <c r="AD245" s="4" t="str">
        <f>IF(AC245&lt;&gt;"",ROUND(AC245/(SI!$C$9*SI!$C$10),2),"")</f>
        <v/>
      </c>
      <c r="AE245" s="30" t="str">
        <f>IF(AND(X245&lt;&gt;""), ROUND((SI!$E$23)*(X245/SUM($X$5:$X$493)),0),"")</f>
        <v/>
      </c>
      <c r="AF245" s="272" t="str">
        <f t="shared" si="88"/>
        <v/>
      </c>
      <c r="AG245" s="28" t="str">
        <f t="shared" si="89"/>
        <v/>
      </c>
      <c r="AH245" s="4" t="str">
        <f>IF(AD245&lt;&gt;"",ROUND(AD245*10*SI!$C$9/2,0),"")</f>
        <v/>
      </c>
      <c r="AI245" s="29" t="str">
        <f>IF(AND(X245&lt;&gt;""), ROUND((SI!$E$28)*(X245/SUM($X$5:$X$493)),0),"")</f>
        <v/>
      </c>
      <c r="AJ245" s="4" t="str">
        <f t="shared" si="90"/>
        <v/>
      </c>
      <c r="AK245" s="4" t="str">
        <f t="shared" si="91"/>
        <v/>
      </c>
      <c r="AL245" s="4" t="str">
        <f t="shared" si="92"/>
        <v/>
      </c>
      <c r="AM245" s="4" t="str">
        <f t="shared" si="93"/>
        <v/>
      </c>
      <c r="AN245" s="195" t="str">
        <f t="shared" si="94"/>
        <v/>
      </c>
      <c r="AO245" s="261" t="str">
        <f>IF(AND(AM245&lt;&gt;"",P245&lt;&gt;""),ROUND((AM245*((100+SI!$C$11)/100)),0),"")</f>
        <v/>
      </c>
      <c r="AP245" s="28" t="str">
        <f>IF(AG245&lt;&gt;"",ROUND(AG245/SI!$C$9,2),"")</f>
        <v/>
      </c>
      <c r="AQ245" s="4" t="str">
        <f>IF(AH245&lt;&gt;"",ROUND(AH245/SI!$C$9,2),"")</f>
        <v/>
      </c>
      <c r="AR245" s="29" t="str">
        <f>IF(AI245&lt;&gt;"",ROUND(AI245/SI!$C$9,2),"")</f>
        <v/>
      </c>
      <c r="AS245" s="4" t="str">
        <f t="shared" si="95"/>
        <v/>
      </c>
      <c r="AT245" s="4" t="str">
        <f t="shared" si="96"/>
        <v/>
      </c>
      <c r="AU245" s="4" t="str">
        <f>IF(AL245&lt;&gt;"",ROUND(AL245/SI!$C$9,2),"")</f>
        <v/>
      </c>
      <c r="AV245" s="4" t="str">
        <f>IF(AM245&lt;&gt;"",ROUND(AM245/SI!$C$9,2),"")</f>
        <v/>
      </c>
      <c r="AW245" s="4" t="str">
        <f>IF(AN245&lt;&gt;"",ROUND(AN245/SI!$C$9,2),"")</f>
        <v/>
      </c>
      <c r="AX245" s="261" t="str">
        <f>IF(AO245&lt;&gt;"",ROUND(AO245/SI!$C$9,2),"")</f>
        <v/>
      </c>
      <c r="AY245" s="28" t="str">
        <f t="shared" si="97"/>
        <v/>
      </c>
      <c r="AZ245" s="4" t="str">
        <f>IF(AY245&lt;&gt;"",ROUND(AY245/(SI!$C$9*SI!$C$10),2),"")</f>
        <v/>
      </c>
      <c r="BA245" s="4" t="str">
        <f t="shared" si="98"/>
        <v/>
      </c>
      <c r="BB245" s="4" t="str">
        <f t="shared" si="99"/>
        <v/>
      </c>
      <c r="BC245" s="4" t="str">
        <f t="shared" si="100"/>
        <v/>
      </c>
      <c r="BD245" s="4" t="str">
        <f t="shared" si="101"/>
        <v/>
      </c>
      <c r="BE245" s="4" t="str">
        <f>IF(AND(X245&lt;&gt;""),ROUND(X245/SI!$C$10,2),"")</f>
        <v/>
      </c>
      <c r="BF245" s="4" t="str">
        <f t="shared" si="103"/>
        <v/>
      </c>
      <c r="BG245" s="264" t="str">
        <f t="shared" si="102"/>
        <v/>
      </c>
      <c r="BH245" s="71" t="str">
        <f>IF(F245&lt;&gt;"",VLOOKUP(F245,DUTY_2025!A:O,15,FALSE),"")</f>
        <v/>
      </c>
    </row>
    <row r="246" spans="1:60" x14ac:dyDescent="0.25">
      <c r="A246" s="133">
        <f t="shared" si="78"/>
        <v>66</v>
      </c>
      <c r="B246" s="83" t="str">
        <f t="shared" si="79"/>
        <v/>
      </c>
      <c r="C246" s="126"/>
      <c r="D246" s="130"/>
      <c r="E246" s="22"/>
      <c r="F246" s="85"/>
      <c r="G246" s="27" t="str">
        <f>IF(F246&lt;&gt;"",IFERROR(VLOOKUP(F246,DUTY_2025!A:I,6,FALSE),""),"")</f>
        <v/>
      </c>
      <c r="H246" s="85" t="s">
        <v>133</v>
      </c>
      <c r="I246" s="27" t="str">
        <f>IF(F246&lt;&gt;"",IFERROR(VLOOKUP(F246,DUTY_2025!A:H,2,FALSE),""),"")</f>
        <v/>
      </c>
      <c r="J246" s="98"/>
      <c r="K246" s="98"/>
      <c r="L246" s="22"/>
      <c r="M246" s="22"/>
      <c r="N246" s="84"/>
      <c r="O246" s="22"/>
      <c r="P246" s="116"/>
      <c r="Q246" s="23"/>
      <c r="R246" s="27"/>
      <c r="S246" s="86" t="str">
        <f t="shared" si="80"/>
        <v/>
      </c>
      <c r="T246" s="87" t="str">
        <f t="shared" si="81"/>
        <v/>
      </c>
      <c r="U246" s="87" t="str" cm="1">
        <f t="array" ref="U246">IF(AND(H246&lt;&gt;"YES",P246&lt;&gt;"",R246&lt;&gt;"",Q246&lt;&gt;""),
_xlfn.SWITCH(Q246,
"INR",_xlfn.SWITCH(R246,"KG",P246*S246,"CTN",P246,"UNIT",P246*N246,"NET",P246/M246,0),
"USD",_xlfn.SWITCH(R246,"KG",P246*S246*SI!$C$10,"CTN",P246*SI!$C$10,"UNIT",P246*N246*SI!$C$10,"NET",P246*SI!$C$10/M246,0),
"LKR",_xlfn.SWITCH(R246,"KG",P246*S246/SI!$C$9,"CTN",P246/SI!$C$9,"UNIT",P246*N246/SI!$C$9,"NET",P246/(M246*SI!$C$9),0),
0),
"")</f>
        <v/>
      </c>
      <c r="V246" s="87" t="str">
        <f t="shared" si="82"/>
        <v/>
      </c>
      <c r="W246" s="87" t="str">
        <f t="shared" si="83"/>
        <v/>
      </c>
      <c r="X246" s="88" t="str">
        <f t="shared" si="84"/>
        <v/>
      </c>
      <c r="Y246" s="24" t="str">
        <f t="shared" si="85"/>
        <v/>
      </c>
      <c r="Z246" s="267" t="str">
        <f>IF(AND(H246&lt;&gt;"yes",F246&lt;&gt;""),IFERROR(VLOOKUP(F246,DUTY_2025!A:F,5,FALSE),""),"")</f>
        <v/>
      </c>
      <c r="AA246" s="271" t="str">
        <f t="shared" si="86"/>
        <v/>
      </c>
      <c r="AB246" s="16" t="str">
        <f t="shared" si="87"/>
        <v/>
      </c>
      <c r="AC246" s="16" t="str">
        <f>IF(AA246&lt;&gt;"",ROUND(AA246*SI!$C$9,0),"")</f>
        <v/>
      </c>
      <c r="AD246" s="4" t="str">
        <f>IF(AC246&lt;&gt;"",ROUND(AC246/(SI!$C$9*SI!$C$10),2),"")</f>
        <v/>
      </c>
      <c r="AE246" s="30" t="str">
        <f>IF(AND(X246&lt;&gt;""), ROUND((SI!$E$23)*(X246/SUM($X$5:$X$493)),0),"")</f>
        <v/>
      </c>
      <c r="AF246" s="272" t="str">
        <f t="shared" si="88"/>
        <v/>
      </c>
      <c r="AG246" s="28" t="str">
        <f t="shared" si="89"/>
        <v/>
      </c>
      <c r="AH246" s="4" t="str">
        <f>IF(AD246&lt;&gt;"",ROUND(AD246*10*SI!$C$9/2,0),"")</f>
        <v/>
      </c>
      <c r="AI246" s="29" t="str">
        <f>IF(AND(X246&lt;&gt;""), ROUND((SI!$E$28)*(X246/SUM($X$5:$X$493)),0),"")</f>
        <v/>
      </c>
      <c r="AJ246" s="4" t="str">
        <f t="shared" si="90"/>
        <v/>
      </c>
      <c r="AK246" s="4" t="str">
        <f t="shared" si="91"/>
        <v/>
      </c>
      <c r="AL246" s="4" t="str">
        <f t="shared" si="92"/>
        <v/>
      </c>
      <c r="AM246" s="4" t="str">
        <f t="shared" si="93"/>
        <v/>
      </c>
      <c r="AN246" s="195" t="str">
        <f t="shared" si="94"/>
        <v/>
      </c>
      <c r="AO246" s="261" t="str">
        <f>IF(AND(AM246&lt;&gt;"",P246&lt;&gt;""),ROUND((AM246*((100+SI!$C$11)/100)),0),"")</f>
        <v/>
      </c>
      <c r="AP246" s="28" t="str">
        <f>IF(AG246&lt;&gt;"",ROUND(AG246/SI!$C$9,2),"")</f>
        <v/>
      </c>
      <c r="AQ246" s="4" t="str">
        <f>IF(AH246&lt;&gt;"",ROUND(AH246/SI!$C$9,2),"")</f>
        <v/>
      </c>
      <c r="AR246" s="29" t="str">
        <f>IF(AI246&lt;&gt;"",ROUND(AI246/SI!$C$9,2),"")</f>
        <v/>
      </c>
      <c r="AS246" s="4" t="str">
        <f t="shared" si="95"/>
        <v/>
      </c>
      <c r="AT246" s="4" t="str">
        <f t="shared" si="96"/>
        <v/>
      </c>
      <c r="AU246" s="4" t="str">
        <f>IF(AL246&lt;&gt;"",ROUND(AL246/SI!$C$9,2),"")</f>
        <v/>
      </c>
      <c r="AV246" s="4" t="str">
        <f>IF(AM246&lt;&gt;"",ROUND(AM246/SI!$C$9,2),"")</f>
        <v/>
      </c>
      <c r="AW246" s="4" t="str">
        <f>IF(AN246&lt;&gt;"",ROUND(AN246/SI!$C$9,2),"")</f>
        <v/>
      </c>
      <c r="AX246" s="261" t="str">
        <f>IF(AO246&lt;&gt;"",ROUND(AO246/SI!$C$9,2),"")</f>
        <v/>
      </c>
      <c r="AY246" s="28" t="str">
        <f t="shared" si="97"/>
        <v/>
      </c>
      <c r="AZ246" s="4" t="str">
        <f>IF(AY246&lt;&gt;"",ROUND(AY246/(SI!$C$9*SI!$C$10),2),"")</f>
        <v/>
      </c>
      <c r="BA246" s="4" t="str">
        <f t="shared" si="98"/>
        <v/>
      </c>
      <c r="BB246" s="4" t="str">
        <f t="shared" si="99"/>
        <v/>
      </c>
      <c r="BC246" s="4" t="str">
        <f t="shared" si="100"/>
        <v/>
      </c>
      <c r="BD246" s="4" t="str">
        <f t="shared" si="101"/>
        <v/>
      </c>
      <c r="BE246" s="4" t="str">
        <f>IF(AND(X246&lt;&gt;""),ROUND(X246/SI!$C$10,2),"")</f>
        <v/>
      </c>
      <c r="BF246" s="4" t="str">
        <f t="shared" si="103"/>
        <v/>
      </c>
      <c r="BG246" s="264" t="str">
        <f t="shared" si="102"/>
        <v/>
      </c>
      <c r="BH246" s="71" t="str">
        <f>IF(F246&lt;&gt;"",VLOOKUP(F246,DUTY_2025!A:O,15,FALSE),"")</f>
        <v/>
      </c>
    </row>
    <row r="247" spans="1:60" x14ac:dyDescent="0.25">
      <c r="A247" s="133">
        <f t="shared" si="78"/>
        <v>66</v>
      </c>
      <c r="B247" s="83" t="str">
        <f t="shared" si="79"/>
        <v/>
      </c>
      <c r="C247" s="126"/>
      <c r="D247" s="130"/>
      <c r="E247" s="22"/>
      <c r="F247" s="85"/>
      <c r="G247" s="27" t="str">
        <f>IF(F247&lt;&gt;"",IFERROR(VLOOKUP(F247,DUTY_2025!A:I,6,FALSE),""),"")</f>
        <v/>
      </c>
      <c r="H247" s="85" t="s">
        <v>133</v>
      </c>
      <c r="I247" s="27" t="str">
        <f>IF(F247&lt;&gt;"",IFERROR(VLOOKUP(F247,DUTY_2025!A:H,2,FALSE),""),"")</f>
        <v/>
      </c>
      <c r="J247" s="98"/>
      <c r="K247" s="98"/>
      <c r="L247" s="22"/>
      <c r="M247" s="22"/>
      <c r="N247" s="84"/>
      <c r="O247" s="22"/>
      <c r="P247" s="116"/>
      <c r="Q247" s="23"/>
      <c r="R247" s="27"/>
      <c r="S247" s="86" t="str">
        <f t="shared" si="80"/>
        <v/>
      </c>
      <c r="T247" s="87" t="str">
        <f t="shared" si="81"/>
        <v/>
      </c>
      <c r="U247" s="87" t="str" cm="1">
        <f t="array" ref="U247">IF(AND(H247&lt;&gt;"YES",P247&lt;&gt;"",R247&lt;&gt;"",Q247&lt;&gt;""),
_xlfn.SWITCH(Q247,
"INR",_xlfn.SWITCH(R247,"KG",P247*S247,"CTN",P247,"UNIT",P247*N247,"NET",P247/M247,0),
"USD",_xlfn.SWITCH(R247,"KG",P247*S247*SI!$C$10,"CTN",P247*SI!$C$10,"UNIT",P247*N247*SI!$C$10,"NET",P247*SI!$C$10/M247,0),
"LKR",_xlfn.SWITCH(R247,"KG",P247*S247/SI!$C$9,"CTN",P247/SI!$C$9,"UNIT",P247*N247/SI!$C$9,"NET",P247/(M247*SI!$C$9),0),
0),
"")</f>
        <v/>
      </c>
      <c r="V247" s="87" t="str">
        <f t="shared" si="82"/>
        <v/>
      </c>
      <c r="W247" s="87" t="str">
        <f t="shared" si="83"/>
        <v/>
      </c>
      <c r="X247" s="88" t="str">
        <f t="shared" si="84"/>
        <v/>
      </c>
      <c r="Y247" s="24" t="str">
        <f t="shared" si="85"/>
        <v/>
      </c>
      <c r="Z247" s="267" t="str">
        <f>IF(AND(H247&lt;&gt;"yes",F247&lt;&gt;""),IFERROR(VLOOKUP(F247,DUTY_2025!A:F,5,FALSE),""),"")</f>
        <v/>
      </c>
      <c r="AA247" s="271" t="str">
        <f t="shared" si="86"/>
        <v/>
      </c>
      <c r="AB247" s="16" t="str">
        <f t="shared" si="87"/>
        <v/>
      </c>
      <c r="AC247" s="16" t="str">
        <f>IF(AA247&lt;&gt;"",ROUND(AA247*SI!$C$9,0),"")</f>
        <v/>
      </c>
      <c r="AD247" s="4" t="str">
        <f>IF(AC247&lt;&gt;"",ROUND(AC247/(SI!$C$9*SI!$C$10),2),"")</f>
        <v/>
      </c>
      <c r="AE247" s="30" t="str">
        <f>IF(AND(X247&lt;&gt;""), ROUND((SI!$E$23)*(X247/SUM($X$5:$X$493)),0),"")</f>
        <v/>
      </c>
      <c r="AF247" s="272" t="str">
        <f t="shared" si="88"/>
        <v/>
      </c>
      <c r="AG247" s="28" t="str">
        <f t="shared" si="89"/>
        <v/>
      </c>
      <c r="AH247" s="4" t="str">
        <f>IF(AD247&lt;&gt;"",ROUND(AD247*10*SI!$C$9/2,0),"")</f>
        <v/>
      </c>
      <c r="AI247" s="29" t="str">
        <f>IF(AND(X247&lt;&gt;""), ROUND((SI!$E$28)*(X247/SUM($X$5:$X$493)),0),"")</f>
        <v/>
      </c>
      <c r="AJ247" s="4" t="str">
        <f t="shared" si="90"/>
        <v/>
      </c>
      <c r="AK247" s="4" t="str">
        <f t="shared" si="91"/>
        <v/>
      </c>
      <c r="AL247" s="4" t="str">
        <f t="shared" si="92"/>
        <v/>
      </c>
      <c r="AM247" s="4" t="str">
        <f t="shared" si="93"/>
        <v/>
      </c>
      <c r="AN247" s="195" t="str">
        <f t="shared" si="94"/>
        <v/>
      </c>
      <c r="AO247" s="261" t="str">
        <f>IF(AND(AM247&lt;&gt;"",P247&lt;&gt;""),ROUND((AM247*((100+SI!$C$11)/100)),0),"")</f>
        <v/>
      </c>
      <c r="AP247" s="28" t="str">
        <f>IF(AG247&lt;&gt;"",ROUND(AG247/SI!$C$9,2),"")</f>
        <v/>
      </c>
      <c r="AQ247" s="4" t="str">
        <f>IF(AH247&lt;&gt;"",ROUND(AH247/SI!$C$9,2),"")</f>
        <v/>
      </c>
      <c r="AR247" s="29" t="str">
        <f>IF(AI247&lt;&gt;"",ROUND(AI247/SI!$C$9,2),"")</f>
        <v/>
      </c>
      <c r="AS247" s="4" t="str">
        <f t="shared" si="95"/>
        <v/>
      </c>
      <c r="AT247" s="4" t="str">
        <f t="shared" si="96"/>
        <v/>
      </c>
      <c r="AU247" s="4" t="str">
        <f>IF(AL247&lt;&gt;"",ROUND(AL247/SI!$C$9,2),"")</f>
        <v/>
      </c>
      <c r="AV247" s="4" t="str">
        <f>IF(AM247&lt;&gt;"",ROUND(AM247/SI!$C$9,2),"")</f>
        <v/>
      </c>
      <c r="AW247" s="4" t="str">
        <f>IF(AN247&lt;&gt;"",ROUND(AN247/SI!$C$9,2),"")</f>
        <v/>
      </c>
      <c r="AX247" s="261" t="str">
        <f>IF(AO247&lt;&gt;"",ROUND(AO247/SI!$C$9,2),"")</f>
        <v/>
      </c>
      <c r="AY247" s="28" t="str">
        <f t="shared" si="97"/>
        <v/>
      </c>
      <c r="AZ247" s="4" t="str">
        <f>IF(AY247&lt;&gt;"",ROUND(AY247/(SI!$C$9*SI!$C$10),2),"")</f>
        <v/>
      </c>
      <c r="BA247" s="4" t="str">
        <f t="shared" si="98"/>
        <v/>
      </c>
      <c r="BB247" s="4" t="str">
        <f t="shared" si="99"/>
        <v/>
      </c>
      <c r="BC247" s="4" t="str">
        <f t="shared" si="100"/>
        <v/>
      </c>
      <c r="BD247" s="4" t="str">
        <f t="shared" si="101"/>
        <v/>
      </c>
      <c r="BE247" s="4" t="str">
        <f>IF(AND(X247&lt;&gt;""),ROUND(X247/SI!$C$10,2),"")</f>
        <v/>
      </c>
      <c r="BF247" s="4" t="str">
        <f t="shared" si="103"/>
        <v/>
      </c>
      <c r="BG247" s="264" t="str">
        <f t="shared" si="102"/>
        <v/>
      </c>
      <c r="BH247" s="71" t="str">
        <f>IF(F247&lt;&gt;"",VLOOKUP(F247,DUTY_2025!A:O,15,FALSE),"")</f>
        <v/>
      </c>
    </row>
    <row r="248" spans="1:60" x14ac:dyDescent="0.25">
      <c r="A248" s="133">
        <f t="shared" si="78"/>
        <v>66</v>
      </c>
      <c r="B248" s="83" t="str">
        <f t="shared" si="79"/>
        <v/>
      </c>
      <c r="C248" s="126"/>
      <c r="D248" s="130"/>
      <c r="E248" s="22"/>
      <c r="F248" s="85"/>
      <c r="G248" s="27" t="str">
        <f>IF(F248&lt;&gt;"",IFERROR(VLOOKUP(F248,DUTY_2025!A:I,6,FALSE),""),"")</f>
        <v/>
      </c>
      <c r="H248" s="85" t="s">
        <v>133</v>
      </c>
      <c r="I248" s="27" t="str">
        <f>IF(F248&lt;&gt;"",IFERROR(VLOOKUP(F248,DUTY_2025!A:H,2,FALSE),""),"")</f>
        <v/>
      </c>
      <c r="J248" s="98"/>
      <c r="K248" s="98"/>
      <c r="L248" s="22"/>
      <c r="M248" s="22"/>
      <c r="N248" s="84"/>
      <c r="O248" s="22"/>
      <c r="P248" s="116"/>
      <c r="Q248" s="23"/>
      <c r="R248" s="27"/>
      <c r="S248" s="86" t="str">
        <f t="shared" si="80"/>
        <v/>
      </c>
      <c r="T248" s="87" t="str">
        <f t="shared" si="81"/>
        <v/>
      </c>
      <c r="U248" s="87" t="str" cm="1">
        <f t="array" ref="U248">IF(AND(H248&lt;&gt;"YES",P248&lt;&gt;"",R248&lt;&gt;"",Q248&lt;&gt;""),
_xlfn.SWITCH(Q248,
"INR",_xlfn.SWITCH(R248,"KG",P248*S248,"CTN",P248,"UNIT",P248*N248,"NET",P248/M248,0),
"USD",_xlfn.SWITCH(R248,"KG",P248*S248*SI!$C$10,"CTN",P248*SI!$C$10,"UNIT",P248*N248*SI!$C$10,"NET",P248*SI!$C$10/M248,0),
"LKR",_xlfn.SWITCH(R248,"KG",P248*S248/SI!$C$9,"CTN",P248/SI!$C$9,"UNIT",P248*N248/SI!$C$9,"NET",P248/(M248*SI!$C$9),0),
0),
"")</f>
        <v/>
      </c>
      <c r="V248" s="87" t="str">
        <f t="shared" si="82"/>
        <v/>
      </c>
      <c r="W248" s="87" t="str">
        <f t="shared" si="83"/>
        <v/>
      </c>
      <c r="X248" s="88" t="str">
        <f t="shared" si="84"/>
        <v/>
      </c>
      <c r="Y248" s="24" t="str">
        <f t="shared" si="85"/>
        <v/>
      </c>
      <c r="Z248" s="267" t="str">
        <f>IF(AND(H248&lt;&gt;"yes",F248&lt;&gt;""),IFERROR(VLOOKUP(F248,DUTY_2025!A:F,5,FALSE),""),"")</f>
        <v/>
      </c>
      <c r="AA248" s="271" t="str">
        <f t="shared" si="86"/>
        <v/>
      </c>
      <c r="AB248" s="16" t="str">
        <f t="shared" si="87"/>
        <v/>
      </c>
      <c r="AC248" s="16" t="str">
        <f>IF(AA248&lt;&gt;"",ROUND(AA248*SI!$C$9,0),"")</f>
        <v/>
      </c>
      <c r="AD248" s="4" t="str">
        <f>IF(AC248&lt;&gt;"",ROUND(AC248/(SI!$C$9*SI!$C$10),2),"")</f>
        <v/>
      </c>
      <c r="AE248" s="30" t="str">
        <f>IF(AND(X248&lt;&gt;""), ROUND((SI!$E$23)*(X248/SUM($X$5:$X$493)),0),"")</f>
        <v/>
      </c>
      <c r="AF248" s="272" t="str">
        <f t="shared" si="88"/>
        <v/>
      </c>
      <c r="AG248" s="28" t="str">
        <f t="shared" si="89"/>
        <v/>
      </c>
      <c r="AH248" s="4" t="str">
        <f>IF(AD248&lt;&gt;"",ROUND(AD248*10*SI!$C$9/2,0),"")</f>
        <v/>
      </c>
      <c r="AI248" s="29" t="str">
        <f>IF(AND(X248&lt;&gt;""), ROUND((SI!$E$28)*(X248/SUM($X$5:$X$493)),0),"")</f>
        <v/>
      </c>
      <c r="AJ248" s="4" t="str">
        <f t="shared" si="90"/>
        <v/>
      </c>
      <c r="AK248" s="4" t="str">
        <f t="shared" si="91"/>
        <v/>
      </c>
      <c r="AL248" s="4" t="str">
        <f t="shared" si="92"/>
        <v/>
      </c>
      <c r="AM248" s="4" t="str">
        <f t="shared" si="93"/>
        <v/>
      </c>
      <c r="AN248" s="195" t="str">
        <f t="shared" si="94"/>
        <v/>
      </c>
      <c r="AO248" s="261" t="str">
        <f>IF(AND(AM248&lt;&gt;"",P248&lt;&gt;""),ROUND((AM248*((100+SI!$C$11)/100)),0),"")</f>
        <v/>
      </c>
      <c r="AP248" s="28" t="str">
        <f>IF(AG248&lt;&gt;"",ROUND(AG248/SI!$C$9,2),"")</f>
        <v/>
      </c>
      <c r="AQ248" s="4" t="str">
        <f>IF(AH248&lt;&gt;"",ROUND(AH248/SI!$C$9,2),"")</f>
        <v/>
      </c>
      <c r="AR248" s="29" t="str">
        <f>IF(AI248&lt;&gt;"",ROUND(AI248/SI!$C$9,2),"")</f>
        <v/>
      </c>
      <c r="AS248" s="4" t="str">
        <f t="shared" si="95"/>
        <v/>
      </c>
      <c r="AT248" s="4" t="str">
        <f t="shared" si="96"/>
        <v/>
      </c>
      <c r="AU248" s="4" t="str">
        <f>IF(AL248&lt;&gt;"",ROUND(AL248/SI!$C$9,2),"")</f>
        <v/>
      </c>
      <c r="AV248" s="4" t="str">
        <f>IF(AM248&lt;&gt;"",ROUND(AM248/SI!$C$9,2),"")</f>
        <v/>
      </c>
      <c r="AW248" s="4" t="str">
        <f>IF(AN248&lt;&gt;"",ROUND(AN248/SI!$C$9,2),"")</f>
        <v/>
      </c>
      <c r="AX248" s="261" t="str">
        <f>IF(AO248&lt;&gt;"",ROUND(AO248/SI!$C$9,2),"")</f>
        <v/>
      </c>
      <c r="AY248" s="28" t="str">
        <f t="shared" si="97"/>
        <v/>
      </c>
      <c r="AZ248" s="4" t="str">
        <f>IF(AY248&lt;&gt;"",ROUND(AY248/(SI!$C$9*SI!$C$10),2),"")</f>
        <v/>
      </c>
      <c r="BA248" s="4" t="str">
        <f t="shared" si="98"/>
        <v/>
      </c>
      <c r="BB248" s="4" t="str">
        <f t="shared" si="99"/>
        <v/>
      </c>
      <c r="BC248" s="4" t="str">
        <f t="shared" si="100"/>
        <v/>
      </c>
      <c r="BD248" s="4" t="str">
        <f t="shared" si="101"/>
        <v/>
      </c>
      <c r="BE248" s="4" t="str">
        <f>IF(AND(X248&lt;&gt;""),ROUND(X248/SI!$C$10,2),"")</f>
        <v/>
      </c>
      <c r="BF248" s="4" t="str">
        <f t="shared" si="103"/>
        <v/>
      </c>
      <c r="BG248" s="264" t="str">
        <f t="shared" si="102"/>
        <v/>
      </c>
      <c r="BH248" s="71" t="str">
        <f>IF(F248&lt;&gt;"",VLOOKUP(F248,DUTY_2025!A:O,15,FALSE),"")</f>
        <v/>
      </c>
    </row>
    <row r="249" spans="1:60" x14ac:dyDescent="0.25">
      <c r="A249" s="133">
        <f t="shared" si="78"/>
        <v>66</v>
      </c>
      <c r="B249" s="83" t="str">
        <f t="shared" si="79"/>
        <v/>
      </c>
      <c r="C249" s="126"/>
      <c r="D249" s="130"/>
      <c r="E249" s="22"/>
      <c r="F249" s="85"/>
      <c r="G249" s="27" t="str">
        <f>IF(F249&lt;&gt;"",IFERROR(VLOOKUP(F249,DUTY_2025!A:I,6,FALSE),""),"")</f>
        <v/>
      </c>
      <c r="H249" s="85" t="s">
        <v>133</v>
      </c>
      <c r="I249" s="27" t="str">
        <f>IF(F249&lt;&gt;"",IFERROR(VLOOKUP(F249,DUTY_2025!A:H,2,FALSE),""),"")</f>
        <v/>
      </c>
      <c r="J249" s="98"/>
      <c r="K249" s="98"/>
      <c r="L249" s="22"/>
      <c r="M249" s="22"/>
      <c r="N249" s="84"/>
      <c r="O249" s="22"/>
      <c r="P249" s="116"/>
      <c r="Q249" s="23"/>
      <c r="R249" s="27"/>
      <c r="S249" s="86" t="str">
        <f t="shared" si="80"/>
        <v/>
      </c>
      <c r="T249" s="87" t="str">
        <f t="shared" si="81"/>
        <v/>
      </c>
      <c r="U249" s="87" t="str" cm="1">
        <f t="array" ref="U249">IF(AND(H249&lt;&gt;"YES",P249&lt;&gt;"",R249&lt;&gt;"",Q249&lt;&gt;""),
_xlfn.SWITCH(Q249,
"INR",_xlfn.SWITCH(R249,"KG",P249*S249,"CTN",P249,"UNIT",P249*N249,"NET",P249/M249,0),
"USD",_xlfn.SWITCH(R249,"KG",P249*S249*SI!$C$10,"CTN",P249*SI!$C$10,"UNIT",P249*N249*SI!$C$10,"NET",P249*SI!$C$10/M249,0),
"LKR",_xlfn.SWITCH(R249,"KG",P249*S249/SI!$C$9,"CTN",P249/SI!$C$9,"UNIT",P249*N249/SI!$C$9,"NET",P249/(M249*SI!$C$9),0),
0),
"")</f>
        <v/>
      </c>
      <c r="V249" s="87" t="str">
        <f t="shared" si="82"/>
        <v/>
      </c>
      <c r="W249" s="87" t="str">
        <f t="shared" si="83"/>
        <v/>
      </c>
      <c r="X249" s="88" t="str">
        <f t="shared" si="84"/>
        <v/>
      </c>
      <c r="Y249" s="24" t="str">
        <f t="shared" si="85"/>
        <v/>
      </c>
      <c r="Z249" s="267" t="str">
        <f>IF(AND(H249&lt;&gt;"yes",F249&lt;&gt;""),IFERROR(VLOOKUP(F249,DUTY_2025!A:F,5,FALSE),""),"")</f>
        <v/>
      </c>
      <c r="AA249" s="271" t="str">
        <f t="shared" si="86"/>
        <v/>
      </c>
      <c r="AB249" s="16" t="str">
        <f t="shared" si="87"/>
        <v/>
      </c>
      <c r="AC249" s="16" t="str">
        <f>IF(AA249&lt;&gt;"",ROUND(AA249*SI!$C$9,0),"")</f>
        <v/>
      </c>
      <c r="AD249" s="4" t="str">
        <f>IF(AC249&lt;&gt;"",ROUND(AC249/(SI!$C$9*SI!$C$10),2),"")</f>
        <v/>
      </c>
      <c r="AE249" s="30" t="str">
        <f>IF(AND(X249&lt;&gt;""), ROUND((SI!$E$23)*(X249/SUM($X$5:$X$493)),0),"")</f>
        <v/>
      </c>
      <c r="AF249" s="272" t="str">
        <f t="shared" si="88"/>
        <v/>
      </c>
      <c r="AG249" s="28" t="str">
        <f t="shared" si="89"/>
        <v/>
      </c>
      <c r="AH249" s="4" t="str">
        <f>IF(AD249&lt;&gt;"",ROUND(AD249*10*SI!$C$9/2,0),"")</f>
        <v/>
      </c>
      <c r="AI249" s="29" t="str">
        <f>IF(AND(X249&lt;&gt;""), ROUND((SI!$E$28)*(X249/SUM($X$5:$X$493)),0),"")</f>
        <v/>
      </c>
      <c r="AJ249" s="4" t="str">
        <f t="shared" si="90"/>
        <v/>
      </c>
      <c r="AK249" s="4" t="str">
        <f t="shared" si="91"/>
        <v/>
      </c>
      <c r="AL249" s="4" t="str">
        <f t="shared" si="92"/>
        <v/>
      </c>
      <c r="AM249" s="4" t="str">
        <f t="shared" si="93"/>
        <v/>
      </c>
      <c r="AN249" s="195" t="str">
        <f t="shared" si="94"/>
        <v/>
      </c>
      <c r="AO249" s="261" t="str">
        <f>IF(AND(AM249&lt;&gt;"",P249&lt;&gt;""),ROUND((AM249*((100+SI!$C$11)/100)),0),"")</f>
        <v/>
      </c>
      <c r="AP249" s="28" t="str">
        <f>IF(AG249&lt;&gt;"",ROUND(AG249/SI!$C$9,2),"")</f>
        <v/>
      </c>
      <c r="AQ249" s="4" t="str">
        <f>IF(AH249&lt;&gt;"",ROUND(AH249/SI!$C$9,2),"")</f>
        <v/>
      </c>
      <c r="AR249" s="29" t="str">
        <f>IF(AI249&lt;&gt;"",ROUND(AI249/SI!$C$9,2),"")</f>
        <v/>
      </c>
      <c r="AS249" s="4" t="str">
        <f t="shared" si="95"/>
        <v/>
      </c>
      <c r="AT249" s="4" t="str">
        <f t="shared" si="96"/>
        <v/>
      </c>
      <c r="AU249" s="4" t="str">
        <f>IF(AL249&lt;&gt;"",ROUND(AL249/SI!$C$9,2),"")</f>
        <v/>
      </c>
      <c r="AV249" s="4" t="str">
        <f>IF(AM249&lt;&gt;"",ROUND(AM249/SI!$C$9,2),"")</f>
        <v/>
      </c>
      <c r="AW249" s="4" t="str">
        <f>IF(AN249&lt;&gt;"",ROUND(AN249/SI!$C$9,2),"")</f>
        <v/>
      </c>
      <c r="AX249" s="261" t="str">
        <f>IF(AO249&lt;&gt;"",ROUND(AO249/SI!$C$9,2),"")</f>
        <v/>
      </c>
      <c r="AY249" s="28" t="str">
        <f t="shared" si="97"/>
        <v/>
      </c>
      <c r="AZ249" s="4" t="str">
        <f>IF(AY249&lt;&gt;"",ROUND(AY249/(SI!$C$9*SI!$C$10),2),"")</f>
        <v/>
      </c>
      <c r="BA249" s="4" t="str">
        <f t="shared" si="98"/>
        <v/>
      </c>
      <c r="BB249" s="4" t="str">
        <f t="shared" si="99"/>
        <v/>
      </c>
      <c r="BC249" s="4" t="str">
        <f t="shared" si="100"/>
        <v/>
      </c>
      <c r="BD249" s="4" t="str">
        <f t="shared" si="101"/>
        <v/>
      </c>
      <c r="BE249" s="4" t="str">
        <f>IF(AND(X249&lt;&gt;""),ROUND(X249/SI!$C$10,2),"")</f>
        <v/>
      </c>
      <c r="BF249" s="4" t="str">
        <f t="shared" si="103"/>
        <v/>
      </c>
      <c r="BG249" s="264" t="str">
        <f t="shared" si="102"/>
        <v/>
      </c>
      <c r="BH249" s="71" t="str">
        <f>IF(F249&lt;&gt;"",VLOOKUP(F249,DUTY_2025!A:O,15,FALSE),"")</f>
        <v/>
      </c>
    </row>
    <row r="250" spans="1:60" x14ac:dyDescent="0.25">
      <c r="A250" s="133">
        <f t="shared" si="78"/>
        <v>66</v>
      </c>
      <c r="B250" s="83" t="str">
        <f t="shared" si="79"/>
        <v/>
      </c>
      <c r="C250" s="126"/>
      <c r="D250" s="130"/>
      <c r="E250" s="22"/>
      <c r="F250" s="85"/>
      <c r="G250" s="27" t="str">
        <f>IF(F250&lt;&gt;"",IFERROR(VLOOKUP(F250,DUTY_2025!A:I,6,FALSE),""),"")</f>
        <v/>
      </c>
      <c r="H250" s="85" t="s">
        <v>133</v>
      </c>
      <c r="I250" s="27" t="str">
        <f>IF(F250&lt;&gt;"",IFERROR(VLOOKUP(F250,DUTY_2025!A:H,2,FALSE),""),"")</f>
        <v/>
      </c>
      <c r="J250" s="98"/>
      <c r="K250" s="98"/>
      <c r="L250" s="22"/>
      <c r="M250" s="22"/>
      <c r="N250" s="84"/>
      <c r="O250" s="22"/>
      <c r="P250" s="116"/>
      <c r="Q250" s="23"/>
      <c r="R250" s="27"/>
      <c r="S250" s="86" t="str">
        <f t="shared" si="80"/>
        <v/>
      </c>
      <c r="T250" s="87" t="str">
        <f t="shared" si="81"/>
        <v/>
      </c>
      <c r="U250" s="87" t="str" cm="1">
        <f t="array" ref="U250">IF(AND(H250&lt;&gt;"YES",P250&lt;&gt;"",R250&lt;&gt;"",Q250&lt;&gt;""),
_xlfn.SWITCH(Q250,
"INR",_xlfn.SWITCH(R250,"KG",P250*S250,"CTN",P250,"UNIT",P250*N250,"NET",P250/M250,0),
"USD",_xlfn.SWITCH(R250,"KG",P250*S250*SI!$C$10,"CTN",P250*SI!$C$10,"UNIT",P250*N250*SI!$C$10,"NET",P250*SI!$C$10/M250,0),
"LKR",_xlfn.SWITCH(R250,"KG",P250*S250/SI!$C$9,"CTN",P250/SI!$C$9,"UNIT",P250*N250/SI!$C$9,"NET",P250/(M250*SI!$C$9),0),
0),
"")</f>
        <v/>
      </c>
      <c r="V250" s="87" t="str">
        <f t="shared" si="82"/>
        <v/>
      </c>
      <c r="W250" s="87" t="str">
        <f t="shared" si="83"/>
        <v/>
      </c>
      <c r="X250" s="88" t="str">
        <f t="shared" si="84"/>
        <v/>
      </c>
      <c r="Y250" s="24" t="str">
        <f t="shared" si="85"/>
        <v/>
      </c>
      <c r="Z250" s="267" t="str">
        <f>IF(AND(H250&lt;&gt;"yes",F250&lt;&gt;""),IFERROR(VLOOKUP(F250,DUTY_2025!A:F,5,FALSE),""),"")</f>
        <v/>
      </c>
      <c r="AA250" s="271" t="str">
        <f t="shared" si="86"/>
        <v/>
      </c>
      <c r="AB250" s="16" t="str">
        <f t="shared" si="87"/>
        <v/>
      </c>
      <c r="AC250" s="16" t="str">
        <f>IF(AA250&lt;&gt;"",ROUND(AA250*SI!$C$9,0),"")</f>
        <v/>
      </c>
      <c r="AD250" s="4" t="str">
        <f>IF(AC250&lt;&gt;"",ROUND(AC250/(SI!$C$9*SI!$C$10),2),"")</f>
        <v/>
      </c>
      <c r="AE250" s="30" t="str">
        <f>IF(AND(X250&lt;&gt;""), ROUND((SI!$E$23)*(X250/SUM($X$5:$X$493)),0),"")</f>
        <v/>
      </c>
      <c r="AF250" s="272" t="str">
        <f t="shared" si="88"/>
        <v/>
      </c>
      <c r="AG250" s="28" t="str">
        <f t="shared" si="89"/>
        <v/>
      </c>
      <c r="AH250" s="4" t="str">
        <f>IF(AD250&lt;&gt;"",ROUND(AD250*10*SI!$C$9/2,0),"")</f>
        <v/>
      </c>
      <c r="AI250" s="29" t="str">
        <f>IF(AND(X250&lt;&gt;""), ROUND((SI!$E$28)*(X250/SUM($X$5:$X$493)),0),"")</f>
        <v/>
      </c>
      <c r="AJ250" s="4" t="str">
        <f t="shared" si="90"/>
        <v/>
      </c>
      <c r="AK250" s="4" t="str">
        <f t="shared" si="91"/>
        <v/>
      </c>
      <c r="AL250" s="4" t="str">
        <f t="shared" si="92"/>
        <v/>
      </c>
      <c r="AM250" s="4" t="str">
        <f t="shared" si="93"/>
        <v/>
      </c>
      <c r="AN250" s="195" t="str">
        <f t="shared" si="94"/>
        <v/>
      </c>
      <c r="AO250" s="261" t="str">
        <f>IF(AND(AM250&lt;&gt;"",P250&lt;&gt;""),ROUND((AM250*((100+SI!$C$11)/100)),0),"")</f>
        <v/>
      </c>
      <c r="AP250" s="28" t="str">
        <f>IF(AG250&lt;&gt;"",ROUND(AG250/SI!$C$9,2),"")</f>
        <v/>
      </c>
      <c r="AQ250" s="4" t="str">
        <f>IF(AH250&lt;&gt;"",ROUND(AH250/SI!$C$9,2),"")</f>
        <v/>
      </c>
      <c r="AR250" s="29" t="str">
        <f>IF(AI250&lt;&gt;"",ROUND(AI250/SI!$C$9,2),"")</f>
        <v/>
      </c>
      <c r="AS250" s="4" t="str">
        <f t="shared" si="95"/>
        <v/>
      </c>
      <c r="AT250" s="4" t="str">
        <f t="shared" si="96"/>
        <v/>
      </c>
      <c r="AU250" s="4" t="str">
        <f>IF(AL250&lt;&gt;"",ROUND(AL250/SI!$C$9,2),"")</f>
        <v/>
      </c>
      <c r="AV250" s="4" t="str">
        <f>IF(AM250&lt;&gt;"",ROUND(AM250/SI!$C$9,2),"")</f>
        <v/>
      </c>
      <c r="AW250" s="4" t="str">
        <f>IF(AN250&lt;&gt;"",ROUND(AN250/SI!$C$9,2),"")</f>
        <v/>
      </c>
      <c r="AX250" s="261" t="str">
        <f>IF(AO250&lt;&gt;"",ROUND(AO250/SI!$C$9,2),"")</f>
        <v/>
      </c>
      <c r="AY250" s="28" t="str">
        <f t="shared" si="97"/>
        <v/>
      </c>
      <c r="AZ250" s="4" t="str">
        <f>IF(AY250&lt;&gt;"",ROUND(AY250/(SI!$C$9*SI!$C$10),2),"")</f>
        <v/>
      </c>
      <c r="BA250" s="4" t="str">
        <f t="shared" si="98"/>
        <v/>
      </c>
      <c r="BB250" s="4" t="str">
        <f t="shared" si="99"/>
        <v/>
      </c>
      <c r="BC250" s="4" t="str">
        <f t="shared" si="100"/>
        <v/>
      </c>
      <c r="BD250" s="4" t="str">
        <f t="shared" si="101"/>
        <v/>
      </c>
      <c r="BE250" s="4" t="str">
        <f>IF(AND(X250&lt;&gt;""),ROUND(X250/SI!$C$10,2),"")</f>
        <v/>
      </c>
      <c r="BF250" s="4" t="str">
        <f t="shared" si="103"/>
        <v/>
      </c>
      <c r="BG250" s="264" t="str">
        <f t="shared" si="102"/>
        <v/>
      </c>
      <c r="BH250" s="71" t="str">
        <f>IF(F250&lt;&gt;"",VLOOKUP(F250,DUTY_2025!A:O,15,FALSE),"")</f>
        <v/>
      </c>
    </row>
    <row r="251" spans="1:60" x14ac:dyDescent="0.25">
      <c r="A251" s="133">
        <f t="shared" si="78"/>
        <v>66</v>
      </c>
      <c r="B251" s="83" t="str">
        <f t="shared" si="79"/>
        <v/>
      </c>
      <c r="C251" s="126"/>
      <c r="D251" s="130"/>
      <c r="E251" s="22"/>
      <c r="F251" s="85"/>
      <c r="G251" s="27" t="str">
        <f>IF(F251&lt;&gt;"",IFERROR(VLOOKUP(F251,DUTY_2025!A:I,6,FALSE),""),"")</f>
        <v/>
      </c>
      <c r="H251" s="85" t="s">
        <v>133</v>
      </c>
      <c r="I251" s="27" t="str">
        <f>IF(F251&lt;&gt;"",IFERROR(VLOOKUP(F251,DUTY_2025!A:H,2,FALSE),""),"")</f>
        <v/>
      </c>
      <c r="J251" s="98"/>
      <c r="K251" s="98"/>
      <c r="L251" s="22"/>
      <c r="M251" s="22"/>
      <c r="N251" s="84"/>
      <c r="O251" s="22"/>
      <c r="P251" s="116"/>
      <c r="Q251" s="23"/>
      <c r="R251" s="27"/>
      <c r="S251" s="86" t="str">
        <f t="shared" si="80"/>
        <v/>
      </c>
      <c r="T251" s="87" t="str">
        <f t="shared" si="81"/>
        <v/>
      </c>
      <c r="U251" s="87" t="str" cm="1">
        <f t="array" ref="U251">IF(AND(H251&lt;&gt;"YES",P251&lt;&gt;"",R251&lt;&gt;"",Q251&lt;&gt;""),
_xlfn.SWITCH(Q251,
"INR",_xlfn.SWITCH(R251,"KG",P251*S251,"CTN",P251,"UNIT",P251*N251,"NET",P251/M251,0),
"USD",_xlfn.SWITCH(R251,"KG",P251*S251*SI!$C$10,"CTN",P251*SI!$C$10,"UNIT",P251*N251*SI!$C$10,"NET",P251*SI!$C$10/M251,0),
"LKR",_xlfn.SWITCH(R251,"KG",P251*S251/SI!$C$9,"CTN",P251/SI!$C$9,"UNIT",P251*N251/SI!$C$9,"NET",P251/(M251*SI!$C$9),0),
0),
"")</f>
        <v/>
      </c>
      <c r="V251" s="87" t="str">
        <f t="shared" si="82"/>
        <v/>
      </c>
      <c r="W251" s="87" t="str">
        <f t="shared" si="83"/>
        <v/>
      </c>
      <c r="X251" s="88" t="str">
        <f t="shared" si="84"/>
        <v/>
      </c>
      <c r="Y251" s="24" t="str">
        <f t="shared" si="85"/>
        <v/>
      </c>
      <c r="Z251" s="267" t="str">
        <f>IF(AND(H251&lt;&gt;"yes",F251&lt;&gt;""),IFERROR(VLOOKUP(F251,DUTY_2025!A:F,5,FALSE),""),"")</f>
        <v/>
      </c>
      <c r="AA251" s="271" t="str">
        <f t="shared" si="86"/>
        <v/>
      </c>
      <c r="AB251" s="16" t="str">
        <f t="shared" si="87"/>
        <v/>
      </c>
      <c r="AC251" s="16" t="str">
        <f>IF(AA251&lt;&gt;"",ROUND(AA251*SI!$C$9,0),"")</f>
        <v/>
      </c>
      <c r="AD251" s="4" t="str">
        <f>IF(AC251&lt;&gt;"",ROUND(AC251/(SI!$C$9*SI!$C$10),2),"")</f>
        <v/>
      </c>
      <c r="AE251" s="30" t="str">
        <f>IF(AND(X251&lt;&gt;""), ROUND((SI!$E$23)*(X251/SUM($X$5:$X$493)),0),"")</f>
        <v/>
      </c>
      <c r="AF251" s="272" t="str">
        <f t="shared" si="88"/>
        <v/>
      </c>
      <c r="AG251" s="28" t="str">
        <f t="shared" si="89"/>
        <v/>
      </c>
      <c r="AH251" s="4" t="str">
        <f>IF(AD251&lt;&gt;"",ROUND(AD251*10*SI!$C$9/2,0),"")</f>
        <v/>
      </c>
      <c r="AI251" s="29" t="str">
        <f>IF(AND(X251&lt;&gt;""), ROUND((SI!$E$28)*(X251/SUM($X$5:$X$493)),0),"")</f>
        <v/>
      </c>
      <c r="AJ251" s="4" t="str">
        <f t="shared" si="90"/>
        <v/>
      </c>
      <c r="AK251" s="4" t="str">
        <f t="shared" si="91"/>
        <v/>
      </c>
      <c r="AL251" s="4" t="str">
        <f t="shared" si="92"/>
        <v/>
      </c>
      <c r="AM251" s="4" t="str">
        <f t="shared" si="93"/>
        <v/>
      </c>
      <c r="AN251" s="195" t="str">
        <f t="shared" si="94"/>
        <v/>
      </c>
      <c r="AO251" s="261" t="str">
        <f>IF(AND(AM251&lt;&gt;"",P251&lt;&gt;""),ROUND((AM251*((100+SI!$C$11)/100)),0),"")</f>
        <v/>
      </c>
      <c r="AP251" s="28" t="str">
        <f>IF(AG251&lt;&gt;"",ROUND(AG251/SI!$C$9,2),"")</f>
        <v/>
      </c>
      <c r="AQ251" s="4" t="str">
        <f>IF(AH251&lt;&gt;"",ROUND(AH251/SI!$C$9,2),"")</f>
        <v/>
      </c>
      <c r="AR251" s="29" t="str">
        <f>IF(AI251&lt;&gt;"",ROUND(AI251/SI!$C$9,2),"")</f>
        <v/>
      </c>
      <c r="AS251" s="4" t="str">
        <f t="shared" si="95"/>
        <v/>
      </c>
      <c r="AT251" s="4" t="str">
        <f t="shared" si="96"/>
        <v/>
      </c>
      <c r="AU251" s="4" t="str">
        <f>IF(AL251&lt;&gt;"",ROUND(AL251/SI!$C$9,2),"")</f>
        <v/>
      </c>
      <c r="AV251" s="4" t="str">
        <f>IF(AM251&lt;&gt;"",ROUND(AM251/SI!$C$9,2),"")</f>
        <v/>
      </c>
      <c r="AW251" s="4" t="str">
        <f>IF(AN251&lt;&gt;"",ROUND(AN251/SI!$C$9,2),"")</f>
        <v/>
      </c>
      <c r="AX251" s="261" t="str">
        <f>IF(AO251&lt;&gt;"",ROUND(AO251/SI!$C$9,2),"")</f>
        <v/>
      </c>
      <c r="AY251" s="28" t="str">
        <f t="shared" si="97"/>
        <v/>
      </c>
      <c r="AZ251" s="4" t="str">
        <f>IF(AY251&lt;&gt;"",ROUND(AY251/(SI!$C$9*SI!$C$10),2),"")</f>
        <v/>
      </c>
      <c r="BA251" s="4" t="str">
        <f t="shared" si="98"/>
        <v/>
      </c>
      <c r="BB251" s="4" t="str">
        <f t="shared" si="99"/>
        <v/>
      </c>
      <c r="BC251" s="4" t="str">
        <f t="shared" si="100"/>
        <v/>
      </c>
      <c r="BD251" s="4" t="str">
        <f t="shared" si="101"/>
        <v/>
      </c>
      <c r="BE251" s="4" t="str">
        <f>IF(AND(X251&lt;&gt;""),ROUND(X251/SI!$C$10,2),"")</f>
        <v/>
      </c>
      <c r="BF251" s="4" t="str">
        <f t="shared" si="103"/>
        <v/>
      </c>
      <c r="BG251" s="264" t="str">
        <f t="shared" si="102"/>
        <v/>
      </c>
      <c r="BH251" s="71" t="str">
        <f>IF(F251&lt;&gt;"",VLOOKUP(F251,DUTY_2025!A:O,15,FALSE),"")</f>
        <v/>
      </c>
    </row>
    <row r="252" spans="1:60" x14ac:dyDescent="0.25">
      <c r="A252" s="133">
        <f t="shared" si="78"/>
        <v>66</v>
      </c>
      <c r="B252" s="83" t="str">
        <f t="shared" si="79"/>
        <v/>
      </c>
      <c r="C252" s="126"/>
      <c r="D252" s="130"/>
      <c r="E252" s="22"/>
      <c r="F252" s="85"/>
      <c r="G252" s="27" t="str">
        <f>IF(F252&lt;&gt;"",IFERROR(VLOOKUP(F252,DUTY_2025!A:I,6,FALSE),""),"")</f>
        <v/>
      </c>
      <c r="H252" s="85" t="s">
        <v>133</v>
      </c>
      <c r="I252" s="27" t="str">
        <f>IF(F252&lt;&gt;"",IFERROR(VLOOKUP(F252,DUTY_2025!A:H,2,FALSE),""),"")</f>
        <v/>
      </c>
      <c r="J252" s="98"/>
      <c r="K252" s="98"/>
      <c r="L252" s="22"/>
      <c r="M252" s="22"/>
      <c r="N252" s="84"/>
      <c r="O252" s="22"/>
      <c r="P252" s="116"/>
      <c r="Q252" s="23"/>
      <c r="R252" s="27"/>
      <c r="S252" s="86" t="str">
        <f t="shared" si="80"/>
        <v/>
      </c>
      <c r="T252" s="87" t="str">
        <f t="shared" si="81"/>
        <v/>
      </c>
      <c r="U252" s="87" t="str" cm="1">
        <f t="array" ref="U252">IF(AND(H252&lt;&gt;"YES",P252&lt;&gt;"",R252&lt;&gt;"",Q252&lt;&gt;""),
_xlfn.SWITCH(Q252,
"INR",_xlfn.SWITCH(R252,"KG",P252*S252,"CTN",P252,"UNIT",P252*N252,"NET",P252/M252,0),
"USD",_xlfn.SWITCH(R252,"KG",P252*S252*SI!$C$10,"CTN",P252*SI!$C$10,"UNIT",P252*N252*SI!$C$10,"NET",P252*SI!$C$10/M252,0),
"LKR",_xlfn.SWITCH(R252,"KG",P252*S252/SI!$C$9,"CTN",P252/SI!$C$9,"UNIT",P252*N252/SI!$C$9,"NET",P252/(M252*SI!$C$9),0),
0),
"")</f>
        <v/>
      </c>
      <c r="V252" s="87" t="str">
        <f t="shared" si="82"/>
        <v/>
      </c>
      <c r="W252" s="87" t="str">
        <f t="shared" si="83"/>
        <v/>
      </c>
      <c r="X252" s="88" t="str">
        <f t="shared" si="84"/>
        <v/>
      </c>
      <c r="Y252" s="24" t="str">
        <f t="shared" si="85"/>
        <v/>
      </c>
      <c r="Z252" s="267" t="str">
        <f>IF(AND(H252&lt;&gt;"yes",F252&lt;&gt;""),IFERROR(VLOOKUP(F252,DUTY_2025!A:F,5,FALSE),""),"")</f>
        <v/>
      </c>
      <c r="AA252" s="271" t="str">
        <f t="shared" si="86"/>
        <v/>
      </c>
      <c r="AB252" s="16" t="str">
        <f t="shared" si="87"/>
        <v/>
      </c>
      <c r="AC252" s="16" t="str">
        <f>IF(AA252&lt;&gt;"",ROUND(AA252*SI!$C$9,0),"")</f>
        <v/>
      </c>
      <c r="AD252" s="4" t="str">
        <f>IF(AC252&lt;&gt;"",ROUND(AC252/(SI!$C$9*SI!$C$10),2),"")</f>
        <v/>
      </c>
      <c r="AE252" s="30" t="str">
        <f>IF(AND(X252&lt;&gt;""), ROUND((SI!$E$23)*(X252/SUM($X$5:$X$493)),0),"")</f>
        <v/>
      </c>
      <c r="AF252" s="272" t="str">
        <f t="shared" si="88"/>
        <v/>
      </c>
      <c r="AG252" s="28" t="str">
        <f t="shared" si="89"/>
        <v/>
      </c>
      <c r="AH252" s="4" t="str">
        <f>IF(AD252&lt;&gt;"",ROUND(AD252*10*SI!$C$9/2,0),"")</f>
        <v/>
      </c>
      <c r="AI252" s="29" t="str">
        <f>IF(AND(X252&lt;&gt;""), ROUND((SI!$E$28)*(X252/SUM($X$5:$X$493)),0),"")</f>
        <v/>
      </c>
      <c r="AJ252" s="4" t="str">
        <f t="shared" si="90"/>
        <v/>
      </c>
      <c r="AK252" s="4" t="str">
        <f t="shared" si="91"/>
        <v/>
      </c>
      <c r="AL252" s="4" t="str">
        <f t="shared" si="92"/>
        <v/>
      </c>
      <c r="AM252" s="4" t="str">
        <f t="shared" si="93"/>
        <v/>
      </c>
      <c r="AN252" s="195" t="str">
        <f t="shared" si="94"/>
        <v/>
      </c>
      <c r="AO252" s="261" t="str">
        <f>IF(AND(AM252&lt;&gt;"",P252&lt;&gt;""),ROUND((AM252*((100+SI!$C$11)/100)),0),"")</f>
        <v/>
      </c>
      <c r="AP252" s="28" t="str">
        <f>IF(AG252&lt;&gt;"",ROUND(AG252/SI!$C$9,2),"")</f>
        <v/>
      </c>
      <c r="AQ252" s="4" t="str">
        <f>IF(AH252&lt;&gt;"",ROUND(AH252/SI!$C$9,2),"")</f>
        <v/>
      </c>
      <c r="AR252" s="29" t="str">
        <f>IF(AI252&lt;&gt;"",ROUND(AI252/SI!$C$9,2),"")</f>
        <v/>
      </c>
      <c r="AS252" s="4" t="str">
        <f t="shared" si="95"/>
        <v/>
      </c>
      <c r="AT252" s="4" t="str">
        <f t="shared" si="96"/>
        <v/>
      </c>
      <c r="AU252" s="4" t="str">
        <f>IF(AL252&lt;&gt;"",ROUND(AL252/SI!$C$9,2),"")</f>
        <v/>
      </c>
      <c r="AV252" s="4" t="str">
        <f>IF(AM252&lt;&gt;"",ROUND(AM252/SI!$C$9,2),"")</f>
        <v/>
      </c>
      <c r="AW252" s="4" t="str">
        <f>IF(AN252&lt;&gt;"",ROUND(AN252/SI!$C$9,2),"")</f>
        <v/>
      </c>
      <c r="AX252" s="261" t="str">
        <f>IF(AO252&lt;&gt;"",ROUND(AO252/SI!$C$9,2),"")</f>
        <v/>
      </c>
      <c r="AY252" s="28" t="str">
        <f t="shared" si="97"/>
        <v/>
      </c>
      <c r="AZ252" s="4" t="str">
        <f>IF(AY252&lt;&gt;"",ROUND(AY252/(SI!$C$9*SI!$C$10),2),"")</f>
        <v/>
      </c>
      <c r="BA252" s="4" t="str">
        <f t="shared" si="98"/>
        <v/>
      </c>
      <c r="BB252" s="4" t="str">
        <f t="shared" si="99"/>
        <v/>
      </c>
      <c r="BC252" s="4" t="str">
        <f t="shared" si="100"/>
        <v/>
      </c>
      <c r="BD252" s="4" t="str">
        <f t="shared" si="101"/>
        <v/>
      </c>
      <c r="BE252" s="4" t="str">
        <f>IF(AND(X252&lt;&gt;""),ROUND(X252/SI!$C$10,2),"")</f>
        <v/>
      </c>
      <c r="BF252" s="4" t="str">
        <f t="shared" si="103"/>
        <v/>
      </c>
      <c r="BG252" s="264" t="str">
        <f t="shared" si="102"/>
        <v/>
      </c>
      <c r="BH252" s="71" t="str">
        <f>IF(F252&lt;&gt;"",VLOOKUP(F252,DUTY_2025!A:O,15,FALSE),"")</f>
        <v/>
      </c>
    </row>
    <row r="253" spans="1:60" x14ac:dyDescent="0.25">
      <c r="A253" s="133">
        <f t="shared" si="78"/>
        <v>66</v>
      </c>
      <c r="B253" s="83" t="str">
        <f t="shared" si="79"/>
        <v/>
      </c>
      <c r="C253" s="126"/>
      <c r="D253" s="130"/>
      <c r="E253" s="22"/>
      <c r="F253" s="85"/>
      <c r="G253" s="27" t="str">
        <f>IF(F253&lt;&gt;"",IFERROR(VLOOKUP(F253,DUTY_2025!A:I,6,FALSE),""),"")</f>
        <v/>
      </c>
      <c r="H253" s="85" t="s">
        <v>133</v>
      </c>
      <c r="I253" s="27" t="str">
        <f>IF(F253&lt;&gt;"",IFERROR(VLOOKUP(F253,DUTY_2025!A:H,2,FALSE),""),"")</f>
        <v/>
      </c>
      <c r="J253" s="98"/>
      <c r="K253" s="98"/>
      <c r="L253" s="22"/>
      <c r="M253" s="22"/>
      <c r="N253" s="84"/>
      <c r="O253" s="22"/>
      <c r="P253" s="116"/>
      <c r="Q253" s="23"/>
      <c r="R253" s="27"/>
      <c r="S253" s="86" t="str">
        <f t="shared" si="80"/>
        <v/>
      </c>
      <c r="T253" s="87" t="str">
        <f t="shared" si="81"/>
        <v/>
      </c>
      <c r="U253" s="87" t="str" cm="1">
        <f t="array" ref="U253">IF(AND(H253&lt;&gt;"YES",P253&lt;&gt;"",R253&lt;&gt;"",Q253&lt;&gt;""),
_xlfn.SWITCH(Q253,
"INR",_xlfn.SWITCH(R253,"KG",P253*S253,"CTN",P253,"UNIT",P253*N253,"NET",P253/M253,0),
"USD",_xlfn.SWITCH(R253,"KG",P253*S253*SI!$C$10,"CTN",P253*SI!$C$10,"UNIT",P253*N253*SI!$C$10,"NET",P253*SI!$C$10/M253,0),
"LKR",_xlfn.SWITCH(R253,"KG",P253*S253/SI!$C$9,"CTN",P253/SI!$C$9,"UNIT",P253*N253/SI!$C$9,"NET",P253/(M253*SI!$C$9),0),
0),
"")</f>
        <v/>
      </c>
      <c r="V253" s="87" t="str">
        <f t="shared" si="82"/>
        <v/>
      </c>
      <c r="W253" s="87" t="str">
        <f t="shared" si="83"/>
        <v/>
      </c>
      <c r="X253" s="88" t="str">
        <f t="shared" si="84"/>
        <v/>
      </c>
      <c r="Y253" s="24" t="str">
        <f t="shared" si="85"/>
        <v/>
      </c>
      <c r="Z253" s="267" t="str">
        <f>IF(AND(H253&lt;&gt;"yes",F253&lt;&gt;""),IFERROR(VLOOKUP(F253,DUTY_2025!A:F,5,FALSE),""),"")</f>
        <v/>
      </c>
      <c r="AA253" s="271" t="str">
        <f t="shared" si="86"/>
        <v/>
      </c>
      <c r="AB253" s="16" t="str">
        <f t="shared" si="87"/>
        <v/>
      </c>
      <c r="AC253" s="16" t="str">
        <f>IF(AA253&lt;&gt;"",ROUND(AA253*SI!$C$9,0),"")</f>
        <v/>
      </c>
      <c r="AD253" s="4" t="str">
        <f>IF(AC253&lt;&gt;"",ROUND(AC253/(SI!$C$9*SI!$C$10),2),"")</f>
        <v/>
      </c>
      <c r="AE253" s="30" t="str">
        <f>IF(AND(X253&lt;&gt;""), ROUND((SI!$E$23)*(X253/SUM($X$5:$X$493)),0),"")</f>
        <v/>
      </c>
      <c r="AF253" s="272" t="str">
        <f t="shared" si="88"/>
        <v/>
      </c>
      <c r="AG253" s="28" t="str">
        <f t="shared" si="89"/>
        <v/>
      </c>
      <c r="AH253" s="4" t="str">
        <f>IF(AD253&lt;&gt;"",ROUND(AD253*10*SI!$C$9/2,0),"")</f>
        <v/>
      </c>
      <c r="AI253" s="29" t="str">
        <f>IF(AND(X253&lt;&gt;""), ROUND((SI!$E$28)*(X253/SUM($X$5:$X$493)),0),"")</f>
        <v/>
      </c>
      <c r="AJ253" s="4" t="str">
        <f t="shared" si="90"/>
        <v/>
      </c>
      <c r="AK253" s="4" t="str">
        <f t="shared" si="91"/>
        <v/>
      </c>
      <c r="AL253" s="4" t="str">
        <f t="shared" si="92"/>
        <v/>
      </c>
      <c r="AM253" s="4" t="str">
        <f t="shared" si="93"/>
        <v/>
      </c>
      <c r="AN253" s="195" t="str">
        <f t="shared" si="94"/>
        <v/>
      </c>
      <c r="AO253" s="261" t="str">
        <f>IF(AND(AM253&lt;&gt;"",P253&lt;&gt;""),ROUND((AM253*((100+SI!$C$11)/100)),0),"")</f>
        <v/>
      </c>
      <c r="AP253" s="28" t="str">
        <f>IF(AG253&lt;&gt;"",ROUND(AG253/SI!$C$9,2),"")</f>
        <v/>
      </c>
      <c r="AQ253" s="4" t="str">
        <f>IF(AH253&lt;&gt;"",ROUND(AH253/SI!$C$9,2),"")</f>
        <v/>
      </c>
      <c r="AR253" s="29" t="str">
        <f>IF(AI253&lt;&gt;"",ROUND(AI253/SI!$C$9,2),"")</f>
        <v/>
      </c>
      <c r="AS253" s="4" t="str">
        <f t="shared" si="95"/>
        <v/>
      </c>
      <c r="AT253" s="4" t="str">
        <f t="shared" si="96"/>
        <v/>
      </c>
      <c r="AU253" s="4" t="str">
        <f>IF(AL253&lt;&gt;"",ROUND(AL253/SI!$C$9,2),"")</f>
        <v/>
      </c>
      <c r="AV253" s="4" t="str">
        <f>IF(AM253&lt;&gt;"",ROUND(AM253/SI!$C$9,2),"")</f>
        <v/>
      </c>
      <c r="AW253" s="4" t="str">
        <f>IF(AN253&lt;&gt;"",ROUND(AN253/SI!$C$9,2),"")</f>
        <v/>
      </c>
      <c r="AX253" s="261" t="str">
        <f>IF(AO253&lt;&gt;"",ROUND(AO253/SI!$C$9,2),"")</f>
        <v/>
      </c>
      <c r="AY253" s="28" t="str">
        <f t="shared" si="97"/>
        <v/>
      </c>
      <c r="AZ253" s="4" t="str">
        <f>IF(AY253&lt;&gt;"",ROUND(AY253/(SI!$C$9*SI!$C$10),2),"")</f>
        <v/>
      </c>
      <c r="BA253" s="4" t="str">
        <f t="shared" si="98"/>
        <v/>
      </c>
      <c r="BB253" s="4" t="str">
        <f t="shared" si="99"/>
        <v/>
      </c>
      <c r="BC253" s="4" t="str">
        <f t="shared" si="100"/>
        <v/>
      </c>
      <c r="BD253" s="4" t="str">
        <f t="shared" si="101"/>
        <v/>
      </c>
      <c r="BE253" s="4" t="str">
        <f>IF(AND(X253&lt;&gt;""),ROUND(X253/SI!$C$10,2),"")</f>
        <v/>
      </c>
      <c r="BF253" s="4" t="str">
        <f t="shared" si="103"/>
        <v/>
      </c>
      <c r="BG253" s="264" t="str">
        <f t="shared" si="102"/>
        <v/>
      </c>
      <c r="BH253" s="71" t="str">
        <f>IF(F253&lt;&gt;"",VLOOKUP(F253,DUTY_2025!A:O,15,FALSE),"")</f>
        <v/>
      </c>
    </row>
    <row r="254" spans="1:60" x14ac:dyDescent="0.25">
      <c r="A254" s="133">
        <f t="shared" si="78"/>
        <v>66</v>
      </c>
      <c r="B254" s="83" t="str">
        <f t="shared" si="79"/>
        <v/>
      </c>
      <c r="C254" s="126"/>
      <c r="D254" s="130"/>
      <c r="E254" s="22"/>
      <c r="F254" s="85"/>
      <c r="G254" s="27" t="str">
        <f>IF(F254&lt;&gt;"",IFERROR(VLOOKUP(F254,DUTY_2025!A:I,6,FALSE),""),"")</f>
        <v/>
      </c>
      <c r="H254" s="85" t="s">
        <v>133</v>
      </c>
      <c r="I254" s="27" t="str">
        <f>IF(F254&lt;&gt;"",IFERROR(VLOOKUP(F254,DUTY_2025!A:H,2,FALSE),""),"")</f>
        <v/>
      </c>
      <c r="J254" s="98"/>
      <c r="K254" s="98"/>
      <c r="L254" s="22"/>
      <c r="M254" s="22"/>
      <c r="N254" s="84"/>
      <c r="O254" s="22"/>
      <c r="P254" s="116"/>
      <c r="Q254" s="23"/>
      <c r="R254" s="27"/>
      <c r="S254" s="86" t="str">
        <f t="shared" si="80"/>
        <v/>
      </c>
      <c r="T254" s="87" t="str">
        <f t="shared" si="81"/>
        <v/>
      </c>
      <c r="U254" s="87" t="str" cm="1">
        <f t="array" ref="U254">IF(AND(H254&lt;&gt;"YES",P254&lt;&gt;"",R254&lt;&gt;"",Q254&lt;&gt;""),
_xlfn.SWITCH(Q254,
"INR",_xlfn.SWITCH(R254,"KG",P254*S254,"CTN",P254,"UNIT",P254*N254,"NET",P254/M254,0),
"USD",_xlfn.SWITCH(R254,"KG",P254*S254*SI!$C$10,"CTN",P254*SI!$C$10,"UNIT",P254*N254*SI!$C$10,"NET",P254*SI!$C$10/M254,0),
"LKR",_xlfn.SWITCH(R254,"KG",P254*S254/SI!$C$9,"CTN",P254/SI!$C$9,"UNIT",P254*N254/SI!$C$9,"NET",P254/(M254*SI!$C$9),0),
0),
"")</f>
        <v/>
      </c>
      <c r="V254" s="87" t="str">
        <f t="shared" si="82"/>
        <v/>
      </c>
      <c r="W254" s="87" t="str">
        <f t="shared" si="83"/>
        <v/>
      </c>
      <c r="X254" s="88" t="str">
        <f t="shared" si="84"/>
        <v/>
      </c>
      <c r="Y254" s="24" t="str">
        <f t="shared" si="85"/>
        <v/>
      </c>
      <c r="Z254" s="267" t="str">
        <f>IF(AND(H254&lt;&gt;"yes",F254&lt;&gt;""),IFERROR(VLOOKUP(F254,DUTY_2025!A:F,5,FALSE),""),"")</f>
        <v/>
      </c>
      <c r="AA254" s="271" t="str">
        <f t="shared" si="86"/>
        <v/>
      </c>
      <c r="AB254" s="16" t="str">
        <f t="shared" si="87"/>
        <v/>
      </c>
      <c r="AC254" s="16" t="str">
        <f>IF(AA254&lt;&gt;"",ROUND(AA254*SI!$C$9,0),"")</f>
        <v/>
      </c>
      <c r="AD254" s="4" t="str">
        <f>IF(AC254&lt;&gt;"",ROUND(AC254/(SI!$C$9*SI!$C$10),2),"")</f>
        <v/>
      </c>
      <c r="AE254" s="30" t="str">
        <f>IF(AND(X254&lt;&gt;""), ROUND((SI!$E$23)*(X254/SUM($X$5:$X$493)),0),"")</f>
        <v/>
      </c>
      <c r="AF254" s="272" t="str">
        <f t="shared" si="88"/>
        <v/>
      </c>
      <c r="AG254" s="28" t="str">
        <f t="shared" si="89"/>
        <v/>
      </c>
      <c r="AH254" s="4" t="str">
        <f>IF(AD254&lt;&gt;"",ROUND(AD254*10*SI!$C$9/2,0),"")</f>
        <v/>
      </c>
      <c r="AI254" s="29" t="str">
        <f>IF(AND(X254&lt;&gt;""), ROUND((SI!$E$28)*(X254/SUM($X$5:$X$493)),0),"")</f>
        <v/>
      </c>
      <c r="AJ254" s="4" t="str">
        <f t="shared" si="90"/>
        <v/>
      </c>
      <c r="AK254" s="4" t="str">
        <f t="shared" si="91"/>
        <v/>
      </c>
      <c r="AL254" s="4" t="str">
        <f t="shared" si="92"/>
        <v/>
      </c>
      <c r="AM254" s="4" t="str">
        <f t="shared" si="93"/>
        <v/>
      </c>
      <c r="AN254" s="195" t="str">
        <f t="shared" si="94"/>
        <v/>
      </c>
      <c r="AO254" s="261" t="str">
        <f>IF(AND(AM254&lt;&gt;"",P254&lt;&gt;""),ROUND((AM254*((100+SI!$C$11)/100)),0),"")</f>
        <v/>
      </c>
      <c r="AP254" s="28" t="str">
        <f>IF(AG254&lt;&gt;"",ROUND(AG254/SI!$C$9,2),"")</f>
        <v/>
      </c>
      <c r="AQ254" s="4" t="str">
        <f>IF(AH254&lt;&gt;"",ROUND(AH254/SI!$C$9,2),"")</f>
        <v/>
      </c>
      <c r="AR254" s="29" t="str">
        <f>IF(AI254&lt;&gt;"",ROUND(AI254/SI!$C$9,2),"")</f>
        <v/>
      </c>
      <c r="AS254" s="4" t="str">
        <f t="shared" si="95"/>
        <v/>
      </c>
      <c r="AT254" s="4" t="str">
        <f t="shared" si="96"/>
        <v/>
      </c>
      <c r="AU254" s="4" t="str">
        <f>IF(AL254&lt;&gt;"",ROUND(AL254/SI!$C$9,2),"")</f>
        <v/>
      </c>
      <c r="AV254" s="4" t="str">
        <f>IF(AM254&lt;&gt;"",ROUND(AM254/SI!$C$9,2),"")</f>
        <v/>
      </c>
      <c r="AW254" s="4" t="str">
        <f>IF(AN254&lt;&gt;"",ROUND(AN254/SI!$C$9,2),"")</f>
        <v/>
      </c>
      <c r="AX254" s="261" t="str">
        <f>IF(AO254&lt;&gt;"",ROUND(AO254/SI!$C$9,2),"")</f>
        <v/>
      </c>
      <c r="AY254" s="28" t="str">
        <f t="shared" si="97"/>
        <v/>
      </c>
      <c r="AZ254" s="4" t="str">
        <f>IF(AY254&lt;&gt;"",ROUND(AY254/(SI!$C$9*SI!$C$10),2),"")</f>
        <v/>
      </c>
      <c r="BA254" s="4" t="str">
        <f t="shared" si="98"/>
        <v/>
      </c>
      <c r="BB254" s="4" t="str">
        <f t="shared" si="99"/>
        <v/>
      </c>
      <c r="BC254" s="4" t="str">
        <f t="shared" si="100"/>
        <v/>
      </c>
      <c r="BD254" s="4" t="str">
        <f t="shared" si="101"/>
        <v/>
      </c>
      <c r="BE254" s="4" t="str">
        <f>IF(AND(X254&lt;&gt;""),ROUND(X254/SI!$C$10,2),"")</f>
        <v/>
      </c>
      <c r="BF254" s="4" t="str">
        <f t="shared" si="103"/>
        <v/>
      </c>
      <c r="BG254" s="264" t="str">
        <f t="shared" si="102"/>
        <v/>
      </c>
      <c r="BH254" s="71" t="str">
        <f>IF(F254&lt;&gt;"",VLOOKUP(F254,DUTY_2025!A:O,15,FALSE),"")</f>
        <v/>
      </c>
    </row>
    <row r="255" spans="1:60" x14ac:dyDescent="0.25">
      <c r="A255" s="133">
        <f t="shared" si="78"/>
        <v>66</v>
      </c>
      <c r="B255" s="83" t="str">
        <f t="shared" si="79"/>
        <v/>
      </c>
      <c r="C255" s="126"/>
      <c r="D255" s="130"/>
      <c r="E255" s="22"/>
      <c r="F255" s="85"/>
      <c r="G255" s="27" t="str">
        <f>IF(F255&lt;&gt;"",IFERROR(VLOOKUP(F255,DUTY_2025!A:I,6,FALSE),""),"")</f>
        <v/>
      </c>
      <c r="H255" s="85" t="s">
        <v>133</v>
      </c>
      <c r="I255" s="27" t="str">
        <f>IF(F255&lt;&gt;"",IFERROR(VLOOKUP(F255,DUTY_2025!A:H,2,FALSE),""),"")</f>
        <v/>
      </c>
      <c r="J255" s="98"/>
      <c r="K255" s="98"/>
      <c r="L255" s="22"/>
      <c r="M255" s="22"/>
      <c r="N255" s="84"/>
      <c r="O255" s="22"/>
      <c r="P255" s="116"/>
      <c r="Q255" s="23"/>
      <c r="R255" s="27"/>
      <c r="S255" s="86" t="str">
        <f t="shared" si="80"/>
        <v/>
      </c>
      <c r="T255" s="87" t="str">
        <f t="shared" si="81"/>
        <v/>
      </c>
      <c r="U255" s="87" t="str" cm="1">
        <f t="array" ref="U255">IF(AND(H255&lt;&gt;"YES",P255&lt;&gt;"",R255&lt;&gt;"",Q255&lt;&gt;""),
_xlfn.SWITCH(Q255,
"INR",_xlfn.SWITCH(R255,"KG",P255*S255,"CTN",P255,"UNIT",P255*N255,"NET",P255/M255,0),
"USD",_xlfn.SWITCH(R255,"KG",P255*S255*SI!$C$10,"CTN",P255*SI!$C$10,"UNIT",P255*N255*SI!$C$10,"NET",P255*SI!$C$10/M255,0),
"LKR",_xlfn.SWITCH(R255,"KG",P255*S255/SI!$C$9,"CTN",P255/SI!$C$9,"UNIT",P255*N255/SI!$C$9,"NET",P255/(M255*SI!$C$9),0),
0),
"")</f>
        <v/>
      </c>
      <c r="V255" s="87" t="str">
        <f t="shared" si="82"/>
        <v/>
      </c>
      <c r="W255" s="87" t="str">
        <f t="shared" si="83"/>
        <v/>
      </c>
      <c r="X255" s="88" t="str">
        <f t="shared" si="84"/>
        <v/>
      </c>
      <c r="Y255" s="24" t="str">
        <f t="shared" si="85"/>
        <v/>
      </c>
      <c r="Z255" s="267" t="str">
        <f>IF(AND(H255&lt;&gt;"yes",F255&lt;&gt;""),IFERROR(VLOOKUP(F255,DUTY_2025!A:F,5,FALSE),""),"")</f>
        <v/>
      </c>
      <c r="AA255" s="271" t="str">
        <f t="shared" si="86"/>
        <v/>
      </c>
      <c r="AB255" s="16" t="str">
        <f t="shared" si="87"/>
        <v/>
      </c>
      <c r="AC255" s="16" t="str">
        <f>IF(AA255&lt;&gt;"",ROUND(AA255*SI!$C$9,0),"")</f>
        <v/>
      </c>
      <c r="AD255" s="4" t="str">
        <f>IF(AC255&lt;&gt;"",ROUND(AC255/(SI!$C$9*SI!$C$10),2),"")</f>
        <v/>
      </c>
      <c r="AE255" s="30" t="str">
        <f>IF(AND(X255&lt;&gt;""), ROUND((SI!$E$23)*(X255/SUM($X$5:$X$493)),0),"")</f>
        <v/>
      </c>
      <c r="AF255" s="272" t="str">
        <f t="shared" si="88"/>
        <v/>
      </c>
      <c r="AG255" s="28" t="str">
        <f t="shared" si="89"/>
        <v/>
      </c>
      <c r="AH255" s="4" t="str">
        <f>IF(AD255&lt;&gt;"",ROUND(AD255*10*SI!$C$9/2,0),"")</f>
        <v/>
      </c>
      <c r="AI255" s="29" t="str">
        <f>IF(AND(X255&lt;&gt;""), ROUND((SI!$E$28)*(X255/SUM($X$5:$X$493)),0),"")</f>
        <v/>
      </c>
      <c r="AJ255" s="4" t="str">
        <f t="shared" si="90"/>
        <v/>
      </c>
      <c r="AK255" s="4" t="str">
        <f t="shared" si="91"/>
        <v/>
      </c>
      <c r="AL255" s="4" t="str">
        <f t="shared" si="92"/>
        <v/>
      </c>
      <c r="AM255" s="4" t="str">
        <f t="shared" si="93"/>
        <v/>
      </c>
      <c r="AN255" s="195" t="str">
        <f t="shared" si="94"/>
        <v/>
      </c>
      <c r="AO255" s="261" t="str">
        <f>IF(AND(AM255&lt;&gt;"",P255&lt;&gt;""),ROUND((AM255*((100+SI!$C$11)/100)),0),"")</f>
        <v/>
      </c>
      <c r="AP255" s="28" t="str">
        <f>IF(AG255&lt;&gt;"",ROUND(AG255/SI!$C$9,2),"")</f>
        <v/>
      </c>
      <c r="AQ255" s="4" t="str">
        <f>IF(AH255&lt;&gt;"",ROUND(AH255/SI!$C$9,2),"")</f>
        <v/>
      </c>
      <c r="AR255" s="29" t="str">
        <f>IF(AI255&lt;&gt;"",ROUND(AI255/SI!$C$9,2),"")</f>
        <v/>
      </c>
      <c r="AS255" s="4" t="str">
        <f t="shared" si="95"/>
        <v/>
      </c>
      <c r="AT255" s="4" t="str">
        <f t="shared" si="96"/>
        <v/>
      </c>
      <c r="AU255" s="4" t="str">
        <f>IF(AL255&lt;&gt;"",ROUND(AL255/SI!$C$9,2),"")</f>
        <v/>
      </c>
      <c r="AV255" s="4" t="str">
        <f>IF(AM255&lt;&gt;"",ROUND(AM255/SI!$C$9,2),"")</f>
        <v/>
      </c>
      <c r="AW255" s="4" t="str">
        <f>IF(AN255&lt;&gt;"",ROUND(AN255/SI!$C$9,2),"")</f>
        <v/>
      </c>
      <c r="AX255" s="261" t="str">
        <f>IF(AO255&lt;&gt;"",ROUND(AO255/SI!$C$9,2),"")</f>
        <v/>
      </c>
      <c r="AY255" s="28" t="str">
        <f t="shared" si="97"/>
        <v/>
      </c>
      <c r="AZ255" s="4" t="str">
        <f>IF(AY255&lt;&gt;"",ROUND(AY255/(SI!$C$9*SI!$C$10),2),"")</f>
        <v/>
      </c>
      <c r="BA255" s="4" t="str">
        <f t="shared" si="98"/>
        <v/>
      </c>
      <c r="BB255" s="4" t="str">
        <f t="shared" si="99"/>
        <v/>
      </c>
      <c r="BC255" s="4" t="str">
        <f t="shared" si="100"/>
        <v/>
      </c>
      <c r="BD255" s="4" t="str">
        <f t="shared" si="101"/>
        <v/>
      </c>
      <c r="BE255" s="4" t="str">
        <f>IF(AND(X255&lt;&gt;""),ROUND(X255/SI!$C$10,2),"")</f>
        <v/>
      </c>
      <c r="BF255" s="4" t="str">
        <f t="shared" si="103"/>
        <v/>
      </c>
      <c r="BG255" s="264" t="str">
        <f t="shared" si="102"/>
        <v/>
      </c>
      <c r="BH255" s="71" t="str">
        <f>IF(F255&lt;&gt;"",VLOOKUP(F255,DUTY_2025!A:O,15,FALSE),"")</f>
        <v/>
      </c>
    </row>
    <row r="256" spans="1:60" x14ac:dyDescent="0.25">
      <c r="A256" s="133">
        <f t="shared" si="78"/>
        <v>66</v>
      </c>
      <c r="B256" s="83" t="str">
        <f t="shared" si="79"/>
        <v/>
      </c>
      <c r="C256" s="126"/>
      <c r="D256" s="130"/>
      <c r="E256" s="22"/>
      <c r="F256" s="85"/>
      <c r="G256" s="27" t="str">
        <f>IF(F256&lt;&gt;"",IFERROR(VLOOKUP(F256,DUTY_2025!A:I,6,FALSE),""),"")</f>
        <v/>
      </c>
      <c r="H256" s="85" t="s">
        <v>133</v>
      </c>
      <c r="I256" s="27" t="str">
        <f>IF(F256&lt;&gt;"",IFERROR(VLOOKUP(F256,DUTY_2025!A:H,2,FALSE),""),"")</f>
        <v/>
      </c>
      <c r="J256" s="98"/>
      <c r="K256" s="98"/>
      <c r="L256" s="22"/>
      <c r="M256" s="22"/>
      <c r="N256" s="84"/>
      <c r="O256" s="22"/>
      <c r="P256" s="116"/>
      <c r="Q256" s="23"/>
      <c r="R256" s="27"/>
      <c r="S256" s="86" t="str">
        <f t="shared" si="80"/>
        <v/>
      </c>
      <c r="T256" s="87" t="str">
        <f t="shared" si="81"/>
        <v/>
      </c>
      <c r="U256" s="87" t="str" cm="1">
        <f t="array" ref="U256">IF(AND(H256&lt;&gt;"YES",P256&lt;&gt;"",R256&lt;&gt;"",Q256&lt;&gt;""),
_xlfn.SWITCH(Q256,
"INR",_xlfn.SWITCH(R256,"KG",P256*S256,"CTN",P256,"UNIT",P256*N256,"NET",P256/M256,0),
"USD",_xlfn.SWITCH(R256,"KG",P256*S256*SI!$C$10,"CTN",P256*SI!$C$10,"UNIT",P256*N256*SI!$C$10,"NET",P256*SI!$C$10/M256,0),
"LKR",_xlfn.SWITCH(R256,"KG",P256*S256/SI!$C$9,"CTN",P256/SI!$C$9,"UNIT",P256*N256/SI!$C$9,"NET",P256/(M256*SI!$C$9),0),
0),
"")</f>
        <v/>
      </c>
      <c r="V256" s="87" t="str">
        <f t="shared" si="82"/>
        <v/>
      </c>
      <c r="W256" s="87" t="str">
        <f t="shared" si="83"/>
        <v/>
      </c>
      <c r="X256" s="88" t="str">
        <f t="shared" si="84"/>
        <v/>
      </c>
      <c r="Y256" s="24" t="str">
        <f t="shared" si="85"/>
        <v/>
      </c>
      <c r="Z256" s="267" t="str">
        <f>IF(AND(H256&lt;&gt;"yes",F256&lt;&gt;""),IFERROR(VLOOKUP(F256,DUTY_2025!A:F,5,FALSE),""),"")</f>
        <v/>
      </c>
      <c r="AA256" s="271" t="str">
        <f t="shared" si="86"/>
        <v/>
      </c>
      <c r="AB256" s="16" t="str">
        <f t="shared" si="87"/>
        <v/>
      </c>
      <c r="AC256" s="16" t="str">
        <f>IF(AA256&lt;&gt;"",ROUND(AA256*SI!$C$9,0),"")</f>
        <v/>
      </c>
      <c r="AD256" s="4" t="str">
        <f>IF(AC256&lt;&gt;"",ROUND(AC256/(SI!$C$9*SI!$C$10),2),"")</f>
        <v/>
      </c>
      <c r="AE256" s="30" t="str">
        <f>IF(AND(X256&lt;&gt;""), ROUND((SI!$E$23)*(X256/SUM($X$5:$X$493)),0),"")</f>
        <v/>
      </c>
      <c r="AF256" s="272" t="str">
        <f t="shared" si="88"/>
        <v/>
      </c>
      <c r="AG256" s="28" t="str">
        <f t="shared" si="89"/>
        <v/>
      </c>
      <c r="AH256" s="4" t="str">
        <f>IF(AD256&lt;&gt;"",ROUND(AD256*10*SI!$C$9/2,0),"")</f>
        <v/>
      </c>
      <c r="AI256" s="29" t="str">
        <f>IF(AND(X256&lt;&gt;""), ROUND((SI!$E$28)*(X256/SUM($X$5:$X$493)),0),"")</f>
        <v/>
      </c>
      <c r="AJ256" s="4" t="str">
        <f t="shared" si="90"/>
        <v/>
      </c>
      <c r="AK256" s="4" t="str">
        <f t="shared" si="91"/>
        <v/>
      </c>
      <c r="AL256" s="4" t="str">
        <f t="shared" si="92"/>
        <v/>
      </c>
      <c r="AM256" s="4" t="str">
        <f t="shared" si="93"/>
        <v/>
      </c>
      <c r="AN256" s="195" t="str">
        <f t="shared" si="94"/>
        <v/>
      </c>
      <c r="AO256" s="261" t="str">
        <f>IF(AND(AM256&lt;&gt;"",P256&lt;&gt;""),ROUND((AM256*((100+SI!$C$11)/100)),0),"")</f>
        <v/>
      </c>
      <c r="AP256" s="28" t="str">
        <f>IF(AG256&lt;&gt;"",ROUND(AG256/SI!$C$9,2),"")</f>
        <v/>
      </c>
      <c r="AQ256" s="4" t="str">
        <f>IF(AH256&lt;&gt;"",ROUND(AH256/SI!$C$9,2),"")</f>
        <v/>
      </c>
      <c r="AR256" s="29" t="str">
        <f>IF(AI256&lt;&gt;"",ROUND(AI256/SI!$C$9,2),"")</f>
        <v/>
      </c>
      <c r="AS256" s="4" t="str">
        <f t="shared" si="95"/>
        <v/>
      </c>
      <c r="AT256" s="4" t="str">
        <f t="shared" si="96"/>
        <v/>
      </c>
      <c r="AU256" s="4" t="str">
        <f>IF(AL256&lt;&gt;"",ROUND(AL256/SI!$C$9,2),"")</f>
        <v/>
      </c>
      <c r="AV256" s="4" t="str">
        <f>IF(AM256&lt;&gt;"",ROUND(AM256/SI!$C$9,2),"")</f>
        <v/>
      </c>
      <c r="AW256" s="4" t="str">
        <f>IF(AN256&lt;&gt;"",ROUND(AN256/SI!$C$9,2),"")</f>
        <v/>
      </c>
      <c r="AX256" s="261" t="str">
        <f>IF(AO256&lt;&gt;"",ROUND(AO256/SI!$C$9,2),"")</f>
        <v/>
      </c>
      <c r="AY256" s="28" t="str">
        <f t="shared" si="97"/>
        <v/>
      </c>
      <c r="AZ256" s="4" t="str">
        <f>IF(AY256&lt;&gt;"",ROUND(AY256/(SI!$C$9*SI!$C$10),2),"")</f>
        <v/>
      </c>
      <c r="BA256" s="4" t="str">
        <f t="shared" si="98"/>
        <v/>
      </c>
      <c r="BB256" s="4" t="str">
        <f t="shared" si="99"/>
        <v/>
      </c>
      <c r="BC256" s="4" t="str">
        <f t="shared" si="100"/>
        <v/>
      </c>
      <c r="BD256" s="4" t="str">
        <f t="shared" si="101"/>
        <v/>
      </c>
      <c r="BE256" s="4" t="str">
        <f>IF(AND(X256&lt;&gt;""),ROUND(X256/SI!$C$10,2),"")</f>
        <v/>
      </c>
      <c r="BF256" s="4" t="str">
        <f t="shared" si="103"/>
        <v/>
      </c>
      <c r="BG256" s="264" t="str">
        <f t="shared" si="102"/>
        <v/>
      </c>
      <c r="BH256" s="71" t="str">
        <f>IF(F256&lt;&gt;"",VLOOKUP(F256,DUTY_2025!A:O,15,FALSE),"")</f>
        <v/>
      </c>
    </row>
    <row r="257" spans="1:60" x14ac:dyDescent="0.25">
      <c r="A257" s="133">
        <f t="shared" si="78"/>
        <v>66</v>
      </c>
      <c r="B257" s="83" t="str">
        <f t="shared" si="79"/>
        <v/>
      </c>
      <c r="C257" s="126"/>
      <c r="D257" s="130"/>
      <c r="E257" s="22"/>
      <c r="F257" s="85"/>
      <c r="G257" s="27" t="str">
        <f>IF(F257&lt;&gt;"",IFERROR(VLOOKUP(F257,DUTY_2025!A:I,6,FALSE),""),"")</f>
        <v/>
      </c>
      <c r="H257" s="85" t="s">
        <v>133</v>
      </c>
      <c r="I257" s="27" t="str">
        <f>IF(F257&lt;&gt;"",IFERROR(VLOOKUP(F257,DUTY_2025!A:H,2,FALSE),""),"")</f>
        <v/>
      </c>
      <c r="J257" s="98"/>
      <c r="K257" s="98"/>
      <c r="L257" s="22"/>
      <c r="M257" s="22"/>
      <c r="N257" s="84"/>
      <c r="O257" s="22"/>
      <c r="P257" s="116"/>
      <c r="Q257" s="23"/>
      <c r="R257" s="27"/>
      <c r="S257" s="86" t="str">
        <f t="shared" si="80"/>
        <v/>
      </c>
      <c r="T257" s="87" t="str">
        <f t="shared" si="81"/>
        <v/>
      </c>
      <c r="U257" s="87" t="str" cm="1">
        <f t="array" ref="U257">IF(AND(H257&lt;&gt;"YES",P257&lt;&gt;"",R257&lt;&gt;"",Q257&lt;&gt;""),
_xlfn.SWITCH(Q257,
"INR",_xlfn.SWITCH(R257,"KG",P257*S257,"CTN",P257,"UNIT",P257*N257,"NET",P257/M257,0),
"USD",_xlfn.SWITCH(R257,"KG",P257*S257*SI!$C$10,"CTN",P257*SI!$C$10,"UNIT",P257*N257*SI!$C$10,"NET",P257*SI!$C$10/M257,0),
"LKR",_xlfn.SWITCH(R257,"KG",P257*S257/SI!$C$9,"CTN",P257/SI!$C$9,"UNIT",P257*N257/SI!$C$9,"NET",P257/(M257*SI!$C$9),0),
0),
"")</f>
        <v/>
      </c>
      <c r="V257" s="87" t="str">
        <f t="shared" si="82"/>
        <v/>
      </c>
      <c r="W257" s="87" t="str">
        <f t="shared" si="83"/>
        <v/>
      </c>
      <c r="X257" s="88" t="str">
        <f t="shared" si="84"/>
        <v/>
      </c>
      <c r="Y257" s="24" t="str">
        <f t="shared" si="85"/>
        <v/>
      </c>
      <c r="Z257" s="267" t="str">
        <f>IF(AND(H257&lt;&gt;"yes",F257&lt;&gt;""),IFERROR(VLOOKUP(F257,DUTY_2025!A:F,5,FALSE),""),"")</f>
        <v/>
      </c>
      <c r="AA257" s="271" t="str">
        <f t="shared" si="86"/>
        <v/>
      </c>
      <c r="AB257" s="16" t="str">
        <f t="shared" si="87"/>
        <v/>
      </c>
      <c r="AC257" s="16" t="str">
        <f>IF(AA257&lt;&gt;"",ROUND(AA257*SI!$C$9,0),"")</f>
        <v/>
      </c>
      <c r="AD257" s="4" t="str">
        <f>IF(AC257&lt;&gt;"",ROUND(AC257/(SI!$C$9*SI!$C$10),2),"")</f>
        <v/>
      </c>
      <c r="AE257" s="30" t="str">
        <f>IF(AND(X257&lt;&gt;""), ROUND((SI!$E$23)*(X257/SUM($X$5:$X$493)),0),"")</f>
        <v/>
      </c>
      <c r="AF257" s="272" t="str">
        <f t="shared" si="88"/>
        <v/>
      </c>
      <c r="AG257" s="28" t="str">
        <f t="shared" si="89"/>
        <v/>
      </c>
      <c r="AH257" s="4" t="str">
        <f>IF(AD257&lt;&gt;"",ROUND(AD257*10*SI!$C$9/2,0),"")</f>
        <v/>
      </c>
      <c r="AI257" s="29" t="str">
        <f>IF(AND(X257&lt;&gt;""), ROUND((SI!$E$28)*(X257/SUM($X$5:$X$493)),0),"")</f>
        <v/>
      </c>
      <c r="AJ257" s="4" t="str">
        <f t="shared" si="90"/>
        <v/>
      </c>
      <c r="AK257" s="4" t="str">
        <f t="shared" si="91"/>
        <v/>
      </c>
      <c r="AL257" s="4" t="str">
        <f t="shared" si="92"/>
        <v/>
      </c>
      <c r="AM257" s="4" t="str">
        <f t="shared" si="93"/>
        <v/>
      </c>
      <c r="AN257" s="195" t="str">
        <f t="shared" si="94"/>
        <v/>
      </c>
      <c r="AO257" s="261" t="str">
        <f>IF(AND(AM257&lt;&gt;"",P257&lt;&gt;""),ROUND((AM257*((100+SI!$C$11)/100)),0),"")</f>
        <v/>
      </c>
      <c r="AP257" s="28" t="str">
        <f>IF(AG257&lt;&gt;"",ROUND(AG257/SI!$C$9,2),"")</f>
        <v/>
      </c>
      <c r="AQ257" s="4" t="str">
        <f>IF(AH257&lt;&gt;"",ROUND(AH257/SI!$C$9,2),"")</f>
        <v/>
      </c>
      <c r="AR257" s="29" t="str">
        <f>IF(AI257&lt;&gt;"",ROUND(AI257/SI!$C$9,2),"")</f>
        <v/>
      </c>
      <c r="AS257" s="4" t="str">
        <f t="shared" si="95"/>
        <v/>
      </c>
      <c r="AT257" s="4" t="str">
        <f t="shared" si="96"/>
        <v/>
      </c>
      <c r="AU257" s="4" t="str">
        <f>IF(AL257&lt;&gt;"",ROUND(AL257/SI!$C$9,2),"")</f>
        <v/>
      </c>
      <c r="AV257" s="4" t="str">
        <f>IF(AM257&lt;&gt;"",ROUND(AM257/SI!$C$9,2),"")</f>
        <v/>
      </c>
      <c r="AW257" s="4" t="str">
        <f>IF(AN257&lt;&gt;"",ROUND(AN257/SI!$C$9,2),"")</f>
        <v/>
      </c>
      <c r="AX257" s="261" t="str">
        <f>IF(AO257&lt;&gt;"",ROUND(AO257/SI!$C$9,2),"")</f>
        <v/>
      </c>
      <c r="AY257" s="28" t="str">
        <f t="shared" si="97"/>
        <v/>
      </c>
      <c r="AZ257" s="4" t="str">
        <f>IF(AY257&lt;&gt;"",ROUND(AY257/(SI!$C$9*SI!$C$10),2),"")</f>
        <v/>
      </c>
      <c r="BA257" s="4" t="str">
        <f t="shared" si="98"/>
        <v/>
      </c>
      <c r="BB257" s="4" t="str">
        <f t="shared" si="99"/>
        <v/>
      </c>
      <c r="BC257" s="4" t="str">
        <f t="shared" si="100"/>
        <v/>
      </c>
      <c r="BD257" s="4" t="str">
        <f t="shared" si="101"/>
        <v/>
      </c>
      <c r="BE257" s="4" t="str">
        <f>IF(AND(X257&lt;&gt;""),ROUND(X257/SI!$C$10,2),"")</f>
        <v/>
      </c>
      <c r="BF257" s="4" t="str">
        <f t="shared" si="103"/>
        <v/>
      </c>
      <c r="BG257" s="264" t="str">
        <f t="shared" si="102"/>
        <v/>
      </c>
      <c r="BH257" s="71" t="str">
        <f>IF(F257&lt;&gt;"",VLOOKUP(F257,DUTY_2025!A:O,15,FALSE),"")</f>
        <v/>
      </c>
    </row>
    <row r="258" spans="1:60" x14ac:dyDescent="0.25">
      <c r="A258" s="133">
        <f t="shared" si="78"/>
        <v>66</v>
      </c>
      <c r="B258" s="83" t="str">
        <f t="shared" si="79"/>
        <v/>
      </c>
      <c r="C258" s="126"/>
      <c r="D258" s="130"/>
      <c r="E258" s="22"/>
      <c r="F258" s="85"/>
      <c r="G258" s="27" t="str">
        <f>IF(F258&lt;&gt;"",IFERROR(VLOOKUP(F258,DUTY_2025!A:I,6,FALSE),""),"")</f>
        <v/>
      </c>
      <c r="H258" s="85" t="s">
        <v>133</v>
      </c>
      <c r="I258" s="27" t="str">
        <f>IF(F258&lt;&gt;"",IFERROR(VLOOKUP(F258,DUTY_2025!A:H,2,FALSE),""),"")</f>
        <v/>
      </c>
      <c r="J258" s="98"/>
      <c r="K258" s="98"/>
      <c r="L258" s="22"/>
      <c r="M258" s="22"/>
      <c r="N258" s="84"/>
      <c r="O258" s="22"/>
      <c r="P258" s="116"/>
      <c r="Q258" s="23"/>
      <c r="R258" s="27"/>
      <c r="S258" s="86" t="str">
        <f t="shared" si="80"/>
        <v/>
      </c>
      <c r="T258" s="87" t="str">
        <f t="shared" si="81"/>
        <v/>
      </c>
      <c r="U258" s="87" t="str" cm="1">
        <f t="array" ref="U258">IF(AND(H258&lt;&gt;"YES",P258&lt;&gt;"",R258&lt;&gt;"",Q258&lt;&gt;""),
_xlfn.SWITCH(Q258,
"INR",_xlfn.SWITCH(R258,"KG",P258*S258,"CTN",P258,"UNIT",P258*N258,"NET",P258/M258,0),
"USD",_xlfn.SWITCH(R258,"KG",P258*S258*SI!$C$10,"CTN",P258*SI!$C$10,"UNIT",P258*N258*SI!$C$10,"NET",P258*SI!$C$10/M258,0),
"LKR",_xlfn.SWITCH(R258,"KG",P258*S258/SI!$C$9,"CTN",P258/SI!$C$9,"UNIT",P258*N258/SI!$C$9,"NET",P258/(M258*SI!$C$9),0),
0),
"")</f>
        <v/>
      </c>
      <c r="V258" s="87" t="str">
        <f t="shared" si="82"/>
        <v/>
      </c>
      <c r="W258" s="87" t="str">
        <f t="shared" si="83"/>
        <v/>
      </c>
      <c r="X258" s="88" t="str">
        <f t="shared" si="84"/>
        <v/>
      </c>
      <c r="Y258" s="24" t="str">
        <f t="shared" si="85"/>
        <v/>
      </c>
      <c r="Z258" s="267" t="str">
        <f>IF(AND(H258&lt;&gt;"yes",F258&lt;&gt;""),IFERROR(VLOOKUP(F258,DUTY_2025!A:F,5,FALSE),""),"")</f>
        <v/>
      </c>
      <c r="AA258" s="271" t="str">
        <f t="shared" si="86"/>
        <v/>
      </c>
      <c r="AB258" s="16" t="str">
        <f t="shared" si="87"/>
        <v/>
      </c>
      <c r="AC258" s="16" t="str">
        <f>IF(AA258&lt;&gt;"",ROUND(AA258*SI!$C$9,0),"")</f>
        <v/>
      </c>
      <c r="AD258" s="4" t="str">
        <f>IF(AC258&lt;&gt;"",ROUND(AC258/(SI!$C$9*SI!$C$10),2),"")</f>
        <v/>
      </c>
      <c r="AE258" s="30" t="str">
        <f>IF(AND(X258&lt;&gt;""), ROUND((SI!$E$23)*(X258/SUM($X$5:$X$493)),0),"")</f>
        <v/>
      </c>
      <c r="AF258" s="272" t="str">
        <f t="shared" si="88"/>
        <v/>
      </c>
      <c r="AG258" s="28" t="str">
        <f t="shared" si="89"/>
        <v/>
      </c>
      <c r="AH258" s="4" t="str">
        <f>IF(AD258&lt;&gt;"",ROUND(AD258*10*SI!$C$9/2,0),"")</f>
        <v/>
      </c>
      <c r="AI258" s="29" t="str">
        <f>IF(AND(X258&lt;&gt;""), ROUND((SI!$E$28)*(X258/SUM($X$5:$X$493)),0),"")</f>
        <v/>
      </c>
      <c r="AJ258" s="4" t="str">
        <f t="shared" si="90"/>
        <v/>
      </c>
      <c r="AK258" s="4" t="str">
        <f t="shared" si="91"/>
        <v/>
      </c>
      <c r="AL258" s="4" t="str">
        <f t="shared" si="92"/>
        <v/>
      </c>
      <c r="AM258" s="4" t="str">
        <f t="shared" si="93"/>
        <v/>
      </c>
      <c r="AN258" s="195" t="str">
        <f t="shared" si="94"/>
        <v/>
      </c>
      <c r="AO258" s="261" t="str">
        <f>IF(AND(AM258&lt;&gt;"",P258&lt;&gt;""),ROUND((AM258*((100+SI!$C$11)/100)),0),"")</f>
        <v/>
      </c>
      <c r="AP258" s="28" t="str">
        <f>IF(AG258&lt;&gt;"",ROUND(AG258/SI!$C$9,2),"")</f>
        <v/>
      </c>
      <c r="AQ258" s="4" t="str">
        <f>IF(AH258&lt;&gt;"",ROUND(AH258/SI!$C$9,2),"")</f>
        <v/>
      </c>
      <c r="AR258" s="29" t="str">
        <f>IF(AI258&lt;&gt;"",ROUND(AI258/SI!$C$9,2),"")</f>
        <v/>
      </c>
      <c r="AS258" s="4" t="str">
        <f t="shared" si="95"/>
        <v/>
      </c>
      <c r="AT258" s="4" t="str">
        <f t="shared" si="96"/>
        <v/>
      </c>
      <c r="AU258" s="4" t="str">
        <f>IF(AL258&lt;&gt;"",ROUND(AL258/SI!$C$9,2),"")</f>
        <v/>
      </c>
      <c r="AV258" s="4" t="str">
        <f>IF(AM258&lt;&gt;"",ROUND(AM258/SI!$C$9,2),"")</f>
        <v/>
      </c>
      <c r="AW258" s="4" t="str">
        <f>IF(AN258&lt;&gt;"",ROUND(AN258/SI!$C$9,2),"")</f>
        <v/>
      </c>
      <c r="AX258" s="261" t="str">
        <f>IF(AO258&lt;&gt;"",ROUND(AO258/SI!$C$9,2),"")</f>
        <v/>
      </c>
      <c r="AY258" s="28" t="str">
        <f t="shared" si="97"/>
        <v/>
      </c>
      <c r="AZ258" s="4" t="str">
        <f>IF(AY258&lt;&gt;"",ROUND(AY258/(SI!$C$9*SI!$C$10),2),"")</f>
        <v/>
      </c>
      <c r="BA258" s="4" t="str">
        <f t="shared" si="98"/>
        <v/>
      </c>
      <c r="BB258" s="4" t="str">
        <f t="shared" si="99"/>
        <v/>
      </c>
      <c r="BC258" s="4" t="str">
        <f t="shared" si="100"/>
        <v/>
      </c>
      <c r="BD258" s="4" t="str">
        <f t="shared" si="101"/>
        <v/>
      </c>
      <c r="BE258" s="4" t="str">
        <f>IF(AND(X258&lt;&gt;""),ROUND(X258/SI!$C$10,2),"")</f>
        <v/>
      </c>
      <c r="BF258" s="4" t="str">
        <f t="shared" si="103"/>
        <v/>
      </c>
      <c r="BG258" s="264" t="str">
        <f t="shared" si="102"/>
        <v/>
      </c>
      <c r="BH258" s="71" t="str">
        <f>IF(F258&lt;&gt;"",VLOOKUP(F258,DUTY_2025!A:O,15,FALSE),"")</f>
        <v/>
      </c>
    </row>
    <row r="259" spans="1:60" x14ac:dyDescent="0.25">
      <c r="A259" s="133">
        <f t="shared" si="78"/>
        <v>66</v>
      </c>
      <c r="B259" s="83" t="str">
        <f t="shared" si="79"/>
        <v/>
      </c>
      <c r="C259" s="126"/>
      <c r="D259" s="130"/>
      <c r="E259" s="22"/>
      <c r="F259" s="85"/>
      <c r="G259" s="27" t="str">
        <f>IF(F259&lt;&gt;"",IFERROR(VLOOKUP(F259,DUTY_2025!A:I,6,FALSE),""),"")</f>
        <v/>
      </c>
      <c r="H259" s="85" t="s">
        <v>133</v>
      </c>
      <c r="I259" s="27" t="str">
        <f>IF(F259&lt;&gt;"",IFERROR(VLOOKUP(F259,DUTY_2025!A:H,2,FALSE),""),"")</f>
        <v/>
      </c>
      <c r="J259" s="98"/>
      <c r="K259" s="98"/>
      <c r="L259" s="22"/>
      <c r="M259" s="22"/>
      <c r="N259" s="84"/>
      <c r="O259" s="22"/>
      <c r="P259" s="116"/>
      <c r="Q259" s="23"/>
      <c r="R259" s="27"/>
      <c r="S259" s="86" t="str">
        <f t="shared" si="80"/>
        <v/>
      </c>
      <c r="T259" s="87" t="str">
        <f t="shared" si="81"/>
        <v/>
      </c>
      <c r="U259" s="87" t="str" cm="1">
        <f t="array" ref="U259">IF(AND(H259&lt;&gt;"YES",P259&lt;&gt;"",R259&lt;&gt;"",Q259&lt;&gt;""),
_xlfn.SWITCH(Q259,
"INR",_xlfn.SWITCH(R259,"KG",P259*S259,"CTN",P259,"UNIT",P259*N259,"NET",P259/M259,0),
"USD",_xlfn.SWITCH(R259,"KG",P259*S259*SI!$C$10,"CTN",P259*SI!$C$10,"UNIT",P259*N259*SI!$C$10,"NET",P259*SI!$C$10/M259,0),
"LKR",_xlfn.SWITCH(R259,"KG",P259*S259/SI!$C$9,"CTN",P259/SI!$C$9,"UNIT",P259*N259/SI!$C$9,"NET",P259/(M259*SI!$C$9),0),
0),
"")</f>
        <v/>
      </c>
      <c r="V259" s="87" t="str">
        <f t="shared" si="82"/>
        <v/>
      </c>
      <c r="W259" s="87" t="str">
        <f t="shared" si="83"/>
        <v/>
      </c>
      <c r="X259" s="88" t="str">
        <f t="shared" si="84"/>
        <v/>
      </c>
      <c r="Y259" s="24" t="str">
        <f t="shared" si="85"/>
        <v/>
      </c>
      <c r="Z259" s="267" t="str">
        <f>IF(AND(H259&lt;&gt;"yes",F259&lt;&gt;""),IFERROR(VLOOKUP(F259,DUTY_2025!A:F,5,FALSE),""),"")</f>
        <v/>
      </c>
      <c r="AA259" s="271" t="str">
        <f t="shared" si="86"/>
        <v/>
      </c>
      <c r="AB259" s="16" t="str">
        <f t="shared" si="87"/>
        <v/>
      </c>
      <c r="AC259" s="16" t="str">
        <f>IF(AA259&lt;&gt;"",ROUND(AA259*SI!$C$9,0),"")</f>
        <v/>
      </c>
      <c r="AD259" s="4" t="str">
        <f>IF(AC259&lt;&gt;"",ROUND(AC259/(SI!$C$9*SI!$C$10),2),"")</f>
        <v/>
      </c>
      <c r="AE259" s="30" t="str">
        <f>IF(AND(X259&lt;&gt;""), ROUND((SI!$E$23)*(X259/SUM($X$5:$X$493)),0),"")</f>
        <v/>
      </c>
      <c r="AF259" s="272" t="str">
        <f t="shared" si="88"/>
        <v/>
      </c>
      <c r="AG259" s="28" t="str">
        <f t="shared" si="89"/>
        <v/>
      </c>
      <c r="AH259" s="4" t="str">
        <f>IF(AD259&lt;&gt;"",ROUND(AD259*10*SI!$C$9/2,0),"")</f>
        <v/>
      </c>
      <c r="AI259" s="29" t="str">
        <f>IF(AND(X259&lt;&gt;""), ROUND((SI!$E$28)*(X259/SUM($X$5:$X$493)),0),"")</f>
        <v/>
      </c>
      <c r="AJ259" s="4" t="str">
        <f t="shared" si="90"/>
        <v/>
      </c>
      <c r="AK259" s="4" t="str">
        <f t="shared" si="91"/>
        <v/>
      </c>
      <c r="AL259" s="4" t="str">
        <f t="shared" si="92"/>
        <v/>
      </c>
      <c r="AM259" s="4" t="str">
        <f t="shared" si="93"/>
        <v/>
      </c>
      <c r="AN259" s="195" t="str">
        <f t="shared" si="94"/>
        <v/>
      </c>
      <c r="AO259" s="261" t="str">
        <f>IF(AND(AM259&lt;&gt;"",P259&lt;&gt;""),ROUND((AM259*((100+SI!$C$11)/100)),0),"")</f>
        <v/>
      </c>
      <c r="AP259" s="28" t="str">
        <f>IF(AG259&lt;&gt;"",ROUND(AG259/SI!$C$9,2),"")</f>
        <v/>
      </c>
      <c r="AQ259" s="4" t="str">
        <f>IF(AH259&lt;&gt;"",ROUND(AH259/SI!$C$9,2),"")</f>
        <v/>
      </c>
      <c r="AR259" s="29" t="str">
        <f>IF(AI259&lt;&gt;"",ROUND(AI259/SI!$C$9,2),"")</f>
        <v/>
      </c>
      <c r="AS259" s="4" t="str">
        <f t="shared" si="95"/>
        <v/>
      </c>
      <c r="AT259" s="4" t="str">
        <f t="shared" si="96"/>
        <v/>
      </c>
      <c r="AU259" s="4" t="str">
        <f>IF(AL259&lt;&gt;"",ROUND(AL259/SI!$C$9,2),"")</f>
        <v/>
      </c>
      <c r="AV259" s="4" t="str">
        <f>IF(AM259&lt;&gt;"",ROUND(AM259/SI!$C$9,2),"")</f>
        <v/>
      </c>
      <c r="AW259" s="4" t="str">
        <f>IF(AN259&lt;&gt;"",ROUND(AN259/SI!$C$9,2),"")</f>
        <v/>
      </c>
      <c r="AX259" s="261" t="str">
        <f>IF(AO259&lt;&gt;"",ROUND(AO259/SI!$C$9,2),"")</f>
        <v/>
      </c>
      <c r="AY259" s="28" t="str">
        <f t="shared" si="97"/>
        <v/>
      </c>
      <c r="AZ259" s="4" t="str">
        <f>IF(AY259&lt;&gt;"",ROUND(AY259/(SI!$C$9*SI!$C$10),2),"")</f>
        <v/>
      </c>
      <c r="BA259" s="4" t="str">
        <f t="shared" si="98"/>
        <v/>
      </c>
      <c r="BB259" s="4" t="str">
        <f t="shared" si="99"/>
        <v/>
      </c>
      <c r="BC259" s="4" t="str">
        <f t="shared" si="100"/>
        <v/>
      </c>
      <c r="BD259" s="4" t="str">
        <f t="shared" si="101"/>
        <v/>
      </c>
      <c r="BE259" s="4" t="str">
        <f>IF(AND(X259&lt;&gt;""),ROUND(X259/SI!$C$10,2),"")</f>
        <v/>
      </c>
      <c r="BF259" s="4" t="str">
        <f t="shared" si="103"/>
        <v/>
      </c>
      <c r="BG259" s="264" t="str">
        <f t="shared" si="102"/>
        <v/>
      </c>
      <c r="BH259" s="71" t="str">
        <f>IF(F259&lt;&gt;"",VLOOKUP(F259,DUTY_2025!A:O,15,FALSE),"")</f>
        <v/>
      </c>
    </row>
    <row r="260" spans="1:60" x14ac:dyDescent="0.25">
      <c r="A260" s="133">
        <f t="shared" si="78"/>
        <v>66</v>
      </c>
      <c r="B260" s="83" t="str">
        <f t="shared" si="79"/>
        <v/>
      </c>
      <c r="C260" s="126"/>
      <c r="D260" s="130"/>
      <c r="E260" s="22"/>
      <c r="F260" s="85"/>
      <c r="G260" s="27" t="str">
        <f>IF(F260&lt;&gt;"",IFERROR(VLOOKUP(F260,DUTY_2025!A:I,6,FALSE),""),"")</f>
        <v/>
      </c>
      <c r="H260" s="85" t="s">
        <v>133</v>
      </c>
      <c r="I260" s="27" t="str">
        <f>IF(F260&lt;&gt;"",IFERROR(VLOOKUP(F260,DUTY_2025!A:H,2,FALSE),""),"")</f>
        <v/>
      </c>
      <c r="J260" s="98"/>
      <c r="K260" s="98"/>
      <c r="L260" s="22"/>
      <c r="M260" s="22"/>
      <c r="N260" s="84"/>
      <c r="O260" s="22"/>
      <c r="P260" s="116"/>
      <c r="Q260" s="23"/>
      <c r="R260" s="27"/>
      <c r="S260" s="86" t="str">
        <f t="shared" si="80"/>
        <v/>
      </c>
      <c r="T260" s="87" t="str">
        <f t="shared" si="81"/>
        <v/>
      </c>
      <c r="U260" s="87" t="str" cm="1">
        <f t="array" ref="U260">IF(AND(H260&lt;&gt;"YES",P260&lt;&gt;"",R260&lt;&gt;"",Q260&lt;&gt;""),
_xlfn.SWITCH(Q260,
"INR",_xlfn.SWITCH(R260,"KG",P260*S260,"CTN",P260,"UNIT",P260*N260,"NET",P260/M260,0),
"USD",_xlfn.SWITCH(R260,"KG",P260*S260*SI!$C$10,"CTN",P260*SI!$C$10,"UNIT",P260*N260*SI!$C$10,"NET",P260*SI!$C$10/M260,0),
"LKR",_xlfn.SWITCH(R260,"KG",P260*S260/SI!$C$9,"CTN",P260/SI!$C$9,"UNIT",P260*N260/SI!$C$9,"NET",P260/(M260*SI!$C$9),0),
0),
"")</f>
        <v/>
      </c>
      <c r="V260" s="87" t="str">
        <f t="shared" si="82"/>
        <v/>
      </c>
      <c r="W260" s="87" t="str">
        <f t="shared" si="83"/>
        <v/>
      </c>
      <c r="X260" s="88" t="str">
        <f t="shared" si="84"/>
        <v/>
      </c>
      <c r="Y260" s="24" t="str">
        <f t="shared" si="85"/>
        <v/>
      </c>
      <c r="Z260" s="267" t="str">
        <f>IF(AND(H260&lt;&gt;"yes",F260&lt;&gt;""),IFERROR(VLOOKUP(F260,DUTY_2025!A:F,5,FALSE),""),"")</f>
        <v/>
      </c>
      <c r="AA260" s="271" t="str">
        <f t="shared" si="86"/>
        <v/>
      </c>
      <c r="AB260" s="16" t="str">
        <f t="shared" si="87"/>
        <v/>
      </c>
      <c r="AC260" s="16" t="str">
        <f>IF(AA260&lt;&gt;"",ROUND(AA260*SI!$C$9,0),"")</f>
        <v/>
      </c>
      <c r="AD260" s="4" t="str">
        <f>IF(AC260&lt;&gt;"",ROUND(AC260/(SI!$C$9*SI!$C$10),2),"")</f>
        <v/>
      </c>
      <c r="AE260" s="30" t="str">
        <f>IF(AND(X260&lt;&gt;""), ROUND((SI!$E$23)*(X260/SUM($X$5:$X$493)),0),"")</f>
        <v/>
      </c>
      <c r="AF260" s="272" t="str">
        <f t="shared" si="88"/>
        <v/>
      </c>
      <c r="AG260" s="28" t="str">
        <f t="shared" si="89"/>
        <v/>
      </c>
      <c r="AH260" s="4" t="str">
        <f>IF(AD260&lt;&gt;"",ROUND(AD260*10*SI!$C$9/2,0),"")</f>
        <v/>
      </c>
      <c r="AI260" s="29" t="str">
        <f>IF(AND(X260&lt;&gt;""), ROUND((SI!$E$28)*(X260/SUM($X$5:$X$493)),0),"")</f>
        <v/>
      </c>
      <c r="AJ260" s="4" t="str">
        <f t="shared" si="90"/>
        <v/>
      </c>
      <c r="AK260" s="4" t="str">
        <f t="shared" si="91"/>
        <v/>
      </c>
      <c r="AL260" s="4" t="str">
        <f t="shared" si="92"/>
        <v/>
      </c>
      <c r="AM260" s="4" t="str">
        <f t="shared" si="93"/>
        <v/>
      </c>
      <c r="AN260" s="195" t="str">
        <f t="shared" si="94"/>
        <v/>
      </c>
      <c r="AO260" s="261" t="str">
        <f>IF(AND(AM260&lt;&gt;"",P260&lt;&gt;""),ROUND((AM260*((100+SI!$C$11)/100)),0),"")</f>
        <v/>
      </c>
      <c r="AP260" s="28" t="str">
        <f>IF(AG260&lt;&gt;"",ROUND(AG260/SI!$C$9,2),"")</f>
        <v/>
      </c>
      <c r="AQ260" s="4" t="str">
        <f>IF(AH260&lt;&gt;"",ROUND(AH260/SI!$C$9,2),"")</f>
        <v/>
      </c>
      <c r="AR260" s="29" t="str">
        <f>IF(AI260&lt;&gt;"",ROUND(AI260/SI!$C$9,2),"")</f>
        <v/>
      </c>
      <c r="AS260" s="4" t="str">
        <f t="shared" si="95"/>
        <v/>
      </c>
      <c r="AT260" s="4" t="str">
        <f t="shared" si="96"/>
        <v/>
      </c>
      <c r="AU260" s="4" t="str">
        <f>IF(AL260&lt;&gt;"",ROUND(AL260/SI!$C$9,2),"")</f>
        <v/>
      </c>
      <c r="AV260" s="4" t="str">
        <f>IF(AM260&lt;&gt;"",ROUND(AM260/SI!$C$9,2),"")</f>
        <v/>
      </c>
      <c r="AW260" s="4" t="str">
        <f>IF(AN260&lt;&gt;"",ROUND(AN260/SI!$C$9,2),"")</f>
        <v/>
      </c>
      <c r="AX260" s="261" t="str">
        <f>IF(AO260&lt;&gt;"",ROUND(AO260/SI!$C$9,2),"")</f>
        <v/>
      </c>
      <c r="AY260" s="28" t="str">
        <f t="shared" si="97"/>
        <v/>
      </c>
      <c r="AZ260" s="4" t="str">
        <f>IF(AY260&lt;&gt;"",ROUND(AY260/(SI!$C$9*SI!$C$10),2),"")</f>
        <v/>
      </c>
      <c r="BA260" s="4" t="str">
        <f t="shared" si="98"/>
        <v/>
      </c>
      <c r="BB260" s="4" t="str">
        <f t="shared" si="99"/>
        <v/>
      </c>
      <c r="BC260" s="4" t="str">
        <f t="shared" si="100"/>
        <v/>
      </c>
      <c r="BD260" s="4" t="str">
        <f t="shared" si="101"/>
        <v/>
      </c>
      <c r="BE260" s="4" t="str">
        <f>IF(AND(X260&lt;&gt;""),ROUND(X260/SI!$C$10,2),"")</f>
        <v/>
      </c>
      <c r="BF260" s="4" t="str">
        <f t="shared" si="103"/>
        <v/>
      </c>
      <c r="BG260" s="264" t="str">
        <f t="shared" si="102"/>
        <v/>
      </c>
      <c r="BH260" s="71" t="str">
        <f>IF(F260&lt;&gt;"",VLOOKUP(F260,DUTY_2025!A:O,15,FALSE),"")</f>
        <v/>
      </c>
    </row>
    <row r="261" spans="1:60" x14ac:dyDescent="0.25">
      <c r="A261" s="133">
        <f t="shared" si="78"/>
        <v>66</v>
      </c>
      <c r="B261" s="83" t="str">
        <f t="shared" si="79"/>
        <v/>
      </c>
      <c r="C261" s="126"/>
      <c r="D261" s="130"/>
      <c r="E261" s="22"/>
      <c r="F261" s="85"/>
      <c r="G261" s="27" t="str">
        <f>IF(F261&lt;&gt;"",IFERROR(VLOOKUP(F261,DUTY_2025!A:I,6,FALSE),""),"")</f>
        <v/>
      </c>
      <c r="H261" s="85" t="s">
        <v>133</v>
      </c>
      <c r="I261" s="27" t="str">
        <f>IF(F261&lt;&gt;"",IFERROR(VLOOKUP(F261,DUTY_2025!A:H,2,FALSE),""),"")</f>
        <v/>
      </c>
      <c r="J261" s="98"/>
      <c r="K261" s="98"/>
      <c r="L261" s="22"/>
      <c r="M261" s="22"/>
      <c r="N261" s="84"/>
      <c r="O261" s="22"/>
      <c r="P261" s="116"/>
      <c r="Q261" s="23"/>
      <c r="R261" s="27"/>
      <c r="S261" s="86" t="str">
        <f t="shared" si="80"/>
        <v/>
      </c>
      <c r="T261" s="87" t="str">
        <f t="shared" si="81"/>
        <v/>
      </c>
      <c r="U261" s="87" t="str" cm="1">
        <f t="array" ref="U261">IF(AND(H261&lt;&gt;"YES",P261&lt;&gt;"",R261&lt;&gt;"",Q261&lt;&gt;""),
_xlfn.SWITCH(Q261,
"INR",_xlfn.SWITCH(R261,"KG",P261*S261,"CTN",P261,"UNIT",P261*N261,"NET",P261/M261,0),
"USD",_xlfn.SWITCH(R261,"KG",P261*S261*SI!$C$10,"CTN",P261*SI!$C$10,"UNIT",P261*N261*SI!$C$10,"NET",P261*SI!$C$10/M261,0),
"LKR",_xlfn.SWITCH(R261,"KG",P261*S261/SI!$C$9,"CTN",P261/SI!$C$9,"UNIT",P261*N261/SI!$C$9,"NET",P261/(M261*SI!$C$9),0),
0),
"")</f>
        <v/>
      </c>
      <c r="V261" s="87" t="str">
        <f t="shared" si="82"/>
        <v/>
      </c>
      <c r="W261" s="87" t="str">
        <f t="shared" si="83"/>
        <v/>
      </c>
      <c r="X261" s="88" t="str">
        <f t="shared" si="84"/>
        <v/>
      </c>
      <c r="Y261" s="24" t="str">
        <f t="shared" si="85"/>
        <v/>
      </c>
      <c r="Z261" s="267" t="str">
        <f>IF(AND(H261&lt;&gt;"yes",F261&lt;&gt;""),IFERROR(VLOOKUP(F261,DUTY_2025!A:F,5,FALSE),""),"")</f>
        <v/>
      </c>
      <c r="AA261" s="271" t="str">
        <f t="shared" si="86"/>
        <v/>
      </c>
      <c r="AB261" s="16" t="str">
        <f t="shared" si="87"/>
        <v/>
      </c>
      <c r="AC261" s="16" t="str">
        <f>IF(AA261&lt;&gt;"",ROUND(AA261*SI!$C$9,0),"")</f>
        <v/>
      </c>
      <c r="AD261" s="4" t="str">
        <f>IF(AC261&lt;&gt;"",ROUND(AC261/(SI!$C$9*SI!$C$10),2),"")</f>
        <v/>
      </c>
      <c r="AE261" s="30" t="str">
        <f>IF(AND(X261&lt;&gt;""), ROUND((SI!$E$23)*(X261/SUM($X$5:$X$493)),0),"")</f>
        <v/>
      </c>
      <c r="AF261" s="272" t="str">
        <f t="shared" si="88"/>
        <v/>
      </c>
      <c r="AG261" s="28" t="str">
        <f t="shared" si="89"/>
        <v/>
      </c>
      <c r="AH261" s="4" t="str">
        <f>IF(AD261&lt;&gt;"",ROUND(AD261*10*SI!$C$9/2,0),"")</f>
        <v/>
      </c>
      <c r="AI261" s="29" t="str">
        <f>IF(AND(X261&lt;&gt;""), ROUND((SI!$E$28)*(X261/SUM($X$5:$X$493)),0),"")</f>
        <v/>
      </c>
      <c r="AJ261" s="4" t="str">
        <f t="shared" si="90"/>
        <v/>
      </c>
      <c r="AK261" s="4" t="str">
        <f t="shared" si="91"/>
        <v/>
      </c>
      <c r="AL261" s="4" t="str">
        <f t="shared" si="92"/>
        <v/>
      </c>
      <c r="AM261" s="4" t="str">
        <f t="shared" si="93"/>
        <v/>
      </c>
      <c r="AN261" s="195" t="str">
        <f t="shared" si="94"/>
        <v/>
      </c>
      <c r="AO261" s="261" t="str">
        <f>IF(AND(AM261&lt;&gt;"",P261&lt;&gt;""),ROUND((AM261*((100+SI!$C$11)/100)),0),"")</f>
        <v/>
      </c>
      <c r="AP261" s="28" t="str">
        <f>IF(AG261&lt;&gt;"",ROUND(AG261/SI!$C$9,2),"")</f>
        <v/>
      </c>
      <c r="AQ261" s="4" t="str">
        <f>IF(AH261&lt;&gt;"",ROUND(AH261/SI!$C$9,2),"")</f>
        <v/>
      </c>
      <c r="AR261" s="29" t="str">
        <f>IF(AI261&lt;&gt;"",ROUND(AI261/SI!$C$9,2),"")</f>
        <v/>
      </c>
      <c r="AS261" s="4" t="str">
        <f t="shared" si="95"/>
        <v/>
      </c>
      <c r="AT261" s="4" t="str">
        <f t="shared" si="96"/>
        <v/>
      </c>
      <c r="AU261" s="4" t="str">
        <f>IF(AL261&lt;&gt;"",ROUND(AL261/SI!$C$9,2),"")</f>
        <v/>
      </c>
      <c r="AV261" s="4" t="str">
        <f>IF(AM261&lt;&gt;"",ROUND(AM261/SI!$C$9,2),"")</f>
        <v/>
      </c>
      <c r="AW261" s="4" t="str">
        <f>IF(AN261&lt;&gt;"",ROUND(AN261/SI!$C$9,2),"")</f>
        <v/>
      </c>
      <c r="AX261" s="261" t="str">
        <f>IF(AO261&lt;&gt;"",ROUND(AO261/SI!$C$9,2),"")</f>
        <v/>
      </c>
      <c r="AY261" s="28" t="str">
        <f t="shared" si="97"/>
        <v/>
      </c>
      <c r="AZ261" s="4" t="str">
        <f>IF(AY261&lt;&gt;"",ROUND(AY261/(SI!$C$9*SI!$C$10),2),"")</f>
        <v/>
      </c>
      <c r="BA261" s="4" t="str">
        <f t="shared" si="98"/>
        <v/>
      </c>
      <c r="BB261" s="4" t="str">
        <f t="shared" si="99"/>
        <v/>
      </c>
      <c r="BC261" s="4" t="str">
        <f t="shared" si="100"/>
        <v/>
      </c>
      <c r="BD261" s="4" t="str">
        <f t="shared" si="101"/>
        <v/>
      </c>
      <c r="BE261" s="4" t="str">
        <f>IF(AND(X261&lt;&gt;""),ROUND(X261/SI!$C$10,2),"")</f>
        <v/>
      </c>
      <c r="BF261" s="4" t="str">
        <f t="shared" si="103"/>
        <v/>
      </c>
      <c r="BG261" s="264" t="str">
        <f t="shared" si="102"/>
        <v/>
      </c>
      <c r="BH261" s="71" t="str">
        <f>IF(F261&lt;&gt;"",VLOOKUP(F261,DUTY_2025!A:O,15,FALSE),"")</f>
        <v/>
      </c>
    </row>
    <row r="262" spans="1:60" x14ac:dyDescent="0.25">
      <c r="A262" s="133">
        <f t="shared" ref="A262:A325" si="104">IF(AND(F262&lt;&gt;"",H262&lt;&gt;"YES"),IF(A261&lt;&gt;"",A261,0)+1,A261)</f>
        <v>66</v>
      </c>
      <c r="B262" s="83" t="str">
        <f t="shared" ref="B262:B325" si="105">IF(AND(F262&lt;&gt;"",H262&lt;&gt;"YES"),IF(B261&lt;&gt;"",B261,A261)+1,"")</f>
        <v/>
      </c>
      <c r="C262" s="126"/>
      <c r="D262" s="130"/>
      <c r="E262" s="22"/>
      <c r="F262" s="85"/>
      <c r="G262" s="27" t="str">
        <f>IF(F262&lt;&gt;"",IFERROR(VLOOKUP(F262,DUTY_2025!A:I,6,FALSE),""),"")</f>
        <v/>
      </c>
      <c r="H262" s="85" t="s">
        <v>133</v>
      </c>
      <c r="I262" s="27" t="str">
        <f>IF(F262&lt;&gt;"",IFERROR(VLOOKUP(F262,DUTY_2025!A:H,2,FALSE),""),"")</f>
        <v/>
      </c>
      <c r="J262" s="98"/>
      <c r="K262" s="98"/>
      <c r="L262" s="22"/>
      <c r="M262" s="22"/>
      <c r="N262" s="84"/>
      <c r="O262" s="22"/>
      <c r="P262" s="116"/>
      <c r="Q262" s="23"/>
      <c r="R262" s="27"/>
      <c r="S262" s="86" t="str">
        <f t="shared" ref="S262:S325" si="106">IF(AND(H262&lt;&gt;"YES",N262&lt;&gt;""),N262*L262/1000,"")</f>
        <v/>
      </c>
      <c r="T262" s="87" t="str">
        <f t="shared" ref="T262:T325" si="107">IF(S262&lt;&gt;"",S262*1.1,"")</f>
        <v/>
      </c>
      <c r="U262" s="87" t="str" cm="1">
        <f t="array" ref="U262">IF(AND(H262&lt;&gt;"YES",P262&lt;&gt;"",R262&lt;&gt;"",Q262&lt;&gt;""),
_xlfn.SWITCH(Q262,
"INR",_xlfn.SWITCH(R262,"KG",P262*S262,"CTN",P262,"UNIT",P262*N262,"NET",P262/M262,0),
"USD",_xlfn.SWITCH(R262,"KG",P262*S262*SI!$C$10,"CTN",P262*SI!$C$10,"UNIT",P262*N262*SI!$C$10,"NET",P262*SI!$C$10/M262,0),
"LKR",_xlfn.SWITCH(R262,"KG",P262*S262/SI!$C$9,"CTN",P262/SI!$C$9,"UNIT",P262*N262/SI!$C$9,"NET",P262/(M262*SI!$C$9),0),
0),
"")</f>
        <v/>
      </c>
      <c r="V262" s="87" t="str">
        <f t="shared" ref="V262:V325" si="108">IF(AND(S262&lt;&gt;"",M262&lt;&gt;"",N262&lt;&gt;""),S262*M262,"")</f>
        <v/>
      </c>
      <c r="W262" s="87" t="str">
        <f t="shared" ref="W262:W325" si="109">IF(V262&lt;&gt;"",V262*1.1,"")</f>
        <v/>
      </c>
      <c r="X262" s="88" t="str">
        <f t="shared" ref="X262:X325" si="110">IF(AND(U262&lt;&gt;"",M262&lt;&gt;""),U262*M262,"")</f>
        <v/>
      </c>
      <c r="Y262" s="24" t="str">
        <f t="shared" ref="Y262:Y325" si="111">IF(AND(H262&lt;&gt;"YES",M262&lt;&gt;"",N262&lt;&gt;""),IF(E262=1,(N262*M262)/2,N262*M262),"")</f>
        <v/>
      </c>
      <c r="Z262" s="267" t="str">
        <f>IF(AND(H262&lt;&gt;"yes",F262&lt;&gt;""),IFERROR(VLOOKUP(F262,DUTY_2025!A:F,5,FALSE),""),"")</f>
        <v/>
      </c>
      <c r="AA262" s="271" t="str">
        <f t="shared" ref="AA262:AA325" si="112">IF(B262&lt;&gt;"",IF(AND(X262&lt;&gt;"", O262&lt;&gt;""),IF(ROUND(X262*100/(100+O262),0)=0,"",ROUND(X262*100/(100+O262),0)),""),"")</f>
        <v/>
      </c>
      <c r="AB262" s="16" t="str">
        <f t="shared" ref="AB262:AB325" si="113">IF(M262&lt;&gt;"",IF(AND(X262&lt;&gt;"",AA262&lt;&gt;""),X262-AA262,""),"")</f>
        <v/>
      </c>
      <c r="AC262" s="16" t="str">
        <f>IF(AA262&lt;&gt;"",ROUND(AA262*SI!$C$9,0),"")</f>
        <v/>
      </c>
      <c r="AD262" s="4" t="str">
        <f>IF(AC262&lt;&gt;"",ROUND(AC262/(SI!$C$9*SI!$C$10),2),"")</f>
        <v/>
      </c>
      <c r="AE262" s="30" t="str">
        <f>IF(AND(X262&lt;&gt;""), ROUND((SI!$E$23)*(X262/SUM($X$5:$X$493)),0),"")</f>
        <v/>
      </c>
      <c r="AF262" s="272" t="str">
        <f t="shared" ref="AF262:AF325" si="114">IF(AND(AC262&lt;&gt;"",AE262&lt;&gt;""),ROUND(AC262+AE262,0),"")</f>
        <v/>
      </c>
      <c r="AG262" s="28" t="str">
        <f t="shared" ref="AG262:AG325" si="115">IF(AND(Z262&lt;&gt;"",V262&lt;&gt;""),Z262*V262,"")</f>
        <v/>
      </c>
      <c r="AH262" s="4" t="str">
        <f>IF(AD262&lt;&gt;"",ROUND(AD262*10*SI!$C$9/2,0),"")</f>
        <v/>
      </c>
      <c r="AI262" s="29" t="str">
        <f>IF(AND(X262&lt;&gt;""), ROUND((SI!$E$28)*(X262/SUM($X$5:$X$493)),0),"")</f>
        <v/>
      </c>
      <c r="AJ262" s="4" t="str">
        <f t="shared" ref="AJ262:AJ325" si="116">IF(AND(AG262&lt;&gt;"",AI262&lt;&gt;"",AH262&lt;&gt;""),AG262+AI262+AH262,"")</f>
        <v/>
      </c>
      <c r="AK262" s="4" t="str">
        <f t="shared" ref="AK262:AK325" si="117">IF(AND(AJ262&lt;&gt;"",Y262&lt;&gt;""),ROUND(AJ262/Y262,0),"")</f>
        <v/>
      </c>
      <c r="AL262" s="4" t="str">
        <f t="shared" ref="AL262:AL325" si="118">IF(AND(AC262&lt;&gt;"",Y262&lt;&gt;""),ROUND(AF262/Y262,0),"")</f>
        <v/>
      </c>
      <c r="AM262" s="4" t="str">
        <f t="shared" ref="AM262:AM325" si="119">IF(AND(AK262&lt;&gt;"",AL262&lt;&gt;""),AK262+AL262,"")</f>
        <v/>
      </c>
      <c r="AN262" s="195" t="str">
        <f t="shared" ref="AN262:AN325" si="120">IF(AND(AF262&lt;&gt;"",AG262&lt;&gt;"",AH262&lt;&gt;"",AI262&lt;&gt;""),AF262+AG262+AH262+AI262,"")</f>
        <v/>
      </c>
      <c r="AO262" s="261" t="str">
        <f>IF(AND(AM262&lt;&gt;"",P262&lt;&gt;""),ROUND((AM262*((100+SI!$C$11)/100)),0),"")</f>
        <v/>
      </c>
      <c r="AP262" s="28" t="str">
        <f>IF(AG262&lt;&gt;"",ROUND(AG262/SI!$C$9,2),"")</f>
        <v/>
      </c>
      <c r="AQ262" s="4" t="str">
        <f>IF(AH262&lt;&gt;"",ROUND(AH262/SI!$C$9,2),"")</f>
        <v/>
      </c>
      <c r="AR262" s="29" t="str">
        <f>IF(AI262&lt;&gt;"",ROUND(AI262/SI!$C$9,2),"")</f>
        <v/>
      </c>
      <c r="AS262" s="4" t="str">
        <f t="shared" ref="AS262:AS325" si="121">IF(AND(AP262&lt;&gt;"",AR262&lt;&gt;"",AQ262&lt;&gt;""),AP262+AR262+AQ262,"")</f>
        <v/>
      </c>
      <c r="AT262" s="4" t="str">
        <f t="shared" ref="AT262:AT325" si="122">IF(AND(AS262&lt;&gt;"",Y262&lt;&gt;""),ROUND(AS262/Y262,2),"")</f>
        <v/>
      </c>
      <c r="AU262" s="4" t="str">
        <f>IF(AL262&lt;&gt;"",ROUND(AL262/SI!$C$9,2),"")</f>
        <v/>
      </c>
      <c r="AV262" s="4" t="str">
        <f>IF(AM262&lt;&gt;"",ROUND(AM262/SI!$C$9,2),"")</f>
        <v/>
      </c>
      <c r="AW262" s="4" t="str">
        <f>IF(AN262&lt;&gt;"",ROUND(AN262/SI!$C$9,2),"")</f>
        <v/>
      </c>
      <c r="AX262" s="261" t="str">
        <f>IF(AO262&lt;&gt;"",ROUND(AO262/SI!$C$9,2),"")</f>
        <v/>
      </c>
      <c r="AY262" s="28" t="str">
        <f t="shared" ref="AY262:AY325" si="123">IF(AF262&lt;&gt;"",AF262,"")</f>
        <v/>
      </c>
      <c r="AZ262" s="4" t="str">
        <f>IF(AY262&lt;&gt;"",ROUND(AY262/(SI!$C$9*SI!$C$10),2),"")</f>
        <v/>
      </c>
      <c r="BA262" s="4" t="str">
        <f t="shared" ref="BA262:BA325" si="124">IF(AND(AY262&lt;&gt;"",BH262&lt;&gt;""),ROUND(AY262*BH262/100,2),"")</f>
        <v/>
      </c>
      <c r="BB262" s="4" t="str">
        <f t="shared" ref="BB262:BB325" si="125">IF(AND(AZ262&lt;&gt;"",BH262&lt;&gt;""),ROUND(AZ262*BH262/100,2),"")</f>
        <v/>
      </c>
      <c r="BC262" s="4" t="str">
        <f t="shared" ref="BC262:BC325" si="126">IF(AND(BB262&lt;&gt;"",Y262&lt;&gt;""),ROUND(BB262/Y262,3),"")</f>
        <v/>
      </c>
      <c r="BD262" s="4" t="str">
        <f t="shared" ref="BD262:BD325" si="127">IF(AND(BB262&lt;&gt;"",T262&lt;&gt;""),ROUND(BB262/V262,3),"")</f>
        <v/>
      </c>
      <c r="BE262" s="4" t="str">
        <f>IF(AND(X262&lt;&gt;""),ROUND(X262/SI!$C$10,2),"")</f>
        <v/>
      </c>
      <c r="BF262" s="4" t="str">
        <f t="shared" si="103"/>
        <v/>
      </c>
      <c r="BG262" s="264" t="str">
        <f t="shared" ref="BG262:BG325" si="128">IF(AND(BE262&lt;&gt;"",V262&lt;&gt;""),ROUND(BE262/V262,3),"")</f>
        <v/>
      </c>
      <c r="BH262" s="71" t="str">
        <f>IF(F262&lt;&gt;"",VLOOKUP(F262,DUTY_2025!A:O,15,FALSE),"")</f>
        <v/>
      </c>
    </row>
    <row r="263" spans="1:60" x14ac:dyDescent="0.25">
      <c r="A263" s="133">
        <f t="shared" si="104"/>
        <v>66</v>
      </c>
      <c r="B263" s="83" t="str">
        <f t="shared" si="105"/>
        <v/>
      </c>
      <c r="C263" s="126"/>
      <c r="D263" s="130"/>
      <c r="E263" s="22"/>
      <c r="F263" s="85"/>
      <c r="G263" s="27" t="str">
        <f>IF(F263&lt;&gt;"",IFERROR(VLOOKUP(F263,DUTY_2025!A:I,6,FALSE),""),"")</f>
        <v/>
      </c>
      <c r="H263" s="85" t="s">
        <v>133</v>
      </c>
      <c r="I263" s="27" t="str">
        <f>IF(F263&lt;&gt;"",IFERROR(VLOOKUP(F263,DUTY_2025!A:H,2,FALSE),""),"")</f>
        <v/>
      </c>
      <c r="J263" s="98"/>
      <c r="K263" s="98"/>
      <c r="L263" s="22"/>
      <c r="M263" s="22"/>
      <c r="N263" s="84"/>
      <c r="O263" s="22"/>
      <c r="P263" s="116"/>
      <c r="Q263" s="23"/>
      <c r="R263" s="27"/>
      <c r="S263" s="86" t="str">
        <f t="shared" si="106"/>
        <v/>
      </c>
      <c r="T263" s="87" t="str">
        <f t="shared" si="107"/>
        <v/>
      </c>
      <c r="U263" s="87" t="str" cm="1">
        <f t="array" ref="U263">IF(AND(H263&lt;&gt;"YES",P263&lt;&gt;"",R263&lt;&gt;"",Q263&lt;&gt;""),
_xlfn.SWITCH(Q263,
"INR",_xlfn.SWITCH(R263,"KG",P263*S263,"CTN",P263,"UNIT",P263*N263,"NET",P263/M263,0),
"USD",_xlfn.SWITCH(R263,"KG",P263*S263*SI!$C$10,"CTN",P263*SI!$C$10,"UNIT",P263*N263*SI!$C$10,"NET",P263*SI!$C$10/M263,0),
"LKR",_xlfn.SWITCH(R263,"KG",P263*S263/SI!$C$9,"CTN",P263/SI!$C$9,"UNIT",P263*N263/SI!$C$9,"NET",P263/(M263*SI!$C$9),0),
0),
"")</f>
        <v/>
      </c>
      <c r="V263" s="87" t="str">
        <f t="shared" si="108"/>
        <v/>
      </c>
      <c r="W263" s="87" t="str">
        <f t="shared" si="109"/>
        <v/>
      </c>
      <c r="X263" s="88" t="str">
        <f t="shared" si="110"/>
        <v/>
      </c>
      <c r="Y263" s="24" t="str">
        <f t="shared" si="111"/>
        <v/>
      </c>
      <c r="Z263" s="267" t="str">
        <f>IF(AND(H263&lt;&gt;"yes",F263&lt;&gt;""),IFERROR(VLOOKUP(F263,DUTY_2025!A:F,5,FALSE),""),"")</f>
        <v/>
      </c>
      <c r="AA263" s="271" t="str">
        <f t="shared" si="112"/>
        <v/>
      </c>
      <c r="AB263" s="16" t="str">
        <f t="shared" si="113"/>
        <v/>
      </c>
      <c r="AC263" s="16" t="str">
        <f>IF(AA263&lt;&gt;"",ROUND(AA263*SI!$C$9,0),"")</f>
        <v/>
      </c>
      <c r="AD263" s="4" t="str">
        <f>IF(AC263&lt;&gt;"",ROUND(AC263/(SI!$C$9*SI!$C$10),2),"")</f>
        <v/>
      </c>
      <c r="AE263" s="30" t="str">
        <f>IF(AND(X263&lt;&gt;""), ROUND((SI!$E$23)*(X263/SUM($X$5:$X$493)),0),"")</f>
        <v/>
      </c>
      <c r="AF263" s="272" t="str">
        <f t="shared" si="114"/>
        <v/>
      </c>
      <c r="AG263" s="28" t="str">
        <f t="shared" si="115"/>
        <v/>
      </c>
      <c r="AH263" s="4" t="str">
        <f>IF(AD263&lt;&gt;"",ROUND(AD263*10*SI!$C$9/2,0),"")</f>
        <v/>
      </c>
      <c r="AI263" s="29" t="str">
        <f>IF(AND(X263&lt;&gt;""), ROUND((SI!$E$28)*(X263/SUM($X$5:$X$493)),0),"")</f>
        <v/>
      </c>
      <c r="AJ263" s="4" t="str">
        <f t="shared" si="116"/>
        <v/>
      </c>
      <c r="AK263" s="4" t="str">
        <f t="shared" si="117"/>
        <v/>
      </c>
      <c r="AL263" s="4" t="str">
        <f t="shared" si="118"/>
        <v/>
      </c>
      <c r="AM263" s="4" t="str">
        <f t="shared" si="119"/>
        <v/>
      </c>
      <c r="AN263" s="195" t="str">
        <f t="shared" si="120"/>
        <v/>
      </c>
      <c r="AO263" s="261" t="str">
        <f>IF(AND(AM263&lt;&gt;"",P263&lt;&gt;""),ROUND((AM263*((100+SI!$C$11)/100)),0),"")</f>
        <v/>
      </c>
      <c r="AP263" s="28" t="str">
        <f>IF(AG263&lt;&gt;"",ROUND(AG263/SI!$C$9,2),"")</f>
        <v/>
      </c>
      <c r="AQ263" s="4" t="str">
        <f>IF(AH263&lt;&gt;"",ROUND(AH263/SI!$C$9,2),"")</f>
        <v/>
      </c>
      <c r="AR263" s="29" t="str">
        <f>IF(AI263&lt;&gt;"",ROUND(AI263/SI!$C$9,2),"")</f>
        <v/>
      </c>
      <c r="AS263" s="4" t="str">
        <f t="shared" si="121"/>
        <v/>
      </c>
      <c r="AT263" s="4" t="str">
        <f t="shared" si="122"/>
        <v/>
      </c>
      <c r="AU263" s="4" t="str">
        <f>IF(AL263&lt;&gt;"",ROUND(AL263/SI!$C$9,2),"")</f>
        <v/>
      </c>
      <c r="AV263" s="4" t="str">
        <f>IF(AM263&lt;&gt;"",ROUND(AM263/SI!$C$9,2),"")</f>
        <v/>
      </c>
      <c r="AW263" s="4" t="str">
        <f>IF(AN263&lt;&gt;"",ROUND(AN263/SI!$C$9,2),"")</f>
        <v/>
      </c>
      <c r="AX263" s="261" t="str">
        <f>IF(AO263&lt;&gt;"",ROUND(AO263/SI!$C$9,2),"")</f>
        <v/>
      </c>
      <c r="AY263" s="28" t="str">
        <f t="shared" si="123"/>
        <v/>
      </c>
      <c r="AZ263" s="4" t="str">
        <f>IF(AY263&lt;&gt;"",ROUND(AY263/(SI!$C$9*SI!$C$10),2),"")</f>
        <v/>
      </c>
      <c r="BA263" s="4" t="str">
        <f t="shared" si="124"/>
        <v/>
      </c>
      <c r="BB263" s="4" t="str">
        <f t="shared" si="125"/>
        <v/>
      </c>
      <c r="BC263" s="4" t="str">
        <f t="shared" si="126"/>
        <v/>
      </c>
      <c r="BD263" s="4" t="str">
        <f t="shared" si="127"/>
        <v/>
      </c>
      <c r="BE263" s="4" t="str">
        <f>IF(AND(X263&lt;&gt;""),ROUND(X263/SI!$C$10,2),"")</f>
        <v/>
      </c>
      <c r="BF263" s="4" t="str">
        <f t="shared" ref="BF263:BF326" si="129">IF(AND(BE263&lt;&gt;"",Y263&lt;&gt;""),ROUND(BE263/Y263,3),"")</f>
        <v/>
      </c>
      <c r="BG263" s="264" t="str">
        <f t="shared" si="128"/>
        <v/>
      </c>
      <c r="BH263" s="71" t="str">
        <f>IF(F263&lt;&gt;"",VLOOKUP(F263,DUTY_2025!A:O,15,FALSE),"")</f>
        <v/>
      </c>
    </row>
    <row r="264" spans="1:60" x14ac:dyDescent="0.25">
      <c r="A264" s="133">
        <f t="shared" si="104"/>
        <v>66</v>
      </c>
      <c r="B264" s="83" t="str">
        <f t="shared" si="105"/>
        <v/>
      </c>
      <c r="C264" s="126"/>
      <c r="D264" s="130"/>
      <c r="E264" s="22"/>
      <c r="F264" s="85"/>
      <c r="G264" s="27" t="str">
        <f>IF(F264&lt;&gt;"",IFERROR(VLOOKUP(F264,DUTY_2025!A:I,6,FALSE),""),"")</f>
        <v/>
      </c>
      <c r="H264" s="85" t="s">
        <v>133</v>
      </c>
      <c r="I264" s="27" t="str">
        <f>IF(F264&lt;&gt;"",IFERROR(VLOOKUP(F264,DUTY_2025!A:H,2,FALSE),""),"")</f>
        <v/>
      </c>
      <c r="J264" s="98"/>
      <c r="K264" s="98"/>
      <c r="L264" s="22"/>
      <c r="M264" s="22"/>
      <c r="N264" s="84"/>
      <c r="O264" s="22"/>
      <c r="P264" s="116"/>
      <c r="Q264" s="23"/>
      <c r="R264" s="27"/>
      <c r="S264" s="86" t="str">
        <f t="shared" si="106"/>
        <v/>
      </c>
      <c r="T264" s="87" t="str">
        <f t="shared" si="107"/>
        <v/>
      </c>
      <c r="U264" s="87" t="str" cm="1">
        <f t="array" ref="U264">IF(AND(H264&lt;&gt;"YES",P264&lt;&gt;"",R264&lt;&gt;"",Q264&lt;&gt;""),
_xlfn.SWITCH(Q264,
"INR",_xlfn.SWITCH(R264,"KG",P264*S264,"CTN",P264,"UNIT",P264*N264,"NET",P264/M264,0),
"USD",_xlfn.SWITCH(R264,"KG",P264*S264*SI!$C$10,"CTN",P264*SI!$C$10,"UNIT",P264*N264*SI!$C$10,"NET",P264*SI!$C$10/M264,0),
"LKR",_xlfn.SWITCH(R264,"KG",P264*S264/SI!$C$9,"CTN",P264/SI!$C$9,"UNIT",P264*N264/SI!$C$9,"NET",P264/(M264*SI!$C$9),0),
0),
"")</f>
        <v/>
      </c>
      <c r="V264" s="87" t="str">
        <f t="shared" si="108"/>
        <v/>
      </c>
      <c r="W264" s="87" t="str">
        <f t="shared" si="109"/>
        <v/>
      </c>
      <c r="X264" s="88" t="str">
        <f t="shared" si="110"/>
        <v/>
      </c>
      <c r="Y264" s="24" t="str">
        <f t="shared" si="111"/>
        <v/>
      </c>
      <c r="Z264" s="267" t="str">
        <f>IF(AND(H264&lt;&gt;"yes",F264&lt;&gt;""),IFERROR(VLOOKUP(F264,DUTY_2025!A:F,5,FALSE),""),"")</f>
        <v/>
      </c>
      <c r="AA264" s="271" t="str">
        <f t="shared" si="112"/>
        <v/>
      </c>
      <c r="AB264" s="16" t="str">
        <f t="shared" si="113"/>
        <v/>
      </c>
      <c r="AC264" s="16" t="str">
        <f>IF(AA264&lt;&gt;"",ROUND(AA264*SI!$C$9,0),"")</f>
        <v/>
      </c>
      <c r="AD264" s="4" t="str">
        <f>IF(AC264&lt;&gt;"",ROUND(AC264/(SI!$C$9*SI!$C$10),2),"")</f>
        <v/>
      </c>
      <c r="AE264" s="30" t="str">
        <f>IF(AND(X264&lt;&gt;""), ROUND((SI!$E$23)*(X264/SUM($X$5:$X$493)),0),"")</f>
        <v/>
      </c>
      <c r="AF264" s="272" t="str">
        <f t="shared" si="114"/>
        <v/>
      </c>
      <c r="AG264" s="28" t="str">
        <f t="shared" si="115"/>
        <v/>
      </c>
      <c r="AH264" s="4" t="str">
        <f>IF(AD264&lt;&gt;"",ROUND(AD264*10*SI!$C$9/2,0),"")</f>
        <v/>
      </c>
      <c r="AI264" s="29" t="str">
        <f>IF(AND(X264&lt;&gt;""), ROUND((SI!$E$28)*(X264/SUM($X$5:$X$493)),0),"")</f>
        <v/>
      </c>
      <c r="AJ264" s="4" t="str">
        <f t="shared" si="116"/>
        <v/>
      </c>
      <c r="AK264" s="4" t="str">
        <f t="shared" si="117"/>
        <v/>
      </c>
      <c r="AL264" s="4" t="str">
        <f t="shared" si="118"/>
        <v/>
      </c>
      <c r="AM264" s="4" t="str">
        <f t="shared" si="119"/>
        <v/>
      </c>
      <c r="AN264" s="195" t="str">
        <f t="shared" si="120"/>
        <v/>
      </c>
      <c r="AO264" s="261" t="str">
        <f>IF(AND(AM264&lt;&gt;"",P264&lt;&gt;""),ROUND((AM264*((100+SI!$C$11)/100)),0),"")</f>
        <v/>
      </c>
      <c r="AP264" s="28" t="str">
        <f>IF(AG264&lt;&gt;"",ROUND(AG264/SI!$C$9,2),"")</f>
        <v/>
      </c>
      <c r="AQ264" s="4" t="str">
        <f>IF(AH264&lt;&gt;"",ROUND(AH264/SI!$C$9,2),"")</f>
        <v/>
      </c>
      <c r="AR264" s="29" t="str">
        <f>IF(AI264&lt;&gt;"",ROUND(AI264/SI!$C$9,2),"")</f>
        <v/>
      </c>
      <c r="AS264" s="4" t="str">
        <f t="shared" si="121"/>
        <v/>
      </c>
      <c r="AT264" s="4" t="str">
        <f t="shared" si="122"/>
        <v/>
      </c>
      <c r="AU264" s="4" t="str">
        <f>IF(AL264&lt;&gt;"",ROUND(AL264/SI!$C$9,2),"")</f>
        <v/>
      </c>
      <c r="AV264" s="4" t="str">
        <f>IF(AM264&lt;&gt;"",ROUND(AM264/SI!$C$9,2),"")</f>
        <v/>
      </c>
      <c r="AW264" s="4" t="str">
        <f>IF(AN264&lt;&gt;"",ROUND(AN264/SI!$C$9,2),"")</f>
        <v/>
      </c>
      <c r="AX264" s="261" t="str">
        <f>IF(AO264&lt;&gt;"",ROUND(AO264/SI!$C$9,2),"")</f>
        <v/>
      </c>
      <c r="AY264" s="28" t="str">
        <f t="shared" si="123"/>
        <v/>
      </c>
      <c r="AZ264" s="4" t="str">
        <f>IF(AY264&lt;&gt;"",ROUND(AY264/(SI!$C$9*SI!$C$10),2),"")</f>
        <v/>
      </c>
      <c r="BA264" s="4" t="str">
        <f t="shared" si="124"/>
        <v/>
      </c>
      <c r="BB264" s="4" t="str">
        <f t="shared" si="125"/>
        <v/>
      </c>
      <c r="BC264" s="4" t="str">
        <f t="shared" si="126"/>
        <v/>
      </c>
      <c r="BD264" s="4" t="str">
        <f t="shared" si="127"/>
        <v/>
      </c>
      <c r="BE264" s="4" t="str">
        <f>IF(AND(X264&lt;&gt;""),ROUND(X264/SI!$C$10,2),"")</f>
        <v/>
      </c>
      <c r="BF264" s="4" t="str">
        <f t="shared" si="129"/>
        <v/>
      </c>
      <c r="BG264" s="264" t="str">
        <f t="shared" si="128"/>
        <v/>
      </c>
      <c r="BH264" s="71" t="str">
        <f>IF(F264&lt;&gt;"",VLOOKUP(F264,DUTY_2025!A:O,15,FALSE),"")</f>
        <v/>
      </c>
    </row>
    <row r="265" spans="1:60" x14ac:dyDescent="0.25">
      <c r="A265" s="133">
        <f t="shared" si="104"/>
        <v>66</v>
      </c>
      <c r="B265" s="83" t="str">
        <f t="shared" si="105"/>
        <v/>
      </c>
      <c r="C265" s="126"/>
      <c r="D265" s="130"/>
      <c r="E265" s="22"/>
      <c r="F265" s="85"/>
      <c r="G265" s="27" t="str">
        <f>IF(F265&lt;&gt;"",IFERROR(VLOOKUP(F265,DUTY_2025!A:I,6,FALSE),""),"")</f>
        <v/>
      </c>
      <c r="H265" s="85" t="s">
        <v>133</v>
      </c>
      <c r="I265" s="27" t="str">
        <f>IF(F265&lt;&gt;"",IFERROR(VLOOKUP(F265,DUTY_2025!A:H,2,FALSE),""),"")</f>
        <v/>
      </c>
      <c r="J265" s="98"/>
      <c r="K265" s="98"/>
      <c r="L265" s="22"/>
      <c r="M265" s="22"/>
      <c r="N265" s="84"/>
      <c r="O265" s="22"/>
      <c r="P265" s="116"/>
      <c r="Q265" s="23"/>
      <c r="R265" s="27"/>
      <c r="S265" s="86" t="str">
        <f t="shared" si="106"/>
        <v/>
      </c>
      <c r="T265" s="87" t="str">
        <f t="shared" si="107"/>
        <v/>
      </c>
      <c r="U265" s="87" t="str" cm="1">
        <f t="array" ref="U265">IF(AND(H265&lt;&gt;"YES",P265&lt;&gt;"",R265&lt;&gt;"",Q265&lt;&gt;""),
_xlfn.SWITCH(Q265,
"INR",_xlfn.SWITCH(R265,"KG",P265*S265,"CTN",P265,"UNIT",P265*N265,"NET",P265/M265,0),
"USD",_xlfn.SWITCH(R265,"KG",P265*S265*SI!$C$10,"CTN",P265*SI!$C$10,"UNIT",P265*N265*SI!$C$10,"NET",P265*SI!$C$10/M265,0),
"LKR",_xlfn.SWITCH(R265,"KG",P265*S265/SI!$C$9,"CTN",P265/SI!$C$9,"UNIT",P265*N265/SI!$C$9,"NET",P265/(M265*SI!$C$9),0),
0),
"")</f>
        <v/>
      </c>
      <c r="V265" s="87" t="str">
        <f t="shared" si="108"/>
        <v/>
      </c>
      <c r="W265" s="87" t="str">
        <f t="shared" si="109"/>
        <v/>
      </c>
      <c r="X265" s="88" t="str">
        <f t="shared" si="110"/>
        <v/>
      </c>
      <c r="Y265" s="24" t="str">
        <f t="shared" si="111"/>
        <v/>
      </c>
      <c r="Z265" s="267" t="str">
        <f>IF(AND(H265&lt;&gt;"yes",F265&lt;&gt;""),IFERROR(VLOOKUP(F265,DUTY_2025!A:F,5,FALSE),""),"")</f>
        <v/>
      </c>
      <c r="AA265" s="271" t="str">
        <f t="shared" si="112"/>
        <v/>
      </c>
      <c r="AB265" s="16" t="str">
        <f t="shared" si="113"/>
        <v/>
      </c>
      <c r="AC265" s="16" t="str">
        <f>IF(AA265&lt;&gt;"",ROUND(AA265*SI!$C$9,0),"")</f>
        <v/>
      </c>
      <c r="AD265" s="4" t="str">
        <f>IF(AC265&lt;&gt;"",ROUND(AC265/(SI!$C$9*SI!$C$10),2),"")</f>
        <v/>
      </c>
      <c r="AE265" s="30" t="str">
        <f>IF(AND(X265&lt;&gt;""), ROUND((SI!$E$23)*(X265/SUM($X$5:$X$493)),0),"")</f>
        <v/>
      </c>
      <c r="AF265" s="272" t="str">
        <f t="shared" si="114"/>
        <v/>
      </c>
      <c r="AG265" s="28" t="str">
        <f t="shared" si="115"/>
        <v/>
      </c>
      <c r="AH265" s="4" t="str">
        <f>IF(AD265&lt;&gt;"",ROUND(AD265*10*SI!$C$9/2,0),"")</f>
        <v/>
      </c>
      <c r="AI265" s="29" t="str">
        <f>IF(AND(X265&lt;&gt;""), ROUND((SI!$E$28)*(X265/SUM($X$5:$X$493)),0),"")</f>
        <v/>
      </c>
      <c r="AJ265" s="4" t="str">
        <f t="shared" si="116"/>
        <v/>
      </c>
      <c r="AK265" s="4" t="str">
        <f t="shared" si="117"/>
        <v/>
      </c>
      <c r="AL265" s="4" t="str">
        <f t="shared" si="118"/>
        <v/>
      </c>
      <c r="AM265" s="4" t="str">
        <f t="shared" si="119"/>
        <v/>
      </c>
      <c r="AN265" s="195" t="str">
        <f t="shared" si="120"/>
        <v/>
      </c>
      <c r="AO265" s="261" t="str">
        <f>IF(AND(AM265&lt;&gt;"",P265&lt;&gt;""),ROUND((AM265*((100+SI!$C$11)/100)),0),"")</f>
        <v/>
      </c>
      <c r="AP265" s="28" t="str">
        <f>IF(AG265&lt;&gt;"",ROUND(AG265/SI!$C$9,2),"")</f>
        <v/>
      </c>
      <c r="AQ265" s="4" t="str">
        <f>IF(AH265&lt;&gt;"",ROUND(AH265/SI!$C$9,2),"")</f>
        <v/>
      </c>
      <c r="AR265" s="29" t="str">
        <f>IF(AI265&lt;&gt;"",ROUND(AI265/SI!$C$9,2),"")</f>
        <v/>
      </c>
      <c r="AS265" s="4" t="str">
        <f t="shared" si="121"/>
        <v/>
      </c>
      <c r="AT265" s="4" t="str">
        <f t="shared" si="122"/>
        <v/>
      </c>
      <c r="AU265" s="4" t="str">
        <f>IF(AL265&lt;&gt;"",ROUND(AL265/SI!$C$9,2),"")</f>
        <v/>
      </c>
      <c r="AV265" s="4" t="str">
        <f>IF(AM265&lt;&gt;"",ROUND(AM265/SI!$C$9,2),"")</f>
        <v/>
      </c>
      <c r="AW265" s="4" t="str">
        <f>IF(AN265&lt;&gt;"",ROUND(AN265/SI!$C$9,2),"")</f>
        <v/>
      </c>
      <c r="AX265" s="261" t="str">
        <f>IF(AO265&lt;&gt;"",ROUND(AO265/SI!$C$9,2),"")</f>
        <v/>
      </c>
      <c r="AY265" s="28" t="str">
        <f t="shared" si="123"/>
        <v/>
      </c>
      <c r="AZ265" s="4" t="str">
        <f>IF(AY265&lt;&gt;"",ROUND(AY265/(SI!$C$9*SI!$C$10),2),"")</f>
        <v/>
      </c>
      <c r="BA265" s="4" t="str">
        <f t="shared" si="124"/>
        <v/>
      </c>
      <c r="BB265" s="4" t="str">
        <f t="shared" si="125"/>
        <v/>
      </c>
      <c r="BC265" s="4" t="str">
        <f t="shared" si="126"/>
        <v/>
      </c>
      <c r="BD265" s="4" t="str">
        <f t="shared" si="127"/>
        <v/>
      </c>
      <c r="BE265" s="4" t="str">
        <f>IF(AND(X265&lt;&gt;""),ROUND(X265/SI!$C$10,2),"")</f>
        <v/>
      </c>
      <c r="BF265" s="4" t="str">
        <f t="shared" si="129"/>
        <v/>
      </c>
      <c r="BG265" s="264" t="str">
        <f t="shared" si="128"/>
        <v/>
      </c>
      <c r="BH265" s="71" t="str">
        <f>IF(F265&lt;&gt;"",VLOOKUP(F265,DUTY_2025!A:O,15,FALSE),"")</f>
        <v/>
      </c>
    </row>
    <row r="266" spans="1:60" x14ac:dyDescent="0.25">
      <c r="A266" s="133">
        <f t="shared" si="104"/>
        <v>66</v>
      </c>
      <c r="B266" s="83" t="str">
        <f t="shared" si="105"/>
        <v/>
      </c>
      <c r="C266" s="126"/>
      <c r="D266" s="130"/>
      <c r="E266" s="22"/>
      <c r="F266" s="85"/>
      <c r="G266" s="27" t="str">
        <f>IF(F266&lt;&gt;"",IFERROR(VLOOKUP(F266,DUTY_2025!A:I,6,FALSE),""),"")</f>
        <v/>
      </c>
      <c r="H266" s="85" t="s">
        <v>133</v>
      </c>
      <c r="I266" s="27" t="str">
        <f>IF(F266&lt;&gt;"",IFERROR(VLOOKUP(F266,DUTY_2025!A:H,2,FALSE),""),"")</f>
        <v/>
      </c>
      <c r="J266" s="98"/>
      <c r="K266" s="98"/>
      <c r="L266" s="22"/>
      <c r="M266" s="22"/>
      <c r="N266" s="84"/>
      <c r="O266" s="22"/>
      <c r="P266" s="116"/>
      <c r="Q266" s="23"/>
      <c r="R266" s="27"/>
      <c r="S266" s="86" t="str">
        <f t="shared" si="106"/>
        <v/>
      </c>
      <c r="T266" s="87" t="str">
        <f t="shared" si="107"/>
        <v/>
      </c>
      <c r="U266" s="87" t="str" cm="1">
        <f t="array" ref="U266">IF(AND(H266&lt;&gt;"YES",P266&lt;&gt;"",R266&lt;&gt;"",Q266&lt;&gt;""),
_xlfn.SWITCH(Q266,
"INR",_xlfn.SWITCH(R266,"KG",P266*S266,"CTN",P266,"UNIT",P266*N266,"NET",P266/M266,0),
"USD",_xlfn.SWITCH(R266,"KG",P266*S266*SI!$C$10,"CTN",P266*SI!$C$10,"UNIT",P266*N266*SI!$C$10,"NET",P266*SI!$C$10/M266,0),
"LKR",_xlfn.SWITCH(R266,"KG",P266*S266/SI!$C$9,"CTN",P266/SI!$C$9,"UNIT",P266*N266/SI!$C$9,"NET",P266/(M266*SI!$C$9),0),
0),
"")</f>
        <v/>
      </c>
      <c r="V266" s="87" t="str">
        <f t="shared" si="108"/>
        <v/>
      </c>
      <c r="W266" s="87" t="str">
        <f t="shared" si="109"/>
        <v/>
      </c>
      <c r="X266" s="88" t="str">
        <f t="shared" si="110"/>
        <v/>
      </c>
      <c r="Y266" s="24" t="str">
        <f t="shared" si="111"/>
        <v/>
      </c>
      <c r="Z266" s="267" t="str">
        <f>IF(AND(H266&lt;&gt;"yes",F266&lt;&gt;""),IFERROR(VLOOKUP(F266,DUTY_2025!A:F,5,FALSE),""),"")</f>
        <v/>
      </c>
      <c r="AA266" s="271" t="str">
        <f t="shared" si="112"/>
        <v/>
      </c>
      <c r="AB266" s="16" t="str">
        <f t="shared" si="113"/>
        <v/>
      </c>
      <c r="AC266" s="16" t="str">
        <f>IF(AA266&lt;&gt;"",ROUND(AA266*SI!$C$9,0),"")</f>
        <v/>
      </c>
      <c r="AD266" s="4" t="str">
        <f>IF(AC266&lt;&gt;"",ROUND(AC266/(SI!$C$9*SI!$C$10),2),"")</f>
        <v/>
      </c>
      <c r="AE266" s="30" t="str">
        <f>IF(AND(X266&lt;&gt;""), ROUND((SI!$E$23)*(X266/SUM($X$5:$X$493)),0),"")</f>
        <v/>
      </c>
      <c r="AF266" s="272" t="str">
        <f t="shared" si="114"/>
        <v/>
      </c>
      <c r="AG266" s="28" t="str">
        <f t="shared" si="115"/>
        <v/>
      </c>
      <c r="AH266" s="4" t="str">
        <f>IF(AD266&lt;&gt;"",ROUND(AD266*10*SI!$C$9/2,0),"")</f>
        <v/>
      </c>
      <c r="AI266" s="29" t="str">
        <f>IF(AND(X266&lt;&gt;""), ROUND((SI!$E$28)*(X266/SUM($X$5:$X$493)),0),"")</f>
        <v/>
      </c>
      <c r="AJ266" s="4" t="str">
        <f t="shared" si="116"/>
        <v/>
      </c>
      <c r="AK266" s="4" t="str">
        <f t="shared" si="117"/>
        <v/>
      </c>
      <c r="AL266" s="4" t="str">
        <f t="shared" si="118"/>
        <v/>
      </c>
      <c r="AM266" s="4" t="str">
        <f t="shared" si="119"/>
        <v/>
      </c>
      <c r="AN266" s="195" t="str">
        <f t="shared" si="120"/>
        <v/>
      </c>
      <c r="AO266" s="261" t="str">
        <f>IF(AND(AM266&lt;&gt;"",P266&lt;&gt;""),ROUND((AM266*((100+SI!$C$11)/100)),0),"")</f>
        <v/>
      </c>
      <c r="AP266" s="28" t="str">
        <f>IF(AG266&lt;&gt;"",ROUND(AG266/SI!$C$9,2),"")</f>
        <v/>
      </c>
      <c r="AQ266" s="4" t="str">
        <f>IF(AH266&lt;&gt;"",ROUND(AH266/SI!$C$9,2),"")</f>
        <v/>
      </c>
      <c r="AR266" s="29" t="str">
        <f>IF(AI266&lt;&gt;"",ROUND(AI266/SI!$C$9,2),"")</f>
        <v/>
      </c>
      <c r="AS266" s="4" t="str">
        <f t="shared" si="121"/>
        <v/>
      </c>
      <c r="AT266" s="4" t="str">
        <f t="shared" si="122"/>
        <v/>
      </c>
      <c r="AU266" s="4" t="str">
        <f>IF(AL266&lt;&gt;"",ROUND(AL266/SI!$C$9,2),"")</f>
        <v/>
      </c>
      <c r="AV266" s="4" t="str">
        <f>IF(AM266&lt;&gt;"",ROUND(AM266/SI!$C$9,2),"")</f>
        <v/>
      </c>
      <c r="AW266" s="4" t="str">
        <f>IF(AN266&lt;&gt;"",ROUND(AN266/SI!$C$9,2),"")</f>
        <v/>
      </c>
      <c r="AX266" s="261" t="str">
        <f>IF(AO266&lt;&gt;"",ROUND(AO266/SI!$C$9,2),"")</f>
        <v/>
      </c>
      <c r="AY266" s="28" t="str">
        <f t="shared" si="123"/>
        <v/>
      </c>
      <c r="AZ266" s="4" t="str">
        <f>IF(AY266&lt;&gt;"",ROUND(AY266/(SI!$C$9*SI!$C$10),2),"")</f>
        <v/>
      </c>
      <c r="BA266" s="4" t="str">
        <f t="shared" si="124"/>
        <v/>
      </c>
      <c r="BB266" s="4" t="str">
        <f t="shared" si="125"/>
        <v/>
      </c>
      <c r="BC266" s="4" t="str">
        <f t="shared" si="126"/>
        <v/>
      </c>
      <c r="BD266" s="4" t="str">
        <f t="shared" si="127"/>
        <v/>
      </c>
      <c r="BE266" s="4" t="str">
        <f>IF(AND(X266&lt;&gt;""),ROUND(X266/SI!$C$10,2),"")</f>
        <v/>
      </c>
      <c r="BF266" s="4" t="str">
        <f t="shared" si="129"/>
        <v/>
      </c>
      <c r="BG266" s="264" t="str">
        <f t="shared" si="128"/>
        <v/>
      </c>
      <c r="BH266" s="71" t="str">
        <f>IF(F266&lt;&gt;"",VLOOKUP(F266,DUTY_2025!A:O,15,FALSE),"")</f>
        <v/>
      </c>
    </row>
    <row r="267" spans="1:60" x14ac:dyDescent="0.25">
      <c r="A267" s="133">
        <f t="shared" si="104"/>
        <v>66</v>
      </c>
      <c r="B267" s="83" t="str">
        <f t="shared" si="105"/>
        <v/>
      </c>
      <c r="C267" s="126"/>
      <c r="D267" s="130"/>
      <c r="E267" s="22"/>
      <c r="F267" s="85"/>
      <c r="G267" s="27" t="str">
        <f>IF(F267&lt;&gt;"",IFERROR(VLOOKUP(F267,DUTY_2025!A:I,6,FALSE),""),"")</f>
        <v/>
      </c>
      <c r="H267" s="85" t="s">
        <v>133</v>
      </c>
      <c r="I267" s="27" t="str">
        <f>IF(F267&lt;&gt;"",IFERROR(VLOOKUP(F267,DUTY_2025!A:H,2,FALSE),""),"")</f>
        <v/>
      </c>
      <c r="J267" s="98"/>
      <c r="K267" s="98"/>
      <c r="L267" s="22"/>
      <c r="M267" s="22"/>
      <c r="N267" s="84"/>
      <c r="O267" s="22"/>
      <c r="P267" s="116"/>
      <c r="Q267" s="23"/>
      <c r="R267" s="27"/>
      <c r="S267" s="86" t="str">
        <f t="shared" si="106"/>
        <v/>
      </c>
      <c r="T267" s="87" t="str">
        <f t="shared" si="107"/>
        <v/>
      </c>
      <c r="U267" s="87" t="str" cm="1">
        <f t="array" ref="U267">IF(AND(H267&lt;&gt;"YES",P267&lt;&gt;"",R267&lt;&gt;"",Q267&lt;&gt;""),
_xlfn.SWITCH(Q267,
"INR",_xlfn.SWITCH(R267,"KG",P267*S267,"CTN",P267,"UNIT",P267*N267,"NET",P267/M267,0),
"USD",_xlfn.SWITCH(R267,"KG",P267*S267*SI!$C$10,"CTN",P267*SI!$C$10,"UNIT",P267*N267*SI!$C$10,"NET",P267*SI!$C$10/M267,0),
"LKR",_xlfn.SWITCH(R267,"KG",P267*S267/SI!$C$9,"CTN",P267/SI!$C$9,"UNIT",P267*N267/SI!$C$9,"NET",P267/(M267*SI!$C$9),0),
0),
"")</f>
        <v/>
      </c>
      <c r="V267" s="87" t="str">
        <f t="shared" si="108"/>
        <v/>
      </c>
      <c r="W267" s="87" t="str">
        <f t="shared" si="109"/>
        <v/>
      </c>
      <c r="X267" s="88" t="str">
        <f t="shared" si="110"/>
        <v/>
      </c>
      <c r="Y267" s="24" t="str">
        <f t="shared" si="111"/>
        <v/>
      </c>
      <c r="Z267" s="267" t="str">
        <f>IF(AND(H267&lt;&gt;"yes",F267&lt;&gt;""),IFERROR(VLOOKUP(F267,DUTY_2025!A:F,5,FALSE),""),"")</f>
        <v/>
      </c>
      <c r="AA267" s="271" t="str">
        <f t="shared" si="112"/>
        <v/>
      </c>
      <c r="AB267" s="16" t="str">
        <f t="shared" si="113"/>
        <v/>
      </c>
      <c r="AC267" s="16" t="str">
        <f>IF(AA267&lt;&gt;"",ROUND(AA267*SI!$C$9,0),"")</f>
        <v/>
      </c>
      <c r="AD267" s="4" t="str">
        <f>IF(AC267&lt;&gt;"",ROUND(AC267/(SI!$C$9*SI!$C$10),2),"")</f>
        <v/>
      </c>
      <c r="AE267" s="30" t="str">
        <f>IF(AND(X267&lt;&gt;""), ROUND((SI!$E$23)*(X267/SUM($X$5:$X$493)),0),"")</f>
        <v/>
      </c>
      <c r="AF267" s="272" t="str">
        <f t="shared" si="114"/>
        <v/>
      </c>
      <c r="AG267" s="28" t="str">
        <f t="shared" si="115"/>
        <v/>
      </c>
      <c r="AH267" s="4" t="str">
        <f>IF(AD267&lt;&gt;"",ROUND(AD267*10*SI!$C$9/2,0),"")</f>
        <v/>
      </c>
      <c r="AI267" s="29" t="str">
        <f>IF(AND(X267&lt;&gt;""), ROUND((SI!$E$28)*(X267/SUM($X$5:$X$493)),0),"")</f>
        <v/>
      </c>
      <c r="AJ267" s="4" t="str">
        <f t="shared" si="116"/>
        <v/>
      </c>
      <c r="AK267" s="4" t="str">
        <f t="shared" si="117"/>
        <v/>
      </c>
      <c r="AL267" s="4" t="str">
        <f t="shared" si="118"/>
        <v/>
      </c>
      <c r="AM267" s="4" t="str">
        <f t="shared" si="119"/>
        <v/>
      </c>
      <c r="AN267" s="195" t="str">
        <f t="shared" si="120"/>
        <v/>
      </c>
      <c r="AO267" s="261" t="str">
        <f>IF(AND(AM267&lt;&gt;"",P267&lt;&gt;""),ROUND((AM267*((100+SI!$C$11)/100)),0),"")</f>
        <v/>
      </c>
      <c r="AP267" s="28" t="str">
        <f>IF(AG267&lt;&gt;"",ROUND(AG267/SI!$C$9,2),"")</f>
        <v/>
      </c>
      <c r="AQ267" s="4" t="str">
        <f>IF(AH267&lt;&gt;"",ROUND(AH267/SI!$C$9,2),"")</f>
        <v/>
      </c>
      <c r="AR267" s="29" t="str">
        <f>IF(AI267&lt;&gt;"",ROUND(AI267/SI!$C$9,2),"")</f>
        <v/>
      </c>
      <c r="AS267" s="4" t="str">
        <f t="shared" si="121"/>
        <v/>
      </c>
      <c r="AT267" s="4" t="str">
        <f t="shared" si="122"/>
        <v/>
      </c>
      <c r="AU267" s="4" t="str">
        <f>IF(AL267&lt;&gt;"",ROUND(AL267/SI!$C$9,2),"")</f>
        <v/>
      </c>
      <c r="AV267" s="4" t="str">
        <f>IF(AM267&lt;&gt;"",ROUND(AM267/SI!$C$9,2),"")</f>
        <v/>
      </c>
      <c r="AW267" s="4" t="str">
        <f>IF(AN267&lt;&gt;"",ROUND(AN267/SI!$C$9,2),"")</f>
        <v/>
      </c>
      <c r="AX267" s="261" t="str">
        <f>IF(AO267&lt;&gt;"",ROUND(AO267/SI!$C$9,2),"")</f>
        <v/>
      </c>
      <c r="AY267" s="28" t="str">
        <f t="shared" si="123"/>
        <v/>
      </c>
      <c r="AZ267" s="4" t="str">
        <f>IF(AY267&lt;&gt;"",ROUND(AY267/(SI!$C$9*SI!$C$10),2),"")</f>
        <v/>
      </c>
      <c r="BA267" s="4" t="str">
        <f t="shared" si="124"/>
        <v/>
      </c>
      <c r="BB267" s="4" t="str">
        <f t="shared" si="125"/>
        <v/>
      </c>
      <c r="BC267" s="4" t="str">
        <f t="shared" si="126"/>
        <v/>
      </c>
      <c r="BD267" s="4" t="str">
        <f t="shared" si="127"/>
        <v/>
      </c>
      <c r="BE267" s="4" t="str">
        <f>IF(AND(X267&lt;&gt;""),ROUND(X267/SI!$C$10,2),"")</f>
        <v/>
      </c>
      <c r="BF267" s="4" t="str">
        <f t="shared" si="129"/>
        <v/>
      </c>
      <c r="BG267" s="264" t="str">
        <f t="shared" si="128"/>
        <v/>
      </c>
      <c r="BH267" s="71" t="str">
        <f>IF(F267&lt;&gt;"",VLOOKUP(F267,DUTY_2025!A:O,15,FALSE),"")</f>
        <v/>
      </c>
    </row>
    <row r="268" spans="1:60" x14ac:dyDescent="0.25">
      <c r="A268" s="133">
        <f t="shared" si="104"/>
        <v>66</v>
      </c>
      <c r="B268" s="83" t="str">
        <f t="shared" si="105"/>
        <v/>
      </c>
      <c r="C268" s="126"/>
      <c r="D268" s="130"/>
      <c r="E268" s="22"/>
      <c r="F268" s="85"/>
      <c r="G268" s="27" t="str">
        <f>IF(F268&lt;&gt;"",IFERROR(VLOOKUP(F268,DUTY_2025!A:I,6,FALSE),""),"")</f>
        <v/>
      </c>
      <c r="H268" s="85" t="s">
        <v>133</v>
      </c>
      <c r="I268" s="27" t="str">
        <f>IF(F268&lt;&gt;"",IFERROR(VLOOKUP(F268,DUTY_2025!A:H,2,FALSE),""),"")</f>
        <v/>
      </c>
      <c r="J268" s="98"/>
      <c r="K268" s="98"/>
      <c r="L268" s="22"/>
      <c r="M268" s="22"/>
      <c r="N268" s="84"/>
      <c r="O268" s="22"/>
      <c r="P268" s="116"/>
      <c r="Q268" s="23"/>
      <c r="R268" s="27"/>
      <c r="S268" s="86" t="str">
        <f t="shared" si="106"/>
        <v/>
      </c>
      <c r="T268" s="87" t="str">
        <f t="shared" si="107"/>
        <v/>
      </c>
      <c r="U268" s="87" t="str" cm="1">
        <f t="array" ref="U268">IF(AND(H268&lt;&gt;"YES",P268&lt;&gt;"",R268&lt;&gt;"",Q268&lt;&gt;""),
_xlfn.SWITCH(Q268,
"INR",_xlfn.SWITCH(R268,"KG",P268*S268,"CTN",P268,"UNIT",P268*N268,"NET",P268/M268,0),
"USD",_xlfn.SWITCH(R268,"KG",P268*S268*SI!$C$10,"CTN",P268*SI!$C$10,"UNIT",P268*N268*SI!$C$10,"NET",P268*SI!$C$10/M268,0),
"LKR",_xlfn.SWITCH(R268,"KG",P268*S268/SI!$C$9,"CTN",P268/SI!$C$9,"UNIT",P268*N268/SI!$C$9,"NET",P268/(M268*SI!$C$9),0),
0),
"")</f>
        <v/>
      </c>
      <c r="V268" s="87" t="str">
        <f t="shared" si="108"/>
        <v/>
      </c>
      <c r="W268" s="87" t="str">
        <f t="shared" si="109"/>
        <v/>
      </c>
      <c r="X268" s="88" t="str">
        <f t="shared" si="110"/>
        <v/>
      </c>
      <c r="Y268" s="24" t="str">
        <f t="shared" si="111"/>
        <v/>
      </c>
      <c r="Z268" s="267" t="str">
        <f>IF(AND(H268&lt;&gt;"yes",F268&lt;&gt;""),IFERROR(VLOOKUP(F268,DUTY_2025!A:F,5,FALSE),""),"")</f>
        <v/>
      </c>
      <c r="AA268" s="271" t="str">
        <f t="shared" si="112"/>
        <v/>
      </c>
      <c r="AB268" s="16" t="str">
        <f t="shared" si="113"/>
        <v/>
      </c>
      <c r="AC268" s="16" t="str">
        <f>IF(AA268&lt;&gt;"",ROUND(AA268*SI!$C$9,0),"")</f>
        <v/>
      </c>
      <c r="AD268" s="4" t="str">
        <f>IF(AC268&lt;&gt;"",ROUND(AC268/(SI!$C$9*SI!$C$10),2),"")</f>
        <v/>
      </c>
      <c r="AE268" s="30" t="str">
        <f>IF(AND(X268&lt;&gt;""), ROUND((SI!$E$23)*(X268/SUM($X$5:$X$493)),0),"")</f>
        <v/>
      </c>
      <c r="AF268" s="272" t="str">
        <f t="shared" si="114"/>
        <v/>
      </c>
      <c r="AG268" s="28" t="str">
        <f t="shared" si="115"/>
        <v/>
      </c>
      <c r="AH268" s="4" t="str">
        <f>IF(AD268&lt;&gt;"",ROUND(AD268*10*SI!$C$9/2,0),"")</f>
        <v/>
      </c>
      <c r="AI268" s="29" t="str">
        <f>IF(AND(X268&lt;&gt;""), ROUND((SI!$E$28)*(X268/SUM($X$5:$X$493)),0),"")</f>
        <v/>
      </c>
      <c r="AJ268" s="4" t="str">
        <f t="shared" si="116"/>
        <v/>
      </c>
      <c r="AK268" s="4" t="str">
        <f t="shared" si="117"/>
        <v/>
      </c>
      <c r="AL268" s="4" t="str">
        <f t="shared" si="118"/>
        <v/>
      </c>
      <c r="AM268" s="4" t="str">
        <f t="shared" si="119"/>
        <v/>
      </c>
      <c r="AN268" s="195" t="str">
        <f t="shared" si="120"/>
        <v/>
      </c>
      <c r="AO268" s="261" t="str">
        <f>IF(AND(AM268&lt;&gt;"",P268&lt;&gt;""),ROUND((AM268*((100+SI!$C$11)/100)),0),"")</f>
        <v/>
      </c>
      <c r="AP268" s="28" t="str">
        <f>IF(AG268&lt;&gt;"",ROUND(AG268/SI!$C$9,2),"")</f>
        <v/>
      </c>
      <c r="AQ268" s="4" t="str">
        <f>IF(AH268&lt;&gt;"",ROUND(AH268/SI!$C$9,2),"")</f>
        <v/>
      </c>
      <c r="AR268" s="29" t="str">
        <f>IF(AI268&lt;&gt;"",ROUND(AI268/SI!$C$9,2),"")</f>
        <v/>
      </c>
      <c r="AS268" s="4" t="str">
        <f t="shared" si="121"/>
        <v/>
      </c>
      <c r="AT268" s="4" t="str">
        <f t="shared" si="122"/>
        <v/>
      </c>
      <c r="AU268" s="4" t="str">
        <f>IF(AL268&lt;&gt;"",ROUND(AL268/SI!$C$9,2),"")</f>
        <v/>
      </c>
      <c r="AV268" s="4" t="str">
        <f>IF(AM268&lt;&gt;"",ROUND(AM268/SI!$C$9,2),"")</f>
        <v/>
      </c>
      <c r="AW268" s="4" t="str">
        <f>IF(AN268&lt;&gt;"",ROUND(AN268/SI!$C$9,2),"")</f>
        <v/>
      </c>
      <c r="AX268" s="261" t="str">
        <f>IF(AO268&lt;&gt;"",ROUND(AO268/SI!$C$9,2),"")</f>
        <v/>
      </c>
      <c r="AY268" s="28" t="str">
        <f t="shared" si="123"/>
        <v/>
      </c>
      <c r="AZ268" s="4" t="str">
        <f>IF(AY268&lt;&gt;"",ROUND(AY268/(SI!$C$9*SI!$C$10),2),"")</f>
        <v/>
      </c>
      <c r="BA268" s="4" t="str">
        <f t="shared" si="124"/>
        <v/>
      </c>
      <c r="BB268" s="4" t="str">
        <f t="shared" si="125"/>
        <v/>
      </c>
      <c r="BC268" s="4" t="str">
        <f t="shared" si="126"/>
        <v/>
      </c>
      <c r="BD268" s="4" t="str">
        <f t="shared" si="127"/>
        <v/>
      </c>
      <c r="BE268" s="4" t="str">
        <f>IF(AND(X268&lt;&gt;""),ROUND(X268/SI!$C$10,2),"")</f>
        <v/>
      </c>
      <c r="BF268" s="4" t="str">
        <f t="shared" si="129"/>
        <v/>
      </c>
      <c r="BG268" s="264" t="str">
        <f t="shared" si="128"/>
        <v/>
      </c>
      <c r="BH268" s="71" t="str">
        <f>IF(F268&lt;&gt;"",VLOOKUP(F268,DUTY_2025!A:O,15,FALSE),"")</f>
        <v/>
      </c>
    </row>
    <row r="269" spans="1:60" x14ac:dyDescent="0.25">
      <c r="A269" s="133">
        <f t="shared" si="104"/>
        <v>66</v>
      </c>
      <c r="B269" s="83" t="str">
        <f t="shared" si="105"/>
        <v/>
      </c>
      <c r="C269" s="126"/>
      <c r="D269" s="130"/>
      <c r="E269" s="22"/>
      <c r="F269" s="85"/>
      <c r="G269" s="27" t="str">
        <f>IF(F269&lt;&gt;"",IFERROR(VLOOKUP(F269,DUTY_2025!A:I,6,FALSE),""),"")</f>
        <v/>
      </c>
      <c r="H269" s="85" t="s">
        <v>133</v>
      </c>
      <c r="I269" s="27" t="str">
        <f>IF(F269&lt;&gt;"",IFERROR(VLOOKUP(F269,DUTY_2025!A:H,2,FALSE),""),"")</f>
        <v/>
      </c>
      <c r="J269" s="98"/>
      <c r="K269" s="98"/>
      <c r="L269" s="22"/>
      <c r="M269" s="22"/>
      <c r="N269" s="84"/>
      <c r="O269" s="22"/>
      <c r="P269" s="116"/>
      <c r="Q269" s="23"/>
      <c r="R269" s="27"/>
      <c r="S269" s="86" t="str">
        <f t="shared" si="106"/>
        <v/>
      </c>
      <c r="T269" s="87" t="str">
        <f t="shared" si="107"/>
        <v/>
      </c>
      <c r="U269" s="87" t="str" cm="1">
        <f t="array" ref="U269">IF(AND(H269&lt;&gt;"YES",P269&lt;&gt;"",R269&lt;&gt;"",Q269&lt;&gt;""),
_xlfn.SWITCH(Q269,
"INR",_xlfn.SWITCH(R269,"KG",P269*S269,"CTN",P269,"UNIT",P269*N269,"NET",P269/M269,0),
"USD",_xlfn.SWITCH(R269,"KG",P269*S269*SI!$C$10,"CTN",P269*SI!$C$10,"UNIT",P269*N269*SI!$C$10,"NET",P269*SI!$C$10/M269,0),
"LKR",_xlfn.SWITCH(R269,"KG",P269*S269/SI!$C$9,"CTN",P269/SI!$C$9,"UNIT",P269*N269/SI!$C$9,"NET",P269/(M269*SI!$C$9),0),
0),
"")</f>
        <v/>
      </c>
      <c r="V269" s="87" t="str">
        <f t="shared" si="108"/>
        <v/>
      </c>
      <c r="W269" s="87" t="str">
        <f t="shared" si="109"/>
        <v/>
      </c>
      <c r="X269" s="88" t="str">
        <f t="shared" si="110"/>
        <v/>
      </c>
      <c r="Y269" s="24" t="str">
        <f t="shared" si="111"/>
        <v/>
      </c>
      <c r="Z269" s="267" t="str">
        <f>IF(AND(H269&lt;&gt;"yes",F269&lt;&gt;""),IFERROR(VLOOKUP(F269,DUTY_2025!A:F,5,FALSE),""),"")</f>
        <v/>
      </c>
      <c r="AA269" s="271" t="str">
        <f t="shared" si="112"/>
        <v/>
      </c>
      <c r="AB269" s="16" t="str">
        <f t="shared" si="113"/>
        <v/>
      </c>
      <c r="AC269" s="16" t="str">
        <f>IF(AA269&lt;&gt;"",ROUND(AA269*SI!$C$9,0),"")</f>
        <v/>
      </c>
      <c r="AD269" s="4" t="str">
        <f>IF(AC269&lt;&gt;"",ROUND(AC269/(SI!$C$9*SI!$C$10),2),"")</f>
        <v/>
      </c>
      <c r="AE269" s="30" t="str">
        <f>IF(AND(X269&lt;&gt;""), ROUND((SI!$E$23)*(X269/SUM($X$5:$X$493)),0),"")</f>
        <v/>
      </c>
      <c r="AF269" s="272" t="str">
        <f t="shared" si="114"/>
        <v/>
      </c>
      <c r="AG269" s="28" t="str">
        <f t="shared" si="115"/>
        <v/>
      </c>
      <c r="AH269" s="4" t="str">
        <f>IF(AD269&lt;&gt;"",ROUND(AD269*10*SI!$C$9/2,0),"")</f>
        <v/>
      </c>
      <c r="AI269" s="29" t="str">
        <f>IF(AND(X269&lt;&gt;""), ROUND((SI!$E$28)*(X269/SUM($X$5:$X$493)),0),"")</f>
        <v/>
      </c>
      <c r="AJ269" s="4" t="str">
        <f t="shared" si="116"/>
        <v/>
      </c>
      <c r="AK269" s="4" t="str">
        <f t="shared" si="117"/>
        <v/>
      </c>
      <c r="AL269" s="4" t="str">
        <f t="shared" si="118"/>
        <v/>
      </c>
      <c r="AM269" s="4" t="str">
        <f t="shared" si="119"/>
        <v/>
      </c>
      <c r="AN269" s="195" t="str">
        <f t="shared" si="120"/>
        <v/>
      </c>
      <c r="AO269" s="261" t="str">
        <f>IF(AND(AM269&lt;&gt;"",P269&lt;&gt;""),ROUND((AM269*((100+SI!$C$11)/100)),0),"")</f>
        <v/>
      </c>
      <c r="AP269" s="28" t="str">
        <f>IF(AG269&lt;&gt;"",ROUND(AG269/SI!$C$9,2),"")</f>
        <v/>
      </c>
      <c r="AQ269" s="4" t="str">
        <f>IF(AH269&lt;&gt;"",ROUND(AH269/SI!$C$9,2),"")</f>
        <v/>
      </c>
      <c r="AR269" s="29" t="str">
        <f>IF(AI269&lt;&gt;"",ROUND(AI269/SI!$C$9,2),"")</f>
        <v/>
      </c>
      <c r="AS269" s="4" t="str">
        <f t="shared" si="121"/>
        <v/>
      </c>
      <c r="AT269" s="4" t="str">
        <f t="shared" si="122"/>
        <v/>
      </c>
      <c r="AU269" s="4" t="str">
        <f>IF(AL269&lt;&gt;"",ROUND(AL269/SI!$C$9,2),"")</f>
        <v/>
      </c>
      <c r="AV269" s="4" t="str">
        <f>IF(AM269&lt;&gt;"",ROUND(AM269/SI!$C$9,2),"")</f>
        <v/>
      </c>
      <c r="AW269" s="4" t="str">
        <f>IF(AN269&lt;&gt;"",ROUND(AN269/SI!$C$9,2),"")</f>
        <v/>
      </c>
      <c r="AX269" s="261" t="str">
        <f>IF(AO269&lt;&gt;"",ROUND(AO269/SI!$C$9,2),"")</f>
        <v/>
      </c>
      <c r="AY269" s="28" t="str">
        <f t="shared" si="123"/>
        <v/>
      </c>
      <c r="AZ269" s="4" t="str">
        <f>IF(AY269&lt;&gt;"",ROUND(AY269/(SI!$C$9*SI!$C$10),2),"")</f>
        <v/>
      </c>
      <c r="BA269" s="4" t="str">
        <f t="shared" si="124"/>
        <v/>
      </c>
      <c r="BB269" s="4" t="str">
        <f t="shared" si="125"/>
        <v/>
      </c>
      <c r="BC269" s="4" t="str">
        <f t="shared" si="126"/>
        <v/>
      </c>
      <c r="BD269" s="4" t="str">
        <f t="shared" si="127"/>
        <v/>
      </c>
      <c r="BE269" s="4" t="str">
        <f>IF(AND(X269&lt;&gt;""),ROUND(X269/SI!$C$10,2),"")</f>
        <v/>
      </c>
      <c r="BF269" s="4" t="str">
        <f t="shared" si="129"/>
        <v/>
      </c>
      <c r="BG269" s="264" t="str">
        <f t="shared" si="128"/>
        <v/>
      </c>
      <c r="BH269" s="71" t="str">
        <f>IF(F269&lt;&gt;"",VLOOKUP(F269,DUTY_2025!A:O,15,FALSE),"")</f>
        <v/>
      </c>
    </row>
    <row r="270" spans="1:60" x14ac:dyDescent="0.25">
      <c r="A270" s="133">
        <f t="shared" si="104"/>
        <v>66</v>
      </c>
      <c r="B270" s="83" t="str">
        <f t="shared" si="105"/>
        <v/>
      </c>
      <c r="C270" s="126"/>
      <c r="D270" s="130"/>
      <c r="E270" s="22"/>
      <c r="F270" s="85"/>
      <c r="G270" s="27" t="str">
        <f>IF(F270&lt;&gt;"",IFERROR(VLOOKUP(F270,DUTY_2025!A:I,6,FALSE),""),"")</f>
        <v/>
      </c>
      <c r="H270" s="85" t="s">
        <v>133</v>
      </c>
      <c r="I270" s="27" t="str">
        <f>IF(F270&lt;&gt;"",IFERROR(VLOOKUP(F270,DUTY_2025!A:H,2,FALSE),""),"")</f>
        <v/>
      </c>
      <c r="J270" s="98"/>
      <c r="K270" s="98"/>
      <c r="L270" s="22"/>
      <c r="M270" s="22"/>
      <c r="N270" s="84"/>
      <c r="O270" s="22"/>
      <c r="P270" s="116"/>
      <c r="Q270" s="23"/>
      <c r="R270" s="27"/>
      <c r="S270" s="86" t="str">
        <f t="shared" si="106"/>
        <v/>
      </c>
      <c r="T270" s="87" t="str">
        <f t="shared" si="107"/>
        <v/>
      </c>
      <c r="U270" s="87" t="str" cm="1">
        <f t="array" ref="U270">IF(AND(H270&lt;&gt;"YES",P270&lt;&gt;"",R270&lt;&gt;"",Q270&lt;&gt;""),
_xlfn.SWITCH(Q270,
"INR",_xlfn.SWITCH(R270,"KG",P270*S270,"CTN",P270,"UNIT",P270*N270,"NET",P270/M270,0),
"USD",_xlfn.SWITCH(R270,"KG",P270*S270*SI!$C$10,"CTN",P270*SI!$C$10,"UNIT",P270*N270*SI!$C$10,"NET",P270*SI!$C$10/M270,0),
"LKR",_xlfn.SWITCH(R270,"KG",P270*S270/SI!$C$9,"CTN",P270/SI!$C$9,"UNIT",P270*N270/SI!$C$9,"NET",P270/(M270*SI!$C$9),0),
0),
"")</f>
        <v/>
      </c>
      <c r="V270" s="87" t="str">
        <f t="shared" si="108"/>
        <v/>
      </c>
      <c r="W270" s="87" t="str">
        <f t="shared" si="109"/>
        <v/>
      </c>
      <c r="X270" s="88" t="str">
        <f t="shared" si="110"/>
        <v/>
      </c>
      <c r="Y270" s="24" t="str">
        <f t="shared" si="111"/>
        <v/>
      </c>
      <c r="Z270" s="267" t="str">
        <f>IF(AND(H270&lt;&gt;"yes",F270&lt;&gt;""),IFERROR(VLOOKUP(F270,DUTY_2025!A:F,5,FALSE),""),"")</f>
        <v/>
      </c>
      <c r="AA270" s="271" t="str">
        <f t="shared" si="112"/>
        <v/>
      </c>
      <c r="AB270" s="16" t="str">
        <f t="shared" si="113"/>
        <v/>
      </c>
      <c r="AC270" s="16" t="str">
        <f>IF(AA270&lt;&gt;"",ROUND(AA270*SI!$C$9,0),"")</f>
        <v/>
      </c>
      <c r="AD270" s="4" t="str">
        <f>IF(AC270&lt;&gt;"",ROUND(AC270/(SI!$C$9*SI!$C$10),2),"")</f>
        <v/>
      </c>
      <c r="AE270" s="30" t="str">
        <f>IF(AND(X270&lt;&gt;""), ROUND((SI!$E$23)*(X270/SUM($X$5:$X$493)),0),"")</f>
        <v/>
      </c>
      <c r="AF270" s="272" t="str">
        <f t="shared" si="114"/>
        <v/>
      </c>
      <c r="AG270" s="28" t="str">
        <f t="shared" si="115"/>
        <v/>
      </c>
      <c r="AH270" s="4" t="str">
        <f>IF(AD270&lt;&gt;"",ROUND(AD270*10*SI!$C$9/2,0),"")</f>
        <v/>
      </c>
      <c r="AI270" s="29" t="str">
        <f>IF(AND(X270&lt;&gt;""), ROUND((SI!$E$28)*(X270/SUM($X$5:$X$493)),0),"")</f>
        <v/>
      </c>
      <c r="AJ270" s="4" t="str">
        <f t="shared" si="116"/>
        <v/>
      </c>
      <c r="AK270" s="4" t="str">
        <f t="shared" si="117"/>
        <v/>
      </c>
      <c r="AL270" s="4" t="str">
        <f t="shared" si="118"/>
        <v/>
      </c>
      <c r="AM270" s="4" t="str">
        <f t="shared" si="119"/>
        <v/>
      </c>
      <c r="AN270" s="195" t="str">
        <f t="shared" si="120"/>
        <v/>
      </c>
      <c r="AO270" s="261" t="str">
        <f>IF(AND(AM270&lt;&gt;"",P270&lt;&gt;""),ROUND((AM270*((100+SI!$C$11)/100)),0),"")</f>
        <v/>
      </c>
      <c r="AP270" s="28" t="str">
        <f>IF(AG270&lt;&gt;"",ROUND(AG270/SI!$C$9,2),"")</f>
        <v/>
      </c>
      <c r="AQ270" s="4" t="str">
        <f>IF(AH270&lt;&gt;"",ROUND(AH270/SI!$C$9,2),"")</f>
        <v/>
      </c>
      <c r="AR270" s="29" t="str">
        <f>IF(AI270&lt;&gt;"",ROUND(AI270/SI!$C$9,2),"")</f>
        <v/>
      </c>
      <c r="AS270" s="4" t="str">
        <f t="shared" si="121"/>
        <v/>
      </c>
      <c r="AT270" s="4" t="str">
        <f t="shared" si="122"/>
        <v/>
      </c>
      <c r="AU270" s="4" t="str">
        <f>IF(AL270&lt;&gt;"",ROUND(AL270/SI!$C$9,2),"")</f>
        <v/>
      </c>
      <c r="AV270" s="4" t="str">
        <f>IF(AM270&lt;&gt;"",ROUND(AM270/SI!$C$9,2),"")</f>
        <v/>
      </c>
      <c r="AW270" s="4" t="str">
        <f>IF(AN270&lt;&gt;"",ROUND(AN270/SI!$C$9,2),"")</f>
        <v/>
      </c>
      <c r="AX270" s="261" t="str">
        <f>IF(AO270&lt;&gt;"",ROUND(AO270/SI!$C$9,2),"")</f>
        <v/>
      </c>
      <c r="AY270" s="28" t="str">
        <f t="shared" si="123"/>
        <v/>
      </c>
      <c r="AZ270" s="4" t="str">
        <f>IF(AY270&lt;&gt;"",ROUND(AY270/(SI!$C$9*SI!$C$10),2),"")</f>
        <v/>
      </c>
      <c r="BA270" s="4" t="str">
        <f t="shared" si="124"/>
        <v/>
      </c>
      <c r="BB270" s="4" t="str">
        <f t="shared" si="125"/>
        <v/>
      </c>
      <c r="BC270" s="4" t="str">
        <f t="shared" si="126"/>
        <v/>
      </c>
      <c r="BD270" s="4" t="str">
        <f t="shared" si="127"/>
        <v/>
      </c>
      <c r="BE270" s="4" t="str">
        <f>IF(AND(X270&lt;&gt;""),ROUND(X270/SI!$C$10,2),"")</f>
        <v/>
      </c>
      <c r="BF270" s="4" t="str">
        <f t="shared" si="129"/>
        <v/>
      </c>
      <c r="BG270" s="264" t="str">
        <f t="shared" si="128"/>
        <v/>
      </c>
      <c r="BH270" s="71" t="str">
        <f>IF(F270&lt;&gt;"",VLOOKUP(F270,DUTY_2025!A:O,15,FALSE),"")</f>
        <v/>
      </c>
    </row>
    <row r="271" spans="1:60" x14ac:dyDescent="0.25">
      <c r="A271" s="133">
        <f t="shared" si="104"/>
        <v>66</v>
      </c>
      <c r="B271" s="83" t="str">
        <f t="shared" si="105"/>
        <v/>
      </c>
      <c r="C271" s="126"/>
      <c r="D271" s="130"/>
      <c r="E271" s="22"/>
      <c r="F271" s="85"/>
      <c r="G271" s="27" t="str">
        <f>IF(F271&lt;&gt;"",IFERROR(VLOOKUP(F271,DUTY_2025!A:I,6,FALSE),""),"")</f>
        <v/>
      </c>
      <c r="H271" s="85" t="s">
        <v>133</v>
      </c>
      <c r="I271" s="27" t="str">
        <f>IF(F271&lt;&gt;"",IFERROR(VLOOKUP(F271,DUTY_2025!A:H,2,FALSE),""),"")</f>
        <v/>
      </c>
      <c r="J271" s="98"/>
      <c r="K271" s="98"/>
      <c r="L271" s="22"/>
      <c r="M271" s="22"/>
      <c r="N271" s="84"/>
      <c r="O271" s="22"/>
      <c r="P271" s="116"/>
      <c r="Q271" s="23"/>
      <c r="R271" s="27"/>
      <c r="S271" s="86" t="str">
        <f t="shared" si="106"/>
        <v/>
      </c>
      <c r="T271" s="87" t="str">
        <f t="shared" si="107"/>
        <v/>
      </c>
      <c r="U271" s="87" t="str" cm="1">
        <f t="array" ref="U271">IF(AND(H271&lt;&gt;"YES",P271&lt;&gt;"",R271&lt;&gt;"",Q271&lt;&gt;""),
_xlfn.SWITCH(Q271,
"INR",_xlfn.SWITCH(R271,"KG",P271*S271,"CTN",P271,"UNIT",P271*N271,"NET",P271/M271,0),
"USD",_xlfn.SWITCH(R271,"KG",P271*S271*SI!$C$10,"CTN",P271*SI!$C$10,"UNIT",P271*N271*SI!$C$10,"NET",P271*SI!$C$10/M271,0),
"LKR",_xlfn.SWITCH(R271,"KG",P271*S271/SI!$C$9,"CTN",P271/SI!$C$9,"UNIT",P271*N271/SI!$C$9,"NET",P271/(M271*SI!$C$9),0),
0),
"")</f>
        <v/>
      </c>
      <c r="V271" s="87" t="str">
        <f t="shared" si="108"/>
        <v/>
      </c>
      <c r="W271" s="87" t="str">
        <f t="shared" si="109"/>
        <v/>
      </c>
      <c r="X271" s="88" t="str">
        <f t="shared" si="110"/>
        <v/>
      </c>
      <c r="Y271" s="24" t="str">
        <f t="shared" si="111"/>
        <v/>
      </c>
      <c r="Z271" s="267" t="str">
        <f>IF(AND(H271&lt;&gt;"yes",F271&lt;&gt;""),IFERROR(VLOOKUP(F271,DUTY_2025!A:F,5,FALSE),""),"")</f>
        <v/>
      </c>
      <c r="AA271" s="271" t="str">
        <f t="shared" si="112"/>
        <v/>
      </c>
      <c r="AB271" s="16" t="str">
        <f t="shared" si="113"/>
        <v/>
      </c>
      <c r="AC271" s="16" t="str">
        <f>IF(AA271&lt;&gt;"",ROUND(AA271*SI!$C$9,0),"")</f>
        <v/>
      </c>
      <c r="AD271" s="4" t="str">
        <f>IF(AC271&lt;&gt;"",ROUND(AC271/(SI!$C$9*SI!$C$10),2),"")</f>
        <v/>
      </c>
      <c r="AE271" s="30" t="str">
        <f>IF(AND(X271&lt;&gt;""), ROUND((SI!$E$23)*(X271/SUM($X$5:$X$493)),0),"")</f>
        <v/>
      </c>
      <c r="AF271" s="272" t="str">
        <f t="shared" si="114"/>
        <v/>
      </c>
      <c r="AG271" s="28" t="str">
        <f t="shared" si="115"/>
        <v/>
      </c>
      <c r="AH271" s="4" t="str">
        <f>IF(AD271&lt;&gt;"",ROUND(AD271*10*SI!$C$9/2,0),"")</f>
        <v/>
      </c>
      <c r="AI271" s="29" t="str">
        <f>IF(AND(X271&lt;&gt;""), ROUND((SI!$E$28)*(X271/SUM($X$5:$X$493)),0),"")</f>
        <v/>
      </c>
      <c r="AJ271" s="4" t="str">
        <f t="shared" si="116"/>
        <v/>
      </c>
      <c r="AK271" s="4" t="str">
        <f t="shared" si="117"/>
        <v/>
      </c>
      <c r="AL271" s="4" t="str">
        <f t="shared" si="118"/>
        <v/>
      </c>
      <c r="AM271" s="4" t="str">
        <f t="shared" si="119"/>
        <v/>
      </c>
      <c r="AN271" s="195" t="str">
        <f t="shared" si="120"/>
        <v/>
      </c>
      <c r="AO271" s="261" t="str">
        <f>IF(AND(AM271&lt;&gt;"",P271&lt;&gt;""),ROUND((AM271*((100+SI!$C$11)/100)),0),"")</f>
        <v/>
      </c>
      <c r="AP271" s="28" t="str">
        <f>IF(AG271&lt;&gt;"",ROUND(AG271/SI!$C$9,2),"")</f>
        <v/>
      </c>
      <c r="AQ271" s="4" t="str">
        <f>IF(AH271&lt;&gt;"",ROUND(AH271/SI!$C$9,2),"")</f>
        <v/>
      </c>
      <c r="AR271" s="29" t="str">
        <f>IF(AI271&lt;&gt;"",ROUND(AI271/SI!$C$9,2),"")</f>
        <v/>
      </c>
      <c r="AS271" s="4" t="str">
        <f t="shared" si="121"/>
        <v/>
      </c>
      <c r="AT271" s="4" t="str">
        <f t="shared" si="122"/>
        <v/>
      </c>
      <c r="AU271" s="4" t="str">
        <f>IF(AL271&lt;&gt;"",ROUND(AL271/SI!$C$9,2),"")</f>
        <v/>
      </c>
      <c r="AV271" s="4" t="str">
        <f>IF(AM271&lt;&gt;"",ROUND(AM271/SI!$C$9,2),"")</f>
        <v/>
      </c>
      <c r="AW271" s="4" t="str">
        <f>IF(AN271&lt;&gt;"",ROUND(AN271/SI!$C$9,2),"")</f>
        <v/>
      </c>
      <c r="AX271" s="261" t="str">
        <f>IF(AO271&lt;&gt;"",ROUND(AO271/SI!$C$9,2),"")</f>
        <v/>
      </c>
      <c r="AY271" s="28" t="str">
        <f t="shared" si="123"/>
        <v/>
      </c>
      <c r="AZ271" s="4" t="str">
        <f>IF(AY271&lt;&gt;"",ROUND(AY271/(SI!$C$9*SI!$C$10),2),"")</f>
        <v/>
      </c>
      <c r="BA271" s="4" t="str">
        <f t="shared" si="124"/>
        <v/>
      </c>
      <c r="BB271" s="4" t="str">
        <f t="shared" si="125"/>
        <v/>
      </c>
      <c r="BC271" s="4" t="str">
        <f t="shared" si="126"/>
        <v/>
      </c>
      <c r="BD271" s="4" t="str">
        <f t="shared" si="127"/>
        <v/>
      </c>
      <c r="BE271" s="4" t="str">
        <f>IF(AND(X271&lt;&gt;""),ROUND(X271/SI!$C$10,2),"")</f>
        <v/>
      </c>
      <c r="BF271" s="4" t="str">
        <f t="shared" si="129"/>
        <v/>
      </c>
      <c r="BG271" s="264" t="str">
        <f t="shared" si="128"/>
        <v/>
      </c>
      <c r="BH271" s="71" t="str">
        <f>IF(F271&lt;&gt;"",VLOOKUP(F271,DUTY_2025!A:O,15,FALSE),"")</f>
        <v/>
      </c>
    </row>
    <row r="272" spans="1:60" x14ac:dyDescent="0.25">
      <c r="A272" s="133">
        <f t="shared" si="104"/>
        <v>66</v>
      </c>
      <c r="B272" s="83" t="str">
        <f t="shared" si="105"/>
        <v/>
      </c>
      <c r="C272" s="126"/>
      <c r="D272" s="130"/>
      <c r="E272" s="22"/>
      <c r="F272" s="85"/>
      <c r="G272" s="27" t="str">
        <f>IF(F272&lt;&gt;"",IFERROR(VLOOKUP(F272,DUTY_2025!A:I,6,FALSE),""),"")</f>
        <v/>
      </c>
      <c r="H272" s="85" t="s">
        <v>133</v>
      </c>
      <c r="I272" s="27" t="str">
        <f>IF(F272&lt;&gt;"",IFERROR(VLOOKUP(F272,DUTY_2025!A:H,2,FALSE),""),"")</f>
        <v/>
      </c>
      <c r="J272" s="98"/>
      <c r="K272" s="98"/>
      <c r="L272" s="22"/>
      <c r="M272" s="22"/>
      <c r="N272" s="84"/>
      <c r="O272" s="22"/>
      <c r="P272" s="116"/>
      <c r="Q272" s="23"/>
      <c r="R272" s="27"/>
      <c r="S272" s="86" t="str">
        <f t="shared" si="106"/>
        <v/>
      </c>
      <c r="T272" s="87" t="str">
        <f t="shared" si="107"/>
        <v/>
      </c>
      <c r="U272" s="87" t="str" cm="1">
        <f t="array" ref="U272">IF(AND(H272&lt;&gt;"YES",P272&lt;&gt;"",R272&lt;&gt;"",Q272&lt;&gt;""),
_xlfn.SWITCH(Q272,
"INR",_xlfn.SWITCH(R272,"KG",P272*S272,"CTN",P272,"UNIT",P272*N272,"NET",P272/M272,0),
"USD",_xlfn.SWITCH(R272,"KG",P272*S272*SI!$C$10,"CTN",P272*SI!$C$10,"UNIT",P272*N272*SI!$C$10,"NET",P272*SI!$C$10/M272,0),
"LKR",_xlfn.SWITCH(R272,"KG",P272*S272/SI!$C$9,"CTN",P272/SI!$C$9,"UNIT",P272*N272/SI!$C$9,"NET",P272/(M272*SI!$C$9),0),
0),
"")</f>
        <v/>
      </c>
      <c r="V272" s="87" t="str">
        <f t="shared" si="108"/>
        <v/>
      </c>
      <c r="W272" s="87" t="str">
        <f t="shared" si="109"/>
        <v/>
      </c>
      <c r="X272" s="88" t="str">
        <f t="shared" si="110"/>
        <v/>
      </c>
      <c r="Y272" s="24" t="str">
        <f t="shared" si="111"/>
        <v/>
      </c>
      <c r="Z272" s="267" t="str">
        <f>IF(AND(H272&lt;&gt;"yes",F272&lt;&gt;""),IFERROR(VLOOKUP(F272,DUTY_2025!A:F,5,FALSE),""),"")</f>
        <v/>
      </c>
      <c r="AA272" s="271" t="str">
        <f t="shared" si="112"/>
        <v/>
      </c>
      <c r="AB272" s="16" t="str">
        <f t="shared" si="113"/>
        <v/>
      </c>
      <c r="AC272" s="16" t="str">
        <f>IF(AA272&lt;&gt;"",ROUND(AA272*SI!$C$9,0),"")</f>
        <v/>
      </c>
      <c r="AD272" s="4" t="str">
        <f>IF(AC272&lt;&gt;"",ROUND(AC272/(SI!$C$9*SI!$C$10),2),"")</f>
        <v/>
      </c>
      <c r="AE272" s="30" t="str">
        <f>IF(AND(X272&lt;&gt;""), ROUND((SI!$E$23)*(X272/SUM($X$5:$X$493)),0),"")</f>
        <v/>
      </c>
      <c r="AF272" s="272" t="str">
        <f t="shared" si="114"/>
        <v/>
      </c>
      <c r="AG272" s="28" t="str">
        <f t="shared" si="115"/>
        <v/>
      </c>
      <c r="AH272" s="4" t="str">
        <f>IF(AD272&lt;&gt;"",ROUND(AD272*10*SI!$C$9/2,0),"")</f>
        <v/>
      </c>
      <c r="AI272" s="29" t="str">
        <f>IF(AND(X272&lt;&gt;""), ROUND((SI!$E$28)*(X272/SUM($X$5:$X$493)),0),"")</f>
        <v/>
      </c>
      <c r="AJ272" s="4" t="str">
        <f t="shared" si="116"/>
        <v/>
      </c>
      <c r="AK272" s="4" t="str">
        <f t="shared" si="117"/>
        <v/>
      </c>
      <c r="AL272" s="4" t="str">
        <f t="shared" si="118"/>
        <v/>
      </c>
      <c r="AM272" s="4" t="str">
        <f t="shared" si="119"/>
        <v/>
      </c>
      <c r="AN272" s="195" t="str">
        <f t="shared" si="120"/>
        <v/>
      </c>
      <c r="AO272" s="261" t="str">
        <f>IF(AND(AM272&lt;&gt;"",P272&lt;&gt;""),ROUND((AM272*((100+SI!$C$11)/100)),0),"")</f>
        <v/>
      </c>
      <c r="AP272" s="28" t="str">
        <f>IF(AG272&lt;&gt;"",ROUND(AG272/SI!$C$9,2),"")</f>
        <v/>
      </c>
      <c r="AQ272" s="4" t="str">
        <f>IF(AH272&lt;&gt;"",ROUND(AH272/SI!$C$9,2),"")</f>
        <v/>
      </c>
      <c r="AR272" s="29" t="str">
        <f>IF(AI272&lt;&gt;"",ROUND(AI272/SI!$C$9,2),"")</f>
        <v/>
      </c>
      <c r="AS272" s="4" t="str">
        <f t="shared" si="121"/>
        <v/>
      </c>
      <c r="AT272" s="4" t="str">
        <f t="shared" si="122"/>
        <v/>
      </c>
      <c r="AU272" s="4" t="str">
        <f>IF(AL272&lt;&gt;"",ROUND(AL272/SI!$C$9,2),"")</f>
        <v/>
      </c>
      <c r="AV272" s="4" t="str">
        <f>IF(AM272&lt;&gt;"",ROUND(AM272/SI!$C$9,2),"")</f>
        <v/>
      </c>
      <c r="AW272" s="4" t="str">
        <f>IF(AN272&lt;&gt;"",ROUND(AN272/SI!$C$9,2),"")</f>
        <v/>
      </c>
      <c r="AX272" s="261" t="str">
        <f>IF(AO272&lt;&gt;"",ROUND(AO272/SI!$C$9,2),"")</f>
        <v/>
      </c>
      <c r="AY272" s="28" t="str">
        <f t="shared" si="123"/>
        <v/>
      </c>
      <c r="AZ272" s="4" t="str">
        <f>IF(AY272&lt;&gt;"",ROUND(AY272/(SI!$C$9*SI!$C$10),2),"")</f>
        <v/>
      </c>
      <c r="BA272" s="4" t="str">
        <f t="shared" si="124"/>
        <v/>
      </c>
      <c r="BB272" s="4" t="str">
        <f t="shared" si="125"/>
        <v/>
      </c>
      <c r="BC272" s="4" t="str">
        <f t="shared" si="126"/>
        <v/>
      </c>
      <c r="BD272" s="4" t="str">
        <f t="shared" si="127"/>
        <v/>
      </c>
      <c r="BE272" s="4" t="str">
        <f>IF(AND(X272&lt;&gt;""),ROUND(X272/SI!$C$10,2),"")</f>
        <v/>
      </c>
      <c r="BF272" s="4" t="str">
        <f t="shared" si="129"/>
        <v/>
      </c>
      <c r="BG272" s="264" t="str">
        <f t="shared" si="128"/>
        <v/>
      </c>
      <c r="BH272" s="71" t="str">
        <f>IF(F272&lt;&gt;"",VLOOKUP(F272,DUTY_2025!A:O,15,FALSE),"")</f>
        <v/>
      </c>
    </row>
    <row r="273" spans="1:60" x14ac:dyDescent="0.25">
      <c r="A273" s="133">
        <f t="shared" si="104"/>
        <v>66</v>
      </c>
      <c r="B273" s="83" t="str">
        <f t="shared" si="105"/>
        <v/>
      </c>
      <c r="C273" s="126"/>
      <c r="D273" s="130"/>
      <c r="E273" s="22"/>
      <c r="F273" s="85"/>
      <c r="G273" s="27" t="str">
        <f>IF(F273&lt;&gt;"",IFERROR(VLOOKUP(F273,DUTY_2025!A:I,6,FALSE),""),"")</f>
        <v/>
      </c>
      <c r="H273" s="85" t="s">
        <v>133</v>
      </c>
      <c r="I273" s="27" t="str">
        <f>IF(F273&lt;&gt;"",IFERROR(VLOOKUP(F273,DUTY_2025!A:H,2,FALSE),""),"")</f>
        <v/>
      </c>
      <c r="J273" s="98"/>
      <c r="K273" s="98"/>
      <c r="L273" s="22"/>
      <c r="M273" s="22"/>
      <c r="N273" s="84"/>
      <c r="O273" s="22"/>
      <c r="P273" s="116"/>
      <c r="Q273" s="23"/>
      <c r="R273" s="27"/>
      <c r="S273" s="86" t="str">
        <f t="shared" si="106"/>
        <v/>
      </c>
      <c r="T273" s="87" t="str">
        <f t="shared" si="107"/>
        <v/>
      </c>
      <c r="U273" s="87" t="str" cm="1">
        <f t="array" ref="U273">IF(AND(H273&lt;&gt;"YES",P273&lt;&gt;"",R273&lt;&gt;"",Q273&lt;&gt;""),
_xlfn.SWITCH(Q273,
"INR",_xlfn.SWITCH(R273,"KG",P273*S273,"CTN",P273,"UNIT",P273*N273,"NET",P273/M273,0),
"USD",_xlfn.SWITCH(R273,"KG",P273*S273*SI!$C$10,"CTN",P273*SI!$C$10,"UNIT",P273*N273*SI!$C$10,"NET",P273*SI!$C$10/M273,0),
"LKR",_xlfn.SWITCH(R273,"KG",P273*S273/SI!$C$9,"CTN",P273/SI!$C$9,"UNIT",P273*N273/SI!$C$9,"NET",P273/(M273*SI!$C$9),0),
0),
"")</f>
        <v/>
      </c>
      <c r="V273" s="87" t="str">
        <f t="shared" si="108"/>
        <v/>
      </c>
      <c r="W273" s="87" t="str">
        <f t="shared" si="109"/>
        <v/>
      </c>
      <c r="X273" s="88" t="str">
        <f t="shared" si="110"/>
        <v/>
      </c>
      <c r="Y273" s="24" t="str">
        <f t="shared" si="111"/>
        <v/>
      </c>
      <c r="Z273" s="267" t="str">
        <f>IF(AND(H273&lt;&gt;"yes",F273&lt;&gt;""),IFERROR(VLOOKUP(F273,DUTY_2025!A:F,5,FALSE),""),"")</f>
        <v/>
      </c>
      <c r="AA273" s="271" t="str">
        <f t="shared" si="112"/>
        <v/>
      </c>
      <c r="AB273" s="16" t="str">
        <f t="shared" si="113"/>
        <v/>
      </c>
      <c r="AC273" s="16" t="str">
        <f>IF(AA273&lt;&gt;"",ROUND(AA273*SI!$C$9,0),"")</f>
        <v/>
      </c>
      <c r="AD273" s="4" t="str">
        <f>IF(AC273&lt;&gt;"",ROUND(AC273/(SI!$C$9*SI!$C$10),2),"")</f>
        <v/>
      </c>
      <c r="AE273" s="30" t="str">
        <f>IF(AND(X273&lt;&gt;""), ROUND((SI!$E$23)*(X273/SUM($X$5:$X$493)),0),"")</f>
        <v/>
      </c>
      <c r="AF273" s="272" t="str">
        <f t="shared" si="114"/>
        <v/>
      </c>
      <c r="AG273" s="28" t="str">
        <f t="shared" si="115"/>
        <v/>
      </c>
      <c r="AH273" s="4" t="str">
        <f>IF(AD273&lt;&gt;"",ROUND(AD273*10*SI!$C$9/2,0),"")</f>
        <v/>
      </c>
      <c r="AI273" s="29" t="str">
        <f>IF(AND(X273&lt;&gt;""), ROUND((SI!$E$28)*(X273/SUM($X$5:$X$493)),0),"")</f>
        <v/>
      </c>
      <c r="AJ273" s="4" t="str">
        <f t="shared" si="116"/>
        <v/>
      </c>
      <c r="AK273" s="4" t="str">
        <f t="shared" si="117"/>
        <v/>
      </c>
      <c r="AL273" s="4" t="str">
        <f t="shared" si="118"/>
        <v/>
      </c>
      <c r="AM273" s="4" t="str">
        <f t="shared" si="119"/>
        <v/>
      </c>
      <c r="AN273" s="195" t="str">
        <f t="shared" si="120"/>
        <v/>
      </c>
      <c r="AO273" s="261" t="str">
        <f>IF(AND(AM273&lt;&gt;"",P273&lt;&gt;""),ROUND((AM273*((100+SI!$C$11)/100)),0),"")</f>
        <v/>
      </c>
      <c r="AP273" s="28" t="str">
        <f>IF(AG273&lt;&gt;"",ROUND(AG273/SI!$C$9,2),"")</f>
        <v/>
      </c>
      <c r="AQ273" s="4" t="str">
        <f>IF(AH273&lt;&gt;"",ROUND(AH273/SI!$C$9,2),"")</f>
        <v/>
      </c>
      <c r="AR273" s="29" t="str">
        <f>IF(AI273&lt;&gt;"",ROUND(AI273/SI!$C$9,2),"")</f>
        <v/>
      </c>
      <c r="AS273" s="4" t="str">
        <f t="shared" si="121"/>
        <v/>
      </c>
      <c r="AT273" s="4" t="str">
        <f t="shared" si="122"/>
        <v/>
      </c>
      <c r="AU273" s="4" t="str">
        <f>IF(AL273&lt;&gt;"",ROUND(AL273/SI!$C$9,2),"")</f>
        <v/>
      </c>
      <c r="AV273" s="4" t="str">
        <f>IF(AM273&lt;&gt;"",ROUND(AM273/SI!$C$9,2),"")</f>
        <v/>
      </c>
      <c r="AW273" s="4" t="str">
        <f>IF(AN273&lt;&gt;"",ROUND(AN273/SI!$C$9,2),"")</f>
        <v/>
      </c>
      <c r="AX273" s="261" t="str">
        <f>IF(AO273&lt;&gt;"",ROUND(AO273/SI!$C$9,2),"")</f>
        <v/>
      </c>
      <c r="AY273" s="28" t="str">
        <f t="shared" si="123"/>
        <v/>
      </c>
      <c r="AZ273" s="4" t="str">
        <f>IF(AY273&lt;&gt;"",ROUND(AY273/(SI!$C$9*SI!$C$10),2),"")</f>
        <v/>
      </c>
      <c r="BA273" s="4" t="str">
        <f t="shared" si="124"/>
        <v/>
      </c>
      <c r="BB273" s="4" t="str">
        <f t="shared" si="125"/>
        <v/>
      </c>
      <c r="BC273" s="4" t="str">
        <f t="shared" si="126"/>
        <v/>
      </c>
      <c r="BD273" s="4" t="str">
        <f t="shared" si="127"/>
        <v/>
      </c>
      <c r="BE273" s="4" t="str">
        <f>IF(AND(X273&lt;&gt;""),ROUND(X273/SI!$C$10,2),"")</f>
        <v/>
      </c>
      <c r="BF273" s="4" t="str">
        <f t="shared" si="129"/>
        <v/>
      </c>
      <c r="BG273" s="264" t="str">
        <f t="shared" si="128"/>
        <v/>
      </c>
      <c r="BH273" s="71" t="str">
        <f>IF(F273&lt;&gt;"",VLOOKUP(F273,DUTY_2025!A:O,15,FALSE),"")</f>
        <v/>
      </c>
    </row>
    <row r="274" spans="1:60" x14ac:dyDescent="0.25">
      <c r="A274" s="133">
        <f t="shared" si="104"/>
        <v>66</v>
      </c>
      <c r="B274" s="83" t="str">
        <f t="shared" si="105"/>
        <v/>
      </c>
      <c r="C274" s="126"/>
      <c r="D274" s="130"/>
      <c r="E274" s="22"/>
      <c r="F274" s="85"/>
      <c r="G274" s="27" t="str">
        <f>IF(F274&lt;&gt;"",IFERROR(VLOOKUP(F274,DUTY_2025!A:I,6,FALSE),""),"")</f>
        <v/>
      </c>
      <c r="H274" s="85" t="s">
        <v>133</v>
      </c>
      <c r="I274" s="27" t="str">
        <f>IF(F274&lt;&gt;"",IFERROR(VLOOKUP(F274,DUTY_2025!A:H,2,FALSE),""),"")</f>
        <v/>
      </c>
      <c r="J274" s="98"/>
      <c r="K274" s="98"/>
      <c r="L274" s="22"/>
      <c r="M274" s="22"/>
      <c r="N274" s="84"/>
      <c r="O274" s="22"/>
      <c r="P274" s="116"/>
      <c r="Q274" s="23"/>
      <c r="R274" s="27"/>
      <c r="S274" s="86" t="str">
        <f t="shared" si="106"/>
        <v/>
      </c>
      <c r="T274" s="87" t="str">
        <f t="shared" si="107"/>
        <v/>
      </c>
      <c r="U274" s="87" t="str" cm="1">
        <f t="array" ref="U274">IF(AND(H274&lt;&gt;"YES",P274&lt;&gt;"",R274&lt;&gt;"",Q274&lt;&gt;""),
_xlfn.SWITCH(Q274,
"INR",_xlfn.SWITCH(R274,"KG",P274*S274,"CTN",P274,"UNIT",P274*N274,"NET",P274/M274,0),
"USD",_xlfn.SWITCH(R274,"KG",P274*S274*SI!$C$10,"CTN",P274*SI!$C$10,"UNIT",P274*N274*SI!$C$10,"NET",P274*SI!$C$10/M274,0),
"LKR",_xlfn.SWITCH(R274,"KG",P274*S274/SI!$C$9,"CTN",P274/SI!$C$9,"UNIT",P274*N274/SI!$C$9,"NET",P274/(M274*SI!$C$9),0),
0),
"")</f>
        <v/>
      </c>
      <c r="V274" s="87" t="str">
        <f t="shared" si="108"/>
        <v/>
      </c>
      <c r="W274" s="87" t="str">
        <f t="shared" si="109"/>
        <v/>
      </c>
      <c r="X274" s="88" t="str">
        <f t="shared" si="110"/>
        <v/>
      </c>
      <c r="Y274" s="24" t="str">
        <f t="shared" si="111"/>
        <v/>
      </c>
      <c r="Z274" s="267" t="str">
        <f>IF(AND(H274&lt;&gt;"yes",F274&lt;&gt;""),IFERROR(VLOOKUP(F274,DUTY_2025!A:F,5,FALSE),""),"")</f>
        <v/>
      </c>
      <c r="AA274" s="271" t="str">
        <f t="shared" si="112"/>
        <v/>
      </c>
      <c r="AB274" s="16" t="str">
        <f t="shared" si="113"/>
        <v/>
      </c>
      <c r="AC274" s="16" t="str">
        <f>IF(AA274&lt;&gt;"",ROUND(AA274*SI!$C$9,0),"")</f>
        <v/>
      </c>
      <c r="AD274" s="4" t="str">
        <f>IF(AC274&lt;&gt;"",ROUND(AC274/(SI!$C$9*SI!$C$10),2),"")</f>
        <v/>
      </c>
      <c r="AE274" s="30" t="str">
        <f>IF(AND(X274&lt;&gt;""), ROUND((SI!$E$23)*(X274/SUM($X$5:$X$493)),0),"")</f>
        <v/>
      </c>
      <c r="AF274" s="272" t="str">
        <f t="shared" si="114"/>
        <v/>
      </c>
      <c r="AG274" s="28" t="str">
        <f t="shared" si="115"/>
        <v/>
      </c>
      <c r="AH274" s="4" t="str">
        <f>IF(AD274&lt;&gt;"",ROUND(AD274*10*SI!$C$9/2,0),"")</f>
        <v/>
      </c>
      <c r="AI274" s="29" t="str">
        <f>IF(AND(X274&lt;&gt;""), ROUND((SI!$E$28)*(X274/SUM($X$5:$X$493)),0),"")</f>
        <v/>
      </c>
      <c r="AJ274" s="4" t="str">
        <f t="shared" si="116"/>
        <v/>
      </c>
      <c r="AK274" s="4" t="str">
        <f t="shared" si="117"/>
        <v/>
      </c>
      <c r="AL274" s="4" t="str">
        <f t="shared" si="118"/>
        <v/>
      </c>
      <c r="AM274" s="4" t="str">
        <f t="shared" si="119"/>
        <v/>
      </c>
      <c r="AN274" s="195" t="str">
        <f t="shared" si="120"/>
        <v/>
      </c>
      <c r="AO274" s="261" t="str">
        <f>IF(AND(AM274&lt;&gt;"",P274&lt;&gt;""),ROUND((AM274*((100+SI!$C$11)/100)),0),"")</f>
        <v/>
      </c>
      <c r="AP274" s="28" t="str">
        <f>IF(AG274&lt;&gt;"",ROUND(AG274/SI!$C$9,2),"")</f>
        <v/>
      </c>
      <c r="AQ274" s="4" t="str">
        <f>IF(AH274&lt;&gt;"",ROUND(AH274/SI!$C$9,2),"")</f>
        <v/>
      </c>
      <c r="AR274" s="29" t="str">
        <f>IF(AI274&lt;&gt;"",ROUND(AI274/SI!$C$9,2),"")</f>
        <v/>
      </c>
      <c r="AS274" s="4" t="str">
        <f t="shared" si="121"/>
        <v/>
      </c>
      <c r="AT274" s="4" t="str">
        <f t="shared" si="122"/>
        <v/>
      </c>
      <c r="AU274" s="4" t="str">
        <f>IF(AL274&lt;&gt;"",ROUND(AL274/SI!$C$9,2),"")</f>
        <v/>
      </c>
      <c r="AV274" s="4" t="str">
        <f>IF(AM274&lt;&gt;"",ROUND(AM274/SI!$C$9,2),"")</f>
        <v/>
      </c>
      <c r="AW274" s="4" t="str">
        <f>IF(AN274&lt;&gt;"",ROUND(AN274/SI!$C$9,2),"")</f>
        <v/>
      </c>
      <c r="AX274" s="261" t="str">
        <f>IF(AO274&lt;&gt;"",ROUND(AO274/SI!$C$9,2),"")</f>
        <v/>
      </c>
      <c r="AY274" s="28" t="str">
        <f t="shared" si="123"/>
        <v/>
      </c>
      <c r="AZ274" s="4" t="str">
        <f>IF(AY274&lt;&gt;"",ROUND(AY274/(SI!$C$9*SI!$C$10),2),"")</f>
        <v/>
      </c>
      <c r="BA274" s="4" t="str">
        <f t="shared" si="124"/>
        <v/>
      </c>
      <c r="BB274" s="4" t="str">
        <f t="shared" si="125"/>
        <v/>
      </c>
      <c r="BC274" s="4" t="str">
        <f t="shared" si="126"/>
        <v/>
      </c>
      <c r="BD274" s="4" t="str">
        <f t="shared" si="127"/>
        <v/>
      </c>
      <c r="BE274" s="4" t="str">
        <f>IF(AND(X274&lt;&gt;""),ROUND(X274/SI!$C$10,2),"")</f>
        <v/>
      </c>
      <c r="BF274" s="4" t="str">
        <f t="shared" si="129"/>
        <v/>
      </c>
      <c r="BG274" s="264" t="str">
        <f t="shared" si="128"/>
        <v/>
      </c>
      <c r="BH274" s="71" t="str">
        <f>IF(F274&lt;&gt;"",VLOOKUP(F274,DUTY_2025!A:O,15,FALSE),"")</f>
        <v/>
      </c>
    </row>
    <row r="275" spans="1:60" x14ac:dyDescent="0.25">
      <c r="A275" s="133">
        <f t="shared" si="104"/>
        <v>66</v>
      </c>
      <c r="B275" s="83" t="str">
        <f t="shared" si="105"/>
        <v/>
      </c>
      <c r="C275" s="126"/>
      <c r="D275" s="130"/>
      <c r="E275" s="22"/>
      <c r="F275" s="85"/>
      <c r="G275" s="27" t="str">
        <f>IF(F275&lt;&gt;"",IFERROR(VLOOKUP(F275,DUTY_2025!A:I,6,FALSE),""),"")</f>
        <v/>
      </c>
      <c r="H275" s="85" t="s">
        <v>133</v>
      </c>
      <c r="I275" s="27" t="str">
        <f>IF(F275&lt;&gt;"",IFERROR(VLOOKUP(F275,DUTY_2025!A:H,2,FALSE),""),"")</f>
        <v/>
      </c>
      <c r="J275" s="98"/>
      <c r="K275" s="98"/>
      <c r="L275" s="22"/>
      <c r="M275" s="22"/>
      <c r="N275" s="84"/>
      <c r="O275" s="22"/>
      <c r="P275" s="116"/>
      <c r="Q275" s="23"/>
      <c r="R275" s="27"/>
      <c r="S275" s="86" t="str">
        <f t="shared" si="106"/>
        <v/>
      </c>
      <c r="T275" s="87" t="str">
        <f t="shared" si="107"/>
        <v/>
      </c>
      <c r="U275" s="87" t="str" cm="1">
        <f t="array" ref="U275">IF(AND(H275&lt;&gt;"YES",P275&lt;&gt;"",R275&lt;&gt;"",Q275&lt;&gt;""),
_xlfn.SWITCH(Q275,
"INR",_xlfn.SWITCH(R275,"KG",P275*S275,"CTN",P275,"UNIT",P275*N275,"NET",P275/M275,0),
"USD",_xlfn.SWITCH(R275,"KG",P275*S275*SI!$C$10,"CTN",P275*SI!$C$10,"UNIT",P275*N275*SI!$C$10,"NET",P275*SI!$C$10/M275,0),
"LKR",_xlfn.SWITCH(R275,"KG",P275*S275/SI!$C$9,"CTN",P275/SI!$C$9,"UNIT",P275*N275/SI!$C$9,"NET",P275/(M275*SI!$C$9),0),
0),
"")</f>
        <v/>
      </c>
      <c r="V275" s="87" t="str">
        <f t="shared" si="108"/>
        <v/>
      </c>
      <c r="W275" s="87" t="str">
        <f t="shared" si="109"/>
        <v/>
      </c>
      <c r="X275" s="88" t="str">
        <f t="shared" si="110"/>
        <v/>
      </c>
      <c r="Y275" s="24" t="str">
        <f t="shared" si="111"/>
        <v/>
      </c>
      <c r="Z275" s="267" t="str">
        <f>IF(AND(H275&lt;&gt;"yes",F275&lt;&gt;""),IFERROR(VLOOKUP(F275,DUTY_2025!A:F,5,FALSE),""),"")</f>
        <v/>
      </c>
      <c r="AA275" s="271" t="str">
        <f t="shared" si="112"/>
        <v/>
      </c>
      <c r="AB275" s="16" t="str">
        <f t="shared" si="113"/>
        <v/>
      </c>
      <c r="AC275" s="16" t="str">
        <f>IF(AA275&lt;&gt;"",ROUND(AA275*SI!$C$9,0),"")</f>
        <v/>
      </c>
      <c r="AD275" s="4" t="str">
        <f>IF(AC275&lt;&gt;"",ROUND(AC275/(SI!$C$9*SI!$C$10),2),"")</f>
        <v/>
      </c>
      <c r="AE275" s="30" t="str">
        <f>IF(AND(X275&lt;&gt;""), ROUND((SI!$E$23)*(X275/SUM($X$5:$X$493)),0),"")</f>
        <v/>
      </c>
      <c r="AF275" s="272" t="str">
        <f t="shared" si="114"/>
        <v/>
      </c>
      <c r="AG275" s="28" t="str">
        <f t="shared" si="115"/>
        <v/>
      </c>
      <c r="AH275" s="4" t="str">
        <f>IF(AD275&lt;&gt;"",ROUND(AD275*10*SI!$C$9/2,0),"")</f>
        <v/>
      </c>
      <c r="AI275" s="29" t="str">
        <f>IF(AND(X275&lt;&gt;""), ROUND((SI!$E$28)*(X275/SUM($X$5:$X$493)),0),"")</f>
        <v/>
      </c>
      <c r="AJ275" s="4" t="str">
        <f t="shared" si="116"/>
        <v/>
      </c>
      <c r="AK275" s="4" t="str">
        <f t="shared" si="117"/>
        <v/>
      </c>
      <c r="AL275" s="4" t="str">
        <f t="shared" si="118"/>
        <v/>
      </c>
      <c r="AM275" s="4" t="str">
        <f t="shared" si="119"/>
        <v/>
      </c>
      <c r="AN275" s="195" t="str">
        <f t="shared" si="120"/>
        <v/>
      </c>
      <c r="AO275" s="261" t="str">
        <f>IF(AND(AM275&lt;&gt;"",P275&lt;&gt;""),ROUND((AM275*((100+SI!$C$11)/100)),0),"")</f>
        <v/>
      </c>
      <c r="AP275" s="28" t="str">
        <f>IF(AG275&lt;&gt;"",ROUND(AG275/SI!$C$9,2),"")</f>
        <v/>
      </c>
      <c r="AQ275" s="4" t="str">
        <f>IF(AH275&lt;&gt;"",ROUND(AH275/SI!$C$9,2),"")</f>
        <v/>
      </c>
      <c r="AR275" s="29" t="str">
        <f>IF(AI275&lt;&gt;"",ROUND(AI275/SI!$C$9,2),"")</f>
        <v/>
      </c>
      <c r="AS275" s="4" t="str">
        <f t="shared" si="121"/>
        <v/>
      </c>
      <c r="AT275" s="4" t="str">
        <f t="shared" si="122"/>
        <v/>
      </c>
      <c r="AU275" s="4" t="str">
        <f>IF(AL275&lt;&gt;"",ROUND(AL275/SI!$C$9,2),"")</f>
        <v/>
      </c>
      <c r="AV275" s="4" t="str">
        <f>IF(AM275&lt;&gt;"",ROUND(AM275/SI!$C$9,2),"")</f>
        <v/>
      </c>
      <c r="AW275" s="4" t="str">
        <f>IF(AN275&lt;&gt;"",ROUND(AN275/SI!$C$9,2),"")</f>
        <v/>
      </c>
      <c r="AX275" s="261" t="str">
        <f>IF(AO275&lt;&gt;"",ROUND(AO275/SI!$C$9,2),"")</f>
        <v/>
      </c>
      <c r="AY275" s="28" t="str">
        <f t="shared" si="123"/>
        <v/>
      </c>
      <c r="AZ275" s="4" t="str">
        <f>IF(AY275&lt;&gt;"",ROUND(AY275/(SI!$C$9*SI!$C$10),2),"")</f>
        <v/>
      </c>
      <c r="BA275" s="4" t="str">
        <f t="shared" si="124"/>
        <v/>
      </c>
      <c r="BB275" s="4" t="str">
        <f t="shared" si="125"/>
        <v/>
      </c>
      <c r="BC275" s="4" t="str">
        <f t="shared" si="126"/>
        <v/>
      </c>
      <c r="BD275" s="4" t="str">
        <f t="shared" si="127"/>
        <v/>
      </c>
      <c r="BE275" s="4" t="str">
        <f>IF(AND(X275&lt;&gt;""),ROUND(X275/SI!$C$10,2),"")</f>
        <v/>
      </c>
      <c r="BF275" s="4" t="str">
        <f t="shared" si="129"/>
        <v/>
      </c>
      <c r="BG275" s="264" t="str">
        <f t="shared" si="128"/>
        <v/>
      </c>
      <c r="BH275" s="71" t="str">
        <f>IF(F275&lt;&gt;"",VLOOKUP(F275,DUTY_2025!A:O,15,FALSE),"")</f>
        <v/>
      </c>
    </row>
    <row r="276" spans="1:60" x14ac:dyDescent="0.25">
      <c r="A276" s="133">
        <f t="shared" si="104"/>
        <v>66</v>
      </c>
      <c r="B276" s="83" t="str">
        <f t="shared" si="105"/>
        <v/>
      </c>
      <c r="C276" s="126"/>
      <c r="D276" s="130"/>
      <c r="E276" s="22"/>
      <c r="F276" s="85"/>
      <c r="G276" s="27" t="str">
        <f>IF(F276&lt;&gt;"",IFERROR(VLOOKUP(F276,DUTY_2025!A:I,6,FALSE),""),"")</f>
        <v/>
      </c>
      <c r="H276" s="85" t="s">
        <v>133</v>
      </c>
      <c r="I276" s="27" t="str">
        <f>IF(F276&lt;&gt;"",IFERROR(VLOOKUP(F276,DUTY_2025!A:H,2,FALSE),""),"")</f>
        <v/>
      </c>
      <c r="J276" s="98"/>
      <c r="K276" s="98"/>
      <c r="L276" s="22"/>
      <c r="M276" s="22"/>
      <c r="N276" s="84"/>
      <c r="O276" s="22"/>
      <c r="P276" s="116"/>
      <c r="Q276" s="23"/>
      <c r="R276" s="27"/>
      <c r="S276" s="86" t="str">
        <f t="shared" si="106"/>
        <v/>
      </c>
      <c r="T276" s="87" t="str">
        <f t="shared" si="107"/>
        <v/>
      </c>
      <c r="U276" s="87" t="str" cm="1">
        <f t="array" ref="U276">IF(AND(H276&lt;&gt;"YES",P276&lt;&gt;"",R276&lt;&gt;"",Q276&lt;&gt;""),
_xlfn.SWITCH(Q276,
"INR",_xlfn.SWITCH(R276,"KG",P276*S276,"CTN",P276,"UNIT",P276*N276,"NET",P276/M276,0),
"USD",_xlfn.SWITCH(R276,"KG",P276*S276*SI!$C$10,"CTN",P276*SI!$C$10,"UNIT",P276*N276*SI!$C$10,"NET",P276*SI!$C$10/M276,0),
"LKR",_xlfn.SWITCH(R276,"KG",P276*S276/SI!$C$9,"CTN",P276/SI!$C$9,"UNIT",P276*N276/SI!$C$9,"NET",P276/(M276*SI!$C$9),0),
0),
"")</f>
        <v/>
      </c>
      <c r="V276" s="87" t="str">
        <f t="shared" si="108"/>
        <v/>
      </c>
      <c r="W276" s="87" t="str">
        <f t="shared" si="109"/>
        <v/>
      </c>
      <c r="X276" s="88" t="str">
        <f t="shared" si="110"/>
        <v/>
      </c>
      <c r="Y276" s="24" t="str">
        <f t="shared" si="111"/>
        <v/>
      </c>
      <c r="Z276" s="267" t="str">
        <f>IF(AND(H276&lt;&gt;"yes",F276&lt;&gt;""),IFERROR(VLOOKUP(F276,DUTY_2025!A:F,5,FALSE),""),"")</f>
        <v/>
      </c>
      <c r="AA276" s="271" t="str">
        <f t="shared" si="112"/>
        <v/>
      </c>
      <c r="AB276" s="16" t="str">
        <f t="shared" si="113"/>
        <v/>
      </c>
      <c r="AC276" s="16" t="str">
        <f>IF(AA276&lt;&gt;"",ROUND(AA276*SI!$C$9,0),"")</f>
        <v/>
      </c>
      <c r="AD276" s="4" t="str">
        <f>IF(AC276&lt;&gt;"",ROUND(AC276/(SI!$C$9*SI!$C$10),2),"")</f>
        <v/>
      </c>
      <c r="AE276" s="30" t="str">
        <f>IF(AND(X276&lt;&gt;""), ROUND((SI!$E$23)*(X276/SUM($X$5:$X$493)),0),"")</f>
        <v/>
      </c>
      <c r="AF276" s="272" t="str">
        <f t="shared" si="114"/>
        <v/>
      </c>
      <c r="AG276" s="28" t="str">
        <f t="shared" si="115"/>
        <v/>
      </c>
      <c r="AH276" s="4" t="str">
        <f>IF(AD276&lt;&gt;"",ROUND(AD276*10*SI!$C$9/2,0),"")</f>
        <v/>
      </c>
      <c r="AI276" s="29" t="str">
        <f>IF(AND(X276&lt;&gt;""), ROUND((SI!$E$28)*(X276/SUM($X$5:$X$493)),0),"")</f>
        <v/>
      </c>
      <c r="AJ276" s="4" t="str">
        <f t="shared" si="116"/>
        <v/>
      </c>
      <c r="AK276" s="4" t="str">
        <f t="shared" si="117"/>
        <v/>
      </c>
      <c r="AL276" s="4" t="str">
        <f t="shared" si="118"/>
        <v/>
      </c>
      <c r="AM276" s="4" t="str">
        <f t="shared" si="119"/>
        <v/>
      </c>
      <c r="AN276" s="195" t="str">
        <f t="shared" si="120"/>
        <v/>
      </c>
      <c r="AO276" s="261" t="str">
        <f>IF(AND(AM276&lt;&gt;"",P276&lt;&gt;""),ROUND((AM276*((100+SI!$C$11)/100)),0),"")</f>
        <v/>
      </c>
      <c r="AP276" s="28" t="str">
        <f>IF(AG276&lt;&gt;"",ROUND(AG276/SI!$C$9,2),"")</f>
        <v/>
      </c>
      <c r="AQ276" s="4" t="str">
        <f>IF(AH276&lt;&gt;"",ROUND(AH276/SI!$C$9,2),"")</f>
        <v/>
      </c>
      <c r="AR276" s="29" t="str">
        <f>IF(AI276&lt;&gt;"",ROUND(AI276/SI!$C$9,2),"")</f>
        <v/>
      </c>
      <c r="AS276" s="4" t="str">
        <f t="shared" si="121"/>
        <v/>
      </c>
      <c r="AT276" s="4" t="str">
        <f t="shared" si="122"/>
        <v/>
      </c>
      <c r="AU276" s="4" t="str">
        <f>IF(AL276&lt;&gt;"",ROUND(AL276/SI!$C$9,2),"")</f>
        <v/>
      </c>
      <c r="AV276" s="4" t="str">
        <f>IF(AM276&lt;&gt;"",ROUND(AM276/SI!$C$9,2),"")</f>
        <v/>
      </c>
      <c r="AW276" s="4" t="str">
        <f>IF(AN276&lt;&gt;"",ROUND(AN276/SI!$C$9,2),"")</f>
        <v/>
      </c>
      <c r="AX276" s="261" t="str">
        <f>IF(AO276&lt;&gt;"",ROUND(AO276/SI!$C$9,2),"")</f>
        <v/>
      </c>
      <c r="AY276" s="28" t="str">
        <f t="shared" si="123"/>
        <v/>
      </c>
      <c r="AZ276" s="4" t="str">
        <f>IF(AY276&lt;&gt;"",ROUND(AY276/(SI!$C$9*SI!$C$10),2),"")</f>
        <v/>
      </c>
      <c r="BA276" s="4" t="str">
        <f t="shared" si="124"/>
        <v/>
      </c>
      <c r="BB276" s="4" t="str">
        <f t="shared" si="125"/>
        <v/>
      </c>
      <c r="BC276" s="4" t="str">
        <f t="shared" si="126"/>
        <v/>
      </c>
      <c r="BD276" s="4" t="str">
        <f t="shared" si="127"/>
        <v/>
      </c>
      <c r="BE276" s="4" t="str">
        <f>IF(AND(X276&lt;&gt;""),ROUND(X276/SI!$C$10,2),"")</f>
        <v/>
      </c>
      <c r="BF276" s="4" t="str">
        <f t="shared" si="129"/>
        <v/>
      </c>
      <c r="BG276" s="264" t="str">
        <f t="shared" si="128"/>
        <v/>
      </c>
      <c r="BH276" s="71" t="str">
        <f>IF(F276&lt;&gt;"",VLOOKUP(F276,DUTY_2025!A:O,15,FALSE),"")</f>
        <v/>
      </c>
    </row>
    <row r="277" spans="1:60" x14ac:dyDescent="0.25">
      <c r="A277" s="133">
        <f t="shared" si="104"/>
        <v>66</v>
      </c>
      <c r="B277" s="83" t="str">
        <f t="shared" si="105"/>
        <v/>
      </c>
      <c r="C277" s="126"/>
      <c r="D277" s="130"/>
      <c r="E277" s="22"/>
      <c r="F277" s="85"/>
      <c r="G277" s="27" t="str">
        <f>IF(F277&lt;&gt;"",IFERROR(VLOOKUP(F277,DUTY_2025!A:I,6,FALSE),""),"")</f>
        <v/>
      </c>
      <c r="H277" s="85" t="s">
        <v>133</v>
      </c>
      <c r="I277" s="27" t="str">
        <f>IF(F277&lt;&gt;"",IFERROR(VLOOKUP(F277,DUTY_2025!A:H,2,FALSE),""),"")</f>
        <v/>
      </c>
      <c r="J277" s="98"/>
      <c r="K277" s="98"/>
      <c r="L277" s="22"/>
      <c r="M277" s="22"/>
      <c r="N277" s="84"/>
      <c r="O277" s="22"/>
      <c r="P277" s="116"/>
      <c r="Q277" s="23"/>
      <c r="R277" s="27"/>
      <c r="S277" s="86" t="str">
        <f t="shared" si="106"/>
        <v/>
      </c>
      <c r="T277" s="87" t="str">
        <f t="shared" si="107"/>
        <v/>
      </c>
      <c r="U277" s="87" t="str" cm="1">
        <f t="array" ref="U277">IF(AND(H277&lt;&gt;"YES",P277&lt;&gt;"",R277&lt;&gt;"",Q277&lt;&gt;""),
_xlfn.SWITCH(Q277,
"INR",_xlfn.SWITCH(R277,"KG",P277*S277,"CTN",P277,"UNIT",P277*N277,"NET",P277/M277,0),
"USD",_xlfn.SWITCH(R277,"KG",P277*S277*SI!$C$10,"CTN",P277*SI!$C$10,"UNIT",P277*N277*SI!$C$10,"NET",P277*SI!$C$10/M277,0),
"LKR",_xlfn.SWITCH(R277,"KG",P277*S277/SI!$C$9,"CTN",P277/SI!$C$9,"UNIT",P277*N277/SI!$C$9,"NET",P277/(M277*SI!$C$9),0),
0),
"")</f>
        <v/>
      </c>
      <c r="V277" s="87" t="str">
        <f t="shared" si="108"/>
        <v/>
      </c>
      <c r="W277" s="87" t="str">
        <f t="shared" si="109"/>
        <v/>
      </c>
      <c r="X277" s="88" t="str">
        <f t="shared" si="110"/>
        <v/>
      </c>
      <c r="Y277" s="24" t="str">
        <f t="shared" si="111"/>
        <v/>
      </c>
      <c r="Z277" s="267" t="str">
        <f>IF(AND(H277&lt;&gt;"yes",F277&lt;&gt;""),IFERROR(VLOOKUP(F277,DUTY_2025!A:F,5,FALSE),""),"")</f>
        <v/>
      </c>
      <c r="AA277" s="271" t="str">
        <f t="shared" si="112"/>
        <v/>
      </c>
      <c r="AB277" s="16" t="str">
        <f t="shared" si="113"/>
        <v/>
      </c>
      <c r="AC277" s="16" t="str">
        <f>IF(AA277&lt;&gt;"",ROUND(AA277*SI!$C$9,0),"")</f>
        <v/>
      </c>
      <c r="AD277" s="4" t="str">
        <f>IF(AC277&lt;&gt;"",ROUND(AC277/(SI!$C$9*SI!$C$10),2),"")</f>
        <v/>
      </c>
      <c r="AE277" s="30" t="str">
        <f>IF(AND(X277&lt;&gt;""), ROUND((SI!$E$23)*(X277/SUM($X$5:$X$493)),0),"")</f>
        <v/>
      </c>
      <c r="AF277" s="272" t="str">
        <f t="shared" si="114"/>
        <v/>
      </c>
      <c r="AG277" s="28" t="str">
        <f t="shared" si="115"/>
        <v/>
      </c>
      <c r="AH277" s="4" t="str">
        <f>IF(AD277&lt;&gt;"",ROUND(AD277*10*SI!$C$9/2,0),"")</f>
        <v/>
      </c>
      <c r="AI277" s="29" t="str">
        <f>IF(AND(X277&lt;&gt;""), ROUND((SI!$E$28)*(X277/SUM($X$5:$X$493)),0),"")</f>
        <v/>
      </c>
      <c r="AJ277" s="4" t="str">
        <f t="shared" si="116"/>
        <v/>
      </c>
      <c r="AK277" s="4" t="str">
        <f t="shared" si="117"/>
        <v/>
      </c>
      <c r="AL277" s="4" t="str">
        <f t="shared" si="118"/>
        <v/>
      </c>
      <c r="AM277" s="4" t="str">
        <f t="shared" si="119"/>
        <v/>
      </c>
      <c r="AN277" s="195" t="str">
        <f t="shared" si="120"/>
        <v/>
      </c>
      <c r="AO277" s="261" t="str">
        <f>IF(AND(AM277&lt;&gt;"",P277&lt;&gt;""),ROUND((AM277*((100+SI!$C$11)/100)),0),"")</f>
        <v/>
      </c>
      <c r="AP277" s="28" t="str">
        <f>IF(AG277&lt;&gt;"",ROUND(AG277/SI!$C$9,2),"")</f>
        <v/>
      </c>
      <c r="AQ277" s="4" t="str">
        <f>IF(AH277&lt;&gt;"",ROUND(AH277/SI!$C$9,2),"")</f>
        <v/>
      </c>
      <c r="AR277" s="29" t="str">
        <f>IF(AI277&lt;&gt;"",ROUND(AI277/SI!$C$9,2),"")</f>
        <v/>
      </c>
      <c r="AS277" s="4" t="str">
        <f t="shared" si="121"/>
        <v/>
      </c>
      <c r="AT277" s="4" t="str">
        <f t="shared" si="122"/>
        <v/>
      </c>
      <c r="AU277" s="4" t="str">
        <f>IF(AL277&lt;&gt;"",ROUND(AL277/SI!$C$9,2),"")</f>
        <v/>
      </c>
      <c r="AV277" s="4" t="str">
        <f>IF(AM277&lt;&gt;"",ROUND(AM277/SI!$C$9,2),"")</f>
        <v/>
      </c>
      <c r="AW277" s="4" t="str">
        <f>IF(AN277&lt;&gt;"",ROUND(AN277/SI!$C$9,2),"")</f>
        <v/>
      </c>
      <c r="AX277" s="261" t="str">
        <f>IF(AO277&lt;&gt;"",ROUND(AO277/SI!$C$9,2),"")</f>
        <v/>
      </c>
      <c r="AY277" s="28" t="str">
        <f t="shared" si="123"/>
        <v/>
      </c>
      <c r="AZ277" s="4" t="str">
        <f>IF(AY277&lt;&gt;"",ROUND(AY277/(SI!$C$9*SI!$C$10),2),"")</f>
        <v/>
      </c>
      <c r="BA277" s="4" t="str">
        <f t="shared" si="124"/>
        <v/>
      </c>
      <c r="BB277" s="4" t="str">
        <f t="shared" si="125"/>
        <v/>
      </c>
      <c r="BC277" s="4" t="str">
        <f t="shared" si="126"/>
        <v/>
      </c>
      <c r="BD277" s="4" t="str">
        <f t="shared" si="127"/>
        <v/>
      </c>
      <c r="BE277" s="4" t="str">
        <f>IF(AND(X277&lt;&gt;""),ROUND(X277/SI!$C$10,2),"")</f>
        <v/>
      </c>
      <c r="BF277" s="4" t="str">
        <f t="shared" si="129"/>
        <v/>
      </c>
      <c r="BG277" s="264" t="str">
        <f t="shared" si="128"/>
        <v/>
      </c>
      <c r="BH277" s="71" t="str">
        <f>IF(F277&lt;&gt;"",VLOOKUP(F277,DUTY_2025!A:O,15,FALSE),"")</f>
        <v/>
      </c>
    </row>
    <row r="278" spans="1:60" x14ac:dyDescent="0.25">
      <c r="A278" s="133">
        <f t="shared" si="104"/>
        <v>66</v>
      </c>
      <c r="B278" s="83" t="str">
        <f t="shared" si="105"/>
        <v/>
      </c>
      <c r="C278" s="126"/>
      <c r="D278" s="130"/>
      <c r="E278" s="22"/>
      <c r="F278" s="85"/>
      <c r="G278" s="27" t="str">
        <f>IF(F278&lt;&gt;"",IFERROR(VLOOKUP(F278,DUTY_2025!A:I,6,FALSE),""),"")</f>
        <v/>
      </c>
      <c r="H278" s="85" t="s">
        <v>133</v>
      </c>
      <c r="I278" s="27" t="str">
        <f>IF(F278&lt;&gt;"",IFERROR(VLOOKUP(F278,DUTY_2025!A:H,2,FALSE),""),"")</f>
        <v/>
      </c>
      <c r="J278" s="98"/>
      <c r="K278" s="98"/>
      <c r="L278" s="22"/>
      <c r="M278" s="22"/>
      <c r="N278" s="84"/>
      <c r="O278" s="22"/>
      <c r="P278" s="116"/>
      <c r="Q278" s="23"/>
      <c r="R278" s="27"/>
      <c r="S278" s="86" t="str">
        <f t="shared" si="106"/>
        <v/>
      </c>
      <c r="T278" s="87" t="str">
        <f t="shared" si="107"/>
        <v/>
      </c>
      <c r="U278" s="87" t="str" cm="1">
        <f t="array" ref="U278">IF(AND(H278&lt;&gt;"YES",P278&lt;&gt;"",R278&lt;&gt;"",Q278&lt;&gt;""),
_xlfn.SWITCH(Q278,
"INR",_xlfn.SWITCH(R278,"KG",P278*S278,"CTN",P278,"UNIT",P278*N278,"NET",P278/M278,0),
"USD",_xlfn.SWITCH(R278,"KG",P278*S278*SI!$C$10,"CTN",P278*SI!$C$10,"UNIT",P278*N278*SI!$C$10,"NET",P278*SI!$C$10/M278,0),
"LKR",_xlfn.SWITCH(R278,"KG",P278*S278/SI!$C$9,"CTN",P278/SI!$C$9,"UNIT",P278*N278/SI!$C$9,"NET",P278/(M278*SI!$C$9),0),
0),
"")</f>
        <v/>
      </c>
      <c r="V278" s="87" t="str">
        <f t="shared" si="108"/>
        <v/>
      </c>
      <c r="W278" s="87" t="str">
        <f t="shared" si="109"/>
        <v/>
      </c>
      <c r="X278" s="88" t="str">
        <f t="shared" si="110"/>
        <v/>
      </c>
      <c r="Y278" s="24" t="str">
        <f t="shared" si="111"/>
        <v/>
      </c>
      <c r="Z278" s="267" t="str">
        <f>IF(AND(H278&lt;&gt;"yes",F278&lt;&gt;""),IFERROR(VLOOKUP(F278,DUTY_2025!A:F,5,FALSE),""),"")</f>
        <v/>
      </c>
      <c r="AA278" s="271" t="str">
        <f t="shared" si="112"/>
        <v/>
      </c>
      <c r="AB278" s="16" t="str">
        <f t="shared" si="113"/>
        <v/>
      </c>
      <c r="AC278" s="16" t="str">
        <f>IF(AA278&lt;&gt;"",ROUND(AA278*SI!$C$9,0),"")</f>
        <v/>
      </c>
      <c r="AD278" s="4" t="str">
        <f>IF(AC278&lt;&gt;"",ROUND(AC278/(SI!$C$9*SI!$C$10),2),"")</f>
        <v/>
      </c>
      <c r="AE278" s="30" t="str">
        <f>IF(AND(X278&lt;&gt;""), ROUND((SI!$E$23)*(X278/SUM($X$5:$X$493)),0),"")</f>
        <v/>
      </c>
      <c r="AF278" s="272" t="str">
        <f t="shared" si="114"/>
        <v/>
      </c>
      <c r="AG278" s="28" t="str">
        <f t="shared" si="115"/>
        <v/>
      </c>
      <c r="AH278" s="4" t="str">
        <f>IF(AD278&lt;&gt;"",ROUND(AD278*10*SI!$C$9/2,0),"")</f>
        <v/>
      </c>
      <c r="AI278" s="29" t="str">
        <f>IF(AND(X278&lt;&gt;""), ROUND((SI!$E$28)*(X278/SUM($X$5:$X$493)),0),"")</f>
        <v/>
      </c>
      <c r="AJ278" s="4" t="str">
        <f t="shared" si="116"/>
        <v/>
      </c>
      <c r="AK278" s="4" t="str">
        <f t="shared" si="117"/>
        <v/>
      </c>
      <c r="AL278" s="4" t="str">
        <f t="shared" si="118"/>
        <v/>
      </c>
      <c r="AM278" s="4" t="str">
        <f t="shared" si="119"/>
        <v/>
      </c>
      <c r="AN278" s="195" t="str">
        <f t="shared" si="120"/>
        <v/>
      </c>
      <c r="AO278" s="261" t="str">
        <f>IF(AND(AM278&lt;&gt;"",P278&lt;&gt;""),ROUND((AM278*((100+SI!$C$11)/100)),0),"")</f>
        <v/>
      </c>
      <c r="AP278" s="28" t="str">
        <f>IF(AG278&lt;&gt;"",ROUND(AG278/SI!$C$9,2),"")</f>
        <v/>
      </c>
      <c r="AQ278" s="4" t="str">
        <f>IF(AH278&lt;&gt;"",ROUND(AH278/SI!$C$9,2),"")</f>
        <v/>
      </c>
      <c r="AR278" s="29" t="str">
        <f>IF(AI278&lt;&gt;"",ROUND(AI278/SI!$C$9,2),"")</f>
        <v/>
      </c>
      <c r="AS278" s="4" t="str">
        <f t="shared" si="121"/>
        <v/>
      </c>
      <c r="AT278" s="4" t="str">
        <f t="shared" si="122"/>
        <v/>
      </c>
      <c r="AU278" s="4" t="str">
        <f>IF(AL278&lt;&gt;"",ROUND(AL278/SI!$C$9,2),"")</f>
        <v/>
      </c>
      <c r="AV278" s="4" t="str">
        <f>IF(AM278&lt;&gt;"",ROUND(AM278/SI!$C$9,2),"")</f>
        <v/>
      </c>
      <c r="AW278" s="4" t="str">
        <f>IF(AN278&lt;&gt;"",ROUND(AN278/SI!$C$9,2),"")</f>
        <v/>
      </c>
      <c r="AX278" s="261" t="str">
        <f>IF(AO278&lt;&gt;"",ROUND(AO278/SI!$C$9,2),"")</f>
        <v/>
      </c>
      <c r="AY278" s="28" t="str">
        <f t="shared" si="123"/>
        <v/>
      </c>
      <c r="AZ278" s="4" t="str">
        <f>IF(AY278&lt;&gt;"",ROUND(AY278/(SI!$C$9*SI!$C$10),2),"")</f>
        <v/>
      </c>
      <c r="BA278" s="4" t="str">
        <f t="shared" si="124"/>
        <v/>
      </c>
      <c r="BB278" s="4" t="str">
        <f t="shared" si="125"/>
        <v/>
      </c>
      <c r="BC278" s="4" t="str">
        <f t="shared" si="126"/>
        <v/>
      </c>
      <c r="BD278" s="4" t="str">
        <f t="shared" si="127"/>
        <v/>
      </c>
      <c r="BE278" s="4" t="str">
        <f>IF(AND(X278&lt;&gt;""),ROUND(X278/SI!$C$10,2),"")</f>
        <v/>
      </c>
      <c r="BF278" s="4" t="str">
        <f t="shared" si="129"/>
        <v/>
      </c>
      <c r="BG278" s="264" t="str">
        <f t="shared" si="128"/>
        <v/>
      </c>
      <c r="BH278" s="71" t="str">
        <f>IF(F278&lt;&gt;"",VLOOKUP(F278,DUTY_2025!A:O,15,FALSE),"")</f>
        <v/>
      </c>
    </row>
    <row r="279" spans="1:60" x14ac:dyDescent="0.25">
      <c r="A279" s="133">
        <f t="shared" si="104"/>
        <v>66</v>
      </c>
      <c r="B279" s="83" t="str">
        <f t="shared" si="105"/>
        <v/>
      </c>
      <c r="C279" s="126"/>
      <c r="D279" s="130"/>
      <c r="E279" s="22"/>
      <c r="F279" s="85"/>
      <c r="G279" s="27" t="str">
        <f>IF(F279&lt;&gt;"",IFERROR(VLOOKUP(F279,DUTY_2025!A:I,6,FALSE),""),"")</f>
        <v/>
      </c>
      <c r="H279" s="85" t="s">
        <v>133</v>
      </c>
      <c r="I279" s="27" t="str">
        <f>IF(F279&lt;&gt;"",IFERROR(VLOOKUP(F279,DUTY_2025!A:H,2,FALSE),""),"")</f>
        <v/>
      </c>
      <c r="J279" s="98"/>
      <c r="K279" s="98"/>
      <c r="L279" s="22"/>
      <c r="M279" s="22"/>
      <c r="N279" s="84"/>
      <c r="O279" s="22"/>
      <c r="P279" s="116"/>
      <c r="Q279" s="23"/>
      <c r="R279" s="27"/>
      <c r="S279" s="86" t="str">
        <f t="shared" si="106"/>
        <v/>
      </c>
      <c r="T279" s="87" t="str">
        <f t="shared" si="107"/>
        <v/>
      </c>
      <c r="U279" s="87" t="str" cm="1">
        <f t="array" ref="U279">IF(AND(H279&lt;&gt;"YES",P279&lt;&gt;"",R279&lt;&gt;"",Q279&lt;&gt;""),
_xlfn.SWITCH(Q279,
"INR",_xlfn.SWITCH(R279,"KG",P279*S279,"CTN",P279,"UNIT",P279*N279,"NET",P279/M279,0),
"USD",_xlfn.SWITCH(R279,"KG",P279*S279*SI!$C$10,"CTN",P279*SI!$C$10,"UNIT",P279*N279*SI!$C$10,"NET",P279*SI!$C$10/M279,0),
"LKR",_xlfn.SWITCH(R279,"KG",P279*S279/SI!$C$9,"CTN",P279/SI!$C$9,"UNIT",P279*N279/SI!$C$9,"NET",P279/(M279*SI!$C$9),0),
0),
"")</f>
        <v/>
      </c>
      <c r="V279" s="87" t="str">
        <f t="shared" si="108"/>
        <v/>
      </c>
      <c r="W279" s="87" t="str">
        <f t="shared" si="109"/>
        <v/>
      </c>
      <c r="X279" s="88" t="str">
        <f t="shared" si="110"/>
        <v/>
      </c>
      <c r="Y279" s="24" t="str">
        <f t="shared" si="111"/>
        <v/>
      </c>
      <c r="Z279" s="267" t="str">
        <f>IF(AND(H279&lt;&gt;"yes",F279&lt;&gt;""),IFERROR(VLOOKUP(F279,DUTY_2025!A:F,5,FALSE),""),"")</f>
        <v/>
      </c>
      <c r="AA279" s="271" t="str">
        <f t="shared" si="112"/>
        <v/>
      </c>
      <c r="AB279" s="16" t="str">
        <f t="shared" si="113"/>
        <v/>
      </c>
      <c r="AC279" s="16" t="str">
        <f>IF(AA279&lt;&gt;"",ROUND(AA279*SI!$C$9,0),"")</f>
        <v/>
      </c>
      <c r="AD279" s="4" t="str">
        <f>IF(AC279&lt;&gt;"",ROUND(AC279/(SI!$C$9*SI!$C$10),2),"")</f>
        <v/>
      </c>
      <c r="AE279" s="30" t="str">
        <f>IF(AND(X279&lt;&gt;""), ROUND((SI!$E$23)*(X279/SUM($X$5:$X$493)),0),"")</f>
        <v/>
      </c>
      <c r="AF279" s="272" t="str">
        <f t="shared" si="114"/>
        <v/>
      </c>
      <c r="AG279" s="28" t="str">
        <f t="shared" si="115"/>
        <v/>
      </c>
      <c r="AH279" s="4" t="str">
        <f>IF(AD279&lt;&gt;"",ROUND(AD279*10*SI!$C$9/2,0),"")</f>
        <v/>
      </c>
      <c r="AI279" s="29" t="str">
        <f>IF(AND(X279&lt;&gt;""), ROUND((SI!$E$28)*(X279/SUM($X$5:$X$493)),0),"")</f>
        <v/>
      </c>
      <c r="AJ279" s="4" t="str">
        <f t="shared" si="116"/>
        <v/>
      </c>
      <c r="AK279" s="4" t="str">
        <f t="shared" si="117"/>
        <v/>
      </c>
      <c r="AL279" s="4" t="str">
        <f t="shared" si="118"/>
        <v/>
      </c>
      <c r="AM279" s="4" t="str">
        <f t="shared" si="119"/>
        <v/>
      </c>
      <c r="AN279" s="195" t="str">
        <f t="shared" si="120"/>
        <v/>
      </c>
      <c r="AO279" s="261" t="str">
        <f>IF(AND(AM279&lt;&gt;"",P279&lt;&gt;""),ROUND((AM279*((100+SI!$C$11)/100)),0),"")</f>
        <v/>
      </c>
      <c r="AP279" s="28" t="str">
        <f>IF(AG279&lt;&gt;"",ROUND(AG279/SI!$C$9,2),"")</f>
        <v/>
      </c>
      <c r="AQ279" s="4" t="str">
        <f>IF(AH279&lt;&gt;"",ROUND(AH279/SI!$C$9,2),"")</f>
        <v/>
      </c>
      <c r="AR279" s="29" t="str">
        <f>IF(AI279&lt;&gt;"",ROUND(AI279/SI!$C$9,2),"")</f>
        <v/>
      </c>
      <c r="AS279" s="4" t="str">
        <f t="shared" si="121"/>
        <v/>
      </c>
      <c r="AT279" s="4" t="str">
        <f t="shared" si="122"/>
        <v/>
      </c>
      <c r="AU279" s="4" t="str">
        <f>IF(AL279&lt;&gt;"",ROUND(AL279/SI!$C$9,2),"")</f>
        <v/>
      </c>
      <c r="AV279" s="4" t="str">
        <f>IF(AM279&lt;&gt;"",ROUND(AM279/SI!$C$9,2),"")</f>
        <v/>
      </c>
      <c r="AW279" s="4" t="str">
        <f>IF(AN279&lt;&gt;"",ROUND(AN279/SI!$C$9,2),"")</f>
        <v/>
      </c>
      <c r="AX279" s="261" t="str">
        <f>IF(AO279&lt;&gt;"",ROUND(AO279/SI!$C$9,2),"")</f>
        <v/>
      </c>
      <c r="AY279" s="28" t="str">
        <f t="shared" si="123"/>
        <v/>
      </c>
      <c r="AZ279" s="4" t="str">
        <f>IF(AY279&lt;&gt;"",ROUND(AY279/(SI!$C$9*SI!$C$10),2),"")</f>
        <v/>
      </c>
      <c r="BA279" s="4" t="str">
        <f t="shared" si="124"/>
        <v/>
      </c>
      <c r="BB279" s="4" t="str">
        <f t="shared" si="125"/>
        <v/>
      </c>
      <c r="BC279" s="4" t="str">
        <f t="shared" si="126"/>
        <v/>
      </c>
      <c r="BD279" s="4" t="str">
        <f t="shared" si="127"/>
        <v/>
      </c>
      <c r="BE279" s="4" t="str">
        <f>IF(AND(X279&lt;&gt;""),ROUND(X279/SI!$C$10,2),"")</f>
        <v/>
      </c>
      <c r="BF279" s="4" t="str">
        <f t="shared" si="129"/>
        <v/>
      </c>
      <c r="BG279" s="264" t="str">
        <f t="shared" si="128"/>
        <v/>
      </c>
      <c r="BH279" s="71" t="str">
        <f>IF(F279&lt;&gt;"",VLOOKUP(F279,DUTY_2025!A:O,15,FALSE),"")</f>
        <v/>
      </c>
    </row>
    <row r="280" spans="1:60" x14ac:dyDescent="0.25">
      <c r="A280" s="133">
        <f t="shared" si="104"/>
        <v>66</v>
      </c>
      <c r="B280" s="83" t="str">
        <f t="shared" si="105"/>
        <v/>
      </c>
      <c r="C280" s="126"/>
      <c r="D280" s="130"/>
      <c r="E280" s="22"/>
      <c r="F280" s="85"/>
      <c r="G280" s="27" t="str">
        <f>IF(F280&lt;&gt;"",IFERROR(VLOOKUP(F280,DUTY_2025!A:I,6,FALSE),""),"")</f>
        <v/>
      </c>
      <c r="H280" s="85" t="s">
        <v>133</v>
      </c>
      <c r="I280" s="27" t="str">
        <f>IF(F280&lt;&gt;"",IFERROR(VLOOKUP(F280,DUTY_2025!A:H,2,FALSE),""),"")</f>
        <v/>
      </c>
      <c r="J280" s="98"/>
      <c r="K280" s="98"/>
      <c r="L280" s="22"/>
      <c r="M280" s="22"/>
      <c r="N280" s="84"/>
      <c r="O280" s="22"/>
      <c r="P280" s="116"/>
      <c r="Q280" s="23"/>
      <c r="R280" s="27"/>
      <c r="S280" s="86" t="str">
        <f t="shared" si="106"/>
        <v/>
      </c>
      <c r="T280" s="87" t="str">
        <f t="shared" si="107"/>
        <v/>
      </c>
      <c r="U280" s="87" t="str" cm="1">
        <f t="array" ref="U280">IF(AND(H280&lt;&gt;"YES",P280&lt;&gt;"",R280&lt;&gt;"",Q280&lt;&gt;""),
_xlfn.SWITCH(Q280,
"INR",_xlfn.SWITCH(R280,"KG",P280*S280,"CTN",P280,"UNIT",P280*N280,"NET",P280/M280,0),
"USD",_xlfn.SWITCH(R280,"KG",P280*S280*SI!$C$10,"CTN",P280*SI!$C$10,"UNIT",P280*N280*SI!$C$10,"NET",P280*SI!$C$10/M280,0),
"LKR",_xlfn.SWITCH(R280,"KG",P280*S280/SI!$C$9,"CTN",P280/SI!$C$9,"UNIT",P280*N280/SI!$C$9,"NET",P280/(M280*SI!$C$9),0),
0),
"")</f>
        <v/>
      </c>
      <c r="V280" s="87" t="str">
        <f t="shared" si="108"/>
        <v/>
      </c>
      <c r="W280" s="87" t="str">
        <f t="shared" si="109"/>
        <v/>
      </c>
      <c r="X280" s="88" t="str">
        <f t="shared" si="110"/>
        <v/>
      </c>
      <c r="Y280" s="24" t="str">
        <f t="shared" si="111"/>
        <v/>
      </c>
      <c r="Z280" s="267" t="str">
        <f>IF(AND(H280&lt;&gt;"yes",F280&lt;&gt;""),IFERROR(VLOOKUP(F280,DUTY_2025!A:F,5,FALSE),""),"")</f>
        <v/>
      </c>
      <c r="AA280" s="271" t="str">
        <f t="shared" si="112"/>
        <v/>
      </c>
      <c r="AB280" s="16" t="str">
        <f t="shared" si="113"/>
        <v/>
      </c>
      <c r="AC280" s="16" t="str">
        <f>IF(AA280&lt;&gt;"",ROUND(AA280*SI!$C$9,0),"")</f>
        <v/>
      </c>
      <c r="AD280" s="4" t="str">
        <f>IF(AC280&lt;&gt;"",ROUND(AC280/(SI!$C$9*SI!$C$10),2),"")</f>
        <v/>
      </c>
      <c r="AE280" s="30" t="str">
        <f>IF(AND(X280&lt;&gt;""), ROUND((SI!$E$23)*(X280/SUM($X$5:$X$493)),0),"")</f>
        <v/>
      </c>
      <c r="AF280" s="272" t="str">
        <f t="shared" si="114"/>
        <v/>
      </c>
      <c r="AG280" s="28" t="str">
        <f t="shared" si="115"/>
        <v/>
      </c>
      <c r="AH280" s="4" t="str">
        <f>IF(AD280&lt;&gt;"",ROUND(AD280*10*SI!$C$9/2,0),"")</f>
        <v/>
      </c>
      <c r="AI280" s="29" t="str">
        <f>IF(AND(X280&lt;&gt;""), ROUND((SI!$E$28)*(X280/SUM($X$5:$X$493)),0),"")</f>
        <v/>
      </c>
      <c r="AJ280" s="4" t="str">
        <f t="shared" si="116"/>
        <v/>
      </c>
      <c r="AK280" s="4" t="str">
        <f t="shared" si="117"/>
        <v/>
      </c>
      <c r="AL280" s="4" t="str">
        <f t="shared" si="118"/>
        <v/>
      </c>
      <c r="AM280" s="4" t="str">
        <f t="shared" si="119"/>
        <v/>
      </c>
      <c r="AN280" s="195" t="str">
        <f t="shared" si="120"/>
        <v/>
      </c>
      <c r="AO280" s="261" t="str">
        <f>IF(AND(AM280&lt;&gt;"",P280&lt;&gt;""),ROUND((AM280*((100+SI!$C$11)/100)),0),"")</f>
        <v/>
      </c>
      <c r="AP280" s="28" t="str">
        <f>IF(AG280&lt;&gt;"",ROUND(AG280/SI!$C$9,2),"")</f>
        <v/>
      </c>
      <c r="AQ280" s="4" t="str">
        <f>IF(AH280&lt;&gt;"",ROUND(AH280/SI!$C$9,2),"")</f>
        <v/>
      </c>
      <c r="AR280" s="29" t="str">
        <f>IF(AI280&lt;&gt;"",ROUND(AI280/SI!$C$9,2),"")</f>
        <v/>
      </c>
      <c r="AS280" s="4" t="str">
        <f t="shared" si="121"/>
        <v/>
      </c>
      <c r="AT280" s="4" t="str">
        <f t="shared" si="122"/>
        <v/>
      </c>
      <c r="AU280" s="4" t="str">
        <f>IF(AL280&lt;&gt;"",ROUND(AL280/SI!$C$9,2),"")</f>
        <v/>
      </c>
      <c r="AV280" s="4" t="str">
        <f>IF(AM280&lt;&gt;"",ROUND(AM280/SI!$C$9,2),"")</f>
        <v/>
      </c>
      <c r="AW280" s="4" t="str">
        <f>IF(AN280&lt;&gt;"",ROUND(AN280/SI!$C$9,2),"")</f>
        <v/>
      </c>
      <c r="AX280" s="261" t="str">
        <f>IF(AO280&lt;&gt;"",ROUND(AO280/SI!$C$9,2),"")</f>
        <v/>
      </c>
      <c r="AY280" s="28" t="str">
        <f t="shared" si="123"/>
        <v/>
      </c>
      <c r="AZ280" s="4" t="str">
        <f>IF(AY280&lt;&gt;"",ROUND(AY280/(SI!$C$9*SI!$C$10),2),"")</f>
        <v/>
      </c>
      <c r="BA280" s="4" t="str">
        <f t="shared" si="124"/>
        <v/>
      </c>
      <c r="BB280" s="4" t="str">
        <f t="shared" si="125"/>
        <v/>
      </c>
      <c r="BC280" s="4" t="str">
        <f t="shared" si="126"/>
        <v/>
      </c>
      <c r="BD280" s="4" t="str">
        <f t="shared" si="127"/>
        <v/>
      </c>
      <c r="BE280" s="4" t="str">
        <f>IF(AND(X280&lt;&gt;""),ROUND(X280/SI!$C$10,2),"")</f>
        <v/>
      </c>
      <c r="BF280" s="4" t="str">
        <f t="shared" si="129"/>
        <v/>
      </c>
      <c r="BG280" s="264" t="str">
        <f t="shared" si="128"/>
        <v/>
      </c>
      <c r="BH280" s="71" t="str">
        <f>IF(F280&lt;&gt;"",VLOOKUP(F280,DUTY_2025!A:O,15,FALSE),"")</f>
        <v/>
      </c>
    </row>
    <row r="281" spans="1:60" x14ac:dyDescent="0.25">
      <c r="A281" s="133">
        <f t="shared" si="104"/>
        <v>66</v>
      </c>
      <c r="B281" s="83" t="str">
        <f t="shared" si="105"/>
        <v/>
      </c>
      <c r="C281" s="126"/>
      <c r="D281" s="130"/>
      <c r="E281" s="22"/>
      <c r="F281" s="85"/>
      <c r="G281" s="27" t="str">
        <f>IF(F281&lt;&gt;"",IFERROR(VLOOKUP(F281,DUTY_2025!A:I,6,FALSE),""),"")</f>
        <v/>
      </c>
      <c r="H281" s="85" t="s">
        <v>133</v>
      </c>
      <c r="I281" s="27" t="str">
        <f>IF(F281&lt;&gt;"",IFERROR(VLOOKUP(F281,DUTY_2025!A:H,2,FALSE),""),"")</f>
        <v/>
      </c>
      <c r="J281" s="98"/>
      <c r="K281" s="98"/>
      <c r="L281" s="22"/>
      <c r="M281" s="22"/>
      <c r="N281" s="84"/>
      <c r="O281" s="22"/>
      <c r="P281" s="116"/>
      <c r="Q281" s="23"/>
      <c r="R281" s="27"/>
      <c r="S281" s="86" t="str">
        <f t="shared" si="106"/>
        <v/>
      </c>
      <c r="T281" s="87" t="str">
        <f t="shared" si="107"/>
        <v/>
      </c>
      <c r="U281" s="87" t="str" cm="1">
        <f t="array" ref="U281">IF(AND(H281&lt;&gt;"YES",P281&lt;&gt;"",R281&lt;&gt;"",Q281&lt;&gt;""),
_xlfn.SWITCH(Q281,
"INR",_xlfn.SWITCH(R281,"KG",P281*S281,"CTN",P281,"UNIT",P281*N281,"NET",P281/M281,0),
"USD",_xlfn.SWITCH(R281,"KG",P281*S281*SI!$C$10,"CTN",P281*SI!$C$10,"UNIT",P281*N281*SI!$C$10,"NET",P281*SI!$C$10/M281,0),
"LKR",_xlfn.SWITCH(R281,"KG",P281*S281/SI!$C$9,"CTN",P281/SI!$C$9,"UNIT",P281*N281/SI!$C$9,"NET",P281/(M281*SI!$C$9),0),
0),
"")</f>
        <v/>
      </c>
      <c r="V281" s="87" t="str">
        <f t="shared" si="108"/>
        <v/>
      </c>
      <c r="W281" s="87" t="str">
        <f t="shared" si="109"/>
        <v/>
      </c>
      <c r="X281" s="88" t="str">
        <f t="shared" si="110"/>
        <v/>
      </c>
      <c r="Y281" s="24" t="str">
        <f t="shared" si="111"/>
        <v/>
      </c>
      <c r="Z281" s="267" t="str">
        <f>IF(AND(H281&lt;&gt;"yes",F281&lt;&gt;""),IFERROR(VLOOKUP(F281,DUTY_2025!A:F,5,FALSE),""),"")</f>
        <v/>
      </c>
      <c r="AA281" s="271" t="str">
        <f t="shared" si="112"/>
        <v/>
      </c>
      <c r="AB281" s="16" t="str">
        <f t="shared" si="113"/>
        <v/>
      </c>
      <c r="AC281" s="16" t="str">
        <f>IF(AA281&lt;&gt;"",ROUND(AA281*SI!$C$9,0),"")</f>
        <v/>
      </c>
      <c r="AD281" s="4" t="str">
        <f>IF(AC281&lt;&gt;"",ROUND(AC281/(SI!$C$9*SI!$C$10),2),"")</f>
        <v/>
      </c>
      <c r="AE281" s="30" t="str">
        <f>IF(AND(X281&lt;&gt;""), ROUND((SI!$E$23)*(X281/SUM($X$5:$X$493)),0),"")</f>
        <v/>
      </c>
      <c r="AF281" s="272" t="str">
        <f t="shared" si="114"/>
        <v/>
      </c>
      <c r="AG281" s="28" t="str">
        <f t="shared" si="115"/>
        <v/>
      </c>
      <c r="AH281" s="4" t="str">
        <f>IF(AD281&lt;&gt;"",ROUND(AD281*10*SI!$C$9/2,0),"")</f>
        <v/>
      </c>
      <c r="AI281" s="29" t="str">
        <f>IF(AND(X281&lt;&gt;""), ROUND((SI!$E$28)*(X281/SUM($X$5:$X$493)),0),"")</f>
        <v/>
      </c>
      <c r="AJ281" s="4" t="str">
        <f t="shared" si="116"/>
        <v/>
      </c>
      <c r="AK281" s="4" t="str">
        <f t="shared" si="117"/>
        <v/>
      </c>
      <c r="AL281" s="4" t="str">
        <f t="shared" si="118"/>
        <v/>
      </c>
      <c r="AM281" s="4" t="str">
        <f t="shared" si="119"/>
        <v/>
      </c>
      <c r="AN281" s="195" t="str">
        <f t="shared" si="120"/>
        <v/>
      </c>
      <c r="AO281" s="261" t="str">
        <f>IF(AND(AM281&lt;&gt;"",P281&lt;&gt;""),ROUND((AM281*((100+SI!$C$11)/100)),0),"")</f>
        <v/>
      </c>
      <c r="AP281" s="28" t="str">
        <f>IF(AG281&lt;&gt;"",ROUND(AG281/SI!$C$9,2),"")</f>
        <v/>
      </c>
      <c r="AQ281" s="4" t="str">
        <f>IF(AH281&lt;&gt;"",ROUND(AH281/SI!$C$9,2),"")</f>
        <v/>
      </c>
      <c r="AR281" s="29" t="str">
        <f>IF(AI281&lt;&gt;"",ROUND(AI281/SI!$C$9,2),"")</f>
        <v/>
      </c>
      <c r="AS281" s="4" t="str">
        <f t="shared" si="121"/>
        <v/>
      </c>
      <c r="AT281" s="4" t="str">
        <f t="shared" si="122"/>
        <v/>
      </c>
      <c r="AU281" s="4" t="str">
        <f>IF(AL281&lt;&gt;"",ROUND(AL281/SI!$C$9,2),"")</f>
        <v/>
      </c>
      <c r="AV281" s="4" t="str">
        <f>IF(AM281&lt;&gt;"",ROUND(AM281/SI!$C$9,2),"")</f>
        <v/>
      </c>
      <c r="AW281" s="4" t="str">
        <f>IF(AN281&lt;&gt;"",ROUND(AN281/SI!$C$9,2),"")</f>
        <v/>
      </c>
      <c r="AX281" s="261" t="str">
        <f>IF(AO281&lt;&gt;"",ROUND(AO281/SI!$C$9,2),"")</f>
        <v/>
      </c>
      <c r="AY281" s="28" t="str">
        <f t="shared" si="123"/>
        <v/>
      </c>
      <c r="AZ281" s="4" t="str">
        <f>IF(AY281&lt;&gt;"",ROUND(AY281/(SI!$C$9*SI!$C$10),2),"")</f>
        <v/>
      </c>
      <c r="BA281" s="4" t="str">
        <f t="shared" si="124"/>
        <v/>
      </c>
      <c r="BB281" s="4" t="str">
        <f t="shared" si="125"/>
        <v/>
      </c>
      <c r="BC281" s="4" t="str">
        <f t="shared" si="126"/>
        <v/>
      </c>
      <c r="BD281" s="4" t="str">
        <f t="shared" si="127"/>
        <v/>
      </c>
      <c r="BE281" s="4" t="str">
        <f>IF(AND(X281&lt;&gt;""),ROUND(X281/SI!$C$10,2),"")</f>
        <v/>
      </c>
      <c r="BF281" s="4" t="str">
        <f t="shared" si="129"/>
        <v/>
      </c>
      <c r="BG281" s="264" t="str">
        <f t="shared" si="128"/>
        <v/>
      </c>
      <c r="BH281" s="71" t="str">
        <f>IF(F281&lt;&gt;"",VLOOKUP(F281,DUTY_2025!A:O,15,FALSE),"")</f>
        <v/>
      </c>
    </row>
    <row r="282" spans="1:60" x14ac:dyDescent="0.25">
      <c r="A282" s="133">
        <f t="shared" si="104"/>
        <v>66</v>
      </c>
      <c r="B282" s="83" t="str">
        <f t="shared" si="105"/>
        <v/>
      </c>
      <c r="C282" s="126"/>
      <c r="D282" s="130"/>
      <c r="E282" s="22"/>
      <c r="F282" s="85"/>
      <c r="G282" s="27" t="str">
        <f>IF(F282&lt;&gt;"",IFERROR(VLOOKUP(F282,DUTY_2025!A:I,6,FALSE),""),"")</f>
        <v/>
      </c>
      <c r="H282" s="85" t="s">
        <v>133</v>
      </c>
      <c r="I282" s="27" t="str">
        <f>IF(F282&lt;&gt;"",IFERROR(VLOOKUP(F282,DUTY_2025!A:H,2,FALSE),""),"")</f>
        <v/>
      </c>
      <c r="J282" s="98"/>
      <c r="K282" s="98"/>
      <c r="L282" s="22"/>
      <c r="M282" s="22"/>
      <c r="N282" s="84"/>
      <c r="O282" s="22"/>
      <c r="P282" s="116"/>
      <c r="Q282" s="23"/>
      <c r="R282" s="27"/>
      <c r="S282" s="86" t="str">
        <f t="shared" si="106"/>
        <v/>
      </c>
      <c r="T282" s="87" t="str">
        <f t="shared" si="107"/>
        <v/>
      </c>
      <c r="U282" s="87" t="str" cm="1">
        <f t="array" ref="U282">IF(AND(H282&lt;&gt;"YES",P282&lt;&gt;"",R282&lt;&gt;"",Q282&lt;&gt;""),
_xlfn.SWITCH(Q282,
"INR",_xlfn.SWITCH(R282,"KG",P282*S282,"CTN",P282,"UNIT",P282*N282,"NET",P282/M282,0),
"USD",_xlfn.SWITCH(R282,"KG",P282*S282*SI!$C$10,"CTN",P282*SI!$C$10,"UNIT",P282*N282*SI!$C$10,"NET",P282*SI!$C$10/M282,0),
"LKR",_xlfn.SWITCH(R282,"KG",P282*S282/SI!$C$9,"CTN",P282/SI!$C$9,"UNIT",P282*N282/SI!$C$9,"NET",P282/(M282*SI!$C$9),0),
0),
"")</f>
        <v/>
      </c>
      <c r="V282" s="87" t="str">
        <f t="shared" si="108"/>
        <v/>
      </c>
      <c r="W282" s="87" t="str">
        <f t="shared" si="109"/>
        <v/>
      </c>
      <c r="X282" s="88" t="str">
        <f t="shared" si="110"/>
        <v/>
      </c>
      <c r="Y282" s="24" t="str">
        <f t="shared" si="111"/>
        <v/>
      </c>
      <c r="Z282" s="267" t="str">
        <f>IF(AND(H282&lt;&gt;"yes",F282&lt;&gt;""),IFERROR(VLOOKUP(F282,DUTY_2025!A:F,5,FALSE),""),"")</f>
        <v/>
      </c>
      <c r="AA282" s="271" t="str">
        <f t="shared" si="112"/>
        <v/>
      </c>
      <c r="AB282" s="16" t="str">
        <f t="shared" si="113"/>
        <v/>
      </c>
      <c r="AC282" s="16" t="str">
        <f>IF(AA282&lt;&gt;"",ROUND(AA282*SI!$C$9,0),"")</f>
        <v/>
      </c>
      <c r="AD282" s="4" t="str">
        <f>IF(AC282&lt;&gt;"",ROUND(AC282/(SI!$C$9*SI!$C$10),2),"")</f>
        <v/>
      </c>
      <c r="AE282" s="30" t="str">
        <f>IF(AND(X282&lt;&gt;""), ROUND((SI!$E$23)*(X282/SUM($X$5:$X$493)),0),"")</f>
        <v/>
      </c>
      <c r="AF282" s="272" t="str">
        <f t="shared" si="114"/>
        <v/>
      </c>
      <c r="AG282" s="28" t="str">
        <f t="shared" si="115"/>
        <v/>
      </c>
      <c r="AH282" s="4" t="str">
        <f>IF(AD282&lt;&gt;"",ROUND(AD282*10*SI!$C$9/2,0),"")</f>
        <v/>
      </c>
      <c r="AI282" s="29" t="str">
        <f>IF(AND(X282&lt;&gt;""), ROUND((SI!$E$28)*(X282/SUM($X$5:$X$493)),0),"")</f>
        <v/>
      </c>
      <c r="AJ282" s="4" t="str">
        <f t="shared" si="116"/>
        <v/>
      </c>
      <c r="AK282" s="4" t="str">
        <f t="shared" si="117"/>
        <v/>
      </c>
      <c r="AL282" s="4" t="str">
        <f t="shared" si="118"/>
        <v/>
      </c>
      <c r="AM282" s="4" t="str">
        <f t="shared" si="119"/>
        <v/>
      </c>
      <c r="AN282" s="195" t="str">
        <f t="shared" si="120"/>
        <v/>
      </c>
      <c r="AO282" s="261" t="str">
        <f>IF(AND(AM282&lt;&gt;"",P282&lt;&gt;""),ROUND((AM282*((100+SI!$C$11)/100)),0),"")</f>
        <v/>
      </c>
      <c r="AP282" s="28" t="str">
        <f>IF(AG282&lt;&gt;"",ROUND(AG282/SI!$C$9,2),"")</f>
        <v/>
      </c>
      <c r="AQ282" s="4" t="str">
        <f>IF(AH282&lt;&gt;"",ROUND(AH282/SI!$C$9,2),"")</f>
        <v/>
      </c>
      <c r="AR282" s="29" t="str">
        <f>IF(AI282&lt;&gt;"",ROUND(AI282/SI!$C$9,2),"")</f>
        <v/>
      </c>
      <c r="AS282" s="4" t="str">
        <f t="shared" si="121"/>
        <v/>
      </c>
      <c r="AT282" s="4" t="str">
        <f t="shared" si="122"/>
        <v/>
      </c>
      <c r="AU282" s="4" t="str">
        <f>IF(AL282&lt;&gt;"",ROUND(AL282/SI!$C$9,2),"")</f>
        <v/>
      </c>
      <c r="AV282" s="4" t="str">
        <f>IF(AM282&lt;&gt;"",ROUND(AM282/SI!$C$9,2),"")</f>
        <v/>
      </c>
      <c r="AW282" s="4" t="str">
        <f>IF(AN282&lt;&gt;"",ROUND(AN282/SI!$C$9,2),"")</f>
        <v/>
      </c>
      <c r="AX282" s="261" t="str">
        <f>IF(AO282&lt;&gt;"",ROUND(AO282/SI!$C$9,2),"")</f>
        <v/>
      </c>
      <c r="AY282" s="28" t="str">
        <f t="shared" si="123"/>
        <v/>
      </c>
      <c r="AZ282" s="4" t="str">
        <f>IF(AY282&lt;&gt;"",ROUND(AY282/(SI!$C$9*SI!$C$10),2),"")</f>
        <v/>
      </c>
      <c r="BA282" s="4" t="str">
        <f t="shared" si="124"/>
        <v/>
      </c>
      <c r="BB282" s="4" t="str">
        <f t="shared" si="125"/>
        <v/>
      </c>
      <c r="BC282" s="4" t="str">
        <f t="shared" si="126"/>
        <v/>
      </c>
      <c r="BD282" s="4" t="str">
        <f t="shared" si="127"/>
        <v/>
      </c>
      <c r="BE282" s="4" t="str">
        <f>IF(AND(X282&lt;&gt;""),ROUND(X282/SI!$C$10,2),"")</f>
        <v/>
      </c>
      <c r="BF282" s="4" t="str">
        <f t="shared" si="129"/>
        <v/>
      </c>
      <c r="BG282" s="264" t="str">
        <f t="shared" si="128"/>
        <v/>
      </c>
      <c r="BH282" s="71" t="str">
        <f>IF(F282&lt;&gt;"",VLOOKUP(F282,DUTY_2025!A:O,15,FALSE),"")</f>
        <v/>
      </c>
    </row>
    <row r="283" spans="1:60" x14ac:dyDescent="0.25">
      <c r="A283" s="133">
        <f t="shared" si="104"/>
        <v>66</v>
      </c>
      <c r="B283" s="83" t="str">
        <f t="shared" si="105"/>
        <v/>
      </c>
      <c r="C283" s="126"/>
      <c r="D283" s="130"/>
      <c r="E283" s="22"/>
      <c r="F283" s="85"/>
      <c r="G283" s="27" t="str">
        <f>IF(F283&lt;&gt;"",IFERROR(VLOOKUP(F283,DUTY_2025!A:I,6,FALSE),""),"")</f>
        <v/>
      </c>
      <c r="H283" s="85" t="s">
        <v>133</v>
      </c>
      <c r="I283" s="27" t="str">
        <f>IF(F283&lt;&gt;"",IFERROR(VLOOKUP(F283,DUTY_2025!A:H,2,FALSE),""),"")</f>
        <v/>
      </c>
      <c r="J283" s="98"/>
      <c r="K283" s="98"/>
      <c r="L283" s="22"/>
      <c r="M283" s="22"/>
      <c r="N283" s="84"/>
      <c r="O283" s="22"/>
      <c r="P283" s="116"/>
      <c r="Q283" s="23"/>
      <c r="R283" s="27"/>
      <c r="S283" s="86" t="str">
        <f t="shared" si="106"/>
        <v/>
      </c>
      <c r="T283" s="87" t="str">
        <f t="shared" si="107"/>
        <v/>
      </c>
      <c r="U283" s="87" t="str" cm="1">
        <f t="array" ref="U283">IF(AND(H283&lt;&gt;"YES",P283&lt;&gt;"",R283&lt;&gt;"",Q283&lt;&gt;""),
_xlfn.SWITCH(Q283,
"INR",_xlfn.SWITCH(R283,"KG",P283*S283,"CTN",P283,"UNIT",P283*N283,"NET",P283/M283,0),
"USD",_xlfn.SWITCH(R283,"KG",P283*S283*SI!$C$10,"CTN",P283*SI!$C$10,"UNIT",P283*N283*SI!$C$10,"NET",P283*SI!$C$10/M283,0),
"LKR",_xlfn.SWITCH(R283,"KG",P283*S283/SI!$C$9,"CTN",P283/SI!$C$9,"UNIT",P283*N283/SI!$C$9,"NET",P283/(M283*SI!$C$9),0),
0),
"")</f>
        <v/>
      </c>
      <c r="V283" s="87" t="str">
        <f t="shared" si="108"/>
        <v/>
      </c>
      <c r="W283" s="87" t="str">
        <f t="shared" si="109"/>
        <v/>
      </c>
      <c r="X283" s="88" t="str">
        <f t="shared" si="110"/>
        <v/>
      </c>
      <c r="Y283" s="24" t="str">
        <f t="shared" si="111"/>
        <v/>
      </c>
      <c r="Z283" s="267" t="str">
        <f>IF(AND(H283&lt;&gt;"yes",F283&lt;&gt;""),IFERROR(VLOOKUP(F283,DUTY_2025!A:F,5,FALSE),""),"")</f>
        <v/>
      </c>
      <c r="AA283" s="271" t="str">
        <f t="shared" si="112"/>
        <v/>
      </c>
      <c r="AB283" s="16" t="str">
        <f t="shared" si="113"/>
        <v/>
      </c>
      <c r="AC283" s="16" t="str">
        <f>IF(AA283&lt;&gt;"",ROUND(AA283*SI!$C$9,0),"")</f>
        <v/>
      </c>
      <c r="AD283" s="4" t="str">
        <f>IF(AC283&lt;&gt;"",ROUND(AC283/(SI!$C$9*SI!$C$10),2),"")</f>
        <v/>
      </c>
      <c r="AE283" s="30" t="str">
        <f>IF(AND(X283&lt;&gt;""), ROUND((SI!$E$23)*(X283/SUM($X$5:$X$493)),0),"")</f>
        <v/>
      </c>
      <c r="AF283" s="272" t="str">
        <f t="shared" si="114"/>
        <v/>
      </c>
      <c r="AG283" s="28" t="str">
        <f t="shared" si="115"/>
        <v/>
      </c>
      <c r="AH283" s="4" t="str">
        <f>IF(AD283&lt;&gt;"",ROUND(AD283*10*SI!$C$9/2,0),"")</f>
        <v/>
      </c>
      <c r="AI283" s="29" t="str">
        <f>IF(AND(X283&lt;&gt;""), ROUND((SI!$E$28)*(X283/SUM($X$5:$X$493)),0),"")</f>
        <v/>
      </c>
      <c r="AJ283" s="4" t="str">
        <f t="shared" si="116"/>
        <v/>
      </c>
      <c r="AK283" s="4" t="str">
        <f t="shared" si="117"/>
        <v/>
      </c>
      <c r="AL283" s="4" t="str">
        <f t="shared" si="118"/>
        <v/>
      </c>
      <c r="AM283" s="4" t="str">
        <f t="shared" si="119"/>
        <v/>
      </c>
      <c r="AN283" s="195" t="str">
        <f t="shared" si="120"/>
        <v/>
      </c>
      <c r="AO283" s="261" t="str">
        <f>IF(AND(AM283&lt;&gt;"",P283&lt;&gt;""),ROUND((AM283*((100+SI!$C$11)/100)),0),"")</f>
        <v/>
      </c>
      <c r="AP283" s="28" t="str">
        <f>IF(AG283&lt;&gt;"",ROUND(AG283/SI!$C$9,2),"")</f>
        <v/>
      </c>
      <c r="AQ283" s="4" t="str">
        <f>IF(AH283&lt;&gt;"",ROUND(AH283/SI!$C$9,2),"")</f>
        <v/>
      </c>
      <c r="AR283" s="29" t="str">
        <f>IF(AI283&lt;&gt;"",ROUND(AI283/SI!$C$9,2),"")</f>
        <v/>
      </c>
      <c r="AS283" s="4" t="str">
        <f t="shared" si="121"/>
        <v/>
      </c>
      <c r="AT283" s="4" t="str">
        <f t="shared" si="122"/>
        <v/>
      </c>
      <c r="AU283" s="4" t="str">
        <f>IF(AL283&lt;&gt;"",ROUND(AL283/SI!$C$9,2),"")</f>
        <v/>
      </c>
      <c r="AV283" s="4" t="str">
        <f>IF(AM283&lt;&gt;"",ROUND(AM283/SI!$C$9,2),"")</f>
        <v/>
      </c>
      <c r="AW283" s="4" t="str">
        <f>IF(AN283&lt;&gt;"",ROUND(AN283/SI!$C$9,2),"")</f>
        <v/>
      </c>
      <c r="AX283" s="261" t="str">
        <f>IF(AO283&lt;&gt;"",ROUND(AO283/SI!$C$9,2),"")</f>
        <v/>
      </c>
      <c r="AY283" s="28" t="str">
        <f t="shared" si="123"/>
        <v/>
      </c>
      <c r="AZ283" s="4" t="str">
        <f>IF(AY283&lt;&gt;"",ROUND(AY283/(SI!$C$9*SI!$C$10),2),"")</f>
        <v/>
      </c>
      <c r="BA283" s="4" t="str">
        <f t="shared" si="124"/>
        <v/>
      </c>
      <c r="BB283" s="4" t="str">
        <f t="shared" si="125"/>
        <v/>
      </c>
      <c r="BC283" s="4" t="str">
        <f t="shared" si="126"/>
        <v/>
      </c>
      <c r="BD283" s="4" t="str">
        <f t="shared" si="127"/>
        <v/>
      </c>
      <c r="BE283" s="4" t="str">
        <f>IF(AND(X283&lt;&gt;""),ROUND(X283/SI!$C$10,2),"")</f>
        <v/>
      </c>
      <c r="BF283" s="4" t="str">
        <f t="shared" si="129"/>
        <v/>
      </c>
      <c r="BG283" s="264" t="str">
        <f t="shared" si="128"/>
        <v/>
      </c>
      <c r="BH283" s="71" t="str">
        <f>IF(F283&lt;&gt;"",VLOOKUP(F283,DUTY_2025!A:O,15,FALSE),"")</f>
        <v/>
      </c>
    </row>
    <row r="284" spans="1:60" x14ac:dyDescent="0.25">
      <c r="A284" s="133">
        <f t="shared" si="104"/>
        <v>66</v>
      </c>
      <c r="B284" s="83" t="str">
        <f t="shared" si="105"/>
        <v/>
      </c>
      <c r="C284" s="126"/>
      <c r="D284" s="130"/>
      <c r="E284" s="22"/>
      <c r="F284" s="85"/>
      <c r="G284" s="27" t="str">
        <f>IF(F284&lt;&gt;"",IFERROR(VLOOKUP(F284,DUTY_2025!A:I,6,FALSE),""),"")</f>
        <v/>
      </c>
      <c r="H284" s="85" t="s">
        <v>133</v>
      </c>
      <c r="I284" s="27" t="str">
        <f>IF(F284&lt;&gt;"",IFERROR(VLOOKUP(F284,DUTY_2025!A:H,2,FALSE),""),"")</f>
        <v/>
      </c>
      <c r="J284" s="98"/>
      <c r="K284" s="98"/>
      <c r="L284" s="22"/>
      <c r="M284" s="22"/>
      <c r="N284" s="84"/>
      <c r="O284" s="22"/>
      <c r="P284" s="116"/>
      <c r="Q284" s="23"/>
      <c r="R284" s="27"/>
      <c r="S284" s="86" t="str">
        <f t="shared" si="106"/>
        <v/>
      </c>
      <c r="T284" s="87" t="str">
        <f t="shared" si="107"/>
        <v/>
      </c>
      <c r="U284" s="87" t="str" cm="1">
        <f t="array" ref="U284">IF(AND(H284&lt;&gt;"YES",P284&lt;&gt;"",R284&lt;&gt;"",Q284&lt;&gt;""),
_xlfn.SWITCH(Q284,
"INR",_xlfn.SWITCH(R284,"KG",P284*S284,"CTN",P284,"UNIT",P284*N284,"NET",P284/M284,0),
"USD",_xlfn.SWITCH(R284,"KG",P284*S284*SI!$C$10,"CTN",P284*SI!$C$10,"UNIT",P284*N284*SI!$C$10,"NET",P284*SI!$C$10/M284,0),
"LKR",_xlfn.SWITCH(R284,"KG",P284*S284/SI!$C$9,"CTN",P284/SI!$C$9,"UNIT",P284*N284/SI!$C$9,"NET",P284/(M284*SI!$C$9),0),
0),
"")</f>
        <v/>
      </c>
      <c r="V284" s="87" t="str">
        <f t="shared" si="108"/>
        <v/>
      </c>
      <c r="W284" s="87" t="str">
        <f t="shared" si="109"/>
        <v/>
      </c>
      <c r="X284" s="88" t="str">
        <f t="shared" si="110"/>
        <v/>
      </c>
      <c r="Y284" s="24" t="str">
        <f t="shared" si="111"/>
        <v/>
      </c>
      <c r="Z284" s="267" t="str">
        <f>IF(AND(H284&lt;&gt;"yes",F284&lt;&gt;""),IFERROR(VLOOKUP(F284,DUTY_2025!A:F,5,FALSE),""),"")</f>
        <v/>
      </c>
      <c r="AA284" s="271" t="str">
        <f t="shared" si="112"/>
        <v/>
      </c>
      <c r="AB284" s="16" t="str">
        <f t="shared" si="113"/>
        <v/>
      </c>
      <c r="AC284" s="16" t="str">
        <f>IF(AA284&lt;&gt;"",ROUND(AA284*SI!$C$9,0),"")</f>
        <v/>
      </c>
      <c r="AD284" s="4" t="str">
        <f>IF(AC284&lt;&gt;"",ROUND(AC284/(SI!$C$9*SI!$C$10),2),"")</f>
        <v/>
      </c>
      <c r="AE284" s="30" t="str">
        <f>IF(AND(X284&lt;&gt;""), ROUND((SI!$E$23)*(X284/SUM($X$5:$X$493)),0),"")</f>
        <v/>
      </c>
      <c r="AF284" s="272" t="str">
        <f t="shared" si="114"/>
        <v/>
      </c>
      <c r="AG284" s="28" t="str">
        <f t="shared" si="115"/>
        <v/>
      </c>
      <c r="AH284" s="4" t="str">
        <f>IF(AD284&lt;&gt;"",ROUND(AD284*10*SI!$C$9/2,0),"")</f>
        <v/>
      </c>
      <c r="AI284" s="29" t="str">
        <f>IF(AND(X284&lt;&gt;""), ROUND((SI!$E$28)*(X284/SUM($X$5:$X$493)),0),"")</f>
        <v/>
      </c>
      <c r="AJ284" s="4" t="str">
        <f t="shared" si="116"/>
        <v/>
      </c>
      <c r="AK284" s="4" t="str">
        <f t="shared" si="117"/>
        <v/>
      </c>
      <c r="AL284" s="4" t="str">
        <f t="shared" si="118"/>
        <v/>
      </c>
      <c r="AM284" s="4" t="str">
        <f t="shared" si="119"/>
        <v/>
      </c>
      <c r="AN284" s="195" t="str">
        <f t="shared" si="120"/>
        <v/>
      </c>
      <c r="AO284" s="261" t="str">
        <f>IF(AND(AM284&lt;&gt;"",P284&lt;&gt;""),ROUND((AM284*((100+SI!$C$11)/100)),0),"")</f>
        <v/>
      </c>
      <c r="AP284" s="28" t="str">
        <f>IF(AG284&lt;&gt;"",ROUND(AG284/SI!$C$9,2),"")</f>
        <v/>
      </c>
      <c r="AQ284" s="4" t="str">
        <f>IF(AH284&lt;&gt;"",ROUND(AH284/SI!$C$9,2),"")</f>
        <v/>
      </c>
      <c r="AR284" s="29" t="str">
        <f>IF(AI284&lt;&gt;"",ROUND(AI284/SI!$C$9,2),"")</f>
        <v/>
      </c>
      <c r="AS284" s="4" t="str">
        <f t="shared" si="121"/>
        <v/>
      </c>
      <c r="AT284" s="4" t="str">
        <f t="shared" si="122"/>
        <v/>
      </c>
      <c r="AU284" s="4" t="str">
        <f>IF(AL284&lt;&gt;"",ROUND(AL284/SI!$C$9,2),"")</f>
        <v/>
      </c>
      <c r="AV284" s="4" t="str">
        <f>IF(AM284&lt;&gt;"",ROUND(AM284/SI!$C$9,2),"")</f>
        <v/>
      </c>
      <c r="AW284" s="4" t="str">
        <f>IF(AN284&lt;&gt;"",ROUND(AN284/SI!$C$9,2),"")</f>
        <v/>
      </c>
      <c r="AX284" s="261" t="str">
        <f>IF(AO284&lt;&gt;"",ROUND(AO284/SI!$C$9,2),"")</f>
        <v/>
      </c>
      <c r="AY284" s="28" t="str">
        <f t="shared" si="123"/>
        <v/>
      </c>
      <c r="AZ284" s="4" t="str">
        <f>IF(AY284&lt;&gt;"",ROUND(AY284/(SI!$C$9*SI!$C$10),2),"")</f>
        <v/>
      </c>
      <c r="BA284" s="4" t="str">
        <f t="shared" si="124"/>
        <v/>
      </c>
      <c r="BB284" s="4" t="str">
        <f t="shared" si="125"/>
        <v/>
      </c>
      <c r="BC284" s="4" t="str">
        <f t="shared" si="126"/>
        <v/>
      </c>
      <c r="BD284" s="4" t="str">
        <f t="shared" si="127"/>
        <v/>
      </c>
      <c r="BE284" s="4" t="str">
        <f>IF(AND(X284&lt;&gt;""),ROUND(X284/SI!$C$10,2),"")</f>
        <v/>
      </c>
      <c r="BF284" s="4" t="str">
        <f t="shared" si="129"/>
        <v/>
      </c>
      <c r="BG284" s="264" t="str">
        <f t="shared" si="128"/>
        <v/>
      </c>
      <c r="BH284" s="71" t="str">
        <f>IF(F284&lt;&gt;"",VLOOKUP(F284,DUTY_2025!A:O,15,FALSE),"")</f>
        <v/>
      </c>
    </row>
    <row r="285" spans="1:60" x14ac:dyDescent="0.25">
      <c r="A285" s="133">
        <f t="shared" si="104"/>
        <v>66</v>
      </c>
      <c r="B285" s="83" t="str">
        <f t="shared" si="105"/>
        <v/>
      </c>
      <c r="C285" s="126"/>
      <c r="D285" s="130"/>
      <c r="E285" s="22"/>
      <c r="F285" s="85"/>
      <c r="G285" s="27" t="str">
        <f>IF(F285&lt;&gt;"",IFERROR(VLOOKUP(F285,DUTY_2025!A:I,6,FALSE),""),"")</f>
        <v/>
      </c>
      <c r="H285" s="85" t="s">
        <v>133</v>
      </c>
      <c r="I285" s="27" t="str">
        <f>IF(F285&lt;&gt;"",IFERROR(VLOOKUP(F285,DUTY_2025!A:H,2,FALSE),""),"")</f>
        <v/>
      </c>
      <c r="J285" s="98"/>
      <c r="K285" s="98"/>
      <c r="L285" s="22"/>
      <c r="M285" s="22"/>
      <c r="N285" s="84"/>
      <c r="O285" s="22"/>
      <c r="P285" s="116"/>
      <c r="Q285" s="23"/>
      <c r="R285" s="27"/>
      <c r="S285" s="86" t="str">
        <f t="shared" si="106"/>
        <v/>
      </c>
      <c r="T285" s="87" t="str">
        <f t="shared" si="107"/>
        <v/>
      </c>
      <c r="U285" s="87" t="str" cm="1">
        <f t="array" ref="U285">IF(AND(H285&lt;&gt;"YES",P285&lt;&gt;"",R285&lt;&gt;"",Q285&lt;&gt;""),
_xlfn.SWITCH(Q285,
"INR",_xlfn.SWITCH(R285,"KG",P285*S285,"CTN",P285,"UNIT",P285*N285,"NET",P285/M285,0),
"USD",_xlfn.SWITCH(R285,"KG",P285*S285*SI!$C$10,"CTN",P285*SI!$C$10,"UNIT",P285*N285*SI!$C$10,"NET",P285*SI!$C$10/M285,0),
"LKR",_xlfn.SWITCH(R285,"KG",P285*S285/SI!$C$9,"CTN",P285/SI!$C$9,"UNIT",P285*N285/SI!$C$9,"NET",P285/(M285*SI!$C$9),0),
0),
"")</f>
        <v/>
      </c>
      <c r="V285" s="87" t="str">
        <f t="shared" si="108"/>
        <v/>
      </c>
      <c r="W285" s="87" t="str">
        <f t="shared" si="109"/>
        <v/>
      </c>
      <c r="X285" s="88" t="str">
        <f t="shared" si="110"/>
        <v/>
      </c>
      <c r="Y285" s="24" t="str">
        <f t="shared" si="111"/>
        <v/>
      </c>
      <c r="Z285" s="267" t="str">
        <f>IF(AND(H285&lt;&gt;"yes",F285&lt;&gt;""),IFERROR(VLOOKUP(F285,DUTY_2025!A:F,5,FALSE),""),"")</f>
        <v/>
      </c>
      <c r="AA285" s="271" t="str">
        <f t="shared" si="112"/>
        <v/>
      </c>
      <c r="AB285" s="16" t="str">
        <f t="shared" si="113"/>
        <v/>
      </c>
      <c r="AC285" s="16" t="str">
        <f>IF(AA285&lt;&gt;"",ROUND(AA285*SI!$C$9,0),"")</f>
        <v/>
      </c>
      <c r="AD285" s="4" t="str">
        <f>IF(AC285&lt;&gt;"",ROUND(AC285/(SI!$C$9*SI!$C$10),2),"")</f>
        <v/>
      </c>
      <c r="AE285" s="30" t="str">
        <f>IF(AND(X285&lt;&gt;""), ROUND((SI!$E$23)*(X285/SUM($X$5:$X$493)),0),"")</f>
        <v/>
      </c>
      <c r="AF285" s="272" t="str">
        <f t="shared" si="114"/>
        <v/>
      </c>
      <c r="AG285" s="28" t="str">
        <f t="shared" si="115"/>
        <v/>
      </c>
      <c r="AH285" s="4" t="str">
        <f>IF(AD285&lt;&gt;"",ROUND(AD285*10*SI!$C$9/2,0),"")</f>
        <v/>
      </c>
      <c r="AI285" s="29" t="str">
        <f>IF(AND(X285&lt;&gt;""), ROUND((SI!$E$28)*(X285/SUM($X$5:$X$493)),0),"")</f>
        <v/>
      </c>
      <c r="AJ285" s="4" t="str">
        <f t="shared" si="116"/>
        <v/>
      </c>
      <c r="AK285" s="4" t="str">
        <f t="shared" si="117"/>
        <v/>
      </c>
      <c r="AL285" s="4" t="str">
        <f t="shared" si="118"/>
        <v/>
      </c>
      <c r="AM285" s="4" t="str">
        <f t="shared" si="119"/>
        <v/>
      </c>
      <c r="AN285" s="195" t="str">
        <f t="shared" si="120"/>
        <v/>
      </c>
      <c r="AO285" s="261" t="str">
        <f>IF(AND(AM285&lt;&gt;"",P285&lt;&gt;""),ROUND((AM285*((100+SI!$C$11)/100)),0),"")</f>
        <v/>
      </c>
      <c r="AP285" s="28" t="str">
        <f>IF(AG285&lt;&gt;"",ROUND(AG285/SI!$C$9,2),"")</f>
        <v/>
      </c>
      <c r="AQ285" s="4" t="str">
        <f>IF(AH285&lt;&gt;"",ROUND(AH285/SI!$C$9,2),"")</f>
        <v/>
      </c>
      <c r="AR285" s="29" t="str">
        <f>IF(AI285&lt;&gt;"",ROUND(AI285/SI!$C$9,2),"")</f>
        <v/>
      </c>
      <c r="AS285" s="4" t="str">
        <f t="shared" si="121"/>
        <v/>
      </c>
      <c r="AT285" s="4" t="str">
        <f t="shared" si="122"/>
        <v/>
      </c>
      <c r="AU285" s="4" t="str">
        <f>IF(AL285&lt;&gt;"",ROUND(AL285/SI!$C$9,2),"")</f>
        <v/>
      </c>
      <c r="AV285" s="4" t="str">
        <f>IF(AM285&lt;&gt;"",ROUND(AM285/SI!$C$9,2),"")</f>
        <v/>
      </c>
      <c r="AW285" s="4" t="str">
        <f>IF(AN285&lt;&gt;"",ROUND(AN285/SI!$C$9,2),"")</f>
        <v/>
      </c>
      <c r="AX285" s="261" t="str">
        <f>IF(AO285&lt;&gt;"",ROUND(AO285/SI!$C$9,2),"")</f>
        <v/>
      </c>
      <c r="AY285" s="28" t="str">
        <f t="shared" si="123"/>
        <v/>
      </c>
      <c r="AZ285" s="4" t="str">
        <f>IF(AY285&lt;&gt;"",ROUND(AY285/(SI!$C$9*SI!$C$10),2),"")</f>
        <v/>
      </c>
      <c r="BA285" s="4" t="str">
        <f t="shared" si="124"/>
        <v/>
      </c>
      <c r="BB285" s="4" t="str">
        <f t="shared" si="125"/>
        <v/>
      </c>
      <c r="BC285" s="4" t="str">
        <f t="shared" si="126"/>
        <v/>
      </c>
      <c r="BD285" s="4" t="str">
        <f t="shared" si="127"/>
        <v/>
      </c>
      <c r="BE285" s="4" t="str">
        <f>IF(AND(X285&lt;&gt;""),ROUND(X285/SI!$C$10,2),"")</f>
        <v/>
      </c>
      <c r="BF285" s="4" t="str">
        <f t="shared" si="129"/>
        <v/>
      </c>
      <c r="BG285" s="264" t="str">
        <f t="shared" si="128"/>
        <v/>
      </c>
      <c r="BH285" s="71" t="str">
        <f>IF(F285&lt;&gt;"",VLOOKUP(F285,DUTY_2025!A:O,15,FALSE),"")</f>
        <v/>
      </c>
    </row>
    <row r="286" spans="1:60" x14ac:dyDescent="0.25">
      <c r="A286" s="133">
        <f t="shared" si="104"/>
        <v>66</v>
      </c>
      <c r="B286" s="83" t="str">
        <f t="shared" si="105"/>
        <v/>
      </c>
      <c r="C286" s="126"/>
      <c r="D286" s="130"/>
      <c r="E286" s="22"/>
      <c r="F286" s="85"/>
      <c r="G286" s="27" t="str">
        <f>IF(F286&lt;&gt;"",IFERROR(VLOOKUP(F286,DUTY_2025!A:I,6,FALSE),""),"")</f>
        <v/>
      </c>
      <c r="H286" s="85" t="s">
        <v>133</v>
      </c>
      <c r="I286" s="27" t="str">
        <f>IF(F286&lt;&gt;"",IFERROR(VLOOKUP(F286,DUTY_2025!A:H,2,FALSE),""),"")</f>
        <v/>
      </c>
      <c r="J286" s="98"/>
      <c r="K286" s="98"/>
      <c r="L286" s="22"/>
      <c r="M286" s="22"/>
      <c r="N286" s="84"/>
      <c r="O286" s="22"/>
      <c r="P286" s="116"/>
      <c r="Q286" s="23"/>
      <c r="R286" s="27"/>
      <c r="S286" s="86" t="str">
        <f t="shared" si="106"/>
        <v/>
      </c>
      <c r="T286" s="87" t="str">
        <f t="shared" si="107"/>
        <v/>
      </c>
      <c r="U286" s="87" t="str" cm="1">
        <f t="array" ref="U286">IF(AND(H286&lt;&gt;"YES",P286&lt;&gt;"",R286&lt;&gt;"",Q286&lt;&gt;""),
_xlfn.SWITCH(Q286,
"INR",_xlfn.SWITCH(R286,"KG",P286*S286,"CTN",P286,"UNIT",P286*N286,"NET",P286/M286,0),
"USD",_xlfn.SWITCH(R286,"KG",P286*S286*SI!$C$10,"CTN",P286*SI!$C$10,"UNIT",P286*N286*SI!$C$10,"NET",P286*SI!$C$10/M286,0),
"LKR",_xlfn.SWITCH(R286,"KG",P286*S286/SI!$C$9,"CTN",P286/SI!$C$9,"UNIT",P286*N286/SI!$C$9,"NET",P286/(M286*SI!$C$9),0),
0),
"")</f>
        <v/>
      </c>
      <c r="V286" s="87" t="str">
        <f t="shared" si="108"/>
        <v/>
      </c>
      <c r="W286" s="87" t="str">
        <f t="shared" si="109"/>
        <v/>
      </c>
      <c r="X286" s="88" t="str">
        <f t="shared" si="110"/>
        <v/>
      </c>
      <c r="Y286" s="24" t="str">
        <f t="shared" si="111"/>
        <v/>
      </c>
      <c r="Z286" s="267" t="str">
        <f>IF(AND(H286&lt;&gt;"yes",F286&lt;&gt;""),IFERROR(VLOOKUP(F286,DUTY_2025!A:F,5,FALSE),""),"")</f>
        <v/>
      </c>
      <c r="AA286" s="271" t="str">
        <f t="shared" si="112"/>
        <v/>
      </c>
      <c r="AB286" s="16" t="str">
        <f t="shared" si="113"/>
        <v/>
      </c>
      <c r="AC286" s="16" t="str">
        <f>IF(AA286&lt;&gt;"",ROUND(AA286*SI!$C$9,0),"")</f>
        <v/>
      </c>
      <c r="AD286" s="4" t="str">
        <f>IF(AC286&lt;&gt;"",ROUND(AC286/(SI!$C$9*SI!$C$10),2),"")</f>
        <v/>
      </c>
      <c r="AE286" s="30" t="str">
        <f>IF(AND(X286&lt;&gt;""), ROUND((SI!$E$23)*(X286/SUM($X$5:$X$493)),0),"")</f>
        <v/>
      </c>
      <c r="AF286" s="272" t="str">
        <f t="shared" si="114"/>
        <v/>
      </c>
      <c r="AG286" s="28" t="str">
        <f t="shared" si="115"/>
        <v/>
      </c>
      <c r="AH286" s="4" t="str">
        <f>IF(AD286&lt;&gt;"",ROUND(AD286*10*SI!$C$9/2,0),"")</f>
        <v/>
      </c>
      <c r="AI286" s="29" t="str">
        <f>IF(AND(X286&lt;&gt;""), ROUND((SI!$E$28)*(X286/SUM($X$5:$X$493)),0),"")</f>
        <v/>
      </c>
      <c r="AJ286" s="4" t="str">
        <f t="shared" si="116"/>
        <v/>
      </c>
      <c r="AK286" s="4" t="str">
        <f t="shared" si="117"/>
        <v/>
      </c>
      <c r="AL286" s="4" t="str">
        <f t="shared" si="118"/>
        <v/>
      </c>
      <c r="AM286" s="4" t="str">
        <f t="shared" si="119"/>
        <v/>
      </c>
      <c r="AN286" s="195" t="str">
        <f t="shared" si="120"/>
        <v/>
      </c>
      <c r="AO286" s="261" t="str">
        <f>IF(AND(AM286&lt;&gt;"",P286&lt;&gt;""),ROUND((AM286*((100+SI!$C$11)/100)),0),"")</f>
        <v/>
      </c>
      <c r="AP286" s="28" t="str">
        <f>IF(AG286&lt;&gt;"",ROUND(AG286/SI!$C$9,2),"")</f>
        <v/>
      </c>
      <c r="AQ286" s="4" t="str">
        <f>IF(AH286&lt;&gt;"",ROUND(AH286/SI!$C$9,2),"")</f>
        <v/>
      </c>
      <c r="AR286" s="29" t="str">
        <f>IF(AI286&lt;&gt;"",ROUND(AI286/SI!$C$9,2),"")</f>
        <v/>
      </c>
      <c r="AS286" s="4" t="str">
        <f t="shared" si="121"/>
        <v/>
      </c>
      <c r="AT286" s="4" t="str">
        <f t="shared" si="122"/>
        <v/>
      </c>
      <c r="AU286" s="4" t="str">
        <f>IF(AL286&lt;&gt;"",ROUND(AL286/SI!$C$9,2),"")</f>
        <v/>
      </c>
      <c r="AV286" s="4" t="str">
        <f>IF(AM286&lt;&gt;"",ROUND(AM286/SI!$C$9,2),"")</f>
        <v/>
      </c>
      <c r="AW286" s="4" t="str">
        <f>IF(AN286&lt;&gt;"",ROUND(AN286/SI!$C$9,2),"")</f>
        <v/>
      </c>
      <c r="AX286" s="261" t="str">
        <f>IF(AO286&lt;&gt;"",ROUND(AO286/SI!$C$9,2),"")</f>
        <v/>
      </c>
      <c r="AY286" s="28" t="str">
        <f t="shared" si="123"/>
        <v/>
      </c>
      <c r="AZ286" s="4" t="str">
        <f>IF(AY286&lt;&gt;"",ROUND(AY286/(SI!$C$9*SI!$C$10),2),"")</f>
        <v/>
      </c>
      <c r="BA286" s="4" t="str">
        <f t="shared" si="124"/>
        <v/>
      </c>
      <c r="BB286" s="4" t="str">
        <f t="shared" si="125"/>
        <v/>
      </c>
      <c r="BC286" s="4" t="str">
        <f t="shared" si="126"/>
        <v/>
      </c>
      <c r="BD286" s="4" t="str">
        <f t="shared" si="127"/>
        <v/>
      </c>
      <c r="BE286" s="4" t="str">
        <f>IF(AND(X286&lt;&gt;""),ROUND(X286/SI!$C$10,2),"")</f>
        <v/>
      </c>
      <c r="BF286" s="4" t="str">
        <f t="shared" si="129"/>
        <v/>
      </c>
      <c r="BG286" s="264" t="str">
        <f t="shared" si="128"/>
        <v/>
      </c>
      <c r="BH286" s="71" t="str">
        <f>IF(F286&lt;&gt;"",VLOOKUP(F286,DUTY_2025!A:O,15,FALSE),"")</f>
        <v/>
      </c>
    </row>
    <row r="287" spans="1:60" x14ac:dyDescent="0.25">
      <c r="A287" s="133">
        <f t="shared" si="104"/>
        <v>66</v>
      </c>
      <c r="B287" s="83" t="str">
        <f t="shared" si="105"/>
        <v/>
      </c>
      <c r="C287" s="126"/>
      <c r="D287" s="130"/>
      <c r="E287" s="22"/>
      <c r="F287" s="85"/>
      <c r="G287" s="27" t="str">
        <f>IF(F287&lt;&gt;"",IFERROR(VLOOKUP(F287,DUTY_2025!A:I,6,FALSE),""),"")</f>
        <v/>
      </c>
      <c r="H287" s="85" t="s">
        <v>133</v>
      </c>
      <c r="I287" s="27" t="str">
        <f>IF(F287&lt;&gt;"",IFERROR(VLOOKUP(F287,DUTY_2025!A:H,2,FALSE),""),"")</f>
        <v/>
      </c>
      <c r="J287" s="98"/>
      <c r="K287" s="98"/>
      <c r="L287" s="22"/>
      <c r="M287" s="22"/>
      <c r="N287" s="84"/>
      <c r="O287" s="22"/>
      <c r="P287" s="116"/>
      <c r="Q287" s="23"/>
      <c r="R287" s="27"/>
      <c r="S287" s="86" t="str">
        <f t="shared" si="106"/>
        <v/>
      </c>
      <c r="T287" s="87" t="str">
        <f t="shared" si="107"/>
        <v/>
      </c>
      <c r="U287" s="87" t="str" cm="1">
        <f t="array" ref="U287">IF(AND(H287&lt;&gt;"YES",P287&lt;&gt;"",R287&lt;&gt;"",Q287&lt;&gt;""),
_xlfn.SWITCH(Q287,
"INR",_xlfn.SWITCH(R287,"KG",P287*S287,"CTN",P287,"UNIT",P287*N287,"NET",P287/M287,0),
"USD",_xlfn.SWITCH(R287,"KG",P287*S287*SI!$C$10,"CTN",P287*SI!$C$10,"UNIT",P287*N287*SI!$C$10,"NET",P287*SI!$C$10/M287,0),
"LKR",_xlfn.SWITCH(R287,"KG",P287*S287/SI!$C$9,"CTN",P287/SI!$C$9,"UNIT",P287*N287/SI!$C$9,"NET",P287/(M287*SI!$C$9),0),
0),
"")</f>
        <v/>
      </c>
      <c r="V287" s="87" t="str">
        <f t="shared" si="108"/>
        <v/>
      </c>
      <c r="W287" s="87" t="str">
        <f t="shared" si="109"/>
        <v/>
      </c>
      <c r="X287" s="88" t="str">
        <f t="shared" si="110"/>
        <v/>
      </c>
      <c r="Y287" s="24" t="str">
        <f t="shared" si="111"/>
        <v/>
      </c>
      <c r="Z287" s="267" t="str">
        <f>IF(AND(H287&lt;&gt;"yes",F287&lt;&gt;""),IFERROR(VLOOKUP(F287,DUTY_2025!A:F,5,FALSE),""),"")</f>
        <v/>
      </c>
      <c r="AA287" s="271" t="str">
        <f t="shared" si="112"/>
        <v/>
      </c>
      <c r="AB287" s="16" t="str">
        <f t="shared" si="113"/>
        <v/>
      </c>
      <c r="AC287" s="16" t="str">
        <f>IF(AA287&lt;&gt;"",ROUND(AA287*SI!$C$9,0),"")</f>
        <v/>
      </c>
      <c r="AD287" s="4" t="str">
        <f>IF(AC287&lt;&gt;"",ROUND(AC287/(SI!$C$9*SI!$C$10),2),"")</f>
        <v/>
      </c>
      <c r="AE287" s="30" t="str">
        <f>IF(AND(X287&lt;&gt;""), ROUND((SI!$E$23)*(X287/SUM($X$5:$X$493)),0),"")</f>
        <v/>
      </c>
      <c r="AF287" s="272" t="str">
        <f t="shared" si="114"/>
        <v/>
      </c>
      <c r="AG287" s="28" t="str">
        <f t="shared" si="115"/>
        <v/>
      </c>
      <c r="AH287" s="4" t="str">
        <f>IF(AD287&lt;&gt;"",ROUND(AD287*10*SI!$C$9/2,0),"")</f>
        <v/>
      </c>
      <c r="AI287" s="29" t="str">
        <f>IF(AND(X287&lt;&gt;""), ROUND((SI!$E$28)*(X287/SUM($X$5:$X$493)),0),"")</f>
        <v/>
      </c>
      <c r="AJ287" s="4" t="str">
        <f t="shared" si="116"/>
        <v/>
      </c>
      <c r="AK287" s="4" t="str">
        <f t="shared" si="117"/>
        <v/>
      </c>
      <c r="AL287" s="4" t="str">
        <f t="shared" si="118"/>
        <v/>
      </c>
      <c r="AM287" s="4" t="str">
        <f t="shared" si="119"/>
        <v/>
      </c>
      <c r="AN287" s="195" t="str">
        <f t="shared" si="120"/>
        <v/>
      </c>
      <c r="AO287" s="261" t="str">
        <f>IF(AND(AM287&lt;&gt;"",P287&lt;&gt;""),ROUND((AM287*((100+SI!$C$11)/100)),0),"")</f>
        <v/>
      </c>
      <c r="AP287" s="28" t="str">
        <f>IF(AG287&lt;&gt;"",ROUND(AG287/SI!$C$9,2),"")</f>
        <v/>
      </c>
      <c r="AQ287" s="4" t="str">
        <f>IF(AH287&lt;&gt;"",ROUND(AH287/SI!$C$9,2),"")</f>
        <v/>
      </c>
      <c r="AR287" s="29" t="str">
        <f>IF(AI287&lt;&gt;"",ROUND(AI287/SI!$C$9,2),"")</f>
        <v/>
      </c>
      <c r="AS287" s="4" t="str">
        <f t="shared" si="121"/>
        <v/>
      </c>
      <c r="AT287" s="4" t="str">
        <f t="shared" si="122"/>
        <v/>
      </c>
      <c r="AU287" s="4" t="str">
        <f>IF(AL287&lt;&gt;"",ROUND(AL287/SI!$C$9,2),"")</f>
        <v/>
      </c>
      <c r="AV287" s="4" t="str">
        <f>IF(AM287&lt;&gt;"",ROUND(AM287/SI!$C$9,2),"")</f>
        <v/>
      </c>
      <c r="AW287" s="4" t="str">
        <f>IF(AN287&lt;&gt;"",ROUND(AN287/SI!$C$9,2),"")</f>
        <v/>
      </c>
      <c r="AX287" s="261" t="str">
        <f>IF(AO287&lt;&gt;"",ROUND(AO287/SI!$C$9,2),"")</f>
        <v/>
      </c>
      <c r="AY287" s="28" t="str">
        <f t="shared" si="123"/>
        <v/>
      </c>
      <c r="AZ287" s="4" t="str">
        <f>IF(AY287&lt;&gt;"",ROUND(AY287/(SI!$C$9*SI!$C$10),2),"")</f>
        <v/>
      </c>
      <c r="BA287" s="4" t="str">
        <f t="shared" si="124"/>
        <v/>
      </c>
      <c r="BB287" s="4" t="str">
        <f t="shared" si="125"/>
        <v/>
      </c>
      <c r="BC287" s="4" t="str">
        <f t="shared" si="126"/>
        <v/>
      </c>
      <c r="BD287" s="4" t="str">
        <f t="shared" si="127"/>
        <v/>
      </c>
      <c r="BE287" s="4" t="str">
        <f>IF(AND(X287&lt;&gt;""),ROUND(X287/SI!$C$10,2),"")</f>
        <v/>
      </c>
      <c r="BF287" s="4" t="str">
        <f t="shared" si="129"/>
        <v/>
      </c>
      <c r="BG287" s="264" t="str">
        <f t="shared" si="128"/>
        <v/>
      </c>
      <c r="BH287" s="71" t="str">
        <f>IF(F287&lt;&gt;"",VLOOKUP(F287,DUTY_2025!A:O,15,FALSE),"")</f>
        <v/>
      </c>
    </row>
    <row r="288" spans="1:60" x14ac:dyDescent="0.25">
      <c r="A288" s="133">
        <f t="shared" si="104"/>
        <v>66</v>
      </c>
      <c r="B288" s="83" t="str">
        <f t="shared" si="105"/>
        <v/>
      </c>
      <c r="C288" s="126"/>
      <c r="D288" s="130"/>
      <c r="E288" s="22"/>
      <c r="F288" s="85"/>
      <c r="G288" s="27" t="str">
        <f>IF(F288&lt;&gt;"",IFERROR(VLOOKUP(F288,DUTY_2025!A:I,6,FALSE),""),"")</f>
        <v/>
      </c>
      <c r="H288" s="85" t="s">
        <v>133</v>
      </c>
      <c r="I288" s="27" t="str">
        <f>IF(F288&lt;&gt;"",IFERROR(VLOOKUP(F288,DUTY_2025!A:H,2,FALSE),""),"")</f>
        <v/>
      </c>
      <c r="J288" s="98"/>
      <c r="K288" s="98"/>
      <c r="L288" s="22"/>
      <c r="M288" s="22"/>
      <c r="N288" s="84"/>
      <c r="O288" s="22"/>
      <c r="P288" s="116"/>
      <c r="Q288" s="23"/>
      <c r="R288" s="27"/>
      <c r="S288" s="86" t="str">
        <f t="shared" si="106"/>
        <v/>
      </c>
      <c r="T288" s="87" t="str">
        <f t="shared" si="107"/>
        <v/>
      </c>
      <c r="U288" s="87" t="str" cm="1">
        <f t="array" ref="U288">IF(AND(H288&lt;&gt;"YES",P288&lt;&gt;"",R288&lt;&gt;"",Q288&lt;&gt;""),
_xlfn.SWITCH(Q288,
"INR",_xlfn.SWITCH(R288,"KG",P288*S288,"CTN",P288,"UNIT",P288*N288,"NET",P288/M288,0),
"USD",_xlfn.SWITCH(R288,"KG",P288*S288*SI!$C$10,"CTN",P288*SI!$C$10,"UNIT",P288*N288*SI!$C$10,"NET",P288*SI!$C$10/M288,0),
"LKR",_xlfn.SWITCH(R288,"KG",P288*S288/SI!$C$9,"CTN",P288/SI!$C$9,"UNIT",P288*N288/SI!$C$9,"NET",P288/(M288*SI!$C$9),0),
0),
"")</f>
        <v/>
      </c>
      <c r="V288" s="87" t="str">
        <f t="shared" si="108"/>
        <v/>
      </c>
      <c r="W288" s="87" t="str">
        <f t="shared" si="109"/>
        <v/>
      </c>
      <c r="X288" s="88" t="str">
        <f t="shared" si="110"/>
        <v/>
      </c>
      <c r="Y288" s="24" t="str">
        <f t="shared" si="111"/>
        <v/>
      </c>
      <c r="Z288" s="267" t="str">
        <f>IF(AND(H288&lt;&gt;"yes",F288&lt;&gt;""),IFERROR(VLOOKUP(F288,DUTY_2025!A:F,5,FALSE),""),"")</f>
        <v/>
      </c>
      <c r="AA288" s="271" t="str">
        <f t="shared" si="112"/>
        <v/>
      </c>
      <c r="AB288" s="16" t="str">
        <f t="shared" si="113"/>
        <v/>
      </c>
      <c r="AC288" s="16" t="str">
        <f>IF(AA288&lt;&gt;"",ROUND(AA288*SI!$C$9,0),"")</f>
        <v/>
      </c>
      <c r="AD288" s="4" t="str">
        <f>IF(AC288&lt;&gt;"",ROUND(AC288/(SI!$C$9*SI!$C$10),2),"")</f>
        <v/>
      </c>
      <c r="AE288" s="30" t="str">
        <f>IF(AND(X288&lt;&gt;""), ROUND((SI!$E$23)*(X288/SUM($X$5:$X$493)),0),"")</f>
        <v/>
      </c>
      <c r="AF288" s="272" t="str">
        <f t="shared" si="114"/>
        <v/>
      </c>
      <c r="AG288" s="28" t="str">
        <f t="shared" si="115"/>
        <v/>
      </c>
      <c r="AH288" s="4" t="str">
        <f>IF(AD288&lt;&gt;"",ROUND(AD288*10*SI!$C$9/2,0),"")</f>
        <v/>
      </c>
      <c r="AI288" s="29" t="str">
        <f>IF(AND(X288&lt;&gt;""), ROUND((SI!$E$28)*(X288/SUM($X$5:$X$493)),0),"")</f>
        <v/>
      </c>
      <c r="AJ288" s="4" t="str">
        <f t="shared" si="116"/>
        <v/>
      </c>
      <c r="AK288" s="4" t="str">
        <f t="shared" si="117"/>
        <v/>
      </c>
      <c r="AL288" s="4" t="str">
        <f t="shared" si="118"/>
        <v/>
      </c>
      <c r="AM288" s="4" t="str">
        <f t="shared" si="119"/>
        <v/>
      </c>
      <c r="AN288" s="195" t="str">
        <f t="shared" si="120"/>
        <v/>
      </c>
      <c r="AO288" s="261" t="str">
        <f>IF(AND(AM288&lt;&gt;"",P288&lt;&gt;""),ROUND((AM288*((100+SI!$C$11)/100)),0),"")</f>
        <v/>
      </c>
      <c r="AP288" s="28" t="str">
        <f>IF(AG288&lt;&gt;"",ROUND(AG288/SI!$C$9,2),"")</f>
        <v/>
      </c>
      <c r="AQ288" s="4" t="str">
        <f>IF(AH288&lt;&gt;"",ROUND(AH288/SI!$C$9,2),"")</f>
        <v/>
      </c>
      <c r="AR288" s="29" t="str">
        <f>IF(AI288&lt;&gt;"",ROUND(AI288/SI!$C$9,2),"")</f>
        <v/>
      </c>
      <c r="AS288" s="4" t="str">
        <f t="shared" si="121"/>
        <v/>
      </c>
      <c r="AT288" s="4" t="str">
        <f t="shared" si="122"/>
        <v/>
      </c>
      <c r="AU288" s="4" t="str">
        <f>IF(AL288&lt;&gt;"",ROUND(AL288/SI!$C$9,2),"")</f>
        <v/>
      </c>
      <c r="AV288" s="4" t="str">
        <f>IF(AM288&lt;&gt;"",ROUND(AM288/SI!$C$9,2),"")</f>
        <v/>
      </c>
      <c r="AW288" s="4" t="str">
        <f>IF(AN288&lt;&gt;"",ROUND(AN288/SI!$C$9,2),"")</f>
        <v/>
      </c>
      <c r="AX288" s="261" t="str">
        <f>IF(AO288&lt;&gt;"",ROUND(AO288/SI!$C$9,2),"")</f>
        <v/>
      </c>
      <c r="AY288" s="28" t="str">
        <f t="shared" si="123"/>
        <v/>
      </c>
      <c r="AZ288" s="4" t="str">
        <f>IF(AY288&lt;&gt;"",ROUND(AY288/(SI!$C$9*SI!$C$10),2),"")</f>
        <v/>
      </c>
      <c r="BA288" s="4" t="str">
        <f t="shared" si="124"/>
        <v/>
      </c>
      <c r="BB288" s="4" t="str">
        <f t="shared" si="125"/>
        <v/>
      </c>
      <c r="BC288" s="4" t="str">
        <f t="shared" si="126"/>
        <v/>
      </c>
      <c r="BD288" s="4" t="str">
        <f t="shared" si="127"/>
        <v/>
      </c>
      <c r="BE288" s="4" t="str">
        <f>IF(AND(X288&lt;&gt;""),ROUND(X288/SI!$C$10,2),"")</f>
        <v/>
      </c>
      <c r="BF288" s="4" t="str">
        <f t="shared" si="129"/>
        <v/>
      </c>
      <c r="BG288" s="264" t="str">
        <f t="shared" si="128"/>
        <v/>
      </c>
      <c r="BH288" s="71" t="str">
        <f>IF(F288&lt;&gt;"",VLOOKUP(F288,DUTY_2025!A:O,15,FALSE),"")</f>
        <v/>
      </c>
    </row>
    <row r="289" spans="1:60" x14ac:dyDescent="0.25">
      <c r="A289" s="133">
        <f t="shared" si="104"/>
        <v>66</v>
      </c>
      <c r="B289" s="83" t="str">
        <f t="shared" si="105"/>
        <v/>
      </c>
      <c r="C289" s="126"/>
      <c r="D289" s="130"/>
      <c r="E289" s="22"/>
      <c r="F289" s="85"/>
      <c r="G289" s="27" t="str">
        <f>IF(F289&lt;&gt;"",IFERROR(VLOOKUP(F289,DUTY_2025!A:I,6,FALSE),""),"")</f>
        <v/>
      </c>
      <c r="H289" s="85" t="s">
        <v>133</v>
      </c>
      <c r="I289" s="27" t="str">
        <f>IF(F289&lt;&gt;"",IFERROR(VLOOKUP(F289,DUTY_2025!A:H,2,FALSE),""),"")</f>
        <v/>
      </c>
      <c r="J289" s="98"/>
      <c r="K289" s="98"/>
      <c r="L289" s="22"/>
      <c r="M289" s="22"/>
      <c r="N289" s="84"/>
      <c r="O289" s="22"/>
      <c r="P289" s="116"/>
      <c r="Q289" s="23"/>
      <c r="R289" s="27"/>
      <c r="S289" s="86" t="str">
        <f t="shared" si="106"/>
        <v/>
      </c>
      <c r="T289" s="87" t="str">
        <f t="shared" si="107"/>
        <v/>
      </c>
      <c r="U289" s="87" t="str" cm="1">
        <f t="array" ref="U289">IF(AND(H289&lt;&gt;"YES",P289&lt;&gt;"",R289&lt;&gt;"",Q289&lt;&gt;""),
_xlfn.SWITCH(Q289,
"INR",_xlfn.SWITCH(R289,"KG",P289*S289,"CTN",P289,"UNIT",P289*N289,"NET",P289/M289,0),
"USD",_xlfn.SWITCH(R289,"KG",P289*S289*SI!$C$10,"CTN",P289*SI!$C$10,"UNIT",P289*N289*SI!$C$10,"NET",P289*SI!$C$10/M289,0),
"LKR",_xlfn.SWITCH(R289,"KG",P289*S289/SI!$C$9,"CTN",P289/SI!$C$9,"UNIT",P289*N289/SI!$C$9,"NET",P289/(M289*SI!$C$9),0),
0),
"")</f>
        <v/>
      </c>
      <c r="V289" s="87" t="str">
        <f t="shared" si="108"/>
        <v/>
      </c>
      <c r="W289" s="87" t="str">
        <f t="shared" si="109"/>
        <v/>
      </c>
      <c r="X289" s="88" t="str">
        <f t="shared" si="110"/>
        <v/>
      </c>
      <c r="Y289" s="24" t="str">
        <f t="shared" si="111"/>
        <v/>
      </c>
      <c r="Z289" s="267" t="str">
        <f>IF(AND(H289&lt;&gt;"yes",F289&lt;&gt;""),IFERROR(VLOOKUP(F289,DUTY_2025!A:F,5,FALSE),""),"")</f>
        <v/>
      </c>
      <c r="AA289" s="271" t="str">
        <f t="shared" si="112"/>
        <v/>
      </c>
      <c r="AB289" s="16" t="str">
        <f t="shared" si="113"/>
        <v/>
      </c>
      <c r="AC289" s="16" t="str">
        <f>IF(AA289&lt;&gt;"",ROUND(AA289*SI!$C$9,0),"")</f>
        <v/>
      </c>
      <c r="AD289" s="4" t="str">
        <f>IF(AC289&lt;&gt;"",ROUND(AC289/(SI!$C$9*SI!$C$10),2),"")</f>
        <v/>
      </c>
      <c r="AE289" s="30" t="str">
        <f>IF(AND(X289&lt;&gt;""), ROUND((SI!$E$23)*(X289/SUM($X$5:$X$493)),0),"")</f>
        <v/>
      </c>
      <c r="AF289" s="272" t="str">
        <f t="shared" si="114"/>
        <v/>
      </c>
      <c r="AG289" s="28" t="str">
        <f t="shared" si="115"/>
        <v/>
      </c>
      <c r="AH289" s="4" t="str">
        <f>IF(AD289&lt;&gt;"",ROUND(AD289*10*SI!$C$9/2,0),"")</f>
        <v/>
      </c>
      <c r="AI289" s="29" t="str">
        <f>IF(AND(X289&lt;&gt;""), ROUND((SI!$E$28)*(X289/SUM($X$5:$X$493)),0),"")</f>
        <v/>
      </c>
      <c r="AJ289" s="4" t="str">
        <f t="shared" si="116"/>
        <v/>
      </c>
      <c r="AK289" s="4" t="str">
        <f t="shared" si="117"/>
        <v/>
      </c>
      <c r="AL289" s="4" t="str">
        <f t="shared" si="118"/>
        <v/>
      </c>
      <c r="AM289" s="4" t="str">
        <f t="shared" si="119"/>
        <v/>
      </c>
      <c r="AN289" s="195" t="str">
        <f t="shared" si="120"/>
        <v/>
      </c>
      <c r="AO289" s="261" t="str">
        <f>IF(AND(AM289&lt;&gt;"",P289&lt;&gt;""),ROUND((AM289*((100+SI!$C$11)/100)),0),"")</f>
        <v/>
      </c>
      <c r="AP289" s="28" t="str">
        <f>IF(AG289&lt;&gt;"",ROUND(AG289/SI!$C$9,2),"")</f>
        <v/>
      </c>
      <c r="AQ289" s="4" t="str">
        <f>IF(AH289&lt;&gt;"",ROUND(AH289/SI!$C$9,2),"")</f>
        <v/>
      </c>
      <c r="AR289" s="29" t="str">
        <f>IF(AI289&lt;&gt;"",ROUND(AI289/SI!$C$9,2),"")</f>
        <v/>
      </c>
      <c r="AS289" s="4" t="str">
        <f t="shared" si="121"/>
        <v/>
      </c>
      <c r="AT289" s="4" t="str">
        <f t="shared" si="122"/>
        <v/>
      </c>
      <c r="AU289" s="4" t="str">
        <f>IF(AL289&lt;&gt;"",ROUND(AL289/SI!$C$9,2),"")</f>
        <v/>
      </c>
      <c r="AV289" s="4" t="str">
        <f>IF(AM289&lt;&gt;"",ROUND(AM289/SI!$C$9,2),"")</f>
        <v/>
      </c>
      <c r="AW289" s="4" t="str">
        <f>IF(AN289&lt;&gt;"",ROUND(AN289/SI!$C$9,2),"")</f>
        <v/>
      </c>
      <c r="AX289" s="261" t="str">
        <f>IF(AO289&lt;&gt;"",ROUND(AO289/SI!$C$9,2),"")</f>
        <v/>
      </c>
      <c r="AY289" s="28" t="str">
        <f t="shared" si="123"/>
        <v/>
      </c>
      <c r="AZ289" s="4" t="str">
        <f>IF(AY289&lt;&gt;"",ROUND(AY289/(SI!$C$9*SI!$C$10),2),"")</f>
        <v/>
      </c>
      <c r="BA289" s="4" t="str">
        <f t="shared" si="124"/>
        <v/>
      </c>
      <c r="BB289" s="4" t="str">
        <f t="shared" si="125"/>
        <v/>
      </c>
      <c r="BC289" s="4" t="str">
        <f t="shared" si="126"/>
        <v/>
      </c>
      <c r="BD289" s="4" t="str">
        <f t="shared" si="127"/>
        <v/>
      </c>
      <c r="BE289" s="4" t="str">
        <f>IF(AND(X289&lt;&gt;""),ROUND(X289/SI!$C$10,2),"")</f>
        <v/>
      </c>
      <c r="BF289" s="4" t="str">
        <f t="shared" si="129"/>
        <v/>
      </c>
      <c r="BG289" s="264" t="str">
        <f t="shared" si="128"/>
        <v/>
      </c>
      <c r="BH289" s="71" t="str">
        <f>IF(F289&lt;&gt;"",VLOOKUP(F289,DUTY_2025!A:O,15,FALSE),"")</f>
        <v/>
      </c>
    </row>
    <row r="290" spans="1:60" x14ac:dyDescent="0.25">
      <c r="A290" s="133">
        <f t="shared" si="104"/>
        <v>66</v>
      </c>
      <c r="B290" s="83" t="str">
        <f t="shared" si="105"/>
        <v/>
      </c>
      <c r="C290" s="126"/>
      <c r="D290" s="130"/>
      <c r="E290" s="22"/>
      <c r="F290" s="85"/>
      <c r="G290" s="27" t="str">
        <f>IF(F290&lt;&gt;"",IFERROR(VLOOKUP(F290,DUTY_2025!A:I,6,FALSE),""),"")</f>
        <v/>
      </c>
      <c r="H290" s="85" t="s">
        <v>133</v>
      </c>
      <c r="I290" s="27" t="str">
        <f>IF(F290&lt;&gt;"",IFERROR(VLOOKUP(F290,DUTY_2025!A:H,2,FALSE),""),"")</f>
        <v/>
      </c>
      <c r="J290" s="98"/>
      <c r="K290" s="98"/>
      <c r="L290" s="22"/>
      <c r="M290" s="22"/>
      <c r="N290" s="84"/>
      <c r="O290" s="22"/>
      <c r="P290" s="116"/>
      <c r="Q290" s="23"/>
      <c r="R290" s="27"/>
      <c r="S290" s="86" t="str">
        <f t="shared" si="106"/>
        <v/>
      </c>
      <c r="T290" s="87" t="str">
        <f t="shared" si="107"/>
        <v/>
      </c>
      <c r="U290" s="87" t="str" cm="1">
        <f t="array" ref="U290">IF(AND(H290&lt;&gt;"YES",P290&lt;&gt;"",R290&lt;&gt;"",Q290&lt;&gt;""),
_xlfn.SWITCH(Q290,
"INR",_xlfn.SWITCH(R290,"KG",P290*S290,"CTN",P290,"UNIT",P290*N290,"NET",P290/M290,0),
"USD",_xlfn.SWITCH(R290,"KG",P290*S290*SI!$C$10,"CTN",P290*SI!$C$10,"UNIT",P290*N290*SI!$C$10,"NET",P290*SI!$C$10/M290,0),
"LKR",_xlfn.SWITCH(R290,"KG",P290*S290/SI!$C$9,"CTN",P290/SI!$C$9,"UNIT",P290*N290/SI!$C$9,"NET",P290/(M290*SI!$C$9),0),
0),
"")</f>
        <v/>
      </c>
      <c r="V290" s="87" t="str">
        <f t="shared" si="108"/>
        <v/>
      </c>
      <c r="W290" s="87" t="str">
        <f t="shared" si="109"/>
        <v/>
      </c>
      <c r="X290" s="88" t="str">
        <f t="shared" si="110"/>
        <v/>
      </c>
      <c r="Y290" s="24" t="str">
        <f t="shared" si="111"/>
        <v/>
      </c>
      <c r="Z290" s="267" t="str">
        <f>IF(AND(H290&lt;&gt;"yes",F290&lt;&gt;""),IFERROR(VLOOKUP(F290,DUTY_2025!A:F,5,FALSE),""),"")</f>
        <v/>
      </c>
      <c r="AA290" s="271" t="str">
        <f t="shared" si="112"/>
        <v/>
      </c>
      <c r="AB290" s="16" t="str">
        <f t="shared" si="113"/>
        <v/>
      </c>
      <c r="AC290" s="16" t="str">
        <f>IF(AA290&lt;&gt;"",ROUND(AA290*SI!$C$9,0),"")</f>
        <v/>
      </c>
      <c r="AD290" s="4" t="str">
        <f>IF(AC290&lt;&gt;"",ROUND(AC290/(SI!$C$9*SI!$C$10),2),"")</f>
        <v/>
      </c>
      <c r="AE290" s="30" t="str">
        <f>IF(AND(X290&lt;&gt;""), ROUND((SI!$E$23)*(X290/SUM($X$5:$X$493)),0),"")</f>
        <v/>
      </c>
      <c r="AF290" s="272" t="str">
        <f t="shared" si="114"/>
        <v/>
      </c>
      <c r="AG290" s="28" t="str">
        <f t="shared" si="115"/>
        <v/>
      </c>
      <c r="AH290" s="4" t="str">
        <f>IF(AD290&lt;&gt;"",ROUND(AD290*10*SI!$C$9/2,0),"")</f>
        <v/>
      </c>
      <c r="AI290" s="29" t="str">
        <f>IF(AND(X290&lt;&gt;""), ROUND((SI!$E$28)*(X290/SUM($X$5:$X$493)),0),"")</f>
        <v/>
      </c>
      <c r="AJ290" s="4" t="str">
        <f t="shared" si="116"/>
        <v/>
      </c>
      <c r="AK290" s="4" t="str">
        <f t="shared" si="117"/>
        <v/>
      </c>
      <c r="AL290" s="4" t="str">
        <f t="shared" si="118"/>
        <v/>
      </c>
      <c r="AM290" s="4" t="str">
        <f t="shared" si="119"/>
        <v/>
      </c>
      <c r="AN290" s="195" t="str">
        <f t="shared" si="120"/>
        <v/>
      </c>
      <c r="AO290" s="261" t="str">
        <f>IF(AND(AM290&lt;&gt;"",P290&lt;&gt;""),ROUND((AM290*((100+SI!$C$11)/100)),0),"")</f>
        <v/>
      </c>
      <c r="AP290" s="28" t="str">
        <f>IF(AG290&lt;&gt;"",ROUND(AG290/SI!$C$9,2),"")</f>
        <v/>
      </c>
      <c r="AQ290" s="4" t="str">
        <f>IF(AH290&lt;&gt;"",ROUND(AH290/SI!$C$9,2),"")</f>
        <v/>
      </c>
      <c r="AR290" s="29" t="str">
        <f>IF(AI290&lt;&gt;"",ROUND(AI290/SI!$C$9,2),"")</f>
        <v/>
      </c>
      <c r="AS290" s="4" t="str">
        <f t="shared" si="121"/>
        <v/>
      </c>
      <c r="AT290" s="4" t="str">
        <f t="shared" si="122"/>
        <v/>
      </c>
      <c r="AU290" s="4" t="str">
        <f>IF(AL290&lt;&gt;"",ROUND(AL290/SI!$C$9,2),"")</f>
        <v/>
      </c>
      <c r="AV290" s="4" t="str">
        <f>IF(AM290&lt;&gt;"",ROUND(AM290/SI!$C$9,2),"")</f>
        <v/>
      </c>
      <c r="AW290" s="4" t="str">
        <f>IF(AN290&lt;&gt;"",ROUND(AN290/SI!$C$9,2),"")</f>
        <v/>
      </c>
      <c r="AX290" s="261" t="str">
        <f>IF(AO290&lt;&gt;"",ROUND(AO290/SI!$C$9,2),"")</f>
        <v/>
      </c>
      <c r="AY290" s="28" t="str">
        <f t="shared" si="123"/>
        <v/>
      </c>
      <c r="AZ290" s="4" t="str">
        <f>IF(AY290&lt;&gt;"",ROUND(AY290/(SI!$C$9*SI!$C$10),2),"")</f>
        <v/>
      </c>
      <c r="BA290" s="4" t="str">
        <f t="shared" si="124"/>
        <v/>
      </c>
      <c r="BB290" s="4" t="str">
        <f t="shared" si="125"/>
        <v/>
      </c>
      <c r="BC290" s="4" t="str">
        <f t="shared" si="126"/>
        <v/>
      </c>
      <c r="BD290" s="4" t="str">
        <f t="shared" si="127"/>
        <v/>
      </c>
      <c r="BE290" s="4" t="str">
        <f>IF(AND(X290&lt;&gt;""),ROUND(X290/SI!$C$10,2),"")</f>
        <v/>
      </c>
      <c r="BF290" s="4" t="str">
        <f t="shared" si="129"/>
        <v/>
      </c>
      <c r="BG290" s="264" t="str">
        <f t="shared" si="128"/>
        <v/>
      </c>
      <c r="BH290" s="71" t="str">
        <f>IF(F290&lt;&gt;"",VLOOKUP(F290,DUTY_2025!A:O,15,FALSE),"")</f>
        <v/>
      </c>
    </row>
    <row r="291" spans="1:60" x14ac:dyDescent="0.25">
      <c r="A291" s="133">
        <f t="shared" si="104"/>
        <v>66</v>
      </c>
      <c r="B291" s="83" t="str">
        <f t="shared" si="105"/>
        <v/>
      </c>
      <c r="C291" s="126"/>
      <c r="D291" s="130"/>
      <c r="E291" s="22"/>
      <c r="F291" s="85"/>
      <c r="G291" s="27" t="str">
        <f>IF(F291&lt;&gt;"",IFERROR(VLOOKUP(F291,DUTY_2025!A:I,6,FALSE),""),"")</f>
        <v/>
      </c>
      <c r="H291" s="85" t="s">
        <v>133</v>
      </c>
      <c r="I291" s="27" t="str">
        <f>IF(F291&lt;&gt;"",IFERROR(VLOOKUP(F291,DUTY_2025!A:H,2,FALSE),""),"")</f>
        <v/>
      </c>
      <c r="J291" s="98"/>
      <c r="K291" s="98"/>
      <c r="L291" s="22"/>
      <c r="M291" s="22"/>
      <c r="N291" s="84"/>
      <c r="O291" s="22"/>
      <c r="P291" s="116"/>
      <c r="Q291" s="23"/>
      <c r="R291" s="27"/>
      <c r="S291" s="86" t="str">
        <f t="shared" si="106"/>
        <v/>
      </c>
      <c r="T291" s="87" t="str">
        <f t="shared" si="107"/>
        <v/>
      </c>
      <c r="U291" s="87" t="str" cm="1">
        <f t="array" ref="U291">IF(AND(H291&lt;&gt;"YES",P291&lt;&gt;"",R291&lt;&gt;"",Q291&lt;&gt;""),
_xlfn.SWITCH(Q291,
"INR",_xlfn.SWITCH(R291,"KG",P291*S291,"CTN",P291,"UNIT",P291*N291,"NET",P291/M291,0),
"USD",_xlfn.SWITCH(R291,"KG",P291*S291*SI!$C$10,"CTN",P291*SI!$C$10,"UNIT",P291*N291*SI!$C$10,"NET",P291*SI!$C$10/M291,0),
"LKR",_xlfn.SWITCH(R291,"KG",P291*S291/SI!$C$9,"CTN",P291/SI!$C$9,"UNIT",P291*N291/SI!$C$9,"NET",P291/(M291*SI!$C$9),0),
0),
"")</f>
        <v/>
      </c>
      <c r="V291" s="87" t="str">
        <f t="shared" si="108"/>
        <v/>
      </c>
      <c r="W291" s="87" t="str">
        <f t="shared" si="109"/>
        <v/>
      </c>
      <c r="X291" s="88" t="str">
        <f t="shared" si="110"/>
        <v/>
      </c>
      <c r="Y291" s="24" t="str">
        <f t="shared" si="111"/>
        <v/>
      </c>
      <c r="Z291" s="267" t="str">
        <f>IF(AND(H291&lt;&gt;"yes",F291&lt;&gt;""),IFERROR(VLOOKUP(F291,DUTY_2025!A:F,5,FALSE),""),"")</f>
        <v/>
      </c>
      <c r="AA291" s="271" t="str">
        <f t="shared" si="112"/>
        <v/>
      </c>
      <c r="AB291" s="16" t="str">
        <f t="shared" si="113"/>
        <v/>
      </c>
      <c r="AC291" s="16" t="str">
        <f>IF(AA291&lt;&gt;"",ROUND(AA291*SI!$C$9,0),"")</f>
        <v/>
      </c>
      <c r="AD291" s="4" t="str">
        <f>IF(AC291&lt;&gt;"",ROUND(AC291/(SI!$C$9*SI!$C$10),2),"")</f>
        <v/>
      </c>
      <c r="AE291" s="30" t="str">
        <f>IF(AND(X291&lt;&gt;""), ROUND((SI!$E$23)*(X291/SUM($X$5:$X$493)),0),"")</f>
        <v/>
      </c>
      <c r="AF291" s="272" t="str">
        <f t="shared" si="114"/>
        <v/>
      </c>
      <c r="AG291" s="28" t="str">
        <f t="shared" si="115"/>
        <v/>
      </c>
      <c r="AH291" s="4" t="str">
        <f>IF(AD291&lt;&gt;"",ROUND(AD291*10*SI!$C$9/2,0),"")</f>
        <v/>
      </c>
      <c r="AI291" s="29" t="str">
        <f>IF(AND(X291&lt;&gt;""), ROUND((SI!$E$28)*(X291/SUM($X$5:$X$493)),0),"")</f>
        <v/>
      </c>
      <c r="AJ291" s="4" t="str">
        <f t="shared" si="116"/>
        <v/>
      </c>
      <c r="AK291" s="4" t="str">
        <f t="shared" si="117"/>
        <v/>
      </c>
      <c r="AL291" s="4" t="str">
        <f t="shared" si="118"/>
        <v/>
      </c>
      <c r="AM291" s="4" t="str">
        <f t="shared" si="119"/>
        <v/>
      </c>
      <c r="AN291" s="195" t="str">
        <f t="shared" si="120"/>
        <v/>
      </c>
      <c r="AO291" s="261" t="str">
        <f>IF(AND(AM291&lt;&gt;"",P291&lt;&gt;""),ROUND((AM291*((100+SI!$C$11)/100)),0),"")</f>
        <v/>
      </c>
      <c r="AP291" s="28" t="str">
        <f>IF(AG291&lt;&gt;"",ROUND(AG291/SI!$C$9,2),"")</f>
        <v/>
      </c>
      <c r="AQ291" s="4" t="str">
        <f>IF(AH291&lt;&gt;"",ROUND(AH291/SI!$C$9,2),"")</f>
        <v/>
      </c>
      <c r="AR291" s="29" t="str">
        <f>IF(AI291&lt;&gt;"",ROUND(AI291/SI!$C$9,2),"")</f>
        <v/>
      </c>
      <c r="AS291" s="4" t="str">
        <f t="shared" si="121"/>
        <v/>
      </c>
      <c r="AT291" s="4" t="str">
        <f t="shared" si="122"/>
        <v/>
      </c>
      <c r="AU291" s="4" t="str">
        <f>IF(AL291&lt;&gt;"",ROUND(AL291/SI!$C$9,2),"")</f>
        <v/>
      </c>
      <c r="AV291" s="4" t="str">
        <f>IF(AM291&lt;&gt;"",ROUND(AM291/SI!$C$9,2),"")</f>
        <v/>
      </c>
      <c r="AW291" s="4" t="str">
        <f>IF(AN291&lt;&gt;"",ROUND(AN291/SI!$C$9,2),"")</f>
        <v/>
      </c>
      <c r="AX291" s="261" t="str">
        <f>IF(AO291&lt;&gt;"",ROUND(AO291/SI!$C$9,2),"")</f>
        <v/>
      </c>
      <c r="AY291" s="28" t="str">
        <f t="shared" si="123"/>
        <v/>
      </c>
      <c r="AZ291" s="4" t="str">
        <f>IF(AY291&lt;&gt;"",ROUND(AY291/(SI!$C$9*SI!$C$10),2),"")</f>
        <v/>
      </c>
      <c r="BA291" s="4" t="str">
        <f t="shared" si="124"/>
        <v/>
      </c>
      <c r="BB291" s="4" t="str">
        <f t="shared" si="125"/>
        <v/>
      </c>
      <c r="BC291" s="4" t="str">
        <f t="shared" si="126"/>
        <v/>
      </c>
      <c r="BD291" s="4" t="str">
        <f t="shared" si="127"/>
        <v/>
      </c>
      <c r="BE291" s="4" t="str">
        <f>IF(AND(X291&lt;&gt;""),ROUND(X291/SI!$C$10,2),"")</f>
        <v/>
      </c>
      <c r="BF291" s="4" t="str">
        <f t="shared" si="129"/>
        <v/>
      </c>
      <c r="BG291" s="264" t="str">
        <f t="shared" si="128"/>
        <v/>
      </c>
      <c r="BH291" s="71" t="str">
        <f>IF(F291&lt;&gt;"",VLOOKUP(F291,DUTY_2025!A:O,15,FALSE),"")</f>
        <v/>
      </c>
    </row>
    <row r="292" spans="1:60" x14ac:dyDescent="0.25">
      <c r="A292" s="133">
        <f t="shared" si="104"/>
        <v>66</v>
      </c>
      <c r="B292" s="83" t="str">
        <f t="shared" si="105"/>
        <v/>
      </c>
      <c r="C292" s="126"/>
      <c r="D292" s="130"/>
      <c r="E292" s="22"/>
      <c r="F292" s="85"/>
      <c r="G292" s="27" t="str">
        <f>IF(F292&lt;&gt;"",IFERROR(VLOOKUP(F292,DUTY_2025!A:I,6,FALSE),""),"")</f>
        <v/>
      </c>
      <c r="H292" s="85" t="s">
        <v>133</v>
      </c>
      <c r="I292" s="27" t="str">
        <f>IF(F292&lt;&gt;"",IFERROR(VLOOKUP(F292,DUTY_2025!A:H,2,FALSE),""),"")</f>
        <v/>
      </c>
      <c r="J292" s="98"/>
      <c r="K292" s="98"/>
      <c r="L292" s="22"/>
      <c r="M292" s="22"/>
      <c r="N292" s="84"/>
      <c r="O292" s="22"/>
      <c r="P292" s="116"/>
      <c r="Q292" s="23"/>
      <c r="R292" s="27"/>
      <c r="S292" s="86" t="str">
        <f t="shared" si="106"/>
        <v/>
      </c>
      <c r="T292" s="87" t="str">
        <f t="shared" si="107"/>
        <v/>
      </c>
      <c r="U292" s="87" t="str" cm="1">
        <f t="array" ref="U292">IF(AND(H292&lt;&gt;"YES",P292&lt;&gt;"",R292&lt;&gt;"",Q292&lt;&gt;""),
_xlfn.SWITCH(Q292,
"INR",_xlfn.SWITCH(R292,"KG",P292*S292,"CTN",P292,"UNIT",P292*N292,"NET",P292/M292,0),
"USD",_xlfn.SWITCH(R292,"KG",P292*S292*SI!$C$10,"CTN",P292*SI!$C$10,"UNIT",P292*N292*SI!$C$10,"NET",P292*SI!$C$10/M292,0),
"LKR",_xlfn.SWITCH(R292,"KG",P292*S292/SI!$C$9,"CTN",P292/SI!$C$9,"UNIT",P292*N292/SI!$C$9,"NET",P292/(M292*SI!$C$9),0),
0),
"")</f>
        <v/>
      </c>
      <c r="V292" s="87" t="str">
        <f t="shared" si="108"/>
        <v/>
      </c>
      <c r="W292" s="87" t="str">
        <f t="shared" si="109"/>
        <v/>
      </c>
      <c r="X292" s="88" t="str">
        <f t="shared" si="110"/>
        <v/>
      </c>
      <c r="Y292" s="24" t="str">
        <f t="shared" si="111"/>
        <v/>
      </c>
      <c r="Z292" s="267" t="str">
        <f>IF(AND(H292&lt;&gt;"yes",F292&lt;&gt;""),IFERROR(VLOOKUP(F292,DUTY_2025!A:F,5,FALSE),""),"")</f>
        <v/>
      </c>
      <c r="AA292" s="271" t="str">
        <f t="shared" si="112"/>
        <v/>
      </c>
      <c r="AB292" s="16" t="str">
        <f t="shared" si="113"/>
        <v/>
      </c>
      <c r="AC292" s="16" t="str">
        <f>IF(AA292&lt;&gt;"",ROUND(AA292*SI!$C$9,0),"")</f>
        <v/>
      </c>
      <c r="AD292" s="4" t="str">
        <f>IF(AC292&lt;&gt;"",ROUND(AC292/(SI!$C$9*SI!$C$10),2),"")</f>
        <v/>
      </c>
      <c r="AE292" s="30" t="str">
        <f>IF(AND(X292&lt;&gt;""), ROUND((SI!$E$23)*(X292/SUM($X$5:$X$493)),0),"")</f>
        <v/>
      </c>
      <c r="AF292" s="272" t="str">
        <f t="shared" si="114"/>
        <v/>
      </c>
      <c r="AG292" s="28" t="str">
        <f t="shared" si="115"/>
        <v/>
      </c>
      <c r="AH292" s="4" t="str">
        <f>IF(AD292&lt;&gt;"",ROUND(AD292*10*SI!$C$9/2,0),"")</f>
        <v/>
      </c>
      <c r="AI292" s="29" t="str">
        <f>IF(AND(X292&lt;&gt;""), ROUND((SI!$E$28)*(X292/SUM($X$5:$X$493)),0),"")</f>
        <v/>
      </c>
      <c r="AJ292" s="4" t="str">
        <f t="shared" si="116"/>
        <v/>
      </c>
      <c r="AK292" s="4" t="str">
        <f t="shared" si="117"/>
        <v/>
      </c>
      <c r="AL292" s="4" t="str">
        <f t="shared" si="118"/>
        <v/>
      </c>
      <c r="AM292" s="4" t="str">
        <f t="shared" si="119"/>
        <v/>
      </c>
      <c r="AN292" s="195" t="str">
        <f t="shared" si="120"/>
        <v/>
      </c>
      <c r="AO292" s="261" t="str">
        <f>IF(AND(AM292&lt;&gt;"",P292&lt;&gt;""),ROUND((AM292*((100+SI!$C$11)/100)),0),"")</f>
        <v/>
      </c>
      <c r="AP292" s="28" t="str">
        <f>IF(AG292&lt;&gt;"",ROUND(AG292/SI!$C$9,2),"")</f>
        <v/>
      </c>
      <c r="AQ292" s="4" t="str">
        <f>IF(AH292&lt;&gt;"",ROUND(AH292/SI!$C$9,2),"")</f>
        <v/>
      </c>
      <c r="AR292" s="29" t="str">
        <f>IF(AI292&lt;&gt;"",ROUND(AI292/SI!$C$9,2),"")</f>
        <v/>
      </c>
      <c r="AS292" s="4" t="str">
        <f t="shared" si="121"/>
        <v/>
      </c>
      <c r="AT292" s="4" t="str">
        <f t="shared" si="122"/>
        <v/>
      </c>
      <c r="AU292" s="4" t="str">
        <f>IF(AL292&lt;&gt;"",ROUND(AL292/SI!$C$9,2),"")</f>
        <v/>
      </c>
      <c r="AV292" s="4" t="str">
        <f>IF(AM292&lt;&gt;"",ROUND(AM292/SI!$C$9,2),"")</f>
        <v/>
      </c>
      <c r="AW292" s="4" t="str">
        <f>IF(AN292&lt;&gt;"",ROUND(AN292/SI!$C$9,2),"")</f>
        <v/>
      </c>
      <c r="AX292" s="261" t="str">
        <f>IF(AO292&lt;&gt;"",ROUND(AO292/SI!$C$9,2),"")</f>
        <v/>
      </c>
      <c r="AY292" s="28" t="str">
        <f t="shared" si="123"/>
        <v/>
      </c>
      <c r="AZ292" s="4" t="str">
        <f>IF(AY292&lt;&gt;"",ROUND(AY292/(SI!$C$9*SI!$C$10),2),"")</f>
        <v/>
      </c>
      <c r="BA292" s="4" t="str">
        <f t="shared" si="124"/>
        <v/>
      </c>
      <c r="BB292" s="4" t="str">
        <f t="shared" si="125"/>
        <v/>
      </c>
      <c r="BC292" s="4" t="str">
        <f t="shared" si="126"/>
        <v/>
      </c>
      <c r="BD292" s="4" t="str">
        <f t="shared" si="127"/>
        <v/>
      </c>
      <c r="BE292" s="4" t="str">
        <f>IF(AND(X292&lt;&gt;""),ROUND(X292/SI!$C$10,2),"")</f>
        <v/>
      </c>
      <c r="BF292" s="4" t="str">
        <f t="shared" si="129"/>
        <v/>
      </c>
      <c r="BG292" s="264" t="str">
        <f t="shared" si="128"/>
        <v/>
      </c>
      <c r="BH292" s="71" t="str">
        <f>IF(F292&lt;&gt;"",VLOOKUP(F292,DUTY_2025!A:O,15,FALSE),"")</f>
        <v/>
      </c>
    </row>
    <row r="293" spans="1:60" x14ac:dyDescent="0.25">
      <c r="A293" s="133">
        <f t="shared" si="104"/>
        <v>66</v>
      </c>
      <c r="B293" s="83" t="str">
        <f t="shared" si="105"/>
        <v/>
      </c>
      <c r="C293" s="126"/>
      <c r="D293" s="130"/>
      <c r="E293" s="22"/>
      <c r="F293" s="85"/>
      <c r="G293" s="27" t="str">
        <f>IF(F293&lt;&gt;"",IFERROR(VLOOKUP(F293,DUTY_2025!A:I,6,FALSE),""),"")</f>
        <v/>
      </c>
      <c r="H293" s="85" t="s">
        <v>133</v>
      </c>
      <c r="I293" s="27" t="str">
        <f>IF(F293&lt;&gt;"",IFERROR(VLOOKUP(F293,DUTY_2025!A:H,2,FALSE),""),"")</f>
        <v/>
      </c>
      <c r="J293" s="98"/>
      <c r="K293" s="98"/>
      <c r="L293" s="22"/>
      <c r="M293" s="22"/>
      <c r="N293" s="84"/>
      <c r="O293" s="22"/>
      <c r="P293" s="116"/>
      <c r="Q293" s="23"/>
      <c r="R293" s="27"/>
      <c r="S293" s="86" t="str">
        <f t="shared" si="106"/>
        <v/>
      </c>
      <c r="T293" s="87" t="str">
        <f t="shared" si="107"/>
        <v/>
      </c>
      <c r="U293" s="87" t="str" cm="1">
        <f t="array" ref="U293">IF(AND(H293&lt;&gt;"YES",P293&lt;&gt;"",R293&lt;&gt;"",Q293&lt;&gt;""),
_xlfn.SWITCH(Q293,
"INR",_xlfn.SWITCH(R293,"KG",P293*S293,"CTN",P293,"UNIT",P293*N293,"NET",P293/M293,0),
"USD",_xlfn.SWITCH(R293,"KG",P293*S293*SI!$C$10,"CTN",P293*SI!$C$10,"UNIT",P293*N293*SI!$C$10,"NET",P293*SI!$C$10/M293,0),
"LKR",_xlfn.SWITCH(R293,"KG",P293*S293/SI!$C$9,"CTN",P293/SI!$C$9,"UNIT",P293*N293/SI!$C$9,"NET",P293/(M293*SI!$C$9),0),
0),
"")</f>
        <v/>
      </c>
      <c r="V293" s="87" t="str">
        <f t="shared" si="108"/>
        <v/>
      </c>
      <c r="W293" s="87" t="str">
        <f t="shared" si="109"/>
        <v/>
      </c>
      <c r="X293" s="88" t="str">
        <f t="shared" si="110"/>
        <v/>
      </c>
      <c r="Y293" s="24" t="str">
        <f t="shared" si="111"/>
        <v/>
      </c>
      <c r="Z293" s="267" t="str">
        <f>IF(AND(H293&lt;&gt;"yes",F293&lt;&gt;""),IFERROR(VLOOKUP(F293,DUTY_2025!A:F,5,FALSE),""),"")</f>
        <v/>
      </c>
      <c r="AA293" s="271" t="str">
        <f t="shared" si="112"/>
        <v/>
      </c>
      <c r="AB293" s="16" t="str">
        <f t="shared" si="113"/>
        <v/>
      </c>
      <c r="AC293" s="16" t="str">
        <f>IF(AA293&lt;&gt;"",ROUND(AA293*SI!$C$9,0),"")</f>
        <v/>
      </c>
      <c r="AD293" s="4" t="str">
        <f>IF(AC293&lt;&gt;"",ROUND(AC293/(SI!$C$9*SI!$C$10),2),"")</f>
        <v/>
      </c>
      <c r="AE293" s="30" t="str">
        <f>IF(AND(X293&lt;&gt;""), ROUND((SI!$E$23)*(X293/SUM($X$5:$X$493)),0),"")</f>
        <v/>
      </c>
      <c r="AF293" s="272" t="str">
        <f t="shared" si="114"/>
        <v/>
      </c>
      <c r="AG293" s="28" t="str">
        <f t="shared" si="115"/>
        <v/>
      </c>
      <c r="AH293" s="4" t="str">
        <f>IF(AD293&lt;&gt;"",ROUND(AD293*10*SI!$C$9/2,0),"")</f>
        <v/>
      </c>
      <c r="AI293" s="29" t="str">
        <f>IF(AND(X293&lt;&gt;""), ROUND((SI!$E$28)*(X293/SUM($X$5:$X$493)),0),"")</f>
        <v/>
      </c>
      <c r="AJ293" s="4" t="str">
        <f t="shared" si="116"/>
        <v/>
      </c>
      <c r="AK293" s="4" t="str">
        <f t="shared" si="117"/>
        <v/>
      </c>
      <c r="AL293" s="4" t="str">
        <f t="shared" si="118"/>
        <v/>
      </c>
      <c r="AM293" s="4" t="str">
        <f t="shared" si="119"/>
        <v/>
      </c>
      <c r="AN293" s="195" t="str">
        <f t="shared" si="120"/>
        <v/>
      </c>
      <c r="AO293" s="261" t="str">
        <f>IF(AND(AM293&lt;&gt;"",P293&lt;&gt;""),ROUND((AM293*((100+SI!$C$11)/100)),0),"")</f>
        <v/>
      </c>
      <c r="AP293" s="28" t="str">
        <f>IF(AG293&lt;&gt;"",ROUND(AG293/SI!$C$9,2),"")</f>
        <v/>
      </c>
      <c r="AQ293" s="4" t="str">
        <f>IF(AH293&lt;&gt;"",ROUND(AH293/SI!$C$9,2),"")</f>
        <v/>
      </c>
      <c r="AR293" s="29" t="str">
        <f>IF(AI293&lt;&gt;"",ROUND(AI293/SI!$C$9,2),"")</f>
        <v/>
      </c>
      <c r="AS293" s="4" t="str">
        <f t="shared" si="121"/>
        <v/>
      </c>
      <c r="AT293" s="4" t="str">
        <f t="shared" si="122"/>
        <v/>
      </c>
      <c r="AU293" s="4" t="str">
        <f>IF(AL293&lt;&gt;"",ROUND(AL293/SI!$C$9,2),"")</f>
        <v/>
      </c>
      <c r="AV293" s="4" t="str">
        <f>IF(AM293&lt;&gt;"",ROUND(AM293/SI!$C$9,2),"")</f>
        <v/>
      </c>
      <c r="AW293" s="4" t="str">
        <f>IF(AN293&lt;&gt;"",ROUND(AN293/SI!$C$9,2),"")</f>
        <v/>
      </c>
      <c r="AX293" s="261" t="str">
        <f>IF(AO293&lt;&gt;"",ROUND(AO293/SI!$C$9,2),"")</f>
        <v/>
      </c>
      <c r="AY293" s="28" t="str">
        <f t="shared" si="123"/>
        <v/>
      </c>
      <c r="AZ293" s="4" t="str">
        <f>IF(AY293&lt;&gt;"",ROUND(AY293/(SI!$C$9*SI!$C$10),2),"")</f>
        <v/>
      </c>
      <c r="BA293" s="4" t="str">
        <f t="shared" si="124"/>
        <v/>
      </c>
      <c r="BB293" s="4" t="str">
        <f t="shared" si="125"/>
        <v/>
      </c>
      <c r="BC293" s="4" t="str">
        <f t="shared" si="126"/>
        <v/>
      </c>
      <c r="BD293" s="4" t="str">
        <f t="shared" si="127"/>
        <v/>
      </c>
      <c r="BE293" s="4" t="str">
        <f>IF(AND(X293&lt;&gt;""),ROUND(X293/SI!$C$10,2),"")</f>
        <v/>
      </c>
      <c r="BF293" s="4" t="str">
        <f t="shared" si="129"/>
        <v/>
      </c>
      <c r="BG293" s="264" t="str">
        <f t="shared" si="128"/>
        <v/>
      </c>
      <c r="BH293" s="71" t="str">
        <f>IF(F293&lt;&gt;"",VLOOKUP(F293,DUTY_2025!A:O,15,FALSE),"")</f>
        <v/>
      </c>
    </row>
    <row r="294" spans="1:60" x14ac:dyDescent="0.25">
      <c r="A294" s="133">
        <f t="shared" si="104"/>
        <v>66</v>
      </c>
      <c r="B294" s="83" t="str">
        <f t="shared" si="105"/>
        <v/>
      </c>
      <c r="C294" s="126"/>
      <c r="D294" s="130"/>
      <c r="E294" s="22"/>
      <c r="F294" s="85"/>
      <c r="G294" s="27" t="str">
        <f>IF(F294&lt;&gt;"",IFERROR(VLOOKUP(F294,DUTY_2025!A:I,6,FALSE),""),"")</f>
        <v/>
      </c>
      <c r="H294" s="85" t="s">
        <v>133</v>
      </c>
      <c r="I294" s="27" t="str">
        <f>IF(F294&lt;&gt;"",IFERROR(VLOOKUP(F294,DUTY_2025!A:H,2,FALSE),""),"")</f>
        <v/>
      </c>
      <c r="J294" s="98"/>
      <c r="K294" s="98"/>
      <c r="L294" s="22"/>
      <c r="M294" s="22"/>
      <c r="N294" s="84"/>
      <c r="O294" s="22"/>
      <c r="P294" s="116"/>
      <c r="Q294" s="23"/>
      <c r="R294" s="27"/>
      <c r="S294" s="86" t="str">
        <f t="shared" si="106"/>
        <v/>
      </c>
      <c r="T294" s="87" t="str">
        <f t="shared" si="107"/>
        <v/>
      </c>
      <c r="U294" s="87" t="str" cm="1">
        <f t="array" ref="U294">IF(AND(H294&lt;&gt;"YES",P294&lt;&gt;"",R294&lt;&gt;"",Q294&lt;&gt;""),
_xlfn.SWITCH(Q294,
"INR",_xlfn.SWITCH(R294,"KG",P294*S294,"CTN",P294,"UNIT",P294*N294,"NET",P294/M294,0),
"USD",_xlfn.SWITCH(R294,"KG",P294*S294*SI!$C$10,"CTN",P294*SI!$C$10,"UNIT",P294*N294*SI!$C$10,"NET",P294*SI!$C$10/M294,0),
"LKR",_xlfn.SWITCH(R294,"KG",P294*S294/SI!$C$9,"CTN",P294/SI!$C$9,"UNIT",P294*N294/SI!$C$9,"NET",P294/(M294*SI!$C$9),0),
0),
"")</f>
        <v/>
      </c>
      <c r="V294" s="87" t="str">
        <f t="shared" si="108"/>
        <v/>
      </c>
      <c r="W294" s="87" t="str">
        <f t="shared" si="109"/>
        <v/>
      </c>
      <c r="X294" s="88" t="str">
        <f t="shared" si="110"/>
        <v/>
      </c>
      <c r="Y294" s="24" t="str">
        <f t="shared" si="111"/>
        <v/>
      </c>
      <c r="Z294" s="267" t="str">
        <f>IF(AND(H294&lt;&gt;"yes",F294&lt;&gt;""),IFERROR(VLOOKUP(F294,DUTY_2025!A:F,5,FALSE),""),"")</f>
        <v/>
      </c>
      <c r="AA294" s="271" t="str">
        <f t="shared" si="112"/>
        <v/>
      </c>
      <c r="AB294" s="16" t="str">
        <f t="shared" si="113"/>
        <v/>
      </c>
      <c r="AC294" s="16" t="str">
        <f>IF(AA294&lt;&gt;"",ROUND(AA294*SI!$C$9,0),"")</f>
        <v/>
      </c>
      <c r="AD294" s="4" t="str">
        <f>IF(AC294&lt;&gt;"",ROUND(AC294/(SI!$C$9*SI!$C$10),2),"")</f>
        <v/>
      </c>
      <c r="AE294" s="30" t="str">
        <f>IF(AND(X294&lt;&gt;""), ROUND((SI!$E$23)*(X294/SUM($X$5:$X$493)),0),"")</f>
        <v/>
      </c>
      <c r="AF294" s="272" t="str">
        <f t="shared" si="114"/>
        <v/>
      </c>
      <c r="AG294" s="28" t="str">
        <f t="shared" si="115"/>
        <v/>
      </c>
      <c r="AH294" s="4" t="str">
        <f>IF(AD294&lt;&gt;"",ROUND(AD294*10*SI!$C$9/2,0),"")</f>
        <v/>
      </c>
      <c r="AI294" s="29" t="str">
        <f>IF(AND(X294&lt;&gt;""), ROUND((SI!$E$28)*(X294/SUM($X$5:$X$493)),0),"")</f>
        <v/>
      </c>
      <c r="AJ294" s="4" t="str">
        <f t="shared" si="116"/>
        <v/>
      </c>
      <c r="AK294" s="4" t="str">
        <f t="shared" si="117"/>
        <v/>
      </c>
      <c r="AL294" s="4" t="str">
        <f t="shared" si="118"/>
        <v/>
      </c>
      <c r="AM294" s="4" t="str">
        <f t="shared" si="119"/>
        <v/>
      </c>
      <c r="AN294" s="195" t="str">
        <f t="shared" si="120"/>
        <v/>
      </c>
      <c r="AO294" s="261" t="str">
        <f>IF(AND(AM294&lt;&gt;"",P294&lt;&gt;""),ROUND((AM294*((100+SI!$C$11)/100)),0),"")</f>
        <v/>
      </c>
      <c r="AP294" s="28" t="str">
        <f>IF(AG294&lt;&gt;"",ROUND(AG294/SI!$C$9,2),"")</f>
        <v/>
      </c>
      <c r="AQ294" s="4" t="str">
        <f>IF(AH294&lt;&gt;"",ROUND(AH294/SI!$C$9,2),"")</f>
        <v/>
      </c>
      <c r="AR294" s="29" t="str">
        <f>IF(AI294&lt;&gt;"",ROUND(AI294/SI!$C$9,2),"")</f>
        <v/>
      </c>
      <c r="AS294" s="4" t="str">
        <f t="shared" si="121"/>
        <v/>
      </c>
      <c r="AT294" s="4" t="str">
        <f t="shared" si="122"/>
        <v/>
      </c>
      <c r="AU294" s="4" t="str">
        <f>IF(AL294&lt;&gt;"",ROUND(AL294/SI!$C$9,2),"")</f>
        <v/>
      </c>
      <c r="AV294" s="4" t="str">
        <f>IF(AM294&lt;&gt;"",ROUND(AM294/SI!$C$9,2),"")</f>
        <v/>
      </c>
      <c r="AW294" s="4" t="str">
        <f>IF(AN294&lt;&gt;"",ROUND(AN294/SI!$C$9,2),"")</f>
        <v/>
      </c>
      <c r="AX294" s="261" t="str">
        <f>IF(AO294&lt;&gt;"",ROUND(AO294/SI!$C$9,2),"")</f>
        <v/>
      </c>
      <c r="AY294" s="28" t="str">
        <f t="shared" si="123"/>
        <v/>
      </c>
      <c r="AZ294" s="4" t="str">
        <f>IF(AY294&lt;&gt;"",ROUND(AY294/(SI!$C$9*SI!$C$10),2),"")</f>
        <v/>
      </c>
      <c r="BA294" s="4" t="str">
        <f t="shared" si="124"/>
        <v/>
      </c>
      <c r="BB294" s="4" t="str">
        <f t="shared" si="125"/>
        <v/>
      </c>
      <c r="BC294" s="4" t="str">
        <f t="shared" si="126"/>
        <v/>
      </c>
      <c r="BD294" s="4" t="str">
        <f t="shared" si="127"/>
        <v/>
      </c>
      <c r="BE294" s="4" t="str">
        <f>IF(AND(X294&lt;&gt;""),ROUND(X294/SI!$C$10,2),"")</f>
        <v/>
      </c>
      <c r="BF294" s="4" t="str">
        <f t="shared" si="129"/>
        <v/>
      </c>
      <c r="BG294" s="264" t="str">
        <f t="shared" si="128"/>
        <v/>
      </c>
      <c r="BH294" s="71" t="str">
        <f>IF(F294&lt;&gt;"",VLOOKUP(F294,DUTY_2025!A:O,15,FALSE),"")</f>
        <v/>
      </c>
    </row>
    <row r="295" spans="1:60" x14ac:dyDescent="0.25">
      <c r="A295" s="133">
        <f t="shared" si="104"/>
        <v>66</v>
      </c>
      <c r="B295" s="83" t="str">
        <f t="shared" si="105"/>
        <v/>
      </c>
      <c r="C295" s="126"/>
      <c r="D295" s="130"/>
      <c r="E295" s="22"/>
      <c r="F295" s="85"/>
      <c r="G295" s="27" t="str">
        <f>IF(F295&lt;&gt;"",IFERROR(VLOOKUP(F295,DUTY_2025!A:I,6,FALSE),""),"")</f>
        <v/>
      </c>
      <c r="H295" s="85" t="s">
        <v>133</v>
      </c>
      <c r="I295" s="27" t="str">
        <f>IF(F295&lt;&gt;"",IFERROR(VLOOKUP(F295,DUTY_2025!A:H,2,FALSE),""),"")</f>
        <v/>
      </c>
      <c r="J295" s="98"/>
      <c r="K295" s="98"/>
      <c r="L295" s="22"/>
      <c r="M295" s="22"/>
      <c r="N295" s="84"/>
      <c r="O295" s="22"/>
      <c r="P295" s="116"/>
      <c r="Q295" s="23"/>
      <c r="R295" s="27"/>
      <c r="S295" s="86" t="str">
        <f t="shared" si="106"/>
        <v/>
      </c>
      <c r="T295" s="87" t="str">
        <f t="shared" si="107"/>
        <v/>
      </c>
      <c r="U295" s="87" t="str" cm="1">
        <f t="array" ref="U295">IF(AND(H295&lt;&gt;"YES",P295&lt;&gt;"",R295&lt;&gt;"",Q295&lt;&gt;""),
_xlfn.SWITCH(Q295,
"INR",_xlfn.SWITCH(R295,"KG",P295*S295,"CTN",P295,"UNIT",P295*N295,"NET",P295/M295,0),
"USD",_xlfn.SWITCH(R295,"KG",P295*S295*SI!$C$10,"CTN",P295*SI!$C$10,"UNIT",P295*N295*SI!$C$10,"NET",P295*SI!$C$10/M295,0),
"LKR",_xlfn.SWITCH(R295,"KG",P295*S295/SI!$C$9,"CTN",P295/SI!$C$9,"UNIT",P295*N295/SI!$C$9,"NET",P295/(M295*SI!$C$9),0),
0),
"")</f>
        <v/>
      </c>
      <c r="V295" s="87" t="str">
        <f t="shared" si="108"/>
        <v/>
      </c>
      <c r="W295" s="87" t="str">
        <f t="shared" si="109"/>
        <v/>
      </c>
      <c r="X295" s="88" t="str">
        <f t="shared" si="110"/>
        <v/>
      </c>
      <c r="Y295" s="24" t="str">
        <f t="shared" si="111"/>
        <v/>
      </c>
      <c r="Z295" s="267" t="str">
        <f>IF(AND(H295&lt;&gt;"yes",F295&lt;&gt;""),IFERROR(VLOOKUP(F295,DUTY_2025!A:F,5,FALSE),""),"")</f>
        <v/>
      </c>
      <c r="AA295" s="271" t="str">
        <f t="shared" si="112"/>
        <v/>
      </c>
      <c r="AB295" s="16" t="str">
        <f t="shared" si="113"/>
        <v/>
      </c>
      <c r="AC295" s="16" t="str">
        <f>IF(AA295&lt;&gt;"",ROUND(AA295*SI!$C$9,0),"")</f>
        <v/>
      </c>
      <c r="AD295" s="4" t="str">
        <f>IF(AC295&lt;&gt;"",ROUND(AC295/(SI!$C$9*SI!$C$10),2),"")</f>
        <v/>
      </c>
      <c r="AE295" s="30" t="str">
        <f>IF(AND(X295&lt;&gt;""), ROUND((SI!$E$23)*(X295/SUM($X$5:$X$493)),0),"")</f>
        <v/>
      </c>
      <c r="AF295" s="272" t="str">
        <f t="shared" si="114"/>
        <v/>
      </c>
      <c r="AG295" s="28" t="str">
        <f t="shared" si="115"/>
        <v/>
      </c>
      <c r="AH295" s="4" t="str">
        <f>IF(AD295&lt;&gt;"",ROUND(AD295*10*SI!$C$9/2,0),"")</f>
        <v/>
      </c>
      <c r="AI295" s="29" t="str">
        <f>IF(AND(X295&lt;&gt;""), ROUND((SI!$E$28)*(X295/SUM($X$5:$X$493)),0),"")</f>
        <v/>
      </c>
      <c r="AJ295" s="4" t="str">
        <f t="shared" si="116"/>
        <v/>
      </c>
      <c r="AK295" s="4" t="str">
        <f t="shared" si="117"/>
        <v/>
      </c>
      <c r="AL295" s="4" t="str">
        <f t="shared" si="118"/>
        <v/>
      </c>
      <c r="AM295" s="4" t="str">
        <f t="shared" si="119"/>
        <v/>
      </c>
      <c r="AN295" s="195" t="str">
        <f t="shared" si="120"/>
        <v/>
      </c>
      <c r="AO295" s="261" t="str">
        <f>IF(AND(AM295&lt;&gt;"",P295&lt;&gt;""),ROUND((AM295*((100+SI!$C$11)/100)),0),"")</f>
        <v/>
      </c>
      <c r="AP295" s="28" t="str">
        <f>IF(AG295&lt;&gt;"",ROUND(AG295/SI!$C$9,2),"")</f>
        <v/>
      </c>
      <c r="AQ295" s="4" t="str">
        <f>IF(AH295&lt;&gt;"",ROUND(AH295/SI!$C$9,2),"")</f>
        <v/>
      </c>
      <c r="AR295" s="29" t="str">
        <f>IF(AI295&lt;&gt;"",ROUND(AI295/SI!$C$9,2),"")</f>
        <v/>
      </c>
      <c r="AS295" s="4" t="str">
        <f t="shared" si="121"/>
        <v/>
      </c>
      <c r="AT295" s="4" t="str">
        <f t="shared" si="122"/>
        <v/>
      </c>
      <c r="AU295" s="4" t="str">
        <f>IF(AL295&lt;&gt;"",ROUND(AL295/SI!$C$9,2),"")</f>
        <v/>
      </c>
      <c r="AV295" s="4" t="str">
        <f>IF(AM295&lt;&gt;"",ROUND(AM295/SI!$C$9,2),"")</f>
        <v/>
      </c>
      <c r="AW295" s="4" t="str">
        <f>IF(AN295&lt;&gt;"",ROUND(AN295/SI!$C$9,2),"")</f>
        <v/>
      </c>
      <c r="AX295" s="261" t="str">
        <f>IF(AO295&lt;&gt;"",ROUND(AO295/SI!$C$9,2),"")</f>
        <v/>
      </c>
      <c r="AY295" s="28" t="str">
        <f t="shared" si="123"/>
        <v/>
      </c>
      <c r="AZ295" s="4" t="str">
        <f>IF(AY295&lt;&gt;"",ROUND(AY295/(SI!$C$9*SI!$C$10),2),"")</f>
        <v/>
      </c>
      <c r="BA295" s="4" t="str">
        <f t="shared" si="124"/>
        <v/>
      </c>
      <c r="BB295" s="4" t="str">
        <f t="shared" si="125"/>
        <v/>
      </c>
      <c r="BC295" s="4" t="str">
        <f t="shared" si="126"/>
        <v/>
      </c>
      <c r="BD295" s="4" t="str">
        <f t="shared" si="127"/>
        <v/>
      </c>
      <c r="BE295" s="4" t="str">
        <f>IF(AND(X295&lt;&gt;""),ROUND(X295/SI!$C$10,2),"")</f>
        <v/>
      </c>
      <c r="BF295" s="4" t="str">
        <f t="shared" si="129"/>
        <v/>
      </c>
      <c r="BG295" s="264" t="str">
        <f t="shared" si="128"/>
        <v/>
      </c>
      <c r="BH295" s="71" t="str">
        <f>IF(F295&lt;&gt;"",VLOOKUP(F295,DUTY_2025!A:O,15,FALSE),"")</f>
        <v/>
      </c>
    </row>
    <row r="296" spans="1:60" x14ac:dyDescent="0.25">
      <c r="A296" s="133">
        <f t="shared" si="104"/>
        <v>66</v>
      </c>
      <c r="B296" s="83" t="str">
        <f t="shared" si="105"/>
        <v/>
      </c>
      <c r="C296" s="126"/>
      <c r="D296" s="130"/>
      <c r="E296" s="22"/>
      <c r="F296" s="85"/>
      <c r="G296" s="27" t="str">
        <f>IF(F296&lt;&gt;"",IFERROR(VLOOKUP(F296,DUTY_2025!A:I,6,FALSE),""),"")</f>
        <v/>
      </c>
      <c r="H296" s="85" t="s">
        <v>133</v>
      </c>
      <c r="I296" s="27" t="str">
        <f>IF(F296&lt;&gt;"",IFERROR(VLOOKUP(F296,DUTY_2025!A:H,2,FALSE),""),"")</f>
        <v/>
      </c>
      <c r="J296" s="98"/>
      <c r="K296" s="98"/>
      <c r="L296" s="22"/>
      <c r="M296" s="22"/>
      <c r="N296" s="84"/>
      <c r="O296" s="22"/>
      <c r="P296" s="116"/>
      <c r="Q296" s="23"/>
      <c r="R296" s="27"/>
      <c r="S296" s="86" t="str">
        <f t="shared" si="106"/>
        <v/>
      </c>
      <c r="T296" s="87" t="str">
        <f t="shared" si="107"/>
        <v/>
      </c>
      <c r="U296" s="87" t="str" cm="1">
        <f t="array" ref="U296">IF(AND(H296&lt;&gt;"YES",P296&lt;&gt;"",R296&lt;&gt;"",Q296&lt;&gt;""),
_xlfn.SWITCH(Q296,
"INR",_xlfn.SWITCH(R296,"KG",P296*S296,"CTN",P296,"UNIT",P296*N296,"NET",P296/M296,0),
"USD",_xlfn.SWITCH(R296,"KG",P296*S296*SI!$C$10,"CTN",P296*SI!$C$10,"UNIT",P296*N296*SI!$C$10,"NET",P296*SI!$C$10/M296,0),
"LKR",_xlfn.SWITCH(R296,"KG",P296*S296/SI!$C$9,"CTN",P296/SI!$C$9,"UNIT",P296*N296/SI!$C$9,"NET",P296/(M296*SI!$C$9),0),
0),
"")</f>
        <v/>
      </c>
      <c r="V296" s="87" t="str">
        <f t="shared" si="108"/>
        <v/>
      </c>
      <c r="W296" s="87" t="str">
        <f t="shared" si="109"/>
        <v/>
      </c>
      <c r="X296" s="88" t="str">
        <f t="shared" si="110"/>
        <v/>
      </c>
      <c r="Y296" s="24" t="str">
        <f t="shared" si="111"/>
        <v/>
      </c>
      <c r="Z296" s="267" t="str">
        <f>IF(AND(H296&lt;&gt;"yes",F296&lt;&gt;""),IFERROR(VLOOKUP(F296,DUTY_2025!A:F,5,FALSE),""),"")</f>
        <v/>
      </c>
      <c r="AA296" s="271" t="str">
        <f t="shared" si="112"/>
        <v/>
      </c>
      <c r="AB296" s="16" t="str">
        <f t="shared" si="113"/>
        <v/>
      </c>
      <c r="AC296" s="16" t="str">
        <f>IF(AA296&lt;&gt;"",ROUND(AA296*SI!$C$9,0),"")</f>
        <v/>
      </c>
      <c r="AD296" s="4" t="str">
        <f>IF(AC296&lt;&gt;"",ROUND(AC296/(SI!$C$9*SI!$C$10),2),"")</f>
        <v/>
      </c>
      <c r="AE296" s="30" t="str">
        <f>IF(AND(X296&lt;&gt;""), ROUND((SI!$E$23)*(X296/SUM($X$5:$X$493)),0),"")</f>
        <v/>
      </c>
      <c r="AF296" s="272" t="str">
        <f t="shared" si="114"/>
        <v/>
      </c>
      <c r="AG296" s="28" t="str">
        <f t="shared" si="115"/>
        <v/>
      </c>
      <c r="AH296" s="4" t="str">
        <f>IF(AD296&lt;&gt;"",ROUND(AD296*10*SI!$C$9/2,0),"")</f>
        <v/>
      </c>
      <c r="AI296" s="29" t="str">
        <f>IF(AND(X296&lt;&gt;""), ROUND((SI!$E$28)*(X296/SUM($X$5:$X$493)),0),"")</f>
        <v/>
      </c>
      <c r="AJ296" s="4" t="str">
        <f t="shared" si="116"/>
        <v/>
      </c>
      <c r="AK296" s="4" t="str">
        <f t="shared" si="117"/>
        <v/>
      </c>
      <c r="AL296" s="4" t="str">
        <f t="shared" si="118"/>
        <v/>
      </c>
      <c r="AM296" s="4" t="str">
        <f t="shared" si="119"/>
        <v/>
      </c>
      <c r="AN296" s="195" t="str">
        <f t="shared" si="120"/>
        <v/>
      </c>
      <c r="AO296" s="261" t="str">
        <f>IF(AND(AM296&lt;&gt;"",P296&lt;&gt;""),ROUND((AM296*((100+SI!$C$11)/100)),0),"")</f>
        <v/>
      </c>
      <c r="AP296" s="28" t="str">
        <f>IF(AG296&lt;&gt;"",ROUND(AG296/SI!$C$9,2),"")</f>
        <v/>
      </c>
      <c r="AQ296" s="4" t="str">
        <f>IF(AH296&lt;&gt;"",ROUND(AH296/SI!$C$9,2),"")</f>
        <v/>
      </c>
      <c r="AR296" s="29" t="str">
        <f>IF(AI296&lt;&gt;"",ROUND(AI296/SI!$C$9,2),"")</f>
        <v/>
      </c>
      <c r="AS296" s="4" t="str">
        <f t="shared" si="121"/>
        <v/>
      </c>
      <c r="AT296" s="4" t="str">
        <f t="shared" si="122"/>
        <v/>
      </c>
      <c r="AU296" s="4" t="str">
        <f>IF(AL296&lt;&gt;"",ROUND(AL296/SI!$C$9,2),"")</f>
        <v/>
      </c>
      <c r="AV296" s="4" t="str">
        <f>IF(AM296&lt;&gt;"",ROUND(AM296/SI!$C$9,2),"")</f>
        <v/>
      </c>
      <c r="AW296" s="4" t="str">
        <f>IF(AN296&lt;&gt;"",ROUND(AN296/SI!$C$9,2),"")</f>
        <v/>
      </c>
      <c r="AX296" s="261" t="str">
        <f>IF(AO296&lt;&gt;"",ROUND(AO296/SI!$C$9,2),"")</f>
        <v/>
      </c>
      <c r="AY296" s="28" t="str">
        <f t="shared" si="123"/>
        <v/>
      </c>
      <c r="AZ296" s="4" t="str">
        <f>IF(AY296&lt;&gt;"",ROUND(AY296/(SI!$C$9*SI!$C$10),2),"")</f>
        <v/>
      </c>
      <c r="BA296" s="4" t="str">
        <f t="shared" si="124"/>
        <v/>
      </c>
      <c r="BB296" s="4" t="str">
        <f t="shared" si="125"/>
        <v/>
      </c>
      <c r="BC296" s="4" t="str">
        <f t="shared" si="126"/>
        <v/>
      </c>
      <c r="BD296" s="4" t="str">
        <f t="shared" si="127"/>
        <v/>
      </c>
      <c r="BE296" s="4" t="str">
        <f>IF(AND(X296&lt;&gt;""),ROUND(X296/SI!$C$10,2),"")</f>
        <v/>
      </c>
      <c r="BF296" s="4" t="str">
        <f t="shared" si="129"/>
        <v/>
      </c>
      <c r="BG296" s="264" t="str">
        <f t="shared" si="128"/>
        <v/>
      </c>
      <c r="BH296" s="71" t="str">
        <f>IF(F296&lt;&gt;"",VLOOKUP(F296,DUTY_2025!A:O,15,FALSE),"")</f>
        <v/>
      </c>
    </row>
    <row r="297" spans="1:60" x14ac:dyDescent="0.25">
      <c r="A297" s="133">
        <f t="shared" si="104"/>
        <v>66</v>
      </c>
      <c r="B297" s="83" t="str">
        <f t="shared" si="105"/>
        <v/>
      </c>
      <c r="C297" s="126"/>
      <c r="D297" s="130"/>
      <c r="E297" s="22"/>
      <c r="F297" s="85"/>
      <c r="G297" s="27" t="str">
        <f>IF(F297&lt;&gt;"",IFERROR(VLOOKUP(F297,DUTY_2025!A:I,6,FALSE),""),"")</f>
        <v/>
      </c>
      <c r="H297" s="85" t="s">
        <v>133</v>
      </c>
      <c r="I297" s="27" t="str">
        <f>IF(F297&lt;&gt;"",IFERROR(VLOOKUP(F297,DUTY_2025!A:H,2,FALSE),""),"")</f>
        <v/>
      </c>
      <c r="J297" s="98"/>
      <c r="K297" s="98"/>
      <c r="L297" s="22"/>
      <c r="M297" s="22"/>
      <c r="N297" s="84"/>
      <c r="O297" s="22"/>
      <c r="P297" s="116"/>
      <c r="Q297" s="23"/>
      <c r="R297" s="27"/>
      <c r="S297" s="86" t="str">
        <f t="shared" si="106"/>
        <v/>
      </c>
      <c r="T297" s="87" t="str">
        <f t="shared" si="107"/>
        <v/>
      </c>
      <c r="U297" s="87" t="str" cm="1">
        <f t="array" ref="U297">IF(AND(H297&lt;&gt;"YES",P297&lt;&gt;"",R297&lt;&gt;"",Q297&lt;&gt;""),
_xlfn.SWITCH(Q297,
"INR",_xlfn.SWITCH(R297,"KG",P297*S297,"CTN",P297,"UNIT",P297*N297,"NET",P297/M297,0),
"USD",_xlfn.SWITCH(R297,"KG",P297*S297*SI!$C$10,"CTN",P297*SI!$C$10,"UNIT",P297*N297*SI!$C$10,"NET",P297*SI!$C$10/M297,0),
"LKR",_xlfn.SWITCH(R297,"KG",P297*S297/SI!$C$9,"CTN",P297/SI!$C$9,"UNIT",P297*N297/SI!$C$9,"NET",P297/(M297*SI!$C$9),0),
0),
"")</f>
        <v/>
      </c>
      <c r="V297" s="87" t="str">
        <f t="shared" si="108"/>
        <v/>
      </c>
      <c r="W297" s="87" t="str">
        <f t="shared" si="109"/>
        <v/>
      </c>
      <c r="X297" s="88" t="str">
        <f t="shared" si="110"/>
        <v/>
      </c>
      <c r="Y297" s="24" t="str">
        <f t="shared" si="111"/>
        <v/>
      </c>
      <c r="Z297" s="267" t="str">
        <f>IF(AND(H297&lt;&gt;"yes",F297&lt;&gt;""),IFERROR(VLOOKUP(F297,DUTY_2025!A:F,5,FALSE),""),"")</f>
        <v/>
      </c>
      <c r="AA297" s="271" t="str">
        <f t="shared" si="112"/>
        <v/>
      </c>
      <c r="AB297" s="16" t="str">
        <f t="shared" si="113"/>
        <v/>
      </c>
      <c r="AC297" s="16" t="str">
        <f>IF(AA297&lt;&gt;"",ROUND(AA297*SI!$C$9,0),"")</f>
        <v/>
      </c>
      <c r="AD297" s="4" t="str">
        <f>IF(AC297&lt;&gt;"",ROUND(AC297/(SI!$C$9*SI!$C$10),2),"")</f>
        <v/>
      </c>
      <c r="AE297" s="30" t="str">
        <f>IF(AND(X297&lt;&gt;""), ROUND((SI!$E$23)*(X297/SUM($X$5:$X$493)),0),"")</f>
        <v/>
      </c>
      <c r="AF297" s="272" t="str">
        <f t="shared" si="114"/>
        <v/>
      </c>
      <c r="AG297" s="28" t="str">
        <f t="shared" si="115"/>
        <v/>
      </c>
      <c r="AH297" s="4" t="str">
        <f>IF(AD297&lt;&gt;"",ROUND(AD297*10*SI!$C$9/2,0),"")</f>
        <v/>
      </c>
      <c r="AI297" s="29" t="str">
        <f>IF(AND(X297&lt;&gt;""), ROUND((SI!$E$28)*(X297/SUM($X$5:$X$493)),0),"")</f>
        <v/>
      </c>
      <c r="AJ297" s="4" t="str">
        <f t="shared" si="116"/>
        <v/>
      </c>
      <c r="AK297" s="4" t="str">
        <f t="shared" si="117"/>
        <v/>
      </c>
      <c r="AL297" s="4" t="str">
        <f t="shared" si="118"/>
        <v/>
      </c>
      <c r="AM297" s="4" t="str">
        <f t="shared" si="119"/>
        <v/>
      </c>
      <c r="AN297" s="195" t="str">
        <f t="shared" si="120"/>
        <v/>
      </c>
      <c r="AO297" s="261" t="str">
        <f>IF(AND(AM297&lt;&gt;"",P297&lt;&gt;""),ROUND((AM297*((100+SI!$C$11)/100)),0),"")</f>
        <v/>
      </c>
      <c r="AP297" s="28" t="str">
        <f>IF(AG297&lt;&gt;"",ROUND(AG297/SI!$C$9,2),"")</f>
        <v/>
      </c>
      <c r="AQ297" s="4" t="str">
        <f>IF(AH297&lt;&gt;"",ROUND(AH297/SI!$C$9,2),"")</f>
        <v/>
      </c>
      <c r="AR297" s="29" t="str">
        <f>IF(AI297&lt;&gt;"",ROUND(AI297/SI!$C$9,2),"")</f>
        <v/>
      </c>
      <c r="AS297" s="4" t="str">
        <f t="shared" si="121"/>
        <v/>
      </c>
      <c r="AT297" s="4" t="str">
        <f t="shared" si="122"/>
        <v/>
      </c>
      <c r="AU297" s="4" t="str">
        <f>IF(AL297&lt;&gt;"",ROUND(AL297/SI!$C$9,2),"")</f>
        <v/>
      </c>
      <c r="AV297" s="4" t="str">
        <f>IF(AM297&lt;&gt;"",ROUND(AM297/SI!$C$9,2),"")</f>
        <v/>
      </c>
      <c r="AW297" s="4" t="str">
        <f>IF(AN297&lt;&gt;"",ROUND(AN297/SI!$C$9,2),"")</f>
        <v/>
      </c>
      <c r="AX297" s="261" t="str">
        <f>IF(AO297&lt;&gt;"",ROUND(AO297/SI!$C$9,2),"")</f>
        <v/>
      </c>
      <c r="AY297" s="28" t="str">
        <f t="shared" si="123"/>
        <v/>
      </c>
      <c r="AZ297" s="4" t="str">
        <f>IF(AY297&lt;&gt;"",ROUND(AY297/(SI!$C$9*SI!$C$10),2),"")</f>
        <v/>
      </c>
      <c r="BA297" s="4" t="str">
        <f t="shared" si="124"/>
        <v/>
      </c>
      <c r="BB297" s="4" t="str">
        <f t="shared" si="125"/>
        <v/>
      </c>
      <c r="BC297" s="4" t="str">
        <f t="shared" si="126"/>
        <v/>
      </c>
      <c r="BD297" s="4" t="str">
        <f t="shared" si="127"/>
        <v/>
      </c>
      <c r="BE297" s="4" t="str">
        <f>IF(AND(X297&lt;&gt;""),ROUND(X297/SI!$C$10,2),"")</f>
        <v/>
      </c>
      <c r="BF297" s="4" t="str">
        <f t="shared" si="129"/>
        <v/>
      </c>
      <c r="BG297" s="264" t="str">
        <f t="shared" si="128"/>
        <v/>
      </c>
      <c r="BH297" s="71" t="str">
        <f>IF(F297&lt;&gt;"",VLOOKUP(F297,DUTY_2025!A:O,15,FALSE),"")</f>
        <v/>
      </c>
    </row>
    <row r="298" spans="1:60" x14ac:dyDescent="0.25">
      <c r="A298" s="133">
        <f t="shared" si="104"/>
        <v>66</v>
      </c>
      <c r="B298" s="83" t="str">
        <f t="shared" si="105"/>
        <v/>
      </c>
      <c r="C298" s="126"/>
      <c r="D298" s="130"/>
      <c r="E298" s="22"/>
      <c r="F298" s="85"/>
      <c r="G298" s="27" t="str">
        <f>IF(F298&lt;&gt;"",IFERROR(VLOOKUP(F298,DUTY_2025!A:I,6,FALSE),""),"")</f>
        <v/>
      </c>
      <c r="H298" s="85" t="s">
        <v>133</v>
      </c>
      <c r="I298" s="27" t="str">
        <f>IF(F298&lt;&gt;"",IFERROR(VLOOKUP(F298,DUTY_2025!A:H,2,FALSE),""),"")</f>
        <v/>
      </c>
      <c r="J298" s="98"/>
      <c r="K298" s="98"/>
      <c r="L298" s="22"/>
      <c r="M298" s="22"/>
      <c r="N298" s="84"/>
      <c r="O298" s="22"/>
      <c r="P298" s="116"/>
      <c r="Q298" s="23"/>
      <c r="R298" s="27"/>
      <c r="S298" s="86" t="str">
        <f t="shared" si="106"/>
        <v/>
      </c>
      <c r="T298" s="87" t="str">
        <f t="shared" si="107"/>
        <v/>
      </c>
      <c r="U298" s="87" t="str" cm="1">
        <f t="array" ref="U298">IF(AND(H298&lt;&gt;"YES",P298&lt;&gt;"",R298&lt;&gt;"",Q298&lt;&gt;""),
_xlfn.SWITCH(Q298,
"INR",_xlfn.SWITCH(R298,"KG",P298*S298,"CTN",P298,"UNIT",P298*N298,"NET",P298/M298,0),
"USD",_xlfn.SWITCH(R298,"KG",P298*S298*SI!$C$10,"CTN",P298*SI!$C$10,"UNIT",P298*N298*SI!$C$10,"NET",P298*SI!$C$10/M298,0),
"LKR",_xlfn.SWITCH(R298,"KG",P298*S298/SI!$C$9,"CTN",P298/SI!$C$9,"UNIT",P298*N298/SI!$C$9,"NET",P298/(M298*SI!$C$9),0),
0),
"")</f>
        <v/>
      </c>
      <c r="V298" s="87" t="str">
        <f t="shared" si="108"/>
        <v/>
      </c>
      <c r="W298" s="87" t="str">
        <f t="shared" si="109"/>
        <v/>
      </c>
      <c r="X298" s="88" t="str">
        <f t="shared" si="110"/>
        <v/>
      </c>
      <c r="Y298" s="24" t="str">
        <f t="shared" si="111"/>
        <v/>
      </c>
      <c r="Z298" s="267" t="str">
        <f>IF(AND(H298&lt;&gt;"yes",F298&lt;&gt;""),IFERROR(VLOOKUP(F298,DUTY_2025!A:F,5,FALSE),""),"")</f>
        <v/>
      </c>
      <c r="AA298" s="271" t="str">
        <f t="shared" si="112"/>
        <v/>
      </c>
      <c r="AB298" s="16" t="str">
        <f t="shared" si="113"/>
        <v/>
      </c>
      <c r="AC298" s="16" t="str">
        <f>IF(AA298&lt;&gt;"",ROUND(AA298*SI!$C$9,0),"")</f>
        <v/>
      </c>
      <c r="AD298" s="4" t="str">
        <f>IF(AC298&lt;&gt;"",ROUND(AC298/(SI!$C$9*SI!$C$10),2),"")</f>
        <v/>
      </c>
      <c r="AE298" s="30" t="str">
        <f>IF(AND(X298&lt;&gt;""), ROUND((SI!$E$23)*(X298/SUM($X$5:$X$493)),0),"")</f>
        <v/>
      </c>
      <c r="AF298" s="272" t="str">
        <f t="shared" si="114"/>
        <v/>
      </c>
      <c r="AG298" s="28" t="str">
        <f t="shared" si="115"/>
        <v/>
      </c>
      <c r="AH298" s="4" t="str">
        <f>IF(AD298&lt;&gt;"",ROUND(AD298*10*SI!$C$9/2,0),"")</f>
        <v/>
      </c>
      <c r="AI298" s="29" t="str">
        <f>IF(AND(X298&lt;&gt;""), ROUND((SI!$E$28)*(X298/SUM($X$5:$X$493)),0),"")</f>
        <v/>
      </c>
      <c r="AJ298" s="4" t="str">
        <f t="shared" si="116"/>
        <v/>
      </c>
      <c r="AK298" s="4" t="str">
        <f t="shared" si="117"/>
        <v/>
      </c>
      <c r="AL298" s="4" t="str">
        <f t="shared" si="118"/>
        <v/>
      </c>
      <c r="AM298" s="4" t="str">
        <f t="shared" si="119"/>
        <v/>
      </c>
      <c r="AN298" s="195" t="str">
        <f t="shared" si="120"/>
        <v/>
      </c>
      <c r="AO298" s="261" t="str">
        <f>IF(AND(AM298&lt;&gt;"",P298&lt;&gt;""),ROUND((AM298*((100+SI!$C$11)/100)),0),"")</f>
        <v/>
      </c>
      <c r="AP298" s="28" t="str">
        <f>IF(AG298&lt;&gt;"",ROUND(AG298/SI!$C$9,2),"")</f>
        <v/>
      </c>
      <c r="AQ298" s="4" t="str">
        <f>IF(AH298&lt;&gt;"",ROUND(AH298/SI!$C$9,2),"")</f>
        <v/>
      </c>
      <c r="AR298" s="29" t="str">
        <f>IF(AI298&lt;&gt;"",ROUND(AI298/SI!$C$9,2),"")</f>
        <v/>
      </c>
      <c r="AS298" s="4" t="str">
        <f t="shared" si="121"/>
        <v/>
      </c>
      <c r="AT298" s="4" t="str">
        <f t="shared" si="122"/>
        <v/>
      </c>
      <c r="AU298" s="4" t="str">
        <f>IF(AL298&lt;&gt;"",ROUND(AL298/SI!$C$9,2),"")</f>
        <v/>
      </c>
      <c r="AV298" s="4" t="str">
        <f>IF(AM298&lt;&gt;"",ROUND(AM298/SI!$C$9,2),"")</f>
        <v/>
      </c>
      <c r="AW298" s="4" t="str">
        <f>IF(AN298&lt;&gt;"",ROUND(AN298/SI!$C$9,2),"")</f>
        <v/>
      </c>
      <c r="AX298" s="261" t="str">
        <f>IF(AO298&lt;&gt;"",ROUND(AO298/SI!$C$9,2),"")</f>
        <v/>
      </c>
      <c r="AY298" s="28" t="str">
        <f t="shared" si="123"/>
        <v/>
      </c>
      <c r="AZ298" s="4" t="str">
        <f>IF(AY298&lt;&gt;"",ROUND(AY298/(SI!$C$9*SI!$C$10),2),"")</f>
        <v/>
      </c>
      <c r="BA298" s="4" t="str">
        <f t="shared" si="124"/>
        <v/>
      </c>
      <c r="BB298" s="4" t="str">
        <f t="shared" si="125"/>
        <v/>
      </c>
      <c r="BC298" s="4" t="str">
        <f t="shared" si="126"/>
        <v/>
      </c>
      <c r="BD298" s="4" t="str">
        <f t="shared" si="127"/>
        <v/>
      </c>
      <c r="BE298" s="4" t="str">
        <f>IF(AND(X298&lt;&gt;""),ROUND(X298/SI!$C$10,2),"")</f>
        <v/>
      </c>
      <c r="BF298" s="4" t="str">
        <f t="shared" si="129"/>
        <v/>
      </c>
      <c r="BG298" s="264" t="str">
        <f t="shared" si="128"/>
        <v/>
      </c>
      <c r="BH298" s="71" t="str">
        <f>IF(F298&lt;&gt;"",VLOOKUP(F298,DUTY_2025!A:O,15,FALSE),"")</f>
        <v/>
      </c>
    </row>
    <row r="299" spans="1:60" x14ac:dyDescent="0.25">
      <c r="A299" s="133">
        <f t="shared" si="104"/>
        <v>66</v>
      </c>
      <c r="B299" s="83" t="str">
        <f t="shared" si="105"/>
        <v/>
      </c>
      <c r="C299" s="126"/>
      <c r="D299" s="130"/>
      <c r="E299" s="22"/>
      <c r="F299" s="85"/>
      <c r="G299" s="27" t="str">
        <f>IF(F299&lt;&gt;"",IFERROR(VLOOKUP(F299,DUTY_2025!A:I,6,FALSE),""),"")</f>
        <v/>
      </c>
      <c r="H299" s="85" t="s">
        <v>133</v>
      </c>
      <c r="I299" s="27" t="str">
        <f>IF(F299&lt;&gt;"",IFERROR(VLOOKUP(F299,DUTY_2025!A:H,2,FALSE),""),"")</f>
        <v/>
      </c>
      <c r="J299" s="98"/>
      <c r="K299" s="98"/>
      <c r="L299" s="22"/>
      <c r="M299" s="22"/>
      <c r="N299" s="84"/>
      <c r="O299" s="22"/>
      <c r="P299" s="116"/>
      <c r="Q299" s="23"/>
      <c r="R299" s="27"/>
      <c r="S299" s="86" t="str">
        <f t="shared" si="106"/>
        <v/>
      </c>
      <c r="T299" s="87" t="str">
        <f t="shared" si="107"/>
        <v/>
      </c>
      <c r="U299" s="87" t="str" cm="1">
        <f t="array" ref="U299">IF(AND(H299&lt;&gt;"YES",P299&lt;&gt;"",R299&lt;&gt;"",Q299&lt;&gt;""),
_xlfn.SWITCH(Q299,
"INR",_xlfn.SWITCH(R299,"KG",P299*S299,"CTN",P299,"UNIT",P299*N299,"NET",P299/M299,0),
"USD",_xlfn.SWITCH(R299,"KG",P299*S299*SI!$C$10,"CTN",P299*SI!$C$10,"UNIT",P299*N299*SI!$C$10,"NET",P299*SI!$C$10/M299,0),
"LKR",_xlfn.SWITCH(R299,"KG",P299*S299/SI!$C$9,"CTN",P299/SI!$C$9,"UNIT",P299*N299/SI!$C$9,"NET",P299/(M299*SI!$C$9),0),
0),
"")</f>
        <v/>
      </c>
      <c r="V299" s="87" t="str">
        <f t="shared" si="108"/>
        <v/>
      </c>
      <c r="W299" s="87" t="str">
        <f t="shared" si="109"/>
        <v/>
      </c>
      <c r="X299" s="88" t="str">
        <f t="shared" si="110"/>
        <v/>
      </c>
      <c r="Y299" s="24" t="str">
        <f t="shared" si="111"/>
        <v/>
      </c>
      <c r="Z299" s="267" t="str">
        <f>IF(AND(H299&lt;&gt;"yes",F299&lt;&gt;""),IFERROR(VLOOKUP(F299,DUTY_2025!A:F,5,FALSE),""),"")</f>
        <v/>
      </c>
      <c r="AA299" s="271" t="str">
        <f t="shared" si="112"/>
        <v/>
      </c>
      <c r="AB299" s="16" t="str">
        <f t="shared" si="113"/>
        <v/>
      </c>
      <c r="AC299" s="16" t="str">
        <f>IF(AA299&lt;&gt;"",ROUND(AA299*SI!$C$9,0),"")</f>
        <v/>
      </c>
      <c r="AD299" s="4" t="str">
        <f>IF(AC299&lt;&gt;"",ROUND(AC299/(SI!$C$9*SI!$C$10),2),"")</f>
        <v/>
      </c>
      <c r="AE299" s="30" t="str">
        <f>IF(AND(X299&lt;&gt;""), ROUND((SI!$E$23)*(X299/SUM($X$5:$X$493)),0),"")</f>
        <v/>
      </c>
      <c r="AF299" s="272" t="str">
        <f t="shared" si="114"/>
        <v/>
      </c>
      <c r="AG299" s="28" t="str">
        <f t="shared" si="115"/>
        <v/>
      </c>
      <c r="AH299" s="4" t="str">
        <f>IF(AD299&lt;&gt;"",ROUND(AD299*10*SI!$C$9/2,0),"")</f>
        <v/>
      </c>
      <c r="AI299" s="29" t="str">
        <f>IF(AND(X299&lt;&gt;""), ROUND((SI!$E$28)*(X299/SUM($X$5:$X$493)),0),"")</f>
        <v/>
      </c>
      <c r="AJ299" s="4" t="str">
        <f t="shared" si="116"/>
        <v/>
      </c>
      <c r="AK299" s="4" t="str">
        <f t="shared" si="117"/>
        <v/>
      </c>
      <c r="AL299" s="4" t="str">
        <f t="shared" si="118"/>
        <v/>
      </c>
      <c r="AM299" s="4" t="str">
        <f t="shared" si="119"/>
        <v/>
      </c>
      <c r="AN299" s="195" t="str">
        <f t="shared" si="120"/>
        <v/>
      </c>
      <c r="AO299" s="261" t="str">
        <f>IF(AND(AM299&lt;&gt;"",P299&lt;&gt;""),ROUND((AM299*((100+SI!$C$11)/100)),0),"")</f>
        <v/>
      </c>
      <c r="AP299" s="28" t="str">
        <f>IF(AG299&lt;&gt;"",ROUND(AG299/SI!$C$9,2),"")</f>
        <v/>
      </c>
      <c r="AQ299" s="4" t="str">
        <f>IF(AH299&lt;&gt;"",ROUND(AH299/SI!$C$9,2),"")</f>
        <v/>
      </c>
      <c r="AR299" s="29" t="str">
        <f>IF(AI299&lt;&gt;"",ROUND(AI299/SI!$C$9,2),"")</f>
        <v/>
      </c>
      <c r="AS299" s="4" t="str">
        <f t="shared" si="121"/>
        <v/>
      </c>
      <c r="AT299" s="4" t="str">
        <f t="shared" si="122"/>
        <v/>
      </c>
      <c r="AU299" s="4" t="str">
        <f>IF(AL299&lt;&gt;"",ROUND(AL299/SI!$C$9,2),"")</f>
        <v/>
      </c>
      <c r="AV299" s="4" t="str">
        <f>IF(AM299&lt;&gt;"",ROUND(AM299/SI!$C$9,2),"")</f>
        <v/>
      </c>
      <c r="AW299" s="4" t="str">
        <f>IF(AN299&lt;&gt;"",ROUND(AN299/SI!$C$9,2),"")</f>
        <v/>
      </c>
      <c r="AX299" s="261" t="str">
        <f>IF(AO299&lt;&gt;"",ROUND(AO299/SI!$C$9,2),"")</f>
        <v/>
      </c>
      <c r="AY299" s="28" t="str">
        <f t="shared" si="123"/>
        <v/>
      </c>
      <c r="AZ299" s="4" t="str">
        <f>IF(AY299&lt;&gt;"",ROUND(AY299/(SI!$C$9*SI!$C$10),2),"")</f>
        <v/>
      </c>
      <c r="BA299" s="4" t="str">
        <f t="shared" si="124"/>
        <v/>
      </c>
      <c r="BB299" s="4" t="str">
        <f t="shared" si="125"/>
        <v/>
      </c>
      <c r="BC299" s="4" t="str">
        <f t="shared" si="126"/>
        <v/>
      </c>
      <c r="BD299" s="4" t="str">
        <f t="shared" si="127"/>
        <v/>
      </c>
      <c r="BE299" s="4" t="str">
        <f>IF(AND(X299&lt;&gt;""),ROUND(X299/SI!$C$10,2),"")</f>
        <v/>
      </c>
      <c r="BF299" s="4" t="str">
        <f t="shared" si="129"/>
        <v/>
      </c>
      <c r="BG299" s="264" t="str">
        <f t="shared" si="128"/>
        <v/>
      </c>
      <c r="BH299" s="71" t="str">
        <f>IF(F299&lt;&gt;"",VLOOKUP(F299,DUTY_2025!A:O,15,FALSE),"")</f>
        <v/>
      </c>
    </row>
    <row r="300" spans="1:60" x14ac:dyDescent="0.25">
      <c r="A300" s="133">
        <f t="shared" si="104"/>
        <v>66</v>
      </c>
      <c r="B300" s="83" t="str">
        <f t="shared" si="105"/>
        <v/>
      </c>
      <c r="C300" s="126"/>
      <c r="D300" s="130"/>
      <c r="E300" s="22"/>
      <c r="F300" s="85"/>
      <c r="G300" s="27" t="str">
        <f>IF(F300&lt;&gt;"",IFERROR(VLOOKUP(F300,DUTY_2025!A:I,6,FALSE),""),"")</f>
        <v/>
      </c>
      <c r="H300" s="85" t="s">
        <v>133</v>
      </c>
      <c r="I300" s="27" t="str">
        <f>IF(F300&lt;&gt;"",IFERROR(VLOOKUP(F300,DUTY_2025!A:H,2,FALSE),""),"")</f>
        <v/>
      </c>
      <c r="J300" s="98"/>
      <c r="K300" s="98"/>
      <c r="L300" s="22"/>
      <c r="M300" s="22"/>
      <c r="N300" s="84"/>
      <c r="O300" s="22"/>
      <c r="P300" s="116"/>
      <c r="Q300" s="23"/>
      <c r="R300" s="27"/>
      <c r="S300" s="86" t="str">
        <f t="shared" si="106"/>
        <v/>
      </c>
      <c r="T300" s="87" t="str">
        <f t="shared" si="107"/>
        <v/>
      </c>
      <c r="U300" s="87" t="str" cm="1">
        <f t="array" ref="U300">IF(AND(H300&lt;&gt;"YES",P300&lt;&gt;"",R300&lt;&gt;"",Q300&lt;&gt;""),
_xlfn.SWITCH(Q300,
"INR",_xlfn.SWITCH(R300,"KG",P300*S300,"CTN",P300,"UNIT",P300*N300,"NET",P300/M300,0),
"USD",_xlfn.SWITCH(R300,"KG",P300*S300*SI!$C$10,"CTN",P300*SI!$C$10,"UNIT",P300*N300*SI!$C$10,"NET",P300*SI!$C$10/M300,0),
"LKR",_xlfn.SWITCH(R300,"KG",P300*S300/SI!$C$9,"CTN",P300/SI!$C$9,"UNIT",P300*N300/SI!$C$9,"NET",P300/(M300*SI!$C$9),0),
0),
"")</f>
        <v/>
      </c>
      <c r="V300" s="87" t="str">
        <f t="shared" si="108"/>
        <v/>
      </c>
      <c r="W300" s="87" t="str">
        <f t="shared" si="109"/>
        <v/>
      </c>
      <c r="X300" s="88" t="str">
        <f t="shared" si="110"/>
        <v/>
      </c>
      <c r="Y300" s="24" t="str">
        <f t="shared" si="111"/>
        <v/>
      </c>
      <c r="Z300" s="267" t="str">
        <f>IF(AND(H300&lt;&gt;"yes",F300&lt;&gt;""),IFERROR(VLOOKUP(F300,DUTY_2025!A:F,5,FALSE),""),"")</f>
        <v/>
      </c>
      <c r="AA300" s="271" t="str">
        <f t="shared" si="112"/>
        <v/>
      </c>
      <c r="AB300" s="16" t="str">
        <f t="shared" si="113"/>
        <v/>
      </c>
      <c r="AC300" s="16" t="str">
        <f>IF(AA300&lt;&gt;"",ROUND(AA300*SI!$C$9,0),"")</f>
        <v/>
      </c>
      <c r="AD300" s="4" t="str">
        <f>IF(AC300&lt;&gt;"",ROUND(AC300/(SI!$C$9*SI!$C$10),2),"")</f>
        <v/>
      </c>
      <c r="AE300" s="30" t="str">
        <f>IF(AND(X300&lt;&gt;""), ROUND((SI!$E$23)*(X300/SUM($X$5:$X$493)),0),"")</f>
        <v/>
      </c>
      <c r="AF300" s="272" t="str">
        <f t="shared" si="114"/>
        <v/>
      </c>
      <c r="AG300" s="28" t="str">
        <f t="shared" si="115"/>
        <v/>
      </c>
      <c r="AH300" s="4" t="str">
        <f>IF(AD300&lt;&gt;"",ROUND(AD300*10*SI!$C$9/2,0),"")</f>
        <v/>
      </c>
      <c r="AI300" s="29" t="str">
        <f>IF(AND(X300&lt;&gt;""), ROUND((SI!$E$28)*(X300/SUM($X$5:$X$493)),0),"")</f>
        <v/>
      </c>
      <c r="AJ300" s="4" t="str">
        <f t="shared" si="116"/>
        <v/>
      </c>
      <c r="AK300" s="4" t="str">
        <f t="shared" si="117"/>
        <v/>
      </c>
      <c r="AL300" s="4" t="str">
        <f t="shared" si="118"/>
        <v/>
      </c>
      <c r="AM300" s="4" t="str">
        <f t="shared" si="119"/>
        <v/>
      </c>
      <c r="AN300" s="195" t="str">
        <f t="shared" si="120"/>
        <v/>
      </c>
      <c r="AO300" s="261" t="str">
        <f>IF(AND(AM300&lt;&gt;"",P300&lt;&gt;""),ROUND((AM300*((100+SI!$C$11)/100)),0),"")</f>
        <v/>
      </c>
      <c r="AP300" s="28" t="str">
        <f>IF(AG300&lt;&gt;"",ROUND(AG300/SI!$C$9,2),"")</f>
        <v/>
      </c>
      <c r="AQ300" s="4" t="str">
        <f>IF(AH300&lt;&gt;"",ROUND(AH300/SI!$C$9,2),"")</f>
        <v/>
      </c>
      <c r="AR300" s="29" t="str">
        <f>IF(AI300&lt;&gt;"",ROUND(AI300/SI!$C$9,2),"")</f>
        <v/>
      </c>
      <c r="AS300" s="4" t="str">
        <f t="shared" si="121"/>
        <v/>
      </c>
      <c r="AT300" s="4" t="str">
        <f t="shared" si="122"/>
        <v/>
      </c>
      <c r="AU300" s="4" t="str">
        <f>IF(AL300&lt;&gt;"",ROUND(AL300/SI!$C$9,2),"")</f>
        <v/>
      </c>
      <c r="AV300" s="4" t="str">
        <f>IF(AM300&lt;&gt;"",ROUND(AM300/SI!$C$9,2),"")</f>
        <v/>
      </c>
      <c r="AW300" s="4" t="str">
        <f>IF(AN300&lt;&gt;"",ROUND(AN300/SI!$C$9,2),"")</f>
        <v/>
      </c>
      <c r="AX300" s="261" t="str">
        <f>IF(AO300&lt;&gt;"",ROUND(AO300/SI!$C$9,2),"")</f>
        <v/>
      </c>
      <c r="AY300" s="28" t="str">
        <f t="shared" si="123"/>
        <v/>
      </c>
      <c r="AZ300" s="4" t="str">
        <f>IF(AY300&lt;&gt;"",ROUND(AY300/(SI!$C$9*SI!$C$10),2),"")</f>
        <v/>
      </c>
      <c r="BA300" s="4" t="str">
        <f t="shared" si="124"/>
        <v/>
      </c>
      <c r="BB300" s="4" t="str">
        <f t="shared" si="125"/>
        <v/>
      </c>
      <c r="BC300" s="4" t="str">
        <f t="shared" si="126"/>
        <v/>
      </c>
      <c r="BD300" s="4" t="str">
        <f t="shared" si="127"/>
        <v/>
      </c>
      <c r="BE300" s="4" t="str">
        <f>IF(AND(X300&lt;&gt;""),ROUND(X300/SI!$C$10,2),"")</f>
        <v/>
      </c>
      <c r="BF300" s="4" t="str">
        <f t="shared" si="129"/>
        <v/>
      </c>
      <c r="BG300" s="264" t="str">
        <f t="shared" si="128"/>
        <v/>
      </c>
      <c r="BH300" s="71" t="str">
        <f>IF(F300&lt;&gt;"",VLOOKUP(F300,DUTY_2025!A:O,15,FALSE),"")</f>
        <v/>
      </c>
    </row>
    <row r="301" spans="1:60" x14ac:dyDescent="0.25">
      <c r="A301" s="133">
        <f t="shared" si="104"/>
        <v>66</v>
      </c>
      <c r="B301" s="83" t="str">
        <f t="shared" si="105"/>
        <v/>
      </c>
      <c r="C301" s="126"/>
      <c r="D301" s="130"/>
      <c r="E301" s="22"/>
      <c r="F301" s="85"/>
      <c r="G301" s="27" t="str">
        <f>IF(F301&lt;&gt;"",IFERROR(VLOOKUP(F301,DUTY_2025!A:I,6,FALSE),""),"")</f>
        <v/>
      </c>
      <c r="H301" s="85" t="s">
        <v>133</v>
      </c>
      <c r="I301" s="27" t="str">
        <f>IF(F301&lt;&gt;"",IFERROR(VLOOKUP(F301,DUTY_2025!A:H,2,FALSE),""),"")</f>
        <v/>
      </c>
      <c r="J301" s="98"/>
      <c r="K301" s="98"/>
      <c r="L301" s="22"/>
      <c r="M301" s="22"/>
      <c r="N301" s="84"/>
      <c r="O301" s="22"/>
      <c r="P301" s="116"/>
      <c r="Q301" s="23"/>
      <c r="R301" s="27"/>
      <c r="S301" s="86" t="str">
        <f t="shared" si="106"/>
        <v/>
      </c>
      <c r="T301" s="87" t="str">
        <f t="shared" si="107"/>
        <v/>
      </c>
      <c r="U301" s="87" t="str" cm="1">
        <f t="array" ref="U301">IF(AND(H301&lt;&gt;"YES",P301&lt;&gt;"",R301&lt;&gt;"",Q301&lt;&gt;""),
_xlfn.SWITCH(Q301,
"INR",_xlfn.SWITCH(R301,"KG",P301*S301,"CTN",P301,"UNIT",P301*N301,"NET",P301/M301,0),
"USD",_xlfn.SWITCH(R301,"KG",P301*S301*SI!$C$10,"CTN",P301*SI!$C$10,"UNIT",P301*N301*SI!$C$10,"NET",P301*SI!$C$10/M301,0),
"LKR",_xlfn.SWITCH(R301,"KG",P301*S301/SI!$C$9,"CTN",P301/SI!$C$9,"UNIT",P301*N301/SI!$C$9,"NET",P301/(M301*SI!$C$9),0),
0),
"")</f>
        <v/>
      </c>
      <c r="V301" s="87" t="str">
        <f t="shared" si="108"/>
        <v/>
      </c>
      <c r="W301" s="87" t="str">
        <f t="shared" si="109"/>
        <v/>
      </c>
      <c r="X301" s="88" t="str">
        <f t="shared" si="110"/>
        <v/>
      </c>
      <c r="Y301" s="24" t="str">
        <f t="shared" si="111"/>
        <v/>
      </c>
      <c r="Z301" s="267" t="str">
        <f>IF(AND(H301&lt;&gt;"yes",F301&lt;&gt;""),IFERROR(VLOOKUP(F301,DUTY_2025!A:F,5,FALSE),""),"")</f>
        <v/>
      </c>
      <c r="AA301" s="271" t="str">
        <f t="shared" si="112"/>
        <v/>
      </c>
      <c r="AB301" s="16" t="str">
        <f t="shared" si="113"/>
        <v/>
      </c>
      <c r="AC301" s="16" t="str">
        <f>IF(AA301&lt;&gt;"",ROUND(AA301*SI!$C$9,0),"")</f>
        <v/>
      </c>
      <c r="AD301" s="4" t="str">
        <f>IF(AC301&lt;&gt;"",ROUND(AC301/(SI!$C$9*SI!$C$10),2),"")</f>
        <v/>
      </c>
      <c r="AE301" s="30" t="str">
        <f>IF(AND(X301&lt;&gt;""), ROUND((SI!$E$23)*(X301/SUM($X$5:$X$493)),0),"")</f>
        <v/>
      </c>
      <c r="AF301" s="272" t="str">
        <f t="shared" si="114"/>
        <v/>
      </c>
      <c r="AG301" s="28" t="str">
        <f t="shared" si="115"/>
        <v/>
      </c>
      <c r="AH301" s="4" t="str">
        <f>IF(AD301&lt;&gt;"",ROUND(AD301*10*SI!$C$9/2,0),"")</f>
        <v/>
      </c>
      <c r="AI301" s="29" t="str">
        <f>IF(AND(X301&lt;&gt;""), ROUND((SI!$E$28)*(X301/SUM($X$5:$X$493)),0),"")</f>
        <v/>
      </c>
      <c r="AJ301" s="4" t="str">
        <f t="shared" si="116"/>
        <v/>
      </c>
      <c r="AK301" s="4" t="str">
        <f t="shared" si="117"/>
        <v/>
      </c>
      <c r="AL301" s="4" t="str">
        <f t="shared" si="118"/>
        <v/>
      </c>
      <c r="AM301" s="4" t="str">
        <f t="shared" si="119"/>
        <v/>
      </c>
      <c r="AN301" s="195" t="str">
        <f t="shared" si="120"/>
        <v/>
      </c>
      <c r="AO301" s="261" t="str">
        <f>IF(AND(AM301&lt;&gt;"",P301&lt;&gt;""),ROUND((AM301*((100+SI!$C$11)/100)),0),"")</f>
        <v/>
      </c>
      <c r="AP301" s="28" t="str">
        <f>IF(AG301&lt;&gt;"",ROUND(AG301/SI!$C$9,2),"")</f>
        <v/>
      </c>
      <c r="AQ301" s="4" t="str">
        <f>IF(AH301&lt;&gt;"",ROUND(AH301/SI!$C$9,2),"")</f>
        <v/>
      </c>
      <c r="AR301" s="29" t="str">
        <f>IF(AI301&lt;&gt;"",ROUND(AI301/SI!$C$9,2),"")</f>
        <v/>
      </c>
      <c r="AS301" s="4" t="str">
        <f t="shared" si="121"/>
        <v/>
      </c>
      <c r="AT301" s="4" t="str">
        <f t="shared" si="122"/>
        <v/>
      </c>
      <c r="AU301" s="4" t="str">
        <f>IF(AL301&lt;&gt;"",ROUND(AL301/SI!$C$9,2),"")</f>
        <v/>
      </c>
      <c r="AV301" s="4" t="str">
        <f>IF(AM301&lt;&gt;"",ROUND(AM301/SI!$C$9,2),"")</f>
        <v/>
      </c>
      <c r="AW301" s="4" t="str">
        <f>IF(AN301&lt;&gt;"",ROUND(AN301/SI!$C$9,2),"")</f>
        <v/>
      </c>
      <c r="AX301" s="261" t="str">
        <f>IF(AO301&lt;&gt;"",ROUND(AO301/SI!$C$9,2),"")</f>
        <v/>
      </c>
      <c r="AY301" s="28" t="str">
        <f t="shared" si="123"/>
        <v/>
      </c>
      <c r="AZ301" s="4" t="str">
        <f>IF(AY301&lt;&gt;"",ROUND(AY301/(SI!$C$9*SI!$C$10),2),"")</f>
        <v/>
      </c>
      <c r="BA301" s="4" t="str">
        <f t="shared" si="124"/>
        <v/>
      </c>
      <c r="BB301" s="4" t="str">
        <f t="shared" si="125"/>
        <v/>
      </c>
      <c r="BC301" s="4" t="str">
        <f t="shared" si="126"/>
        <v/>
      </c>
      <c r="BD301" s="4" t="str">
        <f t="shared" si="127"/>
        <v/>
      </c>
      <c r="BE301" s="4" t="str">
        <f>IF(AND(X301&lt;&gt;""),ROUND(X301/SI!$C$10,2),"")</f>
        <v/>
      </c>
      <c r="BF301" s="4" t="str">
        <f t="shared" si="129"/>
        <v/>
      </c>
      <c r="BG301" s="264" t="str">
        <f t="shared" si="128"/>
        <v/>
      </c>
      <c r="BH301" s="71" t="str">
        <f>IF(F301&lt;&gt;"",VLOOKUP(F301,DUTY_2025!A:O,15,FALSE),"")</f>
        <v/>
      </c>
    </row>
    <row r="302" spans="1:60" x14ac:dyDescent="0.25">
      <c r="A302" s="133">
        <f t="shared" si="104"/>
        <v>66</v>
      </c>
      <c r="B302" s="83" t="str">
        <f t="shared" si="105"/>
        <v/>
      </c>
      <c r="C302" s="126"/>
      <c r="D302" s="130"/>
      <c r="E302" s="22"/>
      <c r="F302" s="85"/>
      <c r="G302" s="27" t="str">
        <f>IF(F302&lt;&gt;"",IFERROR(VLOOKUP(F302,DUTY_2025!A:I,6,FALSE),""),"")</f>
        <v/>
      </c>
      <c r="H302" s="85" t="s">
        <v>133</v>
      </c>
      <c r="I302" s="27" t="str">
        <f>IF(F302&lt;&gt;"",IFERROR(VLOOKUP(F302,DUTY_2025!A:H,2,FALSE),""),"")</f>
        <v/>
      </c>
      <c r="J302" s="98"/>
      <c r="K302" s="98"/>
      <c r="L302" s="22"/>
      <c r="M302" s="22"/>
      <c r="N302" s="84"/>
      <c r="O302" s="22"/>
      <c r="P302" s="116"/>
      <c r="Q302" s="23"/>
      <c r="R302" s="27"/>
      <c r="S302" s="86" t="str">
        <f t="shared" si="106"/>
        <v/>
      </c>
      <c r="T302" s="87" t="str">
        <f t="shared" si="107"/>
        <v/>
      </c>
      <c r="U302" s="87" t="str" cm="1">
        <f t="array" ref="U302">IF(AND(H302&lt;&gt;"YES",P302&lt;&gt;"",R302&lt;&gt;"",Q302&lt;&gt;""),
_xlfn.SWITCH(Q302,
"INR",_xlfn.SWITCH(R302,"KG",P302*S302,"CTN",P302,"UNIT",P302*N302,"NET",P302/M302,0),
"USD",_xlfn.SWITCH(R302,"KG",P302*S302*SI!$C$10,"CTN",P302*SI!$C$10,"UNIT",P302*N302*SI!$C$10,"NET",P302*SI!$C$10/M302,0),
"LKR",_xlfn.SWITCH(R302,"KG",P302*S302/SI!$C$9,"CTN",P302/SI!$C$9,"UNIT",P302*N302/SI!$C$9,"NET",P302/(M302*SI!$C$9),0),
0),
"")</f>
        <v/>
      </c>
      <c r="V302" s="87" t="str">
        <f t="shared" si="108"/>
        <v/>
      </c>
      <c r="W302" s="87" t="str">
        <f t="shared" si="109"/>
        <v/>
      </c>
      <c r="X302" s="88" t="str">
        <f t="shared" si="110"/>
        <v/>
      </c>
      <c r="Y302" s="24" t="str">
        <f t="shared" si="111"/>
        <v/>
      </c>
      <c r="Z302" s="267" t="str">
        <f>IF(AND(H302&lt;&gt;"yes",F302&lt;&gt;""),IFERROR(VLOOKUP(F302,DUTY_2025!A:F,5,FALSE),""),"")</f>
        <v/>
      </c>
      <c r="AA302" s="271" t="str">
        <f t="shared" si="112"/>
        <v/>
      </c>
      <c r="AB302" s="16" t="str">
        <f t="shared" si="113"/>
        <v/>
      </c>
      <c r="AC302" s="16" t="str">
        <f>IF(AA302&lt;&gt;"",ROUND(AA302*SI!$C$9,0),"")</f>
        <v/>
      </c>
      <c r="AD302" s="4" t="str">
        <f>IF(AC302&lt;&gt;"",ROUND(AC302/(SI!$C$9*SI!$C$10),2),"")</f>
        <v/>
      </c>
      <c r="AE302" s="30" t="str">
        <f>IF(AND(X302&lt;&gt;""), ROUND((SI!$E$23)*(X302/SUM($X$5:$X$493)),0),"")</f>
        <v/>
      </c>
      <c r="AF302" s="272" t="str">
        <f t="shared" si="114"/>
        <v/>
      </c>
      <c r="AG302" s="28" t="str">
        <f t="shared" si="115"/>
        <v/>
      </c>
      <c r="AH302" s="4" t="str">
        <f>IF(AD302&lt;&gt;"",ROUND(AD302*10*SI!$C$9/2,0),"")</f>
        <v/>
      </c>
      <c r="AI302" s="29" t="str">
        <f>IF(AND(X302&lt;&gt;""), ROUND((SI!$E$28)*(X302/SUM($X$5:$X$493)),0),"")</f>
        <v/>
      </c>
      <c r="AJ302" s="4" t="str">
        <f t="shared" si="116"/>
        <v/>
      </c>
      <c r="AK302" s="4" t="str">
        <f t="shared" si="117"/>
        <v/>
      </c>
      <c r="AL302" s="4" t="str">
        <f t="shared" si="118"/>
        <v/>
      </c>
      <c r="AM302" s="4" t="str">
        <f t="shared" si="119"/>
        <v/>
      </c>
      <c r="AN302" s="195" t="str">
        <f t="shared" si="120"/>
        <v/>
      </c>
      <c r="AO302" s="261" t="str">
        <f>IF(AND(AM302&lt;&gt;"",P302&lt;&gt;""),ROUND((AM302*((100+SI!$C$11)/100)),0),"")</f>
        <v/>
      </c>
      <c r="AP302" s="28" t="str">
        <f>IF(AG302&lt;&gt;"",ROUND(AG302/SI!$C$9,2),"")</f>
        <v/>
      </c>
      <c r="AQ302" s="4" t="str">
        <f>IF(AH302&lt;&gt;"",ROUND(AH302/SI!$C$9,2),"")</f>
        <v/>
      </c>
      <c r="AR302" s="29" t="str">
        <f>IF(AI302&lt;&gt;"",ROUND(AI302/SI!$C$9,2),"")</f>
        <v/>
      </c>
      <c r="AS302" s="4" t="str">
        <f t="shared" si="121"/>
        <v/>
      </c>
      <c r="AT302" s="4" t="str">
        <f t="shared" si="122"/>
        <v/>
      </c>
      <c r="AU302" s="4" t="str">
        <f>IF(AL302&lt;&gt;"",ROUND(AL302/SI!$C$9,2),"")</f>
        <v/>
      </c>
      <c r="AV302" s="4" t="str">
        <f>IF(AM302&lt;&gt;"",ROUND(AM302/SI!$C$9,2),"")</f>
        <v/>
      </c>
      <c r="AW302" s="4" t="str">
        <f>IF(AN302&lt;&gt;"",ROUND(AN302/SI!$C$9,2),"")</f>
        <v/>
      </c>
      <c r="AX302" s="261" t="str">
        <f>IF(AO302&lt;&gt;"",ROUND(AO302/SI!$C$9,2),"")</f>
        <v/>
      </c>
      <c r="AY302" s="28" t="str">
        <f t="shared" si="123"/>
        <v/>
      </c>
      <c r="AZ302" s="4" t="str">
        <f>IF(AY302&lt;&gt;"",ROUND(AY302/(SI!$C$9*SI!$C$10),2),"")</f>
        <v/>
      </c>
      <c r="BA302" s="4" t="str">
        <f t="shared" si="124"/>
        <v/>
      </c>
      <c r="BB302" s="4" t="str">
        <f t="shared" si="125"/>
        <v/>
      </c>
      <c r="BC302" s="4" t="str">
        <f t="shared" si="126"/>
        <v/>
      </c>
      <c r="BD302" s="4" t="str">
        <f t="shared" si="127"/>
        <v/>
      </c>
      <c r="BE302" s="4" t="str">
        <f>IF(AND(X302&lt;&gt;""),ROUND(X302/SI!$C$10,2),"")</f>
        <v/>
      </c>
      <c r="BF302" s="4" t="str">
        <f t="shared" si="129"/>
        <v/>
      </c>
      <c r="BG302" s="264" t="str">
        <f t="shared" si="128"/>
        <v/>
      </c>
      <c r="BH302" s="71" t="str">
        <f>IF(F302&lt;&gt;"",VLOOKUP(F302,DUTY_2025!A:O,15,FALSE),"")</f>
        <v/>
      </c>
    </row>
    <row r="303" spans="1:60" x14ac:dyDescent="0.25">
      <c r="A303" s="133">
        <f t="shared" si="104"/>
        <v>66</v>
      </c>
      <c r="B303" s="83" t="str">
        <f t="shared" si="105"/>
        <v/>
      </c>
      <c r="C303" s="126"/>
      <c r="D303" s="130"/>
      <c r="E303" s="22"/>
      <c r="F303" s="85"/>
      <c r="G303" s="27" t="str">
        <f>IF(F303&lt;&gt;"",IFERROR(VLOOKUP(F303,DUTY_2025!A:I,6,FALSE),""),"")</f>
        <v/>
      </c>
      <c r="H303" s="85" t="s">
        <v>133</v>
      </c>
      <c r="I303" s="27" t="str">
        <f>IF(F303&lt;&gt;"",IFERROR(VLOOKUP(F303,DUTY_2025!A:H,2,FALSE),""),"")</f>
        <v/>
      </c>
      <c r="J303" s="98"/>
      <c r="K303" s="98"/>
      <c r="L303" s="22"/>
      <c r="M303" s="22"/>
      <c r="N303" s="84"/>
      <c r="O303" s="22"/>
      <c r="P303" s="116"/>
      <c r="Q303" s="23"/>
      <c r="R303" s="27"/>
      <c r="S303" s="86" t="str">
        <f t="shared" si="106"/>
        <v/>
      </c>
      <c r="T303" s="87" t="str">
        <f t="shared" si="107"/>
        <v/>
      </c>
      <c r="U303" s="87" t="str" cm="1">
        <f t="array" ref="U303">IF(AND(H303&lt;&gt;"YES",P303&lt;&gt;"",R303&lt;&gt;"",Q303&lt;&gt;""),
_xlfn.SWITCH(Q303,
"INR",_xlfn.SWITCH(R303,"KG",P303*S303,"CTN",P303,"UNIT",P303*N303,"NET",P303/M303,0),
"USD",_xlfn.SWITCH(R303,"KG",P303*S303*SI!$C$10,"CTN",P303*SI!$C$10,"UNIT",P303*N303*SI!$C$10,"NET",P303*SI!$C$10/M303,0),
"LKR",_xlfn.SWITCH(R303,"KG",P303*S303/SI!$C$9,"CTN",P303/SI!$C$9,"UNIT",P303*N303/SI!$C$9,"NET",P303/(M303*SI!$C$9),0),
0),
"")</f>
        <v/>
      </c>
      <c r="V303" s="87" t="str">
        <f t="shared" si="108"/>
        <v/>
      </c>
      <c r="W303" s="87" t="str">
        <f t="shared" si="109"/>
        <v/>
      </c>
      <c r="X303" s="88" t="str">
        <f t="shared" si="110"/>
        <v/>
      </c>
      <c r="Y303" s="24" t="str">
        <f t="shared" si="111"/>
        <v/>
      </c>
      <c r="Z303" s="267" t="str">
        <f>IF(AND(H303&lt;&gt;"yes",F303&lt;&gt;""),IFERROR(VLOOKUP(F303,DUTY_2025!A:F,5,FALSE),""),"")</f>
        <v/>
      </c>
      <c r="AA303" s="271" t="str">
        <f t="shared" si="112"/>
        <v/>
      </c>
      <c r="AB303" s="16" t="str">
        <f t="shared" si="113"/>
        <v/>
      </c>
      <c r="AC303" s="16" t="str">
        <f>IF(AA303&lt;&gt;"",ROUND(AA303*SI!$C$9,0),"")</f>
        <v/>
      </c>
      <c r="AD303" s="4" t="str">
        <f>IF(AC303&lt;&gt;"",ROUND(AC303/(SI!$C$9*SI!$C$10),2),"")</f>
        <v/>
      </c>
      <c r="AE303" s="30" t="str">
        <f>IF(AND(X303&lt;&gt;""), ROUND((SI!$E$23)*(X303/SUM($X$5:$X$493)),0),"")</f>
        <v/>
      </c>
      <c r="AF303" s="272" t="str">
        <f t="shared" si="114"/>
        <v/>
      </c>
      <c r="AG303" s="28" t="str">
        <f t="shared" si="115"/>
        <v/>
      </c>
      <c r="AH303" s="4" t="str">
        <f>IF(AD303&lt;&gt;"",ROUND(AD303*10*SI!$C$9/2,0),"")</f>
        <v/>
      </c>
      <c r="AI303" s="29" t="str">
        <f>IF(AND(X303&lt;&gt;""), ROUND((SI!$E$28)*(X303/SUM($X$5:$X$493)),0),"")</f>
        <v/>
      </c>
      <c r="AJ303" s="4" t="str">
        <f t="shared" si="116"/>
        <v/>
      </c>
      <c r="AK303" s="4" t="str">
        <f t="shared" si="117"/>
        <v/>
      </c>
      <c r="AL303" s="4" t="str">
        <f t="shared" si="118"/>
        <v/>
      </c>
      <c r="AM303" s="4" t="str">
        <f t="shared" si="119"/>
        <v/>
      </c>
      <c r="AN303" s="195" t="str">
        <f t="shared" si="120"/>
        <v/>
      </c>
      <c r="AO303" s="261" t="str">
        <f>IF(AND(AM303&lt;&gt;"",P303&lt;&gt;""),ROUND((AM303*((100+SI!$C$11)/100)),0),"")</f>
        <v/>
      </c>
      <c r="AP303" s="28" t="str">
        <f>IF(AG303&lt;&gt;"",ROUND(AG303/SI!$C$9,2),"")</f>
        <v/>
      </c>
      <c r="AQ303" s="4" t="str">
        <f>IF(AH303&lt;&gt;"",ROUND(AH303/SI!$C$9,2),"")</f>
        <v/>
      </c>
      <c r="AR303" s="29" t="str">
        <f>IF(AI303&lt;&gt;"",ROUND(AI303/SI!$C$9,2),"")</f>
        <v/>
      </c>
      <c r="AS303" s="4" t="str">
        <f t="shared" si="121"/>
        <v/>
      </c>
      <c r="AT303" s="4" t="str">
        <f t="shared" si="122"/>
        <v/>
      </c>
      <c r="AU303" s="4" t="str">
        <f>IF(AL303&lt;&gt;"",ROUND(AL303/SI!$C$9,2),"")</f>
        <v/>
      </c>
      <c r="AV303" s="4" t="str">
        <f>IF(AM303&lt;&gt;"",ROUND(AM303/SI!$C$9,2),"")</f>
        <v/>
      </c>
      <c r="AW303" s="4" t="str">
        <f>IF(AN303&lt;&gt;"",ROUND(AN303/SI!$C$9,2),"")</f>
        <v/>
      </c>
      <c r="AX303" s="261" t="str">
        <f>IF(AO303&lt;&gt;"",ROUND(AO303/SI!$C$9,2),"")</f>
        <v/>
      </c>
      <c r="AY303" s="28" t="str">
        <f t="shared" si="123"/>
        <v/>
      </c>
      <c r="AZ303" s="4" t="str">
        <f>IF(AY303&lt;&gt;"",ROUND(AY303/(SI!$C$9*SI!$C$10),2),"")</f>
        <v/>
      </c>
      <c r="BA303" s="4" t="str">
        <f t="shared" si="124"/>
        <v/>
      </c>
      <c r="BB303" s="4" t="str">
        <f t="shared" si="125"/>
        <v/>
      </c>
      <c r="BC303" s="4" t="str">
        <f t="shared" si="126"/>
        <v/>
      </c>
      <c r="BD303" s="4" t="str">
        <f t="shared" si="127"/>
        <v/>
      </c>
      <c r="BE303" s="4" t="str">
        <f>IF(AND(X303&lt;&gt;""),ROUND(X303/SI!$C$10,2),"")</f>
        <v/>
      </c>
      <c r="BF303" s="4" t="str">
        <f t="shared" si="129"/>
        <v/>
      </c>
      <c r="BG303" s="264" t="str">
        <f t="shared" si="128"/>
        <v/>
      </c>
      <c r="BH303" s="71" t="str">
        <f>IF(F303&lt;&gt;"",VLOOKUP(F303,DUTY_2025!A:O,15,FALSE),"")</f>
        <v/>
      </c>
    </row>
    <row r="304" spans="1:60" x14ac:dyDescent="0.25">
      <c r="A304" s="133">
        <f t="shared" si="104"/>
        <v>66</v>
      </c>
      <c r="B304" s="83" t="str">
        <f t="shared" si="105"/>
        <v/>
      </c>
      <c r="C304" s="126"/>
      <c r="D304" s="130"/>
      <c r="E304" s="22"/>
      <c r="F304" s="85"/>
      <c r="G304" s="27" t="str">
        <f>IF(F304&lt;&gt;"",IFERROR(VLOOKUP(F304,DUTY_2025!A:I,6,FALSE),""),"")</f>
        <v/>
      </c>
      <c r="H304" s="85" t="s">
        <v>133</v>
      </c>
      <c r="I304" s="27" t="str">
        <f>IF(F304&lt;&gt;"",IFERROR(VLOOKUP(F304,DUTY_2025!A:H,2,FALSE),""),"")</f>
        <v/>
      </c>
      <c r="J304" s="98"/>
      <c r="K304" s="98"/>
      <c r="L304" s="22"/>
      <c r="M304" s="22"/>
      <c r="N304" s="84"/>
      <c r="O304" s="22"/>
      <c r="P304" s="116"/>
      <c r="Q304" s="23"/>
      <c r="R304" s="27"/>
      <c r="S304" s="86" t="str">
        <f t="shared" si="106"/>
        <v/>
      </c>
      <c r="T304" s="87" t="str">
        <f t="shared" si="107"/>
        <v/>
      </c>
      <c r="U304" s="87" t="str" cm="1">
        <f t="array" ref="U304">IF(AND(H304&lt;&gt;"YES",P304&lt;&gt;"",R304&lt;&gt;"",Q304&lt;&gt;""),
_xlfn.SWITCH(Q304,
"INR",_xlfn.SWITCH(R304,"KG",P304*S304,"CTN",P304,"UNIT",P304*N304,"NET",P304/M304,0),
"USD",_xlfn.SWITCH(R304,"KG",P304*S304*SI!$C$10,"CTN",P304*SI!$C$10,"UNIT",P304*N304*SI!$C$10,"NET",P304*SI!$C$10/M304,0),
"LKR",_xlfn.SWITCH(R304,"KG",P304*S304/SI!$C$9,"CTN",P304/SI!$C$9,"UNIT",P304*N304/SI!$C$9,"NET",P304/(M304*SI!$C$9),0),
0),
"")</f>
        <v/>
      </c>
      <c r="V304" s="87" t="str">
        <f t="shared" si="108"/>
        <v/>
      </c>
      <c r="W304" s="87" t="str">
        <f t="shared" si="109"/>
        <v/>
      </c>
      <c r="X304" s="88" t="str">
        <f t="shared" si="110"/>
        <v/>
      </c>
      <c r="Y304" s="24" t="str">
        <f t="shared" si="111"/>
        <v/>
      </c>
      <c r="Z304" s="267" t="str">
        <f>IF(AND(H304&lt;&gt;"yes",F304&lt;&gt;""),IFERROR(VLOOKUP(F304,DUTY_2025!A:F,5,FALSE),""),"")</f>
        <v/>
      </c>
      <c r="AA304" s="271" t="str">
        <f t="shared" si="112"/>
        <v/>
      </c>
      <c r="AB304" s="16" t="str">
        <f t="shared" si="113"/>
        <v/>
      </c>
      <c r="AC304" s="16" t="str">
        <f>IF(AA304&lt;&gt;"",ROUND(AA304*SI!$C$9,0),"")</f>
        <v/>
      </c>
      <c r="AD304" s="4" t="str">
        <f>IF(AC304&lt;&gt;"",ROUND(AC304/(SI!$C$9*SI!$C$10),2),"")</f>
        <v/>
      </c>
      <c r="AE304" s="30" t="str">
        <f>IF(AND(X304&lt;&gt;""), ROUND((SI!$E$23)*(X304/SUM($X$5:$X$493)),0),"")</f>
        <v/>
      </c>
      <c r="AF304" s="272" t="str">
        <f t="shared" si="114"/>
        <v/>
      </c>
      <c r="AG304" s="28" t="str">
        <f t="shared" si="115"/>
        <v/>
      </c>
      <c r="AH304" s="4" t="str">
        <f>IF(AD304&lt;&gt;"",ROUND(AD304*10*SI!$C$9/2,0),"")</f>
        <v/>
      </c>
      <c r="AI304" s="29" t="str">
        <f>IF(AND(X304&lt;&gt;""), ROUND((SI!$E$28)*(X304/SUM($X$5:$X$493)),0),"")</f>
        <v/>
      </c>
      <c r="AJ304" s="4" t="str">
        <f t="shared" si="116"/>
        <v/>
      </c>
      <c r="AK304" s="4" t="str">
        <f t="shared" si="117"/>
        <v/>
      </c>
      <c r="AL304" s="4" t="str">
        <f t="shared" si="118"/>
        <v/>
      </c>
      <c r="AM304" s="4" t="str">
        <f t="shared" si="119"/>
        <v/>
      </c>
      <c r="AN304" s="195" t="str">
        <f t="shared" si="120"/>
        <v/>
      </c>
      <c r="AO304" s="261" t="str">
        <f>IF(AND(AM304&lt;&gt;"",P304&lt;&gt;""),ROUND((AM304*((100+SI!$C$11)/100)),0),"")</f>
        <v/>
      </c>
      <c r="AP304" s="28" t="str">
        <f>IF(AG304&lt;&gt;"",ROUND(AG304/SI!$C$9,2),"")</f>
        <v/>
      </c>
      <c r="AQ304" s="4" t="str">
        <f>IF(AH304&lt;&gt;"",ROUND(AH304/SI!$C$9,2),"")</f>
        <v/>
      </c>
      <c r="AR304" s="29" t="str">
        <f>IF(AI304&lt;&gt;"",ROUND(AI304/SI!$C$9,2),"")</f>
        <v/>
      </c>
      <c r="AS304" s="4" t="str">
        <f t="shared" si="121"/>
        <v/>
      </c>
      <c r="AT304" s="4" t="str">
        <f t="shared" si="122"/>
        <v/>
      </c>
      <c r="AU304" s="4" t="str">
        <f>IF(AL304&lt;&gt;"",ROUND(AL304/SI!$C$9,2),"")</f>
        <v/>
      </c>
      <c r="AV304" s="4" t="str">
        <f>IF(AM304&lt;&gt;"",ROUND(AM304/SI!$C$9,2),"")</f>
        <v/>
      </c>
      <c r="AW304" s="4" t="str">
        <f>IF(AN304&lt;&gt;"",ROUND(AN304/SI!$C$9,2),"")</f>
        <v/>
      </c>
      <c r="AX304" s="261" t="str">
        <f>IF(AO304&lt;&gt;"",ROUND(AO304/SI!$C$9,2),"")</f>
        <v/>
      </c>
      <c r="AY304" s="28" t="str">
        <f t="shared" si="123"/>
        <v/>
      </c>
      <c r="AZ304" s="4" t="str">
        <f>IF(AY304&lt;&gt;"",ROUND(AY304/(SI!$C$9*SI!$C$10),2),"")</f>
        <v/>
      </c>
      <c r="BA304" s="4" t="str">
        <f t="shared" si="124"/>
        <v/>
      </c>
      <c r="BB304" s="4" t="str">
        <f t="shared" si="125"/>
        <v/>
      </c>
      <c r="BC304" s="4" t="str">
        <f t="shared" si="126"/>
        <v/>
      </c>
      <c r="BD304" s="4" t="str">
        <f t="shared" si="127"/>
        <v/>
      </c>
      <c r="BE304" s="4" t="str">
        <f>IF(AND(X304&lt;&gt;""),ROUND(X304/SI!$C$10,2),"")</f>
        <v/>
      </c>
      <c r="BF304" s="4" t="str">
        <f t="shared" si="129"/>
        <v/>
      </c>
      <c r="BG304" s="264" t="str">
        <f t="shared" si="128"/>
        <v/>
      </c>
      <c r="BH304" s="71" t="str">
        <f>IF(F304&lt;&gt;"",VLOOKUP(F304,DUTY_2025!A:O,15,FALSE),"")</f>
        <v/>
      </c>
    </row>
    <row r="305" spans="1:60" x14ac:dyDescent="0.25">
      <c r="A305" s="133">
        <f t="shared" si="104"/>
        <v>66</v>
      </c>
      <c r="B305" s="83" t="str">
        <f t="shared" si="105"/>
        <v/>
      </c>
      <c r="C305" s="126"/>
      <c r="D305" s="130"/>
      <c r="E305" s="22"/>
      <c r="F305" s="85"/>
      <c r="G305" s="27" t="str">
        <f>IF(F305&lt;&gt;"",IFERROR(VLOOKUP(F305,DUTY_2025!A:I,6,FALSE),""),"")</f>
        <v/>
      </c>
      <c r="H305" s="85" t="s">
        <v>133</v>
      </c>
      <c r="I305" s="27" t="str">
        <f>IF(F305&lt;&gt;"",IFERROR(VLOOKUP(F305,DUTY_2025!A:H,2,FALSE),""),"")</f>
        <v/>
      </c>
      <c r="J305" s="98"/>
      <c r="K305" s="98"/>
      <c r="L305" s="22"/>
      <c r="M305" s="22"/>
      <c r="N305" s="84"/>
      <c r="O305" s="22"/>
      <c r="P305" s="116"/>
      <c r="Q305" s="23"/>
      <c r="R305" s="27"/>
      <c r="S305" s="86" t="str">
        <f t="shared" si="106"/>
        <v/>
      </c>
      <c r="T305" s="87" t="str">
        <f t="shared" si="107"/>
        <v/>
      </c>
      <c r="U305" s="87" t="str" cm="1">
        <f t="array" ref="U305">IF(AND(H305&lt;&gt;"YES",P305&lt;&gt;"",R305&lt;&gt;"",Q305&lt;&gt;""),
_xlfn.SWITCH(Q305,
"INR",_xlfn.SWITCH(R305,"KG",P305*S305,"CTN",P305,"UNIT",P305*N305,"NET",P305/M305,0),
"USD",_xlfn.SWITCH(R305,"KG",P305*S305*SI!$C$10,"CTN",P305*SI!$C$10,"UNIT",P305*N305*SI!$C$10,"NET",P305*SI!$C$10/M305,0),
"LKR",_xlfn.SWITCH(R305,"KG",P305*S305/SI!$C$9,"CTN",P305/SI!$C$9,"UNIT",P305*N305/SI!$C$9,"NET",P305/(M305*SI!$C$9),0),
0),
"")</f>
        <v/>
      </c>
      <c r="V305" s="87" t="str">
        <f t="shared" si="108"/>
        <v/>
      </c>
      <c r="W305" s="87" t="str">
        <f t="shared" si="109"/>
        <v/>
      </c>
      <c r="X305" s="88" t="str">
        <f t="shared" si="110"/>
        <v/>
      </c>
      <c r="Y305" s="24" t="str">
        <f t="shared" si="111"/>
        <v/>
      </c>
      <c r="Z305" s="267" t="str">
        <f>IF(AND(H305&lt;&gt;"yes",F305&lt;&gt;""),IFERROR(VLOOKUP(F305,DUTY_2025!A:F,5,FALSE),""),"")</f>
        <v/>
      </c>
      <c r="AA305" s="271" t="str">
        <f t="shared" si="112"/>
        <v/>
      </c>
      <c r="AB305" s="16" t="str">
        <f t="shared" si="113"/>
        <v/>
      </c>
      <c r="AC305" s="16" t="str">
        <f>IF(AA305&lt;&gt;"",ROUND(AA305*SI!$C$9,0),"")</f>
        <v/>
      </c>
      <c r="AD305" s="4" t="str">
        <f>IF(AC305&lt;&gt;"",ROUND(AC305/(SI!$C$9*SI!$C$10),2),"")</f>
        <v/>
      </c>
      <c r="AE305" s="30" t="str">
        <f>IF(AND(X305&lt;&gt;""), ROUND((SI!$E$23)*(X305/SUM($X$5:$X$493)),0),"")</f>
        <v/>
      </c>
      <c r="AF305" s="272" t="str">
        <f t="shared" si="114"/>
        <v/>
      </c>
      <c r="AG305" s="28" t="str">
        <f t="shared" si="115"/>
        <v/>
      </c>
      <c r="AH305" s="4" t="str">
        <f>IF(AD305&lt;&gt;"",ROUND(AD305*10*SI!$C$9/2,0),"")</f>
        <v/>
      </c>
      <c r="AI305" s="29" t="str">
        <f>IF(AND(X305&lt;&gt;""), ROUND((SI!$E$28)*(X305/SUM($X$5:$X$493)),0),"")</f>
        <v/>
      </c>
      <c r="AJ305" s="4" t="str">
        <f t="shared" si="116"/>
        <v/>
      </c>
      <c r="AK305" s="4" t="str">
        <f t="shared" si="117"/>
        <v/>
      </c>
      <c r="AL305" s="4" t="str">
        <f t="shared" si="118"/>
        <v/>
      </c>
      <c r="AM305" s="4" t="str">
        <f t="shared" si="119"/>
        <v/>
      </c>
      <c r="AN305" s="195" t="str">
        <f t="shared" si="120"/>
        <v/>
      </c>
      <c r="AO305" s="261" t="str">
        <f>IF(AND(AM305&lt;&gt;"",P305&lt;&gt;""),ROUND((AM305*((100+SI!$C$11)/100)),0),"")</f>
        <v/>
      </c>
      <c r="AP305" s="28" t="str">
        <f>IF(AG305&lt;&gt;"",ROUND(AG305/SI!$C$9,2),"")</f>
        <v/>
      </c>
      <c r="AQ305" s="4" t="str">
        <f>IF(AH305&lt;&gt;"",ROUND(AH305/SI!$C$9,2),"")</f>
        <v/>
      </c>
      <c r="AR305" s="29" t="str">
        <f>IF(AI305&lt;&gt;"",ROUND(AI305/SI!$C$9,2),"")</f>
        <v/>
      </c>
      <c r="AS305" s="4" t="str">
        <f t="shared" si="121"/>
        <v/>
      </c>
      <c r="AT305" s="4" t="str">
        <f t="shared" si="122"/>
        <v/>
      </c>
      <c r="AU305" s="4" t="str">
        <f>IF(AL305&lt;&gt;"",ROUND(AL305/SI!$C$9,2),"")</f>
        <v/>
      </c>
      <c r="AV305" s="4" t="str">
        <f>IF(AM305&lt;&gt;"",ROUND(AM305/SI!$C$9,2),"")</f>
        <v/>
      </c>
      <c r="AW305" s="4" t="str">
        <f>IF(AN305&lt;&gt;"",ROUND(AN305/SI!$C$9,2),"")</f>
        <v/>
      </c>
      <c r="AX305" s="261" t="str">
        <f>IF(AO305&lt;&gt;"",ROUND(AO305/SI!$C$9,2),"")</f>
        <v/>
      </c>
      <c r="AY305" s="28" t="str">
        <f t="shared" si="123"/>
        <v/>
      </c>
      <c r="AZ305" s="4" t="str">
        <f>IF(AY305&lt;&gt;"",ROUND(AY305/(SI!$C$9*SI!$C$10),2),"")</f>
        <v/>
      </c>
      <c r="BA305" s="4" t="str">
        <f t="shared" si="124"/>
        <v/>
      </c>
      <c r="BB305" s="4" t="str">
        <f t="shared" si="125"/>
        <v/>
      </c>
      <c r="BC305" s="4" t="str">
        <f t="shared" si="126"/>
        <v/>
      </c>
      <c r="BD305" s="4" t="str">
        <f t="shared" si="127"/>
        <v/>
      </c>
      <c r="BE305" s="4" t="str">
        <f>IF(AND(X305&lt;&gt;""),ROUND(X305/SI!$C$10,2),"")</f>
        <v/>
      </c>
      <c r="BF305" s="4" t="str">
        <f t="shared" si="129"/>
        <v/>
      </c>
      <c r="BG305" s="264" t="str">
        <f t="shared" si="128"/>
        <v/>
      </c>
      <c r="BH305" s="71" t="str">
        <f>IF(F305&lt;&gt;"",VLOOKUP(F305,DUTY_2025!A:O,15,FALSE),"")</f>
        <v/>
      </c>
    </row>
    <row r="306" spans="1:60" x14ac:dyDescent="0.25">
      <c r="A306" s="133">
        <f t="shared" si="104"/>
        <v>66</v>
      </c>
      <c r="B306" s="83" t="str">
        <f t="shared" si="105"/>
        <v/>
      </c>
      <c r="C306" s="126"/>
      <c r="D306" s="130"/>
      <c r="E306" s="22"/>
      <c r="F306" s="85"/>
      <c r="G306" s="27" t="str">
        <f>IF(F306&lt;&gt;"",IFERROR(VLOOKUP(F306,DUTY_2025!A:I,6,FALSE),""),"")</f>
        <v/>
      </c>
      <c r="H306" s="85" t="s">
        <v>133</v>
      </c>
      <c r="I306" s="27" t="str">
        <f>IF(F306&lt;&gt;"",IFERROR(VLOOKUP(F306,DUTY_2025!A:H,2,FALSE),""),"")</f>
        <v/>
      </c>
      <c r="J306" s="98"/>
      <c r="K306" s="98"/>
      <c r="L306" s="22"/>
      <c r="M306" s="22"/>
      <c r="N306" s="84"/>
      <c r="O306" s="22"/>
      <c r="P306" s="116"/>
      <c r="Q306" s="23"/>
      <c r="R306" s="27"/>
      <c r="S306" s="86" t="str">
        <f t="shared" si="106"/>
        <v/>
      </c>
      <c r="T306" s="87" t="str">
        <f t="shared" si="107"/>
        <v/>
      </c>
      <c r="U306" s="87" t="str" cm="1">
        <f t="array" ref="U306">IF(AND(H306&lt;&gt;"YES",P306&lt;&gt;"",R306&lt;&gt;"",Q306&lt;&gt;""),
_xlfn.SWITCH(Q306,
"INR",_xlfn.SWITCH(R306,"KG",P306*S306,"CTN",P306,"UNIT",P306*N306,"NET",P306/M306,0),
"USD",_xlfn.SWITCH(R306,"KG",P306*S306*SI!$C$10,"CTN",P306*SI!$C$10,"UNIT",P306*N306*SI!$C$10,"NET",P306*SI!$C$10/M306,0),
"LKR",_xlfn.SWITCH(R306,"KG",P306*S306/SI!$C$9,"CTN",P306/SI!$C$9,"UNIT",P306*N306/SI!$C$9,"NET",P306/(M306*SI!$C$9),0),
0),
"")</f>
        <v/>
      </c>
      <c r="V306" s="87" t="str">
        <f t="shared" si="108"/>
        <v/>
      </c>
      <c r="W306" s="87" t="str">
        <f t="shared" si="109"/>
        <v/>
      </c>
      <c r="X306" s="88" t="str">
        <f t="shared" si="110"/>
        <v/>
      </c>
      <c r="Y306" s="24" t="str">
        <f t="shared" si="111"/>
        <v/>
      </c>
      <c r="Z306" s="267" t="str">
        <f>IF(AND(H306&lt;&gt;"yes",F306&lt;&gt;""),IFERROR(VLOOKUP(F306,DUTY_2025!A:F,5,FALSE),""),"")</f>
        <v/>
      </c>
      <c r="AA306" s="271" t="str">
        <f t="shared" si="112"/>
        <v/>
      </c>
      <c r="AB306" s="16" t="str">
        <f t="shared" si="113"/>
        <v/>
      </c>
      <c r="AC306" s="16" t="str">
        <f>IF(AA306&lt;&gt;"",ROUND(AA306*SI!$C$9,0),"")</f>
        <v/>
      </c>
      <c r="AD306" s="4" t="str">
        <f>IF(AC306&lt;&gt;"",ROUND(AC306/(SI!$C$9*SI!$C$10),2),"")</f>
        <v/>
      </c>
      <c r="AE306" s="30" t="str">
        <f>IF(AND(X306&lt;&gt;""), ROUND((SI!$E$23)*(X306/SUM($X$5:$X$493)),0),"")</f>
        <v/>
      </c>
      <c r="AF306" s="272" t="str">
        <f t="shared" si="114"/>
        <v/>
      </c>
      <c r="AG306" s="28" t="str">
        <f t="shared" si="115"/>
        <v/>
      </c>
      <c r="AH306" s="4" t="str">
        <f>IF(AD306&lt;&gt;"",ROUND(AD306*10*SI!$C$9/2,0),"")</f>
        <v/>
      </c>
      <c r="AI306" s="29" t="str">
        <f>IF(AND(X306&lt;&gt;""), ROUND((SI!$E$28)*(X306/SUM($X$5:$X$493)),0),"")</f>
        <v/>
      </c>
      <c r="AJ306" s="4" t="str">
        <f t="shared" si="116"/>
        <v/>
      </c>
      <c r="AK306" s="4" t="str">
        <f t="shared" si="117"/>
        <v/>
      </c>
      <c r="AL306" s="4" t="str">
        <f t="shared" si="118"/>
        <v/>
      </c>
      <c r="AM306" s="4" t="str">
        <f t="shared" si="119"/>
        <v/>
      </c>
      <c r="AN306" s="195" t="str">
        <f t="shared" si="120"/>
        <v/>
      </c>
      <c r="AO306" s="261" t="str">
        <f>IF(AND(AM306&lt;&gt;"",P306&lt;&gt;""),ROUND((AM306*((100+SI!$C$11)/100)),0),"")</f>
        <v/>
      </c>
      <c r="AP306" s="28" t="str">
        <f>IF(AG306&lt;&gt;"",ROUND(AG306/SI!$C$9,2),"")</f>
        <v/>
      </c>
      <c r="AQ306" s="4" t="str">
        <f>IF(AH306&lt;&gt;"",ROUND(AH306/SI!$C$9,2),"")</f>
        <v/>
      </c>
      <c r="AR306" s="29" t="str">
        <f>IF(AI306&lt;&gt;"",ROUND(AI306/SI!$C$9,2),"")</f>
        <v/>
      </c>
      <c r="AS306" s="4" t="str">
        <f t="shared" si="121"/>
        <v/>
      </c>
      <c r="AT306" s="4" t="str">
        <f t="shared" si="122"/>
        <v/>
      </c>
      <c r="AU306" s="4" t="str">
        <f>IF(AL306&lt;&gt;"",ROUND(AL306/SI!$C$9,2),"")</f>
        <v/>
      </c>
      <c r="AV306" s="4" t="str">
        <f>IF(AM306&lt;&gt;"",ROUND(AM306/SI!$C$9,2),"")</f>
        <v/>
      </c>
      <c r="AW306" s="4" t="str">
        <f>IF(AN306&lt;&gt;"",ROUND(AN306/SI!$C$9,2),"")</f>
        <v/>
      </c>
      <c r="AX306" s="261" t="str">
        <f>IF(AO306&lt;&gt;"",ROUND(AO306/SI!$C$9,2),"")</f>
        <v/>
      </c>
      <c r="AY306" s="28" t="str">
        <f t="shared" si="123"/>
        <v/>
      </c>
      <c r="AZ306" s="4" t="str">
        <f>IF(AY306&lt;&gt;"",ROUND(AY306/(SI!$C$9*SI!$C$10),2),"")</f>
        <v/>
      </c>
      <c r="BA306" s="4" t="str">
        <f t="shared" si="124"/>
        <v/>
      </c>
      <c r="BB306" s="4" t="str">
        <f t="shared" si="125"/>
        <v/>
      </c>
      <c r="BC306" s="4" t="str">
        <f t="shared" si="126"/>
        <v/>
      </c>
      <c r="BD306" s="4" t="str">
        <f t="shared" si="127"/>
        <v/>
      </c>
      <c r="BE306" s="4" t="str">
        <f>IF(AND(X306&lt;&gt;""),ROUND(X306/SI!$C$10,2),"")</f>
        <v/>
      </c>
      <c r="BF306" s="4" t="str">
        <f t="shared" si="129"/>
        <v/>
      </c>
      <c r="BG306" s="264" t="str">
        <f t="shared" si="128"/>
        <v/>
      </c>
      <c r="BH306" s="71" t="str">
        <f>IF(F306&lt;&gt;"",VLOOKUP(F306,DUTY_2025!A:O,15,FALSE),"")</f>
        <v/>
      </c>
    </row>
    <row r="307" spans="1:60" x14ac:dyDescent="0.25">
      <c r="A307" s="133">
        <f t="shared" si="104"/>
        <v>66</v>
      </c>
      <c r="B307" s="83" t="str">
        <f t="shared" si="105"/>
        <v/>
      </c>
      <c r="C307" s="126"/>
      <c r="D307" s="130"/>
      <c r="E307" s="22"/>
      <c r="F307" s="85"/>
      <c r="G307" s="27" t="str">
        <f>IF(F307&lt;&gt;"",IFERROR(VLOOKUP(F307,DUTY_2025!A:I,6,FALSE),""),"")</f>
        <v/>
      </c>
      <c r="H307" s="85" t="s">
        <v>133</v>
      </c>
      <c r="I307" s="27" t="str">
        <f>IF(F307&lt;&gt;"",IFERROR(VLOOKUP(F307,DUTY_2025!A:H,2,FALSE),""),"")</f>
        <v/>
      </c>
      <c r="J307" s="98"/>
      <c r="K307" s="98"/>
      <c r="L307" s="22"/>
      <c r="M307" s="22"/>
      <c r="N307" s="84"/>
      <c r="O307" s="22"/>
      <c r="P307" s="116"/>
      <c r="Q307" s="23"/>
      <c r="R307" s="27"/>
      <c r="S307" s="86" t="str">
        <f t="shared" si="106"/>
        <v/>
      </c>
      <c r="T307" s="87" t="str">
        <f t="shared" si="107"/>
        <v/>
      </c>
      <c r="U307" s="87" t="str" cm="1">
        <f t="array" ref="U307">IF(AND(H307&lt;&gt;"YES",P307&lt;&gt;"",R307&lt;&gt;"",Q307&lt;&gt;""),
_xlfn.SWITCH(Q307,
"INR",_xlfn.SWITCH(R307,"KG",P307*S307,"CTN",P307,"UNIT",P307*N307,"NET",P307/M307,0),
"USD",_xlfn.SWITCH(R307,"KG",P307*S307*SI!$C$10,"CTN",P307*SI!$C$10,"UNIT",P307*N307*SI!$C$10,"NET",P307*SI!$C$10/M307,0),
"LKR",_xlfn.SWITCH(R307,"KG",P307*S307/SI!$C$9,"CTN",P307/SI!$C$9,"UNIT",P307*N307/SI!$C$9,"NET",P307/(M307*SI!$C$9),0),
0),
"")</f>
        <v/>
      </c>
      <c r="V307" s="87" t="str">
        <f t="shared" si="108"/>
        <v/>
      </c>
      <c r="W307" s="87" t="str">
        <f t="shared" si="109"/>
        <v/>
      </c>
      <c r="X307" s="88" t="str">
        <f t="shared" si="110"/>
        <v/>
      </c>
      <c r="Y307" s="24" t="str">
        <f t="shared" si="111"/>
        <v/>
      </c>
      <c r="Z307" s="267" t="str">
        <f>IF(AND(H307&lt;&gt;"yes",F307&lt;&gt;""),IFERROR(VLOOKUP(F307,DUTY_2025!A:F,5,FALSE),""),"")</f>
        <v/>
      </c>
      <c r="AA307" s="271" t="str">
        <f t="shared" si="112"/>
        <v/>
      </c>
      <c r="AB307" s="16" t="str">
        <f t="shared" si="113"/>
        <v/>
      </c>
      <c r="AC307" s="16" t="str">
        <f>IF(AA307&lt;&gt;"",ROUND(AA307*SI!$C$9,0),"")</f>
        <v/>
      </c>
      <c r="AD307" s="4" t="str">
        <f>IF(AC307&lt;&gt;"",ROUND(AC307/(SI!$C$9*SI!$C$10),2),"")</f>
        <v/>
      </c>
      <c r="AE307" s="30" t="str">
        <f>IF(AND(X307&lt;&gt;""), ROUND((SI!$E$23)*(X307/SUM($X$5:$X$493)),0),"")</f>
        <v/>
      </c>
      <c r="AF307" s="272" t="str">
        <f t="shared" si="114"/>
        <v/>
      </c>
      <c r="AG307" s="28" t="str">
        <f t="shared" si="115"/>
        <v/>
      </c>
      <c r="AH307" s="4" t="str">
        <f>IF(AD307&lt;&gt;"",ROUND(AD307*10*SI!$C$9/2,0),"")</f>
        <v/>
      </c>
      <c r="AI307" s="29" t="str">
        <f>IF(AND(X307&lt;&gt;""), ROUND((SI!$E$28)*(X307/SUM($X$5:$X$493)),0),"")</f>
        <v/>
      </c>
      <c r="AJ307" s="4" t="str">
        <f t="shared" si="116"/>
        <v/>
      </c>
      <c r="AK307" s="4" t="str">
        <f t="shared" si="117"/>
        <v/>
      </c>
      <c r="AL307" s="4" t="str">
        <f t="shared" si="118"/>
        <v/>
      </c>
      <c r="AM307" s="4" t="str">
        <f t="shared" si="119"/>
        <v/>
      </c>
      <c r="AN307" s="195" t="str">
        <f t="shared" si="120"/>
        <v/>
      </c>
      <c r="AO307" s="261" t="str">
        <f>IF(AND(AM307&lt;&gt;"",P307&lt;&gt;""),ROUND((AM307*((100+SI!$C$11)/100)),0),"")</f>
        <v/>
      </c>
      <c r="AP307" s="28" t="str">
        <f>IF(AG307&lt;&gt;"",ROUND(AG307/SI!$C$9,2),"")</f>
        <v/>
      </c>
      <c r="AQ307" s="4" t="str">
        <f>IF(AH307&lt;&gt;"",ROUND(AH307/SI!$C$9,2),"")</f>
        <v/>
      </c>
      <c r="AR307" s="29" t="str">
        <f>IF(AI307&lt;&gt;"",ROUND(AI307/SI!$C$9,2),"")</f>
        <v/>
      </c>
      <c r="AS307" s="4" t="str">
        <f t="shared" si="121"/>
        <v/>
      </c>
      <c r="AT307" s="4" t="str">
        <f t="shared" si="122"/>
        <v/>
      </c>
      <c r="AU307" s="4" t="str">
        <f>IF(AL307&lt;&gt;"",ROUND(AL307/SI!$C$9,2),"")</f>
        <v/>
      </c>
      <c r="AV307" s="4" t="str">
        <f>IF(AM307&lt;&gt;"",ROUND(AM307/SI!$C$9,2),"")</f>
        <v/>
      </c>
      <c r="AW307" s="4" t="str">
        <f>IF(AN307&lt;&gt;"",ROUND(AN307/SI!$C$9,2),"")</f>
        <v/>
      </c>
      <c r="AX307" s="261" t="str">
        <f>IF(AO307&lt;&gt;"",ROUND(AO307/SI!$C$9,2),"")</f>
        <v/>
      </c>
      <c r="AY307" s="28" t="str">
        <f t="shared" si="123"/>
        <v/>
      </c>
      <c r="AZ307" s="4" t="str">
        <f>IF(AY307&lt;&gt;"",ROUND(AY307/(SI!$C$9*SI!$C$10),2),"")</f>
        <v/>
      </c>
      <c r="BA307" s="4" t="str">
        <f t="shared" si="124"/>
        <v/>
      </c>
      <c r="BB307" s="4" t="str">
        <f t="shared" si="125"/>
        <v/>
      </c>
      <c r="BC307" s="4" t="str">
        <f t="shared" si="126"/>
        <v/>
      </c>
      <c r="BD307" s="4" t="str">
        <f t="shared" si="127"/>
        <v/>
      </c>
      <c r="BE307" s="4" t="str">
        <f>IF(AND(X307&lt;&gt;""),ROUND(X307/SI!$C$10,2),"")</f>
        <v/>
      </c>
      <c r="BF307" s="4" t="str">
        <f t="shared" si="129"/>
        <v/>
      </c>
      <c r="BG307" s="264" t="str">
        <f t="shared" si="128"/>
        <v/>
      </c>
      <c r="BH307" s="71" t="str">
        <f>IF(F307&lt;&gt;"",VLOOKUP(F307,DUTY_2025!A:O,15,FALSE),"")</f>
        <v/>
      </c>
    </row>
    <row r="308" spans="1:60" x14ac:dyDescent="0.25">
      <c r="A308" s="133">
        <f t="shared" si="104"/>
        <v>66</v>
      </c>
      <c r="B308" s="83" t="str">
        <f t="shared" si="105"/>
        <v/>
      </c>
      <c r="C308" s="126"/>
      <c r="D308" s="130"/>
      <c r="E308" s="22"/>
      <c r="F308" s="85"/>
      <c r="G308" s="27" t="str">
        <f>IF(F308&lt;&gt;"",IFERROR(VLOOKUP(F308,DUTY_2025!A:I,6,FALSE),""),"")</f>
        <v/>
      </c>
      <c r="H308" s="85" t="s">
        <v>133</v>
      </c>
      <c r="I308" s="27" t="str">
        <f>IF(F308&lt;&gt;"",IFERROR(VLOOKUP(F308,DUTY_2025!A:H,2,FALSE),""),"")</f>
        <v/>
      </c>
      <c r="J308" s="98"/>
      <c r="K308" s="98"/>
      <c r="L308" s="22"/>
      <c r="M308" s="22"/>
      <c r="N308" s="84"/>
      <c r="O308" s="22"/>
      <c r="P308" s="116"/>
      <c r="Q308" s="23"/>
      <c r="R308" s="27"/>
      <c r="S308" s="86" t="str">
        <f t="shared" si="106"/>
        <v/>
      </c>
      <c r="T308" s="87" t="str">
        <f t="shared" si="107"/>
        <v/>
      </c>
      <c r="U308" s="87" t="str" cm="1">
        <f t="array" ref="U308">IF(AND(H308&lt;&gt;"YES",P308&lt;&gt;"",R308&lt;&gt;"",Q308&lt;&gt;""),
_xlfn.SWITCH(Q308,
"INR",_xlfn.SWITCH(R308,"KG",P308*S308,"CTN",P308,"UNIT",P308*N308,"NET",P308/M308,0),
"USD",_xlfn.SWITCH(R308,"KG",P308*S308*SI!$C$10,"CTN",P308*SI!$C$10,"UNIT",P308*N308*SI!$C$10,"NET",P308*SI!$C$10/M308,0),
"LKR",_xlfn.SWITCH(R308,"KG",P308*S308/SI!$C$9,"CTN",P308/SI!$C$9,"UNIT",P308*N308/SI!$C$9,"NET",P308/(M308*SI!$C$9),0),
0),
"")</f>
        <v/>
      </c>
      <c r="V308" s="87" t="str">
        <f t="shared" si="108"/>
        <v/>
      </c>
      <c r="W308" s="87" t="str">
        <f t="shared" si="109"/>
        <v/>
      </c>
      <c r="X308" s="88" t="str">
        <f t="shared" si="110"/>
        <v/>
      </c>
      <c r="Y308" s="24" t="str">
        <f t="shared" si="111"/>
        <v/>
      </c>
      <c r="Z308" s="267" t="str">
        <f>IF(AND(H308&lt;&gt;"yes",F308&lt;&gt;""),IFERROR(VLOOKUP(F308,DUTY_2025!A:F,5,FALSE),""),"")</f>
        <v/>
      </c>
      <c r="AA308" s="271" t="str">
        <f t="shared" si="112"/>
        <v/>
      </c>
      <c r="AB308" s="16" t="str">
        <f t="shared" si="113"/>
        <v/>
      </c>
      <c r="AC308" s="16" t="str">
        <f>IF(AA308&lt;&gt;"",ROUND(AA308*SI!$C$9,0),"")</f>
        <v/>
      </c>
      <c r="AD308" s="4" t="str">
        <f>IF(AC308&lt;&gt;"",ROUND(AC308/(SI!$C$9*SI!$C$10),2),"")</f>
        <v/>
      </c>
      <c r="AE308" s="30" t="str">
        <f>IF(AND(X308&lt;&gt;""), ROUND((SI!$E$23)*(X308/SUM($X$5:$X$493)),0),"")</f>
        <v/>
      </c>
      <c r="AF308" s="272" t="str">
        <f t="shared" si="114"/>
        <v/>
      </c>
      <c r="AG308" s="28" t="str">
        <f t="shared" si="115"/>
        <v/>
      </c>
      <c r="AH308" s="4" t="str">
        <f>IF(AD308&lt;&gt;"",ROUND(AD308*10*SI!$C$9/2,0),"")</f>
        <v/>
      </c>
      <c r="AI308" s="29" t="str">
        <f>IF(AND(X308&lt;&gt;""), ROUND((SI!$E$28)*(X308/SUM($X$5:$X$493)),0),"")</f>
        <v/>
      </c>
      <c r="AJ308" s="4" t="str">
        <f t="shared" si="116"/>
        <v/>
      </c>
      <c r="AK308" s="4" t="str">
        <f t="shared" si="117"/>
        <v/>
      </c>
      <c r="AL308" s="4" t="str">
        <f t="shared" si="118"/>
        <v/>
      </c>
      <c r="AM308" s="4" t="str">
        <f t="shared" si="119"/>
        <v/>
      </c>
      <c r="AN308" s="195" t="str">
        <f t="shared" si="120"/>
        <v/>
      </c>
      <c r="AO308" s="261" t="str">
        <f>IF(AND(AM308&lt;&gt;"",P308&lt;&gt;""),ROUND((AM308*((100+SI!$C$11)/100)),0),"")</f>
        <v/>
      </c>
      <c r="AP308" s="28" t="str">
        <f>IF(AG308&lt;&gt;"",ROUND(AG308/SI!$C$9,2),"")</f>
        <v/>
      </c>
      <c r="AQ308" s="4" t="str">
        <f>IF(AH308&lt;&gt;"",ROUND(AH308/SI!$C$9,2),"")</f>
        <v/>
      </c>
      <c r="AR308" s="29" t="str">
        <f>IF(AI308&lt;&gt;"",ROUND(AI308/SI!$C$9,2),"")</f>
        <v/>
      </c>
      <c r="AS308" s="4" t="str">
        <f t="shared" si="121"/>
        <v/>
      </c>
      <c r="AT308" s="4" t="str">
        <f t="shared" si="122"/>
        <v/>
      </c>
      <c r="AU308" s="4" t="str">
        <f>IF(AL308&lt;&gt;"",ROUND(AL308/SI!$C$9,2),"")</f>
        <v/>
      </c>
      <c r="AV308" s="4" t="str">
        <f>IF(AM308&lt;&gt;"",ROUND(AM308/SI!$C$9,2),"")</f>
        <v/>
      </c>
      <c r="AW308" s="4" t="str">
        <f>IF(AN308&lt;&gt;"",ROUND(AN308/SI!$C$9,2),"")</f>
        <v/>
      </c>
      <c r="AX308" s="261" t="str">
        <f>IF(AO308&lt;&gt;"",ROUND(AO308/SI!$C$9,2),"")</f>
        <v/>
      </c>
      <c r="AY308" s="28" t="str">
        <f t="shared" si="123"/>
        <v/>
      </c>
      <c r="AZ308" s="4" t="str">
        <f>IF(AY308&lt;&gt;"",ROUND(AY308/(SI!$C$9*SI!$C$10),2),"")</f>
        <v/>
      </c>
      <c r="BA308" s="4" t="str">
        <f t="shared" si="124"/>
        <v/>
      </c>
      <c r="BB308" s="4" t="str">
        <f t="shared" si="125"/>
        <v/>
      </c>
      <c r="BC308" s="4" t="str">
        <f t="shared" si="126"/>
        <v/>
      </c>
      <c r="BD308" s="4" t="str">
        <f t="shared" si="127"/>
        <v/>
      </c>
      <c r="BE308" s="4" t="str">
        <f>IF(AND(X308&lt;&gt;""),ROUND(X308/SI!$C$10,2),"")</f>
        <v/>
      </c>
      <c r="BF308" s="4" t="str">
        <f t="shared" si="129"/>
        <v/>
      </c>
      <c r="BG308" s="264" t="str">
        <f t="shared" si="128"/>
        <v/>
      </c>
      <c r="BH308" s="71" t="str">
        <f>IF(F308&lt;&gt;"",VLOOKUP(F308,DUTY_2025!A:O,15,FALSE),"")</f>
        <v/>
      </c>
    </row>
    <row r="309" spans="1:60" x14ac:dyDescent="0.25">
      <c r="A309" s="133">
        <f t="shared" si="104"/>
        <v>66</v>
      </c>
      <c r="B309" s="83" t="str">
        <f t="shared" si="105"/>
        <v/>
      </c>
      <c r="C309" s="126"/>
      <c r="D309" s="130"/>
      <c r="E309" s="22"/>
      <c r="F309" s="85"/>
      <c r="G309" s="27" t="str">
        <f>IF(F309&lt;&gt;"",IFERROR(VLOOKUP(F309,DUTY_2025!A:I,6,FALSE),""),"")</f>
        <v/>
      </c>
      <c r="H309" s="85" t="s">
        <v>133</v>
      </c>
      <c r="I309" s="27" t="str">
        <f>IF(F309&lt;&gt;"",IFERROR(VLOOKUP(F309,DUTY_2025!A:H,2,FALSE),""),"")</f>
        <v/>
      </c>
      <c r="J309" s="98"/>
      <c r="K309" s="98"/>
      <c r="L309" s="22"/>
      <c r="M309" s="22"/>
      <c r="N309" s="84"/>
      <c r="O309" s="22"/>
      <c r="P309" s="116"/>
      <c r="Q309" s="23"/>
      <c r="R309" s="27"/>
      <c r="S309" s="86" t="str">
        <f t="shared" si="106"/>
        <v/>
      </c>
      <c r="T309" s="87" t="str">
        <f t="shared" si="107"/>
        <v/>
      </c>
      <c r="U309" s="87" t="str" cm="1">
        <f t="array" ref="U309">IF(AND(H309&lt;&gt;"YES",P309&lt;&gt;"",R309&lt;&gt;"",Q309&lt;&gt;""),
_xlfn.SWITCH(Q309,
"INR",_xlfn.SWITCH(R309,"KG",P309*S309,"CTN",P309,"UNIT",P309*N309,"NET",P309/M309,0),
"USD",_xlfn.SWITCH(R309,"KG",P309*S309*SI!$C$10,"CTN",P309*SI!$C$10,"UNIT",P309*N309*SI!$C$10,"NET",P309*SI!$C$10/M309,0),
"LKR",_xlfn.SWITCH(R309,"KG",P309*S309/SI!$C$9,"CTN",P309/SI!$C$9,"UNIT",P309*N309/SI!$C$9,"NET",P309/(M309*SI!$C$9),0),
0),
"")</f>
        <v/>
      </c>
      <c r="V309" s="87" t="str">
        <f t="shared" si="108"/>
        <v/>
      </c>
      <c r="W309" s="87" t="str">
        <f t="shared" si="109"/>
        <v/>
      </c>
      <c r="X309" s="88" t="str">
        <f t="shared" si="110"/>
        <v/>
      </c>
      <c r="Y309" s="24" t="str">
        <f t="shared" si="111"/>
        <v/>
      </c>
      <c r="Z309" s="267" t="str">
        <f>IF(AND(H309&lt;&gt;"yes",F309&lt;&gt;""),IFERROR(VLOOKUP(F309,DUTY_2025!A:F,5,FALSE),""),"")</f>
        <v/>
      </c>
      <c r="AA309" s="271" t="str">
        <f t="shared" si="112"/>
        <v/>
      </c>
      <c r="AB309" s="16" t="str">
        <f t="shared" si="113"/>
        <v/>
      </c>
      <c r="AC309" s="16" t="str">
        <f>IF(AA309&lt;&gt;"",ROUND(AA309*SI!$C$9,0),"")</f>
        <v/>
      </c>
      <c r="AD309" s="4" t="str">
        <f>IF(AC309&lt;&gt;"",ROUND(AC309/(SI!$C$9*SI!$C$10),2),"")</f>
        <v/>
      </c>
      <c r="AE309" s="30" t="str">
        <f>IF(AND(X309&lt;&gt;""), ROUND((SI!$E$23)*(X309/SUM($X$5:$X$493)),0),"")</f>
        <v/>
      </c>
      <c r="AF309" s="272" t="str">
        <f t="shared" si="114"/>
        <v/>
      </c>
      <c r="AG309" s="28" t="str">
        <f t="shared" si="115"/>
        <v/>
      </c>
      <c r="AH309" s="4" t="str">
        <f>IF(AD309&lt;&gt;"",ROUND(AD309*10*SI!$C$9/2,0),"")</f>
        <v/>
      </c>
      <c r="AI309" s="29" t="str">
        <f>IF(AND(X309&lt;&gt;""), ROUND((SI!$E$28)*(X309/SUM($X$5:$X$493)),0),"")</f>
        <v/>
      </c>
      <c r="AJ309" s="4" t="str">
        <f t="shared" si="116"/>
        <v/>
      </c>
      <c r="AK309" s="4" t="str">
        <f t="shared" si="117"/>
        <v/>
      </c>
      <c r="AL309" s="4" t="str">
        <f t="shared" si="118"/>
        <v/>
      </c>
      <c r="AM309" s="4" t="str">
        <f t="shared" si="119"/>
        <v/>
      </c>
      <c r="AN309" s="195" t="str">
        <f t="shared" si="120"/>
        <v/>
      </c>
      <c r="AO309" s="261" t="str">
        <f>IF(AND(AM309&lt;&gt;"",P309&lt;&gt;""),ROUND((AM309*((100+SI!$C$11)/100)),0),"")</f>
        <v/>
      </c>
      <c r="AP309" s="28" t="str">
        <f>IF(AG309&lt;&gt;"",ROUND(AG309/SI!$C$9,2),"")</f>
        <v/>
      </c>
      <c r="AQ309" s="4" t="str">
        <f>IF(AH309&lt;&gt;"",ROUND(AH309/SI!$C$9,2),"")</f>
        <v/>
      </c>
      <c r="AR309" s="29" t="str">
        <f>IF(AI309&lt;&gt;"",ROUND(AI309/SI!$C$9,2),"")</f>
        <v/>
      </c>
      <c r="AS309" s="4" t="str">
        <f t="shared" si="121"/>
        <v/>
      </c>
      <c r="AT309" s="4" t="str">
        <f t="shared" si="122"/>
        <v/>
      </c>
      <c r="AU309" s="4" t="str">
        <f>IF(AL309&lt;&gt;"",ROUND(AL309/SI!$C$9,2),"")</f>
        <v/>
      </c>
      <c r="AV309" s="4" t="str">
        <f>IF(AM309&lt;&gt;"",ROUND(AM309/SI!$C$9,2),"")</f>
        <v/>
      </c>
      <c r="AW309" s="4" t="str">
        <f>IF(AN309&lt;&gt;"",ROUND(AN309/SI!$C$9,2),"")</f>
        <v/>
      </c>
      <c r="AX309" s="261" t="str">
        <f>IF(AO309&lt;&gt;"",ROUND(AO309/SI!$C$9,2),"")</f>
        <v/>
      </c>
      <c r="AY309" s="28" t="str">
        <f t="shared" si="123"/>
        <v/>
      </c>
      <c r="AZ309" s="4" t="str">
        <f>IF(AY309&lt;&gt;"",ROUND(AY309/(SI!$C$9*SI!$C$10),2),"")</f>
        <v/>
      </c>
      <c r="BA309" s="4" t="str">
        <f t="shared" si="124"/>
        <v/>
      </c>
      <c r="BB309" s="4" t="str">
        <f t="shared" si="125"/>
        <v/>
      </c>
      <c r="BC309" s="4" t="str">
        <f t="shared" si="126"/>
        <v/>
      </c>
      <c r="BD309" s="4" t="str">
        <f t="shared" si="127"/>
        <v/>
      </c>
      <c r="BE309" s="4" t="str">
        <f>IF(AND(X309&lt;&gt;""),ROUND(X309/SI!$C$10,2),"")</f>
        <v/>
      </c>
      <c r="BF309" s="4" t="str">
        <f t="shared" si="129"/>
        <v/>
      </c>
      <c r="BG309" s="264" t="str">
        <f t="shared" si="128"/>
        <v/>
      </c>
      <c r="BH309" s="71" t="str">
        <f>IF(F309&lt;&gt;"",VLOOKUP(F309,DUTY_2025!A:O,15,FALSE),"")</f>
        <v/>
      </c>
    </row>
    <row r="310" spans="1:60" x14ac:dyDescent="0.25">
      <c r="A310" s="133">
        <f t="shared" si="104"/>
        <v>66</v>
      </c>
      <c r="B310" s="83" t="str">
        <f t="shared" si="105"/>
        <v/>
      </c>
      <c r="C310" s="126"/>
      <c r="D310" s="130"/>
      <c r="E310" s="22"/>
      <c r="F310" s="85"/>
      <c r="G310" s="27" t="str">
        <f>IF(F310&lt;&gt;"",IFERROR(VLOOKUP(F310,DUTY_2025!A:I,6,FALSE),""),"")</f>
        <v/>
      </c>
      <c r="H310" s="85" t="s">
        <v>133</v>
      </c>
      <c r="I310" s="27" t="str">
        <f>IF(F310&lt;&gt;"",IFERROR(VLOOKUP(F310,DUTY_2025!A:H,2,FALSE),""),"")</f>
        <v/>
      </c>
      <c r="J310" s="98"/>
      <c r="K310" s="98"/>
      <c r="L310" s="22"/>
      <c r="M310" s="22"/>
      <c r="N310" s="84"/>
      <c r="O310" s="22"/>
      <c r="P310" s="116"/>
      <c r="Q310" s="23"/>
      <c r="R310" s="27"/>
      <c r="S310" s="86" t="str">
        <f t="shared" si="106"/>
        <v/>
      </c>
      <c r="T310" s="87" t="str">
        <f t="shared" si="107"/>
        <v/>
      </c>
      <c r="U310" s="87" t="str" cm="1">
        <f t="array" ref="U310">IF(AND(H310&lt;&gt;"YES",P310&lt;&gt;"",R310&lt;&gt;"",Q310&lt;&gt;""),
_xlfn.SWITCH(Q310,
"INR",_xlfn.SWITCH(R310,"KG",P310*S310,"CTN",P310,"UNIT",P310*N310,"NET",P310/M310,0),
"USD",_xlfn.SWITCH(R310,"KG",P310*S310*SI!$C$10,"CTN",P310*SI!$C$10,"UNIT",P310*N310*SI!$C$10,"NET",P310*SI!$C$10/M310,0),
"LKR",_xlfn.SWITCH(R310,"KG",P310*S310/SI!$C$9,"CTN",P310/SI!$C$9,"UNIT",P310*N310/SI!$C$9,"NET",P310/(M310*SI!$C$9),0),
0),
"")</f>
        <v/>
      </c>
      <c r="V310" s="87" t="str">
        <f t="shared" si="108"/>
        <v/>
      </c>
      <c r="W310" s="87" t="str">
        <f t="shared" si="109"/>
        <v/>
      </c>
      <c r="X310" s="88" t="str">
        <f t="shared" si="110"/>
        <v/>
      </c>
      <c r="Y310" s="24" t="str">
        <f t="shared" si="111"/>
        <v/>
      </c>
      <c r="Z310" s="267" t="str">
        <f>IF(AND(H310&lt;&gt;"yes",F310&lt;&gt;""),IFERROR(VLOOKUP(F310,DUTY_2025!A:F,5,FALSE),""),"")</f>
        <v/>
      </c>
      <c r="AA310" s="271" t="str">
        <f t="shared" si="112"/>
        <v/>
      </c>
      <c r="AB310" s="16" t="str">
        <f t="shared" si="113"/>
        <v/>
      </c>
      <c r="AC310" s="16" t="str">
        <f>IF(AA310&lt;&gt;"",ROUND(AA310*SI!$C$9,0),"")</f>
        <v/>
      </c>
      <c r="AD310" s="4" t="str">
        <f>IF(AC310&lt;&gt;"",ROUND(AC310/(SI!$C$9*SI!$C$10),2),"")</f>
        <v/>
      </c>
      <c r="AE310" s="30" t="str">
        <f>IF(AND(X310&lt;&gt;""), ROUND((SI!$E$23)*(X310/SUM($X$5:$X$493)),0),"")</f>
        <v/>
      </c>
      <c r="AF310" s="272" t="str">
        <f t="shared" si="114"/>
        <v/>
      </c>
      <c r="AG310" s="28" t="str">
        <f t="shared" si="115"/>
        <v/>
      </c>
      <c r="AH310" s="4" t="str">
        <f>IF(AD310&lt;&gt;"",ROUND(AD310*10*SI!$C$9/2,0),"")</f>
        <v/>
      </c>
      <c r="AI310" s="29" t="str">
        <f>IF(AND(X310&lt;&gt;""), ROUND((SI!$E$28)*(X310/SUM($X$5:$X$493)),0),"")</f>
        <v/>
      </c>
      <c r="AJ310" s="4" t="str">
        <f t="shared" si="116"/>
        <v/>
      </c>
      <c r="AK310" s="4" t="str">
        <f t="shared" si="117"/>
        <v/>
      </c>
      <c r="AL310" s="4" t="str">
        <f t="shared" si="118"/>
        <v/>
      </c>
      <c r="AM310" s="4" t="str">
        <f t="shared" si="119"/>
        <v/>
      </c>
      <c r="AN310" s="195" t="str">
        <f t="shared" si="120"/>
        <v/>
      </c>
      <c r="AO310" s="261" t="str">
        <f>IF(AND(AM310&lt;&gt;"",P310&lt;&gt;""),ROUND((AM310*((100+SI!$C$11)/100)),0),"")</f>
        <v/>
      </c>
      <c r="AP310" s="28" t="str">
        <f>IF(AG310&lt;&gt;"",ROUND(AG310/SI!$C$9,2),"")</f>
        <v/>
      </c>
      <c r="AQ310" s="4" t="str">
        <f>IF(AH310&lt;&gt;"",ROUND(AH310/SI!$C$9,2),"")</f>
        <v/>
      </c>
      <c r="AR310" s="29" t="str">
        <f>IF(AI310&lt;&gt;"",ROUND(AI310/SI!$C$9,2),"")</f>
        <v/>
      </c>
      <c r="AS310" s="4" t="str">
        <f t="shared" si="121"/>
        <v/>
      </c>
      <c r="AT310" s="4" t="str">
        <f t="shared" si="122"/>
        <v/>
      </c>
      <c r="AU310" s="4" t="str">
        <f>IF(AL310&lt;&gt;"",ROUND(AL310/SI!$C$9,2),"")</f>
        <v/>
      </c>
      <c r="AV310" s="4" t="str">
        <f>IF(AM310&lt;&gt;"",ROUND(AM310/SI!$C$9,2),"")</f>
        <v/>
      </c>
      <c r="AW310" s="4" t="str">
        <f>IF(AN310&lt;&gt;"",ROUND(AN310/SI!$C$9,2),"")</f>
        <v/>
      </c>
      <c r="AX310" s="261" t="str">
        <f>IF(AO310&lt;&gt;"",ROUND(AO310/SI!$C$9,2),"")</f>
        <v/>
      </c>
      <c r="AY310" s="28" t="str">
        <f t="shared" si="123"/>
        <v/>
      </c>
      <c r="AZ310" s="4" t="str">
        <f>IF(AY310&lt;&gt;"",ROUND(AY310/(SI!$C$9*SI!$C$10),2),"")</f>
        <v/>
      </c>
      <c r="BA310" s="4" t="str">
        <f t="shared" si="124"/>
        <v/>
      </c>
      <c r="BB310" s="4" t="str">
        <f t="shared" si="125"/>
        <v/>
      </c>
      <c r="BC310" s="4" t="str">
        <f t="shared" si="126"/>
        <v/>
      </c>
      <c r="BD310" s="4" t="str">
        <f t="shared" si="127"/>
        <v/>
      </c>
      <c r="BE310" s="4" t="str">
        <f>IF(AND(X310&lt;&gt;""),ROUND(X310/SI!$C$10,2),"")</f>
        <v/>
      </c>
      <c r="BF310" s="4" t="str">
        <f t="shared" si="129"/>
        <v/>
      </c>
      <c r="BG310" s="264" t="str">
        <f t="shared" si="128"/>
        <v/>
      </c>
      <c r="BH310" s="71" t="str">
        <f>IF(F310&lt;&gt;"",VLOOKUP(F310,DUTY_2025!A:O,15,FALSE),"")</f>
        <v/>
      </c>
    </row>
    <row r="311" spans="1:60" x14ac:dyDescent="0.25">
      <c r="A311" s="133">
        <f t="shared" si="104"/>
        <v>66</v>
      </c>
      <c r="B311" s="83" t="str">
        <f t="shared" si="105"/>
        <v/>
      </c>
      <c r="C311" s="126"/>
      <c r="D311" s="130"/>
      <c r="E311" s="22"/>
      <c r="F311" s="85"/>
      <c r="G311" s="27" t="str">
        <f>IF(F311&lt;&gt;"",IFERROR(VLOOKUP(F311,DUTY_2025!A:I,6,FALSE),""),"")</f>
        <v/>
      </c>
      <c r="H311" s="85" t="s">
        <v>133</v>
      </c>
      <c r="I311" s="27" t="str">
        <f>IF(F311&lt;&gt;"",IFERROR(VLOOKUP(F311,DUTY_2025!A:H,2,FALSE),""),"")</f>
        <v/>
      </c>
      <c r="J311" s="98"/>
      <c r="K311" s="98"/>
      <c r="L311" s="22"/>
      <c r="M311" s="22"/>
      <c r="N311" s="84"/>
      <c r="O311" s="22"/>
      <c r="P311" s="116"/>
      <c r="Q311" s="23"/>
      <c r="R311" s="27"/>
      <c r="S311" s="86" t="str">
        <f t="shared" si="106"/>
        <v/>
      </c>
      <c r="T311" s="87" t="str">
        <f t="shared" si="107"/>
        <v/>
      </c>
      <c r="U311" s="87" t="str" cm="1">
        <f t="array" ref="U311">IF(AND(H311&lt;&gt;"YES",P311&lt;&gt;"",R311&lt;&gt;"",Q311&lt;&gt;""),
_xlfn.SWITCH(Q311,
"INR",_xlfn.SWITCH(R311,"KG",P311*S311,"CTN",P311,"UNIT",P311*N311,"NET",P311/M311,0),
"USD",_xlfn.SWITCH(R311,"KG",P311*S311*SI!$C$10,"CTN",P311*SI!$C$10,"UNIT",P311*N311*SI!$C$10,"NET",P311*SI!$C$10/M311,0),
"LKR",_xlfn.SWITCH(R311,"KG",P311*S311/SI!$C$9,"CTN",P311/SI!$C$9,"UNIT",P311*N311/SI!$C$9,"NET",P311/(M311*SI!$C$9),0),
0),
"")</f>
        <v/>
      </c>
      <c r="V311" s="87" t="str">
        <f t="shared" si="108"/>
        <v/>
      </c>
      <c r="W311" s="87" t="str">
        <f t="shared" si="109"/>
        <v/>
      </c>
      <c r="X311" s="88" t="str">
        <f t="shared" si="110"/>
        <v/>
      </c>
      <c r="Y311" s="24" t="str">
        <f t="shared" si="111"/>
        <v/>
      </c>
      <c r="Z311" s="267" t="str">
        <f>IF(AND(H311&lt;&gt;"yes",F311&lt;&gt;""),IFERROR(VLOOKUP(F311,DUTY_2025!A:F,5,FALSE),""),"")</f>
        <v/>
      </c>
      <c r="AA311" s="271" t="str">
        <f t="shared" si="112"/>
        <v/>
      </c>
      <c r="AB311" s="16" t="str">
        <f t="shared" si="113"/>
        <v/>
      </c>
      <c r="AC311" s="16" t="str">
        <f>IF(AA311&lt;&gt;"",ROUND(AA311*SI!$C$9,0),"")</f>
        <v/>
      </c>
      <c r="AD311" s="4" t="str">
        <f>IF(AC311&lt;&gt;"",ROUND(AC311/(SI!$C$9*SI!$C$10),2),"")</f>
        <v/>
      </c>
      <c r="AE311" s="30" t="str">
        <f>IF(AND(X311&lt;&gt;""), ROUND((SI!$E$23)*(X311/SUM($X$5:$X$493)),0),"")</f>
        <v/>
      </c>
      <c r="AF311" s="272" t="str">
        <f t="shared" si="114"/>
        <v/>
      </c>
      <c r="AG311" s="28" t="str">
        <f t="shared" si="115"/>
        <v/>
      </c>
      <c r="AH311" s="4" t="str">
        <f>IF(AD311&lt;&gt;"",ROUND(AD311*10*SI!$C$9/2,0),"")</f>
        <v/>
      </c>
      <c r="AI311" s="29" t="str">
        <f>IF(AND(X311&lt;&gt;""), ROUND((SI!$E$28)*(X311/SUM($X$5:$X$493)),0),"")</f>
        <v/>
      </c>
      <c r="AJ311" s="4" t="str">
        <f t="shared" si="116"/>
        <v/>
      </c>
      <c r="AK311" s="4" t="str">
        <f t="shared" si="117"/>
        <v/>
      </c>
      <c r="AL311" s="4" t="str">
        <f t="shared" si="118"/>
        <v/>
      </c>
      <c r="AM311" s="4" t="str">
        <f t="shared" si="119"/>
        <v/>
      </c>
      <c r="AN311" s="195" t="str">
        <f t="shared" si="120"/>
        <v/>
      </c>
      <c r="AO311" s="261" t="str">
        <f>IF(AND(AM311&lt;&gt;"",P311&lt;&gt;""),ROUND((AM311*((100+SI!$C$11)/100)),0),"")</f>
        <v/>
      </c>
      <c r="AP311" s="28" t="str">
        <f>IF(AG311&lt;&gt;"",ROUND(AG311/SI!$C$9,2),"")</f>
        <v/>
      </c>
      <c r="AQ311" s="4" t="str">
        <f>IF(AH311&lt;&gt;"",ROUND(AH311/SI!$C$9,2),"")</f>
        <v/>
      </c>
      <c r="AR311" s="29" t="str">
        <f>IF(AI311&lt;&gt;"",ROUND(AI311/SI!$C$9,2),"")</f>
        <v/>
      </c>
      <c r="AS311" s="4" t="str">
        <f t="shared" si="121"/>
        <v/>
      </c>
      <c r="AT311" s="4" t="str">
        <f t="shared" si="122"/>
        <v/>
      </c>
      <c r="AU311" s="4" t="str">
        <f>IF(AL311&lt;&gt;"",ROUND(AL311/SI!$C$9,2),"")</f>
        <v/>
      </c>
      <c r="AV311" s="4" t="str">
        <f>IF(AM311&lt;&gt;"",ROUND(AM311/SI!$C$9,2),"")</f>
        <v/>
      </c>
      <c r="AW311" s="4" t="str">
        <f>IF(AN311&lt;&gt;"",ROUND(AN311/SI!$C$9,2),"")</f>
        <v/>
      </c>
      <c r="AX311" s="261" t="str">
        <f>IF(AO311&lt;&gt;"",ROUND(AO311/SI!$C$9,2),"")</f>
        <v/>
      </c>
      <c r="AY311" s="28" t="str">
        <f t="shared" si="123"/>
        <v/>
      </c>
      <c r="AZ311" s="4" t="str">
        <f>IF(AY311&lt;&gt;"",ROUND(AY311/(SI!$C$9*SI!$C$10),2),"")</f>
        <v/>
      </c>
      <c r="BA311" s="4" t="str">
        <f t="shared" si="124"/>
        <v/>
      </c>
      <c r="BB311" s="4" t="str">
        <f t="shared" si="125"/>
        <v/>
      </c>
      <c r="BC311" s="4" t="str">
        <f t="shared" si="126"/>
        <v/>
      </c>
      <c r="BD311" s="4" t="str">
        <f t="shared" si="127"/>
        <v/>
      </c>
      <c r="BE311" s="4" t="str">
        <f>IF(AND(X311&lt;&gt;""),ROUND(X311/SI!$C$10,2),"")</f>
        <v/>
      </c>
      <c r="BF311" s="4" t="str">
        <f t="shared" si="129"/>
        <v/>
      </c>
      <c r="BG311" s="264" t="str">
        <f t="shared" si="128"/>
        <v/>
      </c>
      <c r="BH311" s="71" t="str">
        <f>IF(F311&lt;&gt;"",VLOOKUP(F311,DUTY_2025!A:O,15,FALSE),"")</f>
        <v/>
      </c>
    </row>
    <row r="312" spans="1:60" x14ac:dyDescent="0.25">
      <c r="A312" s="133">
        <f t="shared" si="104"/>
        <v>66</v>
      </c>
      <c r="B312" s="83" t="str">
        <f t="shared" si="105"/>
        <v/>
      </c>
      <c r="C312" s="126"/>
      <c r="D312" s="130"/>
      <c r="E312" s="22"/>
      <c r="F312" s="85"/>
      <c r="G312" s="27" t="str">
        <f>IF(F312&lt;&gt;"",IFERROR(VLOOKUP(F312,DUTY_2025!A:I,6,FALSE),""),"")</f>
        <v/>
      </c>
      <c r="H312" s="85" t="s">
        <v>133</v>
      </c>
      <c r="I312" s="27" t="str">
        <f>IF(F312&lt;&gt;"",IFERROR(VLOOKUP(F312,DUTY_2025!A:H,2,FALSE),""),"")</f>
        <v/>
      </c>
      <c r="J312" s="98"/>
      <c r="K312" s="98"/>
      <c r="L312" s="22"/>
      <c r="M312" s="22"/>
      <c r="N312" s="84"/>
      <c r="O312" s="22"/>
      <c r="P312" s="116"/>
      <c r="Q312" s="23"/>
      <c r="R312" s="27"/>
      <c r="S312" s="86" t="str">
        <f t="shared" si="106"/>
        <v/>
      </c>
      <c r="T312" s="87" t="str">
        <f t="shared" si="107"/>
        <v/>
      </c>
      <c r="U312" s="87" t="str" cm="1">
        <f t="array" ref="U312">IF(AND(H312&lt;&gt;"YES",P312&lt;&gt;"",R312&lt;&gt;"",Q312&lt;&gt;""),
_xlfn.SWITCH(Q312,
"INR",_xlfn.SWITCH(R312,"KG",P312*S312,"CTN",P312,"UNIT",P312*N312,"NET",P312/M312,0),
"USD",_xlfn.SWITCH(R312,"KG",P312*S312*SI!$C$10,"CTN",P312*SI!$C$10,"UNIT",P312*N312*SI!$C$10,"NET",P312*SI!$C$10/M312,0),
"LKR",_xlfn.SWITCH(R312,"KG",P312*S312/SI!$C$9,"CTN",P312/SI!$C$9,"UNIT",P312*N312/SI!$C$9,"NET",P312/(M312*SI!$C$9),0),
0),
"")</f>
        <v/>
      </c>
      <c r="V312" s="87" t="str">
        <f t="shared" si="108"/>
        <v/>
      </c>
      <c r="W312" s="87" t="str">
        <f t="shared" si="109"/>
        <v/>
      </c>
      <c r="X312" s="88" t="str">
        <f t="shared" si="110"/>
        <v/>
      </c>
      <c r="Y312" s="24" t="str">
        <f t="shared" si="111"/>
        <v/>
      </c>
      <c r="Z312" s="267" t="str">
        <f>IF(AND(H312&lt;&gt;"yes",F312&lt;&gt;""),IFERROR(VLOOKUP(F312,DUTY_2025!A:F,5,FALSE),""),"")</f>
        <v/>
      </c>
      <c r="AA312" s="271" t="str">
        <f t="shared" si="112"/>
        <v/>
      </c>
      <c r="AB312" s="16" t="str">
        <f t="shared" si="113"/>
        <v/>
      </c>
      <c r="AC312" s="16" t="str">
        <f>IF(AA312&lt;&gt;"",ROUND(AA312*SI!$C$9,0),"")</f>
        <v/>
      </c>
      <c r="AD312" s="4" t="str">
        <f>IF(AC312&lt;&gt;"",ROUND(AC312/(SI!$C$9*SI!$C$10),2),"")</f>
        <v/>
      </c>
      <c r="AE312" s="30" t="str">
        <f>IF(AND(X312&lt;&gt;""), ROUND((SI!$E$23)*(X312/SUM($X$5:$X$493)),0),"")</f>
        <v/>
      </c>
      <c r="AF312" s="272" t="str">
        <f t="shared" si="114"/>
        <v/>
      </c>
      <c r="AG312" s="28" t="str">
        <f t="shared" si="115"/>
        <v/>
      </c>
      <c r="AH312" s="4" t="str">
        <f>IF(AD312&lt;&gt;"",ROUND(AD312*10*SI!$C$9/2,0),"")</f>
        <v/>
      </c>
      <c r="AI312" s="29" t="str">
        <f>IF(AND(X312&lt;&gt;""), ROUND((SI!$E$28)*(X312/SUM($X$5:$X$493)),0),"")</f>
        <v/>
      </c>
      <c r="AJ312" s="4" t="str">
        <f t="shared" si="116"/>
        <v/>
      </c>
      <c r="AK312" s="4" t="str">
        <f t="shared" si="117"/>
        <v/>
      </c>
      <c r="AL312" s="4" t="str">
        <f t="shared" si="118"/>
        <v/>
      </c>
      <c r="AM312" s="4" t="str">
        <f t="shared" si="119"/>
        <v/>
      </c>
      <c r="AN312" s="195" t="str">
        <f t="shared" si="120"/>
        <v/>
      </c>
      <c r="AO312" s="261" t="str">
        <f>IF(AND(AM312&lt;&gt;"",P312&lt;&gt;""),ROUND((AM312*((100+SI!$C$11)/100)),0),"")</f>
        <v/>
      </c>
      <c r="AP312" s="28" t="str">
        <f>IF(AG312&lt;&gt;"",ROUND(AG312/SI!$C$9,2),"")</f>
        <v/>
      </c>
      <c r="AQ312" s="4" t="str">
        <f>IF(AH312&lt;&gt;"",ROUND(AH312/SI!$C$9,2),"")</f>
        <v/>
      </c>
      <c r="AR312" s="29" t="str">
        <f>IF(AI312&lt;&gt;"",ROUND(AI312/SI!$C$9,2),"")</f>
        <v/>
      </c>
      <c r="AS312" s="4" t="str">
        <f t="shared" si="121"/>
        <v/>
      </c>
      <c r="AT312" s="4" t="str">
        <f t="shared" si="122"/>
        <v/>
      </c>
      <c r="AU312" s="4" t="str">
        <f>IF(AL312&lt;&gt;"",ROUND(AL312/SI!$C$9,2),"")</f>
        <v/>
      </c>
      <c r="AV312" s="4" t="str">
        <f>IF(AM312&lt;&gt;"",ROUND(AM312/SI!$C$9,2),"")</f>
        <v/>
      </c>
      <c r="AW312" s="4" t="str">
        <f>IF(AN312&lt;&gt;"",ROUND(AN312/SI!$C$9,2),"")</f>
        <v/>
      </c>
      <c r="AX312" s="261" t="str">
        <f>IF(AO312&lt;&gt;"",ROUND(AO312/SI!$C$9,2),"")</f>
        <v/>
      </c>
      <c r="AY312" s="28" t="str">
        <f t="shared" si="123"/>
        <v/>
      </c>
      <c r="AZ312" s="4" t="str">
        <f>IF(AY312&lt;&gt;"",ROUND(AY312/(SI!$C$9*SI!$C$10),2),"")</f>
        <v/>
      </c>
      <c r="BA312" s="4" t="str">
        <f t="shared" si="124"/>
        <v/>
      </c>
      <c r="BB312" s="4" t="str">
        <f t="shared" si="125"/>
        <v/>
      </c>
      <c r="BC312" s="4" t="str">
        <f t="shared" si="126"/>
        <v/>
      </c>
      <c r="BD312" s="4" t="str">
        <f t="shared" si="127"/>
        <v/>
      </c>
      <c r="BE312" s="4" t="str">
        <f>IF(AND(X312&lt;&gt;""),ROUND(X312/SI!$C$10,2),"")</f>
        <v/>
      </c>
      <c r="BF312" s="4" t="str">
        <f t="shared" si="129"/>
        <v/>
      </c>
      <c r="BG312" s="264" t="str">
        <f t="shared" si="128"/>
        <v/>
      </c>
      <c r="BH312" s="71" t="str">
        <f>IF(F312&lt;&gt;"",VLOOKUP(F312,DUTY_2025!A:O,15,FALSE),"")</f>
        <v/>
      </c>
    </row>
    <row r="313" spans="1:60" x14ac:dyDescent="0.25">
      <c r="A313" s="133">
        <f t="shared" si="104"/>
        <v>66</v>
      </c>
      <c r="B313" s="83" t="str">
        <f t="shared" si="105"/>
        <v/>
      </c>
      <c r="C313" s="126"/>
      <c r="D313" s="130"/>
      <c r="E313" s="22"/>
      <c r="F313" s="85"/>
      <c r="G313" s="27" t="str">
        <f>IF(F313&lt;&gt;"",IFERROR(VLOOKUP(F313,DUTY_2025!A:I,6,FALSE),""),"")</f>
        <v/>
      </c>
      <c r="H313" s="85" t="s">
        <v>133</v>
      </c>
      <c r="I313" s="27" t="str">
        <f>IF(F313&lt;&gt;"",IFERROR(VLOOKUP(F313,DUTY_2025!A:H,2,FALSE),""),"")</f>
        <v/>
      </c>
      <c r="J313" s="98"/>
      <c r="K313" s="98"/>
      <c r="L313" s="22"/>
      <c r="M313" s="22"/>
      <c r="N313" s="84"/>
      <c r="O313" s="22"/>
      <c r="P313" s="116"/>
      <c r="Q313" s="23"/>
      <c r="R313" s="27"/>
      <c r="S313" s="86" t="str">
        <f t="shared" si="106"/>
        <v/>
      </c>
      <c r="T313" s="87" t="str">
        <f t="shared" si="107"/>
        <v/>
      </c>
      <c r="U313" s="87" t="str" cm="1">
        <f t="array" ref="U313">IF(AND(H313&lt;&gt;"YES",P313&lt;&gt;"",R313&lt;&gt;"",Q313&lt;&gt;""),
_xlfn.SWITCH(Q313,
"INR",_xlfn.SWITCH(R313,"KG",P313*S313,"CTN",P313,"UNIT",P313*N313,"NET",P313/M313,0),
"USD",_xlfn.SWITCH(R313,"KG",P313*S313*SI!$C$10,"CTN",P313*SI!$C$10,"UNIT",P313*N313*SI!$C$10,"NET",P313*SI!$C$10/M313,0),
"LKR",_xlfn.SWITCH(R313,"KG",P313*S313/SI!$C$9,"CTN",P313/SI!$C$9,"UNIT",P313*N313/SI!$C$9,"NET",P313/(M313*SI!$C$9),0),
0),
"")</f>
        <v/>
      </c>
      <c r="V313" s="87" t="str">
        <f t="shared" si="108"/>
        <v/>
      </c>
      <c r="W313" s="87" t="str">
        <f t="shared" si="109"/>
        <v/>
      </c>
      <c r="X313" s="88" t="str">
        <f t="shared" si="110"/>
        <v/>
      </c>
      <c r="Y313" s="24" t="str">
        <f t="shared" si="111"/>
        <v/>
      </c>
      <c r="Z313" s="267" t="str">
        <f>IF(AND(H313&lt;&gt;"yes",F313&lt;&gt;""),IFERROR(VLOOKUP(F313,DUTY_2025!A:F,5,FALSE),""),"")</f>
        <v/>
      </c>
      <c r="AA313" s="271" t="str">
        <f t="shared" si="112"/>
        <v/>
      </c>
      <c r="AB313" s="16" t="str">
        <f t="shared" si="113"/>
        <v/>
      </c>
      <c r="AC313" s="16" t="str">
        <f>IF(AA313&lt;&gt;"",ROUND(AA313*SI!$C$9,0),"")</f>
        <v/>
      </c>
      <c r="AD313" s="4" t="str">
        <f>IF(AC313&lt;&gt;"",ROUND(AC313/(SI!$C$9*SI!$C$10),2),"")</f>
        <v/>
      </c>
      <c r="AE313" s="30" t="str">
        <f>IF(AND(X313&lt;&gt;""), ROUND((SI!$E$23)*(X313/SUM($X$5:$X$493)),0),"")</f>
        <v/>
      </c>
      <c r="AF313" s="272" t="str">
        <f t="shared" si="114"/>
        <v/>
      </c>
      <c r="AG313" s="28" t="str">
        <f t="shared" si="115"/>
        <v/>
      </c>
      <c r="AH313" s="4" t="str">
        <f>IF(AD313&lt;&gt;"",ROUND(AD313*10*SI!$C$9/2,0),"")</f>
        <v/>
      </c>
      <c r="AI313" s="29" t="str">
        <f>IF(AND(X313&lt;&gt;""), ROUND((SI!$E$28)*(X313/SUM($X$5:$X$493)),0),"")</f>
        <v/>
      </c>
      <c r="AJ313" s="4" t="str">
        <f t="shared" si="116"/>
        <v/>
      </c>
      <c r="AK313" s="4" t="str">
        <f t="shared" si="117"/>
        <v/>
      </c>
      <c r="AL313" s="4" t="str">
        <f t="shared" si="118"/>
        <v/>
      </c>
      <c r="AM313" s="4" t="str">
        <f t="shared" si="119"/>
        <v/>
      </c>
      <c r="AN313" s="195" t="str">
        <f t="shared" si="120"/>
        <v/>
      </c>
      <c r="AO313" s="261" t="str">
        <f>IF(AND(AM313&lt;&gt;"",P313&lt;&gt;""),ROUND((AM313*((100+SI!$C$11)/100)),0),"")</f>
        <v/>
      </c>
      <c r="AP313" s="28" t="str">
        <f>IF(AG313&lt;&gt;"",ROUND(AG313/SI!$C$9,2),"")</f>
        <v/>
      </c>
      <c r="AQ313" s="4" t="str">
        <f>IF(AH313&lt;&gt;"",ROUND(AH313/SI!$C$9,2),"")</f>
        <v/>
      </c>
      <c r="AR313" s="29" t="str">
        <f>IF(AI313&lt;&gt;"",ROUND(AI313/SI!$C$9,2),"")</f>
        <v/>
      </c>
      <c r="AS313" s="4" t="str">
        <f t="shared" si="121"/>
        <v/>
      </c>
      <c r="AT313" s="4" t="str">
        <f t="shared" si="122"/>
        <v/>
      </c>
      <c r="AU313" s="4" t="str">
        <f>IF(AL313&lt;&gt;"",ROUND(AL313/SI!$C$9,2),"")</f>
        <v/>
      </c>
      <c r="AV313" s="4" t="str">
        <f>IF(AM313&lt;&gt;"",ROUND(AM313/SI!$C$9,2),"")</f>
        <v/>
      </c>
      <c r="AW313" s="4" t="str">
        <f>IF(AN313&lt;&gt;"",ROUND(AN313/SI!$C$9,2),"")</f>
        <v/>
      </c>
      <c r="AX313" s="261" t="str">
        <f>IF(AO313&lt;&gt;"",ROUND(AO313/SI!$C$9,2),"")</f>
        <v/>
      </c>
      <c r="AY313" s="28" t="str">
        <f t="shared" si="123"/>
        <v/>
      </c>
      <c r="AZ313" s="4" t="str">
        <f>IF(AY313&lt;&gt;"",ROUND(AY313/(SI!$C$9*SI!$C$10),2),"")</f>
        <v/>
      </c>
      <c r="BA313" s="4" t="str">
        <f t="shared" si="124"/>
        <v/>
      </c>
      <c r="BB313" s="4" t="str">
        <f t="shared" si="125"/>
        <v/>
      </c>
      <c r="BC313" s="4" t="str">
        <f t="shared" si="126"/>
        <v/>
      </c>
      <c r="BD313" s="4" t="str">
        <f t="shared" si="127"/>
        <v/>
      </c>
      <c r="BE313" s="4" t="str">
        <f>IF(AND(X313&lt;&gt;""),ROUND(X313/SI!$C$10,2),"")</f>
        <v/>
      </c>
      <c r="BF313" s="4" t="str">
        <f t="shared" si="129"/>
        <v/>
      </c>
      <c r="BG313" s="264" t="str">
        <f t="shared" si="128"/>
        <v/>
      </c>
      <c r="BH313" s="71" t="str">
        <f>IF(F313&lt;&gt;"",VLOOKUP(F313,DUTY_2025!A:O,15,FALSE),"")</f>
        <v/>
      </c>
    </row>
    <row r="314" spans="1:60" x14ac:dyDescent="0.25">
      <c r="A314" s="133">
        <f t="shared" si="104"/>
        <v>66</v>
      </c>
      <c r="B314" s="83" t="str">
        <f t="shared" si="105"/>
        <v/>
      </c>
      <c r="C314" s="126"/>
      <c r="D314" s="130"/>
      <c r="E314" s="22"/>
      <c r="F314" s="85"/>
      <c r="G314" s="27" t="str">
        <f>IF(F314&lt;&gt;"",IFERROR(VLOOKUP(F314,DUTY_2025!A:I,6,FALSE),""),"")</f>
        <v/>
      </c>
      <c r="H314" s="85" t="s">
        <v>133</v>
      </c>
      <c r="I314" s="27" t="str">
        <f>IF(F314&lt;&gt;"",IFERROR(VLOOKUP(F314,DUTY_2025!A:H,2,FALSE),""),"")</f>
        <v/>
      </c>
      <c r="J314" s="98"/>
      <c r="K314" s="98"/>
      <c r="L314" s="22"/>
      <c r="M314" s="22"/>
      <c r="N314" s="84"/>
      <c r="O314" s="22"/>
      <c r="P314" s="116"/>
      <c r="Q314" s="23"/>
      <c r="R314" s="27"/>
      <c r="S314" s="86" t="str">
        <f t="shared" si="106"/>
        <v/>
      </c>
      <c r="T314" s="87" t="str">
        <f t="shared" si="107"/>
        <v/>
      </c>
      <c r="U314" s="87" t="str" cm="1">
        <f t="array" ref="U314">IF(AND(H314&lt;&gt;"YES",P314&lt;&gt;"",R314&lt;&gt;"",Q314&lt;&gt;""),
_xlfn.SWITCH(Q314,
"INR",_xlfn.SWITCH(R314,"KG",P314*S314,"CTN",P314,"UNIT",P314*N314,"NET",P314/M314,0),
"USD",_xlfn.SWITCH(R314,"KG",P314*S314*SI!$C$10,"CTN",P314*SI!$C$10,"UNIT",P314*N314*SI!$C$10,"NET",P314*SI!$C$10/M314,0),
"LKR",_xlfn.SWITCH(R314,"KG",P314*S314/SI!$C$9,"CTN",P314/SI!$C$9,"UNIT",P314*N314/SI!$C$9,"NET",P314/(M314*SI!$C$9),0),
0),
"")</f>
        <v/>
      </c>
      <c r="V314" s="87" t="str">
        <f t="shared" si="108"/>
        <v/>
      </c>
      <c r="W314" s="87" t="str">
        <f t="shared" si="109"/>
        <v/>
      </c>
      <c r="X314" s="88" t="str">
        <f t="shared" si="110"/>
        <v/>
      </c>
      <c r="Y314" s="24" t="str">
        <f t="shared" si="111"/>
        <v/>
      </c>
      <c r="Z314" s="267" t="str">
        <f>IF(AND(H314&lt;&gt;"yes",F314&lt;&gt;""),IFERROR(VLOOKUP(F314,DUTY_2025!A:F,5,FALSE),""),"")</f>
        <v/>
      </c>
      <c r="AA314" s="271" t="str">
        <f t="shared" si="112"/>
        <v/>
      </c>
      <c r="AB314" s="16" t="str">
        <f t="shared" si="113"/>
        <v/>
      </c>
      <c r="AC314" s="16" t="str">
        <f>IF(AA314&lt;&gt;"",ROUND(AA314*SI!$C$9,0),"")</f>
        <v/>
      </c>
      <c r="AD314" s="4" t="str">
        <f>IF(AC314&lt;&gt;"",ROUND(AC314/(SI!$C$9*SI!$C$10),2),"")</f>
        <v/>
      </c>
      <c r="AE314" s="30" t="str">
        <f>IF(AND(X314&lt;&gt;""), ROUND((SI!$E$23)*(X314/SUM($X$5:$X$493)),0),"")</f>
        <v/>
      </c>
      <c r="AF314" s="272" t="str">
        <f t="shared" si="114"/>
        <v/>
      </c>
      <c r="AG314" s="28" t="str">
        <f t="shared" si="115"/>
        <v/>
      </c>
      <c r="AH314" s="4" t="str">
        <f>IF(AD314&lt;&gt;"",ROUND(AD314*10*SI!$C$9/2,0),"")</f>
        <v/>
      </c>
      <c r="AI314" s="29" t="str">
        <f>IF(AND(X314&lt;&gt;""), ROUND((SI!$E$28)*(X314/SUM($X$5:$X$493)),0),"")</f>
        <v/>
      </c>
      <c r="AJ314" s="4" t="str">
        <f t="shared" si="116"/>
        <v/>
      </c>
      <c r="AK314" s="4" t="str">
        <f t="shared" si="117"/>
        <v/>
      </c>
      <c r="AL314" s="4" t="str">
        <f t="shared" si="118"/>
        <v/>
      </c>
      <c r="AM314" s="4" t="str">
        <f t="shared" si="119"/>
        <v/>
      </c>
      <c r="AN314" s="195" t="str">
        <f t="shared" si="120"/>
        <v/>
      </c>
      <c r="AO314" s="261" t="str">
        <f>IF(AND(AM314&lt;&gt;"",P314&lt;&gt;""),ROUND((AM314*((100+SI!$C$11)/100)),0),"")</f>
        <v/>
      </c>
      <c r="AP314" s="28" t="str">
        <f>IF(AG314&lt;&gt;"",ROUND(AG314/SI!$C$9,2),"")</f>
        <v/>
      </c>
      <c r="AQ314" s="4" t="str">
        <f>IF(AH314&lt;&gt;"",ROUND(AH314/SI!$C$9,2),"")</f>
        <v/>
      </c>
      <c r="AR314" s="29" t="str">
        <f>IF(AI314&lt;&gt;"",ROUND(AI314/SI!$C$9,2),"")</f>
        <v/>
      </c>
      <c r="AS314" s="4" t="str">
        <f t="shared" si="121"/>
        <v/>
      </c>
      <c r="AT314" s="4" t="str">
        <f t="shared" si="122"/>
        <v/>
      </c>
      <c r="AU314" s="4" t="str">
        <f>IF(AL314&lt;&gt;"",ROUND(AL314/SI!$C$9,2),"")</f>
        <v/>
      </c>
      <c r="AV314" s="4" t="str">
        <f>IF(AM314&lt;&gt;"",ROUND(AM314/SI!$C$9,2),"")</f>
        <v/>
      </c>
      <c r="AW314" s="4" t="str">
        <f>IF(AN314&lt;&gt;"",ROUND(AN314/SI!$C$9,2),"")</f>
        <v/>
      </c>
      <c r="AX314" s="261" t="str">
        <f>IF(AO314&lt;&gt;"",ROUND(AO314/SI!$C$9,2),"")</f>
        <v/>
      </c>
      <c r="AY314" s="28" t="str">
        <f t="shared" si="123"/>
        <v/>
      </c>
      <c r="AZ314" s="4" t="str">
        <f>IF(AY314&lt;&gt;"",ROUND(AY314/(SI!$C$9*SI!$C$10),2),"")</f>
        <v/>
      </c>
      <c r="BA314" s="4" t="str">
        <f t="shared" si="124"/>
        <v/>
      </c>
      <c r="BB314" s="4" t="str">
        <f t="shared" si="125"/>
        <v/>
      </c>
      <c r="BC314" s="4" t="str">
        <f t="shared" si="126"/>
        <v/>
      </c>
      <c r="BD314" s="4" t="str">
        <f t="shared" si="127"/>
        <v/>
      </c>
      <c r="BE314" s="4" t="str">
        <f>IF(AND(X314&lt;&gt;""),ROUND(X314/SI!$C$10,2),"")</f>
        <v/>
      </c>
      <c r="BF314" s="4" t="str">
        <f t="shared" si="129"/>
        <v/>
      </c>
      <c r="BG314" s="264" t="str">
        <f t="shared" si="128"/>
        <v/>
      </c>
      <c r="BH314" s="71" t="str">
        <f>IF(F314&lt;&gt;"",VLOOKUP(F314,DUTY_2025!A:O,15,FALSE),"")</f>
        <v/>
      </c>
    </row>
    <row r="315" spans="1:60" x14ac:dyDescent="0.25">
      <c r="A315" s="133">
        <f t="shared" si="104"/>
        <v>66</v>
      </c>
      <c r="B315" s="83" t="str">
        <f t="shared" si="105"/>
        <v/>
      </c>
      <c r="C315" s="126"/>
      <c r="D315" s="130"/>
      <c r="E315" s="22"/>
      <c r="F315" s="85"/>
      <c r="G315" s="27" t="str">
        <f>IF(F315&lt;&gt;"",IFERROR(VLOOKUP(F315,DUTY_2025!A:I,6,FALSE),""),"")</f>
        <v/>
      </c>
      <c r="H315" s="85" t="s">
        <v>133</v>
      </c>
      <c r="I315" s="27" t="str">
        <f>IF(F315&lt;&gt;"",IFERROR(VLOOKUP(F315,DUTY_2025!A:H,2,FALSE),""),"")</f>
        <v/>
      </c>
      <c r="J315" s="98"/>
      <c r="K315" s="98"/>
      <c r="L315" s="22"/>
      <c r="M315" s="22"/>
      <c r="N315" s="84"/>
      <c r="O315" s="22"/>
      <c r="P315" s="116"/>
      <c r="Q315" s="23"/>
      <c r="R315" s="27"/>
      <c r="S315" s="86" t="str">
        <f t="shared" si="106"/>
        <v/>
      </c>
      <c r="T315" s="87" t="str">
        <f t="shared" si="107"/>
        <v/>
      </c>
      <c r="U315" s="87" t="str" cm="1">
        <f t="array" ref="U315">IF(AND(H315&lt;&gt;"YES",P315&lt;&gt;"",R315&lt;&gt;"",Q315&lt;&gt;""),
_xlfn.SWITCH(Q315,
"INR",_xlfn.SWITCH(R315,"KG",P315*S315,"CTN",P315,"UNIT",P315*N315,"NET",P315/M315,0),
"USD",_xlfn.SWITCH(R315,"KG",P315*S315*SI!$C$10,"CTN",P315*SI!$C$10,"UNIT",P315*N315*SI!$C$10,"NET",P315*SI!$C$10/M315,0),
"LKR",_xlfn.SWITCH(R315,"KG",P315*S315/SI!$C$9,"CTN",P315/SI!$C$9,"UNIT",P315*N315/SI!$C$9,"NET",P315/(M315*SI!$C$9),0),
0),
"")</f>
        <v/>
      </c>
      <c r="V315" s="87" t="str">
        <f t="shared" si="108"/>
        <v/>
      </c>
      <c r="W315" s="87" t="str">
        <f t="shared" si="109"/>
        <v/>
      </c>
      <c r="X315" s="88" t="str">
        <f t="shared" si="110"/>
        <v/>
      </c>
      <c r="Y315" s="24" t="str">
        <f t="shared" si="111"/>
        <v/>
      </c>
      <c r="Z315" s="267" t="str">
        <f>IF(AND(H315&lt;&gt;"yes",F315&lt;&gt;""),IFERROR(VLOOKUP(F315,DUTY_2025!A:F,5,FALSE),""),"")</f>
        <v/>
      </c>
      <c r="AA315" s="271" t="str">
        <f t="shared" si="112"/>
        <v/>
      </c>
      <c r="AB315" s="16" t="str">
        <f t="shared" si="113"/>
        <v/>
      </c>
      <c r="AC315" s="16" t="str">
        <f>IF(AA315&lt;&gt;"",ROUND(AA315*SI!$C$9,0),"")</f>
        <v/>
      </c>
      <c r="AD315" s="4" t="str">
        <f>IF(AC315&lt;&gt;"",ROUND(AC315/(SI!$C$9*SI!$C$10),2),"")</f>
        <v/>
      </c>
      <c r="AE315" s="30" t="str">
        <f>IF(AND(X315&lt;&gt;""), ROUND((SI!$E$23)*(X315/SUM($X$5:$X$493)),0),"")</f>
        <v/>
      </c>
      <c r="AF315" s="272" t="str">
        <f t="shared" si="114"/>
        <v/>
      </c>
      <c r="AG315" s="28" t="str">
        <f t="shared" si="115"/>
        <v/>
      </c>
      <c r="AH315" s="4" t="str">
        <f>IF(AD315&lt;&gt;"",ROUND(AD315*10*SI!$C$9/2,0),"")</f>
        <v/>
      </c>
      <c r="AI315" s="29" t="str">
        <f>IF(AND(X315&lt;&gt;""), ROUND((SI!$E$28)*(X315/SUM($X$5:$X$493)),0),"")</f>
        <v/>
      </c>
      <c r="AJ315" s="4" t="str">
        <f t="shared" si="116"/>
        <v/>
      </c>
      <c r="AK315" s="4" t="str">
        <f t="shared" si="117"/>
        <v/>
      </c>
      <c r="AL315" s="4" t="str">
        <f t="shared" si="118"/>
        <v/>
      </c>
      <c r="AM315" s="4" t="str">
        <f t="shared" si="119"/>
        <v/>
      </c>
      <c r="AN315" s="195" t="str">
        <f t="shared" si="120"/>
        <v/>
      </c>
      <c r="AO315" s="261" t="str">
        <f>IF(AND(AM315&lt;&gt;"",P315&lt;&gt;""),ROUND((AM315*((100+SI!$C$11)/100)),0),"")</f>
        <v/>
      </c>
      <c r="AP315" s="28" t="str">
        <f>IF(AG315&lt;&gt;"",ROUND(AG315/SI!$C$9,2),"")</f>
        <v/>
      </c>
      <c r="AQ315" s="4" t="str">
        <f>IF(AH315&lt;&gt;"",ROUND(AH315/SI!$C$9,2),"")</f>
        <v/>
      </c>
      <c r="AR315" s="29" t="str">
        <f>IF(AI315&lt;&gt;"",ROUND(AI315/SI!$C$9,2),"")</f>
        <v/>
      </c>
      <c r="AS315" s="4" t="str">
        <f t="shared" si="121"/>
        <v/>
      </c>
      <c r="AT315" s="4" t="str">
        <f t="shared" si="122"/>
        <v/>
      </c>
      <c r="AU315" s="4" t="str">
        <f>IF(AL315&lt;&gt;"",ROUND(AL315/SI!$C$9,2),"")</f>
        <v/>
      </c>
      <c r="AV315" s="4" t="str">
        <f>IF(AM315&lt;&gt;"",ROUND(AM315/SI!$C$9,2),"")</f>
        <v/>
      </c>
      <c r="AW315" s="4" t="str">
        <f>IF(AN315&lt;&gt;"",ROUND(AN315/SI!$C$9,2),"")</f>
        <v/>
      </c>
      <c r="AX315" s="261" t="str">
        <f>IF(AO315&lt;&gt;"",ROUND(AO315/SI!$C$9,2),"")</f>
        <v/>
      </c>
      <c r="AY315" s="28" t="str">
        <f t="shared" si="123"/>
        <v/>
      </c>
      <c r="AZ315" s="4" t="str">
        <f>IF(AY315&lt;&gt;"",ROUND(AY315/(SI!$C$9*SI!$C$10),2),"")</f>
        <v/>
      </c>
      <c r="BA315" s="4" t="str">
        <f t="shared" si="124"/>
        <v/>
      </c>
      <c r="BB315" s="4" t="str">
        <f t="shared" si="125"/>
        <v/>
      </c>
      <c r="BC315" s="4" t="str">
        <f t="shared" si="126"/>
        <v/>
      </c>
      <c r="BD315" s="4" t="str">
        <f t="shared" si="127"/>
        <v/>
      </c>
      <c r="BE315" s="4" t="str">
        <f>IF(AND(X315&lt;&gt;""),ROUND(X315/SI!$C$10,2),"")</f>
        <v/>
      </c>
      <c r="BF315" s="4" t="str">
        <f t="shared" si="129"/>
        <v/>
      </c>
      <c r="BG315" s="264" t="str">
        <f t="shared" si="128"/>
        <v/>
      </c>
      <c r="BH315" s="71" t="str">
        <f>IF(F315&lt;&gt;"",VLOOKUP(F315,DUTY_2025!A:O,15,FALSE),"")</f>
        <v/>
      </c>
    </row>
    <row r="316" spans="1:60" x14ac:dyDescent="0.25">
      <c r="A316" s="133">
        <f t="shared" si="104"/>
        <v>66</v>
      </c>
      <c r="B316" s="83" t="str">
        <f t="shared" si="105"/>
        <v/>
      </c>
      <c r="C316" s="126"/>
      <c r="D316" s="130"/>
      <c r="E316" s="22"/>
      <c r="F316" s="85"/>
      <c r="G316" s="27" t="str">
        <f>IF(F316&lt;&gt;"",IFERROR(VLOOKUP(F316,DUTY_2025!A:I,6,FALSE),""),"")</f>
        <v/>
      </c>
      <c r="H316" s="85" t="s">
        <v>133</v>
      </c>
      <c r="I316" s="27" t="str">
        <f>IF(F316&lt;&gt;"",IFERROR(VLOOKUP(F316,DUTY_2025!A:H,2,FALSE),""),"")</f>
        <v/>
      </c>
      <c r="J316" s="98"/>
      <c r="K316" s="98"/>
      <c r="L316" s="22"/>
      <c r="M316" s="22"/>
      <c r="N316" s="84"/>
      <c r="O316" s="22"/>
      <c r="P316" s="116"/>
      <c r="Q316" s="23"/>
      <c r="R316" s="27"/>
      <c r="S316" s="86" t="str">
        <f t="shared" si="106"/>
        <v/>
      </c>
      <c r="T316" s="87" t="str">
        <f t="shared" si="107"/>
        <v/>
      </c>
      <c r="U316" s="87" t="str" cm="1">
        <f t="array" ref="U316">IF(AND(H316&lt;&gt;"YES",P316&lt;&gt;"",R316&lt;&gt;"",Q316&lt;&gt;""),
_xlfn.SWITCH(Q316,
"INR",_xlfn.SWITCH(R316,"KG",P316*S316,"CTN",P316,"UNIT",P316*N316,"NET",P316/M316,0),
"USD",_xlfn.SWITCH(R316,"KG",P316*S316*SI!$C$10,"CTN",P316*SI!$C$10,"UNIT",P316*N316*SI!$C$10,"NET",P316*SI!$C$10/M316,0),
"LKR",_xlfn.SWITCH(R316,"KG",P316*S316/SI!$C$9,"CTN",P316/SI!$C$9,"UNIT",P316*N316/SI!$C$9,"NET",P316/(M316*SI!$C$9),0),
0),
"")</f>
        <v/>
      </c>
      <c r="V316" s="87" t="str">
        <f t="shared" si="108"/>
        <v/>
      </c>
      <c r="W316" s="87" t="str">
        <f t="shared" si="109"/>
        <v/>
      </c>
      <c r="X316" s="88" t="str">
        <f t="shared" si="110"/>
        <v/>
      </c>
      <c r="Y316" s="24" t="str">
        <f t="shared" si="111"/>
        <v/>
      </c>
      <c r="Z316" s="267" t="str">
        <f>IF(AND(H316&lt;&gt;"yes",F316&lt;&gt;""),IFERROR(VLOOKUP(F316,DUTY_2025!A:F,5,FALSE),""),"")</f>
        <v/>
      </c>
      <c r="AA316" s="271" t="str">
        <f t="shared" si="112"/>
        <v/>
      </c>
      <c r="AB316" s="16" t="str">
        <f t="shared" si="113"/>
        <v/>
      </c>
      <c r="AC316" s="16" t="str">
        <f>IF(AA316&lt;&gt;"",ROUND(AA316*SI!$C$9,0),"")</f>
        <v/>
      </c>
      <c r="AD316" s="4" t="str">
        <f>IF(AC316&lt;&gt;"",ROUND(AC316/(SI!$C$9*SI!$C$10),2),"")</f>
        <v/>
      </c>
      <c r="AE316" s="30" t="str">
        <f>IF(AND(X316&lt;&gt;""), ROUND((SI!$E$23)*(X316/SUM($X$5:$X$493)),0),"")</f>
        <v/>
      </c>
      <c r="AF316" s="272" t="str">
        <f t="shared" si="114"/>
        <v/>
      </c>
      <c r="AG316" s="28" t="str">
        <f t="shared" si="115"/>
        <v/>
      </c>
      <c r="AH316" s="4" t="str">
        <f>IF(AD316&lt;&gt;"",ROUND(AD316*10*SI!$C$9/2,0),"")</f>
        <v/>
      </c>
      <c r="AI316" s="29" t="str">
        <f>IF(AND(X316&lt;&gt;""), ROUND((SI!$E$28)*(X316/SUM($X$5:$X$493)),0),"")</f>
        <v/>
      </c>
      <c r="AJ316" s="4" t="str">
        <f t="shared" si="116"/>
        <v/>
      </c>
      <c r="AK316" s="4" t="str">
        <f t="shared" si="117"/>
        <v/>
      </c>
      <c r="AL316" s="4" t="str">
        <f t="shared" si="118"/>
        <v/>
      </c>
      <c r="AM316" s="4" t="str">
        <f t="shared" si="119"/>
        <v/>
      </c>
      <c r="AN316" s="195" t="str">
        <f t="shared" si="120"/>
        <v/>
      </c>
      <c r="AO316" s="261" t="str">
        <f>IF(AND(AM316&lt;&gt;"",P316&lt;&gt;""),ROUND((AM316*((100+SI!$C$11)/100)),0),"")</f>
        <v/>
      </c>
      <c r="AP316" s="28" t="str">
        <f>IF(AG316&lt;&gt;"",ROUND(AG316/SI!$C$9,2),"")</f>
        <v/>
      </c>
      <c r="AQ316" s="4" t="str">
        <f>IF(AH316&lt;&gt;"",ROUND(AH316/SI!$C$9,2),"")</f>
        <v/>
      </c>
      <c r="AR316" s="29" t="str">
        <f>IF(AI316&lt;&gt;"",ROUND(AI316/SI!$C$9,2),"")</f>
        <v/>
      </c>
      <c r="AS316" s="4" t="str">
        <f t="shared" si="121"/>
        <v/>
      </c>
      <c r="AT316" s="4" t="str">
        <f t="shared" si="122"/>
        <v/>
      </c>
      <c r="AU316" s="4" t="str">
        <f>IF(AL316&lt;&gt;"",ROUND(AL316/SI!$C$9,2),"")</f>
        <v/>
      </c>
      <c r="AV316" s="4" t="str">
        <f>IF(AM316&lt;&gt;"",ROUND(AM316/SI!$C$9,2),"")</f>
        <v/>
      </c>
      <c r="AW316" s="4" t="str">
        <f>IF(AN316&lt;&gt;"",ROUND(AN316/SI!$C$9,2),"")</f>
        <v/>
      </c>
      <c r="AX316" s="261" t="str">
        <f>IF(AO316&lt;&gt;"",ROUND(AO316/SI!$C$9,2),"")</f>
        <v/>
      </c>
      <c r="AY316" s="28" t="str">
        <f t="shared" si="123"/>
        <v/>
      </c>
      <c r="AZ316" s="4" t="str">
        <f>IF(AY316&lt;&gt;"",ROUND(AY316/(SI!$C$9*SI!$C$10),2),"")</f>
        <v/>
      </c>
      <c r="BA316" s="4" t="str">
        <f t="shared" si="124"/>
        <v/>
      </c>
      <c r="BB316" s="4" t="str">
        <f t="shared" si="125"/>
        <v/>
      </c>
      <c r="BC316" s="4" t="str">
        <f t="shared" si="126"/>
        <v/>
      </c>
      <c r="BD316" s="4" t="str">
        <f t="shared" si="127"/>
        <v/>
      </c>
      <c r="BE316" s="4" t="str">
        <f>IF(AND(X316&lt;&gt;""),ROUND(X316/SI!$C$10,2),"")</f>
        <v/>
      </c>
      <c r="BF316" s="4" t="str">
        <f t="shared" si="129"/>
        <v/>
      </c>
      <c r="BG316" s="264" t="str">
        <f t="shared" si="128"/>
        <v/>
      </c>
      <c r="BH316" s="71" t="str">
        <f>IF(F316&lt;&gt;"",VLOOKUP(F316,DUTY_2025!A:O,15,FALSE),"")</f>
        <v/>
      </c>
    </row>
    <row r="317" spans="1:60" x14ac:dyDescent="0.25">
      <c r="A317" s="133">
        <f t="shared" si="104"/>
        <v>66</v>
      </c>
      <c r="B317" s="83" t="str">
        <f t="shared" si="105"/>
        <v/>
      </c>
      <c r="C317" s="126"/>
      <c r="D317" s="130"/>
      <c r="E317" s="22"/>
      <c r="F317" s="85"/>
      <c r="G317" s="27" t="str">
        <f>IF(F317&lt;&gt;"",IFERROR(VLOOKUP(F317,DUTY_2025!A:I,6,FALSE),""),"")</f>
        <v/>
      </c>
      <c r="H317" s="85" t="s">
        <v>133</v>
      </c>
      <c r="I317" s="27" t="str">
        <f>IF(F317&lt;&gt;"",IFERROR(VLOOKUP(F317,DUTY_2025!A:H,2,FALSE),""),"")</f>
        <v/>
      </c>
      <c r="J317" s="98"/>
      <c r="K317" s="98"/>
      <c r="L317" s="22"/>
      <c r="M317" s="22"/>
      <c r="N317" s="84"/>
      <c r="O317" s="22"/>
      <c r="P317" s="116"/>
      <c r="Q317" s="23"/>
      <c r="R317" s="27"/>
      <c r="S317" s="86" t="str">
        <f t="shared" si="106"/>
        <v/>
      </c>
      <c r="T317" s="87" t="str">
        <f t="shared" si="107"/>
        <v/>
      </c>
      <c r="U317" s="87" t="str" cm="1">
        <f t="array" ref="U317">IF(AND(H317&lt;&gt;"YES",P317&lt;&gt;"",R317&lt;&gt;"",Q317&lt;&gt;""),
_xlfn.SWITCH(Q317,
"INR",_xlfn.SWITCH(R317,"KG",P317*S317,"CTN",P317,"UNIT",P317*N317,"NET",P317/M317,0),
"USD",_xlfn.SWITCH(R317,"KG",P317*S317*SI!$C$10,"CTN",P317*SI!$C$10,"UNIT",P317*N317*SI!$C$10,"NET",P317*SI!$C$10/M317,0),
"LKR",_xlfn.SWITCH(R317,"KG",P317*S317/SI!$C$9,"CTN",P317/SI!$C$9,"UNIT",P317*N317/SI!$C$9,"NET",P317/(M317*SI!$C$9),0),
0),
"")</f>
        <v/>
      </c>
      <c r="V317" s="87" t="str">
        <f t="shared" si="108"/>
        <v/>
      </c>
      <c r="W317" s="87" t="str">
        <f t="shared" si="109"/>
        <v/>
      </c>
      <c r="X317" s="88" t="str">
        <f t="shared" si="110"/>
        <v/>
      </c>
      <c r="Y317" s="24" t="str">
        <f t="shared" si="111"/>
        <v/>
      </c>
      <c r="Z317" s="267" t="str">
        <f>IF(AND(H317&lt;&gt;"yes",F317&lt;&gt;""),IFERROR(VLOOKUP(F317,DUTY_2025!A:F,5,FALSE),""),"")</f>
        <v/>
      </c>
      <c r="AA317" s="271" t="str">
        <f t="shared" si="112"/>
        <v/>
      </c>
      <c r="AB317" s="16" t="str">
        <f t="shared" si="113"/>
        <v/>
      </c>
      <c r="AC317" s="16" t="str">
        <f>IF(AA317&lt;&gt;"",ROUND(AA317*SI!$C$9,0),"")</f>
        <v/>
      </c>
      <c r="AD317" s="4" t="str">
        <f>IF(AC317&lt;&gt;"",ROUND(AC317/(SI!$C$9*SI!$C$10),2),"")</f>
        <v/>
      </c>
      <c r="AE317" s="30" t="str">
        <f>IF(AND(X317&lt;&gt;""), ROUND((SI!$E$23)*(X317/SUM($X$5:$X$493)),0),"")</f>
        <v/>
      </c>
      <c r="AF317" s="272" t="str">
        <f t="shared" si="114"/>
        <v/>
      </c>
      <c r="AG317" s="28" t="str">
        <f t="shared" si="115"/>
        <v/>
      </c>
      <c r="AH317" s="4" t="str">
        <f>IF(AD317&lt;&gt;"",ROUND(AD317*10*SI!$C$9/2,0),"")</f>
        <v/>
      </c>
      <c r="AI317" s="29" t="str">
        <f>IF(AND(X317&lt;&gt;""), ROUND((SI!$E$28)*(X317/SUM($X$5:$X$493)),0),"")</f>
        <v/>
      </c>
      <c r="AJ317" s="4" t="str">
        <f t="shared" si="116"/>
        <v/>
      </c>
      <c r="AK317" s="4" t="str">
        <f t="shared" si="117"/>
        <v/>
      </c>
      <c r="AL317" s="4" t="str">
        <f t="shared" si="118"/>
        <v/>
      </c>
      <c r="AM317" s="4" t="str">
        <f t="shared" si="119"/>
        <v/>
      </c>
      <c r="AN317" s="195" t="str">
        <f t="shared" si="120"/>
        <v/>
      </c>
      <c r="AO317" s="261" t="str">
        <f>IF(AND(AM317&lt;&gt;"",P317&lt;&gt;""),ROUND((AM317*((100+SI!$C$11)/100)),0),"")</f>
        <v/>
      </c>
      <c r="AP317" s="28" t="str">
        <f>IF(AG317&lt;&gt;"",ROUND(AG317/SI!$C$9,2),"")</f>
        <v/>
      </c>
      <c r="AQ317" s="4" t="str">
        <f>IF(AH317&lt;&gt;"",ROUND(AH317/SI!$C$9,2),"")</f>
        <v/>
      </c>
      <c r="AR317" s="29" t="str">
        <f>IF(AI317&lt;&gt;"",ROUND(AI317/SI!$C$9,2),"")</f>
        <v/>
      </c>
      <c r="AS317" s="4" t="str">
        <f t="shared" si="121"/>
        <v/>
      </c>
      <c r="AT317" s="4" t="str">
        <f t="shared" si="122"/>
        <v/>
      </c>
      <c r="AU317" s="4" t="str">
        <f>IF(AL317&lt;&gt;"",ROUND(AL317/SI!$C$9,2),"")</f>
        <v/>
      </c>
      <c r="AV317" s="4" t="str">
        <f>IF(AM317&lt;&gt;"",ROUND(AM317/SI!$C$9,2),"")</f>
        <v/>
      </c>
      <c r="AW317" s="4" t="str">
        <f>IF(AN317&lt;&gt;"",ROUND(AN317/SI!$C$9,2),"")</f>
        <v/>
      </c>
      <c r="AX317" s="261" t="str">
        <f>IF(AO317&lt;&gt;"",ROUND(AO317/SI!$C$9,2),"")</f>
        <v/>
      </c>
      <c r="AY317" s="28" t="str">
        <f t="shared" si="123"/>
        <v/>
      </c>
      <c r="AZ317" s="4" t="str">
        <f>IF(AY317&lt;&gt;"",ROUND(AY317/(SI!$C$9*SI!$C$10),2),"")</f>
        <v/>
      </c>
      <c r="BA317" s="4" t="str">
        <f t="shared" si="124"/>
        <v/>
      </c>
      <c r="BB317" s="4" t="str">
        <f t="shared" si="125"/>
        <v/>
      </c>
      <c r="BC317" s="4" t="str">
        <f t="shared" si="126"/>
        <v/>
      </c>
      <c r="BD317" s="4" t="str">
        <f t="shared" si="127"/>
        <v/>
      </c>
      <c r="BE317" s="4" t="str">
        <f>IF(AND(X317&lt;&gt;""),ROUND(X317/SI!$C$10,2),"")</f>
        <v/>
      </c>
      <c r="BF317" s="4" t="str">
        <f t="shared" si="129"/>
        <v/>
      </c>
      <c r="BG317" s="264" t="str">
        <f t="shared" si="128"/>
        <v/>
      </c>
      <c r="BH317" s="71" t="str">
        <f>IF(F317&lt;&gt;"",VLOOKUP(F317,DUTY_2025!A:O,15,FALSE),"")</f>
        <v/>
      </c>
    </row>
    <row r="318" spans="1:60" x14ac:dyDescent="0.25">
      <c r="A318" s="133">
        <f t="shared" si="104"/>
        <v>66</v>
      </c>
      <c r="B318" s="83" t="str">
        <f t="shared" si="105"/>
        <v/>
      </c>
      <c r="C318" s="126"/>
      <c r="D318" s="130"/>
      <c r="E318" s="22"/>
      <c r="F318" s="85"/>
      <c r="G318" s="27" t="str">
        <f>IF(F318&lt;&gt;"",IFERROR(VLOOKUP(F318,DUTY_2025!A:I,6,FALSE),""),"")</f>
        <v/>
      </c>
      <c r="H318" s="85" t="s">
        <v>133</v>
      </c>
      <c r="I318" s="27" t="str">
        <f>IF(F318&lt;&gt;"",IFERROR(VLOOKUP(F318,DUTY_2025!A:H,2,FALSE),""),"")</f>
        <v/>
      </c>
      <c r="J318" s="98"/>
      <c r="K318" s="98"/>
      <c r="L318" s="22"/>
      <c r="M318" s="22"/>
      <c r="N318" s="84"/>
      <c r="O318" s="22"/>
      <c r="P318" s="116"/>
      <c r="Q318" s="23"/>
      <c r="R318" s="27"/>
      <c r="S318" s="86" t="str">
        <f t="shared" si="106"/>
        <v/>
      </c>
      <c r="T318" s="87" t="str">
        <f t="shared" si="107"/>
        <v/>
      </c>
      <c r="U318" s="87" t="str" cm="1">
        <f t="array" ref="U318">IF(AND(H318&lt;&gt;"YES",P318&lt;&gt;"",R318&lt;&gt;"",Q318&lt;&gt;""),
_xlfn.SWITCH(Q318,
"INR",_xlfn.SWITCH(R318,"KG",P318*S318,"CTN",P318,"UNIT",P318*N318,"NET",P318/M318,0),
"USD",_xlfn.SWITCH(R318,"KG",P318*S318*SI!$C$10,"CTN",P318*SI!$C$10,"UNIT",P318*N318*SI!$C$10,"NET",P318*SI!$C$10/M318,0),
"LKR",_xlfn.SWITCH(R318,"KG",P318*S318/SI!$C$9,"CTN",P318/SI!$C$9,"UNIT",P318*N318/SI!$C$9,"NET",P318/(M318*SI!$C$9),0),
0),
"")</f>
        <v/>
      </c>
      <c r="V318" s="87" t="str">
        <f t="shared" si="108"/>
        <v/>
      </c>
      <c r="W318" s="87" t="str">
        <f t="shared" si="109"/>
        <v/>
      </c>
      <c r="X318" s="88" t="str">
        <f t="shared" si="110"/>
        <v/>
      </c>
      <c r="Y318" s="24" t="str">
        <f t="shared" si="111"/>
        <v/>
      </c>
      <c r="Z318" s="267" t="str">
        <f>IF(AND(H318&lt;&gt;"yes",F318&lt;&gt;""),IFERROR(VLOOKUP(F318,DUTY_2025!A:F,5,FALSE),""),"")</f>
        <v/>
      </c>
      <c r="AA318" s="271" t="str">
        <f t="shared" si="112"/>
        <v/>
      </c>
      <c r="AB318" s="16" t="str">
        <f t="shared" si="113"/>
        <v/>
      </c>
      <c r="AC318" s="16" t="str">
        <f>IF(AA318&lt;&gt;"",ROUND(AA318*SI!$C$9,0),"")</f>
        <v/>
      </c>
      <c r="AD318" s="4" t="str">
        <f>IF(AC318&lt;&gt;"",ROUND(AC318/(SI!$C$9*SI!$C$10),2),"")</f>
        <v/>
      </c>
      <c r="AE318" s="30" t="str">
        <f>IF(AND(X318&lt;&gt;""), ROUND((SI!$E$23)*(X318/SUM($X$5:$X$493)),0),"")</f>
        <v/>
      </c>
      <c r="AF318" s="272" t="str">
        <f t="shared" si="114"/>
        <v/>
      </c>
      <c r="AG318" s="28" t="str">
        <f t="shared" si="115"/>
        <v/>
      </c>
      <c r="AH318" s="4" t="str">
        <f>IF(AD318&lt;&gt;"",ROUND(AD318*10*SI!$C$9/2,0),"")</f>
        <v/>
      </c>
      <c r="AI318" s="29" t="str">
        <f>IF(AND(X318&lt;&gt;""), ROUND((SI!$E$28)*(X318/SUM($X$5:$X$493)),0),"")</f>
        <v/>
      </c>
      <c r="AJ318" s="4" t="str">
        <f t="shared" si="116"/>
        <v/>
      </c>
      <c r="AK318" s="4" t="str">
        <f t="shared" si="117"/>
        <v/>
      </c>
      <c r="AL318" s="4" t="str">
        <f t="shared" si="118"/>
        <v/>
      </c>
      <c r="AM318" s="4" t="str">
        <f t="shared" si="119"/>
        <v/>
      </c>
      <c r="AN318" s="195" t="str">
        <f t="shared" si="120"/>
        <v/>
      </c>
      <c r="AO318" s="261" t="str">
        <f>IF(AND(AM318&lt;&gt;"",P318&lt;&gt;""),ROUND((AM318*((100+SI!$C$11)/100)),0),"")</f>
        <v/>
      </c>
      <c r="AP318" s="28" t="str">
        <f>IF(AG318&lt;&gt;"",ROUND(AG318/SI!$C$9,2),"")</f>
        <v/>
      </c>
      <c r="AQ318" s="4" t="str">
        <f>IF(AH318&lt;&gt;"",ROUND(AH318/SI!$C$9,2),"")</f>
        <v/>
      </c>
      <c r="AR318" s="29" t="str">
        <f>IF(AI318&lt;&gt;"",ROUND(AI318/SI!$C$9,2),"")</f>
        <v/>
      </c>
      <c r="AS318" s="4" t="str">
        <f t="shared" si="121"/>
        <v/>
      </c>
      <c r="AT318" s="4" t="str">
        <f t="shared" si="122"/>
        <v/>
      </c>
      <c r="AU318" s="4" t="str">
        <f>IF(AL318&lt;&gt;"",ROUND(AL318/SI!$C$9,2),"")</f>
        <v/>
      </c>
      <c r="AV318" s="4" t="str">
        <f>IF(AM318&lt;&gt;"",ROUND(AM318/SI!$C$9,2),"")</f>
        <v/>
      </c>
      <c r="AW318" s="4" t="str">
        <f>IF(AN318&lt;&gt;"",ROUND(AN318/SI!$C$9,2),"")</f>
        <v/>
      </c>
      <c r="AX318" s="261" t="str">
        <f>IF(AO318&lt;&gt;"",ROUND(AO318/SI!$C$9,2),"")</f>
        <v/>
      </c>
      <c r="AY318" s="28" t="str">
        <f t="shared" si="123"/>
        <v/>
      </c>
      <c r="AZ318" s="4" t="str">
        <f>IF(AY318&lt;&gt;"",ROUND(AY318/(SI!$C$9*SI!$C$10),2),"")</f>
        <v/>
      </c>
      <c r="BA318" s="4" t="str">
        <f t="shared" si="124"/>
        <v/>
      </c>
      <c r="BB318" s="4" t="str">
        <f t="shared" si="125"/>
        <v/>
      </c>
      <c r="BC318" s="4" t="str">
        <f t="shared" si="126"/>
        <v/>
      </c>
      <c r="BD318" s="4" t="str">
        <f t="shared" si="127"/>
        <v/>
      </c>
      <c r="BE318" s="4" t="str">
        <f>IF(AND(X318&lt;&gt;""),ROUND(X318/SI!$C$10,2),"")</f>
        <v/>
      </c>
      <c r="BF318" s="4" t="str">
        <f t="shared" si="129"/>
        <v/>
      </c>
      <c r="BG318" s="264" t="str">
        <f t="shared" si="128"/>
        <v/>
      </c>
      <c r="BH318" s="71" t="str">
        <f>IF(F318&lt;&gt;"",VLOOKUP(F318,DUTY_2025!A:O,15,FALSE),"")</f>
        <v/>
      </c>
    </row>
    <row r="319" spans="1:60" x14ac:dyDescent="0.25">
      <c r="A319" s="133">
        <f t="shared" si="104"/>
        <v>66</v>
      </c>
      <c r="B319" s="83" t="str">
        <f t="shared" si="105"/>
        <v/>
      </c>
      <c r="C319" s="126"/>
      <c r="D319" s="130"/>
      <c r="E319" s="22"/>
      <c r="F319" s="85"/>
      <c r="G319" s="27" t="str">
        <f>IF(F319&lt;&gt;"",IFERROR(VLOOKUP(F319,DUTY_2025!A:I,6,FALSE),""),"")</f>
        <v/>
      </c>
      <c r="H319" s="85" t="s">
        <v>133</v>
      </c>
      <c r="I319" s="27" t="str">
        <f>IF(F319&lt;&gt;"",IFERROR(VLOOKUP(F319,DUTY_2025!A:H,2,FALSE),""),"")</f>
        <v/>
      </c>
      <c r="J319" s="98"/>
      <c r="K319" s="98"/>
      <c r="L319" s="22"/>
      <c r="M319" s="22"/>
      <c r="N319" s="84"/>
      <c r="O319" s="22"/>
      <c r="P319" s="116"/>
      <c r="Q319" s="23"/>
      <c r="R319" s="27"/>
      <c r="S319" s="86" t="str">
        <f t="shared" si="106"/>
        <v/>
      </c>
      <c r="T319" s="87" t="str">
        <f t="shared" si="107"/>
        <v/>
      </c>
      <c r="U319" s="87" t="str" cm="1">
        <f t="array" ref="U319">IF(AND(H319&lt;&gt;"YES",P319&lt;&gt;"",R319&lt;&gt;"",Q319&lt;&gt;""),
_xlfn.SWITCH(Q319,
"INR",_xlfn.SWITCH(R319,"KG",P319*S319,"CTN",P319,"UNIT",P319*N319,"NET",P319/M319,0),
"USD",_xlfn.SWITCH(R319,"KG",P319*S319*SI!$C$10,"CTN",P319*SI!$C$10,"UNIT",P319*N319*SI!$C$10,"NET",P319*SI!$C$10/M319,0),
"LKR",_xlfn.SWITCH(R319,"KG",P319*S319/SI!$C$9,"CTN",P319/SI!$C$9,"UNIT",P319*N319/SI!$C$9,"NET",P319/(M319*SI!$C$9),0),
0),
"")</f>
        <v/>
      </c>
      <c r="V319" s="87" t="str">
        <f t="shared" si="108"/>
        <v/>
      </c>
      <c r="W319" s="87" t="str">
        <f t="shared" si="109"/>
        <v/>
      </c>
      <c r="X319" s="88" t="str">
        <f t="shared" si="110"/>
        <v/>
      </c>
      <c r="Y319" s="24" t="str">
        <f t="shared" si="111"/>
        <v/>
      </c>
      <c r="Z319" s="267" t="str">
        <f>IF(AND(H319&lt;&gt;"yes",F319&lt;&gt;""),IFERROR(VLOOKUP(F319,DUTY_2025!A:F,5,FALSE),""),"")</f>
        <v/>
      </c>
      <c r="AA319" s="271" t="str">
        <f t="shared" si="112"/>
        <v/>
      </c>
      <c r="AB319" s="16" t="str">
        <f t="shared" si="113"/>
        <v/>
      </c>
      <c r="AC319" s="16" t="str">
        <f>IF(AA319&lt;&gt;"",ROUND(AA319*SI!$C$9,0),"")</f>
        <v/>
      </c>
      <c r="AD319" s="4" t="str">
        <f>IF(AC319&lt;&gt;"",ROUND(AC319/(SI!$C$9*SI!$C$10),2),"")</f>
        <v/>
      </c>
      <c r="AE319" s="30" t="str">
        <f>IF(AND(X319&lt;&gt;""), ROUND((SI!$E$23)*(X319/SUM($X$5:$X$493)),0),"")</f>
        <v/>
      </c>
      <c r="AF319" s="272" t="str">
        <f t="shared" si="114"/>
        <v/>
      </c>
      <c r="AG319" s="28" t="str">
        <f t="shared" si="115"/>
        <v/>
      </c>
      <c r="AH319" s="4" t="str">
        <f>IF(AD319&lt;&gt;"",ROUND(AD319*10*SI!$C$9/2,0),"")</f>
        <v/>
      </c>
      <c r="AI319" s="29" t="str">
        <f>IF(AND(X319&lt;&gt;""), ROUND((SI!$E$28)*(X319/SUM($X$5:$X$493)),0),"")</f>
        <v/>
      </c>
      <c r="AJ319" s="4" t="str">
        <f t="shared" si="116"/>
        <v/>
      </c>
      <c r="AK319" s="4" t="str">
        <f t="shared" si="117"/>
        <v/>
      </c>
      <c r="AL319" s="4" t="str">
        <f t="shared" si="118"/>
        <v/>
      </c>
      <c r="AM319" s="4" t="str">
        <f t="shared" si="119"/>
        <v/>
      </c>
      <c r="AN319" s="195" t="str">
        <f t="shared" si="120"/>
        <v/>
      </c>
      <c r="AO319" s="261" t="str">
        <f>IF(AND(AM319&lt;&gt;"",P319&lt;&gt;""),ROUND((AM319*((100+SI!$C$11)/100)),0),"")</f>
        <v/>
      </c>
      <c r="AP319" s="28" t="str">
        <f>IF(AG319&lt;&gt;"",ROUND(AG319/SI!$C$9,2),"")</f>
        <v/>
      </c>
      <c r="AQ319" s="4" t="str">
        <f>IF(AH319&lt;&gt;"",ROUND(AH319/SI!$C$9,2),"")</f>
        <v/>
      </c>
      <c r="AR319" s="29" t="str">
        <f>IF(AI319&lt;&gt;"",ROUND(AI319/SI!$C$9,2),"")</f>
        <v/>
      </c>
      <c r="AS319" s="4" t="str">
        <f t="shared" si="121"/>
        <v/>
      </c>
      <c r="AT319" s="4" t="str">
        <f t="shared" si="122"/>
        <v/>
      </c>
      <c r="AU319" s="4" t="str">
        <f>IF(AL319&lt;&gt;"",ROUND(AL319/SI!$C$9,2),"")</f>
        <v/>
      </c>
      <c r="AV319" s="4" t="str">
        <f>IF(AM319&lt;&gt;"",ROUND(AM319/SI!$C$9,2),"")</f>
        <v/>
      </c>
      <c r="AW319" s="4" t="str">
        <f>IF(AN319&lt;&gt;"",ROUND(AN319/SI!$C$9,2),"")</f>
        <v/>
      </c>
      <c r="AX319" s="261" t="str">
        <f>IF(AO319&lt;&gt;"",ROUND(AO319/SI!$C$9,2),"")</f>
        <v/>
      </c>
      <c r="AY319" s="28" t="str">
        <f t="shared" si="123"/>
        <v/>
      </c>
      <c r="AZ319" s="4" t="str">
        <f>IF(AY319&lt;&gt;"",ROUND(AY319/(SI!$C$9*SI!$C$10),2),"")</f>
        <v/>
      </c>
      <c r="BA319" s="4" t="str">
        <f t="shared" si="124"/>
        <v/>
      </c>
      <c r="BB319" s="4" t="str">
        <f t="shared" si="125"/>
        <v/>
      </c>
      <c r="BC319" s="4" t="str">
        <f t="shared" si="126"/>
        <v/>
      </c>
      <c r="BD319" s="4" t="str">
        <f t="shared" si="127"/>
        <v/>
      </c>
      <c r="BE319" s="4" t="str">
        <f>IF(AND(X319&lt;&gt;""),ROUND(X319/SI!$C$10,2),"")</f>
        <v/>
      </c>
      <c r="BF319" s="4" t="str">
        <f t="shared" si="129"/>
        <v/>
      </c>
      <c r="BG319" s="264" t="str">
        <f t="shared" si="128"/>
        <v/>
      </c>
      <c r="BH319" s="71" t="str">
        <f>IF(F319&lt;&gt;"",VLOOKUP(F319,DUTY_2025!A:O,15,FALSE),"")</f>
        <v/>
      </c>
    </row>
    <row r="320" spans="1:60" x14ac:dyDescent="0.25">
      <c r="A320" s="133">
        <f t="shared" si="104"/>
        <v>66</v>
      </c>
      <c r="B320" s="83" t="str">
        <f t="shared" si="105"/>
        <v/>
      </c>
      <c r="C320" s="126"/>
      <c r="D320" s="130"/>
      <c r="E320" s="22"/>
      <c r="F320" s="85"/>
      <c r="G320" s="27" t="str">
        <f>IF(F320&lt;&gt;"",IFERROR(VLOOKUP(F320,DUTY_2025!A:I,6,FALSE),""),"")</f>
        <v/>
      </c>
      <c r="H320" s="85" t="s">
        <v>133</v>
      </c>
      <c r="I320" s="27" t="str">
        <f>IF(F320&lt;&gt;"",IFERROR(VLOOKUP(F320,DUTY_2025!A:H,2,FALSE),""),"")</f>
        <v/>
      </c>
      <c r="J320" s="98"/>
      <c r="K320" s="98"/>
      <c r="L320" s="22"/>
      <c r="M320" s="22"/>
      <c r="N320" s="84"/>
      <c r="O320" s="22"/>
      <c r="P320" s="116"/>
      <c r="Q320" s="23"/>
      <c r="R320" s="27"/>
      <c r="S320" s="86" t="str">
        <f t="shared" si="106"/>
        <v/>
      </c>
      <c r="T320" s="87" t="str">
        <f t="shared" si="107"/>
        <v/>
      </c>
      <c r="U320" s="87" t="str" cm="1">
        <f t="array" ref="U320">IF(AND(H320&lt;&gt;"YES",P320&lt;&gt;"",R320&lt;&gt;"",Q320&lt;&gt;""),
_xlfn.SWITCH(Q320,
"INR",_xlfn.SWITCH(R320,"KG",P320*S320,"CTN",P320,"UNIT",P320*N320,"NET",P320/M320,0),
"USD",_xlfn.SWITCH(R320,"KG",P320*S320*SI!$C$10,"CTN",P320*SI!$C$10,"UNIT",P320*N320*SI!$C$10,"NET",P320*SI!$C$10/M320,0),
"LKR",_xlfn.SWITCH(R320,"KG",P320*S320/SI!$C$9,"CTN",P320/SI!$C$9,"UNIT",P320*N320/SI!$C$9,"NET",P320/(M320*SI!$C$9),0),
0),
"")</f>
        <v/>
      </c>
      <c r="V320" s="87" t="str">
        <f t="shared" si="108"/>
        <v/>
      </c>
      <c r="W320" s="87" t="str">
        <f t="shared" si="109"/>
        <v/>
      </c>
      <c r="X320" s="88" t="str">
        <f t="shared" si="110"/>
        <v/>
      </c>
      <c r="Y320" s="24" t="str">
        <f t="shared" si="111"/>
        <v/>
      </c>
      <c r="Z320" s="267" t="str">
        <f>IF(AND(H320&lt;&gt;"yes",F320&lt;&gt;""),IFERROR(VLOOKUP(F320,DUTY_2025!A:F,5,FALSE),""),"")</f>
        <v/>
      </c>
      <c r="AA320" s="271" t="str">
        <f t="shared" si="112"/>
        <v/>
      </c>
      <c r="AB320" s="16" t="str">
        <f t="shared" si="113"/>
        <v/>
      </c>
      <c r="AC320" s="16" t="str">
        <f>IF(AA320&lt;&gt;"",ROUND(AA320*SI!$C$9,0),"")</f>
        <v/>
      </c>
      <c r="AD320" s="4" t="str">
        <f>IF(AC320&lt;&gt;"",ROUND(AC320/(SI!$C$9*SI!$C$10),2),"")</f>
        <v/>
      </c>
      <c r="AE320" s="30" t="str">
        <f>IF(AND(X320&lt;&gt;""), ROUND((SI!$E$23)*(X320/SUM($X$5:$X$493)),0),"")</f>
        <v/>
      </c>
      <c r="AF320" s="272" t="str">
        <f t="shared" si="114"/>
        <v/>
      </c>
      <c r="AG320" s="28" t="str">
        <f t="shared" si="115"/>
        <v/>
      </c>
      <c r="AH320" s="4" t="str">
        <f>IF(AD320&lt;&gt;"",ROUND(AD320*10*SI!$C$9/2,0),"")</f>
        <v/>
      </c>
      <c r="AI320" s="29" t="str">
        <f>IF(AND(X320&lt;&gt;""), ROUND((SI!$E$28)*(X320/SUM($X$5:$X$493)),0),"")</f>
        <v/>
      </c>
      <c r="AJ320" s="4" t="str">
        <f t="shared" si="116"/>
        <v/>
      </c>
      <c r="AK320" s="4" t="str">
        <f t="shared" si="117"/>
        <v/>
      </c>
      <c r="AL320" s="4" t="str">
        <f t="shared" si="118"/>
        <v/>
      </c>
      <c r="AM320" s="4" t="str">
        <f t="shared" si="119"/>
        <v/>
      </c>
      <c r="AN320" s="195" t="str">
        <f t="shared" si="120"/>
        <v/>
      </c>
      <c r="AO320" s="261" t="str">
        <f>IF(AND(AM320&lt;&gt;"",P320&lt;&gt;""),ROUND((AM320*((100+SI!$C$11)/100)),0),"")</f>
        <v/>
      </c>
      <c r="AP320" s="28" t="str">
        <f>IF(AG320&lt;&gt;"",ROUND(AG320/SI!$C$9,2),"")</f>
        <v/>
      </c>
      <c r="AQ320" s="4" t="str">
        <f>IF(AH320&lt;&gt;"",ROUND(AH320/SI!$C$9,2),"")</f>
        <v/>
      </c>
      <c r="AR320" s="29" t="str">
        <f>IF(AI320&lt;&gt;"",ROUND(AI320/SI!$C$9,2),"")</f>
        <v/>
      </c>
      <c r="AS320" s="4" t="str">
        <f t="shared" si="121"/>
        <v/>
      </c>
      <c r="AT320" s="4" t="str">
        <f t="shared" si="122"/>
        <v/>
      </c>
      <c r="AU320" s="4" t="str">
        <f>IF(AL320&lt;&gt;"",ROUND(AL320/SI!$C$9,2),"")</f>
        <v/>
      </c>
      <c r="AV320" s="4" t="str">
        <f>IF(AM320&lt;&gt;"",ROUND(AM320/SI!$C$9,2),"")</f>
        <v/>
      </c>
      <c r="AW320" s="4" t="str">
        <f>IF(AN320&lt;&gt;"",ROUND(AN320/SI!$C$9,2),"")</f>
        <v/>
      </c>
      <c r="AX320" s="261" t="str">
        <f>IF(AO320&lt;&gt;"",ROUND(AO320/SI!$C$9,2),"")</f>
        <v/>
      </c>
      <c r="AY320" s="28" t="str">
        <f t="shared" si="123"/>
        <v/>
      </c>
      <c r="AZ320" s="4" t="str">
        <f>IF(AY320&lt;&gt;"",ROUND(AY320/(SI!$C$9*SI!$C$10),2),"")</f>
        <v/>
      </c>
      <c r="BA320" s="4" t="str">
        <f t="shared" si="124"/>
        <v/>
      </c>
      <c r="BB320" s="4" t="str">
        <f t="shared" si="125"/>
        <v/>
      </c>
      <c r="BC320" s="4" t="str">
        <f t="shared" si="126"/>
        <v/>
      </c>
      <c r="BD320" s="4" t="str">
        <f t="shared" si="127"/>
        <v/>
      </c>
      <c r="BE320" s="4" t="str">
        <f>IF(AND(X320&lt;&gt;""),ROUND(X320/SI!$C$10,2),"")</f>
        <v/>
      </c>
      <c r="BF320" s="4" t="str">
        <f t="shared" si="129"/>
        <v/>
      </c>
      <c r="BG320" s="264" t="str">
        <f t="shared" si="128"/>
        <v/>
      </c>
      <c r="BH320" s="71" t="str">
        <f>IF(F320&lt;&gt;"",VLOOKUP(F320,DUTY_2025!A:O,15,FALSE),"")</f>
        <v/>
      </c>
    </row>
    <row r="321" spans="1:60" x14ac:dyDescent="0.25">
      <c r="A321" s="133">
        <f t="shared" si="104"/>
        <v>66</v>
      </c>
      <c r="B321" s="83" t="str">
        <f t="shared" si="105"/>
        <v/>
      </c>
      <c r="C321" s="126"/>
      <c r="D321" s="130"/>
      <c r="E321" s="22"/>
      <c r="F321" s="85"/>
      <c r="G321" s="27" t="str">
        <f>IF(F321&lt;&gt;"",IFERROR(VLOOKUP(F321,DUTY_2025!A:I,6,FALSE),""),"")</f>
        <v/>
      </c>
      <c r="H321" s="85" t="s">
        <v>133</v>
      </c>
      <c r="I321" s="27" t="str">
        <f>IF(F321&lt;&gt;"",IFERROR(VLOOKUP(F321,DUTY_2025!A:H,2,FALSE),""),"")</f>
        <v/>
      </c>
      <c r="J321" s="98"/>
      <c r="K321" s="98"/>
      <c r="L321" s="22"/>
      <c r="M321" s="22"/>
      <c r="N321" s="84"/>
      <c r="O321" s="22"/>
      <c r="P321" s="116"/>
      <c r="Q321" s="23"/>
      <c r="R321" s="27"/>
      <c r="S321" s="86" t="str">
        <f t="shared" si="106"/>
        <v/>
      </c>
      <c r="T321" s="87" t="str">
        <f t="shared" si="107"/>
        <v/>
      </c>
      <c r="U321" s="87" t="str" cm="1">
        <f t="array" ref="U321">IF(AND(H321&lt;&gt;"YES",P321&lt;&gt;"",R321&lt;&gt;"",Q321&lt;&gt;""),
_xlfn.SWITCH(Q321,
"INR",_xlfn.SWITCH(R321,"KG",P321*S321,"CTN",P321,"UNIT",P321*N321,"NET",P321/M321,0),
"USD",_xlfn.SWITCH(R321,"KG",P321*S321*SI!$C$10,"CTN",P321*SI!$C$10,"UNIT",P321*N321*SI!$C$10,"NET",P321*SI!$C$10/M321,0),
"LKR",_xlfn.SWITCH(R321,"KG",P321*S321/SI!$C$9,"CTN",P321/SI!$C$9,"UNIT",P321*N321/SI!$C$9,"NET",P321/(M321*SI!$C$9),0),
0),
"")</f>
        <v/>
      </c>
      <c r="V321" s="87" t="str">
        <f t="shared" si="108"/>
        <v/>
      </c>
      <c r="W321" s="87" t="str">
        <f t="shared" si="109"/>
        <v/>
      </c>
      <c r="X321" s="88" t="str">
        <f t="shared" si="110"/>
        <v/>
      </c>
      <c r="Y321" s="24" t="str">
        <f t="shared" si="111"/>
        <v/>
      </c>
      <c r="Z321" s="267" t="str">
        <f>IF(AND(H321&lt;&gt;"yes",F321&lt;&gt;""),IFERROR(VLOOKUP(F321,DUTY_2025!A:F,5,FALSE),""),"")</f>
        <v/>
      </c>
      <c r="AA321" s="271" t="str">
        <f t="shared" si="112"/>
        <v/>
      </c>
      <c r="AB321" s="16" t="str">
        <f t="shared" si="113"/>
        <v/>
      </c>
      <c r="AC321" s="16" t="str">
        <f>IF(AA321&lt;&gt;"",ROUND(AA321*SI!$C$9,0),"")</f>
        <v/>
      </c>
      <c r="AD321" s="4" t="str">
        <f>IF(AC321&lt;&gt;"",ROUND(AC321/(SI!$C$9*SI!$C$10),2),"")</f>
        <v/>
      </c>
      <c r="AE321" s="30" t="str">
        <f>IF(AND(X321&lt;&gt;""), ROUND((SI!$E$23)*(X321/SUM($X$5:$X$493)),0),"")</f>
        <v/>
      </c>
      <c r="AF321" s="272" t="str">
        <f t="shared" si="114"/>
        <v/>
      </c>
      <c r="AG321" s="28" t="str">
        <f t="shared" si="115"/>
        <v/>
      </c>
      <c r="AH321" s="4" t="str">
        <f>IF(AD321&lt;&gt;"",ROUND(AD321*10*SI!$C$9/2,0),"")</f>
        <v/>
      </c>
      <c r="AI321" s="29" t="str">
        <f>IF(AND(X321&lt;&gt;""), ROUND((SI!$E$28)*(X321/SUM($X$5:$X$493)),0),"")</f>
        <v/>
      </c>
      <c r="AJ321" s="4" t="str">
        <f t="shared" si="116"/>
        <v/>
      </c>
      <c r="AK321" s="4" t="str">
        <f t="shared" si="117"/>
        <v/>
      </c>
      <c r="AL321" s="4" t="str">
        <f t="shared" si="118"/>
        <v/>
      </c>
      <c r="AM321" s="4" t="str">
        <f t="shared" si="119"/>
        <v/>
      </c>
      <c r="AN321" s="195" t="str">
        <f t="shared" si="120"/>
        <v/>
      </c>
      <c r="AO321" s="261" t="str">
        <f>IF(AND(AM321&lt;&gt;"",P321&lt;&gt;""),ROUND((AM321*((100+SI!$C$11)/100)),0),"")</f>
        <v/>
      </c>
      <c r="AP321" s="28" t="str">
        <f>IF(AG321&lt;&gt;"",ROUND(AG321/SI!$C$9,2),"")</f>
        <v/>
      </c>
      <c r="AQ321" s="4" t="str">
        <f>IF(AH321&lt;&gt;"",ROUND(AH321/SI!$C$9,2),"")</f>
        <v/>
      </c>
      <c r="AR321" s="29" t="str">
        <f>IF(AI321&lt;&gt;"",ROUND(AI321/SI!$C$9,2),"")</f>
        <v/>
      </c>
      <c r="AS321" s="4" t="str">
        <f t="shared" si="121"/>
        <v/>
      </c>
      <c r="AT321" s="4" t="str">
        <f t="shared" si="122"/>
        <v/>
      </c>
      <c r="AU321" s="4" t="str">
        <f>IF(AL321&lt;&gt;"",ROUND(AL321/SI!$C$9,2),"")</f>
        <v/>
      </c>
      <c r="AV321" s="4" t="str">
        <f>IF(AM321&lt;&gt;"",ROUND(AM321/SI!$C$9,2),"")</f>
        <v/>
      </c>
      <c r="AW321" s="4" t="str">
        <f>IF(AN321&lt;&gt;"",ROUND(AN321/SI!$C$9,2),"")</f>
        <v/>
      </c>
      <c r="AX321" s="261" t="str">
        <f>IF(AO321&lt;&gt;"",ROUND(AO321/SI!$C$9,2),"")</f>
        <v/>
      </c>
      <c r="AY321" s="28" t="str">
        <f t="shared" si="123"/>
        <v/>
      </c>
      <c r="AZ321" s="4" t="str">
        <f>IF(AY321&lt;&gt;"",ROUND(AY321/(SI!$C$9*SI!$C$10),2),"")</f>
        <v/>
      </c>
      <c r="BA321" s="4" t="str">
        <f t="shared" si="124"/>
        <v/>
      </c>
      <c r="BB321" s="4" t="str">
        <f t="shared" si="125"/>
        <v/>
      </c>
      <c r="BC321" s="4" t="str">
        <f t="shared" si="126"/>
        <v/>
      </c>
      <c r="BD321" s="4" t="str">
        <f t="shared" si="127"/>
        <v/>
      </c>
      <c r="BE321" s="4" t="str">
        <f>IF(AND(X321&lt;&gt;""),ROUND(X321/SI!$C$10,2),"")</f>
        <v/>
      </c>
      <c r="BF321" s="4" t="str">
        <f t="shared" si="129"/>
        <v/>
      </c>
      <c r="BG321" s="264" t="str">
        <f t="shared" si="128"/>
        <v/>
      </c>
      <c r="BH321" s="71" t="str">
        <f>IF(F321&lt;&gt;"",VLOOKUP(F321,DUTY_2025!A:O,15,FALSE),"")</f>
        <v/>
      </c>
    </row>
    <row r="322" spans="1:60" x14ac:dyDescent="0.25">
      <c r="A322" s="133">
        <f t="shared" si="104"/>
        <v>66</v>
      </c>
      <c r="B322" s="83" t="str">
        <f t="shared" si="105"/>
        <v/>
      </c>
      <c r="C322" s="126"/>
      <c r="D322" s="130"/>
      <c r="E322" s="22"/>
      <c r="F322" s="85"/>
      <c r="G322" s="27" t="str">
        <f>IF(F322&lt;&gt;"",IFERROR(VLOOKUP(F322,DUTY_2025!A:I,6,FALSE),""),"")</f>
        <v/>
      </c>
      <c r="H322" s="85" t="s">
        <v>133</v>
      </c>
      <c r="I322" s="27" t="str">
        <f>IF(F322&lt;&gt;"",IFERROR(VLOOKUP(F322,DUTY_2025!A:H,2,FALSE),""),"")</f>
        <v/>
      </c>
      <c r="J322" s="98"/>
      <c r="K322" s="98"/>
      <c r="L322" s="22"/>
      <c r="M322" s="22"/>
      <c r="N322" s="84"/>
      <c r="O322" s="22"/>
      <c r="P322" s="116"/>
      <c r="Q322" s="23"/>
      <c r="R322" s="27"/>
      <c r="S322" s="86" t="str">
        <f t="shared" si="106"/>
        <v/>
      </c>
      <c r="T322" s="87" t="str">
        <f t="shared" si="107"/>
        <v/>
      </c>
      <c r="U322" s="87" t="str" cm="1">
        <f t="array" ref="U322">IF(AND(H322&lt;&gt;"YES",P322&lt;&gt;"",R322&lt;&gt;"",Q322&lt;&gt;""),
_xlfn.SWITCH(Q322,
"INR",_xlfn.SWITCH(R322,"KG",P322*S322,"CTN",P322,"UNIT",P322*N322,"NET",P322/M322,0),
"USD",_xlfn.SWITCH(R322,"KG",P322*S322*SI!$C$10,"CTN",P322*SI!$C$10,"UNIT",P322*N322*SI!$C$10,"NET",P322*SI!$C$10/M322,0),
"LKR",_xlfn.SWITCH(R322,"KG",P322*S322/SI!$C$9,"CTN",P322/SI!$C$9,"UNIT",P322*N322/SI!$C$9,"NET",P322/(M322*SI!$C$9),0),
0),
"")</f>
        <v/>
      </c>
      <c r="V322" s="87" t="str">
        <f t="shared" si="108"/>
        <v/>
      </c>
      <c r="W322" s="87" t="str">
        <f t="shared" si="109"/>
        <v/>
      </c>
      <c r="X322" s="88" t="str">
        <f t="shared" si="110"/>
        <v/>
      </c>
      <c r="Y322" s="24" t="str">
        <f t="shared" si="111"/>
        <v/>
      </c>
      <c r="Z322" s="267" t="str">
        <f>IF(AND(H322&lt;&gt;"yes",F322&lt;&gt;""),IFERROR(VLOOKUP(F322,DUTY_2025!A:F,5,FALSE),""),"")</f>
        <v/>
      </c>
      <c r="AA322" s="271" t="str">
        <f t="shared" si="112"/>
        <v/>
      </c>
      <c r="AB322" s="16" t="str">
        <f t="shared" si="113"/>
        <v/>
      </c>
      <c r="AC322" s="16" t="str">
        <f>IF(AA322&lt;&gt;"",ROUND(AA322*SI!$C$9,0),"")</f>
        <v/>
      </c>
      <c r="AD322" s="4" t="str">
        <f>IF(AC322&lt;&gt;"",ROUND(AC322/(SI!$C$9*SI!$C$10),2),"")</f>
        <v/>
      </c>
      <c r="AE322" s="30" t="str">
        <f>IF(AND(X322&lt;&gt;""), ROUND((SI!$E$23)*(X322/SUM($X$5:$X$493)),0),"")</f>
        <v/>
      </c>
      <c r="AF322" s="272" t="str">
        <f t="shared" si="114"/>
        <v/>
      </c>
      <c r="AG322" s="28" t="str">
        <f t="shared" si="115"/>
        <v/>
      </c>
      <c r="AH322" s="4" t="str">
        <f>IF(AD322&lt;&gt;"",ROUND(AD322*10*SI!$C$9/2,0),"")</f>
        <v/>
      </c>
      <c r="AI322" s="29" t="str">
        <f>IF(AND(X322&lt;&gt;""), ROUND((SI!$E$28)*(X322/SUM($X$5:$X$493)),0),"")</f>
        <v/>
      </c>
      <c r="AJ322" s="4" t="str">
        <f t="shared" si="116"/>
        <v/>
      </c>
      <c r="AK322" s="4" t="str">
        <f t="shared" si="117"/>
        <v/>
      </c>
      <c r="AL322" s="4" t="str">
        <f t="shared" si="118"/>
        <v/>
      </c>
      <c r="AM322" s="4" t="str">
        <f t="shared" si="119"/>
        <v/>
      </c>
      <c r="AN322" s="195" t="str">
        <f t="shared" si="120"/>
        <v/>
      </c>
      <c r="AO322" s="261" t="str">
        <f>IF(AND(AM322&lt;&gt;"",P322&lt;&gt;""),ROUND((AM322*((100+SI!$C$11)/100)),0),"")</f>
        <v/>
      </c>
      <c r="AP322" s="28" t="str">
        <f>IF(AG322&lt;&gt;"",ROUND(AG322/SI!$C$9,2),"")</f>
        <v/>
      </c>
      <c r="AQ322" s="4" t="str">
        <f>IF(AH322&lt;&gt;"",ROUND(AH322/SI!$C$9,2),"")</f>
        <v/>
      </c>
      <c r="AR322" s="29" t="str">
        <f>IF(AI322&lt;&gt;"",ROUND(AI322/SI!$C$9,2),"")</f>
        <v/>
      </c>
      <c r="AS322" s="4" t="str">
        <f t="shared" si="121"/>
        <v/>
      </c>
      <c r="AT322" s="4" t="str">
        <f t="shared" si="122"/>
        <v/>
      </c>
      <c r="AU322" s="4" t="str">
        <f>IF(AL322&lt;&gt;"",ROUND(AL322/SI!$C$9,2),"")</f>
        <v/>
      </c>
      <c r="AV322" s="4" t="str">
        <f>IF(AM322&lt;&gt;"",ROUND(AM322/SI!$C$9,2),"")</f>
        <v/>
      </c>
      <c r="AW322" s="4" t="str">
        <f>IF(AN322&lt;&gt;"",ROUND(AN322/SI!$C$9,2),"")</f>
        <v/>
      </c>
      <c r="AX322" s="261" t="str">
        <f>IF(AO322&lt;&gt;"",ROUND(AO322/SI!$C$9,2),"")</f>
        <v/>
      </c>
      <c r="AY322" s="28" t="str">
        <f t="shared" si="123"/>
        <v/>
      </c>
      <c r="AZ322" s="4" t="str">
        <f>IF(AY322&lt;&gt;"",ROUND(AY322/(SI!$C$9*SI!$C$10),2),"")</f>
        <v/>
      </c>
      <c r="BA322" s="4" t="str">
        <f t="shared" si="124"/>
        <v/>
      </c>
      <c r="BB322" s="4" t="str">
        <f t="shared" si="125"/>
        <v/>
      </c>
      <c r="BC322" s="4" t="str">
        <f t="shared" si="126"/>
        <v/>
      </c>
      <c r="BD322" s="4" t="str">
        <f t="shared" si="127"/>
        <v/>
      </c>
      <c r="BE322" s="4" t="str">
        <f>IF(AND(X322&lt;&gt;""),ROUND(X322/SI!$C$10,2),"")</f>
        <v/>
      </c>
      <c r="BF322" s="4" t="str">
        <f t="shared" si="129"/>
        <v/>
      </c>
      <c r="BG322" s="264" t="str">
        <f t="shared" si="128"/>
        <v/>
      </c>
      <c r="BH322" s="71" t="str">
        <f>IF(F322&lt;&gt;"",VLOOKUP(F322,DUTY_2025!A:O,15,FALSE),"")</f>
        <v/>
      </c>
    </row>
    <row r="323" spans="1:60" x14ac:dyDescent="0.25">
      <c r="A323" s="133">
        <f t="shared" si="104"/>
        <v>66</v>
      </c>
      <c r="B323" s="83" t="str">
        <f t="shared" si="105"/>
        <v/>
      </c>
      <c r="C323" s="126"/>
      <c r="D323" s="130"/>
      <c r="E323" s="22"/>
      <c r="F323" s="85"/>
      <c r="G323" s="27" t="str">
        <f>IF(F323&lt;&gt;"",IFERROR(VLOOKUP(F323,DUTY_2025!A:I,6,FALSE),""),"")</f>
        <v/>
      </c>
      <c r="H323" s="85" t="s">
        <v>133</v>
      </c>
      <c r="I323" s="27" t="str">
        <f>IF(F323&lt;&gt;"",IFERROR(VLOOKUP(F323,DUTY_2025!A:H,2,FALSE),""),"")</f>
        <v/>
      </c>
      <c r="J323" s="98"/>
      <c r="K323" s="98"/>
      <c r="L323" s="22"/>
      <c r="M323" s="22"/>
      <c r="N323" s="84"/>
      <c r="O323" s="22"/>
      <c r="P323" s="116"/>
      <c r="Q323" s="23"/>
      <c r="R323" s="27"/>
      <c r="S323" s="86" t="str">
        <f t="shared" si="106"/>
        <v/>
      </c>
      <c r="T323" s="87" t="str">
        <f t="shared" si="107"/>
        <v/>
      </c>
      <c r="U323" s="87" t="str" cm="1">
        <f t="array" ref="U323">IF(AND(H323&lt;&gt;"YES",P323&lt;&gt;"",R323&lt;&gt;"",Q323&lt;&gt;""),
_xlfn.SWITCH(Q323,
"INR",_xlfn.SWITCH(R323,"KG",P323*S323,"CTN",P323,"UNIT",P323*N323,"NET",P323/M323,0),
"USD",_xlfn.SWITCH(R323,"KG",P323*S323*SI!$C$10,"CTN",P323*SI!$C$10,"UNIT",P323*N323*SI!$C$10,"NET",P323*SI!$C$10/M323,0),
"LKR",_xlfn.SWITCH(R323,"KG",P323*S323/SI!$C$9,"CTN",P323/SI!$C$9,"UNIT",P323*N323/SI!$C$9,"NET",P323/(M323*SI!$C$9),0),
0),
"")</f>
        <v/>
      </c>
      <c r="V323" s="87" t="str">
        <f t="shared" si="108"/>
        <v/>
      </c>
      <c r="W323" s="87" t="str">
        <f t="shared" si="109"/>
        <v/>
      </c>
      <c r="X323" s="88" t="str">
        <f t="shared" si="110"/>
        <v/>
      </c>
      <c r="Y323" s="24" t="str">
        <f t="shared" si="111"/>
        <v/>
      </c>
      <c r="Z323" s="267" t="str">
        <f>IF(AND(H323&lt;&gt;"yes",F323&lt;&gt;""),IFERROR(VLOOKUP(F323,DUTY_2025!A:F,5,FALSE),""),"")</f>
        <v/>
      </c>
      <c r="AA323" s="271" t="str">
        <f t="shared" si="112"/>
        <v/>
      </c>
      <c r="AB323" s="16" t="str">
        <f t="shared" si="113"/>
        <v/>
      </c>
      <c r="AC323" s="16" t="str">
        <f>IF(AA323&lt;&gt;"",ROUND(AA323*SI!$C$9,0),"")</f>
        <v/>
      </c>
      <c r="AD323" s="4" t="str">
        <f>IF(AC323&lt;&gt;"",ROUND(AC323/(SI!$C$9*SI!$C$10),2),"")</f>
        <v/>
      </c>
      <c r="AE323" s="30" t="str">
        <f>IF(AND(X323&lt;&gt;""), ROUND((SI!$E$23)*(X323/SUM($X$5:$X$493)),0),"")</f>
        <v/>
      </c>
      <c r="AF323" s="272" t="str">
        <f t="shared" si="114"/>
        <v/>
      </c>
      <c r="AG323" s="28" t="str">
        <f t="shared" si="115"/>
        <v/>
      </c>
      <c r="AH323" s="4" t="str">
        <f>IF(AD323&lt;&gt;"",ROUND(AD323*10*SI!$C$9/2,0),"")</f>
        <v/>
      </c>
      <c r="AI323" s="29" t="str">
        <f>IF(AND(X323&lt;&gt;""), ROUND((SI!$E$28)*(X323/SUM($X$5:$X$493)),0),"")</f>
        <v/>
      </c>
      <c r="AJ323" s="4" t="str">
        <f t="shared" si="116"/>
        <v/>
      </c>
      <c r="AK323" s="4" t="str">
        <f t="shared" si="117"/>
        <v/>
      </c>
      <c r="AL323" s="4" t="str">
        <f t="shared" si="118"/>
        <v/>
      </c>
      <c r="AM323" s="4" t="str">
        <f t="shared" si="119"/>
        <v/>
      </c>
      <c r="AN323" s="195" t="str">
        <f t="shared" si="120"/>
        <v/>
      </c>
      <c r="AO323" s="261" t="str">
        <f>IF(AND(AM323&lt;&gt;"",P323&lt;&gt;""),ROUND((AM323*((100+SI!$C$11)/100)),0),"")</f>
        <v/>
      </c>
      <c r="AP323" s="28" t="str">
        <f>IF(AG323&lt;&gt;"",ROUND(AG323/SI!$C$9,2),"")</f>
        <v/>
      </c>
      <c r="AQ323" s="4" t="str">
        <f>IF(AH323&lt;&gt;"",ROUND(AH323/SI!$C$9,2),"")</f>
        <v/>
      </c>
      <c r="AR323" s="29" t="str">
        <f>IF(AI323&lt;&gt;"",ROUND(AI323/SI!$C$9,2),"")</f>
        <v/>
      </c>
      <c r="AS323" s="4" t="str">
        <f t="shared" si="121"/>
        <v/>
      </c>
      <c r="AT323" s="4" t="str">
        <f t="shared" si="122"/>
        <v/>
      </c>
      <c r="AU323" s="4" t="str">
        <f>IF(AL323&lt;&gt;"",ROUND(AL323/SI!$C$9,2),"")</f>
        <v/>
      </c>
      <c r="AV323" s="4" t="str">
        <f>IF(AM323&lt;&gt;"",ROUND(AM323/SI!$C$9,2),"")</f>
        <v/>
      </c>
      <c r="AW323" s="4" t="str">
        <f>IF(AN323&lt;&gt;"",ROUND(AN323/SI!$C$9,2),"")</f>
        <v/>
      </c>
      <c r="AX323" s="261" t="str">
        <f>IF(AO323&lt;&gt;"",ROUND(AO323/SI!$C$9,2),"")</f>
        <v/>
      </c>
      <c r="AY323" s="28" t="str">
        <f t="shared" si="123"/>
        <v/>
      </c>
      <c r="AZ323" s="4" t="str">
        <f>IF(AY323&lt;&gt;"",ROUND(AY323/(SI!$C$9*SI!$C$10),2),"")</f>
        <v/>
      </c>
      <c r="BA323" s="4" t="str">
        <f t="shared" si="124"/>
        <v/>
      </c>
      <c r="BB323" s="4" t="str">
        <f t="shared" si="125"/>
        <v/>
      </c>
      <c r="BC323" s="4" t="str">
        <f t="shared" si="126"/>
        <v/>
      </c>
      <c r="BD323" s="4" t="str">
        <f t="shared" si="127"/>
        <v/>
      </c>
      <c r="BE323" s="4" t="str">
        <f>IF(AND(X323&lt;&gt;""),ROUND(X323/SI!$C$10,2),"")</f>
        <v/>
      </c>
      <c r="BF323" s="4" t="str">
        <f t="shared" si="129"/>
        <v/>
      </c>
      <c r="BG323" s="264" t="str">
        <f t="shared" si="128"/>
        <v/>
      </c>
      <c r="BH323" s="71" t="str">
        <f>IF(F323&lt;&gt;"",VLOOKUP(F323,DUTY_2025!A:O,15,FALSE),"")</f>
        <v/>
      </c>
    </row>
    <row r="324" spans="1:60" x14ac:dyDescent="0.25">
      <c r="A324" s="133">
        <f t="shared" si="104"/>
        <v>66</v>
      </c>
      <c r="B324" s="83" t="str">
        <f t="shared" si="105"/>
        <v/>
      </c>
      <c r="C324" s="126"/>
      <c r="D324" s="130"/>
      <c r="E324" s="22"/>
      <c r="F324" s="85"/>
      <c r="G324" s="27" t="str">
        <f>IF(F324&lt;&gt;"",IFERROR(VLOOKUP(F324,DUTY_2025!A:I,6,FALSE),""),"")</f>
        <v/>
      </c>
      <c r="H324" s="85" t="s">
        <v>133</v>
      </c>
      <c r="I324" s="27" t="str">
        <f>IF(F324&lt;&gt;"",IFERROR(VLOOKUP(F324,DUTY_2025!A:H,2,FALSE),""),"")</f>
        <v/>
      </c>
      <c r="J324" s="98"/>
      <c r="K324" s="98"/>
      <c r="L324" s="22"/>
      <c r="M324" s="22"/>
      <c r="N324" s="84"/>
      <c r="O324" s="22"/>
      <c r="P324" s="116"/>
      <c r="Q324" s="23"/>
      <c r="R324" s="27"/>
      <c r="S324" s="86" t="str">
        <f t="shared" si="106"/>
        <v/>
      </c>
      <c r="T324" s="87" t="str">
        <f t="shared" si="107"/>
        <v/>
      </c>
      <c r="U324" s="87" t="str" cm="1">
        <f t="array" ref="U324">IF(AND(H324&lt;&gt;"YES",P324&lt;&gt;"",R324&lt;&gt;"",Q324&lt;&gt;""),
_xlfn.SWITCH(Q324,
"INR",_xlfn.SWITCH(R324,"KG",P324*S324,"CTN",P324,"UNIT",P324*N324,"NET",P324/M324,0),
"USD",_xlfn.SWITCH(R324,"KG",P324*S324*SI!$C$10,"CTN",P324*SI!$C$10,"UNIT",P324*N324*SI!$C$10,"NET",P324*SI!$C$10/M324,0),
"LKR",_xlfn.SWITCH(R324,"KG",P324*S324/SI!$C$9,"CTN",P324/SI!$C$9,"UNIT",P324*N324/SI!$C$9,"NET",P324/(M324*SI!$C$9),0),
0),
"")</f>
        <v/>
      </c>
      <c r="V324" s="87" t="str">
        <f t="shared" si="108"/>
        <v/>
      </c>
      <c r="W324" s="87" t="str">
        <f t="shared" si="109"/>
        <v/>
      </c>
      <c r="X324" s="88" t="str">
        <f t="shared" si="110"/>
        <v/>
      </c>
      <c r="Y324" s="24" t="str">
        <f t="shared" si="111"/>
        <v/>
      </c>
      <c r="Z324" s="267" t="str">
        <f>IF(AND(H324&lt;&gt;"yes",F324&lt;&gt;""),IFERROR(VLOOKUP(F324,DUTY_2025!A:F,5,FALSE),""),"")</f>
        <v/>
      </c>
      <c r="AA324" s="271" t="str">
        <f t="shared" si="112"/>
        <v/>
      </c>
      <c r="AB324" s="16" t="str">
        <f t="shared" si="113"/>
        <v/>
      </c>
      <c r="AC324" s="16" t="str">
        <f>IF(AA324&lt;&gt;"",ROUND(AA324*SI!$C$9,0),"")</f>
        <v/>
      </c>
      <c r="AD324" s="4" t="str">
        <f>IF(AC324&lt;&gt;"",ROUND(AC324/(SI!$C$9*SI!$C$10),2),"")</f>
        <v/>
      </c>
      <c r="AE324" s="30" t="str">
        <f>IF(AND(X324&lt;&gt;""), ROUND((SI!$E$23)*(X324/SUM($X$5:$X$493)),0),"")</f>
        <v/>
      </c>
      <c r="AF324" s="272" t="str">
        <f t="shared" si="114"/>
        <v/>
      </c>
      <c r="AG324" s="28" t="str">
        <f t="shared" si="115"/>
        <v/>
      </c>
      <c r="AH324" s="4" t="str">
        <f>IF(AD324&lt;&gt;"",ROUND(AD324*10*SI!$C$9/2,0),"")</f>
        <v/>
      </c>
      <c r="AI324" s="29" t="str">
        <f>IF(AND(X324&lt;&gt;""), ROUND((SI!$E$28)*(X324/SUM($X$5:$X$493)),0),"")</f>
        <v/>
      </c>
      <c r="AJ324" s="4" t="str">
        <f t="shared" si="116"/>
        <v/>
      </c>
      <c r="AK324" s="4" t="str">
        <f t="shared" si="117"/>
        <v/>
      </c>
      <c r="AL324" s="4" t="str">
        <f t="shared" si="118"/>
        <v/>
      </c>
      <c r="AM324" s="4" t="str">
        <f t="shared" si="119"/>
        <v/>
      </c>
      <c r="AN324" s="195" t="str">
        <f t="shared" si="120"/>
        <v/>
      </c>
      <c r="AO324" s="261" t="str">
        <f>IF(AND(AM324&lt;&gt;"",P324&lt;&gt;""),ROUND((AM324*((100+SI!$C$11)/100)),0),"")</f>
        <v/>
      </c>
      <c r="AP324" s="28" t="str">
        <f>IF(AG324&lt;&gt;"",ROUND(AG324/SI!$C$9,2),"")</f>
        <v/>
      </c>
      <c r="AQ324" s="4" t="str">
        <f>IF(AH324&lt;&gt;"",ROUND(AH324/SI!$C$9,2),"")</f>
        <v/>
      </c>
      <c r="AR324" s="29" t="str">
        <f>IF(AI324&lt;&gt;"",ROUND(AI324/SI!$C$9,2),"")</f>
        <v/>
      </c>
      <c r="AS324" s="4" t="str">
        <f t="shared" si="121"/>
        <v/>
      </c>
      <c r="AT324" s="4" t="str">
        <f t="shared" si="122"/>
        <v/>
      </c>
      <c r="AU324" s="4" t="str">
        <f>IF(AL324&lt;&gt;"",ROUND(AL324/SI!$C$9,2),"")</f>
        <v/>
      </c>
      <c r="AV324" s="4" t="str">
        <f>IF(AM324&lt;&gt;"",ROUND(AM324/SI!$C$9,2),"")</f>
        <v/>
      </c>
      <c r="AW324" s="4" t="str">
        <f>IF(AN324&lt;&gt;"",ROUND(AN324/SI!$C$9,2),"")</f>
        <v/>
      </c>
      <c r="AX324" s="261" t="str">
        <f>IF(AO324&lt;&gt;"",ROUND(AO324/SI!$C$9,2),"")</f>
        <v/>
      </c>
      <c r="AY324" s="28" t="str">
        <f t="shared" si="123"/>
        <v/>
      </c>
      <c r="AZ324" s="4" t="str">
        <f>IF(AY324&lt;&gt;"",ROUND(AY324/(SI!$C$9*SI!$C$10),2),"")</f>
        <v/>
      </c>
      <c r="BA324" s="4" t="str">
        <f t="shared" si="124"/>
        <v/>
      </c>
      <c r="BB324" s="4" t="str">
        <f t="shared" si="125"/>
        <v/>
      </c>
      <c r="BC324" s="4" t="str">
        <f t="shared" si="126"/>
        <v/>
      </c>
      <c r="BD324" s="4" t="str">
        <f t="shared" si="127"/>
        <v/>
      </c>
      <c r="BE324" s="4" t="str">
        <f>IF(AND(X324&lt;&gt;""),ROUND(X324/SI!$C$10,2),"")</f>
        <v/>
      </c>
      <c r="BF324" s="4" t="str">
        <f t="shared" si="129"/>
        <v/>
      </c>
      <c r="BG324" s="264" t="str">
        <f t="shared" si="128"/>
        <v/>
      </c>
      <c r="BH324" s="71" t="str">
        <f>IF(F324&lt;&gt;"",VLOOKUP(F324,DUTY_2025!A:O,15,FALSE),"")</f>
        <v/>
      </c>
    </row>
    <row r="325" spans="1:60" x14ac:dyDescent="0.25">
      <c r="A325" s="133">
        <f t="shared" si="104"/>
        <v>66</v>
      </c>
      <c r="B325" s="83" t="str">
        <f t="shared" si="105"/>
        <v/>
      </c>
      <c r="C325" s="126"/>
      <c r="D325" s="130"/>
      <c r="E325" s="22"/>
      <c r="F325" s="85"/>
      <c r="G325" s="27" t="str">
        <f>IF(F325&lt;&gt;"",IFERROR(VLOOKUP(F325,DUTY_2025!A:I,6,FALSE),""),"")</f>
        <v/>
      </c>
      <c r="H325" s="85" t="s">
        <v>133</v>
      </c>
      <c r="I325" s="27" t="str">
        <f>IF(F325&lt;&gt;"",IFERROR(VLOOKUP(F325,DUTY_2025!A:H,2,FALSE),""),"")</f>
        <v/>
      </c>
      <c r="J325" s="98"/>
      <c r="K325" s="98"/>
      <c r="L325" s="22"/>
      <c r="M325" s="22"/>
      <c r="N325" s="84"/>
      <c r="O325" s="22"/>
      <c r="P325" s="116"/>
      <c r="Q325" s="23"/>
      <c r="R325" s="27"/>
      <c r="S325" s="86" t="str">
        <f t="shared" si="106"/>
        <v/>
      </c>
      <c r="T325" s="87" t="str">
        <f t="shared" si="107"/>
        <v/>
      </c>
      <c r="U325" s="87" t="str" cm="1">
        <f t="array" ref="U325">IF(AND(H325&lt;&gt;"YES",P325&lt;&gt;"",R325&lt;&gt;"",Q325&lt;&gt;""),
_xlfn.SWITCH(Q325,
"INR",_xlfn.SWITCH(R325,"KG",P325*S325,"CTN",P325,"UNIT",P325*N325,"NET",P325/M325,0),
"USD",_xlfn.SWITCH(R325,"KG",P325*S325*SI!$C$10,"CTN",P325*SI!$C$10,"UNIT",P325*N325*SI!$C$10,"NET",P325*SI!$C$10/M325,0),
"LKR",_xlfn.SWITCH(R325,"KG",P325*S325/SI!$C$9,"CTN",P325/SI!$C$9,"UNIT",P325*N325/SI!$C$9,"NET",P325/(M325*SI!$C$9),0),
0),
"")</f>
        <v/>
      </c>
      <c r="V325" s="87" t="str">
        <f t="shared" si="108"/>
        <v/>
      </c>
      <c r="W325" s="87" t="str">
        <f t="shared" si="109"/>
        <v/>
      </c>
      <c r="X325" s="88" t="str">
        <f t="shared" si="110"/>
        <v/>
      </c>
      <c r="Y325" s="24" t="str">
        <f t="shared" si="111"/>
        <v/>
      </c>
      <c r="Z325" s="267" t="str">
        <f>IF(AND(H325&lt;&gt;"yes",F325&lt;&gt;""),IFERROR(VLOOKUP(F325,DUTY_2025!A:F,5,FALSE),""),"")</f>
        <v/>
      </c>
      <c r="AA325" s="271" t="str">
        <f t="shared" si="112"/>
        <v/>
      </c>
      <c r="AB325" s="16" t="str">
        <f t="shared" si="113"/>
        <v/>
      </c>
      <c r="AC325" s="16" t="str">
        <f>IF(AA325&lt;&gt;"",ROUND(AA325*SI!$C$9,0),"")</f>
        <v/>
      </c>
      <c r="AD325" s="4" t="str">
        <f>IF(AC325&lt;&gt;"",ROUND(AC325/(SI!$C$9*SI!$C$10),2),"")</f>
        <v/>
      </c>
      <c r="AE325" s="30" t="str">
        <f>IF(AND(X325&lt;&gt;""), ROUND((SI!$E$23)*(X325/SUM($X$5:$X$493)),0),"")</f>
        <v/>
      </c>
      <c r="AF325" s="272" t="str">
        <f t="shared" si="114"/>
        <v/>
      </c>
      <c r="AG325" s="28" t="str">
        <f t="shared" si="115"/>
        <v/>
      </c>
      <c r="AH325" s="4" t="str">
        <f>IF(AD325&lt;&gt;"",ROUND(AD325*10*SI!$C$9/2,0),"")</f>
        <v/>
      </c>
      <c r="AI325" s="29" t="str">
        <f>IF(AND(X325&lt;&gt;""), ROUND((SI!$E$28)*(X325/SUM($X$5:$X$493)),0),"")</f>
        <v/>
      </c>
      <c r="AJ325" s="4" t="str">
        <f t="shared" si="116"/>
        <v/>
      </c>
      <c r="AK325" s="4" t="str">
        <f t="shared" si="117"/>
        <v/>
      </c>
      <c r="AL325" s="4" t="str">
        <f t="shared" si="118"/>
        <v/>
      </c>
      <c r="AM325" s="4" t="str">
        <f t="shared" si="119"/>
        <v/>
      </c>
      <c r="AN325" s="195" t="str">
        <f t="shared" si="120"/>
        <v/>
      </c>
      <c r="AO325" s="261" t="str">
        <f>IF(AND(AM325&lt;&gt;"",P325&lt;&gt;""),ROUND((AM325*((100+SI!$C$11)/100)),0),"")</f>
        <v/>
      </c>
      <c r="AP325" s="28" t="str">
        <f>IF(AG325&lt;&gt;"",ROUND(AG325/SI!$C$9,2),"")</f>
        <v/>
      </c>
      <c r="AQ325" s="4" t="str">
        <f>IF(AH325&lt;&gt;"",ROUND(AH325/SI!$C$9,2),"")</f>
        <v/>
      </c>
      <c r="AR325" s="29" t="str">
        <f>IF(AI325&lt;&gt;"",ROUND(AI325/SI!$C$9,2),"")</f>
        <v/>
      </c>
      <c r="AS325" s="4" t="str">
        <f t="shared" si="121"/>
        <v/>
      </c>
      <c r="AT325" s="4" t="str">
        <f t="shared" si="122"/>
        <v/>
      </c>
      <c r="AU325" s="4" t="str">
        <f>IF(AL325&lt;&gt;"",ROUND(AL325/SI!$C$9,2),"")</f>
        <v/>
      </c>
      <c r="AV325" s="4" t="str">
        <f>IF(AM325&lt;&gt;"",ROUND(AM325/SI!$C$9,2),"")</f>
        <v/>
      </c>
      <c r="AW325" s="4" t="str">
        <f>IF(AN325&lt;&gt;"",ROUND(AN325/SI!$C$9,2),"")</f>
        <v/>
      </c>
      <c r="AX325" s="261" t="str">
        <f>IF(AO325&lt;&gt;"",ROUND(AO325/SI!$C$9,2),"")</f>
        <v/>
      </c>
      <c r="AY325" s="28" t="str">
        <f t="shared" si="123"/>
        <v/>
      </c>
      <c r="AZ325" s="4" t="str">
        <f>IF(AY325&lt;&gt;"",ROUND(AY325/(SI!$C$9*SI!$C$10),2),"")</f>
        <v/>
      </c>
      <c r="BA325" s="4" t="str">
        <f t="shared" si="124"/>
        <v/>
      </c>
      <c r="BB325" s="4" t="str">
        <f t="shared" si="125"/>
        <v/>
      </c>
      <c r="BC325" s="4" t="str">
        <f t="shared" si="126"/>
        <v/>
      </c>
      <c r="BD325" s="4" t="str">
        <f t="shared" si="127"/>
        <v/>
      </c>
      <c r="BE325" s="4" t="str">
        <f>IF(AND(X325&lt;&gt;""),ROUND(X325/SI!$C$10,2),"")</f>
        <v/>
      </c>
      <c r="BF325" s="4" t="str">
        <f t="shared" si="129"/>
        <v/>
      </c>
      <c r="BG325" s="264" t="str">
        <f t="shared" si="128"/>
        <v/>
      </c>
      <c r="BH325" s="71" t="str">
        <f>IF(F325&lt;&gt;"",VLOOKUP(F325,DUTY_2025!A:O,15,FALSE),"")</f>
        <v/>
      </c>
    </row>
    <row r="326" spans="1:60" x14ac:dyDescent="0.25">
      <c r="A326" s="133">
        <f t="shared" ref="A326:A389" si="130">IF(AND(F326&lt;&gt;"",H326&lt;&gt;"YES"),IF(A325&lt;&gt;"",A325,0)+1,A325)</f>
        <v>66</v>
      </c>
      <c r="B326" s="83" t="str">
        <f t="shared" ref="B326:B389" si="131">IF(AND(F326&lt;&gt;"",H326&lt;&gt;"YES"),IF(B325&lt;&gt;"",B325,A325)+1,"")</f>
        <v/>
      </c>
      <c r="C326" s="126"/>
      <c r="D326" s="130"/>
      <c r="E326" s="22"/>
      <c r="F326" s="85"/>
      <c r="G326" s="27" t="str">
        <f>IF(F326&lt;&gt;"",IFERROR(VLOOKUP(F326,DUTY_2025!A:I,6,FALSE),""),"")</f>
        <v/>
      </c>
      <c r="H326" s="85" t="s">
        <v>133</v>
      </c>
      <c r="I326" s="27" t="str">
        <f>IF(F326&lt;&gt;"",IFERROR(VLOOKUP(F326,DUTY_2025!A:H,2,FALSE),""),"")</f>
        <v/>
      </c>
      <c r="J326" s="98"/>
      <c r="K326" s="98"/>
      <c r="L326" s="22"/>
      <c r="M326" s="22"/>
      <c r="N326" s="84"/>
      <c r="O326" s="22"/>
      <c r="P326" s="116"/>
      <c r="Q326" s="23"/>
      <c r="R326" s="27"/>
      <c r="S326" s="86" t="str">
        <f t="shared" ref="S326:S389" si="132">IF(AND(H326&lt;&gt;"YES",N326&lt;&gt;""),N326*L326/1000,"")</f>
        <v/>
      </c>
      <c r="T326" s="87" t="str">
        <f t="shared" ref="T326:T389" si="133">IF(S326&lt;&gt;"",S326*1.1,"")</f>
        <v/>
      </c>
      <c r="U326" s="87" t="str" cm="1">
        <f t="array" ref="U326">IF(AND(H326&lt;&gt;"YES",P326&lt;&gt;"",R326&lt;&gt;"",Q326&lt;&gt;""),
_xlfn.SWITCH(Q326,
"INR",_xlfn.SWITCH(R326,"KG",P326*S326,"CTN",P326,"UNIT",P326*N326,"NET",P326/M326,0),
"USD",_xlfn.SWITCH(R326,"KG",P326*S326*SI!$C$10,"CTN",P326*SI!$C$10,"UNIT",P326*N326*SI!$C$10,"NET",P326*SI!$C$10/M326,0),
"LKR",_xlfn.SWITCH(R326,"KG",P326*S326/SI!$C$9,"CTN",P326/SI!$C$9,"UNIT",P326*N326/SI!$C$9,"NET",P326/(M326*SI!$C$9),0),
0),
"")</f>
        <v/>
      </c>
      <c r="V326" s="87" t="str">
        <f t="shared" ref="V326:V389" si="134">IF(AND(S326&lt;&gt;"",M326&lt;&gt;"",N326&lt;&gt;""),S326*M326,"")</f>
        <v/>
      </c>
      <c r="W326" s="87" t="str">
        <f t="shared" ref="W326:W389" si="135">IF(V326&lt;&gt;"",V326*1.1,"")</f>
        <v/>
      </c>
      <c r="X326" s="88" t="str">
        <f t="shared" ref="X326:X389" si="136">IF(AND(U326&lt;&gt;"",M326&lt;&gt;""),U326*M326,"")</f>
        <v/>
      </c>
      <c r="Y326" s="24" t="str">
        <f t="shared" ref="Y326:Y389" si="137">IF(AND(H326&lt;&gt;"YES",M326&lt;&gt;"",N326&lt;&gt;""),IF(E326=1,(N326*M326)/2,N326*M326),"")</f>
        <v/>
      </c>
      <c r="Z326" s="267" t="str">
        <f>IF(AND(H326&lt;&gt;"yes",F326&lt;&gt;""),IFERROR(VLOOKUP(F326,DUTY_2025!A:F,5,FALSE),""),"")</f>
        <v/>
      </c>
      <c r="AA326" s="271" t="str">
        <f t="shared" ref="AA326:AA389" si="138">IF(B326&lt;&gt;"",IF(AND(X326&lt;&gt;"", O326&lt;&gt;""),IF(ROUND(X326*100/(100+O326),0)=0,"",ROUND(X326*100/(100+O326),0)),""),"")</f>
        <v/>
      </c>
      <c r="AB326" s="16" t="str">
        <f t="shared" ref="AB326:AB389" si="139">IF(M326&lt;&gt;"",IF(AND(X326&lt;&gt;"",AA326&lt;&gt;""),X326-AA326,""),"")</f>
        <v/>
      </c>
      <c r="AC326" s="16" t="str">
        <f>IF(AA326&lt;&gt;"",ROUND(AA326*SI!$C$9,0),"")</f>
        <v/>
      </c>
      <c r="AD326" s="4" t="str">
        <f>IF(AC326&lt;&gt;"",ROUND(AC326/(SI!$C$9*SI!$C$10),2),"")</f>
        <v/>
      </c>
      <c r="AE326" s="30" t="str">
        <f>IF(AND(X326&lt;&gt;""), ROUND((SI!$E$23)*(X326/SUM($X$5:$X$493)),0),"")</f>
        <v/>
      </c>
      <c r="AF326" s="272" t="str">
        <f t="shared" ref="AF326:AF389" si="140">IF(AND(AC326&lt;&gt;"",AE326&lt;&gt;""),ROUND(AC326+AE326,0),"")</f>
        <v/>
      </c>
      <c r="AG326" s="28" t="str">
        <f t="shared" ref="AG326:AG389" si="141">IF(AND(Z326&lt;&gt;"",V326&lt;&gt;""),Z326*V326,"")</f>
        <v/>
      </c>
      <c r="AH326" s="4" t="str">
        <f>IF(AD326&lt;&gt;"",ROUND(AD326*10*SI!$C$9/2,0),"")</f>
        <v/>
      </c>
      <c r="AI326" s="29" t="str">
        <f>IF(AND(X326&lt;&gt;""), ROUND((SI!$E$28)*(X326/SUM($X$5:$X$493)),0),"")</f>
        <v/>
      </c>
      <c r="AJ326" s="4" t="str">
        <f t="shared" ref="AJ326:AJ389" si="142">IF(AND(AG326&lt;&gt;"",AI326&lt;&gt;"",AH326&lt;&gt;""),AG326+AI326+AH326,"")</f>
        <v/>
      </c>
      <c r="AK326" s="4" t="str">
        <f t="shared" ref="AK326:AK389" si="143">IF(AND(AJ326&lt;&gt;"",Y326&lt;&gt;""),ROUND(AJ326/Y326,0),"")</f>
        <v/>
      </c>
      <c r="AL326" s="4" t="str">
        <f t="shared" ref="AL326:AL389" si="144">IF(AND(AC326&lt;&gt;"",Y326&lt;&gt;""),ROUND(AF326/Y326,0),"")</f>
        <v/>
      </c>
      <c r="AM326" s="4" t="str">
        <f t="shared" ref="AM326:AM389" si="145">IF(AND(AK326&lt;&gt;"",AL326&lt;&gt;""),AK326+AL326,"")</f>
        <v/>
      </c>
      <c r="AN326" s="195" t="str">
        <f t="shared" ref="AN326:AN389" si="146">IF(AND(AF326&lt;&gt;"",AG326&lt;&gt;"",AH326&lt;&gt;"",AI326&lt;&gt;""),AF326+AG326+AH326+AI326,"")</f>
        <v/>
      </c>
      <c r="AO326" s="261" t="str">
        <f>IF(AND(AM326&lt;&gt;"",P326&lt;&gt;""),ROUND((AM326*((100+SI!$C$11)/100)),0),"")</f>
        <v/>
      </c>
      <c r="AP326" s="28" t="str">
        <f>IF(AG326&lt;&gt;"",ROUND(AG326/SI!$C$9,2),"")</f>
        <v/>
      </c>
      <c r="AQ326" s="4" t="str">
        <f>IF(AH326&lt;&gt;"",ROUND(AH326/SI!$C$9,2),"")</f>
        <v/>
      </c>
      <c r="AR326" s="29" t="str">
        <f>IF(AI326&lt;&gt;"",ROUND(AI326/SI!$C$9,2),"")</f>
        <v/>
      </c>
      <c r="AS326" s="4" t="str">
        <f t="shared" ref="AS326:AS389" si="147">IF(AND(AP326&lt;&gt;"",AR326&lt;&gt;"",AQ326&lt;&gt;""),AP326+AR326+AQ326,"")</f>
        <v/>
      </c>
      <c r="AT326" s="4" t="str">
        <f t="shared" ref="AT326:AT389" si="148">IF(AND(AS326&lt;&gt;"",Y326&lt;&gt;""),ROUND(AS326/Y326,2),"")</f>
        <v/>
      </c>
      <c r="AU326" s="4" t="str">
        <f>IF(AL326&lt;&gt;"",ROUND(AL326/SI!$C$9,2),"")</f>
        <v/>
      </c>
      <c r="AV326" s="4" t="str">
        <f>IF(AM326&lt;&gt;"",ROUND(AM326/SI!$C$9,2),"")</f>
        <v/>
      </c>
      <c r="AW326" s="4" t="str">
        <f>IF(AN326&lt;&gt;"",ROUND(AN326/SI!$C$9,2),"")</f>
        <v/>
      </c>
      <c r="AX326" s="261" t="str">
        <f>IF(AO326&lt;&gt;"",ROUND(AO326/SI!$C$9,2),"")</f>
        <v/>
      </c>
      <c r="AY326" s="28" t="str">
        <f t="shared" ref="AY326:AY389" si="149">IF(AF326&lt;&gt;"",AF326,"")</f>
        <v/>
      </c>
      <c r="AZ326" s="4" t="str">
        <f>IF(AY326&lt;&gt;"",ROUND(AY326/(SI!$C$9*SI!$C$10),2),"")</f>
        <v/>
      </c>
      <c r="BA326" s="4" t="str">
        <f t="shared" ref="BA326:BA389" si="150">IF(AND(AY326&lt;&gt;"",BH326&lt;&gt;""),ROUND(AY326*BH326/100,2),"")</f>
        <v/>
      </c>
      <c r="BB326" s="4" t="str">
        <f t="shared" ref="BB326:BB389" si="151">IF(AND(AZ326&lt;&gt;"",BH326&lt;&gt;""),ROUND(AZ326*BH326/100,2),"")</f>
        <v/>
      </c>
      <c r="BC326" s="4" t="str">
        <f t="shared" ref="BC326:BC389" si="152">IF(AND(BB326&lt;&gt;"",Y326&lt;&gt;""),ROUND(BB326/Y326,3),"")</f>
        <v/>
      </c>
      <c r="BD326" s="4" t="str">
        <f t="shared" ref="BD326:BD389" si="153">IF(AND(BB326&lt;&gt;"",T326&lt;&gt;""),ROUND(BB326/V326,3),"")</f>
        <v/>
      </c>
      <c r="BE326" s="4" t="str">
        <f>IF(AND(X326&lt;&gt;""),ROUND(X326/SI!$C$10,2),"")</f>
        <v/>
      </c>
      <c r="BF326" s="4" t="str">
        <f t="shared" si="129"/>
        <v/>
      </c>
      <c r="BG326" s="264" t="str">
        <f t="shared" ref="BG326:BG389" si="154">IF(AND(BE326&lt;&gt;"",V326&lt;&gt;""),ROUND(BE326/V326,3),"")</f>
        <v/>
      </c>
      <c r="BH326" s="71" t="str">
        <f>IF(F326&lt;&gt;"",VLOOKUP(F326,DUTY_2025!A:O,15,FALSE),"")</f>
        <v/>
      </c>
    </row>
    <row r="327" spans="1:60" x14ac:dyDescent="0.25">
      <c r="A327" s="133">
        <f t="shared" si="130"/>
        <v>66</v>
      </c>
      <c r="B327" s="83" t="str">
        <f t="shared" si="131"/>
        <v/>
      </c>
      <c r="C327" s="126"/>
      <c r="D327" s="130"/>
      <c r="E327" s="22"/>
      <c r="F327" s="85"/>
      <c r="G327" s="27" t="str">
        <f>IF(F327&lt;&gt;"",IFERROR(VLOOKUP(F327,DUTY_2025!A:I,6,FALSE),""),"")</f>
        <v/>
      </c>
      <c r="H327" s="85" t="s">
        <v>133</v>
      </c>
      <c r="I327" s="27" t="str">
        <f>IF(F327&lt;&gt;"",IFERROR(VLOOKUP(F327,DUTY_2025!A:H,2,FALSE),""),"")</f>
        <v/>
      </c>
      <c r="J327" s="98"/>
      <c r="K327" s="98"/>
      <c r="L327" s="22"/>
      <c r="M327" s="22"/>
      <c r="N327" s="84"/>
      <c r="O327" s="22"/>
      <c r="P327" s="116"/>
      <c r="Q327" s="23"/>
      <c r="R327" s="27"/>
      <c r="S327" s="86" t="str">
        <f t="shared" si="132"/>
        <v/>
      </c>
      <c r="T327" s="87" t="str">
        <f t="shared" si="133"/>
        <v/>
      </c>
      <c r="U327" s="87" t="str" cm="1">
        <f t="array" ref="U327">IF(AND(H327&lt;&gt;"YES",P327&lt;&gt;"",R327&lt;&gt;"",Q327&lt;&gt;""),
_xlfn.SWITCH(Q327,
"INR",_xlfn.SWITCH(R327,"KG",P327*S327,"CTN",P327,"UNIT",P327*N327,"NET",P327/M327,0),
"USD",_xlfn.SWITCH(R327,"KG",P327*S327*SI!$C$10,"CTN",P327*SI!$C$10,"UNIT",P327*N327*SI!$C$10,"NET",P327*SI!$C$10/M327,0),
"LKR",_xlfn.SWITCH(R327,"KG",P327*S327/SI!$C$9,"CTN",P327/SI!$C$9,"UNIT",P327*N327/SI!$C$9,"NET",P327/(M327*SI!$C$9),0),
0),
"")</f>
        <v/>
      </c>
      <c r="V327" s="87" t="str">
        <f t="shared" si="134"/>
        <v/>
      </c>
      <c r="W327" s="87" t="str">
        <f t="shared" si="135"/>
        <v/>
      </c>
      <c r="X327" s="88" t="str">
        <f t="shared" si="136"/>
        <v/>
      </c>
      <c r="Y327" s="24" t="str">
        <f t="shared" si="137"/>
        <v/>
      </c>
      <c r="Z327" s="267" t="str">
        <f>IF(AND(H327&lt;&gt;"yes",F327&lt;&gt;""),IFERROR(VLOOKUP(F327,DUTY_2025!A:F,5,FALSE),""),"")</f>
        <v/>
      </c>
      <c r="AA327" s="271" t="str">
        <f t="shared" si="138"/>
        <v/>
      </c>
      <c r="AB327" s="16" t="str">
        <f t="shared" si="139"/>
        <v/>
      </c>
      <c r="AC327" s="16" t="str">
        <f>IF(AA327&lt;&gt;"",ROUND(AA327*SI!$C$9,0),"")</f>
        <v/>
      </c>
      <c r="AD327" s="4" t="str">
        <f>IF(AC327&lt;&gt;"",ROUND(AC327/(SI!$C$9*SI!$C$10),2),"")</f>
        <v/>
      </c>
      <c r="AE327" s="30" t="str">
        <f>IF(AND(X327&lt;&gt;""), ROUND((SI!$E$23)*(X327/SUM($X$5:$X$493)),0),"")</f>
        <v/>
      </c>
      <c r="AF327" s="272" t="str">
        <f t="shared" si="140"/>
        <v/>
      </c>
      <c r="AG327" s="28" t="str">
        <f t="shared" si="141"/>
        <v/>
      </c>
      <c r="AH327" s="4" t="str">
        <f>IF(AD327&lt;&gt;"",ROUND(AD327*10*SI!$C$9/2,0),"")</f>
        <v/>
      </c>
      <c r="AI327" s="29" t="str">
        <f>IF(AND(X327&lt;&gt;""), ROUND((SI!$E$28)*(X327/SUM($X$5:$X$493)),0),"")</f>
        <v/>
      </c>
      <c r="AJ327" s="4" t="str">
        <f t="shared" si="142"/>
        <v/>
      </c>
      <c r="AK327" s="4" t="str">
        <f t="shared" si="143"/>
        <v/>
      </c>
      <c r="AL327" s="4" t="str">
        <f t="shared" si="144"/>
        <v/>
      </c>
      <c r="AM327" s="4" t="str">
        <f t="shared" si="145"/>
        <v/>
      </c>
      <c r="AN327" s="195" t="str">
        <f t="shared" si="146"/>
        <v/>
      </c>
      <c r="AO327" s="261" t="str">
        <f>IF(AND(AM327&lt;&gt;"",P327&lt;&gt;""),ROUND((AM327*((100+SI!$C$11)/100)),0),"")</f>
        <v/>
      </c>
      <c r="AP327" s="28" t="str">
        <f>IF(AG327&lt;&gt;"",ROUND(AG327/SI!$C$9,2),"")</f>
        <v/>
      </c>
      <c r="AQ327" s="4" t="str">
        <f>IF(AH327&lt;&gt;"",ROUND(AH327/SI!$C$9,2),"")</f>
        <v/>
      </c>
      <c r="AR327" s="29" t="str">
        <f>IF(AI327&lt;&gt;"",ROUND(AI327/SI!$C$9,2),"")</f>
        <v/>
      </c>
      <c r="AS327" s="4" t="str">
        <f t="shared" si="147"/>
        <v/>
      </c>
      <c r="AT327" s="4" t="str">
        <f t="shared" si="148"/>
        <v/>
      </c>
      <c r="AU327" s="4" t="str">
        <f>IF(AL327&lt;&gt;"",ROUND(AL327/SI!$C$9,2),"")</f>
        <v/>
      </c>
      <c r="AV327" s="4" t="str">
        <f>IF(AM327&lt;&gt;"",ROUND(AM327/SI!$C$9,2),"")</f>
        <v/>
      </c>
      <c r="AW327" s="4" t="str">
        <f>IF(AN327&lt;&gt;"",ROUND(AN327/SI!$C$9,2),"")</f>
        <v/>
      </c>
      <c r="AX327" s="261" t="str">
        <f>IF(AO327&lt;&gt;"",ROUND(AO327/SI!$C$9,2),"")</f>
        <v/>
      </c>
      <c r="AY327" s="28" t="str">
        <f t="shared" si="149"/>
        <v/>
      </c>
      <c r="AZ327" s="4" t="str">
        <f>IF(AY327&lt;&gt;"",ROUND(AY327/(SI!$C$9*SI!$C$10),2),"")</f>
        <v/>
      </c>
      <c r="BA327" s="4" t="str">
        <f t="shared" si="150"/>
        <v/>
      </c>
      <c r="BB327" s="4" t="str">
        <f t="shared" si="151"/>
        <v/>
      </c>
      <c r="BC327" s="4" t="str">
        <f t="shared" si="152"/>
        <v/>
      </c>
      <c r="BD327" s="4" t="str">
        <f t="shared" si="153"/>
        <v/>
      </c>
      <c r="BE327" s="4" t="str">
        <f>IF(AND(X327&lt;&gt;""),ROUND(X327/SI!$C$10,2),"")</f>
        <v/>
      </c>
      <c r="BF327" s="4" t="str">
        <f t="shared" ref="BF327:BF390" si="155">IF(AND(BE327&lt;&gt;"",Y327&lt;&gt;""),ROUND(BE327/Y327,3),"")</f>
        <v/>
      </c>
      <c r="BG327" s="264" t="str">
        <f t="shared" si="154"/>
        <v/>
      </c>
      <c r="BH327" s="71" t="str">
        <f>IF(F327&lt;&gt;"",VLOOKUP(F327,DUTY_2025!A:O,15,FALSE),"")</f>
        <v/>
      </c>
    </row>
    <row r="328" spans="1:60" x14ac:dyDescent="0.25">
      <c r="A328" s="133">
        <f t="shared" si="130"/>
        <v>66</v>
      </c>
      <c r="B328" s="83" t="str">
        <f t="shared" si="131"/>
        <v/>
      </c>
      <c r="C328" s="126"/>
      <c r="D328" s="130"/>
      <c r="E328" s="22"/>
      <c r="F328" s="85"/>
      <c r="G328" s="27" t="str">
        <f>IF(F328&lt;&gt;"",IFERROR(VLOOKUP(F328,DUTY_2025!A:I,6,FALSE),""),"")</f>
        <v/>
      </c>
      <c r="H328" s="85" t="s">
        <v>133</v>
      </c>
      <c r="I328" s="27" t="str">
        <f>IF(F328&lt;&gt;"",IFERROR(VLOOKUP(F328,DUTY_2025!A:H,2,FALSE),""),"")</f>
        <v/>
      </c>
      <c r="J328" s="98"/>
      <c r="K328" s="98"/>
      <c r="L328" s="22"/>
      <c r="M328" s="22"/>
      <c r="N328" s="84"/>
      <c r="O328" s="22"/>
      <c r="P328" s="116"/>
      <c r="Q328" s="23"/>
      <c r="R328" s="27"/>
      <c r="S328" s="86" t="str">
        <f t="shared" si="132"/>
        <v/>
      </c>
      <c r="T328" s="87" t="str">
        <f t="shared" si="133"/>
        <v/>
      </c>
      <c r="U328" s="87" t="str" cm="1">
        <f t="array" ref="U328">IF(AND(H328&lt;&gt;"YES",P328&lt;&gt;"",R328&lt;&gt;"",Q328&lt;&gt;""),
_xlfn.SWITCH(Q328,
"INR",_xlfn.SWITCH(R328,"KG",P328*S328,"CTN",P328,"UNIT",P328*N328,"NET",P328/M328,0),
"USD",_xlfn.SWITCH(R328,"KG",P328*S328*SI!$C$10,"CTN",P328*SI!$C$10,"UNIT",P328*N328*SI!$C$10,"NET",P328*SI!$C$10/M328,0),
"LKR",_xlfn.SWITCH(R328,"KG",P328*S328/SI!$C$9,"CTN",P328/SI!$C$9,"UNIT",P328*N328/SI!$C$9,"NET",P328/(M328*SI!$C$9),0),
0),
"")</f>
        <v/>
      </c>
      <c r="V328" s="87" t="str">
        <f t="shared" si="134"/>
        <v/>
      </c>
      <c r="W328" s="87" t="str">
        <f t="shared" si="135"/>
        <v/>
      </c>
      <c r="X328" s="88" t="str">
        <f t="shared" si="136"/>
        <v/>
      </c>
      <c r="Y328" s="24" t="str">
        <f t="shared" si="137"/>
        <v/>
      </c>
      <c r="Z328" s="267" t="str">
        <f>IF(AND(H328&lt;&gt;"yes",F328&lt;&gt;""),IFERROR(VLOOKUP(F328,DUTY_2025!A:F,5,FALSE),""),"")</f>
        <v/>
      </c>
      <c r="AA328" s="271" t="str">
        <f t="shared" si="138"/>
        <v/>
      </c>
      <c r="AB328" s="16" t="str">
        <f t="shared" si="139"/>
        <v/>
      </c>
      <c r="AC328" s="16" t="str">
        <f>IF(AA328&lt;&gt;"",ROUND(AA328*SI!$C$9,0),"")</f>
        <v/>
      </c>
      <c r="AD328" s="4" t="str">
        <f>IF(AC328&lt;&gt;"",ROUND(AC328/(SI!$C$9*SI!$C$10),2),"")</f>
        <v/>
      </c>
      <c r="AE328" s="30" t="str">
        <f>IF(AND(X328&lt;&gt;""), ROUND((SI!$E$23)*(X328/SUM($X$5:$X$493)),0),"")</f>
        <v/>
      </c>
      <c r="AF328" s="272" t="str">
        <f t="shared" si="140"/>
        <v/>
      </c>
      <c r="AG328" s="28" t="str">
        <f t="shared" si="141"/>
        <v/>
      </c>
      <c r="AH328" s="4" t="str">
        <f>IF(AD328&lt;&gt;"",ROUND(AD328*10*SI!$C$9/2,0),"")</f>
        <v/>
      </c>
      <c r="AI328" s="29" t="str">
        <f>IF(AND(X328&lt;&gt;""), ROUND((SI!$E$28)*(X328/SUM($X$5:$X$493)),0),"")</f>
        <v/>
      </c>
      <c r="AJ328" s="4" t="str">
        <f t="shared" si="142"/>
        <v/>
      </c>
      <c r="AK328" s="4" t="str">
        <f t="shared" si="143"/>
        <v/>
      </c>
      <c r="AL328" s="4" t="str">
        <f t="shared" si="144"/>
        <v/>
      </c>
      <c r="AM328" s="4" t="str">
        <f t="shared" si="145"/>
        <v/>
      </c>
      <c r="AN328" s="195" t="str">
        <f t="shared" si="146"/>
        <v/>
      </c>
      <c r="AO328" s="261" t="str">
        <f>IF(AND(AM328&lt;&gt;"",P328&lt;&gt;""),ROUND((AM328*((100+SI!$C$11)/100)),0),"")</f>
        <v/>
      </c>
      <c r="AP328" s="28" t="str">
        <f>IF(AG328&lt;&gt;"",ROUND(AG328/SI!$C$9,2),"")</f>
        <v/>
      </c>
      <c r="AQ328" s="4" t="str">
        <f>IF(AH328&lt;&gt;"",ROUND(AH328/SI!$C$9,2),"")</f>
        <v/>
      </c>
      <c r="AR328" s="29" t="str">
        <f>IF(AI328&lt;&gt;"",ROUND(AI328/SI!$C$9,2),"")</f>
        <v/>
      </c>
      <c r="AS328" s="4" t="str">
        <f t="shared" si="147"/>
        <v/>
      </c>
      <c r="AT328" s="4" t="str">
        <f t="shared" si="148"/>
        <v/>
      </c>
      <c r="AU328" s="4" t="str">
        <f>IF(AL328&lt;&gt;"",ROUND(AL328/SI!$C$9,2),"")</f>
        <v/>
      </c>
      <c r="AV328" s="4" t="str">
        <f>IF(AM328&lt;&gt;"",ROUND(AM328/SI!$C$9,2),"")</f>
        <v/>
      </c>
      <c r="AW328" s="4" t="str">
        <f>IF(AN328&lt;&gt;"",ROUND(AN328/SI!$C$9,2),"")</f>
        <v/>
      </c>
      <c r="AX328" s="261" t="str">
        <f>IF(AO328&lt;&gt;"",ROUND(AO328/SI!$C$9,2),"")</f>
        <v/>
      </c>
      <c r="AY328" s="28" t="str">
        <f t="shared" si="149"/>
        <v/>
      </c>
      <c r="AZ328" s="4" t="str">
        <f>IF(AY328&lt;&gt;"",ROUND(AY328/(SI!$C$9*SI!$C$10),2),"")</f>
        <v/>
      </c>
      <c r="BA328" s="4" t="str">
        <f t="shared" si="150"/>
        <v/>
      </c>
      <c r="BB328" s="4" t="str">
        <f t="shared" si="151"/>
        <v/>
      </c>
      <c r="BC328" s="4" t="str">
        <f t="shared" si="152"/>
        <v/>
      </c>
      <c r="BD328" s="4" t="str">
        <f t="shared" si="153"/>
        <v/>
      </c>
      <c r="BE328" s="4" t="str">
        <f>IF(AND(X328&lt;&gt;""),ROUND(X328/SI!$C$10,2),"")</f>
        <v/>
      </c>
      <c r="BF328" s="4" t="str">
        <f t="shared" si="155"/>
        <v/>
      </c>
      <c r="BG328" s="264" t="str">
        <f t="shared" si="154"/>
        <v/>
      </c>
      <c r="BH328" s="71" t="str">
        <f>IF(F328&lt;&gt;"",VLOOKUP(F328,DUTY_2025!A:O,15,FALSE),"")</f>
        <v/>
      </c>
    </row>
    <row r="329" spans="1:60" x14ac:dyDescent="0.25">
      <c r="A329" s="133">
        <f t="shared" si="130"/>
        <v>66</v>
      </c>
      <c r="B329" s="83" t="str">
        <f t="shared" si="131"/>
        <v/>
      </c>
      <c r="C329" s="126"/>
      <c r="D329" s="130"/>
      <c r="E329" s="22"/>
      <c r="F329" s="85"/>
      <c r="G329" s="27" t="str">
        <f>IF(F329&lt;&gt;"",IFERROR(VLOOKUP(F329,DUTY_2025!A:I,6,FALSE),""),"")</f>
        <v/>
      </c>
      <c r="H329" s="85" t="s">
        <v>133</v>
      </c>
      <c r="I329" s="27" t="str">
        <f>IF(F329&lt;&gt;"",IFERROR(VLOOKUP(F329,DUTY_2025!A:H,2,FALSE),""),"")</f>
        <v/>
      </c>
      <c r="J329" s="98"/>
      <c r="K329" s="98"/>
      <c r="L329" s="22"/>
      <c r="M329" s="22"/>
      <c r="N329" s="84"/>
      <c r="O329" s="22"/>
      <c r="P329" s="116"/>
      <c r="Q329" s="23"/>
      <c r="R329" s="27"/>
      <c r="S329" s="86" t="str">
        <f t="shared" si="132"/>
        <v/>
      </c>
      <c r="T329" s="87" t="str">
        <f t="shared" si="133"/>
        <v/>
      </c>
      <c r="U329" s="87" t="str" cm="1">
        <f t="array" ref="U329">IF(AND(H329&lt;&gt;"YES",P329&lt;&gt;"",R329&lt;&gt;"",Q329&lt;&gt;""),
_xlfn.SWITCH(Q329,
"INR",_xlfn.SWITCH(R329,"KG",P329*S329,"CTN",P329,"UNIT",P329*N329,"NET",P329/M329,0),
"USD",_xlfn.SWITCH(R329,"KG",P329*S329*SI!$C$10,"CTN",P329*SI!$C$10,"UNIT",P329*N329*SI!$C$10,"NET",P329*SI!$C$10/M329,0),
"LKR",_xlfn.SWITCH(R329,"KG",P329*S329/SI!$C$9,"CTN",P329/SI!$C$9,"UNIT",P329*N329/SI!$C$9,"NET",P329/(M329*SI!$C$9),0),
0),
"")</f>
        <v/>
      </c>
      <c r="V329" s="87" t="str">
        <f t="shared" si="134"/>
        <v/>
      </c>
      <c r="W329" s="87" t="str">
        <f t="shared" si="135"/>
        <v/>
      </c>
      <c r="X329" s="88" t="str">
        <f t="shared" si="136"/>
        <v/>
      </c>
      <c r="Y329" s="24" t="str">
        <f t="shared" si="137"/>
        <v/>
      </c>
      <c r="Z329" s="267" t="str">
        <f>IF(AND(H329&lt;&gt;"yes",F329&lt;&gt;""),IFERROR(VLOOKUP(F329,DUTY_2025!A:F,5,FALSE),""),"")</f>
        <v/>
      </c>
      <c r="AA329" s="271" t="str">
        <f t="shared" si="138"/>
        <v/>
      </c>
      <c r="AB329" s="16" t="str">
        <f t="shared" si="139"/>
        <v/>
      </c>
      <c r="AC329" s="16" t="str">
        <f>IF(AA329&lt;&gt;"",ROUND(AA329*SI!$C$9,0),"")</f>
        <v/>
      </c>
      <c r="AD329" s="4" t="str">
        <f>IF(AC329&lt;&gt;"",ROUND(AC329/(SI!$C$9*SI!$C$10),2),"")</f>
        <v/>
      </c>
      <c r="AE329" s="30" t="str">
        <f>IF(AND(X329&lt;&gt;""), ROUND((SI!$E$23)*(X329/SUM($X$5:$X$493)),0),"")</f>
        <v/>
      </c>
      <c r="AF329" s="272" t="str">
        <f t="shared" si="140"/>
        <v/>
      </c>
      <c r="AG329" s="28" t="str">
        <f t="shared" si="141"/>
        <v/>
      </c>
      <c r="AH329" s="4" t="str">
        <f>IF(AD329&lt;&gt;"",ROUND(AD329*10*SI!$C$9/2,0),"")</f>
        <v/>
      </c>
      <c r="AI329" s="29" t="str">
        <f>IF(AND(X329&lt;&gt;""), ROUND((SI!$E$28)*(X329/SUM($X$5:$X$493)),0),"")</f>
        <v/>
      </c>
      <c r="AJ329" s="4" t="str">
        <f t="shared" si="142"/>
        <v/>
      </c>
      <c r="AK329" s="4" t="str">
        <f t="shared" si="143"/>
        <v/>
      </c>
      <c r="AL329" s="4" t="str">
        <f t="shared" si="144"/>
        <v/>
      </c>
      <c r="AM329" s="4" t="str">
        <f t="shared" si="145"/>
        <v/>
      </c>
      <c r="AN329" s="195" t="str">
        <f t="shared" si="146"/>
        <v/>
      </c>
      <c r="AO329" s="261" t="str">
        <f>IF(AND(AM329&lt;&gt;"",P329&lt;&gt;""),ROUND((AM329*((100+SI!$C$11)/100)),0),"")</f>
        <v/>
      </c>
      <c r="AP329" s="28" t="str">
        <f>IF(AG329&lt;&gt;"",ROUND(AG329/SI!$C$9,2),"")</f>
        <v/>
      </c>
      <c r="AQ329" s="4" t="str">
        <f>IF(AH329&lt;&gt;"",ROUND(AH329/SI!$C$9,2),"")</f>
        <v/>
      </c>
      <c r="AR329" s="29" t="str">
        <f>IF(AI329&lt;&gt;"",ROUND(AI329/SI!$C$9,2),"")</f>
        <v/>
      </c>
      <c r="AS329" s="4" t="str">
        <f t="shared" si="147"/>
        <v/>
      </c>
      <c r="AT329" s="4" t="str">
        <f t="shared" si="148"/>
        <v/>
      </c>
      <c r="AU329" s="4" t="str">
        <f>IF(AL329&lt;&gt;"",ROUND(AL329/SI!$C$9,2),"")</f>
        <v/>
      </c>
      <c r="AV329" s="4" t="str">
        <f>IF(AM329&lt;&gt;"",ROUND(AM329/SI!$C$9,2),"")</f>
        <v/>
      </c>
      <c r="AW329" s="4" t="str">
        <f>IF(AN329&lt;&gt;"",ROUND(AN329/SI!$C$9,2),"")</f>
        <v/>
      </c>
      <c r="AX329" s="261" t="str">
        <f>IF(AO329&lt;&gt;"",ROUND(AO329/SI!$C$9,2),"")</f>
        <v/>
      </c>
      <c r="AY329" s="28" t="str">
        <f t="shared" si="149"/>
        <v/>
      </c>
      <c r="AZ329" s="4" t="str">
        <f>IF(AY329&lt;&gt;"",ROUND(AY329/(SI!$C$9*SI!$C$10),2),"")</f>
        <v/>
      </c>
      <c r="BA329" s="4" t="str">
        <f t="shared" si="150"/>
        <v/>
      </c>
      <c r="BB329" s="4" t="str">
        <f t="shared" si="151"/>
        <v/>
      </c>
      <c r="BC329" s="4" t="str">
        <f t="shared" si="152"/>
        <v/>
      </c>
      <c r="BD329" s="4" t="str">
        <f t="shared" si="153"/>
        <v/>
      </c>
      <c r="BE329" s="4" t="str">
        <f>IF(AND(X329&lt;&gt;""),ROUND(X329/SI!$C$10,2),"")</f>
        <v/>
      </c>
      <c r="BF329" s="4" t="str">
        <f t="shared" si="155"/>
        <v/>
      </c>
      <c r="BG329" s="264" t="str">
        <f t="shared" si="154"/>
        <v/>
      </c>
      <c r="BH329" s="71" t="str">
        <f>IF(F329&lt;&gt;"",VLOOKUP(F329,DUTY_2025!A:O,15,FALSE),"")</f>
        <v/>
      </c>
    </row>
    <row r="330" spans="1:60" x14ac:dyDescent="0.25">
      <c r="A330" s="133">
        <f t="shared" si="130"/>
        <v>66</v>
      </c>
      <c r="B330" s="83" t="str">
        <f t="shared" si="131"/>
        <v/>
      </c>
      <c r="C330" s="126"/>
      <c r="D330" s="130"/>
      <c r="E330" s="22"/>
      <c r="F330" s="85"/>
      <c r="G330" s="27" t="str">
        <f>IF(F330&lt;&gt;"",IFERROR(VLOOKUP(F330,DUTY_2025!A:I,6,FALSE),""),"")</f>
        <v/>
      </c>
      <c r="H330" s="85" t="s">
        <v>133</v>
      </c>
      <c r="I330" s="27" t="str">
        <f>IF(F330&lt;&gt;"",IFERROR(VLOOKUP(F330,DUTY_2025!A:H,2,FALSE),""),"")</f>
        <v/>
      </c>
      <c r="J330" s="98"/>
      <c r="K330" s="98"/>
      <c r="L330" s="22"/>
      <c r="M330" s="22"/>
      <c r="N330" s="84"/>
      <c r="O330" s="22"/>
      <c r="P330" s="116"/>
      <c r="Q330" s="23"/>
      <c r="R330" s="27"/>
      <c r="S330" s="86" t="str">
        <f t="shared" si="132"/>
        <v/>
      </c>
      <c r="T330" s="87" t="str">
        <f t="shared" si="133"/>
        <v/>
      </c>
      <c r="U330" s="87" t="str" cm="1">
        <f t="array" ref="U330">IF(AND(H330&lt;&gt;"YES",P330&lt;&gt;"",R330&lt;&gt;"",Q330&lt;&gt;""),
_xlfn.SWITCH(Q330,
"INR",_xlfn.SWITCH(R330,"KG",P330*S330,"CTN",P330,"UNIT",P330*N330,"NET",P330/M330,0),
"USD",_xlfn.SWITCH(R330,"KG",P330*S330*SI!$C$10,"CTN",P330*SI!$C$10,"UNIT",P330*N330*SI!$C$10,"NET",P330*SI!$C$10/M330,0),
"LKR",_xlfn.SWITCH(R330,"KG",P330*S330/SI!$C$9,"CTN",P330/SI!$C$9,"UNIT",P330*N330/SI!$C$9,"NET",P330/(M330*SI!$C$9),0),
0),
"")</f>
        <v/>
      </c>
      <c r="V330" s="87" t="str">
        <f t="shared" si="134"/>
        <v/>
      </c>
      <c r="W330" s="87" t="str">
        <f t="shared" si="135"/>
        <v/>
      </c>
      <c r="X330" s="88" t="str">
        <f t="shared" si="136"/>
        <v/>
      </c>
      <c r="Y330" s="24" t="str">
        <f t="shared" si="137"/>
        <v/>
      </c>
      <c r="Z330" s="267" t="str">
        <f>IF(AND(H330&lt;&gt;"yes",F330&lt;&gt;""),IFERROR(VLOOKUP(F330,DUTY_2025!A:F,5,FALSE),""),"")</f>
        <v/>
      </c>
      <c r="AA330" s="271" t="str">
        <f t="shared" si="138"/>
        <v/>
      </c>
      <c r="AB330" s="16" t="str">
        <f t="shared" si="139"/>
        <v/>
      </c>
      <c r="AC330" s="16" t="str">
        <f>IF(AA330&lt;&gt;"",ROUND(AA330*SI!$C$9,0),"")</f>
        <v/>
      </c>
      <c r="AD330" s="4" t="str">
        <f>IF(AC330&lt;&gt;"",ROUND(AC330/(SI!$C$9*SI!$C$10),2),"")</f>
        <v/>
      </c>
      <c r="AE330" s="30" t="str">
        <f>IF(AND(X330&lt;&gt;""), ROUND((SI!$E$23)*(X330/SUM($X$5:$X$493)),0),"")</f>
        <v/>
      </c>
      <c r="AF330" s="272" t="str">
        <f t="shared" si="140"/>
        <v/>
      </c>
      <c r="AG330" s="28" t="str">
        <f t="shared" si="141"/>
        <v/>
      </c>
      <c r="AH330" s="4" t="str">
        <f>IF(AD330&lt;&gt;"",ROUND(AD330*10*SI!$C$9/2,0),"")</f>
        <v/>
      </c>
      <c r="AI330" s="29" t="str">
        <f>IF(AND(X330&lt;&gt;""), ROUND((SI!$E$28)*(X330/SUM($X$5:$X$493)),0),"")</f>
        <v/>
      </c>
      <c r="AJ330" s="4" t="str">
        <f t="shared" si="142"/>
        <v/>
      </c>
      <c r="AK330" s="4" t="str">
        <f t="shared" si="143"/>
        <v/>
      </c>
      <c r="AL330" s="4" t="str">
        <f t="shared" si="144"/>
        <v/>
      </c>
      <c r="AM330" s="4" t="str">
        <f t="shared" si="145"/>
        <v/>
      </c>
      <c r="AN330" s="195" t="str">
        <f t="shared" si="146"/>
        <v/>
      </c>
      <c r="AO330" s="261" t="str">
        <f>IF(AND(AM330&lt;&gt;"",P330&lt;&gt;""),ROUND((AM330*((100+SI!$C$11)/100)),0),"")</f>
        <v/>
      </c>
      <c r="AP330" s="28" t="str">
        <f>IF(AG330&lt;&gt;"",ROUND(AG330/SI!$C$9,2),"")</f>
        <v/>
      </c>
      <c r="AQ330" s="4" t="str">
        <f>IF(AH330&lt;&gt;"",ROUND(AH330/SI!$C$9,2),"")</f>
        <v/>
      </c>
      <c r="AR330" s="29" t="str">
        <f>IF(AI330&lt;&gt;"",ROUND(AI330/SI!$C$9,2),"")</f>
        <v/>
      </c>
      <c r="AS330" s="4" t="str">
        <f t="shared" si="147"/>
        <v/>
      </c>
      <c r="AT330" s="4" t="str">
        <f t="shared" si="148"/>
        <v/>
      </c>
      <c r="AU330" s="4" t="str">
        <f>IF(AL330&lt;&gt;"",ROUND(AL330/SI!$C$9,2),"")</f>
        <v/>
      </c>
      <c r="AV330" s="4" t="str">
        <f>IF(AM330&lt;&gt;"",ROUND(AM330/SI!$C$9,2),"")</f>
        <v/>
      </c>
      <c r="AW330" s="4" t="str">
        <f>IF(AN330&lt;&gt;"",ROUND(AN330/SI!$C$9,2),"")</f>
        <v/>
      </c>
      <c r="AX330" s="261" t="str">
        <f>IF(AO330&lt;&gt;"",ROUND(AO330/SI!$C$9,2),"")</f>
        <v/>
      </c>
      <c r="AY330" s="28" t="str">
        <f t="shared" si="149"/>
        <v/>
      </c>
      <c r="AZ330" s="4" t="str">
        <f>IF(AY330&lt;&gt;"",ROUND(AY330/(SI!$C$9*SI!$C$10),2),"")</f>
        <v/>
      </c>
      <c r="BA330" s="4" t="str">
        <f t="shared" si="150"/>
        <v/>
      </c>
      <c r="BB330" s="4" t="str">
        <f t="shared" si="151"/>
        <v/>
      </c>
      <c r="BC330" s="4" t="str">
        <f t="shared" si="152"/>
        <v/>
      </c>
      <c r="BD330" s="4" t="str">
        <f t="shared" si="153"/>
        <v/>
      </c>
      <c r="BE330" s="4" t="str">
        <f>IF(AND(X330&lt;&gt;""),ROUND(X330/SI!$C$10,2),"")</f>
        <v/>
      </c>
      <c r="BF330" s="4" t="str">
        <f t="shared" si="155"/>
        <v/>
      </c>
      <c r="BG330" s="264" t="str">
        <f t="shared" si="154"/>
        <v/>
      </c>
      <c r="BH330" s="71" t="str">
        <f>IF(F330&lt;&gt;"",VLOOKUP(F330,DUTY_2025!A:O,15,FALSE),"")</f>
        <v/>
      </c>
    </row>
    <row r="331" spans="1:60" x14ac:dyDescent="0.25">
      <c r="A331" s="133">
        <f t="shared" si="130"/>
        <v>66</v>
      </c>
      <c r="B331" s="83" t="str">
        <f t="shared" si="131"/>
        <v/>
      </c>
      <c r="C331" s="126"/>
      <c r="D331" s="130"/>
      <c r="E331" s="22"/>
      <c r="F331" s="85"/>
      <c r="G331" s="27" t="str">
        <f>IF(F331&lt;&gt;"",IFERROR(VLOOKUP(F331,DUTY_2025!A:I,6,FALSE),""),"")</f>
        <v/>
      </c>
      <c r="H331" s="85" t="s">
        <v>133</v>
      </c>
      <c r="I331" s="27" t="str">
        <f>IF(F331&lt;&gt;"",IFERROR(VLOOKUP(F331,DUTY_2025!A:H,2,FALSE),""),"")</f>
        <v/>
      </c>
      <c r="J331" s="98"/>
      <c r="K331" s="98"/>
      <c r="L331" s="22"/>
      <c r="M331" s="22"/>
      <c r="N331" s="84"/>
      <c r="O331" s="22"/>
      <c r="P331" s="116"/>
      <c r="Q331" s="23"/>
      <c r="R331" s="27"/>
      <c r="S331" s="86" t="str">
        <f t="shared" si="132"/>
        <v/>
      </c>
      <c r="T331" s="87" t="str">
        <f t="shared" si="133"/>
        <v/>
      </c>
      <c r="U331" s="87" t="str" cm="1">
        <f t="array" ref="U331">IF(AND(H331&lt;&gt;"YES",P331&lt;&gt;"",R331&lt;&gt;"",Q331&lt;&gt;""),
_xlfn.SWITCH(Q331,
"INR",_xlfn.SWITCH(R331,"KG",P331*S331,"CTN",P331,"UNIT",P331*N331,"NET",P331/M331,0),
"USD",_xlfn.SWITCH(R331,"KG",P331*S331*SI!$C$10,"CTN",P331*SI!$C$10,"UNIT",P331*N331*SI!$C$10,"NET",P331*SI!$C$10/M331,0),
"LKR",_xlfn.SWITCH(R331,"KG",P331*S331/SI!$C$9,"CTN",P331/SI!$C$9,"UNIT",P331*N331/SI!$C$9,"NET",P331/(M331*SI!$C$9),0),
0),
"")</f>
        <v/>
      </c>
      <c r="V331" s="87" t="str">
        <f t="shared" si="134"/>
        <v/>
      </c>
      <c r="W331" s="87" t="str">
        <f t="shared" si="135"/>
        <v/>
      </c>
      <c r="X331" s="88" t="str">
        <f t="shared" si="136"/>
        <v/>
      </c>
      <c r="Y331" s="24" t="str">
        <f t="shared" si="137"/>
        <v/>
      </c>
      <c r="Z331" s="267" t="str">
        <f>IF(AND(H331&lt;&gt;"yes",F331&lt;&gt;""),IFERROR(VLOOKUP(F331,DUTY_2025!A:F,5,FALSE),""),"")</f>
        <v/>
      </c>
      <c r="AA331" s="271" t="str">
        <f t="shared" si="138"/>
        <v/>
      </c>
      <c r="AB331" s="16" t="str">
        <f t="shared" si="139"/>
        <v/>
      </c>
      <c r="AC331" s="16" t="str">
        <f>IF(AA331&lt;&gt;"",ROUND(AA331*SI!$C$9,0),"")</f>
        <v/>
      </c>
      <c r="AD331" s="4" t="str">
        <f>IF(AC331&lt;&gt;"",ROUND(AC331/(SI!$C$9*SI!$C$10),2),"")</f>
        <v/>
      </c>
      <c r="AE331" s="30" t="str">
        <f>IF(AND(X331&lt;&gt;""), ROUND((SI!$E$23)*(X331/SUM($X$5:$X$493)),0),"")</f>
        <v/>
      </c>
      <c r="AF331" s="272" t="str">
        <f t="shared" si="140"/>
        <v/>
      </c>
      <c r="AG331" s="28" t="str">
        <f t="shared" si="141"/>
        <v/>
      </c>
      <c r="AH331" s="4" t="str">
        <f>IF(AD331&lt;&gt;"",ROUND(AD331*10*SI!$C$9/2,0),"")</f>
        <v/>
      </c>
      <c r="AI331" s="29" t="str">
        <f>IF(AND(X331&lt;&gt;""), ROUND((SI!$E$28)*(X331/SUM($X$5:$X$493)),0),"")</f>
        <v/>
      </c>
      <c r="AJ331" s="4" t="str">
        <f t="shared" si="142"/>
        <v/>
      </c>
      <c r="AK331" s="4" t="str">
        <f t="shared" si="143"/>
        <v/>
      </c>
      <c r="AL331" s="4" t="str">
        <f t="shared" si="144"/>
        <v/>
      </c>
      <c r="AM331" s="4" t="str">
        <f t="shared" si="145"/>
        <v/>
      </c>
      <c r="AN331" s="195" t="str">
        <f t="shared" si="146"/>
        <v/>
      </c>
      <c r="AO331" s="261" t="str">
        <f>IF(AND(AM331&lt;&gt;"",P331&lt;&gt;""),ROUND((AM331*((100+SI!$C$11)/100)),0),"")</f>
        <v/>
      </c>
      <c r="AP331" s="28" t="str">
        <f>IF(AG331&lt;&gt;"",ROUND(AG331/SI!$C$9,2),"")</f>
        <v/>
      </c>
      <c r="AQ331" s="4" t="str">
        <f>IF(AH331&lt;&gt;"",ROUND(AH331/SI!$C$9,2),"")</f>
        <v/>
      </c>
      <c r="AR331" s="29" t="str">
        <f>IF(AI331&lt;&gt;"",ROUND(AI331/SI!$C$9,2),"")</f>
        <v/>
      </c>
      <c r="AS331" s="4" t="str">
        <f t="shared" si="147"/>
        <v/>
      </c>
      <c r="AT331" s="4" t="str">
        <f t="shared" si="148"/>
        <v/>
      </c>
      <c r="AU331" s="4" t="str">
        <f>IF(AL331&lt;&gt;"",ROUND(AL331/SI!$C$9,2),"")</f>
        <v/>
      </c>
      <c r="AV331" s="4" t="str">
        <f>IF(AM331&lt;&gt;"",ROUND(AM331/SI!$C$9,2),"")</f>
        <v/>
      </c>
      <c r="AW331" s="4" t="str">
        <f>IF(AN331&lt;&gt;"",ROUND(AN331/SI!$C$9,2),"")</f>
        <v/>
      </c>
      <c r="AX331" s="261" t="str">
        <f>IF(AO331&lt;&gt;"",ROUND(AO331/SI!$C$9,2),"")</f>
        <v/>
      </c>
      <c r="AY331" s="28" t="str">
        <f t="shared" si="149"/>
        <v/>
      </c>
      <c r="AZ331" s="4" t="str">
        <f>IF(AY331&lt;&gt;"",ROUND(AY331/(SI!$C$9*SI!$C$10),2),"")</f>
        <v/>
      </c>
      <c r="BA331" s="4" t="str">
        <f t="shared" si="150"/>
        <v/>
      </c>
      <c r="BB331" s="4" t="str">
        <f t="shared" si="151"/>
        <v/>
      </c>
      <c r="BC331" s="4" t="str">
        <f t="shared" si="152"/>
        <v/>
      </c>
      <c r="BD331" s="4" t="str">
        <f t="shared" si="153"/>
        <v/>
      </c>
      <c r="BE331" s="4" t="str">
        <f>IF(AND(X331&lt;&gt;""),ROUND(X331/SI!$C$10,2),"")</f>
        <v/>
      </c>
      <c r="BF331" s="4" t="str">
        <f t="shared" si="155"/>
        <v/>
      </c>
      <c r="BG331" s="264" t="str">
        <f t="shared" si="154"/>
        <v/>
      </c>
      <c r="BH331" s="71" t="str">
        <f>IF(F331&lt;&gt;"",VLOOKUP(F331,DUTY_2025!A:O,15,FALSE),"")</f>
        <v/>
      </c>
    </row>
    <row r="332" spans="1:60" x14ac:dyDescent="0.25">
      <c r="A332" s="133">
        <f t="shared" si="130"/>
        <v>66</v>
      </c>
      <c r="B332" s="83" t="str">
        <f t="shared" si="131"/>
        <v/>
      </c>
      <c r="C332" s="126"/>
      <c r="D332" s="130"/>
      <c r="E332" s="22"/>
      <c r="F332" s="85"/>
      <c r="G332" s="27" t="str">
        <f>IF(F332&lt;&gt;"",IFERROR(VLOOKUP(F332,DUTY_2025!A:I,6,FALSE),""),"")</f>
        <v/>
      </c>
      <c r="H332" s="85" t="s">
        <v>133</v>
      </c>
      <c r="I332" s="27" t="str">
        <f>IF(F332&lt;&gt;"",IFERROR(VLOOKUP(F332,DUTY_2025!A:H,2,FALSE),""),"")</f>
        <v/>
      </c>
      <c r="J332" s="98"/>
      <c r="K332" s="98"/>
      <c r="L332" s="22"/>
      <c r="M332" s="22"/>
      <c r="N332" s="84"/>
      <c r="O332" s="22"/>
      <c r="P332" s="116"/>
      <c r="Q332" s="23"/>
      <c r="R332" s="27"/>
      <c r="S332" s="86" t="str">
        <f t="shared" si="132"/>
        <v/>
      </c>
      <c r="T332" s="87" t="str">
        <f t="shared" si="133"/>
        <v/>
      </c>
      <c r="U332" s="87" t="str" cm="1">
        <f t="array" ref="U332">IF(AND(H332&lt;&gt;"YES",P332&lt;&gt;"",R332&lt;&gt;"",Q332&lt;&gt;""),
_xlfn.SWITCH(Q332,
"INR",_xlfn.SWITCH(R332,"KG",P332*S332,"CTN",P332,"UNIT",P332*N332,"NET",P332/M332,0),
"USD",_xlfn.SWITCH(R332,"KG",P332*S332*SI!$C$10,"CTN",P332*SI!$C$10,"UNIT",P332*N332*SI!$C$10,"NET",P332*SI!$C$10/M332,0),
"LKR",_xlfn.SWITCH(R332,"KG",P332*S332/SI!$C$9,"CTN",P332/SI!$C$9,"UNIT",P332*N332/SI!$C$9,"NET",P332/(M332*SI!$C$9),0),
0),
"")</f>
        <v/>
      </c>
      <c r="V332" s="87" t="str">
        <f t="shared" si="134"/>
        <v/>
      </c>
      <c r="W332" s="87" t="str">
        <f t="shared" si="135"/>
        <v/>
      </c>
      <c r="X332" s="88" t="str">
        <f t="shared" si="136"/>
        <v/>
      </c>
      <c r="Y332" s="24" t="str">
        <f t="shared" si="137"/>
        <v/>
      </c>
      <c r="Z332" s="267" t="str">
        <f>IF(AND(H332&lt;&gt;"yes",F332&lt;&gt;""),IFERROR(VLOOKUP(F332,DUTY_2025!A:F,5,FALSE),""),"")</f>
        <v/>
      </c>
      <c r="AA332" s="271" t="str">
        <f t="shared" si="138"/>
        <v/>
      </c>
      <c r="AB332" s="16" t="str">
        <f t="shared" si="139"/>
        <v/>
      </c>
      <c r="AC332" s="16" t="str">
        <f>IF(AA332&lt;&gt;"",ROUND(AA332*SI!$C$9,0),"")</f>
        <v/>
      </c>
      <c r="AD332" s="4" t="str">
        <f>IF(AC332&lt;&gt;"",ROUND(AC332/(SI!$C$9*SI!$C$10),2),"")</f>
        <v/>
      </c>
      <c r="AE332" s="30" t="str">
        <f>IF(AND(X332&lt;&gt;""), ROUND((SI!$E$23)*(X332/SUM($X$5:$X$493)),0),"")</f>
        <v/>
      </c>
      <c r="AF332" s="272" t="str">
        <f t="shared" si="140"/>
        <v/>
      </c>
      <c r="AG332" s="28" t="str">
        <f t="shared" si="141"/>
        <v/>
      </c>
      <c r="AH332" s="4" t="str">
        <f>IF(AD332&lt;&gt;"",ROUND(AD332*10*SI!$C$9/2,0),"")</f>
        <v/>
      </c>
      <c r="AI332" s="29" t="str">
        <f>IF(AND(X332&lt;&gt;""), ROUND((SI!$E$28)*(X332/SUM($X$5:$X$493)),0),"")</f>
        <v/>
      </c>
      <c r="AJ332" s="4" t="str">
        <f t="shared" si="142"/>
        <v/>
      </c>
      <c r="AK332" s="4" t="str">
        <f t="shared" si="143"/>
        <v/>
      </c>
      <c r="AL332" s="4" t="str">
        <f t="shared" si="144"/>
        <v/>
      </c>
      <c r="AM332" s="4" t="str">
        <f t="shared" si="145"/>
        <v/>
      </c>
      <c r="AN332" s="195" t="str">
        <f t="shared" si="146"/>
        <v/>
      </c>
      <c r="AO332" s="261" t="str">
        <f>IF(AND(AM332&lt;&gt;"",P332&lt;&gt;""),ROUND((AM332*((100+SI!$C$11)/100)),0),"")</f>
        <v/>
      </c>
      <c r="AP332" s="28" t="str">
        <f>IF(AG332&lt;&gt;"",ROUND(AG332/SI!$C$9,2),"")</f>
        <v/>
      </c>
      <c r="AQ332" s="4" t="str">
        <f>IF(AH332&lt;&gt;"",ROUND(AH332/SI!$C$9,2),"")</f>
        <v/>
      </c>
      <c r="AR332" s="29" t="str">
        <f>IF(AI332&lt;&gt;"",ROUND(AI332/SI!$C$9,2),"")</f>
        <v/>
      </c>
      <c r="AS332" s="4" t="str">
        <f t="shared" si="147"/>
        <v/>
      </c>
      <c r="AT332" s="4" t="str">
        <f t="shared" si="148"/>
        <v/>
      </c>
      <c r="AU332" s="4" t="str">
        <f>IF(AL332&lt;&gt;"",ROUND(AL332/SI!$C$9,2),"")</f>
        <v/>
      </c>
      <c r="AV332" s="4" t="str">
        <f>IF(AM332&lt;&gt;"",ROUND(AM332/SI!$C$9,2),"")</f>
        <v/>
      </c>
      <c r="AW332" s="4" t="str">
        <f>IF(AN332&lt;&gt;"",ROUND(AN332/SI!$C$9,2),"")</f>
        <v/>
      </c>
      <c r="AX332" s="261" t="str">
        <f>IF(AO332&lt;&gt;"",ROUND(AO332/SI!$C$9,2),"")</f>
        <v/>
      </c>
      <c r="AY332" s="28" t="str">
        <f t="shared" si="149"/>
        <v/>
      </c>
      <c r="AZ332" s="4" t="str">
        <f>IF(AY332&lt;&gt;"",ROUND(AY332/(SI!$C$9*SI!$C$10),2),"")</f>
        <v/>
      </c>
      <c r="BA332" s="4" t="str">
        <f t="shared" si="150"/>
        <v/>
      </c>
      <c r="BB332" s="4" t="str">
        <f t="shared" si="151"/>
        <v/>
      </c>
      <c r="BC332" s="4" t="str">
        <f t="shared" si="152"/>
        <v/>
      </c>
      <c r="BD332" s="4" t="str">
        <f t="shared" si="153"/>
        <v/>
      </c>
      <c r="BE332" s="4" t="str">
        <f>IF(AND(X332&lt;&gt;""),ROUND(X332/SI!$C$10,2),"")</f>
        <v/>
      </c>
      <c r="BF332" s="4" t="str">
        <f t="shared" si="155"/>
        <v/>
      </c>
      <c r="BG332" s="264" t="str">
        <f t="shared" si="154"/>
        <v/>
      </c>
      <c r="BH332" s="71" t="str">
        <f>IF(F332&lt;&gt;"",VLOOKUP(F332,DUTY_2025!A:O,15,FALSE),"")</f>
        <v/>
      </c>
    </row>
    <row r="333" spans="1:60" x14ac:dyDescent="0.25">
      <c r="A333" s="133">
        <f t="shared" si="130"/>
        <v>66</v>
      </c>
      <c r="B333" s="83" t="str">
        <f t="shared" si="131"/>
        <v/>
      </c>
      <c r="C333" s="126"/>
      <c r="D333" s="130"/>
      <c r="E333" s="22"/>
      <c r="F333" s="85"/>
      <c r="G333" s="27" t="str">
        <f>IF(F333&lt;&gt;"",IFERROR(VLOOKUP(F333,DUTY_2025!A:I,6,FALSE),""),"")</f>
        <v/>
      </c>
      <c r="H333" s="85" t="s">
        <v>133</v>
      </c>
      <c r="I333" s="27" t="str">
        <f>IF(F333&lt;&gt;"",IFERROR(VLOOKUP(F333,DUTY_2025!A:H,2,FALSE),""),"")</f>
        <v/>
      </c>
      <c r="J333" s="98"/>
      <c r="K333" s="98"/>
      <c r="L333" s="22"/>
      <c r="M333" s="22"/>
      <c r="N333" s="84"/>
      <c r="O333" s="22"/>
      <c r="P333" s="116"/>
      <c r="Q333" s="23"/>
      <c r="R333" s="27"/>
      <c r="S333" s="86" t="str">
        <f t="shared" si="132"/>
        <v/>
      </c>
      <c r="T333" s="87" t="str">
        <f t="shared" si="133"/>
        <v/>
      </c>
      <c r="U333" s="87" t="str" cm="1">
        <f t="array" ref="U333">IF(AND(H333&lt;&gt;"YES",P333&lt;&gt;"",R333&lt;&gt;"",Q333&lt;&gt;""),
_xlfn.SWITCH(Q333,
"INR",_xlfn.SWITCH(R333,"KG",P333*S333,"CTN",P333,"UNIT",P333*N333,"NET",P333/M333,0),
"USD",_xlfn.SWITCH(R333,"KG",P333*S333*SI!$C$10,"CTN",P333*SI!$C$10,"UNIT",P333*N333*SI!$C$10,"NET",P333*SI!$C$10/M333,0),
"LKR",_xlfn.SWITCH(R333,"KG",P333*S333/SI!$C$9,"CTN",P333/SI!$C$9,"UNIT",P333*N333/SI!$C$9,"NET",P333/(M333*SI!$C$9),0),
0),
"")</f>
        <v/>
      </c>
      <c r="V333" s="87" t="str">
        <f t="shared" si="134"/>
        <v/>
      </c>
      <c r="W333" s="87" t="str">
        <f t="shared" si="135"/>
        <v/>
      </c>
      <c r="X333" s="88" t="str">
        <f t="shared" si="136"/>
        <v/>
      </c>
      <c r="Y333" s="24" t="str">
        <f t="shared" si="137"/>
        <v/>
      </c>
      <c r="Z333" s="267" t="str">
        <f>IF(AND(H333&lt;&gt;"yes",F333&lt;&gt;""),IFERROR(VLOOKUP(F333,DUTY_2025!A:F,5,FALSE),""),"")</f>
        <v/>
      </c>
      <c r="AA333" s="271" t="str">
        <f t="shared" si="138"/>
        <v/>
      </c>
      <c r="AB333" s="16" t="str">
        <f t="shared" si="139"/>
        <v/>
      </c>
      <c r="AC333" s="16" t="str">
        <f>IF(AA333&lt;&gt;"",ROUND(AA333*SI!$C$9,0),"")</f>
        <v/>
      </c>
      <c r="AD333" s="4" t="str">
        <f>IF(AC333&lt;&gt;"",ROUND(AC333/(SI!$C$9*SI!$C$10),2),"")</f>
        <v/>
      </c>
      <c r="AE333" s="30" t="str">
        <f>IF(AND(X333&lt;&gt;""), ROUND((SI!$E$23)*(X333/SUM($X$5:$X$493)),0),"")</f>
        <v/>
      </c>
      <c r="AF333" s="272" t="str">
        <f t="shared" si="140"/>
        <v/>
      </c>
      <c r="AG333" s="28" t="str">
        <f t="shared" si="141"/>
        <v/>
      </c>
      <c r="AH333" s="4" t="str">
        <f>IF(AD333&lt;&gt;"",ROUND(AD333*10*SI!$C$9/2,0),"")</f>
        <v/>
      </c>
      <c r="AI333" s="29" t="str">
        <f>IF(AND(X333&lt;&gt;""), ROUND((SI!$E$28)*(X333/SUM($X$5:$X$493)),0),"")</f>
        <v/>
      </c>
      <c r="AJ333" s="4" t="str">
        <f t="shared" si="142"/>
        <v/>
      </c>
      <c r="AK333" s="4" t="str">
        <f t="shared" si="143"/>
        <v/>
      </c>
      <c r="AL333" s="4" t="str">
        <f t="shared" si="144"/>
        <v/>
      </c>
      <c r="AM333" s="4" t="str">
        <f t="shared" si="145"/>
        <v/>
      </c>
      <c r="AN333" s="195" t="str">
        <f t="shared" si="146"/>
        <v/>
      </c>
      <c r="AO333" s="261" t="str">
        <f>IF(AND(AM333&lt;&gt;"",P333&lt;&gt;""),ROUND((AM333*((100+SI!$C$11)/100)),0),"")</f>
        <v/>
      </c>
      <c r="AP333" s="28" t="str">
        <f>IF(AG333&lt;&gt;"",ROUND(AG333/SI!$C$9,2),"")</f>
        <v/>
      </c>
      <c r="AQ333" s="4" t="str">
        <f>IF(AH333&lt;&gt;"",ROUND(AH333/SI!$C$9,2),"")</f>
        <v/>
      </c>
      <c r="AR333" s="29" t="str">
        <f>IF(AI333&lt;&gt;"",ROUND(AI333/SI!$C$9,2),"")</f>
        <v/>
      </c>
      <c r="AS333" s="4" t="str">
        <f t="shared" si="147"/>
        <v/>
      </c>
      <c r="AT333" s="4" t="str">
        <f t="shared" si="148"/>
        <v/>
      </c>
      <c r="AU333" s="4" t="str">
        <f>IF(AL333&lt;&gt;"",ROUND(AL333/SI!$C$9,2),"")</f>
        <v/>
      </c>
      <c r="AV333" s="4" t="str">
        <f>IF(AM333&lt;&gt;"",ROUND(AM333/SI!$C$9,2),"")</f>
        <v/>
      </c>
      <c r="AW333" s="4" t="str">
        <f>IF(AN333&lt;&gt;"",ROUND(AN333/SI!$C$9,2),"")</f>
        <v/>
      </c>
      <c r="AX333" s="261" t="str">
        <f>IF(AO333&lt;&gt;"",ROUND(AO333/SI!$C$9,2),"")</f>
        <v/>
      </c>
      <c r="AY333" s="28" t="str">
        <f t="shared" si="149"/>
        <v/>
      </c>
      <c r="AZ333" s="4" t="str">
        <f>IF(AY333&lt;&gt;"",ROUND(AY333/(SI!$C$9*SI!$C$10),2),"")</f>
        <v/>
      </c>
      <c r="BA333" s="4" t="str">
        <f t="shared" si="150"/>
        <v/>
      </c>
      <c r="BB333" s="4" t="str">
        <f t="shared" si="151"/>
        <v/>
      </c>
      <c r="BC333" s="4" t="str">
        <f t="shared" si="152"/>
        <v/>
      </c>
      <c r="BD333" s="4" t="str">
        <f t="shared" si="153"/>
        <v/>
      </c>
      <c r="BE333" s="4" t="str">
        <f>IF(AND(X333&lt;&gt;""),ROUND(X333/SI!$C$10,2),"")</f>
        <v/>
      </c>
      <c r="BF333" s="4" t="str">
        <f t="shared" si="155"/>
        <v/>
      </c>
      <c r="BG333" s="264" t="str">
        <f t="shared" si="154"/>
        <v/>
      </c>
      <c r="BH333" s="71" t="str">
        <f>IF(F333&lt;&gt;"",VLOOKUP(F333,DUTY_2025!A:O,15,FALSE),"")</f>
        <v/>
      </c>
    </row>
    <row r="334" spans="1:60" x14ac:dyDescent="0.25">
      <c r="A334" s="133">
        <f t="shared" si="130"/>
        <v>66</v>
      </c>
      <c r="B334" s="83" t="str">
        <f t="shared" si="131"/>
        <v/>
      </c>
      <c r="C334" s="126"/>
      <c r="D334" s="130"/>
      <c r="E334" s="22"/>
      <c r="F334" s="85"/>
      <c r="G334" s="27" t="str">
        <f>IF(F334&lt;&gt;"",IFERROR(VLOOKUP(F334,DUTY_2025!A:I,6,FALSE),""),"")</f>
        <v/>
      </c>
      <c r="H334" s="85" t="s">
        <v>133</v>
      </c>
      <c r="I334" s="27" t="str">
        <f>IF(F334&lt;&gt;"",IFERROR(VLOOKUP(F334,DUTY_2025!A:H,2,FALSE),""),"")</f>
        <v/>
      </c>
      <c r="J334" s="98"/>
      <c r="K334" s="98"/>
      <c r="L334" s="22"/>
      <c r="M334" s="22"/>
      <c r="N334" s="84"/>
      <c r="O334" s="22"/>
      <c r="P334" s="116"/>
      <c r="Q334" s="23"/>
      <c r="R334" s="27"/>
      <c r="S334" s="86" t="str">
        <f t="shared" si="132"/>
        <v/>
      </c>
      <c r="T334" s="87" t="str">
        <f t="shared" si="133"/>
        <v/>
      </c>
      <c r="U334" s="87" t="str" cm="1">
        <f t="array" ref="U334">IF(AND(H334&lt;&gt;"YES",P334&lt;&gt;"",R334&lt;&gt;"",Q334&lt;&gt;""),
_xlfn.SWITCH(Q334,
"INR",_xlfn.SWITCH(R334,"KG",P334*S334,"CTN",P334,"UNIT",P334*N334,"NET",P334/M334,0),
"USD",_xlfn.SWITCH(R334,"KG",P334*S334*SI!$C$10,"CTN",P334*SI!$C$10,"UNIT",P334*N334*SI!$C$10,"NET",P334*SI!$C$10/M334,0),
"LKR",_xlfn.SWITCH(R334,"KG",P334*S334/SI!$C$9,"CTN",P334/SI!$C$9,"UNIT",P334*N334/SI!$C$9,"NET",P334/(M334*SI!$C$9),0),
0),
"")</f>
        <v/>
      </c>
      <c r="V334" s="87" t="str">
        <f t="shared" si="134"/>
        <v/>
      </c>
      <c r="W334" s="87" t="str">
        <f t="shared" si="135"/>
        <v/>
      </c>
      <c r="X334" s="88" t="str">
        <f t="shared" si="136"/>
        <v/>
      </c>
      <c r="Y334" s="24" t="str">
        <f t="shared" si="137"/>
        <v/>
      </c>
      <c r="Z334" s="267" t="str">
        <f>IF(AND(H334&lt;&gt;"yes",F334&lt;&gt;""),IFERROR(VLOOKUP(F334,DUTY_2025!A:F,5,FALSE),""),"")</f>
        <v/>
      </c>
      <c r="AA334" s="271" t="str">
        <f t="shared" si="138"/>
        <v/>
      </c>
      <c r="AB334" s="16" t="str">
        <f t="shared" si="139"/>
        <v/>
      </c>
      <c r="AC334" s="16" t="str">
        <f>IF(AA334&lt;&gt;"",ROUND(AA334*SI!$C$9,0),"")</f>
        <v/>
      </c>
      <c r="AD334" s="4" t="str">
        <f>IF(AC334&lt;&gt;"",ROUND(AC334/(SI!$C$9*SI!$C$10),2),"")</f>
        <v/>
      </c>
      <c r="AE334" s="30" t="str">
        <f>IF(AND(X334&lt;&gt;""), ROUND((SI!$E$23)*(X334/SUM($X$5:$X$493)),0),"")</f>
        <v/>
      </c>
      <c r="AF334" s="272" t="str">
        <f t="shared" si="140"/>
        <v/>
      </c>
      <c r="AG334" s="28" t="str">
        <f t="shared" si="141"/>
        <v/>
      </c>
      <c r="AH334" s="4" t="str">
        <f>IF(AD334&lt;&gt;"",ROUND(AD334*10*SI!$C$9/2,0),"")</f>
        <v/>
      </c>
      <c r="AI334" s="29" t="str">
        <f>IF(AND(X334&lt;&gt;""), ROUND((SI!$E$28)*(X334/SUM($X$5:$X$493)),0),"")</f>
        <v/>
      </c>
      <c r="AJ334" s="4" t="str">
        <f t="shared" si="142"/>
        <v/>
      </c>
      <c r="AK334" s="4" t="str">
        <f t="shared" si="143"/>
        <v/>
      </c>
      <c r="AL334" s="4" t="str">
        <f t="shared" si="144"/>
        <v/>
      </c>
      <c r="AM334" s="4" t="str">
        <f t="shared" si="145"/>
        <v/>
      </c>
      <c r="AN334" s="195" t="str">
        <f t="shared" si="146"/>
        <v/>
      </c>
      <c r="AO334" s="261" t="str">
        <f>IF(AND(AM334&lt;&gt;"",P334&lt;&gt;""),ROUND((AM334*((100+SI!$C$11)/100)),0),"")</f>
        <v/>
      </c>
      <c r="AP334" s="28" t="str">
        <f>IF(AG334&lt;&gt;"",ROUND(AG334/SI!$C$9,2),"")</f>
        <v/>
      </c>
      <c r="AQ334" s="4" t="str">
        <f>IF(AH334&lt;&gt;"",ROUND(AH334/SI!$C$9,2),"")</f>
        <v/>
      </c>
      <c r="AR334" s="29" t="str">
        <f>IF(AI334&lt;&gt;"",ROUND(AI334/SI!$C$9,2),"")</f>
        <v/>
      </c>
      <c r="AS334" s="4" t="str">
        <f t="shared" si="147"/>
        <v/>
      </c>
      <c r="AT334" s="4" t="str">
        <f t="shared" si="148"/>
        <v/>
      </c>
      <c r="AU334" s="4" t="str">
        <f>IF(AL334&lt;&gt;"",ROUND(AL334/SI!$C$9,2),"")</f>
        <v/>
      </c>
      <c r="AV334" s="4" t="str">
        <f>IF(AM334&lt;&gt;"",ROUND(AM334/SI!$C$9,2),"")</f>
        <v/>
      </c>
      <c r="AW334" s="4" t="str">
        <f>IF(AN334&lt;&gt;"",ROUND(AN334/SI!$C$9,2),"")</f>
        <v/>
      </c>
      <c r="AX334" s="261" t="str">
        <f>IF(AO334&lt;&gt;"",ROUND(AO334/SI!$C$9,2),"")</f>
        <v/>
      </c>
      <c r="AY334" s="28" t="str">
        <f t="shared" si="149"/>
        <v/>
      </c>
      <c r="AZ334" s="4" t="str">
        <f>IF(AY334&lt;&gt;"",ROUND(AY334/(SI!$C$9*SI!$C$10),2),"")</f>
        <v/>
      </c>
      <c r="BA334" s="4" t="str">
        <f t="shared" si="150"/>
        <v/>
      </c>
      <c r="BB334" s="4" t="str">
        <f t="shared" si="151"/>
        <v/>
      </c>
      <c r="BC334" s="4" t="str">
        <f t="shared" si="152"/>
        <v/>
      </c>
      <c r="BD334" s="4" t="str">
        <f t="shared" si="153"/>
        <v/>
      </c>
      <c r="BE334" s="4" t="str">
        <f>IF(AND(X334&lt;&gt;""),ROUND(X334/SI!$C$10,2),"")</f>
        <v/>
      </c>
      <c r="BF334" s="4" t="str">
        <f t="shared" si="155"/>
        <v/>
      </c>
      <c r="BG334" s="264" t="str">
        <f t="shared" si="154"/>
        <v/>
      </c>
      <c r="BH334" s="71" t="str">
        <f>IF(F334&lt;&gt;"",VLOOKUP(F334,DUTY_2025!A:O,15,FALSE),"")</f>
        <v/>
      </c>
    </row>
    <row r="335" spans="1:60" x14ac:dyDescent="0.25">
      <c r="A335" s="133">
        <f t="shared" si="130"/>
        <v>66</v>
      </c>
      <c r="B335" s="83" t="str">
        <f t="shared" si="131"/>
        <v/>
      </c>
      <c r="C335" s="126"/>
      <c r="D335" s="130"/>
      <c r="E335" s="22"/>
      <c r="F335" s="85"/>
      <c r="G335" s="27" t="str">
        <f>IF(F335&lt;&gt;"",IFERROR(VLOOKUP(F335,DUTY_2025!A:I,6,FALSE),""),"")</f>
        <v/>
      </c>
      <c r="H335" s="85" t="s">
        <v>133</v>
      </c>
      <c r="I335" s="27" t="str">
        <f>IF(F335&lt;&gt;"",IFERROR(VLOOKUP(F335,DUTY_2025!A:H,2,FALSE),""),"")</f>
        <v/>
      </c>
      <c r="J335" s="98"/>
      <c r="K335" s="98"/>
      <c r="L335" s="22"/>
      <c r="M335" s="22"/>
      <c r="N335" s="84"/>
      <c r="O335" s="22"/>
      <c r="P335" s="116"/>
      <c r="Q335" s="23"/>
      <c r="R335" s="27"/>
      <c r="S335" s="86" t="str">
        <f t="shared" si="132"/>
        <v/>
      </c>
      <c r="T335" s="87" t="str">
        <f t="shared" si="133"/>
        <v/>
      </c>
      <c r="U335" s="87" t="str" cm="1">
        <f t="array" ref="U335">IF(AND(H335&lt;&gt;"YES",P335&lt;&gt;"",R335&lt;&gt;"",Q335&lt;&gt;""),
_xlfn.SWITCH(Q335,
"INR",_xlfn.SWITCH(R335,"KG",P335*S335,"CTN",P335,"UNIT",P335*N335,"NET",P335/M335,0),
"USD",_xlfn.SWITCH(R335,"KG",P335*S335*SI!$C$10,"CTN",P335*SI!$C$10,"UNIT",P335*N335*SI!$C$10,"NET",P335*SI!$C$10/M335,0),
"LKR",_xlfn.SWITCH(R335,"KG",P335*S335/SI!$C$9,"CTN",P335/SI!$C$9,"UNIT",P335*N335/SI!$C$9,"NET",P335/(M335*SI!$C$9),0),
0),
"")</f>
        <v/>
      </c>
      <c r="V335" s="87" t="str">
        <f t="shared" si="134"/>
        <v/>
      </c>
      <c r="W335" s="87" t="str">
        <f t="shared" si="135"/>
        <v/>
      </c>
      <c r="X335" s="88" t="str">
        <f t="shared" si="136"/>
        <v/>
      </c>
      <c r="Y335" s="24" t="str">
        <f t="shared" si="137"/>
        <v/>
      </c>
      <c r="Z335" s="267" t="str">
        <f>IF(AND(H335&lt;&gt;"yes",F335&lt;&gt;""),IFERROR(VLOOKUP(F335,DUTY_2025!A:F,5,FALSE),""),"")</f>
        <v/>
      </c>
      <c r="AA335" s="271" t="str">
        <f t="shared" si="138"/>
        <v/>
      </c>
      <c r="AB335" s="16" t="str">
        <f t="shared" si="139"/>
        <v/>
      </c>
      <c r="AC335" s="16" t="str">
        <f>IF(AA335&lt;&gt;"",ROUND(AA335*SI!$C$9,0),"")</f>
        <v/>
      </c>
      <c r="AD335" s="4" t="str">
        <f>IF(AC335&lt;&gt;"",ROUND(AC335/(SI!$C$9*SI!$C$10),2),"")</f>
        <v/>
      </c>
      <c r="AE335" s="30" t="str">
        <f>IF(AND(X335&lt;&gt;""), ROUND((SI!$E$23)*(X335/SUM($X$5:$X$493)),0),"")</f>
        <v/>
      </c>
      <c r="AF335" s="272" t="str">
        <f t="shared" si="140"/>
        <v/>
      </c>
      <c r="AG335" s="28" t="str">
        <f t="shared" si="141"/>
        <v/>
      </c>
      <c r="AH335" s="4" t="str">
        <f>IF(AD335&lt;&gt;"",ROUND(AD335*10*SI!$C$9/2,0),"")</f>
        <v/>
      </c>
      <c r="AI335" s="29" t="str">
        <f>IF(AND(X335&lt;&gt;""), ROUND((SI!$E$28)*(X335/SUM($X$5:$X$493)),0),"")</f>
        <v/>
      </c>
      <c r="AJ335" s="4" t="str">
        <f t="shared" si="142"/>
        <v/>
      </c>
      <c r="AK335" s="4" t="str">
        <f t="shared" si="143"/>
        <v/>
      </c>
      <c r="AL335" s="4" t="str">
        <f t="shared" si="144"/>
        <v/>
      </c>
      <c r="AM335" s="4" t="str">
        <f t="shared" si="145"/>
        <v/>
      </c>
      <c r="AN335" s="195" t="str">
        <f t="shared" si="146"/>
        <v/>
      </c>
      <c r="AO335" s="261" t="str">
        <f>IF(AND(AM335&lt;&gt;"",P335&lt;&gt;""),ROUND((AM335*((100+SI!$C$11)/100)),0),"")</f>
        <v/>
      </c>
      <c r="AP335" s="28" t="str">
        <f>IF(AG335&lt;&gt;"",ROUND(AG335/SI!$C$9,2),"")</f>
        <v/>
      </c>
      <c r="AQ335" s="4" t="str">
        <f>IF(AH335&lt;&gt;"",ROUND(AH335/SI!$C$9,2),"")</f>
        <v/>
      </c>
      <c r="AR335" s="29" t="str">
        <f>IF(AI335&lt;&gt;"",ROUND(AI335/SI!$C$9,2),"")</f>
        <v/>
      </c>
      <c r="AS335" s="4" t="str">
        <f t="shared" si="147"/>
        <v/>
      </c>
      <c r="AT335" s="4" t="str">
        <f t="shared" si="148"/>
        <v/>
      </c>
      <c r="AU335" s="4" t="str">
        <f>IF(AL335&lt;&gt;"",ROUND(AL335/SI!$C$9,2),"")</f>
        <v/>
      </c>
      <c r="AV335" s="4" t="str">
        <f>IF(AM335&lt;&gt;"",ROUND(AM335/SI!$C$9,2),"")</f>
        <v/>
      </c>
      <c r="AW335" s="4" t="str">
        <f>IF(AN335&lt;&gt;"",ROUND(AN335/SI!$C$9,2),"")</f>
        <v/>
      </c>
      <c r="AX335" s="261" t="str">
        <f>IF(AO335&lt;&gt;"",ROUND(AO335/SI!$C$9,2),"")</f>
        <v/>
      </c>
      <c r="AY335" s="28" t="str">
        <f t="shared" si="149"/>
        <v/>
      </c>
      <c r="AZ335" s="4" t="str">
        <f>IF(AY335&lt;&gt;"",ROUND(AY335/(SI!$C$9*SI!$C$10),2),"")</f>
        <v/>
      </c>
      <c r="BA335" s="4" t="str">
        <f t="shared" si="150"/>
        <v/>
      </c>
      <c r="BB335" s="4" t="str">
        <f t="shared" si="151"/>
        <v/>
      </c>
      <c r="BC335" s="4" t="str">
        <f t="shared" si="152"/>
        <v/>
      </c>
      <c r="BD335" s="4" t="str">
        <f t="shared" si="153"/>
        <v/>
      </c>
      <c r="BE335" s="4" t="str">
        <f>IF(AND(X335&lt;&gt;""),ROUND(X335/SI!$C$10,2),"")</f>
        <v/>
      </c>
      <c r="BF335" s="4" t="str">
        <f t="shared" si="155"/>
        <v/>
      </c>
      <c r="BG335" s="264" t="str">
        <f t="shared" si="154"/>
        <v/>
      </c>
      <c r="BH335" s="71" t="str">
        <f>IF(F335&lt;&gt;"",VLOOKUP(F335,DUTY_2025!A:O,15,FALSE),"")</f>
        <v/>
      </c>
    </row>
    <row r="336" spans="1:60" x14ac:dyDescent="0.25">
      <c r="A336" s="133">
        <f t="shared" si="130"/>
        <v>66</v>
      </c>
      <c r="B336" s="83" t="str">
        <f t="shared" si="131"/>
        <v/>
      </c>
      <c r="C336" s="126"/>
      <c r="D336" s="130"/>
      <c r="E336" s="22"/>
      <c r="F336" s="85"/>
      <c r="G336" s="27" t="str">
        <f>IF(F336&lt;&gt;"",IFERROR(VLOOKUP(F336,DUTY_2025!A:I,6,FALSE),""),"")</f>
        <v/>
      </c>
      <c r="H336" s="85" t="s">
        <v>133</v>
      </c>
      <c r="I336" s="27" t="str">
        <f>IF(F336&lt;&gt;"",IFERROR(VLOOKUP(F336,DUTY_2025!A:H,2,FALSE),""),"")</f>
        <v/>
      </c>
      <c r="J336" s="98"/>
      <c r="K336" s="98"/>
      <c r="L336" s="22"/>
      <c r="M336" s="22"/>
      <c r="N336" s="84"/>
      <c r="O336" s="22"/>
      <c r="P336" s="116"/>
      <c r="Q336" s="23"/>
      <c r="R336" s="27"/>
      <c r="S336" s="86" t="str">
        <f t="shared" si="132"/>
        <v/>
      </c>
      <c r="T336" s="87" t="str">
        <f t="shared" si="133"/>
        <v/>
      </c>
      <c r="U336" s="87" t="str" cm="1">
        <f t="array" ref="U336">IF(AND(H336&lt;&gt;"YES",P336&lt;&gt;"",R336&lt;&gt;"",Q336&lt;&gt;""),
_xlfn.SWITCH(Q336,
"INR",_xlfn.SWITCH(R336,"KG",P336*S336,"CTN",P336,"UNIT",P336*N336,"NET",P336/M336,0),
"USD",_xlfn.SWITCH(R336,"KG",P336*S336*SI!$C$10,"CTN",P336*SI!$C$10,"UNIT",P336*N336*SI!$C$10,"NET",P336*SI!$C$10/M336,0),
"LKR",_xlfn.SWITCH(R336,"KG",P336*S336/SI!$C$9,"CTN",P336/SI!$C$9,"UNIT",P336*N336/SI!$C$9,"NET",P336/(M336*SI!$C$9),0),
0),
"")</f>
        <v/>
      </c>
      <c r="V336" s="87" t="str">
        <f t="shared" si="134"/>
        <v/>
      </c>
      <c r="W336" s="87" t="str">
        <f t="shared" si="135"/>
        <v/>
      </c>
      <c r="X336" s="88" t="str">
        <f t="shared" si="136"/>
        <v/>
      </c>
      <c r="Y336" s="24" t="str">
        <f t="shared" si="137"/>
        <v/>
      </c>
      <c r="Z336" s="267" t="str">
        <f>IF(AND(H336&lt;&gt;"yes",F336&lt;&gt;""),IFERROR(VLOOKUP(F336,DUTY_2025!A:F,5,FALSE),""),"")</f>
        <v/>
      </c>
      <c r="AA336" s="271" t="str">
        <f t="shared" si="138"/>
        <v/>
      </c>
      <c r="AB336" s="16" t="str">
        <f t="shared" si="139"/>
        <v/>
      </c>
      <c r="AC336" s="16" t="str">
        <f>IF(AA336&lt;&gt;"",ROUND(AA336*SI!$C$9,0),"")</f>
        <v/>
      </c>
      <c r="AD336" s="4" t="str">
        <f>IF(AC336&lt;&gt;"",ROUND(AC336/(SI!$C$9*SI!$C$10),2),"")</f>
        <v/>
      </c>
      <c r="AE336" s="30" t="str">
        <f>IF(AND(X336&lt;&gt;""), ROUND((SI!$E$23)*(X336/SUM($X$5:$X$493)),0),"")</f>
        <v/>
      </c>
      <c r="AF336" s="272" t="str">
        <f t="shared" si="140"/>
        <v/>
      </c>
      <c r="AG336" s="28" t="str">
        <f t="shared" si="141"/>
        <v/>
      </c>
      <c r="AH336" s="4" t="str">
        <f>IF(AD336&lt;&gt;"",ROUND(AD336*10*SI!$C$9/2,0),"")</f>
        <v/>
      </c>
      <c r="AI336" s="29" t="str">
        <f>IF(AND(X336&lt;&gt;""), ROUND((SI!$E$28)*(X336/SUM($X$5:$X$493)),0),"")</f>
        <v/>
      </c>
      <c r="AJ336" s="4" t="str">
        <f t="shared" si="142"/>
        <v/>
      </c>
      <c r="AK336" s="4" t="str">
        <f t="shared" si="143"/>
        <v/>
      </c>
      <c r="AL336" s="4" t="str">
        <f t="shared" si="144"/>
        <v/>
      </c>
      <c r="AM336" s="4" t="str">
        <f t="shared" si="145"/>
        <v/>
      </c>
      <c r="AN336" s="195" t="str">
        <f t="shared" si="146"/>
        <v/>
      </c>
      <c r="AO336" s="261" t="str">
        <f>IF(AND(AM336&lt;&gt;"",P336&lt;&gt;""),ROUND((AM336*((100+SI!$C$11)/100)),0),"")</f>
        <v/>
      </c>
      <c r="AP336" s="28" t="str">
        <f>IF(AG336&lt;&gt;"",ROUND(AG336/SI!$C$9,2),"")</f>
        <v/>
      </c>
      <c r="AQ336" s="4" t="str">
        <f>IF(AH336&lt;&gt;"",ROUND(AH336/SI!$C$9,2),"")</f>
        <v/>
      </c>
      <c r="AR336" s="29" t="str">
        <f>IF(AI336&lt;&gt;"",ROUND(AI336/SI!$C$9,2),"")</f>
        <v/>
      </c>
      <c r="AS336" s="4" t="str">
        <f t="shared" si="147"/>
        <v/>
      </c>
      <c r="AT336" s="4" t="str">
        <f t="shared" si="148"/>
        <v/>
      </c>
      <c r="AU336" s="4" t="str">
        <f>IF(AL336&lt;&gt;"",ROUND(AL336/SI!$C$9,2),"")</f>
        <v/>
      </c>
      <c r="AV336" s="4" t="str">
        <f>IF(AM336&lt;&gt;"",ROUND(AM336/SI!$C$9,2),"")</f>
        <v/>
      </c>
      <c r="AW336" s="4" t="str">
        <f>IF(AN336&lt;&gt;"",ROUND(AN336/SI!$C$9,2),"")</f>
        <v/>
      </c>
      <c r="AX336" s="261" t="str">
        <f>IF(AO336&lt;&gt;"",ROUND(AO336/SI!$C$9,2),"")</f>
        <v/>
      </c>
      <c r="AY336" s="28" t="str">
        <f t="shared" si="149"/>
        <v/>
      </c>
      <c r="AZ336" s="4" t="str">
        <f>IF(AY336&lt;&gt;"",ROUND(AY336/(SI!$C$9*SI!$C$10),2),"")</f>
        <v/>
      </c>
      <c r="BA336" s="4" t="str">
        <f t="shared" si="150"/>
        <v/>
      </c>
      <c r="BB336" s="4" t="str">
        <f t="shared" si="151"/>
        <v/>
      </c>
      <c r="BC336" s="4" t="str">
        <f t="shared" si="152"/>
        <v/>
      </c>
      <c r="BD336" s="4" t="str">
        <f t="shared" si="153"/>
        <v/>
      </c>
      <c r="BE336" s="4" t="str">
        <f>IF(AND(X336&lt;&gt;""),ROUND(X336/SI!$C$10,2),"")</f>
        <v/>
      </c>
      <c r="BF336" s="4" t="str">
        <f t="shared" si="155"/>
        <v/>
      </c>
      <c r="BG336" s="264" t="str">
        <f t="shared" si="154"/>
        <v/>
      </c>
      <c r="BH336" s="71" t="str">
        <f>IF(F336&lt;&gt;"",VLOOKUP(F336,DUTY_2025!A:O,15,FALSE),"")</f>
        <v/>
      </c>
    </row>
    <row r="337" spans="1:60" x14ac:dyDescent="0.25">
      <c r="A337" s="133">
        <f t="shared" si="130"/>
        <v>66</v>
      </c>
      <c r="B337" s="83" t="str">
        <f t="shared" si="131"/>
        <v/>
      </c>
      <c r="C337" s="126"/>
      <c r="D337" s="130"/>
      <c r="E337" s="22"/>
      <c r="F337" s="85"/>
      <c r="G337" s="27" t="str">
        <f>IF(F337&lt;&gt;"",IFERROR(VLOOKUP(F337,DUTY_2025!A:I,6,FALSE),""),"")</f>
        <v/>
      </c>
      <c r="H337" s="85" t="s">
        <v>133</v>
      </c>
      <c r="I337" s="27" t="str">
        <f>IF(F337&lt;&gt;"",IFERROR(VLOOKUP(F337,DUTY_2025!A:H,2,FALSE),""),"")</f>
        <v/>
      </c>
      <c r="J337" s="98"/>
      <c r="K337" s="98"/>
      <c r="L337" s="22"/>
      <c r="M337" s="22"/>
      <c r="N337" s="84"/>
      <c r="O337" s="22"/>
      <c r="P337" s="116"/>
      <c r="Q337" s="23"/>
      <c r="R337" s="27"/>
      <c r="S337" s="86" t="str">
        <f t="shared" si="132"/>
        <v/>
      </c>
      <c r="T337" s="87" t="str">
        <f t="shared" si="133"/>
        <v/>
      </c>
      <c r="U337" s="87" t="str" cm="1">
        <f t="array" ref="U337">IF(AND(H337&lt;&gt;"YES",P337&lt;&gt;"",R337&lt;&gt;"",Q337&lt;&gt;""),
_xlfn.SWITCH(Q337,
"INR",_xlfn.SWITCH(R337,"KG",P337*S337,"CTN",P337,"UNIT",P337*N337,"NET",P337/M337,0),
"USD",_xlfn.SWITCH(R337,"KG",P337*S337*SI!$C$10,"CTN",P337*SI!$C$10,"UNIT",P337*N337*SI!$C$10,"NET",P337*SI!$C$10/M337,0),
"LKR",_xlfn.SWITCH(R337,"KG",P337*S337/SI!$C$9,"CTN",P337/SI!$C$9,"UNIT",P337*N337/SI!$C$9,"NET",P337/(M337*SI!$C$9),0),
0),
"")</f>
        <v/>
      </c>
      <c r="V337" s="87" t="str">
        <f t="shared" si="134"/>
        <v/>
      </c>
      <c r="W337" s="87" t="str">
        <f t="shared" si="135"/>
        <v/>
      </c>
      <c r="X337" s="88" t="str">
        <f t="shared" si="136"/>
        <v/>
      </c>
      <c r="Y337" s="24" t="str">
        <f t="shared" si="137"/>
        <v/>
      </c>
      <c r="Z337" s="267" t="str">
        <f>IF(AND(H337&lt;&gt;"yes",F337&lt;&gt;""),IFERROR(VLOOKUP(F337,DUTY_2025!A:F,5,FALSE),""),"")</f>
        <v/>
      </c>
      <c r="AA337" s="271" t="str">
        <f t="shared" si="138"/>
        <v/>
      </c>
      <c r="AB337" s="16" t="str">
        <f t="shared" si="139"/>
        <v/>
      </c>
      <c r="AC337" s="16" t="str">
        <f>IF(AA337&lt;&gt;"",ROUND(AA337*SI!$C$9,0),"")</f>
        <v/>
      </c>
      <c r="AD337" s="4" t="str">
        <f>IF(AC337&lt;&gt;"",ROUND(AC337/(SI!$C$9*SI!$C$10),2),"")</f>
        <v/>
      </c>
      <c r="AE337" s="30" t="str">
        <f>IF(AND(X337&lt;&gt;""), ROUND((SI!$E$23)*(X337/SUM($X$5:$X$493)),0),"")</f>
        <v/>
      </c>
      <c r="AF337" s="272" t="str">
        <f t="shared" si="140"/>
        <v/>
      </c>
      <c r="AG337" s="28" t="str">
        <f t="shared" si="141"/>
        <v/>
      </c>
      <c r="AH337" s="4" t="str">
        <f>IF(AD337&lt;&gt;"",ROUND(AD337*10*SI!$C$9/2,0),"")</f>
        <v/>
      </c>
      <c r="AI337" s="29" t="str">
        <f>IF(AND(X337&lt;&gt;""), ROUND((SI!$E$28)*(X337/SUM($X$5:$X$493)),0),"")</f>
        <v/>
      </c>
      <c r="AJ337" s="4" t="str">
        <f t="shared" si="142"/>
        <v/>
      </c>
      <c r="AK337" s="4" t="str">
        <f t="shared" si="143"/>
        <v/>
      </c>
      <c r="AL337" s="4" t="str">
        <f t="shared" si="144"/>
        <v/>
      </c>
      <c r="AM337" s="4" t="str">
        <f t="shared" si="145"/>
        <v/>
      </c>
      <c r="AN337" s="195" t="str">
        <f t="shared" si="146"/>
        <v/>
      </c>
      <c r="AO337" s="261" t="str">
        <f>IF(AND(AM337&lt;&gt;"",P337&lt;&gt;""),ROUND((AM337*((100+SI!$C$11)/100)),0),"")</f>
        <v/>
      </c>
      <c r="AP337" s="28" t="str">
        <f>IF(AG337&lt;&gt;"",ROUND(AG337/SI!$C$9,2),"")</f>
        <v/>
      </c>
      <c r="AQ337" s="4" t="str">
        <f>IF(AH337&lt;&gt;"",ROUND(AH337/SI!$C$9,2),"")</f>
        <v/>
      </c>
      <c r="AR337" s="29" t="str">
        <f>IF(AI337&lt;&gt;"",ROUND(AI337/SI!$C$9,2),"")</f>
        <v/>
      </c>
      <c r="AS337" s="4" t="str">
        <f t="shared" si="147"/>
        <v/>
      </c>
      <c r="AT337" s="4" t="str">
        <f t="shared" si="148"/>
        <v/>
      </c>
      <c r="AU337" s="4" t="str">
        <f>IF(AL337&lt;&gt;"",ROUND(AL337/SI!$C$9,2),"")</f>
        <v/>
      </c>
      <c r="AV337" s="4" t="str">
        <f>IF(AM337&lt;&gt;"",ROUND(AM337/SI!$C$9,2),"")</f>
        <v/>
      </c>
      <c r="AW337" s="4" t="str">
        <f>IF(AN337&lt;&gt;"",ROUND(AN337/SI!$C$9,2),"")</f>
        <v/>
      </c>
      <c r="AX337" s="261" t="str">
        <f>IF(AO337&lt;&gt;"",ROUND(AO337/SI!$C$9,2),"")</f>
        <v/>
      </c>
      <c r="AY337" s="28" t="str">
        <f t="shared" si="149"/>
        <v/>
      </c>
      <c r="AZ337" s="4" t="str">
        <f>IF(AY337&lt;&gt;"",ROUND(AY337/(SI!$C$9*SI!$C$10),2),"")</f>
        <v/>
      </c>
      <c r="BA337" s="4" t="str">
        <f t="shared" si="150"/>
        <v/>
      </c>
      <c r="BB337" s="4" t="str">
        <f t="shared" si="151"/>
        <v/>
      </c>
      <c r="BC337" s="4" t="str">
        <f t="shared" si="152"/>
        <v/>
      </c>
      <c r="BD337" s="4" t="str">
        <f t="shared" si="153"/>
        <v/>
      </c>
      <c r="BE337" s="4" t="str">
        <f>IF(AND(X337&lt;&gt;""),ROUND(X337/SI!$C$10,2),"")</f>
        <v/>
      </c>
      <c r="BF337" s="4" t="str">
        <f t="shared" si="155"/>
        <v/>
      </c>
      <c r="BG337" s="264" t="str">
        <f t="shared" si="154"/>
        <v/>
      </c>
      <c r="BH337" s="71" t="str">
        <f>IF(F337&lt;&gt;"",VLOOKUP(F337,DUTY_2025!A:O,15,FALSE),"")</f>
        <v/>
      </c>
    </row>
    <row r="338" spans="1:60" x14ac:dyDescent="0.25">
      <c r="A338" s="133">
        <f t="shared" si="130"/>
        <v>66</v>
      </c>
      <c r="B338" s="83" t="str">
        <f t="shared" si="131"/>
        <v/>
      </c>
      <c r="C338" s="126"/>
      <c r="D338" s="130"/>
      <c r="E338" s="22"/>
      <c r="F338" s="85"/>
      <c r="G338" s="27" t="str">
        <f>IF(F338&lt;&gt;"",IFERROR(VLOOKUP(F338,DUTY_2025!A:I,6,FALSE),""),"")</f>
        <v/>
      </c>
      <c r="H338" s="85" t="s">
        <v>133</v>
      </c>
      <c r="I338" s="27" t="str">
        <f>IF(F338&lt;&gt;"",IFERROR(VLOOKUP(F338,DUTY_2025!A:H,2,FALSE),""),"")</f>
        <v/>
      </c>
      <c r="J338" s="98"/>
      <c r="K338" s="98"/>
      <c r="L338" s="22"/>
      <c r="M338" s="22"/>
      <c r="N338" s="84"/>
      <c r="O338" s="22"/>
      <c r="P338" s="116"/>
      <c r="Q338" s="23"/>
      <c r="R338" s="27"/>
      <c r="S338" s="86" t="str">
        <f t="shared" si="132"/>
        <v/>
      </c>
      <c r="T338" s="87" t="str">
        <f t="shared" si="133"/>
        <v/>
      </c>
      <c r="U338" s="87" t="str" cm="1">
        <f t="array" ref="U338">IF(AND(H338&lt;&gt;"YES",P338&lt;&gt;"",R338&lt;&gt;"",Q338&lt;&gt;""),
_xlfn.SWITCH(Q338,
"INR",_xlfn.SWITCH(R338,"KG",P338*S338,"CTN",P338,"UNIT",P338*N338,"NET",P338/M338,0),
"USD",_xlfn.SWITCH(R338,"KG",P338*S338*SI!$C$10,"CTN",P338*SI!$C$10,"UNIT",P338*N338*SI!$C$10,"NET",P338*SI!$C$10/M338,0),
"LKR",_xlfn.SWITCH(R338,"KG",P338*S338/SI!$C$9,"CTN",P338/SI!$C$9,"UNIT",P338*N338/SI!$C$9,"NET",P338/(M338*SI!$C$9),0),
0),
"")</f>
        <v/>
      </c>
      <c r="V338" s="87" t="str">
        <f t="shared" si="134"/>
        <v/>
      </c>
      <c r="W338" s="87" t="str">
        <f t="shared" si="135"/>
        <v/>
      </c>
      <c r="X338" s="88" t="str">
        <f t="shared" si="136"/>
        <v/>
      </c>
      <c r="Y338" s="24" t="str">
        <f t="shared" si="137"/>
        <v/>
      </c>
      <c r="Z338" s="267" t="str">
        <f>IF(AND(H338&lt;&gt;"yes",F338&lt;&gt;""),IFERROR(VLOOKUP(F338,DUTY_2025!A:F,5,FALSE),""),"")</f>
        <v/>
      </c>
      <c r="AA338" s="271" t="str">
        <f t="shared" si="138"/>
        <v/>
      </c>
      <c r="AB338" s="16" t="str">
        <f t="shared" si="139"/>
        <v/>
      </c>
      <c r="AC338" s="16" t="str">
        <f>IF(AA338&lt;&gt;"",ROUND(AA338*SI!$C$9,0),"")</f>
        <v/>
      </c>
      <c r="AD338" s="4" t="str">
        <f>IF(AC338&lt;&gt;"",ROUND(AC338/(SI!$C$9*SI!$C$10),2),"")</f>
        <v/>
      </c>
      <c r="AE338" s="30" t="str">
        <f>IF(AND(X338&lt;&gt;""), ROUND((SI!$E$23)*(X338/SUM($X$5:$X$493)),0),"")</f>
        <v/>
      </c>
      <c r="AF338" s="272" t="str">
        <f t="shared" si="140"/>
        <v/>
      </c>
      <c r="AG338" s="28" t="str">
        <f t="shared" si="141"/>
        <v/>
      </c>
      <c r="AH338" s="4" t="str">
        <f>IF(AD338&lt;&gt;"",ROUND(AD338*10*SI!$C$9/2,0),"")</f>
        <v/>
      </c>
      <c r="AI338" s="29" t="str">
        <f>IF(AND(X338&lt;&gt;""), ROUND((SI!$E$28)*(X338/SUM($X$5:$X$493)),0),"")</f>
        <v/>
      </c>
      <c r="AJ338" s="4" t="str">
        <f t="shared" si="142"/>
        <v/>
      </c>
      <c r="AK338" s="4" t="str">
        <f t="shared" si="143"/>
        <v/>
      </c>
      <c r="AL338" s="4" t="str">
        <f t="shared" si="144"/>
        <v/>
      </c>
      <c r="AM338" s="4" t="str">
        <f t="shared" si="145"/>
        <v/>
      </c>
      <c r="AN338" s="195" t="str">
        <f t="shared" si="146"/>
        <v/>
      </c>
      <c r="AO338" s="261" t="str">
        <f>IF(AND(AM338&lt;&gt;"",P338&lt;&gt;""),ROUND((AM338*((100+SI!$C$11)/100)),0),"")</f>
        <v/>
      </c>
      <c r="AP338" s="28" t="str">
        <f>IF(AG338&lt;&gt;"",ROUND(AG338/SI!$C$9,2),"")</f>
        <v/>
      </c>
      <c r="AQ338" s="4" t="str">
        <f>IF(AH338&lt;&gt;"",ROUND(AH338/SI!$C$9,2),"")</f>
        <v/>
      </c>
      <c r="AR338" s="29" t="str">
        <f>IF(AI338&lt;&gt;"",ROUND(AI338/SI!$C$9,2),"")</f>
        <v/>
      </c>
      <c r="AS338" s="4" t="str">
        <f t="shared" si="147"/>
        <v/>
      </c>
      <c r="AT338" s="4" t="str">
        <f t="shared" si="148"/>
        <v/>
      </c>
      <c r="AU338" s="4" t="str">
        <f>IF(AL338&lt;&gt;"",ROUND(AL338/SI!$C$9,2),"")</f>
        <v/>
      </c>
      <c r="AV338" s="4" t="str">
        <f>IF(AM338&lt;&gt;"",ROUND(AM338/SI!$C$9,2),"")</f>
        <v/>
      </c>
      <c r="AW338" s="4" t="str">
        <f>IF(AN338&lt;&gt;"",ROUND(AN338/SI!$C$9,2),"")</f>
        <v/>
      </c>
      <c r="AX338" s="261" t="str">
        <f>IF(AO338&lt;&gt;"",ROUND(AO338/SI!$C$9,2),"")</f>
        <v/>
      </c>
      <c r="AY338" s="28" t="str">
        <f t="shared" si="149"/>
        <v/>
      </c>
      <c r="AZ338" s="4" t="str">
        <f>IF(AY338&lt;&gt;"",ROUND(AY338/(SI!$C$9*SI!$C$10),2),"")</f>
        <v/>
      </c>
      <c r="BA338" s="4" t="str">
        <f t="shared" si="150"/>
        <v/>
      </c>
      <c r="BB338" s="4" t="str">
        <f t="shared" si="151"/>
        <v/>
      </c>
      <c r="BC338" s="4" t="str">
        <f t="shared" si="152"/>
        <v/>
      </c>
      <c r="BD338" s="4" t="str">
        <f t="shared" si="153"/>
        <v/>
      </c>
      <c r="BE338" s="4" t="str">
        <f>IF(AND(X338&lt;&gt;""),ROUND(X338/SI!$C$10,2),"")</f>
        <v/>
      </c>
      <c r="BF338" s="4" t="str">
        <f t="shared" si="155"/>
        <v/>
      </c>
      <c r="BG338" s="264" t="str">
        <f t="shared" si="154"/>
        <v/>
      </c>
      <c r="BH338" s="71" t="str">
        <f>IF(F338&lt;&gt;"",VLOOKUP(F338,DUTY_2025!A:O,15,FALSE),"")</f>
        <v/>
      </c>
    </row>
    <row r="339" spans="1:60" x14ac:dyDescent="0.25">
      <c r="A339" s="133">
        <f t="shared" si="130"/>
        <v>66</v>
      </c>
      <c r="B339" s="83" t="str">
        <f t="shared" si="131"/>
        <v/>
      </c>
      <c r="C339" s="126"/>
      <c r="D339" s="130"/>
      <c r="E339" s="22"/>
      <c r="F339" s="85"/>
      <c r="G339" s="27" t="str">
        <f>IF(F339&lt;&gt;"",IFERROR(VLOOKUP(F339,DUTY_2025!A:I,6,FALSE),""),"")</f>
        <v/>
      </c>
      <c r="H339" s="85" t="s">
        <v>133</v>
      </c>
      <c r="I339" s="27" t="str">
        <f>IF(F339&lt;&gt;"",IFERROR(VLOOKUP(F339,DUTY_2025!A:H,2,FALSE),""),"")</f>
        <v/>
      </c>
      <c r="J339" s="98"/>
      <c r="K339" s="98"/>
      <c r="L339" s="22"/>
      <c r="M339" s="22"/>
      <c r="N339" s="84"/>
      <c r="O339" s="22"/>
      <c r="P339" s="116"/>
      <c r="Q339" s="23"/>
      <c r="R339" s="27"/>
      <c r="S339" s="86" t="str">
        <f t="shared" si="132"/>
        <v/>
      </c>
      <c r="T339" s="87" t="str">
        <f t="shared" si="133"/>
        <v/>
      </c>
      <c r="U339" s="87" t="str" cm="1">
        <f t="array" ref="U339">IF(AND(H339&lt;&gt;"YES",P339&lt;&gt;"",R339&lt;&gt;"",Q339&lt;&gt;""),
_xlfn.SWITCH(Q339,
"INR",_xlfn.SWITCH(R339,"KG",P339*S339,"CTN",P339,"UNIT",P339*N339,"NET",P339/M339,0),
"USD",_xlfn.SWITCH(R339,"KG",P339*S339*SI!$C$10,"CTN",P339*SI!$C$10,"UNIT",P339*N339*SI!$C$10,"NET",P339*SI!$C$10/M339,0),
"LKR",_xlfn.SWITCH(R339,"KG",P339*S339/SI!$C$9,"CTN",P339/SI!$C$9,"UNIT",P339*N339/SI!$C$9,"NET",P339/(M339*SI!$C$9),0),
0),
"")</f>
        <v/>
      </c>
      <c r="V339" s="87" t="str">
        <f t="shared" si="134"/>
        <v/>
      </c>
      <c r="W339" s="87" t="str">
        <f t="shared" si="135"/>
        <v/>
      </c>
      <c r="X339" s="88" t="str">
        <f t="shared" si="136"/>
        <v/>
      </c>
      <c r="Y339" s="24" t="str">
        <f t="shared" si="137"/>
        <v/>
      </c>
      <c r="Z339" s="267" t="str">
        <f>IF(AND(H339&lt;&gt;"yes",F339&lt;&gt;""),IFERROR(VLOOKUP(F339,DUTY_2025!A:F,5,FALSE),""),"")</f>
        <v/>
      </c>
      <c r="AA339" s="271" t="str">
        <f t="shared" si="138"/>
        <v/>
      </c>
      <c r="AB339" s="16" t="str">
        <f t="shared" si="139"/>
        <v/>
      </c>
      <c r="AC339" s="16" t="str">
        <f>IF(AA339&lt;&gt;"",ROUND(AA339*SI!$C$9,0),"")</f>
        <v/>
      </c>
      <c r="AD339" s="4" t="str">
        <f>IF(AC339&lt;&gt;"",ROUND(AC339/(SI!$C$9*SI!$C$10),2),"")</f>
        <v/>
      </c>
      <c r="AE339" s="30" t="str">
        <f>IF(AND(X339&lt;&gt;""), ROUND((SI!$E$23)*(X339/SUM($X$5:$X$493)),0),"")</f>
        <v/>
      </c>
      <c r="AF339" s="272" t="str">
        <f t="shared" si="140"/>
        <v/>
      </c>
      <c r="AG339" s="28" t="str">
        <f t="shared" si="141"/>
        <v/>
      </c>
      <c r="AH339" s="4" t="str">
        <f>IF(AD339&lt;&gt;"",ROUND(AD339*10*SI!$C$9/2,0),"")</f>
        <v/>
      </c>
      <c r="AI339" s="29" t="str">
        <f>IF(AND(X339&lt;&gt;""), ROUND((SI!$E$28)*(X339/SUM($X$5:$X$493)),0),"")</f>
        <v/>
      </c>
      <c r="AJ339" s="4" t="str">
        <f t="shared" si="142"/>
        <v/>
      </c>
      <c r="AK339" s="4" t="str">
        <f t="shared" si="143"/>
        <v/>
      </c>
      <c r="AL339" s="4" t="str">
        <f t="shared" si="144"/>
        <v/>
      </c>
      <c r="AM339" s="4" t="str">
        <f t="shared" si="145"/>
        <v/>
      </c>
      <c r="AN339" s="195" t="str">
        <f t="shared" si="146"/>
        <v/>
      </c>
      <c r="AO339" s="261" t="str">
        <f>IF(AND(AM339&lt;&gt;"",P339&lt;&gt;""),ROUND((AM339*((100+SI!$C$11)/100)),0),"")</f>
        <v/>
      </c>
      <c r="AP339" s="28" t="str">
        <f>IF(AG339&lt;&gt;"",ROUND(AG339/SI!$C$9,2),"")</f>
        <v/>
      </c>
      <c r="AQ339" s="4" t="str">
        <f>IF(AH339&lt;&gt;"",ROUND(AH339/SI!$C$9,2),"")</f>
        <v/>
      </c>
      <c r="AR339" s="29" t="str">
        <f>IF(AI339&lt;&gt;"",ROUND(AI339/SI!$C$9,2),"")</f>
        <v/>
      </c>
      <c r="AS339" s="4" t="str">
        <f t="shared" si="147"/>
        <v/>
      </c>
      <c r="AT339" s="4" t="str">
        <f t="shared" si="148"/>
        <v/>
      </c>
      <c r="AU339" s="4" t="str">
        <f>IF(AL339&lt;&gt;"",ROUND(AL339/SI!$C$9,2),"")</f>
        <v/>
      </c>
      <c r="AV339" s="4" t="str">
        <f>IF(AM339&lt;&gt;"",ROUND(AM339/SI!$C$9,2),"")</f>
        <v/>
      </c>
      <c r="AW339" s="4" t="str">
        <f>IF(AN339&lt;&gt;"",ROUND(AN339/SI!$C$9,2),"")</f>
        <v/>
      </c>
      <c r="AX339" s="261" t="str">
        <f>IF(AO339&lt;&gt;"",ROUND(AO339/SI!$C$9,2),"")</f>
        <v/>
      </c>
      <c r="AY339" s="28" t="str">
        <f t="shared" si="149"/>
        <v/>
      </c>
      <c r="AZ339" s="4" t="str">
        <f>IF(AY339&lt;&gt;"",ROUND(AY339/(SI!$C$9*SI!$C$10),2),"")</f>
        <v/>
      </c>
      <c r="BA339" s="4" t="str">
        <f t="shared" si="150"/>
        <v/>
      </c>
      <c r="BB339" s="4" t="str">
        <f t="shared" si="151"/>
        <v/>
      </c>
      <c r="BC339" s="4" t="str">
        <f t="shared" si="152"/>
        <v/>
      </c>
      <c r="BD339" s="4" t="str">
        <f t="shared" si="153"/>
        <v/>
      </c>
      <c r="BE339" s="4" t="str">
        <f>IF(AND(X339&lt;&gt;""),ROUND(X339/SI!$C$10,2),"")</f>
        <v/>
      </c>
      <c r="BF339" s="4" t="str">
        <f t="shared" si="155"/>
        <v/>
      </c>
      <c r="BG339" s="264" t="str">
        <f t="shared" si="154"/>
        <v/>
      </c>
      <c r="BH339" s="71" t="str">
        <f>IF(F339&lt;&gt;"",VLOOKUP(F339,DUTY_2025!A:O,15,FALSE),"")</f>
        <v/>
      </c>
    </row>
    <row r="340" spans="1:60" x14ac:dyDescent="0.25">
      <c r="A340" s="133">
        <f t="shared" si="130"/>
        <v>66</v>
      </c>
      <c r="B340" s="83" t="str">
        <f t="shared" si="131"/>
        <v/>
      </c>
      <c r="C340" s="126"/>
      <c r="D340" s="130"/>
      <c r="E340" s="22"/>
      <c r="F340" s="85"/>
      <c r="G340" s="27" t="str">
        <f>IF(F340&lt;&gt;"",IFERROR(VLOOKUP(F340,DUTY_2025!A:I,6,FALSE),""),"")</f>
        <v/>
      </c>
      <c r="H340" s="85" t="s">
        <v>133</v>
      </c>
      <c r="I340" s="27" t="str">
        <f>IF(F340&lt;&gt;"",IFERROR(VLOOKUP(F340,DUTY_2025!A:H,2,FALSE),""),"")</f>
        <v/>
      </c>
      <c r="J340" s="98"/>
      <c r="K340" s="98"/>
      <c r="L340" s="22"/>
      <c r="M340" s="22"/>
      <c r="N340" s="84"/>
      <c r="O340" s="22"/>
      <c r="P340" s="116"/>
      <c r="Q340" s="23"/>
      <c r="R340" s="27"/>
      <c r="S340" s="86" t="str">
        <f t="shared" si="132"/>
        <v/>
      </c>
      <c r="T340" s="87" t="str">
        <f t="shared" si="133"/>
        <v/>
      </c>
      <c r="U340" s="87" t="str" cm="1">
        <f t="array" ref="U340">IF(AND(H340&lt;&gt;"YES",P340&lt;&gt;"",R340&lt;&gt;"",Q340&lt;&gt;""),
_xlfn.SWITCH(Q340,
"INR",_xlfn.SWITCH(R340,"KG",P340*S340,"CTN",P340,"UNIT",P340*N340,"NET",P340/M340,0),
"USD",_xlfn.SWITCH(R340,"KG",P340*S340*SI!$C$10,"CTN",P340*SI!$C$10,"UNIT",P340*N340*SI!$C$10,"NET",P340*SI!$C$10/M340,0),
"LKR",_xlfn.SWITCH(R340,"KG",P340*S340/SI!$C$9,"CTN",P340/SI!$C$9,"UNIT",P340*N340/SI!$C$9,"NET",P340/(M340*SI!$C$9),0),
0),
"")</f>
        <v/>
      </c>
      <c r="V340" s="87" t="str">
        <f t="shared" si="134"/>
        <v/>
      </c>
      <c r="W340" s="87" t="str">
        <f t="shared" si="135"/>
        <v/>
      </c>
      <c r="X340" s="88" t="str">
        <f t="shared" si="136"/>
        <v/>
      </c>
      <c r="Y340" s="24" t="str">
        <f t="shared" si="137"/>
        <v/>
      </c>
      <c r="Z340" s="267" t="str">
        <f>IF(AND(H340&lt;&gt;"yes",F340&lt;&gt;""),IFERROR(VLOOKUP(F340,DUTY_2025!A:F,5,FALSE),""),"")</f>
        <v/>
      </c>
      <c r="AA340" s="271" t="str">
        <f t="shared" si="138"/>
        <v/>
      </c>
      <c r="AB340" s="16" t="str">
        <f t="shared" si="139"/>
        <v/>
      </c>
      <c r="AC340" s="16" t="str">
        <f>IF(AA340&lt;&gt;"",ROUND(AA340*SI!$C$9,0),"")</f>
        <v/>
      </c>
      <c r="AD340" s="4" t="str">
        <f>IF(AC340&lt;&gt;"",ROUND(AC340/(SI!$C$9*SI!$C$10),2),"")</f>
        <v/>
      </c>
      <c r="AE340" s="30" t="str">
        <f>IF(AND(X340&lt;&gt;""), ROUND((SI!$E$23)*(X340/SUM($X$5:$X$493)),0),"")</f>
        <v/>
      </c>
      <c r="AF340" s="272" t="str">
        <f t="shared" si="140"/>
        <v/>
      </c>
      <c r="AG340" s="28" t="str">
        <f t="shared" si="141"/>
        <v/>
      </c>
      <c r="AH340" s="4" t="str">
        <f>IF(AD340&lt;&gt;"",ROUND(AD340*10*SI!$C$9/2,0),"")</f>
        <v/>
      </c>
      <c r="AI340" s="29" t="str">
        <f>IF(AND(X340&lt;&gt;""), ROUND((SI!$E$28)*(X340/SUM($X$5:$X$493)),0),"")</f>
        <v/>
      </c>
      <c r="AJ340" s="4" t="str">
        <f t="shared" si="142"/>
        <v/>
      </c>
      <c r="AK340" s="4" t="str">
        <f t="shared" si="143"/>
        <v/>
      </c>
      <c r="AL340" s="4" t="str">
        <f t="shared" si="144"/>
        <v/>
      </c>
      <c r="AM340" s="4" t="str">
        <f t="shared" si="145"/>
        <v/>
      </c>
      <c r="AN340" s="195" t="str">
        <f t="shared" si="146"/>
        <v/>
      </c>
      <c r="AO340" s="261" t="str">
        <f>IF(AND(AM340&lt;&gt;"",P340&lt;&gt;""),ROUND((AM340*((100+SI!$C$11)/100)),0),"")</f>
        <v/>
      </c>
      <c r="AP340" s="28" t="str">
        <f>IF(AG340&lt;&gt;"",ROUND(AG340/SI!$C$9,2),"")</f>
        <v/>
      </c>
      <c r="AQ340" s="4" t="str">
        <f>IF(AH340&lt;&gt;"",ROUND(AH340/SI!$C$9,2),"")</f>
        <v/>
      </c>
      <c r="AR340" s="29" t="str">
        <f>IF(AI340&lt;&gt;"",ROUND(AI340/SI!$C$9,2),"")</f>
        <v/>
      </c>
      <c r="AS340" s="4" t="str">
        <f t="shared" si="147"/>
        <v/>
      </c>
      <c r="AT340" s="4" t="str">
        <f t="shared" si="148"/>
        <v/>
      </c>
      <c r="AU340" s="4" t="str">
        <f>IF(AL340&lt;&gt;"",ROUND(AL340/SI!$C$9,2),"")</f>
        <v/>
      </c>
      <c r="AV340" s="4" t="str">
        <f>IF(AM340&lt;&gt;"",ROUND(AM340/SI!$C$9,2),"")</f>
        <v/>
      </c>
      <c r="AW340" s="4" t="str">
        <f>IF(AN340&lt;&gt;"",ROUND(AN340/SI!$C$9,2),"")</f>
        <v/>
      </c>
      <c r="AX340" s="261" t="str">
        <f>IF(AO340&lt;&gt;"",ROUND(AO340/SI!$C$9,2),"")</f>
        <v/>
      </c>
      <c r="AY340" s="28" t="str">
        <f t="shared" si="149"/>
        <v/>
      </c>
      <c r="AZ340" s="4" t="str">
        <f>IF(AY340&lt;&gt;"",ROUND(AY340/(SI!$C$9*SI!$C$10),2),"")</f>
        <v/>
      </c>
      <c r="BA340" s="4" t="str">
        <f t="shared" si="150"/>
        <v/>
      </c>
      <c r="BB340" s="4" t="str">
        <f t="shared" si="151"/>
        <v/>
      </c>
      <c r="BC340" s="4" t="str">
        <f t="shared" si="152"/>
        <v/>
      </c>
      <c r="BD340" s="4" t="str">
        <f t="shared" si="153"/>
        <v/>
      </c>
      <c r="BE340" s="4" t="str">
        <f>IF(AND(X340&lt;&gt;""),ROUND(X340/SI!$C$10,2),"")</f>
        <v/>
      </c>
      <c r="BF340" s="4" t="str">
        <f t="shared" si="155"/>
        <v/>
      </c>
      <c r="BG340" s="264" t="str">
        <f t="shared" si="154"/>
        <v/>
      </c>
      <c r="BH340" s="71" t="str">
        <f>IF(F340&lt;&gt;"",VLOOKUP(F340,DUTY_2025!A:O,15,FALSE),"")</f>
        <v/>
      </c>
    </row>
    <row r="341" spans="1:60" x14ac:dyDescent="0.25">
      <c r="A341" s="133">
        <f t="shared" si="130"/>
        <v>66</v>
      </c>
      <c r="B341" s="83" t="str">
        <f t="shared" si="131"/>
        <v/>
      </c>
      <c r="C341" s="126"/>
      <c r="D341" s="130"/>
      <c r="E341" s="22"/>
      <c r="F341" s="85"/>
      <c r="G341" s="27" t="str">
        <f>IF(F341&lt;&gt;"",IFERROR(VLOOKUP(F341,DUTY_2025!A:I,6,FALSE),""),"")</f>
        <v/>
      </c>
      <c r="H341" s="85" t="s">
        <v>133</v>
      </c>
      <c r="I341" s="27" t="str">
        <f>IF(F341&lt;&gt;"",IFERROR(VLOOKUP(F341,DUTY_2025!A:H,2,FALSE),""),"")</f>
        <v/>
      </c>
      <c r="J341" s="98"/>
      <c r="K341" s="98"/>
      <c r="L341" s="22"/>
      <c r="M341" s="22"/>
      <c r="N341" s="84"/>
      <c r="O341" s="22"/>
      <c r="P341" s="116"/>
      <c r="Q341" s="23"/>
      <c r="R341" s="27"/>
      <c r="S341" s="86" t="str">
        <f t="shared" si="132"/>
        <v/>
      </c>
      <c r="T341" s="87" t="str">
        <f t="shared" si="133"/>
        <v/>
      </c>
      <c r="U341" s="87" t="str" cm="1">
        <f t="array" ref="U341">IF(AND(H341&lt;&gt;"YES",P341&lt;&gt;"",R341&lt;&gt;"",Q341&lt;&gt;""),
_xlfn.SWITCH(Q341,
"INR",_xlfn.SWITCH(R341,"KG",P341*S341,"CTN",P341,"UNIT",P341*N341,"NET",P341/M341,0),
"USD",_xlfn.SWITCH(R341,"KG",P341*S341*SI!$C$10,"CTN",P341*SI!$C$10,"UNIT",P341*N341*SI!$C$10,"NET",P341*SI!$C$10/M341,0),
"LKR",_xlfn.SWITCH(R341,"KG",P341*S341/SI!$C$9,"CTN",P341/SI!$C$9,"UNIT",P341*N341/SI!$C$9,"NET",P341/(M341*SI!$C$9),0),
0),
"")</f>
        <v/>
      </c>
      <c r="V341" s="87" t="str">
        <f t="shared" si="134"/>
        <v/>
      </c>
      <c r="W341" s="87" t="str">
        <f t="shared" si="135"/>
        <v/>
      </c>
      <c r="X341" s="88" t="str">
        <f t="shared" si="136"/>
        <v/>
      </c>
      <c r="Y341" s="24" t="str">
        <f t="shared" si="137"/>
        <v/>
      </c>
      <c r="Z341" s="267" t="str">
        <f>IF(AND(H341&lt;&gt;"yes",F341&lt;&gt;""),IFERROR(VLOOKUP(F341,DUTY_2025!A:F,5,FALSE),""),"")</f>
        <v/>
      </c>
      <c r="AA341" s="271" t="str">
        <f t="shared" si="138"/>
        <v/>
      </c>
      <c r="AB341" s="16" t="str">
        <f t="shared" si="139"/>
        <v/>
      </c>
      <c r="AC341" s="16" t="str">
        <f>IF(AA341&lt;&gt;"",ROUND(AA341*SI!$C$9,0),"")</f>
        <v/>
      </c>
      <c r="AD341" s="4" t="str">
        <f>IF(AC341&lt;&gt;"",ROUND(AC341/(SI!$C$9*SI!$C$10),2),"")</f>
        <v/>
      </c>
      <c r="AE341" s="30" t="str">
        <f>IF(AND(X341&lt;&gt;""), ROUND((SI!$E$23)*(X341/SUM($X$5:$X$493)),0),"")</f>
        <v/>
      </c>
      <c r="AF341" s="272" t="str">
        <f t="shared" si="140"/>
        <v/>
      </c>
      <c r="AG341" s="28" t="str">
        <f t="shared" si="141"/>
        <v/>
      </c>
      <c r="AH341" s="4" t="str">
        <f>IF(AD341&lt;&gt;"",ROUND(AD341*10*SI!$C$9/2,0),"")</f>
        <v/>
      </c>
      <c r="AI341" s="29" t="str">
        <f>IF(AND(X341&lt;&gt;""), ROUND((SI!$E$28)*(X341/SUM($X$5:$X$493)),0),"")</f>
        <v/>
      </c>
      <c r="AJ341" s="4" t="str">
        <f t="shared" si="142"/>
        <v/>
      </c>
      <c r="AK341" s="4" t="str">
        <f t="shared" si="143"/>
        <v/>
      </c>
      <c r="AL341" s="4" t="str">
        <f t="shared" si="144"/>
        <v/>
      </c>
      <c r="AM341" s="4" t="str">
        <f t="shared" si="145"/>
        <v/>
      </c>
      <c r="AN341" s="195" t="str">
        <f t="shared" si="146"/>
        <v/>
      </c>
      <c r="AO341" s="261" t="str">
        <f>IF(AND(AM341&lt;&gt;"",P341&lt;&gt;""),ROUND((AM341*((100+SI!$C$11)/100)),0),"")</f>
        <v/>
      </c>
      <c r="AP341" s="28" t="str">
        <f>IF(AG341&lt;&gt;"",ROUND(AG341/SI!$C$9,2),"")</f>
        <v/>
      </c>
      <c r="AQ341" s="4" t="str">
        <f>IF(AH341&lt;&gt;"",ROUND(AH341/SI!$C$9,2),"")</f>
        <v/>
      </c>
      <c r="AR341" s="29" t="str">
        <f>IF(AI341&lt;&gt;"",ROUND(AI341/SI!$C$9,2),"")</f>
        <v/>
      </c>
      <c r="AS341" s="4" t="str">
        <f t="shared" si="147"/>
        <v/>
      </c>
      <c r="AT341" s="4" t="str">
        <f t="shared" si="148"/>
        <v/>
      </c>
      <c r="AU341" s="4" t="str">
        <f>IF(AL341&lt;&gt;"",ROUND(AL341/SI!$C$9,2),"")</f>
        <v/>
      </c>
      <c r="AV341" s="4" t="str">
        <f>IF(AM341&lt;&gt;"",ROUND(AM341/SI!$C$9,2),"")</f>
        <v/>
      </c>
      <c r="AW341" s="4" t="str">
        <f>IF(AN341&lt;&gt;"",ROUND(AN341/SI!$C$9,2),"")</f>
        <v/>
      </c>
      <c r="AX341" s="261" t="str">
        <f>IF(AO341&lt;&gt;"",ROUND(AO341/SI!$C$9,2),"")</f>
        <v/>
      </c>
      <c r="AY341" s="28" t="str">
        <f t="shared" si="149"/>
        <v/>
      </c>
      <c r="AZ341" s="4" t="str">
        <f>IF(AY341&lt;&gt;"",ROUND(AY341/(SI!$C$9*SI!$C$10),2),"")</f>
        <v/>
      </c>
      <c r="BA341" s="4" t="str">
        <f t="shared" si="150"/>
        <v/>
      </c>
      <c r="BB341" s="4" t="str">
        <f t="shared" si="151"/>
        <v/>
      </c>
      <c r="BC341" s="4" t="str">
        <f t="shared" si="152"/>
        <v/>
      </c>
      <c r="BD341" s="4" t="str">
        <f t="shared" si="153"/>
        <v/>
      </c>
      <c r="BE341" s="4" t="str">
        <f>IF(AND(X341&lt;&gt;""),ROUND(X341/SI!$C$10,2),"")</f>
        <v/>
      </c>
      <c r="BF341" s="4" t="str">
        <f t="shared" si="155"/>
        <v/>
      </c>
      <c r="BG341" s="264" t="str">
        <f t="shared" si="154"/>
        <v/>
      </c>
      <c r="BH341" s="71" t="str">
        <f>IF(F341&lt;&gt;"",VLOOKUP(F341,DUTY_2025!A:O,15,FALSE),"")</f>
        <v/>
      </c>
    </row>
    <row r="342" spans="1:60" x14ac:dyDescent="0.25">
      <c r="A342" s="133">
        <f t="shared" si="130"/>
        <v>66</v>
      </c>
      <c r="B342" s="83" t="str">
        <f t="shared" si="131"/>
        <v/>
      </c>
      <c r="C342" s="126"/>
      <c r="D342" s="130"/>
      <c r="E342" s="22"/>
      <c r="F342" s="85"/>
      <c r="G342" s="27" t="str">
        <f>IF(F342&lt;&gt;"",IFERROR(VLOOKUP(F342,DUTY_2025!A:I,6,FALSE),""),"")</f>
        <v/>
      </c>
      <c r="H342" s="85" t="s">
        <v>133</v>
      </c>
      <c r="I342" s="27" t="str">
        <f>IF(F342&lt;&gt;"",IFERROR(VLOOKUP(F342,DUTY_2025!A:H,2,FALSE),""),"")</f>
        <v/>
      </c>
      <c r="J342" s="98"/>
      <c r="K342" s="98"/>
      <c r="L342" s="22"/>
      <c r="M342" s="22"/>
      <c r="N342" s="84"/>
      <c r="O342" s="22"/>
      <c r="P342" s="116"/>
      <c r="Q342" s="23"/>
      <c r="R342" s="27"/>
      <c r="S342" s="86" t="str">
        <f t="shared" si="132"/>
        <v/>
      </c>
      <c r="T342" s="87" t="str">
        <f t="shared" si="133"/>
        <v/>
      </c>
      <c r="U342" s="87" t="str" cm="1">
        <f t="array" ref="U342">IF(AND(H342&lt;&gt;"YES",P342&lt;&gt;"",R342&lt;&gt;"",Q342&lt;&gt;""),
_xlfn.SWITCH(Q342,
"INR",_xlfn.SWITCH(R342,"KG",P342*S342,"CTN",P342,"UNIT",P342*N342,"NET",P342/M342,0),
"USD",_xlfn.SWITCH(R342,"KG",P342*S342*SI!$C$10,"CTN",P342*SI!$C$10,"UNIT",P342*N342*SI!$C$10,"NET",P342*SI!$C$10/M342,0),
"LKR",_xlfn.SWITCH(R342,"KG",P342*S342/SI!$C$9,"CTN",P342/SI!$C$9,"UNIT",P342*N342/SI!$C$9,"NET",P342/(M342*SI!$C$9),0),
0),
"")</f>
        <v/>
      </c>
      <c r="V342" s="87" t="str">
        <f t="shared" si="134"/>
        <v/>
      </c>
      <c r="W342" s="87" t="str">
        <f t="shared" si="135"/>
        <v/>
      </c>
      <c r="X342" s="88" t="str">
        <f t="shared" si="136"/>
        <v/>
      </c>
      <c r="Y342" s="24" t="str">
        <f t="shared" si="137"/>
        <v/>
      </c>
      <c r="Z342" s="267" t="str">
        <f>IF(AND(H342&lt;&gt;"yes",F342&lt;&gt;""),IFERROR(VLOOKUP(F342,DUTY_2025!A:F,5,FALSE),""),"")</f>
        <v/>
      </c>
      <c r="AA342" s="271" t="str">
        <f t="shared" si="138"/>
        <v/>
      </c>
      <c r="AB342" s="16" t="str">
        <f t="shared" si="139"/>
        <v/>
      </c>
      <c r="AC342" s="16" t="str">
        <f>IF(AA342&lt;&gt;"",ROUND(AA342*SI!$C$9,0),"")</f>
        <v/>
      </c>
      <c r="AD342" s="4" t="str">
        <f>IF(AC342&lt;&gt;"",ROUND(AC342/(SI!$C$9*SI!$C$10),2),"")</f>
        <v/>
      </c>
      <c r="AE342" s="30" t="str">
        <f>IF(AND(X342&lt;&gt;""), ROUND((SI!$E$23)*(X342/SUM($X$5:$X$493)),0),"")</f>
        <v/>
      </c>
      <c r="AF342" s="272" t="str">
        <f t="shared" si="140"/>
        <v/>
      </c>
      <c r="AG342" s="28" t="str">
        <f t="shared" si="141"/>
        <v/>
      </c>
      <c r="AH342" s="4" t="str">
        <f>IF(AD342&lt;&gt;"",ROUND(AD342*10*SI!$C$9/2,0),"")</f>
        <v/>
      </c>
      <c r="AI342" s="29" t="str">
        <f>IF(AND(X342&lt;&gt;""), ROUND((SI!$E$28)*(X342/SUM($X$5:$X$493)),0),"")</f>
        <v/>
      </c>
      <c r="AJ342" s="4" t="str">
        <f t="shared" si="142"/>
        <v/>
      </c>
      <c r="AK342" s="4" t="str">
        <f t="shared" si="143"/>
        <v/>
      </c>
      <c r="AL342" s="4" t="str">
        <f t="shared" si="144"/>
        <v/>
      </c>
      <c r="AM342" s="4" t="str">
        <f t="shared" si="145"/>
        <v/>
      </c>
      <c r="AN342" s="195" t="str">
        <f t="shared" si="146"/>
        <v/>
      </c>
      <c r="AO342" s="261" t="str">
        <f>IF(AND(AM342&lt;&gt;"",P342&lt;&gt;""),ROUND((AM342*((100+SI!$C$11)/100)),0),"")</f>
        <v/>
      </c>
      <c r="AP342" s="28" t="str">
        <f>IF(AG342&lt;&gt;"",ROUND(AG342/SI!$C$9,2),"")</f>
        <v/>
      </c>
      <c r="AQ342" s="4" t="str">
        <f>IF(AH342&lt;&gt;"",ROUND(AH342/SI!$C$9,2),"")</f>
        <v/>
      </c>
      <c r="AR342" s="29" t="str">
        <f>IF(AI342&lt;&gt;"",ROUND(AI342/SI!$C$9,2),"")</f>
        <v/>
      </c>
      <c r="AS342" s="4" t="str">
        <f t="shared" si="147"/>
        <v/>
      </c>
      <c r="AT342" s="4" t="str">
        <f t="shared" si="148"/>
        <v/>
      </c>
      <c r="AU342" s="4" t="str">
        <f>IF(AL342&lt;&gt;"",ROUND(AL342/SI!$C$9,2),"")</f>
        <v/>
      </c>
      <c r="AV342" s="4" t="str">
        <f>IF(AM342&lt;&gt;"",ROUND(AM342/SI!$C$9,2),"")</f>
        <v/>
      </c>
      <c r="AW342" s="4" t="str">
        <f>IF(AN342&lt;&gt;"",ROUND(AN342/SI!$C$9,2),"")</f>
        <v/>
      </c>
      <c r="AX342" s="261" t="str">
        <f>IF(AO342&lt;&gt;"",ROUND(AO342/SI!$C$9,2),"")</f>
        <v/>
      </c>
      <c r="AY342" s="28" t="str">
        <f t="shared" si="149"/>
        <v/>
      </c>
      <c r="AZ342" s="4" t="str">
        <f>IF(AY342&lt;&gt;"",ROUND(AY342/(SI!$C$9*SI!$C$10),2),"")</f>
        <v/>
      </c>
      <c r="BA342" s="4" t="str">
        <f t="shared" si="150"/>
        <v/>
      </c>
      <c r="BB342" s="4" t="str">
        <f t="shared" si="151"/>
        <v/>
      </c>
      <c r="BC342" s="4" t="str">
        <f t="shared" si="152"/>
        <v/>
      </c>
      <c r="BD342" s="4" t="str">
        <f t="shared" si="153"/>
        <v/>
      </c>
      <c r="BE342" s="4" t="str">
        <f>IF(AND(X342&lt;&gt;""),ROUND(X342/SI!$C$10,2),"")</f>
        <v/>
      </c>
      <c r="BF342" s="4" t="str">
        <f t="shared" si="155"/>
        <v/>
      </c>
      <c r="BG342" s="264" t="str">
        <f t="shared" si="154"/>
        <v/>
      </c>
      <c r="BH342" s="71" t="str">
        <f>IF(F342&lt;&gt;"",VLOOKUP(F342,DUTY_2025!A:O,15,FALSE),"")</f>
        <v/>
      </c>
    </row>
    <row r="343" spans="1:60" x14ac:dyDescent="0.25">
      <c r="A343" s="133">
        <f t="shared" si="130"/>
        <v>66</v>
      </c>
      <c r="B343" s="83" t="str">
        <f t="shared" si="131"/>
        <v/>
      </c>
      <c r="C343" s="126"/>
      <c r="D343" s="130"/>
      <c r="E343" s="22"/>
      <c r="F343" s="85"/>
      <c r="G343" s="27" t="str">
        <f>IF(F343&lt;&gt;"",IFERROR(VLOOKUP(F343,DUTY_2025!A:I,6,FALSE),""),"")</f>
        <v/>
      </c>
      <c r="H343" s="85" t="s">
        <v>133</v>
      </c>
      <c r="I343" s="27" t="str">
        <f>IF(F343&lt;&gt;"",IFERROR(VLOOKUP(F343,DUTY_2025!A:H,2,FALSE),""),"")</f>
        <v/>
      </c>
      <c r="J343" s="98"/>
      <c r="K343" s="98"/>
      <c r="L343" s="22"/>
      <c r="M343" s="22"/>
      <c r="N343" s="84"/>
      <c r="O343" s="22"/>
      <c r="P343" s="116"/>
      <c r="Q343" s="23"/>
      <c r="R343" s="27"/>
      <c r="S343" s="86" t="str">
        <f t="shared" si="132"/>
        <v/>
      </c>
      <c r="T343" s="87" t="str">
        <f t="shared" si="133"/>
        <v/>
      </c>
      <c r="U343" s="87" t="str" cm="1">
        <f t="array" ref="U343">IF(AND(H343&lt;&gt;"YES",P343&lt;&gt;"",R343&lt;&gt;"",Q343&lt;&gt;""),
_xlfn.SWITCH(Q343,
"INR",_xlfn.SWITCH(R343,"KG",P343*S343,"CTN",P343,"UNIT",P343*N343,"NET",P343/M343,0),
"USD",_xlfn.SWITCH(R343,"KG",P343*S343*SI!$C$10,"CTN",P343*SI!$C$10,"UNIT",P343*N343*SI!$C$10,"NET",P343*SI!$C$10/M343,0),
"LKR",_xlfn.SWITCH(R343,"KG",P343*S343/SI!$C$9,"CTN",P343/SI!$C$9,"UNIT",P343*N343/SI!$C$9,"NET",P343/(M343*SI!$C$9),0),
0),
"")</f>
        <v/>
      </c>
      <c r="V343" s="87" t="str">
        <f t="shared" si="134"/>
        <v/>
      </c>
      <c r="W343" s="87" t="str">
        <f t="shared" si="135"/>
        <v/>
      </c>
      <c r="X343" s="88" t="str">
        <f t="shared" si="136"/>
        <v/>
      </c>
      <c r="Y343" s="24" t="str">
        <f t="shared" si="137"/>
        <v/>
      </c>
      <c r="Z343" s="267" t="str">
        <f>IF(AND(H343&lt;&gt;"yes",F343&lt;&gt;""),IFERROR(VLOOKUP(F343,DUTY_2025!A:F,5,FALSE),""),"")</f>
        <v/>
      </c>
      <c r="AA343" s="271" t="str">
        <f t="shared" si="138"/>
        <v/>
      </c>
      <c r="AB343" s="16" t="str">
        <f t="shared" si="139"/>
        <v/>
      </c>
      <c r="AC343" s="16" t="str">
        <f>IF(AA343&lt;&gt;"",ROUND(AA343*SI!$C$9,0),"")</f>
        <v/>
      </c>
      <c r="AD343" s="4" t="str">
        <f>IF(AC343&lt;&gt;"",ROUND(AC343/(SI!$C$9*SI!$C$10),2),"")</f>
        <v/>
      </c>
      <c r="AE343" s="30" t="str">
        <f>IF(AND(X343&lt;&gt;""), ROUND((SI!$E$23)*(X343/SUM($X$5:$X$493)),0),"")</f>
        <v/>
      </c>
      <c r="AF343" s="272" t="str">
        <f t="shared" si="140"/>
        <v/>
      </c>
      <c r="AG343" s="28" t="str">
        <f t="shared" si="141"/>
        <v/>
      </c>
      <c r="AH343" s="4" t="str">
        <f>IF(AD343&lt;&gt;"",ROUND(AD343*10*SI!$C$9/2,0),"")</f>
        <v/>
      </c>
      <c r="AI343" s="29" t="str">
        <f>IF(AND(X343&lt;&gt;""), ROUND((SI!$E$28)*(X343/SUM($X$5:$X$493)),0),"")</f>
        <v/>
      </c>
      <c r="AJ343" s="4" t="str">
        <f t="shared" si="142"/>
        <v/>
      </c>
      <c r="AK343" s="4" t="str">
        <f t="shared" si="143"/>
        <v/>
      </c>
      <c r="AL343" s="4" t="str">
        <f t="shared" si="144"/>
        <v/>
      </c>
      <c r="AM343" s="4" t="str">
        <f t="shared" si="145"/>
        <v/>
      </c>
      <c r="AN343" s="195" t="str">
        <f t="shared" si="146"/>
        <v/>
      </c>
      <c r="AO343" s="261" t="str">
        <f>IF(AND(AM343&lt;&gt;"",P343&lt;&gt;""),ROUND((AM343*((100+SI!$C$11)/100)),0),"")</f>
        <v/>
      </c>
      <c r="AP343" s="28" t="str">
        <f>IF(AG343&lt;&gt;"",ROUND(AG343/SI!$C$9,2),"")</f>
        <v/>
      </c>
      <c r="AQ343" s="4" t="str">
        <f>IF(AH343&lt;&gt;"",ROUND(AH343/SI!$C$9,2),"")</f>
        <v/>
      </c>
      <c r="AR343" s="29" t="str">
        <f>IF(AI343&lt;&gt;"",ROUND(AI343/SI!$C$9,2),"")</f>
        <v/>
      </c>
      <c r="AS343" s="4" t="str">
        <f t="shared" si="147"/>
        <v/>
      </c>
      <c r="AT343" s="4" t="str">
        <f t="shared" si="148"/>
        <v/>
      </c>
      <c r="AU343" s="4" t="str">
        <f>IF(AL343&lt;&gt;"",ROUND(AL343/SI!$C$9,2),"")</f>
        <v/>
      </c>
      <c r="AV343" s="4" t="str">
        <f>IF(AM343&lt;&gt;"",ROUND(AM343/SI!$C$9,2),"")</f>
        <v/>
      </c>
      <c r="AW343" s="4" t="str">
        <f>IF(AN343&lt;&gt;"",ROUND(AN343/SI!$C$9,2),"")</f>
        <v/>
      </c>
      <c r="AX343" s="261" t="str">
        <f>IF(AO343&lt;&gt;"",ROUND(AO343/SI!$C$9,2),"")</f>
        <v/>
      </c>
      <c r="AY343" s="28" t="str">
        <f t="shared" si="149"/>
        <v/>
      </c>
      <c r="AZ343" s="4" t="str">
        <f>IF(AY343&lt;&gt;"",ROUND(AY343/(SI!$C$9*SI!$C$10),2),"")</f>
        <v/>
      </c>
      <c r="BA343" s="4" t="str">
        <f t="shared" si="150"/>
        <v/>
      </c>
      <c r="BB343" s="4" t="str">
        <f t="shared" si="151"/>
        <v/>
      </c>
      <c r="BC343" s="4" t="str">
        <f t="shared" si="152"/>
        <v/>
      </c>
      <c r="BD343" s="4" t="str">
        <f t="shared" si="153"/>
        <v/>
      </c>
      <c r="BE343" s="4" t="str">
        <f>IF(AND(X343&lt;&gt;""),ROUND(X343/SI!$C$10,2),"")</f>
        <v/>
      </c>
      <c r="BF343" s="4" t="str">
        <f t="shared" si="155"/>
        <v/>
      </c>
      <c r="BG343" s="264" t="str">
        <f t="shared" si="154"/>
        <v/>
      </c>
      <c r="BH343" s="71" t="str">
        <f>IF(F343&lt;&gt;"",VLOOKUP(F343,DUTY_2025!A:O,15,FALSE),"")</f>
        <v/>
      </c>
    </row>
    <row r="344" spans="1:60" x14ac:dyDescent="0.25">
      <c r="A344" s="133">
        <f t="shared" si="130"/>
        <v>66</v>
      </c>
      <c r="B344" s="83" t="str">
        <f t="shared" si="131"/>
        <v/>
      </c>
      <c r="C344" s="126"/>
      <c r="D344" s="130"/>
      <c r="E344" s="22"/>
      <c r="F344" s="85"/>
      <c r="G344" s="27" t="str">
        <f>IF(F344&lt;&gt;"",IFERROR(VLOOKUP(F344,DUTY_2025!A:I,6,FALSE),""),"")</f>
        <v/>
      </c>
      <c r="H344" s="85" t="s">
        <v>133</v>
      </c>
      <c r="I344" s="27" t="str">
        <f>IF(F344&lt;&gt;"",IFERROR(VLOOKUP(F344,DUTY_2025!A:H,2,FALSE),""),"")</f>
        <v/>
      </c>
      <c r="J344" s="98"/>
      <c r="K344" s="98"/>
      <c r="L344" s="22"/>
      <c r="M344" s="22"/>
      <c r="N344" s="84"/>
      <c r="O344" s="22"/>
      <c r="P344" s="116"/>
      <c r="Q344" s="23"/>
      <c r="R344" s="27"/>
      <c r="S344" s="86" t="str">
        <f t="shared" si="132"/>
        <v/>
      </c>
      <c r="T344" s="87" t="str">
        <f t="shared" si="133"/>
        <v/>
      </c>
      <c r="U344" s="87" t="str" cm="1">
        <f t="array" ref="U344">IF(AND(H344&lt;&gt;"YES",P344&lt;&gt;"",R344&lt;&gt;"",Q344&lt;&gt;""),
_xlfn.SWITCH(Q344,
"INR",_xlfn.SWITCH(R344,"KG",P344*S344,"CTN",P344,"UNIT",P344*N344,"NET",P344/M344,0),
"USD",_xlfn.SWITCH(R344,"KG",P344*S344*SI!$C$10,"CTN",P344*SI!$C$10,"UNIT",P344*N344*SI!$C$10,"NET",P344*SI!$C$10/M344,0),
"LKR",_xlfn.SWITCH(R344,"KG",P344*S344/SI!$C$9,"CTN",P344/SI!$C$9,"UNIT",P344*N344/SI!$C$9,"NET",P344/(M344*SI!$C$9),0),
0),
"")</f>
        <v/>
      </c>
      <c r="V344" s="87" t="str">
        <f t="shared" si="134"/>
        <v/>
      </c>
      <c r="W344" s="87" t="str">
        <f t="shared" si="135"/>
        <v/>
      </c>
      <c r="X344" s="88" t="str">
        <f t="shared" si="136"/>
        <v/>
      </c>
      <c r="Y344" s="24" t="str">
        <f t="shared" si="137"/>
        <v/>
      </c>
      <c r="Z344" s="267" t="str">
        <f>IF(AND(H344&lt;&gt;"yes",F344&lt;&gt;""),IFERROR(VLOOKUP(F344,DUTY_2025!A:F,5,FALSE),""),"")</f>
        <v/>
      </c>
      <c r="AA344" s="271" t="str">
        <f t="shared" si="138"/>
        <v/>
      </c>
      <c r="AB344" s="16" t="str">
        <f t="shared" si="139"/>
        <v/>
      </c>
      <c r="AC344" s="16" t="str">
        <f>IF(AA344&lt;&gt;"",ROUND(AA344*SI!$C$9,0),"")</f>
        <v/>
      </c>
      <c r="AD344" s="4" t="str">
        <f>IF(AC344&lt;&gt;"",ROUND(AC344/(SI!$C$9*SI!$C$10),2),"")</f>
        <v/>
      </c>
      <c r="AE344" s="30" t="str">
        <f>IF(AND(X344&lt;&gt;""), ROUND((SI!$E$23)*(X344/SUM($X$5:$X$493)),0),"")</f>
        <v/>
      </c>
      <c r="AF344" s="272" t="str">
        <f t="shared" si="140"/>
        <v/>
      </c>
      <c r="AG344" s="28" t="str">
        <f t="shared" si="141"/>
        <v/>
      </c>
      <c r="AH344" s="4" t="str">
        <f>IF(AD344&lt;&gt;"",ROUND(AD344*10*SI!$C$9/2,0),"")</f>
        <v/>
      </c>
      <c r="AI344" s="29" t="str">
        <f>IF(AND(X344&lt;&gt;""), ROUND((SI!$E$28)*(X344/SUM($X$5:$X$493)),0),"")</f>
        <v/>
      </c>
      <c r="AJ344" s="4" t="str">
        <f t="shared" si="142"/>
        <v/>
      </c>
      <c r="AK344" s="4" t="str">
        <f t="shared" si="143"/>
        <v/>
      </c>
      <c r="AL344" s="4" t="str">
        <f t="shared" si="144"/>
        <v/>
      </c>
      <c r="AM344" s="4" t="str">
        <f t="shared" si="145"/>
        <v/>
      </c>
      <c r="AN344" s="195" t="str">
        <f t="shared" si="146"/>
        <v/>
      </c>
      <c r="AO344" s="261" t="str">
        <f>IF(AND(AM344&lt;&gt;"",P344&lt;&gt;""),ROUND((AM344*((100+SI!$C$11)/100)),0),"")</f>
        <v/>
      </c>
      <c r="AP344" s="28" t="str">
        <f>IF(AG344&lt;&gt;"",ROUND(AG344/SI!$C$9,2),"")</f>
        <v/>
      </c>
      <c r="AQ344" s="4" t="str">
        <f>IF(AH344&lt;&gt;"",ROUND(AH344/SI!$C$9,2),"")</f>
        <v/>
      </c>
      <c r="AR344" s="29" t="str">
        <f>IF(AI344&lt;&gt;"",ROUND(AI344/SI!$C$9,2),"")</f>
        <v/>
      </c>
      <c r="AS344" s="4" t="str">
        <f t="shared" si="147"/>
        <v/>
      </c>
      <c r="AT344" s="4" t="str">
        <f t="shared" si="148"/>
        <v/>
      </c>
      <c r="AU344" s="4" t="str">
        <f>IF(AL344&lt;&gt;"",ROUND(AL344/SI!$C$9,2),"")</f>
        <v/>
      </c>
      <c r="AV344" s="4" t="str">
        <f>IF(AM344&lt;&gt;"",ROUND(AM344/SI!$C$9,2),"")</f>
        <v/>
      </c>
      <c r="AW344" s="4" t="str">
        <f>IF(AN344&lt;&gt;"",ROUND(AN344/SI!$C$9,2),"")</f>
        <v/>
      </c>
      <c r="AX344" s="261" t="str">
        <f>IF(AO344&lt;&gt;"",ROUND(AO344/SI!$C$9,2),"")</f>
        <v/>
      </c>
      <c r="AY344" s="28" t="str">
        <f t="shared" si="149"/>
        <v/>
      </c>
      <c r="AZ344" s="4" t="str">
        <f>IF(AY344&lt;&gt;"",ROUND(AY344/(SI!$C$9*SI!$C$10),2),"")</f>
        <v/>
      </c>
      <c r="BA344" s="4" t="str">
        <f t="shared" si="150"/>
        <v/>
      </c>
      <c r="BB344" s="4" t="str">
        <f t="shared" si="151"/>
        <v/>
      </c>
      <c r="BC344" s="4" t="str">
        <f t="shared" si="152"/>
        <v/>
      </c>
      <c r="BD344" s="4" t="str">
        <f t="shared" si="153"/>
        <v/>
      </c>
      <c r="BE344" s="4" t="str">
        <f>IF(AND(X344&lt;&gt;""),ROUND(X344/SI!$C$10,2),"")</f>
        <v/>
      </c>
      <c r="BF344" s="4" t="str">
        <f t="shared" si="155"/>
        <v/>
      </c>
      <c r="BG344" s="264" t="str">
        <f t="shared" si="154"/>
        <v/>
      </c>
      <c r="BH344" s="71" t="str">
        <f>IF(F344&lt;&gt;"",VLOOKUP(F344,DUTY_2025!A:O,15,FALSE),"")</f>
        <v/>
      </c>
    </row>
    <row r="345" spans="1:60" x14ac:dyDescent="0.25">
      <c r="A345" s="133">
        <f t="shared" si="130"/>
        <v>66</v>
      </c>
      <c r="B345" s="83" t="str">
        <f t="shared" si="131"/>
        <v/>
      </c>
      <c r="C345" s="126"/>
      <c r="D345" s="130"/>
      <c r="E345" s="22"/>
      <c r="F345" s="85"/>
      <c r="G345" s="27" t="str">
        <f>IF(F345&lt;&gt;"",IFERROR(VLOOKUP(F345,DUTY_2025!A:I,6,FALSE),""),"")</f>
        <v/>
      </c>
      <c r="H345" s="85" t="s">
        <v>133</v>
      </c>
      <c r="I345" s="27" t="str">
        <f>IF(F345&lt;&gt;"",IFERROR(VLOOKUP(F345,DUTY_2025!A:H,2,FALSE),""),"")</f>
        <v/>
      </c>
      <c r="J345" s="98"/>
      <c r="K345" s="98"/>
      <c r="L345" s="22"/>
      <c r="M345" s="22"/>
      <c r="N345" s="84"/>
      <c r="O345" s="22"/>
      <c r="P345" s="116"/>
      <c r="Q345" s="23"/>
      <c r="R345" s="27"/>
      <c r="S345" s="86" t="str">
        <f t="shared" si="132"/>
        <v/>
      </c>
      <c r="T345" s="87" t="str">
        <f t="shared" si="133"/>
        <v/>
      </c>
      <c r="U345" s="87" t="str" cm="1">
        <f t="array" ref="U345">IF(AND(H345&lt;&gt;"YES",P345&lt;&gt;"",R345&lt;&gt;"",Q345&lt;&gt;""),
_xlfn.SWITCH(Q345,
"INR",_xlfn.SWITCH(R345,"KG",P345*S345,"CTN",P345,"UNIT",P345*N345,"NET",P345/M345,0),
"USD",_xlfn.SWITCH(R345,"KG",P345*S345*SI!$C$10,"CTN",P345*SI!$C$10,"UNIT",P345*N345*SI!$C$10,"NET",P345*SI!$C$10/M345,0),
"LKR",_xlfn.SWITCH(R345,"KG",P345*S345/SI!$C$9,"CTN",P345/SI!$C$9,"UNIT",P345*N345/SI!$C$9,"NET",P345/(M345*SI!$C$9),0),
0),
"")</f>
        <v/>
      </c>
      <c r="V345" s="87" t="str">
        <f t="shared" si="134"/>
        <v/>
      </c>
      <c r="W345" s="87" t="str">
        <f t="shared" si="135"/>
        <v/>
      </c>
      <c r="X345" s="88" t="str">
        <f t="shared" si="136"/>
        <v/>
      </c>
      <c r="Y345" s="24" t="str">
        <f t="shared" si="137"/>
        <v/>
      </c>
      <c r="Z345" s="267" t="str">
        <f>IF(AND(H345&lt;&gt;"yes",F345&lt;&gt;""),IFERROR(VLOOKUP(F345,DUTY_2025!A:F,5,FALSE),""),"")</f>
        <v/>
      </c>
      <c r="AA345" s="271" t="str">
        <f t="shared" si="138"/>
        <v/>
      </c>
      <c r="AB345" s="16" t="str">
        <f t="shared" si="139"/>
        <v/>
      </c>
      <c r="AC345" s="16" t="str">
        <f>IF(AA345&lt;&gt;"",ROUND(AA345*SI!$C$9,0),"")</f>
        <v/>
      </c>
      <c r="AD345" s="4" t="str">
        <f>IF(AC345&lt;&gt;"",ROUND(AC345/(SI!$C$9*SI!$C$10),2),"")</f>
        <v/>
      </c>
      <c r="AE345" s="30" t="str">
        <f>IF(AND(X345&lt;&gt;""), ROUND((SI!$E$23)*(X345/SUM($X$5:$X$493)),0),"")</f>
        <v/>
      </c>
      <c r="AF345" s="272" t="str">
        <f t="shared" si="140"/>
        <v/>
      </c>
      <c r="AG345" s="28" t="str">
        <f t="shared" si="141"/>
        <v/>
      </c>
      <c r="AH345" s="4" t="str">
        <f>IF(AD345&lt;&gt;"",ROUND(AD345*10*SI!$C$9/2,0),"")</f>
        <v/>
      </c>
      <c r="AI345" s="29" t="str">
        <f>IF(AND(X345&lt;&gt;""), ROUND((SI!$E$28)*(X345/SUM($X$5:$X$493)),0),"")</f>
        <v/>
      </c>
      <c r="AJ345" s="4" t="str">
        <f t="shared" si="142"/>
        <v/>
      </c>
      <c r="AK345" s="4" t="str">
        <f t="shared" si="143"/>
        <v/>
      </c>
      <c r="AL345" s="4" t="str">
        <f t="shared" si="144"/>
        <v/>
      </c>
      <c r="AM345" s="4" t="str">
        <f t="shared" si="145"/>
        <v/>
      </c>
      <c r="AN345" s="195" t="str">
        <f t="shared" si="146"/>
        <v/>
      </c>
      <c r="AO345" s="261" t="str">
        <f>IF(AND(AM345&lt;&gt;"",P345&lt;&gt;""),ROUND((AM345*((100+SI!$C$11)/100)),0),"")</f>
        <v/>
      </c>
      <c r="AP345" s="28" t="str">
        <f>IF(AG345&lt;&gt;"",ROUND(AG345/SI!$C$9,2),"")</f>
        <v/>
      </c>
      <c r="AQ345" s="4" t="str">
        <f>IF(AH345&lt;&gt;"",ROUND(AH345/SI!$C$9,2),"")</f>
        <v/>
      </c>
      <c r="AR345" s="29" t="str">
        <f>IF(AI345&lt;&gt;"",ROUND(AI345/SI!$C$9,2),"")</f>
        <v/>
      </c>
      <c r="AS345" s="4" t="str">
        <f t="shared" si="147"/>
        <v/>
      </c>
      <c r="AT345" s="4" t="str">
        <f t="shared" si="148"/>
        <v/>
      </c>
      <c r="AU345" s="4" t="str">
        <f>IF(AL345&lt;&gt;"",ROUND(AL345/SI!$C$9,2),"")</f>
        <v/>
      </c>
      <c r="AV345" s="4" t="str">
        <f>IF(AM345&lt;&gt;"",ROUND(AM345/SI!$C$9,2),"")</f>
        <v/>
      </c>
      <c r="AW345" s="4" t="str">
        <f>IF(AN345&lt;&gt;"",ROUND(AN345/SI!$C$9,2),"")</f>
        <v/>
      </c>
      <c r="AX345" s="261" t="str">
        <f>IF(AO345&lt;&gt;"",ROUND(AO345/SI!$C$9,2),"")</f>
        <v/>
      </c>
      <c r="AY345" s="28" t="str">
        <f t="shared" si="149"/>
        <v/>
      </c>
      <c r="AZ345" s="4" t="str">
        <f>IF(AY345&lt;&gt;"",ROUND(AY345/(SI!$C$9*SI!$C$10),2),"")</f>
        <v/>
      </c>
      <c r="BA345" s="4" t="str">
        <f t="shared" si="150"/>
        <v/>
      </c>
      <c r="BB345" s="4" t="str">
        <f t="shared" si="151"/>
        <v/>
      </c>
      <c r="BC345" s="4" t="str">
        <f t="shared" si="152"/>
        <v/>
      </c>
      <c r="BD345" s="4" t="str">
        <f t="shared" si="153"/>
        <v/>
      </c>
      <c r="BE345" s="4" t="str">
        <f>IF(AND(X345&lt;&gt;""),ROUND(X345/SI!$C$10,2),"")</f>
        <v/>
      </c>
      <c r="BF345" s="4" t="str">
        <f t="shared" si="155"/>
        <v/>
      </c>
      <c r="BG345" s="264" t="str">
        <f t="shared" si="154"/>
        <v/>
      </c>
      <c r="BH345" s="71" t="str">
        <f>IF(F345&lt;&gt;"",VLOOKUP(F345,DUTY_2025!A:O,15,FALSE),"")</f>
        <v/>
      </c>
    </row>
    <row r="346" spans="1:60" x14ac:dyDescent="0.25">
      <c r="A346" s="133">
        <f t="shared" si="130"/>
        <v>66</v>
      </c>
      <c r="B346" s="83" t="str">
        <f t="shared" si="131"/>
        <v/>
      </c>
      <c r="C346" s="126"/>
      <c r="D346" s="130"/>
      <c r="E346" s="22"/>
      <c r="F346" s="85"/>
      <c r="G346" s="27" t="str">
        <f>IF(F346&lt;&gt;"",IFERROR(VLOOKUP(F346,DUTY_2025!A:I,6,FALSE),""),"")</f>
        <v/>
      </c>
      <c r="H346" s="85" t="s">
        <v>133</v>
      </c>
      <c r="I346" s="27" t="str">
        <f>IF(F346&lt;&gt;"",IFERROR(VLOOKUP(F346,DUTY_2025!A:H,2,FALSE),""),"")</f>
        <v/>
      </c>
      <c r="J346" s="98"/>
      <c r="K346" s="98"/>
      <c r="L346" s="22"/>
      <c r="M346" s="22"/>
      <c r="N346" s="84"/>
      <c r="O346" s="22"/>
      <c r="P346" s="116"/>
      <c r="Q346" s="23"/>
      <c r="R346" s="27"/>
      <c r="S346" s="86" t="str">
        <f t="shared" si="132"/>
        <v/>
      </c>
      <c r="T346" s="87" t="str">
        <f t="shared" si="133"/>
        <v/>
      </c>
      <c r="U346" s="87" t="str" cm="1">
        <f t="array" ref="U346">IF(AND(H346&lt;&gt;"YES",P346&lt;&gt;"",R346&lt;&gt;"",Q346&lt;&gt;""),
_xlfn.SWITCH(Q346,
"INR",_xlfn.SWITCH(R346,"KG",P346*S346,"CTN",P346,"UNIT",P346*N346,"NET",P346/M346,0),
"USD",_xlfn.SWITCH(R346,"KG",P346*S346*SI!$C$10,"CTN",P346*SI!$C$10,"UNIT",P346*N346*SI!$C$10,"NET",P346*SI!$C$10/M346,0),
"LKR",_xlfn.SWITCH(R346,"KG",P346*S346/SI!$C$9,"CTN",P346/SI!$C$9,"UNIT",P346*N346/SI!$C$9,"NET",P346/(M346*SI!$C$9),0),
0),
"")</f>
        <v/>
      </c>
      <c r="V346" s="87" t="str">
        <f t="shared" si="134"/>
        <v/>
      </c>
      <c r="W346" s="87" t="str">
        <f t="shared" si="135"/>
        <v/>
      </c>
      <c r="X346" s="88" t="str">
        <f t="shared" si="136"/>
        <v/>
      </c>
      <c r="Y346" s="24" t="str">
        <f t="shared" si="137"/>
        <v/>
      </c>
      <c r="Z346" s="267" t="str">
        <f>IF(AND(H346&lt;&gt;"yes",F346&lt;&gt;""),IFERROR(VLOOKUP(F346,DUTY_2025!A:F,5,FALSE),""),"")</f>
        <v/>
      </c>
      <c r="AA346" s="271" t="str">
        <f t="shared" si="138"/>
        <v/>
      </c>
      <c r="AB346" s="16" t="str">
        <f t="shared" si="139"/>
        <v/>
      </c>
      <c r="AC346" s="16" t="str">
        <f>IF(AA346&lt;&gt;"",ROUND(AA346*SI!$C$9,0),"")</f>
        <v/>
      </c>
      <c r="AD346" s="4" t="str">
        <f>IF(AC346&lt;&gt;"",ROUND(AC346/(SI!$C$9*SI!$C$10),2),"")</f>
        <v/>
      </c>
      <c r="AE346" s="30" t="str">
        <f>IF(AND(X346&lt;&gt;""), ROUND((SI!$E$23)*(X346/SUM($X$5:$X$493)),0),"")</f>
        <v/>
      </c>
      <c r="AF346" s="272" t="str">
        <f t="shared" si="140"/>
        <v/>
      </c>
      <c r="AG346" s="28" t="str">
        <f t="shared" si="141"/>
        <v/>
      </c>
      <c r="AH346" s="4" t="str">
        <f>IF(AD346&lt;&gt;"",ROUND(AD346*10*SI!$C$9/2,0),"")</f>
        <v/>
      </c>
      <c r="AI346" s="29" t="str">
        <f>IF(AND(X346&lt;&gt;""), ROUND((SI!$E$28)*(X346/SUM($X$5:$X$493)),0),"")</f>
        <v/>
      </c>
      <c r="AJ346" s="4" t="str">
        <f t="shared" si="142"/>
        <v/>
      </c>
      <c r="AK346" s="4" t="str">
        <f t="shared" si="143"/>
        <v/>
      </c>
      <c r="AL346" s="4" t="str">
        <f t="shared" si="144"/>
        <v/>
      </c>
      <c r="AM346" s="4" t="str">
        <f t="shared" si="145"/>
        <v/>
      </c>
      <c r="AN346" s="195" t="str">
        <f t="shared" si="146"/>
        <v/>
      </c>
      <c r="AO346" s="261" t="str">
        <f>IF(AND(AM346&lt;&gt;"",P346&lt;&gt;""),ROUND((AM346*((100+SI!$C$11)/100)),0),"")</f>
        <v/>
      </c>
      <c r="AP346" s="28" t="str">
        <f>IF(AG346&lt;&gt;"",ROUND(AG346/SI!$C$9,2),"")</f>
        <v/>
      </c>
      <c r="AQ346" s="4" t="str">
        <f>IF(AH346&lt;&gt;"",ROUND(AH346/SI!$C$9,2),"")</f>
        <v/>
      </c>
      <c r="AR346" s="29" t="str">
        <f>IF(AI346&lt;&gt;"",ROUND(AI346/SI!$C$9,2),"")</f>
        <v/>
      </c>
      <c r="AS346" s="4" t="str">
        <f t="shared" si="147"/>
        <v/>
      </c>
      <c r="AT346" s="4" t="str">
        <f t="shared" si="148"/>
        <v/>
      </c>
      <c r="AU346" s="4" t="str">
        <f>IF(AL346&lt;&gt;"",ROUND(AL346/SI!$C$9,2),"")</f>
        <v/>
      </c>
      <c r="AV346" s="4" t="str">
        <f>IF(AM346&lt;&gt;"",ROUND(AM346/SI!$C$9,2),"")</f>
        <v/>
      </c>
      <c r="AW346" s="4" t="str">
        <f>IF(AN346&lt;&gt;"",ROUND(AN346/SI!$C$9,2),"")</f>
        <v/>
      </c>
      <c r="AX346" s="261" t="str">
        <f>IF(AO346&lt;&gt;"",ROUND(AO346/SI!$C$9,2),"")</f>
        <v/>
      </c>
      <c r="AY346" s="28" t="str">
        <f t="shared" si="149"/>
        <v/>
      </c>
      <c r="AZ346" s="4" t="str">
        <f>IF(AY346&lt;&gt;"",ROUND(AY346/(SI!$C$9*SI!$C$10),2),"")</f>
        <v/>
      </c>
      <c r="BA346" s="4" t="str">
        <f t="shared" si="150"/>
        <v/>
      </c>
      <c r="BB346" s="4" t="str">
        <f t="shared" si="151"/>
        <v/>
      </c>
      <c r="BC346" s="4" t="str">
        <f t="shared" si="152"/>
        <v/>
      </c>
      <c r="BD346" s="4" t="str">
        <f t="shared" si="153"/>
        <v/>
      </c>
      <c r="BE346" s="4" t="str">
        <f>IF(AND(X346&lt;&gt;""),ROUND(X346/SI!$C$10,2),"")</f>
        <v/>
      </c>
      <c r="BF346" s="4" t="str">
        <f t="shared" si="155"/>
        <v/>
      </c>
      <c r="BG346" s="264" t="str">
        <f t="shared" si="154"/>
        <v/>
      </c>
      <c r="BH346" s="71" t="str">
        <f>IF(F346&lt;&gt;"",VLOOKUP(F346,DUTY_2025!A:O,15,FALSE),"")</f>
        <v/>
      </c>
    </row>
    <row r="347" spans="1:60" x14ac:dyDescent="0.25">
      <c r="A347" s="133">
        <f t="shared" si="130"/>
        <v>66</v>
      </c>
      <c r="B347" s="83" t="str">
        <f t="shared" si="131"/>
        <v/>
      </c>
      <c r="C347" s="126"/>
      <c r="D347" s="130"/>
      <c r="E347" s="22"/>
      <c r="F347" s="85"/>
      <c r="G347" s="27" t="str">
        <f>IF(F347&lt;&gt;"",IFERROR(VLOOKUP(F347,DUTY_2025!A:I,6,FALSE),""),"")</f>
        <v/>
      </c>
      <c r="H347" s="85" t="s">
        <v>133</v>
      </c>
      <c r="I347" s="27" t="str">
        <f>IF(F347&lt;&gt;"",IFERROR(VLOOKUP(F347,DUTY_2025!A:H,2,FALSE),""),"")</f>
        <v/>
      </c>
      <c r="J347" s="98"/>
      <c r="K347" s="98"/>
      <c r="L347" s="22"/>
      <c r="M347" s="22"/>
      <c r="N347" s="84"/>
      <c r="O347" s="22"/>
      <c r="P347" s="116"/>
      <c r="Q347" s="23"/>
      <c r="R347" s="27"/>
      <c r="S347" s="86" t="str">
        <f t="shared" si="132"/>
        <v/>
      </c>
      <c r="T347" s="87" t="str">
        <f t="shared" si="133"/>
        <v/>
      </c>
      <c r="U347" s="87" t="str" cm="1">
        <f t="array" ref="U347">IF(AND(H347&lt;&gt;"YES",P347&lt;&gt;"",R347&lt;&gt;"",Q347&lt;&gt;""),
_xlfn.SWITCH(Q347,
"INR",_xlfn.SWITCH(R347,"KG",P347*S347,"CTN",P347,"UNIT",P347*N347,"NET",P347/M347,0),
"USD",_xlfn.SWITCH(R347,"KG",P347*S347*SI!$C$10,"CTN",P347*SI!$C$10,"UNIT",P347*N347*SI!$C$10,"NET",P347*SI!$C$10/M347,0),
"LKR",_xlfn.SWITCH(R347,"KG",P347*S347/SI!$C$9,"CTN",P347/SI!$C$9,"UNIT",P347*N347/SI!$C$9,"NET",P347/(M347*SI!$C$9),0),
0),
"")</f>
        <v/>
      </c>
      <c r="V347" s="87" t="str">
        <f t="shared" si="134"/>
        <v/>
      </c>
      <c r="W347" s="87" t="str">
        <f t="shared" si="135"/>
        <v/>
      </c>
      <c r="X347" s="88" t="str">
        <f t="shared" si="136"/>
        <v/>
      </c>
      <c r="Y347" s="24" t="str">
        <f t="shared" si="137"/>
        <v/>
      </c>
      <c r="Z347" s="267" t="str">
        <f>IF(AND(H347&lt;&gt;"yes",F347&lt;&gt;""),IFERROR(VLOOKUP(F347,DUTY_2025!A:F,5,FALSE),""),"")</f>
        <v/>
      </c>
      <c r="AA347" s="271" t="str">
        <f t="shared" si="138"/>
        <v/>
      </c>
      <c r="AB347" s="16" t="str">
        <f t="shared" si="139"/>
        <v/>
      </c>
      <c r="AC347" s="16" t="str">
        <f>IF(AA347&lt;&gt;"",ROUND(AA347*SI!$C$9,0),"")</f>
        <v/>
      </c>
      <c r="AD347" s="4" t="str">
        <f>IF(AC347&lt;&gt;"",ROUND(AC347/(SI!$C$9*SI!$C$10),2),"")</f>
        <v/>
      </c>
      <c r="AE347" s="30" t="str">
        <f>IF(AND(X347&lt;&gt;""), ROUND((SI!$E$23)*(X347/SUM($X$5:$X$493)),0),"")</f>
        <v/>
      </c>
      <c r="AF347" s="272" t="str">
        <f t="shared" si="140"/>
        <v/>
      </c>
      <c r="AG347" s="28" t="str">
        <f t="shared" si="141"/>
        <v/>
      </c>
      <c r="AH347" s="4" t="str">
        <f>IF(AD347&lt;&gt;"",ROUND(AD347*10*SI!$C$9/2,0),"")</f>
        <v/>
      </c>
      <c r="AI347" s="29" t="str">
        <f>IF(AND(X347&lt;&gt;""), ROUND((SI!$E$28)*(X347/SUM($X$5:$X$493)),0),"")</f>
        <v/>
      </c>
      <c r="AJ347" s="4" t="str">
        <f t="shared" si="142"/>
        <v/>
      </c>
      <c r="AK347" s="4" t="str">
        <f t="shared" si="143"/>
        <v/>
      </c>
      <c r="AL347" s="4" t="str">
        <f t="shared" si="144"/>
        <v/>
      </c>
      <c r="AM347" s="4" t="str">
        <f t="shared" si="145"/>
        <v/>
      </c>
      <c r="AN347" s="195" t="str">
        <f t="shared" si="146"/>
        <v/>
      </c>
      <c r="AO347" s="261" t="str">
        <f>IF(AND(AM347&lt;&gt;"",P347&lt;&gt;""),ROUND((AM347*((100+SI!$C$11)/100)),0),"")</f>
        <v/>
      </c>
      <c r="AP347" s="28" t="str">
        <f>IF(AG347&lt;&gt;"",ROUND(AG347/SI!$C$9,2),"")</f>
        <v/>
      </c>
      <c r="AQ347" s="4" t="str">
        <f>IF(AH347&lt;&gt;"",ROUND(AH347/SI!$C$9,2),"")</f>
        <v/>
      </c>
      <c r="AR347" s="29" t="str">
        <f>IF(AI347&lt;&gt;"",ROUND(AI347/SI!$C$9,2),"")</f>
        <v/>
      </c>
      <c r="AS347" s="4" t="str">
        <f t="shared" si="147"/>
        <v/>
      </c>
      <c r="AT347" s="4" t="str">
        <f t="shared" si="148"/>
        <v/>
      </c>
      <c r="AU347" s="4" t="str">
        <f>IF(AL347&lt;&gt;"",ROUND(AL347/SI!$C$9,2),"")</f>
        <v/>
      </c>
      <c r="AV347" s="4" t="str">
        <f>IF(AM347&lt;&gt;"",ROUND(AM347/SI!$C$9,2),"")</f>
        <v/>
      </c>
      <c r="AW347" s="4" t="str">
        <f>IF(AN347&lt;&gt;"",ROUND(AN347/SI!$C$9,2),"")</f>
        <v/>
      </c>
      <c r="AX347" s="261" t="str">
        <f>IF(AO347&lt;&gt;"",ROUND(AO347/SI!$C$9,2),"")</f>
        <v/>
      </c>
      <c r="AY347" s="28" t="str">
        <f t="shared" si="149"/>
        <v/>
      </c>
      <c r="AZ347" s="4" t="str">
        <f>IF(AY347&lt;&gt;"",ROUND(AY347/(SI!$C$9*SI!$C$10),2),"")</f>
        <v/>
      </c>
      <c r="BA347" s="4" t="str">
        <f t="shared" si="150"/>
        <v/>
      </c>
      <c r="BB347" s="4" t="str">
        <f t="shared" si="151"/>
        <v/>
      </c>
      <c r="BC347" s="4" t="str">
        <f t="shared" si="152"/>
        <v/>
      </c>
      <c r="BD347" s="4" t="str">
        <f t="shared" si="153"/>
        <v/>
      </c>
      <c r="BE347" s="4" t="str">
        <f>IF(AND(X347&lt;&gt;""),ROUND(X347/SI!$C$10,2),"")</f>
        <v/>
      </c>
      <c r="BF347" s="4" t="str">
        <f t="shared" si="155"/>
        <v/>
      </c>
      <c r="BG347" s="264" t="str">
        <f t="shared" si="154"/>
        <v/>
      </c>
      <c r="BH347" s="71" t="str">
        <f>IF(F347&lt;&gt;"",VLOOKUP(F347,DUTY_2025!A:O,15,FALSE),"")</f>
        <v/>
      </c>
    </row>
    <row r="348" spans="1:60" x14ac:dyDescent="0.25">
      <c r="A348" s="133">
        <f t="shared" si="130"/>
        <v>66</v>
      </c>
      <c r="B348" s="83" t="str">
        <f t="shared" si="131"/>
        <v/>
      </c>
      <c r="C348" s="126"/>
      <c r="D348" s="130"/>
      <c r="E348" s="22"/>
      <c r="F348" s="85"/>
      <c r="G348" s="27" t="str">
        <f>IF(F348&lt;&gt;"",IFERROR(VLOOKUP(F348,DUTY_2025!A:I,6,FALSE),""),"")</f>
        <v/>
      </c>
      <c r="H348" s="85" t="s">
        <v>133</v>
      </c>
      <c r="I348" s="27" t="str">
        <f>IF(F348&lt;&gt;"",IFERROR(VLOOKUP(F348,DUTY_2025!A:H,2,FALSE),""),"")</f>
        <v/>
      </c>
      <c r="J348" s="98"/>
      <c r="K348" s="98"/>
      <c r="L348" s="22"/>
      <c r="M348" s="22"/>
      <c r="N348" s="84"/>
      <c r="O348" s="22"/>
      <c r="P348" s="116"/>
      <c r="Q348" s="23"/>
      <c r="R348" s="27"/>
      <c r="S348" s="86" t="str">
        <f t="shared" si="132"/>
        <v/>
      </c>
      <c r="T348" s="87" t="str">
        <f t="shared" si="133"/>
        <v/>
      </c>
      <c r="U348" s="87" t="str" cm="1">
        <f t="array" ref="U348">IF(AND(H348&lt;&gt;"YES",P348&lt;&gt;"",R348&lt;&gt;"",Q348&lt;&gt;""),
_xlfn.SWITCH(Q348,
"INR",_xlfn.SWITCH(R348,"KG",P348*S348,"CTN",P348,"UNIT",P348*N348,"NET",P348/M348,0),
"USD",_xlfn.SWITCH(R348,"KG",P348*S348*SI!$C$10,"CTN",P348*SI!$C$10,"UNIT",P348*N348*SI!$C$10,"NET",P348*SI!$C$10/M348,0),
"LKR",_xlfn.SWITCH(R348,"KG",P348*S348/SI!$C$9,"CTN",P348/SI!$C$9,"UNIT",P348*N348/SI!$C$9,"NET",P348/(M348*SI!$C$9),0),
0),
"")</f>
        <v/>
      </c>
      <c r="V348" s="87" t="str">
        <f t="shared" si="134"/>
        <v/>
      </c>
      <c r="W348" s="87" t="str">
        <f t="shared" si="135"/>
        <v/>
      </c>
      <c r="X348" s="88" t="str">
        <f t="shared" si="136"/>
        <v/>
      </c>
      <c r="Y348" s="24" t="str">
        <f t="shared" si="137"/>
        <v/>
      </c>
      <c r="Z348" s="267" t="str">
        <f>IF(AND(H348&lt;&gt;"yes",F348&lt;&gt;""),IFERROR(VLOOKUP(F348,DUTY_2025!A:F,5,FALSE),""),"")</f>
        <v/>
      </c>
      <c r="AA348" s="271" t="str">
        <f t="shared" si="138"/>
        <v/>
      </c>
      <c r="AB348" s="16" t="str">
        <f t="shared" si="139"/>
        <v/>
      </c>
      <c r="AC348" s="16" t="str">
        <f>IF(AA348&lt;&gt;"",ROUND(AA348*SI!$C$9,0),"")</f>
        <v/>
      </c>
      <c r="AD348" s="4" t="str">
        <f>IF(AC348&lt;&gt;"",ROUND(AC348/(SI!$C$9*SI!$C$10),2),"")</f>
        <v/>
      </c>
      <c r="AE348" s="30" t="str">
        <f>IF(AND(X348&lt;&gt;""), ROUND((SI!$E$23)*(X348/SUM($X$5:$X$493)),0),"")</f>
        <v/>
      </c>
      <c r="AF348" s="272" t="str">
        <f t="shared" si="140"/>
        <v/>
      </c>
      <c r="AG348" s="28" t="str">
        <f t="shared" si="141"/>
        <v/>
      </c>
      <c r="AH348" s="4" t="str">
        <f>IF(AD348&lt;&gt;"",ROUND(AD348*10*SI!$C$9/2,0),"")</f>
        <v/>
      </c>
      <c r="AI348" s="29" t="str">
        <f>IF(AND(X348&lt;&gt;""), ROUND((SI!$E$28)*(X348/SUM($X$5:$X$493)),0),"")</f>
        <v/>
      </c>
      <c r="AJ348" s="4" t="str">
        <f t="shared" si="142"/>
        <v/>
      </c>
      <c r="AK348" s="4" t="str">
        <f t="shared" si="143"/>
        <v/>
      </c>
      <c r="AL348" s="4" t="str">
        <f t="shared" si="144"/>
        <v/>
      </c>
      <c r="AM348" s="4" t="str">
        <f t="shared" si="145"/>
        <v/>
      </c>
      <c r="AN348" s="195" t="str">
        <f t="shared" si="146"/>
        <v/>
      </c>
      <c r="AO348" s="261" t="str">
        <f>IF(AND(AM348&lt;&gt;"",P348&lt;&gt;""),ROUND((AM348*((100+SI!$C$11)/100)),0),"")</f>
        <v/>
      </c>
      <c r="AP348" s="28" t="str">
        <f>IF(AG348&lt;&gt;"",ROUND(AG348/SI!$C$9,2),"")</f>
        <v/>
      </c>
      <c r="AQ348" s="4" t="str">
        <f>IF(AH348&lt;&gt;"",ROUND(AH348/SI!$C$9,2),"")</f>
        <v/>
      </c>
      <c r="AR348" s="29" t="str">
        <f>IF(AI348&lt;&gt;"",ROUND(AI348/SI!$C$9,2),"")</f>
        <v/>
      </c>
      <c r="AS348" s="4" t="str">
        <f t="shared" si="147"/>
        <v/>
      </c>
      <c r="AT348" s="4" t="str">
        <f t="shared" si="148"/>
        <v/>
      </c>
      <c r="AU348" s="4" t="str">
        <f>IF(AL348&lt;&gt;"",ROUND(AL348/SI!$C$9,2),"")</f>
        <v/>
      </c>
      <c r="AV348" s="4" t="str">
        <f>IF(AM348&lt;&gt;"",ROUND(AM348/SI!$C$9,2),"")</f>
        <v/>
      </c>
      <c r="AW348" s="4" t="str">
        <f>IF(AN348&lt;&gt;"",ROUND(AN348/SI!$C$9,2),"")</f>
        <v/>
      </c>
      <c r="AX348" s="261" t="str">
        <f>IF(AO348&lt;&gt;"",ROUND(AO348/SI!$C$9,2),"")</f>
        <v/>
      </c>
      <c r="AY348" s="28" t="str">
        <f t="shared" si="149"/>
        <v/>
      </c>
      <c r="AZ348" s="4" t="str">
        <f>IF(AY348&lt;&gt;"",ROUND(AY348/(SI!$C$9*SI!$C$10),2),"")</f>
        <v/>
      </c>
      <c r="BA348" s="4" t="str">
        <f t="shared" si="150"/>
        <v/>
      </c>
      <c r="BB348" s="4" t="str">
        <f t="shared" si="151"/>
        <v/>
      </c>
      <c r="BC348" s="4" t="str">
        <f t="shared" si="152"/>
        <v/>
      </c>
      <c r="BD348" s="4" t="str">
        <f t="shared" si="153"/>
        <v/>
      </c>
      <c r="BE348" s="4" t="str">
        <f>IF(AND(X348&lt;&gt;""),ROUND(X348/SI!$C$10,2),"")</f>
        <v/>
      </c>
      <c r="BF348" s="4" t="str">
        <f t="shared" si="155"/>
        <v/>
      </c>
      <c r="BG348" s="264" t="str">
        <f t="shared" si="154"/>
        <v/>
      </c>
      <c r="BH348" s="71" t="str">
        <f>IF(F348&lt;&gt;"",VLOOKUP(F348,DUTY_2025!A:O,15,FALSE),"")</f>
        <v/>
      </c>
    </row>
    <row r="349" spans="1:60" x14ac:dyDescent="0.25">
      <c r="A349" s="133">
        <f t="shared" si="130"/>
        <v>66</v>
      </c>
      <c r="B349" s="83" t="str">
        <f t="shared" si="131"/>
        <v/>
      </c>
      <c r="C349" s="126"/>
      <c r="D349" s="130"/>
      <c r="E349" s="22"/>
      <c r="F349" s="85"/>
      <c r="G349" s="27" t="str">
        <f>IF(F349&lt;&gt;"",IFERROR(VLOOKUP(F349,DUTY_2025!A:I,6,FALSE),""),"")</f>
        <v/>
      </c>
      <c r="H349" s="85" t="s">
        <v>133</v>
      </c>
      <c r="I349" s="27" t="str">
        <f>IF(F349&lt;&gt;"",IFERROR(VLOOKUP(F349,DUTY_2025!A:H,2,FALSE),""),"")</f>
        <v/>
      </c>
      <c r="J349" s="98"/>
      <c r="K349" s="98"/>
      <c r="L349" s="22"/>
      <c r="M349" s="22"/>
      <c r="N349" s="84"/>
      <c r="O349" s="22"/>
      <c r="P349" s="116"/>
      <c r="Q349" s="23"/>
      <c r="R349" s="27"/>
      <c r="S349" s="86" t="str">
        <f t="shared" si="132"/>
        <v/>
      </c>
      <c r="T349" s="87" t="str">
        <f t="shared" si="133"/>
        <v/>
      </c>
      <c r="U349" s="87" t="str" cm="1">
        <f t="array" ref="U349">IF(AND(H349&lt;&gt;"YES",P349&lt;&gt;"",R349&lt;&gt;"",Q349&lt;&gt;""),
_xlfn.SWITCH(Q349,
"INR",_xlfn.SWITCH(R349,"KG",P349*S349,"CTN",P349,"UNIT",P349*N349,"NET",P349/M349,0),
"USD",_xlfn.SWITCH(R349,"KG",P349*S349*SI!$C$10,"CTN",P349*SI!$C$10,"UNIT",P349*N349*SI!$C$10,"NET",P349*SI!$C$10/M349,0),
"LKR",_xlfn.SWITCH(R349,"KG",P349*S349/SI!$C$9,"CTN",P349/SI!$C$9,"UNIT",P349*N349/SI!$C$9,"NET",P349/(M349*SI!$C$9),0),
0),
"")</f>
        <v/>
      </c>
      <c r="V349" s="87" t="str">
        <f t="shared" si="134"/>
        <v/>
      </c>
      <c r="W349" s="87" t="str">
        <f t="shared" si="135"/>
        <v/>
      </c>
      <c r="X349" s="88" t="str">
        <f t="shared" si="136"/>
        <v/>
      </c>
      <c r="Y349" s="24" t="str">
        <f t="shared" si="137"/>
        <v/>
      </c>
      <c r="Z349" s="267" t="str">
        <f>IF(AND(H349&lt;&gt;"yes",F349&lt;&gt;""),IFERROR(VLOOKUP(F349,DUTY_2025!A:F,5,FALSE),""),"")</f>
        <v/>
      </c>
      <c r="AA349" s="271" t="str">
        <f t="shared" si="138"/>
        <v/>
      </c>
      <c r="AB349" s="16" t="str">
        <f t="shared" si="139"/>
        <v/>
      </c>
      <c r="AC349" s="16" t="str">
        <f>IF(AA349&lt;&gt;"",ROUND(AA349*SI!$C$9,0),"")</f>
        <v/>
      </c>
      <c r="AD349" s="4" t="str">
        <f>IF(AC349&lt;&gt;"",ROUND(AC349/(SI!$C$9*SI!$C$10),2),"")</f>
        <v/>
      </c>
      <c r="AE349" s="30" t="str">
        <f>IF(AND(X349&lt;&gt;""), ROUND((SI!$E$23)*(X349/SUM($X$5:$X$493)),0),"")</f>
        <v/>
      </c>
      <c r="AF349" s="272" t="str">
        <f t="shared" si="140"/>
        <v/>
      </c>
      <c r="AG349" s="28" t="str">
        <f t="shared" si="141"/>
        <v/>
      </c>
      <c r="AH349" s="4" t="str">
        <f>IF(AD349&lt;&gt;"",ROUND(AD349*10*SI!$C$9/2,0),"")</f>
        <v/>
      </c>
      <c r="AI349" s="29" t="str">
        <f>IF(AND(X349&lt;&gt;""), ROUND((SI!$E$28)*(X349/SUM($X$5:$X$493)),0),"")</f>
        <v/>
      </c>
      <c r="AJ349" s="4" t="str">
        <f t="shared" si="142"/>
        <v/>
      </c>
      <c r="AK349" s="4" t="str">
        <f t="shared" si="143"/>
        <v/>
      </c>
      <c r="AL349" s="4" t="str">
        <f t="shared" si="144"/>
        <v/>
      </c>
      <c r="AM349" s="4" t="str">
        <f t="shared" si="145"/>
        <v/>
      </c>
      <c r="AN349" s="195" t="str">
        <f t="shared" si="146"/>
        <v/>
      </c>
      <c r="AO349" s="261" t="str">
        <f>IF(AND(AM349&lt;&gt;"",P349&lt;&gt;""),ROUND((AM349*((100+SI!$C$11)/100)),0),"")</f>
        <v/>
      </c>
      <c r="AP349" s="28" t="str">
        <f>IF(AG349&lt;&gt;"",ROUND(AG349/SI!$C$9,2),"")</f>
        <v/>
      </c>
      <c r="AQ349" s="4" t="str">
        <f>IF(AH349&lt;&gt;"",ROUND(AH349/SI!$C$9,2),"")</f>
        <v/>
      </c>
      <c r="AR349" s="29" t="str">
        <f>IF(AI349&lt;&gt;"",ROUND(AI349/SI!$C$9,2),"")</f>
        <v/>
      </c>
      <c r="AS349" s="4" t="str">
        <f t="shared" si="147"/>
        <v/>
      </c>
      <c r="AT349" s="4" t="str">
        <f t="shared" si="148"/>
        <v/>
      </c>
      <c r="AU349" s="4" t="str">
        <f>IF(AL349&lt;&gt;"",ROUND(AL349/SI!$C$9,2),"")</f>
        <v/>
      </c>
      <c r="AV349" s="4" t="str">
        <f>IF(AM349&lt;&gt;"",ROUND(AM349/SI!$C$9,2),"")</f>
        <v/>
      </c>
      <c r="AW349" s="4" t="str">
        <f>IF(AN349&lt;&gt;"",ROUND(AN349/SI!$C$9,2),"")</f>
        <v/>
      </c>
      <c r="AX349" s="261" t="str">
        <f>IF(AO349&lt;&gt;"",ROUND(AO349/SI!$C$9,2),"")</f>
        <v/>
      </c>
      <c r="AY349" s="28" t="str">
        <f t="shared" si="149"/>
        <v/>
      </c>
      <c r="AZ349" s="4" t="str">
        <f>IF(AY349&lt;&gt;"",ROUND(AY349/(SI!$C$9*SI!$C$10),2),"")</f>
        <v/>
      </c>
      <c r="BA349" s="4" t="str">
        <f t="shared" si="150"/>
        <v/>
      </c>
      <c r="BB349" s="4" t="str">
        <f t="shared" si="151"/>
        <v/>
      </c>
      <c r="BC349" s="4" t="str">
        <f t="shared" si="152"/>
        <v/>
      </c>
      <c r="BD349" s="4" t="str">
        <f t="shared" si="153"/>
        <v/>
      </c>
      <c r="BE349" s="4" t="str">
        <f>IF(AND(X349&lt;&gt;""),ROUND(X349/SI!$C$10,2),"")</f>
        <v/>
      </c>
      <c r="BF349" s="4" t="str">
        <f t="shared" si="155"/>
        <v/>
      </c>
      <c r="BG349" s="264" t="str">
        <f t="shared" si="154"/>
        <v/>
      </c>
      <c r="BH349" s="71" t="str">
        <f>IF(F349&lt;&gt;"",VLOOKUP(F349,DUTY_2025!A:O,15,FALSE),"")</f>
        <v/>
      </c>
    </row>
    <row r="350" spans="1:60" x14ac:dyDescent="0.25">
      <c r="A350" s="133">
        <f t="shared" si="130"/>
        <v>66</v>
      </c>
      <c r="B350" s="83" t="str">
        <f t="shared" si="131"/>
        <v/>
      </c>
      <c r="C350" s="126"/>
      <c r="D350" s="130"/>
      <c r="E350" s="22"/>
      <c r="F350" s="85"/>
      <c r="G350" s="27" t="str">
        <f>IF(F350&lt;&gt;"",IFERROR(VLOOKUP(F350,DUTY_2025!A:I,6,FALSE),""),"")</f>
        <v/>
      </c>
      <c r="H350" s="85" t="s">
        <v>133</v>
      </c>
      <c r="I350" s="27" t="str">
        <f>IF(F350&lt;&gt;"",IFERROR(VLOOKUP(F350,DUTY_2025!A:H,2,FALSE),""),"")</f>
        <v/>
      </c>
      <c r="J350" s="98"/>
      <c r="K350" s="98"/>
      <c r="L350" s="22"/>
      <c r="M350" s="22"/>
      <c r="N350" s="84"/>
      <c r="O350" s="22"/>
      <c r="P350" s="116"/>
      <c r="Q350" s="23"/>
      <c r="R350" s="27"/>
      <c r="S350" s="86" t="str">
        <f t="shared" si="132"/>
        <v/>
      </c>
      <c r="T350" s="87" t="str">
        <f t="shared" si="133"/>
        <v/>
      </c>
      <c r="U350" s="87" t="str" cm="1">
        <f t="array" ref="U350">IF(AND(H350&lt;&gt;"YES",P350&lt;&gt;"",R350&lt;&gt;"",Q350&lt;&gt;""),
_xlfn.SWITCH(Q350,
"INR",_xlfn.SWITCH(R350,"KG",P350*S350,"CTN",P350,"UNIT",P350*N350,"NET",P350/M350,0),
"USD",_xlfn.SWITCH(R350,"KG",P350*S350*SI!$C$10,"CTN",P350*SI!$C$10,"UNIT",P350*N350*SI!$C$10,"NET",P350*SI!$C$10/M350,0),
"LKR",_xlfn.SWITCH(R350,"KG",P350*S350/SI!$C$9,"CTN",P350/SI!$C$9,"UNIT",P350*N350/SI!$C$9,"NET",P350/(M350*SI!$C$9),0),
0),
"")</f>
        <v/>
      </c>
      <c r="V350" s="87" t="str">
        <f t="shared" si="134"/>
        <v/>
      </c>
      <c r="W350" s="87" t="str">
        <f t="shared" si="135"/>
        <v/>
      </c>
      <c r="X350" s="88" t="str">
        <f t="shared" si="136"/>
        <v/>
      </c>
      <c r="Y350" s="24" t="str">
        <f t="shared" si="137"/>
        <v/>
      </c>
      <c r="Z350" s="267" t="str">
        <f>IF(AND(H350&lt;&gt;"yes",F350&lt;&gt;""),IFERROR(VLOOKUP(F350,DUTY_2025!A:F,5,FALSE),""),"")</f>
        <v/>
      </c>
      <c r="AA350" s="271" t="str">
        <f t="shared" si="138"/>
        <v/>
      </c>
      <c r="AB350" s="16" t="str">
        <f t="shared" si="139"/>
        <v/>
      </c>
      <c r="AC350" s="16" t="str">
        <f>IF(AA350&lt;&gt;"",ROUND(AA350*SI!$C$9,0),"")</f>
        <v/>
      </c>
      <c r="AD350" s="4" t="str">
        <f>IF(AC350&lt;&gt;"",ROUND(AC350/(SI!$C$9*SI!$C$10),2),"")</f>
        <v/>
      </c>
      <c r="AE350" s="30" t="str">
        <f>IF(AND(X350&lt;&gt;""), ROUND((SI!$E$23)*(X350/SUM($X$5:$X$493)),0),"")</f>
        <v/>
      </c>
      <c r="AF350" s="272" t="str">
        <f t="shared" si="140"/>
        <v/>
      </c>
      <c r="AG350" s="28" t="str">
        <f t="shared" si="141"/>
        <v/>
      </c>
      <c r="AH350" s="4" t="str">
        <f>IF(AD350&lt;&gt;"",ROUND(AD350*10*SI!$C$9/2,0),"")</f>
        <v/>
      </c>
      <c r="AI350" s="29" t="str">
        <f>IF(AND(X350&lt;&gt;""), ROUND((SI!$E$28)*(X350/SUM($X$5:$X$493)),0),"")</f>
        <v/>
      </c>
      <c r="AJ350" s="4" t="str">
        <f t="shared" si="142"/>
        <v/>
      </c>
      <c r="AK350" s="4" t="str">
        <f t="shared" si="143"/>
        <v/>
      </c>
      <c r="AL350" s="4" t="str">
        <f t="shared" si="144"/>
        <v/>
      </c>
      <c r="AM350" s="4" t="str">
        <f t="shared" si="145"/>
        <v/>
      </c>
      <c r="AN350" s="195" t="str">
        <f t="shared" si="146"/>
        <v/>
      </c>
      <c r="AO350" s="261" t="str">
        <f>IF(AND(AM350&lt;&gt;"",P350&lt;&gt;""),ROUND((AM350*((100+SI!$C$11)/100)),0),"")</f>
        <v/>
      </c>
      <c r="AP350" s="28" t="str">
        <f>IF(AG350&lt;&gt;"",ROUND(AG350/SI!$C$9,2),"")</f>
        <v/>
      </c>
      <c r="AQ350" s="4" t="str">
        <f>IF(AH350&lt;&gt;"",ROUND(AH350/SI!$C$9,2),"")</f>
        <v/>
      </c>
      <c r="AR350" s="29" t="str">
        <f>IF(AI350&lt;&gt;"",ROUND(AI350/SI!$C$9,2),"")</f>
        <v/>
      </c>
      <c r="AS350" s="4" t="str">
        <f t="shared" si="147"/>
        <v/>
      </c>
      <c r="AT350" s="4" t="str">
        <f t="shared" si="148"/>
        <v/>
      </c>
      <c r="AU350" s="4" t="str">
        <f>IF(AL350&lt;&gt;"",ROUND(AL350/SI!$C$9,2),"")</f>
        <v/>
      </c>
      <c r="AV350" s="4" t="str">
        <f>IF(AM350&lt;&gt;"",ROUND(AM350/SI!$C$9,2),"")</f>
        <v/>
      </c>
      <c r="AW350" s="4" t="str">
        <f>IF(AN350&lt;&gt;"",ROUND(AN350/SI!$C$9,2),"")</f>
        <v/>
      </c>
      <c r="AX350" s="261" t="str">
        <f>IF(AO350&lt;&gt;"",ROUND(AO350/SI!$C$9,2),"")</f>
        <v/>
      </c>
      <c r="AY350" s="28" t="str">
        <f t="shared" si="149"/>
        <v/>
      </c>
      <c r="AZ350" s="4" t="str">
        <f>IF(AY350&lt;&gt;"",ROUND(AY350/(SI!$C$9*SI!$C$10),2),"")</f>
        <v/>
      </c>
      <c r="BA350" s="4" t="str">
        <f t="shared" si="150"/>
        <v/>
      </c>
      <c r="BB350" s="4" t="str">
        <f t="shared" si="151"/>
        <v/>
      </c>
      <c r="BC350" s="4" t="str">
        <f t="shared" si="152"/>
        <v/>
      </c>
      <c r="BD350" s="4" t="str">
        <f t="shared" si="153"/>
        <v/>
      </c>
      <c r="BE350" s="4" t="str">
        <f>IF(AND(X350&lt;&gt;""),ROUND(X350/SI!$C$10,2),"")</f>
        <v/>
      </c>
      <c r="BF350" s="4" t="str">
        <f t="shared" si="155"/>
        <v/>
      </c>
      <c r="BG350" s="264" t="str">
        <f t="shared" si="154"/>
        <v/>
      </c>
      <c r="BH350" s="71" t="str">
        <f>IF(F350&lt;&gt;"",VLOOKUP(F350,DUTY_2025!A:O,15,FALSE),"")</f>
        <v/>
      </c>
    </row>
    <row r="351" spans="1:60" x14ac:dyDescent="0.25">
      <c r="A351" s="133">
        <f t="shared" si="130"/>
        <v>66</v>
      </c>
      <c r="B351" s="83" t="str">
        <f t="shared" si="131"/>
        <v/>
      </c>
      <c r="C351" s="126"/>
      <c r="D351" s="130"/>
      <c r="E351" s="22"/>
      <c r="F351" s="85"/>
      <c r="G351" s="27" t="str">
        <f>IF(F351&lt;&gt;"",IFERROR(VLOOKUP(F351,DUTY_2025!A:I,6,FALSE),""),"")</f>
        <v/>
      </c>
      <c r="H351" s="85" t="s">
        <v>133</v>
      </c>
      <c r="I351" s="27" t="str">
        <f>IF(F351&lt;&gt;"",IFERROR(VLOOKUP(F351,DUTY_2025!A:H,2,FALSE),""),"")</f>
        <v/>
      </c>
      <c r="J351" s="98"/>
      <c r="K351" s="98"/>
      <c r="L351" s="22"/>
      <c r="M351" s="22"/>
      <c r="N351" s="84"/>
      <c r="O351" s="22"/>
      <c r="P351" s="116"/>
      <c r="Q351" s="23"/>
      <c r="R351" s="27"/>
      <c r="S351" s="86" t="str">
        <f t="shared" si="132"/>
        <v/>
      </c>
      <c r="T351" s="87" t="str">
        <f t="shared" si="133"/>
        <v/>
      </c>
      <c r="U351" s="87" t="str" cm="1">
        <f t="array" ref="U351">IF(AND(H351&lt;&gt;"YES",P351&lt;&gt;"",R351&lt;&gt;"",Q351&lt;&gt;""),
_xlfn.SWITCH(Q351,
"INR",_xlfn.SWITCH(R351,"KG",P351*S351,"CTN",P351,"UNIT",P351*N351,"NET",P351/M351,0),
"USD",_xlfn.SWITCH(R351,"KG",P351*S351*SI!$C$10,"CTN",P351*SI!$C$10,"UNIT",P351*N351*SI!$C$10,"NET",P351*SI!$C$10/M351,0),
"LKR",_xlfn.SWITCH(R351,"KG",P351*S351/SI!$C$9,"CTN",P351/SI!$C$9,"UNIT",P351*N351/SI!$C$9,"NET",P351/(M351*SI!$C$9),0),
0),
"")</f>
        <v/>
      </c>
      <c r="V351" s="87" t="str">
        <f t="shared" si="134"/>
        <v/>
      </c>
      <c r="W351" s="87" t="str">
        <f t="shared" si="135"/>
        <v/>
      </c>
      <c r="X351" s="88" t="str">
        <f t="shared" si="136"/>
        <v/>
      </c>
      <c r="Y351" s="24" t="str">
        <f t="shared" si="137"/>
        <v/>
      </c>
      <c r="Z351" s="267" t="str">
        <f>IF(AND(H351&lt;&gt;"yes",F351&lt;&gt;""),IFERROR(VLOOKUP(F351,DUTY_2025!A:F,5,FALSE),""),"")</f>
        <v/>
      </c>
      <c r="AA351" s="271" t="str">
        <f t="shared" si="138"/>
        <v/>
      </c>
      <c r="AB351" s="16" t="str">
        <f t="shared" si="139"/>
        <v/>
      </c>
      <c r="AC351" s="16" t="str">
        <f>IF(AA351&lt;&gt;"",ROUND(AA351*SI!$C$9,0),"")</f>
        <v/>
      </c>
      <c r="AD351" s="4" t="str">
        <f>IF(AC351&lt;&gt;"",ROUND(AC351/(SI!$C$9*SI!$C$10),2),"")</f>
        <v/>
      </c>
      <c r="AE351" s="30" t="str">
        <f>IF(AND(X351&lt;&gt;""), ROUND((SI!$E$23)*(X351/SUM($X$5:$X$493)),0),"")</f>
        <v/>
      </c>
      <c r="AF351" s="272" t="str">
        <f t="shared" si="140"/>
        <v/>
      </c>
      <c r="AG351" s="28" t="str">
        <f t="shared" si="141"/>
        <v/>
      </c>
      <c r="AH351" s="4" t="str">
        <f>IF(AD351&lt;&gt;"",ROUND(AD351*10*SI!$C$9/2,0),"")</f>
        <v/>
      </c>
      <c r="AI351" s="29" t="str">
        <f>IF(AND(X351&lt;&gt;""), ROUND((SI!$E$28)*(X351/SUM($X$5:$X$493)),0),"")</f>
        <v/>
      </c>
      <c r="AJ351" s="4" t="str">
        <f t="shared" si="142"/>
        <v/>
      </c>
      <c r="AK351" s="4" t="str">
        <f t="shared" si="143"/>
        <v/>
      </c>
      <c r="AL351" s="4" t="str">
        <f t="shared" si="144"/>
        <v/>
      </c>
      <c r="AM351" s="4" t="str">
        <f t="shared" si="145"/>
        <v/>
      </c>
      <c r="AN351" s="195" t="str">
        <f t="shared" si="146"/>
        <v/>
      </c>
      <c r="AO351" s="261" t="str">
        <f>IF(AND(AM351&lt;&gt;"",P351&lt;&gt;""),ROUND((AM351*((100+SI!$C$11)/100)),0),"")</f>
        <v/>
      </c>
      <c r="AP351" s="28" t="str">
        <f>IF(AG351&lt;&gt;"",ROUND(AG351/SI!$C$9,2),"")</f>
        <v/>
      </c>
      <c r="AQ351" s="4" t="str">
        <f>IF(AH351&lt;&gt;"",ROUND(AH351/SI!$C$9,2),"")</f>
        <v/>
      </c>
      <c r="AR351" s="29" t="str">
        <f>IF(AI351&lt;&gt;"",ROUND(AI351/SI!$C$9,2),"")</f>
        <v/>
      </c>
      <c r="AS351" s="4" t="str">
        <f t="shared" si="147"/>
        <v/>
      </c>
      <c r="AT351" s="4" t="str">
        <f t="shared" si="148"/>
        <v/>
      </c>
      <c r="AU351" s="4" t="str">
        <f>IF(AL351&lt;&gt;"",ROUND(AL351/SI!$C$9,2),"")</f>
        <v/>
      </c>
      <c r="AV351" s="4" t="str">
        <f>IF(AM351&lt;&gt;"",ROUND(AM351/SI!$C$9,2),"")</f>
        <v/>
      </c>
      <c r="AW351" s="4" t="str">
        <f>IF(AN351&lt;&gt;"",ROUND(AN351/SI!$C$9,2),"")</f>
        <v/>
      </c>
      <c r="AX351" s="261" t="str">
        <f>IF(AO351&lt;&gt;"",ROUND(AO351/SI!$C$9,2),"")</f>
        <v/>
      </c>
      <c r="AY351" s="28" t="str">
        <f t="shared" si="149"/>
        <v/>
      </c>
      <c r="AZ351" s="4" t="str">
        <f>IF(AY351&lt;&gt;"",ROUND(AY351/(SI!$C$9*SI!$C$10),2),"")</f>
        <v/>
      </c>
      <c r="BA351" s="4" t="str">
        <f t="shared" si="150"/>
        <v/>
      </c>
      <c r="BB351" s="4" t="str">
        <f t="shared" si="151"/>
        <v/>
      </c>
      <c r="BC351" s="4" t="str">
        <f t="shared" si="152"/>
        <v/>
      </c>
      <c r="BD351" s="4" t="str">
        <f t="shared" si="153"/>
        <v/>
      </c>
      <c r="BE351" s="4" t="str">
        <f>IF(AND(X351&lt;&gt;""),ROUND(X351/SI!$C$10,2),"")</f>
        <v/>
      </c>
      <c r="BF351" s="4" t="str">
        <f t="shared" si="155"/>
        <v/>
      </c>
      <c r="BG351" s="264" t="str">
        <f t="shared" si="154"/>
        <v/>
      </c>
      <c r="BH351" s="71" t="str">
        <f>IF(F351&lt;&gt;"",VLOOKUP(F351,DUTY_2025!A:O,15,FALSE),"")</f>
        <v/>
      </c>
    </row>
    <row r="352" spans="1:60" x14ac:dyDescent="0.25">
      <c r="A352" s="133">
        <f t="shared" si="130"/>
        <v>66</v>
      </c>
      <c r="B352" s="83" t="str">
        <f t="shared" si="131"/>
        <v/>
      </c>
      <c r="C352" s="126"/>
      <c r="D352" s="130"/>
      <c r="E352" s="22"/>
      <c r="F352" s="85"/>
      <c r="G352" s="27" t="str">
        <f>IF(F352&lt;&gt;"",IFERROR(VLOOKUP(F352,DUTY_2025!A:I,6,FALSE),""),"")</f>
        <v/>
      </c>
      <c r="H352" s="85" t="s">
        <v>133</v>
      </c>
      <c r="I352" s="27" t="str">
        <f>IF(F352&lt;&gt;"",IFERROR(VLOOKUP(F352,DUTY_2025!A:H,2,FALSE),""),"")</f>
        <v/>
      </c>
      <c r="J352" s="98"/>
      <c r="K352" s="98"/>
      <c r="L352" s="22"/>
      <c r="M352" s="22"/>
      <c r="N352" s="84"/>
      <c r="O352" s="22"/>
      <c r="P352" s="116"/>
      <c r="Q352" s="23"/>
      <c r="R352" s="27"/>
      <c r="S352" s="86" t="str">
        <f t="shared" si="132"/>
        <v/>
      </c>
      <c r="T352" s="87" t="str">
        <f t="shared" si="133"/>
        <v/>
      </c>
      <c r="U352" s="87" t="str" cm="1">
        <f t="array" ref="U352">IF(AND(H352&lt;&gt;"YES",P352&lt;&gt;"",R352&lt;&gt;"",Q352&lt;&gt;""),
_xlfn.SWITCH(Q352,
"INR",_xlfn.SWITCH(R352,"KG",P352*S352,"CTN",P352,"UNIT",P352*N352,"NET",P352/M352,0),
"USD",_xlfn.SWITCH(R352,"KG",P352*S352*SI!$C$10,"CTN",P352*SI!$C$10,"UNIT",P352*N352*SI!$C$10,"NET",P352*SI!$C$10/M352,0),
"LKR",_xlfn.SWITCH(R352,"KG",P352*S352/SI!$C$9,"CTN",P352/SI!$C$9,"UNIT",P352*N352/SI!$C$9,"NET",P352/(M352*SI!$C$9),0),
0),
"")</f>
        <v/>
      </c>
      <c r="V352" s="87" t="str">
        <f t="shared" si="134"/>
        <v/>
      </c>
      <c r="W352" s="87" t="str">
        <f t="shared" si="135"/>
        <v/>
      </c>
      <c r="X352" s="88" t="str">
        <f t="shared" si="136"/>
        <v/>
      </c>
      <c r="Y352" s="24" t="str">
        <f t="shared" si="137"/>
        <v/>
      </c>
      <c r="Z352" s="267" t="str">
        <f>IF(AND(H352&lt;&gt;"yes",F352&lt;&gt;""),IFERROR(VLOOKUP(F352,DUTY_2025!A:F,5,FALSE),""),"")</f>
        <v/>
      </c>
      <c r="AA352" s="271" t="str">
        <f t="shared" si="138"/>
        <v/>
      </c>
      <c r="AB352" s="16" t="str">
        <f t="shared" si="139"/>
        <v/>
      </c>
      <c r="AC352" s="16" t="str">
        <f>IF(AA352&lt;&gt;"",ROUND(AA352*SI!$C$9,0),"")</f>
        <v/>
      </c>
      <c r="AD352" s="4" t="str">
        <f>IF(AC352&lt;&gt;"",ROUND(AC352/(SI!$C$9*SI!$C$10),2),"")</f>
        <v/>
      </c>
      <c r="AE352" s="30" t="str">
        <f>IF(AND(X352&lt;&gt;""), ROUND((SI!$E$23)*(X352/SUM($X$5:$X$493)),0),"")</f>
        <v/>
      </c>
      <c r="AF352" s="272" t="str">
        <f t="shared" si="140"/>
        <v/>
      </c>
      <c r="AG352" s="28" t="str">
        <f t="shared" si="141"/>
        <v/>
      </c>
      <c r="AH352" s="4" t="str">
        <f>IF(AD352&lt;&gt;"",ROUND(AD352*10*SI!$C$9/2,0),"")</f>
        <v/>
      </c>
      <c r="AI352" s="29" t="str">
        <f>IF(AND(X352&lt;&gt;""), ROUND((SI!$E$28)*(X352/SUM($X$5:$X$493)),0),"")</f>
        <v/>
      </c>
      <c r="AJ352" s="4" t="str">
        <f t="shared" si="142"/>
        <v/>
      </c>
      <c r="AK352" s="4" t="str">
        <f t="shared" si="143"/>
        <v/>
      </c>
      <c r="AL352" s="4" t="str">
        <f t="shared" si="144"/>
        <v/>
      </c>
      <c r="AM352" s="4" t="str">
        <f t="shared" si="145"/>
        <v/>
      </c>
      <c r="AN352" s="195" t="str">
        <f t="shared" si="146"/>
        <v/>
      </c>
      <c r="AO352" s="261" t="str">
        <f>IF(AND(AM352&lt;&gt;"",P352&lt;&gt;""),ROUND((AM352*((100+SI!$C$11)/100)),0),"")</f>
        <v/>
      </c>
      <c r="AP352" s="28" t="str">
        <f>IF(AG352&lt;&gt;"",ROUND(AG352/SI!$C$9,2),"")</f>
        <v/>
      </c>
      <c r="AQ352" s="4" t="str">
        <f>IF(AH352&lt;&gt;"",ROUND(AH352/SI!$C$9,2),"")</f>
        <v/>
      </c>
      <c r="AR352" s="29" t="str">
        <f>IF(AI352&lt;&gt;"",ROUND(AI352/SI!$C$9,2),"")</f>
        <v/>
      </c>
      <c r="AS352" s="4" t="str">
        <f t="shared" si="147"/>
        <v/>
      </c>
      <c r="AT352" s="4" t="str">
        <f t="shared" si="148"/>
        <v/>
      </c>
      <c r="AU352" s="4" t="str">
        <f>IF(AL352&lt;&gt;"",ROUND(AL352/SI!$C$9,2),"")</f>
        <v/>
      </c>
      <c r="AV352" s="4" t="str">
        <f>IF(AM352&lt;&gt;"",ROUND(AM352/SI!$C$9,2),"")</f>
        <v/>
      </c>
      <c r="AW352" s="4" t="str">
        <f>IF(AN352&lt;&gt;"",ROUND(AN352/SI!$C$9,2),"")</f>
        <v/>
      </c>
      <c r="AX352" s="261" t="str">
        <f>IF(AO352&lt;&gt;"",ROUND(AO352/SI!$C$9,2),"")</f>
        <v/>
      </c>
      <c r="AY352" s="28" t="str">
        <f t="shared" si="149"/>
        <v/>
      </c>
      <c r="AZ352" s="4" t="str">
        <f>IF(AY352&lt;&gt;"",ROUND(AY352/(SI!$C$9*SI!$C$10),2),"")</f>
        <v/>
      </c>
      <c r="BA352" s="4" t="str">
        <f t="shared" si="150"/>
        <v/>
      </c>
      <c r="BB352" s="4" t="str">
        <f t="shared" si="151"/>
        <v/>
      </c>
      <c r="BC352" s="4" t="str">
        <f t="shared" si="152"/>
        <v/>
      </c>
      <c r="BD352" s="4" t="str">
        <f t="shared" si="153"/>
        <v/>
      </c>
      <c r="BE352" s="4" t="str">
        <f>IF(AND(X352&lt;&gt;""),ROUND(X352/SI!$C$10,2),"")</f>
        <v/>
      </c>
      <c r="BF352" s="4" t="str">
        <f t="shared" si="155"/>
        <v/>
      </c>
      <c r="BG352" s="264" t="str">
        <f t="shared" si="154"/>
        <v/>
      </c>
      <c r="BH352" s="71" t="str">
        <f>IF(F352&lt;&gt;"",VLOOKUP(F352,DUTY_2025!A:O,15,FALSE),"")</f>
        <v/>
      </c>
    </row>
    <row r="353" spans="1:60" x14ac:dyDescent="0.25">
      <c r="A353" s="133">
        <f t="shared" si="130"/>
        <v>66</v>
      </c>
      <c r="B353" s="83" t="str">
        <f t="shared" si="131"/>
        <v/>
      </c>
      <c r="C353" s="126"/>
      <c r="D353" s="130"/>
      <c r="E353" s="22"/>
      <c r="F353" s="85"/>
      <c r="G353" s="27" t="str">
        <f>IF(F353&lt;&gt;"",IFERROR(VLOOKUP(F353,DUTY_2025!A:I,6,FALSE),""),"")</f>
        <v/>
      </c>
      <c r="H353" s="85" t="s">
        <v>133</v>
      </c>
      <c r="I353" s="27" t="str">
        <f>IF(F353&lt;&gt;"",IFERROR(VLOOKUP(F353,DUTY_2025!A:H,2,FALSE),""),"")</f>
        <v/>
      </c>
      <c r="J353" s="98"/>
      <c r="K353" s="98"/>
      <c r="L353" s="22"/>
      <c r="M353" s="22"/>
      <c r="N353" s="84"/>
      <c r="O353" s="22"/>
      <c r="P353" s="116"/>
      <c r="Q353" s="23"/>
      <c r="R353" s="27"/>
      <c r="S353" s="86" t="str">
        <f t="shared" si="132"/>
        <v/>
      </c>
      <c r="T353" s="87" t="str">
        <f t="shared" si="133"/>
        <v/>
      </c>
      <c r="U353" s="87" t="str" cm="1">
        <f t="array" ref="U353">IF(AND(H353&lt;&gt;"YES",P353&lt;&gt;"",R353&lt;&gt;"",Q353&lt;&gt;""),
_xlfn.SWITCH(Q353,
"INR",_xlfn.SWITCH(R353,"KG",P353*S353,"CTN",P353,"UNIT",P353*N353,"NET",P353/M353,0),
"USD",_xlfn.SWITCH(R353,"KG",P353*S353*SI!$C$10,"CTN",P353*SI!$C$10,"UNIT",P353*N353*SI!$C$10,"NET",P353*SI!$C$10/M353,0),
"LKR",_xlfn.SWITCH(R353,"KG",P353*S353/SI!$C$9,"CTN",P353/SI!$C$9,"UNIT",P353*N353/SI!$C$9,"NET",P353/(M353*SI!$C$9),0),
0),
"")</f>
        <v/>
      </c>
      <c r="V353" s="87" t="str">
        <f t="shared" si="134"/>
        <v/>
      </c>
      <c r="W353" s="87" t="str">
        <f t="shared" si="135"/>
        <v/>
      </c>
      <c r="X353" s="88" t="str">
        <f t="shared" si="136"/>
        <v/>
      </c>
      <c r="Y353" s="24" t="str">
        <f t="shared" si="137"/>
        <v/>
      </c>
      <c r="Z353" s="267" t="str">
        <f>IF(AND(H353&lt;&gt;"yes",F353&lt;&gt;""),IFERROR(VLOOKUP(F353,DUTY_2025!A:F,5,FALSE),""),"")</f>
        <v/>
      </c>
      <c r="AA353" s="271" t="str">
        <f t="shared" si="138"/>
        <v/>
      </c>
      <c r="AB353" s="16" t="str">
        <f t="shared" si="139"/>
        <v/>
      </c>
      <c r="AC353" s="16" t="str">
        <f>IF(AA353&lt;&gt;"",ROUND(AA353*SI!$C$9,0),"")</f>
        <v/>
      </c>
      <c r="AD353" s="4" t="str">
        <f>IF(AC353&lt;&gt;"",ROUND(AC353/(SI!$C$9*SI!$C$10),2),"")</f>
        <v/>
      </c>
      <c r="AE353" s="30" t="str">
        <f>IF(AND(X353&lt;&gt;""), ROUND((SI!$E$23)*(X353/SUM($X$5:$X$493)),0),"")</f>
        <v/>
      </c>
      <c r="AF353" s="272" t="str">
        <f t="shared" si="140"/>
        <v/>
      </c>
      <c r="AG353" s="28" t="str">
        <f t="shared" si="141"/>
        <v/>
      </c>
      <c r="AH353" s="4" t="str">
        <f>IF(AD353&lt;&gt;"",ROUND(AD353*10*SI!$C$9/2,0),"")</f>
        <v/>
      </c>
      <c r="AI353" s="29" t="str">
        <f>IF(AND(X353&lt;&gt;""), ROUND((SI!$E$28)*(X353/SUM($X$5:$X$493)),0),"")</f>
        <v/>
      </c>
      <c r="AJ353" s="4" t="str">
        <f t="shared" si="142"/>
        <v/>
      </c>
      <c r="AK353" s="4" t="str">
        <f t="shared" si="143"/>
        <v/>
      </c>
      <c r="AL353" s="4" t="str">
        <f t="shared" si="144"/>
        <v/>
      </c>
      <c r="AM353" s="4" t="str">
        <f t="shared" si="145"/>
        <v/>
      </c>
      <c r="AN353" s="195" t="str">
        <f t="shared" si="146"/>
        <v/>
      </c>
      <c r="AO353" s="261" t="str">
        <f>IF(AND(AM353&lt;&gt;"",P353&lt;&gt;""),ROUND((AM353*((100+SI!$C$11)/100)),0),"")</f>
        <v/>
      </c>
      <c r="AP353" s="28" t="str">
        <f>IF(AG353&lt;&gt;"",ROUND(AG353/SI!$C$9,2),"")</f>
        <v/>
      </c>
      <c r="AQ353" s="4" t="str">
        <f>IF(AH353&lt;&gt;"",ROUND(AH353/SI!$C$9,2),"")</f>
        <v/>
      </c>
      <c r="AR353" s="29" t="str">
        <f>IF(AI353&lt;&gt;"",ROUND(AI353/SI!$C$9,2),"")</f>
        <v/>
      </c>
      <c r="AS353" s="4" t="str">
        <f t="shared" si="147"/>
        <v/>
      </c>
      <c r="AT353" s="4" t="str">
        <f t="shared" si="148"/>
        <v/>
      </c>
      <c r="AU353" s="4" t="str">
        <f>IF(AL353&lt;&gt;"",ROUND(AL353/SI!$C$9,2),"")</f>
        <v/>
      </c>
      <c r="AV353" s="4" t="str">
        <f>IF(AM353&lt;&gt;"",ROUND(AM353/SI!$C$9,2),"")</f>
        <v/>
      </c>
      <c r="AW353" s="4" t="str">
        <f>IF(AN353&lt;&gt;"",ROUND(AN353/SI!$C$9,2),"")</f>
        <v/>
      </c>
      <c r="AX353" s="261" t="str">
        <f>IF(AO353&lt;&gt;"",ROUND(AO353/SI!$C$9,2),"")</f>
        <v/>
      </c>
      <c r="AY353" s="28" t="str">
        <f t="shared" si="149"/>
        <v/>
      </c>
      <c r="AZ353" s="4" t="str">
        <f>IF(AY353&lt;&gt;"",ROUND(AY353/(SI!$C$9*SI!$C$10),2),"")</f>
        <v/>
      </c>
      <c r="BA353" s="4" t="str">
        <f t="shared" si="150"/>
        <v/>
      </c>
      <c r="BB353" s="4" t="str">
        <f t="shared" si="151"/>
        <v/>
      </c>
      <c r="BC353" s="4" t="str">
        <f t="shared" si="152"/>
        <v/>
      </c>
      <c r="BD353" s="4" t="str">
        <f t="shared" si="153"/>
        <v/>
      </c>
      <c r="BE353" s="4" t="str">
        <f>IF(AND(X353&lt;&gt;""),ROUND(X353/SI!$C$10,2),"")</f>
        <v/>
      </c>
      <c r="BF353" s="4" t="str">
        <f t="shared" si="155"/>
        <v/>
      </c>
      <c r="BG353" s="264" t="str">
        <f t="shared" si="154"/>
        <v/>
      </c>
      <c r="BH353" s="71" t="str">
        <f>IF(F353&lt;&gt;"",VLOOKUP(F353,DUTY_2025!A:O,15,FALSE),"")</f>
        <v/>
      </c>
    </row>
    <row r="354" spans="1:60" x14ac:dyDescent="0.25">
      <c r="A354" s="133">
        <f t="shared" si="130"/>
        <v>66</v>
      </c>
      <c r="B354" s="83" t="str">
        <f t="shared" si="131"/>
        <v/>
      </c>
      <c r="C354" s="126"/>
      <c r="D354" s="130"/>
      <c r="E354" s="22"/>
      <c r="F354" s="85"/>
      <c r="G354" s="27" t="str">
        <f>IF(F354&lt;&gt;"",IFERROR(VLOOKUP(F354,DUTY_2025!A:I,6,FALSE),""),"")</f>
        <v/>
      </c>
      <c r="H354" s="85" t="s">
        <v>133</v>
      </c>
      <c r="I354" s="27" t="str">
        <f>IF(F354&lt;&gt;"",IFERROR(VLOOKUP(F354,DUTY_2025!A:H,2,FALSE),""),"")</f>
        <v/>
      </c>
      <c r="J354" s="98"/>
      <c r="K354" s="98"/>
      <c r="L354" s="22"/>
      <c r="M354" s="22"/>
      <c r="N354" s="84"/>
      <c r="O354" s="22"/>
      <c r="P354" s="116"/>
      <c r="Q354" s="23"/>
      <c r="R354" s="27"/>
      <c r="S354" s="86" t="str">
        <f t="shared" si="132"/>
        <v/>
      </c>
      <c r="T354" s="87" t="str">
        <f t="shared" si="133"/>
        <v/>
      </c>
      <c r="U354" s="87" t="str" cm="1">
        <f t="array" ref="U354">IF(AND(H354&lt;&gt;"YES",P354&lt;&gt;"",R354&lt;&gt;"",Q354&lt;&gt;""),
_xlfn.SWITCH(Q354,
"INR",_xlfn.SWITCH(R354,"KG",P354*S354,"CTN",P354,"UNIT",P354*N354,"NET",P354/M354,0),
"USD",_xlfn.SWITCH(R354,"KG",P354*S354*SI!$C$10,"CTN",P354*SI!$C$10,"UNIT",P354*N354*SI!$C$10,"NET",P354*SI!$C$10/M354,0),
"LKR",_xlfn.SWITCH(R354,"KG",P354*S354/SI!$C$9,"CTN",P354/SI!$C$9,"UNIT",P354*N354/SI!$C$9,"NET",P354/(M354*SI!$C$9),0),
0),
"")</f>
        <v/>
      </c>
      <c r="V354" s="87" t="str">
        <f t="shared" si="134"/>
        <v/>
      </c>
      <c r="W354" s="87" t="str">
        <f t="shared" si="135"/>
        <v/>
      </c>
      <c r="X354" s="88" t="str">
        <f t="shared" si="136"/>
        <v/>
      </c>
      <c r="Y354" s="24" t="str">
        <f t="shared" si="137"/>
        <v/>
      </c>
      <c r="Z354" s="267" t="str">
        <f>IF(AND(H354&lt;&gt;"yes",F354&lt;&gt;""),IFERROR(VLOOKUP(F354,DUTY_2025!A:F,5,FALSE),""),"")</f>
        <v/>
      </c>
      <c r="AA354" s="271" t="str">
        <f t="shared" si="138"/>
        <v/>
      </c>
      <c r="AB354" s="16" t="str">
        <f t="shared" si="139"/>
        <v/>
      </c>
      <c r="AC354" s="16" t="str">
        <f>IF(AA354&lt;&gt;"",ROUND(AA354*SI!$C$9,0),"")</f>
        <v/>
      </c>
      <c r="AD354" s="4" t="str">
        <f>IF(AC354&lt;&gt;"",ROUND(AC354/(SI!$C$9*SI!$C$10),2),"")</f>
        <v/>
      </c>
      <c r="AE354" s="30" t="str">
        <f>IF(AND(X354&lt;&gt;""), ROUND((SI!$E$23)*(X354/SUM($X$5:$X$493)),0),"")</f>
        <v/>
      </c>
      <c r="AF354" s="272" t="str">
        <f t="shared" si="140"/>
        <v/>
      </c>
      <c r="AG354" s="28" t="str">
        <f t="shared" si="141"/>
        <v/>
      </c>
      <c r="AH354" s="4" t="str">
        <f>IF(AD354&lt;&gt;"",ROUND(AD354*10*SI!$C$9/2,0),"")</f>
        <v/>
      </c>
      <c r="AI354" s="29" t="str">
        <f>IF(AND(X354&lt;&gt;""), ROUND((SI!$E$28)*(X354/SUM($X$5:$X$493)),0),"")</f>
        <v/>
      </c>
      <c r="AJ354" s="4" t="str">
        <f t="shared" si="142"/>
        <v/>
      </c>
      <c r="AK354" s="4" t="str">
        <f t="shared" si="143"/>
        <v/>
      </c>
      <c r="AL354" s="4" t="str">
        <f t="shared" si="144"/>
        <v/>
      </c>
      <c r="AM354" s="4" t="str">
        <f t="shared" si="145"/>
        <v/>
      </c>
      <c r="AN354" s="195" t="str">
        <f t="shared" si="146"/>
        <v/>
      </c>
      <c r="AO354" s="261" t="str">
        <f>IF(AND(AM354&lt;&gt;"",P354&lt;&gt;""),ROUND((AM354*((100+SI!$C$11)/100)),0),"")</f>
        <v/>
      </c>
      <c r="AP354" s="28" t="str">
        <f>IF(AG354&lt;&gt;"",ROUND(AG354/SI!$C$9,2),"")</f>
        <v/>
      </c>
      <c r="AQ354" s="4" t="str">
        <f>IF(AH354&lt;&gt;"",ROUND(AH354/SI!$C$9,2),"")</f>
        <v/>
      </c>
      <c r="AR354" s="29" t="str">
        <f>IF(AI354&lt;&gt;"",ROUND(AI354/SI!$C$9,2),"")</f>
        <v/>
      </c>
      <c r="AS354" s="4" t="str">
        <f t="shared" si="147"/>
        <v/>
      </c>
      <c r="AT354" s="4" t="str">
        <f t="shared" si="148"/>
        <v/>
      </c>
      <c r="AU354" s="4" t="str">
        <f>IF(AL354&lt;&gt;"",ROUND(AL354/SI!$C$9,2),"")</f>
        <v/>
      </c>
      <c r="AV354" s="4" t="str">
        <f>IF(AM354&lt;&gt;"",ROUND(AM354/SI!$C$9,2),"")</f>
        <v/>
      </c>
      <c r="AW354" s="4" t="str">
        <f>IF(AN354&lt;&gt;"",ROUND(AN354/SI!$C$9,2),"")</f>
        <v/>
      </c>
      <c r="AX354" s="261" t="str">
        <f>IF(AO354&lt;&gt;"",ROUND(AO354/SI!$C$9,2),"")</f>
        <v/>
      </c>
      <c r="AY354" s="28" t="str">
        <f t="shared" si="149"/>
        <v/>
      </c>
      <c r="AZ354" s="4" t="str">
        <f>IF(AY354&lt;&gt;"",ROUND(AY354/(SI!$C$9*SI!$C$10),2),"")</f>
        <v/>
      </c>
      <c r="BA354" s="4" t="str">
        <f t="shared" si="150"/>
        <v/>
      </c>
      <c r="BB354" s="4" t="str">
        <f t="shared" si="151"/>
        <v/>
      </c>
      <c r="BC354" s="4" t="str">
        <f t="shared" si="152"/>
        <v/>
      </c>
      <c r="BD354" s="4" t="str">
        <f t="shared" si="153"/>
        <v/>
      </c>
      <c r="BE354" s="4" t="str">
        <f>IF(AND(X354&lt;&gt;""),ROUND(X354/SI!$C$10,2),"")</f>
        <v/>
      </c>
      <c r="BF354" s="4" t="str">
        <f t="shared" si="155"/>
        <v/>
      </c>
      <c r="BG354" s="264" t="str">
        <f t="shared" si="154"/>
        <v/>
      </c>
      <c r="BH354" s="71" t="str">
        <f>IF(F354&lt;&gt;"",VLOOKUP(F354,DUTY_2025!A:O,15,FALSE),"")</f>
        <v/>
      </c>
    </row>
    <row r="355" spans="1:60" x14ac:dyDescent="0.25">
      <c r="A355" s="133">
        <f t="shared" si="130"/>
        <v>66</v>
      </c>
      <c r="B355" s="83" t="str">
        <f t="shared" si="131"/>
        <v/>
      </c>
      <c r="C355" s="126"/>
      <c r="D355" s="130"/>
      <c r="E355" s="22"/>
      <c r="F355" s="85"/>
      <c r="G355" s="27" t="str">
        <f>IF(F355&lt;&gt;"",IFERROR(VLOOKUP(F355,DUTY_2025!A:I,6,FALSE),""),"")</f>
        <v/>
      </c>
      <c r="H355" s="85" t="s">
        <v>133</v>
      </c>
      <c r="I355" s="27" t="str">
        <f>IF(F355&lt;&gt;"",IFERROR(VLOOKUP(F355,DUTY_2025!A:H,2,FALSE),""),"")</f>
        <v/>
      </c>
      <c r="J355" s="98"/>
      <c r="K355" s="98"/>
      <c r="L355" s="22"/>
      <c r="M355" s="22"/>
      <c r="N355" s="84"/>
      <c r="O355" s="22"/>
      <c r="P355" s="116"/>
      <c r="Q355" s="23"/>
      <c r="R355" s="27"/>
      <c r="S355" s="86" t="str">
        <f t="shared" si="132"/>
        <v/>
      </c>
      <c r="T355" s="87" t="str">
        <f t="shared" si="133"/>
        <v/>
      </c>
      <c r="U355" s="87" t="str" cm="1">
        <f t="array" ref="U355">IF(AND(H355&lt;&gt;"YES",P355&lt;&gt;"",R355&lt;&gt;"",Q355&lt;&gt;""),
_xlfn.SWITCH(Q355,
"INR",_xlfn.SWITCH(R355,"KG",P355*S355,"CTN",P355,"UNIT",P355*N355,"NET",P355/M355,0),
"USD",_xlfn.SWITCH(R355,"KG",P355*S355*SI!$C$10,"CTN",P355*SI!$C$10,"UNIT",P355*N355*SI!$C$10,"NET",P355*SI!$C$10/M355,0),
"LKR",_xlfn.SWITCH(R355,"KG",P355*S355/SI!$C$9,"CTN",P355/SI!$C$9,"UNIT",P355*N355/SI!$C$9,"NET",P355/(M355*SI!$C$9),0),
0),
"")</f>
        <v/>
      </c>
      <c r="V355" s="87" t="str">
        <f t="shared" si="134"/>
        <v/>
      </c>
      <c r="W355" s="87" t="str">
        <f t="shared" si="135"/>
        <v/>
      </c>
      <c r="X355" s="88" t="str">
        <f t="shared" si="136"/>
        <v/>
      </c>
      <c r="Y355" s="24" t="str">
        <f t="shared" si="137"/>
        <v/>
      </c>
      <c r="Z355" s="267" t="str">
        <f>IF(AND(H355&lt;&gt;"yes",F355&lt;&gt;""),IFERROR(VLOOKUP(F355,DUTY_2025!A:F,5,FALSE),""),"")</f>
        <v/>
      </c>
      <c r="AA355" s="271" t="str">
        <f t="shared" si="138"/>
        <v/>
      </c>
      <c r="AB355" s="16" t="str">
        <f t="shared" si="139"/>
        <v/>
      </c>
      <c r="AC355" s="16" t="str">
        <f>IF(AA355&lt;&gt;"",ROUND(AA355*SI!$C$9,0),"")</f>
        <v/>
      </c>
      <c r="AD355" s="4" t="str">
        <f>IF(AC355&lt;&gt;"",ROUND(AC355/(SI!$C$9*SI!$C$10),2),"")</f>
        <v/>
      </c>
      <c r="AE355" s="30" t="str">
        <f>IF(AND(X355&lt;&gt;""), ROUND((SI!$E$23)*(X355/SUM($X$5:$X$493)),0),"")</f>
        <v/>
      </c>
      <c r="AF355" s="272" t="str">
        <f t="shared" si="140"/>
        <v/>
      </c>
      <c r="AG355" s="28" t="str">
        <f t="shared" si="141"/>
        <v/>
      </c>
      <c r="AH355" s="4" t="str">
        <f>IF(AD355&lt;&gt;"",ROUND(AD355*10*SI!$C$9/2,0),"")</f>
        <v/>
      </c>
      <c r="AI355" s="29" t="str">
        <f>IF(AND(X355&lt;&gt;""), ROUND((SI!$E$28)*(X355/SUM($X$5:$X$493)),0),"")</f>
        <v/>
      </c>
      <c r="AJ355" s="4" t="str">
        <f t="shared" si="142"/>
        <v/>
      </c>
      <c r="AK355" s="4" t="str">
        <f t="shared" si="143"/>
        <v/>
      </c>
      <c r="AL355" s="4" t="str">
        <f t="shared" si="144"/>
        <v/>
      </c>
      <c r="AM355" s="4" t="str">
        <f t="shared" si="145"/>
        <v/>
      </c>
      <c r="AN355" s="195" t="str">
        <f t="shared" si="146"/>
        <v/>
      </c>
      <c r="AO355" s="261" t="str">
        <f>IF(AND(AM355&lt;&gt;"",P355&lt;&gt;""),ROUND((AM355*((100+SI!$C$11)/100)),0),"")</f>
        <v/>
      </c>
      <c r="AP355" s="28" t="str">
        <f>IF(AG355&lt;&gt;"",ROUND(AG355/SI!$C$9,2),"")</f>
        <v/>
      </c>
      <c r="AQ355" s="4" t="str">
        <f>IF(AH355&lt;&gt;"",ROUND(AH355/SI!$C$9,2),"")</f>
        <v/>
      </c>
      <c r="AR355" s="29" t="str">
        <f>IF(AI355&lt;&gt;"",ROUND(AI355/SI!$C$9,2),"")</f>
        <v/>
      </c>
      <c r="AS355" s="4" t="str">
        <f t="shared" si="147"/>
        <v/>
      </c>
      <c r="AT355" s="4" t="str">
        <f t="shared" si="148"/>
        <v/>
      </c>
      <c r="AU355" s="4" t="str">
        <f>IF(AL355&lt;&gt;"",ROUND(AL355/SI!$C$9,2),"")</f>
        <v/>
      </c>
      <c r="AV355" s="4" t="str">
        <f>IF(AM355&lt;&gt;"",ROUND(AM355/SI!$C$9,2),"")</f>
        <v/>
      </c>
      <c r="AW355" s="4" t="str">
        <f>IF(AN355&lt;&gt;"",ROUND(AN355/SI!$C$9,2),"")</f>
        <v/>
      </c>
      <c r="AX355" s="261" t="str">
        <f>IF(AO355&lt;&gt;"",ROUND(AO355/SI!$C$9,2),"")</f>
        <v/>
      </c>
      <c r="AY355" s="28" t="str">
        <f t="shared" si="149"/>
        <v/>
      </c>
      <c r="AZ355" s="4" t="str">
        <f>IF(AY355&lt;&gt;"",ROUND(AY355/(SI!$C$9*SI!$C$10),2),"")</f>
        <v/>
      </c>
      <c r="BA355" s="4" t="str">
        <f t="shared" si="150"/>
        <v/>
      </c>
      <c r="BB355" s="4" t="str">
        <f t="shared" si="151"/>
        <v/>
      </c>
      <c r="BC355" s="4" t="str">
        <f t="shared" si="152"/>
        <v/>
      </c>
      <c r="BD355" s="4" t="str">
        <f t="shared" si="153"/>
        <v/>
      </c>
      <c r="BE355" s="4" t="str">
        <f>IF(AND(X355&lt;&gt;""),ROUND(X355/SI!$C$10,2),"")</f>
        <v/>
      </c>
      <c r="BF355" s="4" t="str">
        <f t="shared" si="155"/>
        <v/>
      </c>
      <c r="BG355" s="264" t="str">
        <f t="shared" si="154"/>
        <v/>
      </c>
      <c r="BH355" s="71" t="str">
        <f>IF(F355&lt;&gt;"",VLOOKUP(F355,DUTY_2025!A:O,15,FALSE),"")</f>
        <v/>
      </c>
    </row>
    <row r="356" spans="1:60" x14ac:dyDescent="0.25">
      <c r="A356" s="133">
        <f t="shared" si="130"/>
        <v>66</v>
      </c>
      <c r="B356" s="83" t="str">
        <f t="shared" si="131"/>
        <v/>
      </c>
      <c r="C356" s="126"/>
      <c r="D356" s="130"/>
      <c r="E356" s="22"/>
      <c r="F356" s="85"/>
      <c r="G356" s="27" t="str">
        <f>IF(F356&lt;&gt;"",IFERROR(VLOOKUP(F356,DUTY_2025!A:I,6,FALSE),""),"")</f>
        <v/>
      </c>
      <c r="H356" s="85" t="s">
        <v>133</v>
      </c>
      <c r="I356" s="27" t="str">
        <f>IF(F356&lt;&gt;"",IFERROR(VLOOKUP(F356,DUTY_2025!A:H,2,FALSE),""),"")</f>
        <v/>
      </c>
      <c r="J356" s="98"/>
      <c r="K356" s="98"/>
      <c r="L356" s="22"/>
      <c r="M356" s="22"/>
      <c r="N356" s="84"/>
      <c r="O356" s="22"/>
      <c r="P356" s="116"/>
      <c r="Q356" s="23"/>
      <c r="R356" s="27"/>
      <c r="S356" s="86" t="str">
        <f t="shared" si="132"/>
        <v/>
      </c>
      <c r="T356" s="87" t="str">
        <f t="shared" si="133"/>
        <v/>
      </c>
      <c r="U356" s="87" t="str" cm="1">
        <f t="array" ref="U356">IF(AND(H356&lt;&gt;"YES",P356&lt;&gt;"",R356&lt;&gt;"",Q356&lt;&gt;""),
_xlfn.SWITCH(Q356,
"INR",_xlfn.SWITCH(R356,"KG",P356*S356,"CTN",P356,"UNIT",P356*N356,"NET",P356/M356,0),
"USD",_xlfn.SWITCH(R356,"KG",P356*S356*SI!$C$10,"CTN",P356*SI!$C$10,"UNIT",P356*N356*SI!$C$10,"NET",P356*SI!$C$10/M356,0),
"LKR",_xlfn.SWITCH(R356,"KG",P356*S356/SI!$C$9,"CTN",P356/SI!$C$9,"UNIT",P356*N356/SI!$C$9,"NET",P356/(M356*SI!$C$9),0),
0),
"")</f>
        <v/>
      </c>
      <c r="V356" s="87" t="str">
        <f t="shared" si="134"/>
        <v/>
      </c>
      <c r="W356" s="87" t="str">
        <f t="shared" si="135"/>
        <v/>
      </c>
      <c r="X356" s="88" t="str">
        <f t="shared" si="136"/>
        <v/>
      </c>
      <c r="Y356" s="24" t="str">
        <f t="shared" si="137"/>
        <v/>
      </c>
      <c r="Z356" s="267" t="str">
        <f>IF(AND(H356&lt;&gt;"yes",F356&lt;&gt;""),IFERROR(VLOOKUP(F356,DUTY_2025!A:F,5,FALSE),""),"")</f>
        <v/>
      </c>
      <c r="AA356" s="271" t="str">
        <f t="shared" si="138"/>
        <v/>
      </c>
      <c r="AB356" s="16" t="str">
        <f t="shared" si="139"/>
        <v/>
      </c>
      <c r="AC356" s="16" t="str">
        <f>IF(AA356&lt;&gt;"",ROUND(AA356*SI!$C$9,0),"")</f>
        <v/>
      </c>
      <c r="AD356" s="4" t="str">
        <f>IF(AC356&lt;&gt;"",ROUND(AC356/(SI!$C$9*SI!$C$10),2),"")</f>
        <v/>
      </c>
      <c r="AE356" s="30" t="str">
        <f>IF(AND(X356&lt;&gt;""), ROUND((SI!$E$23)*(X356/SUM($X$5:$X$493)),0),"")</f>
        <v/>
      </c>
      <c r="AF356" s="272" t="str">
        <f t="shared" si="140"/>
        <v/>
      </c>
      <c r="AG356" s="28" t="str">
        <f t="shared" si="141"/>
        <v/>
      </c>
      <c r="AH356" s="4" t="str">
        <f>IF(AD356&lt;&gt;"",ROUND(AD356*10*SI!$C$9/2,0),"")</f>
        <v/>
      </c>
      <c r="AI356" s="29" t="str">
        <f>IF(AND(X356&lt;&gt;""), ROUND((SI!$E$28)*(X356/SUM($X$5:$X$493)),0),"")</f>
        <v/>
      </c>
      <c r="AJ356" s="4" t="str">
        <f t="shared" si="142"/>
        <v/>
      </c>
      <c r="AK356" s="4" t="str">
        <f t="shared" si="143"/>
        <v/>
      </c>
      <c r="AL356" s="4" t="str">
        <f t="shared" si="144"/>
        <v/>
      </c>
      <c r="AM356" s="4" t="str">
        <f t="shared" si="145"/>
        <v/>
      </c>
      <c r="AN356" s="195" t="str">
        <f t="shared" si="146"/>
        <v/>
      </c>
      <c r="AO356" s="261" t="str">
        <f>IF(AND(AM356&lt;&gt;"",P356&lt;&gt;""),ROUND((AM356*((100+SI!$C$11)/100)),0),"")</f>
        <v/>
      </c>
      <c r="AP356" s="28" t="str">
        <f>IF(AG356&lt;&gt;"",ROUND(AG356/SI!$C$9,2),"")</f>
        <v/>
      </c>
      <c r="AQ356" s="4" t="str">
        <f>IF(AH356&lt;&gt;"",ROUND(AH356/SI!$C$9,2),"")</f>
        <v/>
      </c>
      <c r="AR356" s="29" t="str">
        <f>IF(AI356&lt;&gt;"",ROUND(AI356/SI!$C$9,2),"")</f>
        <v/>
      </c>
      <c r="AS356" s="4" t="str">
        <f t="shared" si="147"/>
        <v/>
      </c>
      <c r="AT356" s="4" t="str">
        <f t="shared" si="148"/>
        <v/>
      </c>
      <c r="AU356" s="4" t="str">
        <f>IF(AL356&lt;&gt;"",ROUND(AL356/SI!$C$9,2),"")</f>
        <v/>
      </c>
      <c r="AV356" s="4" t="str">
        <f>IF(AM356&lt;&gt;"",ROUND(AM356/SI!$C$9,2),"")</f>
        <v/>
      </c>
      <c r="AW356" s="4" t="str">
        <f>IF(AN356&lt;&gt;"",ROUND(AN356/SI!$C$9,2),"")</f>
        <v/>
      </c>
      <c r="AX356" s="261" t="str">
        <f>IF(AO356&lt;&gt;"",ROUND(AO356/SI!$C$9,2),"")</f>
        <v/>
      </c>
      <c r="AY356" s="28" t="str">
        <f t="shared" si="149"/>
        <v/>
      </c>
      <c r="AZ356" s="4" t="str">
        <f>IF(AY356&lt;&gt;"",ROUND(AY356/(SI!$C$9*SI!$C$10),2),"")</f>
        <v/>
      </c>
      <c r="BA356" s="4" t="str">
        <f t="shared" si="150"/>
        <v/>
      </c>
      <c r="BB356" s="4" t="str">
        <f t="shared" si="151"/>
        <v/>
      </c>
      <c r="BC356" s="4" t="str">
        <f t="shared" si="152"/>
        <v/>
      </c>
      <c r="BD356" s="4" t="str">
        <f t="shared" si="153"/>
        <v/>
      </c>
      <c r="BE356" s="4" t="str">
        <f>IF(AND(X356&lt;&gt;""),ROUND(X356/SI!$C$10,2),"")</f>
        <v/>
      </c>
      <c r="BF356" s="4" t="str">
        <f t="shared" si="155"/>
        <v/>
      </c>
      <c r="BG356" s="264" t="str">
        <f t="shared" si="154"/>
        <v/>
      </c>
      <c r="BH356" s="71" t="str">
        <f>IF(F356&lt;&gt;"",VLOOKUP(F356,DUTY_2025!A:O,15,FALSE),"")</f>
        <v/>
      </c>
    </row>
    <row r="357" spans="1:60" x14ac:dyDescent="0.25">
      <c r="A357" s="133">
        <f t="shared" si="130"/>
        <v>66</v>
      </c>
      <c r="B357" s="83" t="str">
        <f t="shared" si="131"/>
        <v/>
      </c>
      <c r="C357" s="126"/>
      <c r="D357" s="130"/>
      <c r="E357" s="22"/>
      <c r="F357" s="85"/>
      <c r="G357" s="27" t="str">
        <f>IF(F357&lt;&gt;"",IFERROR(VLOOKUP(F357,DUTY_2025!A:I,6,FALSE),""),"")</f>
        <v/>
      </c>
      <c r="H357" s="85" t="s">
        <v>133</v>
      </c>
      <c r="I357" s="27" t="str">
        <f>IF(F357&lt;&gt;"",IFERROR(VLOOKUP(F357,DUTY_2025!A:H,2,FALSE),""),"")</f>
        <v/>
      </c>
      <c r="J357" s="98"/>
      <c r="K357" s="98"/>
      <c r="L357" s="22"/>
      <c r="M357" s="22"/>
      <c r="N357" s="84"/>
      <c r="O357" s="22"/>
      <c r="P357" s="116"/>
      <c r="Q357" s="23"/>
      <c r="R357" s="27"/>
      <c r="S357" s="86" t="str">
        <f t="shared" si="132"/>
        <v/>
      </c>
      <c r="T357" s="87" t="str">
        <f t="shared" si="133"/>
        <v/>
      </c>
      <c r="U357" s="87" t="str" cm="1">
        <f t="array" ref="U357">IF(AND(H357&lt;&gt;"YES",P357&lt;&gt;"",R357&lt;&gt;"",Q357&lt;&gt;""),
_xlfn.SWITCH(Q357,
"INR",_xlfn.SWITCH(R357,"KG",P357*S357,"CTN",P357,"UNIT",P357*N357,"NET",P357/M357,0),
"USD",_xlfn.SWITCH(R357,"KG",P357*S357*SI!$C$10,"CTN",P357*SI!$C$10,"UNIT",P357*N357*SI!$C$10,"NET",P357*SI!$C$10/M357,0),
"LKR",_xlfn.SWITCH(R357,"KG",P357*S357/SI!$C$9,"CTN",P357/SI!$C$9,"UNIT",P357*N357/SI!$C$9,"NET",P357/(M357*SI!$C$9),0),
0),
"")</f>
        <v/>
      </c>
      <c r="V357" s="87" t="str">
        <f t="shared" si="134"/>
        <v/>
      </c>
      <c r="W357" s="87" t="str">
        <f t="shared" si="135"/>
        <v/>
      </c>
      <c r="X357" s="88" t="str">
        <f t="shared" si="136"/>
        <v/>
      </c>
      <c r="Y357" s="24" t="str">
        <f t="shared" si="137"/>
        <v/>
      </c>
      <c r="Z357" s="267" t="str">
        <f>IF(AND(H357&lt;&gt;"yes",F357&lt;&gt;""),IFERROR(VLOOKUP(F357,DUTY_2025!A:F,5,FALSE),""),"")</f>
        <v/>
      </c>
      <c r="AA357" s="271" t="str">
        <f t="shared" si="138"/>
        <v/>
      </c>
      <c r="AB357" s="16" t="str">
        <f t="shared" si="139"/>
        <v/>
      </c>
      <c r="AC357" s="16" t="str">
        <f>IF(AA357&lt;&gt;"",ROUND(AA357*SI!$C$9,0),"")</f>
        <v/>
      </c>
      <c r="AD357" s="4" t="str">
        <f>IF(AC357&lt;&gt;"",ROUND(AC357/(SI!$C$9*SI!$C$10),2),"")</f>
        <v/>
      </c>
      <c r="AE357" s="30" t="str">
        <f>IF(AND(X357&lt;&gt;""), ROUND((SI!$E$23)*(X357/SUM($X$5:$X$493)),0),"")</f>
        <v/>
      </c>
      <c r="AF357" s="272" t="str">
        <f t="shared" si="140"/>
        <v/>
      </c>
      <c r="AG357" s="28" t="str">
        <f t="shared" si="141"/>
        <v/>
      </c>
      <c r="AH357" s="4" t="str">
        <f>IF(AD357&lt;&gt;"",ROUND(AD357*10*SI!$C$9/2,0),"")</f>
        <v/>
      </c>
      <c r="AI357" s="29" t="str">
        <f>IF(AND(X357&lt;&gt;""), ROUND((SI!$E$28)*(X357/SUM($X$5:$X$493)),0),"")</f>
        <v/>
      </c>
      <c r="AJ357" s="4" t="str">
        <f t="shared" si="142"/>
        <v/>
      </c>
      <c r="AK357" s="4" t="str">
        <f t="shared" si="143"/>
        <v/>
      </c>
      <c r="AL357" s="4" t="str">
        <f t="shared" si="144"/>
        <v/>
      </c>
      <c r="AM357" s="4" t="str">
        <f t="shared" si="145"/>
        <v/>
      </c>
      <c r="AN357" s="195" t="str">
        <f t="shared" si="146"/>
        <v/>
      </c>
      <c r="AO357" s="261" t="str">
        <f>IF(AND(AM357&lt;&gt;"",P357&lt;&gt;""),ROUND((AM357*((100+SI!$C$11)/100)),0),"")</f>
        <v/>
      </c>
      <c r="AP357" s="28" t="str">
        <f>IF(AG357&lt;&gt;"",ROUND(AG357/SI!$C$9,2),"")</f>
        <v/>
      </c>
      <c r="AQ357" s="4" t="str">
        <f>IF(AH357&lt;&gt;"",ROUND(AH357/SI!$C$9,2),"")</f>
        <v/>
      </c>
      <c r="AR357" s="29" t="str">
        <f>IF(AI357&lt;&gt;"",ROUND(AI357/SI!$C$9,2),"")</f>
        <v/>
      </c>
      <c r="AS357" s="4" t="str">
        <f t="shared" si="147"/>
        <v/>
      </c>
      <c r="AT357" s="4" t="str">
        <f t="shared" si="148"/>
        <v/>
      </c>
      <c r="AU357" s="4" t="str">
        <f>IF(AL357&lt;&gt;"",ROUND(AL357/SI!$C$9,2),"")</f>
        <v/>
      </c>
      <c r="AV357" s="4" t="str">
        <f>IF(AM357&lt;&gt;"",ROUND(AM357/SI!$C$9,2),"")</f>
        <v/>
      </c>
      <c r="AW357" s="4" t="str">
        <f>IF(AN357&lt;&gt;"",ROUND(AN357/SI!$C$9,2),"")</f>
        <v/>
      </c>
      <c r="AX357" s="261" t="str">
        <f>IF(AO357&lt;&gt;"",ROUND(AO357/SI!$C$9,2),"")</f>
        <v/>
      </c>
      <c r="AY357" s="28" t="str">
        <f t="shared" si="149"/>
        <v/>
      </c>
      <c r="AZ357" s="4" t="str">
        <f>IF(AY357&lt;&gt;"",ROUND(AY357/(SI!$C$9*SI!$C$10),2),"")</f>
        <v/>
      </c>
      <c r="BA357" s="4" t="str">
        <f t="shared" si="150"/>
        <v/>
      </c>
      <c r="BB357" s="4" t="str">
        <f t="shared" si="151"/>
        <v/>
      </c>
      <c r="BC357" s="4" t="str">
        <f t="shared" si="152"/>
        <v/>
      </c>
      <c r="BD357" s="4" t="str">
        <f t="shared" si="153"/>
        <v/>
      </c>
      <c r="BE357" s="4" t="str">
        <f>IF(AND(X357&lt;&gt;""),ROUND(X357/SI!$C$10,2),"")</f>
        <v/>
      </c>
      <c r="BF357" s="4" t="str">
        <f t="shared" si="155"/>
        <v/>
      </c>
      <c r="BG357" s="264" t="str">
        <f t="shared" si="154"/>
        <v/>
      </c>
      <c r="BH357" s="71" t="str">
        <f>IF(F357&lt;&gt;"",VLOOKUP(F357,DUTY_2025!A:O,15,FALSE),"")</f>
        <v/>
      </c>
    </row>
    <row r="358" spans="1:60" x14ac:dyDescent="0.25">
      <c r="A358" s="133">
        <f t="shared" si="130"/>
        <v>66</v>
      </c>
      <c r="B358" s="83" t="str">
        <f t="shared" si="131"/>
        <v/>
      </c>
      <c r="C358" s="126"/>
      <c r="D358" s="130"/>
      <c r="E358" s="22"/>
      <c r="F358" s="85"/>
      <c r="G358" s="27" t="str">
        <f>IF(F358&lt;&gt;"",IFERROR(VLOOKUP(F358,DUTY_2025!A:I,6,FALSE),""),"")</f>
        <v/>
      </c>
      <c r="H358" s="85" t="s">
        <v>133</v>
      </c>
      <c r="I358" s="27" t="str">
        <f>IF(F358&lt;&gt;"",IFERROR(VLOOKUP(F358,DUTY_2025!A:H,2,FALSE),""),"")</f>
        <v/>
      </c>
      <c r="J358" s="98"/>
      <c r="K358" s="98"/>
      <c r="L358" s="22"/>
      <c r="M358" s="22"/>
      <c r="N358" s="84"/>
      <c r="O358" s="22"/>
      <c r="P358" s="116"/>
      <c r="Q358" s="23"/>
      <c r="R358" s="27"/>
      <c r="S358" s="86" t="str">
        <f t="shared" si="132"/>
        <v/>
      </c>
      <c r="T358" s="87" t="str">
        <f t="shared" si="133"/>
        <v/>
      </c>
      <c r="U358" s="87" t="str" cm="1">
        <f t="array" ref="U358">IF(AND(H358&lt;&gt;"YES",P358&lt;&gt;"",R358&lt;&gt;"",Q358&lt;&gt;""),
_xlfn.SWITCH(Q358,
"INR",_xlfn.SWITCH(R358,"KG",P358*S358,"CTN",P358,"UNIT",P358*N358,"NET",P358/M358,0),
"USD",_xlfn.SWITCH(R358,"KG",P358*S358*SI!$C$10,"CTN",P358*SI!$C$10,"UNIT",P358*N358*SI!$C$10,"NET",P358*SI!$C$10/M358,0),
"LKR",_xlfn.SWITCH(R358,"KG",P358*S358/SI!$C$9,"CTN",P358/SI!$C$9,"UNIT",P358*N358/SI!$C$9,"NET",P358/(M358*SI!$C$9),0),
0),
"")</f>
        <v/>
      </c>
      <c r="V358" s="87" t="str">
        <f t="shared" si="134"/>
        <v/>
      </c>
      <c r="W358" s="87" t="str">
        <f t="shared" si="135"/>
        <v/>
      </c>
      <c r="X358" s="88" t="str">
        <f t="shared" si="136"/>
        <v/>
      </c>
      <c r="Y358" s="24" t="str">
        <f t="shared" si="137"/>
        <v/>
      </c>
      <c r="Z358" s="267" t="str">
        <f>IF(AND(H358&lt;&gt;"yes",F358&lt;&gt;""),IFERROR(VLOOKUP(F358,DUTY_2025!A:F,5,FALSE),""),"")</f>
        <v/>
      </c>
      <c r="AA358" s="271" t="str">
        <f t="shared" si="138"/>
        <v/>
      </c>
      <c r="AB358" s="16" t="str">
        <f t="shared" si="139"/>
        <v/>
      </c>
      <c r="AC358" s="16" t="str">
        <f>IF(AA358&lt;&gt;"",ROUND(AA358*SI!$C$9,0),"")</f>
        <v/>
      </c>
      <c r="AD358" s="4" t="str">
        <f>IF(AC358&lt;&gt;"",ROUND(AC358/(SI!$C$9*SI!$C$10),2),"")</f>
        <v/>
      </c>
      <c r="AE358" s="30" t="str">
        <f>IF(AND(X358&lt;&gt;""), ROUND((SI!$E$23)*(X358/SUM($X$5:$X$493)),0),"")</f>
        <v/>
      </c>
      <c r="AF358" s="272" t="str">
        <f t="shared" si="140"/>
        <v/>
      </c>
      <c r="AG358" s="28" t="str">
        <f t="shared" si="141"/>
        <v/>
      </c>
      <c r="AH358" s="4" t="str">
        <f>IF(AD358&lt;&gt;"",ROUND(AD358*10*SI!$C$9/2,0),"")</f>
        <v/>
      </c>
      <c r="AI358" s="29" t="str">
        <f>IF(AND(X358&lt;&gt;""), ROUND((SI!$E$28)*(X358/SUM($X$5:$X$493)),0),"")</f>
        <v/>
      </c>
      <c r="AJ358" s="4" t="str">
        <f t="shared" si="142"/>
        <v/>
      </c>
      <c r="AK358" s="4" t="str">
        <f t="shared" si="143"/>
        <v/>
      </c>
      <c r="AL358" s="4" t="str">
        <f t="shared" si="144"/>
        <v/>
      </c>
      <c r="AM358" s="4" t="str">
        <f t="shared" si="145"/>
        <v/>
      </c>
      <c r="AN358" s="195" t="str">
        <f t="shared" si="146"/>
        <v/>
      </c>
      <c r="AO358" s="261" t="str">
        <f>IF(AND(AM358&lt;&gt;"",P358&lt;&gt;""),ROUND((AM358*((100+SI!$C$11)/100)),0),"")</f>
        <v/>
      </c>
      <c r="AP358" s="28" t="str">
        <f>IF(AG358&lt;&gt;"",ROUND(AG358/SI!$C$9,2),"")</f>
        <v/>
      </c>
      <c r="AQ358" s="4" t="str">
        <f>IF(AH358&lt;&gt;"",ROUND(AH358/SI!$C$9,2),"")</f>
        <v/>
      </c>
      <c r="AR358" s="29" t="str">
        <f>IF(AI358&lt;&gt;"",ROUND(AI358/SI!$C$9,2),"")</f>
        <v/>
      </c>
      <c r="AS358" s="4" t="str">
        <f t="shared" si="147"/>
        <v/>
      </c>
      <c r="AT358" s="4" t="str">
        <f t="shared" si="148"/>
        <v/>
      </c>
      <c r="AU358" s="4" t="str">
        <f>IF(AL358&lt;&gt;"",ROUND(AL358/SI!$C$9,2),"")</f>
        <v/>
      </c>
      <c r="AV358" s="4" t="str">
        <f>IF(AM358&lt;&gt;"",ROUND(AM358/SI!$C$9,2),"")</f>
        <v/>
      </c>
      <c r="AW358" s="4" t="str">
        <f>IF(AN358&lt;&gt;"",ROUND(AN358/SI!$C$9,2),"")</f>
        <v/>
      </c>
      <c r="AX358" s="261" t="str">
        <f>IF(AO358&lt;&gt;"",ROUND(AO358/SI!$C$9,2),"")</f>
        <v/>
      </c>
      <c r="AY358" s="28" t="str">
        <f t="shared" si="149"/>
        <v/>
      </c>
      <c r="AZ358" s="4" t="str">
        <f>IF(AY358&lt;&gt;"",ROUND(AY358/(SI!$C$9*SI!$C$10),2),"")</f>
        <v/>
      </c>
      <c r="BA358" s="4" t="str">
        <f t="shared" si="150"/>
        <v/>
      </c>
      <c r="BB358" s="4" t="str">
        <f t="shared" si="151"/>
        <v/>
      </c>
      <c r="BC358" s="4" t="str">
        <f t="shared" si="152"/>
        <v/>
      </c>
      <c r="BD358" s="4" t="str">
        <f t="shared" si="153"/>
        <v/>
      </c>
      <c r="BE358" s="4" t="str">
        <f>IF(AND(X358&lt;&gt;""),ROUND(X358/SI!$C$10,2),"")</f>
        <v/>
      </c>
      <c r="BF358" s="4" t="str">
        <f t="shared" si="155"/>
        <v/>
      </c>
      <c r="BG358" s="264" t="str">
        <f t="shared" si="154"/>
        <v/>
      </c>
      <c r="BH358" s="71" t="str">
        <f>IF(F358&lt;&gt;"",VLOOKUP(F358,DUTY_2025!A:O,15,FALSE),"")</f>
        <v/>
      </c>
    </row>
    <row r="359" spans="1:60" x14ac:dyDescent="0.25">
      <c r="A359" s="133">
        <f t="shared" si="130"/>
        <v>66</v>
      </c>
      <c r="B359" s="83" t="str">
        <f t="shared" si="131"/>
        <v/>
      </c>
      <c r="C359" s="126"/>
      <c r="D359" s="130"/>
      <c r="E359" s="22"/>
      <c r="F359" s="85"/>
      <c r="G359" s="27" t="str">
        <f>IF(F359&lt;&gt;"",IFERROR(VLOOKUP(F359,DUTY_2025!A:I,6,FALSE),""),"")</f>
        <v/>
      </c>
      <c r="H359" s="85" t="s">
        <v>133</v>
      </c>
      <c r="I359" s="27" t="str">
        <f>IF(F359&lt;&gt;"",IFERROR(VLOOKUP(F359,DUTY_2025!A:H,2,FALSE),""),"")</f>
        <v/>
      </c>
      <c r="J359" s="98"/>
      <c r="K359" s="98"/>
      <c r="L359" s="22"/>
      <c r="M359" s="22"/>
      <c r="N359" s="84"/>
      <c r="O359" s="22"/>
      <c r="P359" s="116"/>
      <c r="Q359" s="23"/>
      <c r="R359" s="27"/>
      <c r="S359" s="86" t="str">
        <f t="shared" si="132"/>
        <v/>
      </c>
      <c r="T359" s="87" t="str">
        <f t="shared" si="133"/>
        <v/>
      </c>
      <c r="U359" s="87" t="str" cm="1">
        <f t="array" ref="U359">IF(AND(H359&lt;&gt;"YES",P359&lt;&gt;"",R359&lt;&gt;"",Q359&lt;&gt;""),
_xlfn.SWITCH(Q359,
"INR",_xlfn.SWITCH(R359,"KG",P359*S359,"CTN",P359,"UNIT",P359*N359,"NET",P359/M359,0),
"USD",_xlfn.SWITCH(R359,"KG",P359*S359*SI!$C$10,"CTN",P359*SI!$C$10,"UNIT",P359*N359*SI!$C$10,"NET",P359*SI!$C$10/M359,0),
"LKR",_xlfn.SWITCH(R359,"KG",P359*S359/SI!$C$9,"CTN",P359/SI!$C$9,"UNIT",P359*N359/SI!$C$9,"NET",P359/(M359*SI!$C$9),0),
0),
"")</f>
        <v/>
      </c>
      <c r="V359" s="87" t="str">
        <f t="shared" si="134"/>
        <v/>
      </c>
      <c r="W359" s="87" t="str">
        <f t="shared" si="135"/>
        <v/>
      </c>
      <c r="X359" s="88" t="str">
        <f t="shared" si="136"/>
        <v/>
      </c>
      <c r="Y359" s="24" t="str">
        <f t="shared" si="137"/>
        <v/>
      </c>
      <c r="Z359" s="267" t="str">
        <f>IF(AND(H359&lt;&gt;"yes",F359&lt;&gt;""),IFERROR(VLOOKUP(F359,DUTY_2025!A:F,5,FALSE),""),"")</f>
        <v/>
      </c>
      <c r="AA359" s="271" t="str">
        <f t="shared" si="138"/>
        <v/>
      </c>
      <c r="AB359" s="16" t="str">
        <f t="shared" si="139"/>
        <v/>
      </c>
      <c r="AC359" s="16" t="str">
        <f>IF(AA359&lt;&gt;"",ROUND(AA359*SI!$C$9,0),"")</f>
        <v/>
      </c>
      <c r="AD359" s="4" t="str">
        <f>IF(AC359&lt;&gt;"",ROUND(AC359/(SI!$C$9*SI!$C$10),2),"")</f>
        <v/>
      </c>
      <c r="AE359" s="30" t="str">
        <f>IF(AND(X359&lt;&gt;""), ROUND((SI!$E$23)*(X359/SUM($X$5:$X$493)),0),"")</f>
        <v/>
      </c>
      <c r="AF359" s="272" t="str">
        <f t="shared" si="140"/>
        <v/>
      </c>
      <c r="AG359" s="28" t="str">
        <f t="shared" si="141"/>
        <v/>
      </c>
      <c r="AH359" s="4" t="str">
        <f>IF(AD359&lt;&gt;"",ROUND(AD359*10*SI!$C$9/2,0),"")</f>
        <v/>
      </c>
      <c r="AI359" s="29" t="str">
        <f>IF(AND(X359&lt;&gt;""), ROUND((SI!$E$28)*(X359/SUM($X$5:$X$493)),0),"")</f>
        <v/>
      </c>
      <c r="AJ359" s="4" t="str">
        <f t="shared" si="142"/>
        <v/>
      </c>
      <c r="AK359" s="4" t="str">
        <f t="shared" si="143"/>
        <v/>
      </c>
      <c r="AL359" s="4" t="str">
        <f t="shared" si="144"/>
        <v/>
      </c>
      <c r="AM359" s="4" t="str">
        <f t="shared" si="145"/>
        <v/>
      </c>
      <c r="AN359" s="195" t="str">
        <f t="shared" si="146"/>
        <v/>
      </c>
      <c r="AO359" s="261" t="str">
        <f>IF(AND(AM359&lt;&gt;"",P359&lt;&gt;""),ROUND((AM359*((100+SI!$C$11)/100)),0),"")</f>
        <v/>
      </c>
      <c r="AP359" s="28" t="str">
        <f>IF(AG359&lt;&gt;"",ROUND(AG359/SI!$C$9,2),"")</f>
        <v/>
      </c>
      <c r="AQ359" s="4" t="str">
        <f>IF(AH359&lt;&gt;"",ROUND(AH359/SI!$C$9,2),"")</f>
        <v/>
      </c>
      <c r="AR359" s="29" t="str">
        <f>IF(AI359&lt;&gt;"",ROUND(AI359/SI!$C$9,2),"")</f>
        <v/>
      </c>
      <c r="AS359" s="4" t="str">
        <f t="shared" si="147"/>
        <v/>
      </c>
      <c r="AT359" s="4" t="str">
        <f t="shared" si="148"/>
        <v/>
      </c>
      <c r="AU359" s="4" t="str">
        <f>IF(AL359&lt;&gt;"",ROUND(AL359/SI!$C$9,2),"")</f>
        <v/>
      </c>
      <c r="AV359" s="4" t="str">
        <f>IF(AM359&lt;&gt;"",ROUND(AM359/SI!$C$9,2),"")</f>
        <v/>
      </c>
      <c r="AW359" s="4" t="str">
        <f>IF(AN359&lt;&gt;"",ROUND(AN359/SI!$C$9,2),"")</f>
        <v/>
      </c>
      <c r="AX359" s="261" t="str">
        <f>IF(AO359&lt;&gt;"",ROUND(AO359/SI!$C$9,2),"")</f>
        <v/>
      </c>
      <c r="AY359" s="28" t="str">
        <f t="shared" si="149"/>
        <v/>
      </c>
      <c r="AZ359" s="4" t="str">
        <f>IF(AY359&lt;&gt;"",ROUND(AY359/(SI!$C$9*SI!$C$10),2),"")</f>
        <v/>
      </c>
      <c r="BA359" s="4" t="str">
        <f t="shared" si="150"/>
        <v/>
      </c>
      <c r="BB359" s="4" t="str">
        <f t="shared" si="151"/>
        <v/>
      </c>
      <c r="BC359" s="4" t="str">
        <f t="shared" si="152"/>
        <v/>
      </c>
      <c r="BD359" s="4" t="str">
        <f t="shared" si="153"/>
        <v/>
      </c>
      <c r="BE359" s="4" t="str">
        <f>IF(AND(X359&lt;&gt;""),ROUND(X359/SI!$C$10,2),"")</f>
        <v/>
      </c>
      <c r="BF359" s="4" t="str">
        <f t="shared" si="155"/>
        <v/>
      </c>
      <c r="BG359" s="264" t="str">
        <f t="shared" si="154"/>
        <v/>
      </c>
      <c r="BH359" s="71" t="str">
        <f>IF(F359&lt;&gt;"",VLOOKUP(F359,DUTY_2025!A:O,15,FALSE),"")</f>
        <v/>
      </c>
    </row>
    <row r="360" spans="1:60" x14ac:dyDescent="0.25">
      <c r="A360" s="133">
        <f t="shared" si="130"/>
        <v>66</v>
      </c>
      <c r="B360" s="83" t="str">
        <f t="shared" si="131"/>
        <v/>
      </c>
      <c r="C360" s="126"/>
      <c r="D360" s="130"/>
      <c r="E360" s="22"/>
      <c r="F360" s="85"/>
      <c r="G360" s="27" t="str">
        <f>IF(F360&lt;&gt;"",IFERROR(VLOOKUP(F360,DUTY_2025!A:I,6,FALSE),""),"")</f>
        <v/>
      </c>
      <c r="H360" s="85" t="s">
        <v>133</v>
      </c>
      <c r="I360" s="27" t="str">
        <f>IF(F360&lt;&gt;"",IFERROR(VLOOKUP(F360,DUTY_2025!A:H,2,FALSE),""),"")</f>
        <v/>
      </c>
      <c r="J360" s="98"/>
      <c r="K360" s="98"/>
      <c r="L360" s="22"/>
      <c r="M360" s="22"/>
      <c r="N360" s="84"/>
      <c r="O360" s="22"/>
      <c r="P360" s="116"/>
      <c r="Q360" s="23"/>
      <c r="R360" s="27"/>
      <c r="S360" s="86" t="str">
        <f t="shared" si="132"/>
        <v/>
      </c>
      <c r="T360" s="87" t="str">
        <f t="shared" si="133"/>
        <v/>
      </c>
      <c r="U360" s="87" t="str" cm="1">
        <f t="array" ref="U360">IF(AND(H360&lt;&gt;"YES",P360&lt;&gt;"",R360&lt;&gt;"",Q360&lt;&gt;""),
_xlfn.SWITCH(Q360,
"INR",_xlfn.SWITCH(R360,"KG",P360*S360,"CTN",P360,"UNIT",P360*N360,"NET",P360/M360,0),
"USD",_xlfn.SWITCH(R360,"KG",P360*S360*SI!$C$10,"CTN",P360*SI!$C$10,"UNIT",P360*N360*SI!$C$10,"NET",P360*SI!$C$10/M360,0),
"LKR",_xlfn.SWITCH(R360,"KG",P360*S360/SI!$C$9,"CTN",P360/SI!$C$9,"UNIT",P360*N360/SI!$C$9,"NET",P360/(M360*SI!$C$9),0),
0),
"")</f>
        <v/>
      </c>
      <c r="V360" s="87" t="str">
        <f t="shared" si="134"/>
        <v/>
      </c>
      <c r="W360" s="87" t="str">
        <f t="shared" si="135"/>
        <v/>
      </c>
      <c r="X360" s="88" t="str">
        <f t="shared" si="136"/>
        <v/>
      </c>
      <c r="Y360" s="24" t="str">
        <f t="shared" si="137"/>
        <v/>
      </c>
      <c r="Z360" s="267" t="str">
        <f>IF(AND(H360&lt;&gt;"yes",F360&lt;&gt;""),IFERROR(VLOOKUP(F360,DUTY_2025!A:F,5,FALSE),""),"")</f>
        <v/>
      </c>
      <c r="AA360" s="271" t="str">
        <f t="shared" si="138"/>
        <v/>
      </c>
      <c r="AB360" s="16" t="str">
        <f t="shared" si="139"/>
        <v/>
      </c>
      <c r="AC360" s="16" t="str">
        <f>IF(AA360&lt;&gt;"",ROUND(AA360*SI!$C$9,0),"")</f>
        <v/>
      </c>
      <c r="AD360" s="4" t="str">
        <f>IF(AC360&lt;&gt;"",ROUND(AC360/(SI!$C$9*SI!$C$10),2),"")</f>
        <v/>
      </c>
      <c r="AE360" s="30" t="str">
        <f>IF(AND(X360&lt;&gt;""), ROUND((SI!$E$23)*(X360/SUM($X$5:$X$493)),0),"")</f>
        <v/>
      </c>
      <c r="AF360" s="272" t="str">
        <f t="shared" si="140"/>
        <v/>
      </c>
      <c r="AG360" s="28" t="str">
        <f t="shared" si="141"/>
        <v/>
      </c>
      <c r="AH360" s="4" t="str">
        <f>IF(AD360&lt;&gt;"",ROUND(AD360*10*SI!$C$9/2,0),"")</f>
        <v/>
      </c>
      <c r="AI360" s="29" t="str">
        <f>IF(AND(X360&lt;&gt;""), ROUND((SI!$E$28)*(X360/SUM($X$5:$X$493)),0),"")</f>
        <v/>
      </c>
      <c r="AJ360" s="4" t="str">
        <f t="shared" si="142"/>
        <v/>
      </c>
      <c r="AK360" s="4" t="str">
        <f t="shared" si="143"/>
        <v/>
      </c>
      <c r="AL360" s="4" t="str">
        <f t="shared" si="144"/>
        <v/>
      </c>
      <c r="AM360" s="4" t="str">
        <f t="shared" si="145"/>
        <v/>
      </c>
      <c r="AN360" s="195" t="str">
        <f t="shared" si="146"/>
        <v/>
      </c>
      <c r="AO360" s="261" t="str">
        <f>IF(AND(AM360&lt;&gt;"",P360&lt;&gt;""),ROUND((AM360*((100+SI!$C$11)/100)),0),"")</f>
        <v/>
      </c>
      <c r="AP360" s="28" t="str">
        <f>IF(AG360&lt;&gt;"",ROUND(AG360/SI!$C$9,2),"")</f>
        <v/>
      </c>
      <c r="AQ360" s="4" t="str">
        <f>IF(AH360&lt;&gt;"",ROUND(AH360/SI!$C$9,2),"")</f>
        <v/>
      </c>
      <c r="AR360" s="29" t="str">
        <f>IF(AI360&lt;&gt;"",ROUND(AI360/SI!$C$9,2),"")</f>
        <v/>
      </c>
      <c r="AS360" s="4" t="str">
        <f t="shared" si="147"/>
        <v/>
      </c>
      <c r="AT360" s="4" t="str">
        <f t="shared" si="148"/>
        <v/>
      </c>
      <c r="AU360" s="4" t="str">
        <f>IF(AL360&lt;&gt;"",ROUND(AL360/SI!$C$9,2),"")</f>
        <v/>
      </c>
      <c r="AV360" s="4" t="str">
        <f>IF(AM360&lt;&gt;"",ROUND(AM360/SI!$C$9,2),"")</f>
        <v/>
      </c>
      <c r="AW360" s="4" t="str">
        <f>IF(AN360&lt;&gt;"",ROUND(AN360/SI!$C$9,2),"")</f>
        <v/>
      </c>
      <c r="AX360" s="261" t="str">
        <f>IF(AO360&lt;&gt;"",ROUND(AO360/SI!$C$9,2),"")</f>
        <v/>
      </c>
      <c r="AY360" s="28" t="str">
        <f t="shared" si="149"/>
        <v/>
      </c>
      <c r="AZ360" s="4" t="str">
        <f>IF(AY360&lt;&gt;"",ROUND(AY360/(SI!$C$9*SI!$C$10),2),"")</f>
        <v/>
      </c>
      <c r="BA360" s="4" t="str">
        <f t="shared" si="150"/>
        <v/>
      </c>
      <c r="BB360" s="4" t="str">
        <f t="shared" si="151"/>
        <v/>
      </c>
      <c r="BC360" s="4" t="str">
        <f t="shared" si="152"/>
        <v/>
      </c>
      <c r="BD360" s="4" t="str">
        <f t="shared" si="153"/>
        <v/>
      </c>
      <c r="BE360" s="4" t="str">
        <f>IF(AND(X360&lt;&gt;""),ROUND(X360/SI!$C$10,2),"")</f>
        <v/>
      </c>
      <c r="BF360" s="4" t="str">
        <f t="shared" si="155"/>
        <v/>
      </c>
      <c r="BG360" s="264" t="str">
        <f t="shared" si="154"/>
        <v/>
      </c>
      <c r="BH360" s="71" t="str">
        <f>IF(F360&lt;&gt;"",VLOOKUP(F360,DUTY_2025!A:O,15,FALSE),"")</f>
        <v/>
      </c>
    </row>
    <row r="361" spans="1:60" x14ac:dyDescent="0.25">
      <c r="A361" s="133">
        <f t="shared" si="130"/>
        <v>66</v>
      </c>
      <c r="B361" s="83" t="str">
        <f t="shared" si="131"/>
        <v/>
      </c>
      <c r="C361" s="126"/>
      <c r="D361" s="130"/>
      <c r="E361" s="22"/>
      <c r="F361" s="85"/>
      <c r="G361" s="27" t="str">
        <f>IF(F361&lt;&gt;"",IFERROR(VLOOKUP(F361,DUTY_2025!A:I,6,FALSE),""),"")</f>
        <v/>
      </c>
      <c r="H361" s="85" t="s">
        <v>133</v>
      </c>
      <c r="I361" s="27" t="str">
        <f>IF(F361&lt;&gt;"",IFERROR(VLOOKUP(F361,DUTY_2025!A:H,2,FALSE),""),"")</f>
        <v/>
      </c>
      <c r="J361" s="98"/>
      <c r="K361" s="98"/>
      <c r="L361" s="22"/>
      <c r="M361" s="22"/>
      <c r="N361" s="84"/>
      <c r="O361" s="22"/>
      <c r="P361" s="116"/>
      <c r="Q361" s="23"/>
      <c r="R361" s="27"/>
      <c r="S361" s="86" t="str">
        <f t="shared" si="132"/>
        <v/>
      </c>
      <c r="T361" s="87" t="str">
        <f t="shared" si="133"/>
        <v/>
      </c>
      <c r="U361" s="87" t="str" cm="1">
        <f t="array" ref="U361">IF(AND(H361&lt;&gt;"YES",P361&lt;&gt;"",R361&lt;&gt;"",Q361&lt;&gt;""),
_xlfn.SWITCH(Q361,
"INR",_xlfn.SWITCH(R361,"KG",P361*S361,"CTN",P361,"UNIT",P361*N361,"NET",P361/M361,0),
"USD",_xlfn.SWITCH(R361,"KG",P361*S361*SI!$C$10,"CTN",P361*SI!$C$10,"UNIT",P361*N361*SI!$C$10,"NET",P361*SI!$C$10/M361,0),
"LKR",_xlfn.SWITCH(R361,"KG",P361*S361/SI!$C$9,"CTN",P361/SI!$C$9,"UNIT",P361*N361/SI!$C$9,"NET",P361/(M361*SI!$C$9),0),
0),
"")</f>
        <v/>
      </c>
      <c r="V361" s="87" t="str">
        <f t="shared" si="134"/>
        <v/>
      </c>
      <c r="W361" s="87" t="str">
        <f t="shared" si="135"/>
        <v/>
      </c>
      <c r="X361" s="88" t="str">
        <f t="shared" si="136"/>
        <v/>
      </c>
      <c r="Y361" s="24" t="str">
        <f t="shared" si="137"/>
        <v/>
      </c>
      <c r="Z361" s="267" t="str">
        <f>IF(AND(H361&lt;&gt;"yes",F361&lt;&gt;""),IFERROR(VLOOKUP(F361,DUTY_2025!A:F,5,FALSE),""),"")</f>
        <v/>
      </c>
      <c r="AA361" s="271" t="str">
        <f t="shared" si="138"/>
        <v/>
      </c>
      <c r="AB361" s="16" t="str">
        <f t="shared" si="139"/>
        <v/>
      </c>
      <c r="AC361" s="16" t="str">
        <f>IF(AA361&lt;&gt;"",ROUND(AA361*SI!$C$9,0),"")</f>
        <v/>
      </c>
      <c r="AD361" s="4" t="str">
        <f>IF(AC361&lt;&gt;"",ROUND(AC361/(SI!$C$9*SI!$C$10),2),"")</f>
        <v/>
      </c>
      <c r="AE361" s="30" t="str">
        <f>IF(AND(X361&lt;&gt;""), ROUND((SI!$E$23)*(X361/SUM($X$5:$X$493)),0),"")</f>
        <v/>
      </c>
      <c r="AF361" s="272" t="str">
        <f t="shared" si="140"/>
        <v/>
      </c>
      <c r="AG361" s="28" t="str">
        <f t="shared" si="141"/>
        <v/>
      </c>
      <c r="AH361" s="4" t="str">
        <f>IF(AD361&lt;&gt;"",ROUND(AD361*10*SI!$C$9/2,0),"")</f>
        <v/>
      </c>
      <c r="AI361" s="29" t="str">
        <f>IF(AND(X361&lt;&gt;""), ROUND((SI!$E$28)*(X361/SUM($X$5:$X$493)),0),"")</f>
        <v/>
      </c>
      <c r="AJ361" s="4" t="str">
        <f t="shared" si="142"/>
        <v/>
      </c>
      <c r="AK361" s="4" t="str">
        <f t="shared" si="143"/>
        <v/>
      </c>
      <c r="AL361" s="4" t="str">
        <f t="shared" si="144"/>
        <v/>
      </c>
      <c r="AM361" s="4" t="str">
        <f t="shared" si="145"/>
        <v/>
      </c>
      <c r="AN361" s="195" t="str">
        <f t="shared" si="146"/>
        <v/>
      </c>
      <c r="AO361" s="261" t="str">
        <f>IF(AND(AM361&lt;&gt;"",P361&lt;&gt;""),ROUND((AM361*((100+SI!$C$11)/100)),0),"")</f>
        <v/>
      </c>
      <c r="AP361" s="28" t="str">
        <f>IF(AG361&lt;&gt;"",ROUND(AG361/SI!$C$9,2),"")</f>
        <v/>
      </c>
      <c r="AQ361" s="4" t="str">
        <f>IF(AH361&lt;&gt;"",ROUND(AH361/SI!$C$9,2),"")</f>
        <v/>
      </c>
      <c r="AR361" s="29" t="str">
        <f>IF(AI361&lt;&gt;"",ROUND(AI361/SI!$C$9,2),"")</f>
        <v/>
      </c>
      <c r="AS361" s="4" t="str">
        <f t="shared" si="147"/>
        <v/>
      </c>
      <c r="AT361" s="4" t="str">
        <f t="shared" si="148"/>
        <v/>
      </c>
      <c r="AU361" s="4" t="str">
        <f>IF(AL361&lt;&gt;"",ROUND(AL361/SI!$C$9,2),"")</f>
        <v/>
      </c>
      <c r="AV361" s="4" t="str">
        <f>IF(AM361&lt;&gt;"",ROUND(AM361/SI!$C$9,2),"")</f>
        <v/>
      </c>
      <c r="AW361" s="4" t="str">
        <f>IF(AN361&lt;&gt;"",ROUND(AN361/SI!$C$9,2),"")</f>
        <v/>
      </c>
      <c r="AX361" s="261" t="str">
        <f>IF(AO361&lt;&gt;"",ROUND(AO361/SI!$C$9,2),"")</f>
        <v/>
      </c>
      <c r="AY361" s="28" t="str">
        <f t="shared" si="149"/>
        <v/>
      </c>
      <c r="AZ361" s="4" t="str">
        <f>IF(AY361&lt;&gt;"",ROUND(AY361/(SI!$C$9*SI!$C$10),2),"")</f>
        <v/>
      </c>
      <c r="BA361" s="4" t="str">
        <f t="shared" si="150"/>
        <v/>
      </c>
      <c r="BB361" s="4" t="str">
        <f t="shared" si="151"/>
        <v/>
      </c>
      <c r="BC361" s="4" t="str">
        <f t="shared" si="152"/>
        <v/>
      </c>
      <c r="BD361" s="4" t="str">
        <f t="shared" si="153"/>
        <v/>
      </c>
      <c r="BE361" s="4" t="str">
        <f>IF(AND(X361&lt;&gt;""),ROUND(X361/SI!$C$10,2),"")</f>
        <v/>
      </c>
      <c r="BF361" s="4" t="str">
        <f t="shared" si="155"/>
        <v/>
      </c>
      <c r="BG361" s="264" t="str">
        <f t="shared" si="154"/>
        <v/>
      </c>
      <c r="BH361" s="71" t="str">
        <f>IF(F361&lt;&gt;"",VLOOKUP(F361,DUTY_2025!A:O,15,FALSE),"")</f>
        <v/>
      </c>
    </row>
    <row r="362" spans="1:60" x14ac:dyDescent="0.25">
      <c r="A362" s="133">
        <f t="shared" si="130"/>
        <v>66</v>
      </c>
      <c r="B362" s="83" t="str">
        <f t="shared" si="131"/>
        <v/>
      </c>
      <c r="C362" s="126"/>
      <c r="D362" s="130"/>
      <c r="E362" s="22"/>
      <c r="F362" s="85"/>
      <c r="G362" s="27" t="str">
        <f>IF(F362&lt;&gt;"",IFERROR(VLOOKUP(F362,DUTY_2025!A:I,6,FALSE),""),"")</f>
        <v/>
      </c>
      <c r="H362" s="85" t="s">
        <v>133</v>
      </c>
      <c r="I362" s="27" t="str">
        <f>IF(F362&lt;&gt;"",IFERROR(VLOOKUP(F362,DUTY_2025!A:H,2,FALSE),""),"")</f>
        <v/>
      </c>
      <c r="J362" s="98"/>
      <c r="K362" s="98"/>
      <c r="L362" s="22"/>
      <c r="M362" s="22"/>
      <c r="N362" s="84"/>
      <c r="O362" s="22"/>
      <c r="P362" s="116"/>
      <c r="Q362" s="23"/>
      <c r="R362" s="27"/>
      <c r="S362" s="86" t="str">
        <f t="shared" si="132"/>
        <v/>
      </c>
      <c r="T362" s="87" t="str">
        <f t="shared" si="133"/>
        <v/>
      </c>
      <c r="U362" s="87" t="str" cm="1">
        <f t="array" ref="U362">IF(AND(H362&lt;&gt;"YES",P362&lt;&gt;"",R362&lt;&gt;"",Q362&lt;&gt;""),
_xlfn.SWITCH(Q362,
"INR",_xlfn.SWITCH(R362,"KG",P362*S362,"CTN",P362,"UNIT",P362*N362,"NET",P362/M362,0),
"USD",_xlfn.SWITCH(R362,"KG",P362*S362*SI!$C$10,"CTN",P362*SI!$C$10,"UNIT",P362*N362*SI!$C$10,"NET",P362*SI!$C$10/M362,0),
"LKR",_xlfn.SWITCH(R362,"KG",P362*S362/SI!$C$9,"CTN",P362/SI!$C$9,"UNIT",P362*N362/SI!$C$9,"NET",P362/(M362*SI!$C$9),0),
0),
"")</f>
        <v/>
      </c>
      <c r="V362" s="87" t="str">
        <f t="shared" si="134"/>
        <v/>
      </c>
      <c r="W362" s="87" t="str">
        <f t="shared" si="135"/>
        <v/>
      </c>
      <c r="X362" s="88" t="str">
        <f t="shared" si="136"/>
        <v/>
      </c>
      <c r="Y362" s="24" t="str">
        <f t="shared" si="137"/>
        <v/>
      </c>
      <c r="Z362" s="267" t="str">
        <f>IF(AND(H362&lt;&gt;"yes",F362&lt;&gt;""),IFERROR(VLOOKUP(F362,DUTY_2025!A:F,5,FALSE),""),"")</f>
        <v/>
      </c>
      <c r="AA362" s="271" t="str">
        <f t="shared" si="138"/>
        <v/>
      </c>
      <c r="AB362" s="16" t="str">
        <f t="shared" si="139"/>
        <v/>
      </c>
      <c r="AC362" s="16" t="str">
        <f>IF(AA362&lt;&gt;"",ROUND(AA362*SI!$C$9,0),"")</f>
        <v/>
      </c>
      <c r="AD362" s="4" t="str">
        <f>IF(AC362&lt;&gt;"",ROUND(AC362/(SI!$C$9*SI!$C$10),2),"")</f>
        <v/>
      </c>
      <c r="AE362" s="30" t="str">
        <f>IF(AND(X362&lt;&gt;""), ROUND((SI!$E$23)*(X362/SUM($X$5:$X$493)),0),"")</f>
        <v/>
      </c>
      <c r="AF362" s="272" t="str">
        <f t="shared" si="140"/>
        <v/>
      </c>
      <c r="AG362" s="28" t="str">
        <f t="shared" si="141"/>
        <v/>
      </c>
      <c r="AH362" s="4" t="str">
        <f>IF(AD362&lt;&gt;"",ROUND(AD362*10*SI!$C$9/2,0),"")</f>
        <v/>
      </c>
      <c r="AI362" s="29" t="str">
        <f>IF(AND(X362&lt;&gt;""), ROUND((SI!$E$28)*(X362/SUM($X$5:$X$493)),0),"")</f>
        <v/>
      </c>
      <c r="AJ362" s="4" t="str">
        <f t="shared" si="142"/>
        <v/>
      </c>
      <c r="AK362" s="4" t="str">
        <f t="shared" si="143"/>
        <v/>
      </c>
      <c r="AL362" s="4" t="str">
        <f t="shared" si="144"/>
        <v/>
      </c>
      <c r="AM362" s="4" t="str">
        <f t="shared" si="145"/>
        <v/>
      </c>
      <c r="AN362" s="195" t="str">
        <f t="shared" si="146"/>
        <v/>
      </c>
      <c r="AO362" s="261" t="str">
        <f>IF(AND(AM362&lt;&gt;"",P362&lt;&gt;""),ROUND((AM362*((100+SI!$C$11)/100)),0),"")</f>
        <v/>
      </c>
      <c r="AP362" s="28" t="str">
        <f>IF(AG362&lt;&gt;"",ROUND(AG362/SI!$C$9,2),"")</f>
        <v/>
      </c>
      <c r="AQ362" s="4" t="str">
        <f>IF(AH362&lt;&gt;"",ROUND(AH362/SI!$C$9,2),"")</f>
        <v/>
      </c>
      <c r="AR362" s="29" t="str">
        <f>IF(AI362&lt;&gt;"",ROUND(AI362/SI!$C$9,2),"")</f>
        <v/>
      </c>
      <c r="AS362" s="4" t="str">
        <f t="shared" si="147"/>
        <v/>
      </c>
      <c r="AT362" s="4" t="str">
        <f t="shared" si="148"/>
        <v/>
      </c>
      <c r="AU362" s="4" t="str">
        <f>IF(AL362&lt;&gt;"",ROUND(AL362/SI!$C$9,2),"")</f>
        <v/>
      </c>
      <c r="AV362" s="4" t="str">
        <f>IF(AM362&lt;&gt;"",ROUND(AM362/SI!$C$9,2),"")</f>
        <v/>
      </c>
      <c r="AW362" s="4" t="str">
        <f>IF(AN362&lt;&gt;"",ROUND(AN362/SI!$C$9,2),"")</f>
        <v/>
      </c>
      <c r="AX362" s="261" t="str">
        <f>IF(AO362&lt;&gt;"",ROUND(AO362/SI!$C$9,2),"")</f>
        <v/>
      </c>
      <c r="AY362" s="28" t="str">
        <f t="shared" si="149"/>
        <v/>
      </c>
      <c r="AZ362" s="4" t="str">
        <f>IF(AY362&lt;&gt;"",ROUND(AY362/(SI!$C$9*SI!$C$10),2),"")</f>
        <v/>
      </c>
      <c r="BA362" s="4" t="str">
        <f t="shared" si="150"/>
        <v/>
      </c>
      <c r="BB362" s="4" t="str">
        <f t="shared" si="151"/>
        <v/>
      </c>
      <c r="BC362" s="4" t="str">
        <f t="shared" si="152"/>
        <v/>
      </c>
      <c r="BD362" s="4" t="str">
        <f t="shared" si="153"/>
        <v/>
      </c>
      <c r="BE362" s="4" t="str">
        <f>IF(AND(X362&lt;&gt;""),ROUND(X362/SI!$C$10,2),"")</f>
        <v/>
      </c>
      <c r="BF362" s="4" t="str">
        <f t="shared" si="155"/>
        <v/>
      </c>
      <c r="BG362" s="264" t="str">
        <f t="shared" si="154"/>
        <v/>
      </c>
      <c r="BH362" s="71" t="str">
        <f>IF(F362&lt;&gt;"",VLOOKUP(F362,DUTY_2025!A:O,15,FALSE),"")</f>
        <v/>
      </c>
    </row>
    <row r="363" spans="1:60" x14ac:dyDescent="0.25">
      <c r="A363" s="133">
        <f t="shared" si="130"/>
        <v>66</v>
      </c>
      <c r="B363" s="83" t="str">
        <f t="shared" si="131"/>
        <v/>
      </c>
      <c r="C363" s="126"/>
      <c r="D363" s="130"/>
      <c r="E363" s="22"/>
      <c r="F363" s="85"/>
      <c r="G363" s="27" t="str">
        <f>IF(F363&lt;&gt;"",IFERROR(VLOOKUP(F363,DUTY_2025!A:I,6,FALSE),""),"")</f>
        <v/>
      </c>
      <c r="H363" s="85" t="s">
        <v>133</v>
      </c>
      <c r="I363" s="27" t="str">
        <f>IF(F363&lt;&gt;"",IFERROR(VLOOKUP(F363,DUTY_2025!A:H,2,FALSE),""),"")</f>
        <v/>
      </c>
      <c r="J363" s="98"/>
      <c r="K363" s="98"/>
      <c r="L363" s="22"/>
      <c r="M363" s="22"/>
      <c r="N363" s="84"/>
      <c r="O363" s="22"/>
      <c r="P363" s="116"/>
      <c r="Q363" s="23"/>
      <c r="R363" s="27"/>
      <c r="S363" s="86" t="str">
        <f t="shared" si="132"/>
        <v/>
      </c>
      <c r="T363" s="87" t="str">
        <f t="shared" si="133"/>
        <v/>
      </c>
      <c r="U363" s="87" t="str" cm="1">
        <f t="array" ref="U363">IF(AND(H363&lt;&gt;"YES",P363&lt;&gt;"",R363&lt;&gt;"",Q363&lt;&gt;""),
_xlfn.SWITCH(Q363,
"INR",_xlfn.SWITCH(R363,"KG",P363*S363,"CTN",P363,"UNIT",P363*N363,"NET",P363/M363,0),
"USD",_xlfn.SWITCH(R363,"KG",P363*S363*SI!$C$10,"CTN",P363*SI!$C$10,"UNIT",P363*N363*SI!$C$10,"NET",P363*SI!$C$10/M363,0),
"LKR",_xlfn.SWITCH(R363,"KG",P363*S363/SI!$C$9,"CTN",P363/SI!$C$9,"UNIT",P363*N363/SI!$C$9,"NET",P363/(M363*SI!$C$9),0),
0),
"")</f>
        <v/>
      </c>
      <c r="V363" s="87" t="str">
        <f t="shared" si="134"/>
        <v/>
      </c>
      <c r="W363" s="87" t="str">
        <f t="shared" si="135"/>
        <v/>
      </c>
      <c r="X363" s="88" t="str">
        <f t="shared" si="136"/>
        <v/>
      </c>
      <c r="Y363" s="24" t="str">
        <f t="shared" si="137"/>
        <v/>
      </c>
      <c r="Z363" s="267" t="str">
        <f>IF(AND(H363&lt;&gt;"yes",F363&lt;&gt;""),IFERROR(VLOOKUP(F363,DUTY_2025!A:F,5,FALSE),""),"")</f>
        <v/>
      </c>
      <c r="AA363" s="271" t="str">
        <f t="shared" si="138"/>
        <v/>
      </c>
      <c r="AB363" s="16" t="str">
        <f t="shared" si="139"/>
        <v/>
      </c>
      <c r="AC363" s="16" t="str">
        <f>IF(AA363&lt;&gt;"",ROUND(AA363*SI!$C$9,0),"")</f>
        <v/>
      </c>
      <c r="AD363" s="4" t="str">
        <f>IF(AC363&lt;&gt;"",ROUND(AC363/(SI!$C$9*SI!$C$10),2),"")</f>
        <v/>
      </c>
      <c r="AE363" s="30" t="str">
        <f>IF(AND(X363&lt;&gt;""), ROUND((SI!$E$23)*(X363/SUM($X$5:$X$493)),0),"")</f>
        <v/>
      </c>
      <c r="AF363" s="272" t="str">
        <f t="shared" si="140"/>
        <v/>
      </c>
      <c r="AG363" s="28" t="str">
        <f t="shared" si="141"/>
        <v/>
      </c>
      <c r="AH363" s="4" t="str">
        <f>IF(AD363&lt;&gt;"",ROUND(AD363*10*SI!$C$9/2,0),"")</f>
        <v/>
      </c>
      <c r="AI363" s="29" t="str">
        <f>IF(AND(X363&lt;&gt;""), ROUND((SI!$E$28)*(X363/SUM($X$5:$X$493)),0),"")</f>
        <v/>
      </c>
      <c r="AJ363" s="4" t="str">
        <f t="shared" si="142"/>
        <v/>
      </c>
      <c r="AK363" s="4" t="str">
        <f t="shared" si="143"/>
        <v/>
      </c>
      <c r="AL363" s="4" t="str">
        <f t="shared" si="144"/>
        <v/>
      </c>
      <c r="AM363" s="4" t="str">
        <f t="shared" si="145"/>
        <v/>
      </c>
      <c r="AN363" s="195" t="str">
        <f t="shared" si="146"/>
        <v/>
      </c>
      <c r="AO363" s="261" t="str">
        <f>IF(AND(AM363&lt;&gt;"",P363&lt;&gt;""),ROUND((AM363*((100+SI!$C$11)/100)),0),"")</f>
        <v/>
      </c>
      <c r="AP363" s="28" t="str">
        <f>IF(AG363&lt;&gt;"",ROUND(AG363/SI!$C$9,2),"")</f>
        <v/>
      </c>
      <c r="AQ363" s="4" t="str">
        <f>IF(AH363&lt;&gt;"",ROUND(AH363/SI!$C$9,2),"")</f>
        <v/>
      </c>
      <c r="AR363" s="29" t="str">
        <f>IF(AI363&lt;&gt;"",ROUND(AI363/SI!$C$9,2),"")</f>
        <v/>
      </c>
      <c r="AS363" s="4" t="str">
        <f t="shared" si="147"/>
        <v/>
      </c>
      <c r="AT363" s="4" t="str">
        <f t="shared" si="148"/>
        <v/>
      </c>
      <c r="AU363" s="4" t="str">
        <f>IF(AL363&lt;&gt;"",ROUND(AL363/SI!$C$9,2),"")</f>
        <v/>
      </c>
      <c r="AV363" s="4" t="str">
        <f>IF(AM363&lt;&gt;"",ROUND(AM363/SI!$C$9,2),"")</f>
        <v/>
      </c>
      <c r="AW363" s="4" t="str">
        <f>IF(AN363&lt;&gt;"",ROUND(AN363/SI!$C$9,2),"")</f>
        <v/>
      </c>
      <c r="AX363" s="261" t="str">
        <f>IF(AO363&lt;&gt;"",ROUND(AO363/SI!$C$9,2),"")</f>
        <v/>
      </c>
      <c r="AY363" s="28" t="str">
        <f t="shared" si="149"/>
        <v/>
      </c>
      <c r="AZ363" s="4" t="str">
        <f>IF(AY363&lt;&gt;"",ROUND(AY363/(SI!$C$9*SI!$C$10),2),"")</f>
        <v/>
      </c>
      <c r="BA363" s="4" t="str">
        <f t="shared" si="150"/>
        <v/>
      </c>
      <c r="BB363" s="4" t="str">
        <f t="shared" si="151"/>
        <v/>
      </c>
      <c r="BC363" s="4" t="str">
        <f t="shared" si="152"/>
        <v/>
      </c>
      <c r="BD363" s="4" t="str">
        <f t="shared" si="153"/>
        <v/>
      </c>
      <c r="BE363" s="4" t="str">
        <f>IF(AND(X363&lt;&gt;""),ROUND(X363/SI!$C$10,2),"")</f>
        <v/>
      </c>
      <c r="BF363" s="4" t="str">
        <f t="shared" si="155"/>
        <v/>
      </c>
      <c r="BG363" s="264" t="str">
        <f t="shared" si="154"/>
        <v/>
      </c>
      <c r="BH363" s="71" t="str">
        <f>IF(F363&lt;&gt;"",VLOOKUP(F363,DUTY_2025!A:O,15,FALSE),"")</f>
        <v/>
      </c>
    </row>
    <row r="364" spans="1:60" x14ac:dyDescent="0.25">
      <c r="A364" s="133">
        <f t="shared" si="130"/>
        <v>66</v>
      </c>
      <c r="B364" s="83" t="str">
        <f t="shared" si="131"/>
        <v/>
      </c>
      <c r="C364" s="126"/>
      <c r="D364" s="130"/>
      <c r="E364" s="22"/>
      <c r="F364" s="85"/>
      <c r="G364" s="27" t="str">
        <f>IF(F364&lt;&gt;"",IFERROR(VLOOKUP(F364,DUTY_2025!A:I,6,FALSE),""),"")</f>
        <v/>
      </c>
      <c r="H364" s="85" t="s">
        <v>133</v>
      </c>
      <c r="I364" s="27" t="str">
        <f>IF(F364&lt;&gt;"",IFERROR(VLOOKUP(F364,DUTY_2025!A:H,2,FALSE),""),"")</f>
        <v/>
      </c>
      <c r="J364" s="98"/>
      <c r="K364" s="98"/>
      <c r="L364" s="22"/>
      <c r="M364" s="22"/>
      <c r="N364" s="84"/>
      <c r="O364" s="22"/>
      <c r="P364" s="116"/>
      <c r="Q364" s="23"/>
      <c r="R364" s="27"/>
      <c r="S364" s="86" t="str">
        <f t="shared" si="132"/>
        <v/>
      </c>
      <c r="T364" s="87" t="str">
        <f t="shared" si="133"/>
        <v/>
      </c>
      <c r="U364" s="87" t="str" cm="1">
        <f t="array" ref="U364">IF(AND(H364&lt;&gt;"YES",P364&lt;&gt;"",R364&lt;&gt;"",Q364&lt;&gt;""),
_xlfn.SWITCH(Q364,
"INR",_xlfn.SWITCH(R364,"KG",P364*S364,"CTN",P364,"UNIT",P364*N364,"NET",P364/M364,0),
"USD",_xlfn.SWITCH(R364,"KG",P364*S364*SI!$C$10,"CTN",P364*SI!$C$10,"UNIT",P364*N364*SI!$C$10,"NET",P364*SI!$C$10/M364,0),
"LKR",_xlfn.SWITCH(R364,"KG",P364*S364/SI!$C$9,"CTN",P364/SI!$C$9,"UNIT",P364*N364/SI!$C$9,"NET",P364/(M364*SI!$C$9),0),
0),
"")</f>
        <v/>
      </c>
      <c r="V364" s="87" t="str">
        <f t="shared" si="134"/>
        <v/>
      </c>
      <c r="W364" s="87" t="str">
        <f t="shared" si="135"/>
        <v/>
      </c>
      <c r="X364" s="88" t="str">
        <f t="shared" si="136"/>
        <v/>
      </c>
      <c r="Y364" s="24" t="str">
        <f t="shared" si="137"/>
        <v/>
      </c>
      <c r="Z364" s="267" t="str">
        <f>IF(AND(H364&lt;&gt;"yes",F364&lt;&gt;""),IFERROR(VLOOKUP(F364,DUTY_2025!A:F,5,FALSE),""),"")</f>
        <v/>
      </c>
      <c r="AA364" s="271" t="str">
        <f t="shared" si="138"/>
        <v/>
      </c>
      <c r="AB364" s="16" t="str">
        <f t="shared" si="139"/>
        <v/>
      </c>
      <c r="AC364" s="16" t="str">
        <f>IF(AA364&lt;&gt;"",ROUND(AA364*SI!$C$9,0),"")</f>
        <v/>
      </c>
      <c r="AD364" s="4" t="str">
        <f>IF(AC364&lt;&gt;"",ROUND(AC364/(SI!$C$9*SI!$C$10),2),"")</f>
        <v/>
      </c>
      <c r="AE364" s="30" t="str">
        <f>IF(AND(X364&lt;&gt;""), ROUND((SI!$E$23)*(X364/SUM($X$5:$X$493)),0),"")</f>
        <v/>
      </c>
      <c r="AF364" s="272" t="str">
        <f t="shared" si="140"/>
        <v/>
      </c>
      <c r="AG364" s="28" t="str">
        <f t="shared" si="141"/>
        <v/>
      </c>
      <c r="AH364" s="4" t="str">
        <f>IF(AD364&lt;&gt;"",ROUND(AD364*10*SI!$C$9/2,0),"")</f>
        <v/>
      </c>
      <c r="AI364" s="29" t="str">
        <f>IF(AND(X364&lt;&gt;""), ROUND((SI!$E$28)*(X364/SUM($X$5:$X$493)),0),"")</f>
        <v/>
      </c>
      <c r="AJ364" s="4" t="str">
        <f t="shared" si="142"/>
        <v/>
      </c>
      <c r="AK364" s="4" t="str">
        <f t="shared" si="143"/>
        <v/>
      </c>
      <c r="AL364" s="4" t="str">
        <f t="shared" si="144"/>
        <v/>
      </c>
      <c r="AM364" s="4" t="str">
        <f t="shared" si="145"/>
        <v/>
      </c>
      <c r="AN364" s="195" t="str">
        <f t="shared" si="146"/>
        <v/>
      </c>
      <c r="AO364" s="261" t="str">
        <f>IF(AND(AM364&lt;&gt;"",P364&lt;&gt;""),ROUND((AM364*((100+SI!$C$11)/100)),0),"")</f>
        <v/>
      </c>
      <c r="AP364" s="28" t="str">
        <f>IF(AG364&lt;&gt;"",ROUND(AG364/SI!$C$9,2),"")</f>
        <v/>
      </c>
      <c r="AQ364" s="4" t="str">
        <f>IF(AH364&lt;&gt;"",ROUND(AH364/SI!$C$9,2),"")</f>
        <v/>
      </c>
      <c r="AR364" s="29" t="str">
        <f>IF(AI364&lt;&gt;"",ROUND(AI364/SI!$C$9,2),"")</f>
        <v/>
      </c>
      <c r="AS364" s="4" t="str">
        <f t="shared" si="147"/>
        <v/>
      </c>
      <c r="AT364" s="4" t="str">
        <f t="shared" si="148"/>
        <v/>
      </c>
      <c r="AU364" s="4" t="str">
        <f>IF(AL364&lt;&gt;"",ROUND(AL364/SI!$C$9,2),"")</f>
        <v/>
      </c>
      <c r="AV364" s="4" t="str">
        <f>IF(AM364&lt;&gt;"",ROUND(AM364/SI!$C$9,2),"")</f>
        <v/>
      </c>
      <c r="AW364" s="4" t="str">
        <f>IF(AN364&lt;&gt;"",ROUND(AN364/SI!$C$9,2),"")</f>
        <v/>
      </c>
      <c r="AX364" s="261" t="str">
        <f>IF(AO364&lt;&gt;"",ROUND(AO364/SI!$C$9,2),"")</f>
        <v/>
      </c>
      <c r="AY364" s="28" t="str">
        <f t="shared" si="149"/>
        <v/>
      </c>
      <c r="AZ364" s="4" t="str">
        <f>IF(AY364&lt;&gt;"",ROUND(AY364/(SI!$C$9*SI!$C$10),2),"")</f>
        <v/>
      </c>
      <c r="BA364" s="4" t="str">
        <f t="shared" si="150"/>
        <v/>
      </c>
      <c r="BB364" s="4" t="str">
        <f t="shared" si="151"/>
        <v/>
      </c>
      <c r="BC364" s="4" t="str">
        <f t="shared" si="152"/>
        <v/>
      </c>
      <c r="BD364" s="4" t="str">
        <f t="shared" si="153"/>
        <v/>
      </c>
      <c r="BE364" s="4" t="str">
        <f>IF(AND(X364&lt;&gt;""),ROUND(X364/SI!$C$10,2),"")</f>
        <v/>
      </c>
      <c r="BF364" s="4" t="str">
        <f t="shared" si="155"/>
        <v/>
      </c>
      <c r="BG364" s="264" t="str">
        <f t="shared" si="154"/>
        <v/>
      </c>
      <c r="BH364" s="71" t="str">
        <f>IF(F364&lt;&gt;"",VLOOKUP(F364,DUTY_2025!A:O,15,FALSE),"")</f>
        <v/>
      </c>
    </row>
    <row r="365" spans="1:60" x14ac:dyDescent="0.25">
      <c r="A365" s="133">
        <f t="shared" si="130"/>
        <v>66</v>
      </c>
      <c r="B365" s="83" t="str">
        <f t="shared" si="131"/>
        <v/>
      </c>
      <c r="C365" s="126"/>
      <c r="D365" s="130"/>
      <c r="E365" s="22"/>
      <c r="F365" s="85"/>
      <c r="G365" s="27" t="str">
        <f>IF(F365&lt;&gt;"",IFERROR(VLOOKUP(F365,DUTY_2025!A:I,6,FALSE),""),"")</f>
        <v/>
      </c>
      <c r="H365" s="85" t="s">
        <v>133</v>
      </c>
      <c r="I365" s="27" t="str">
        <f>IF(F365&lt;&gt;"",IFERROR(VLOOKUP(F365,DUTY_2025!A:H,2,FALSE),""),"")</f>
        <v/>
      </c>
      <c r="J365" s="98"/>
      <c r="K365" s="98"/>
      <c r="L365" s="22"/>
      <c r="M365" s="22"/>
      <c r="N365" s="84"/>
      <c r="O365" s="22"/>
      <c r="P365" s="116"/>
      <c r="Q365" s="23"/>
      <c r="R365" s="27"/>
      <c r="S365" s="86" t="str">
        <f t="shared" si="132"/>
        <v/>
      </c>
      <c r="T365" s="87" t="str">
        <f t="shared" si="133"/>
        <v/>
      </c>
      <c r="U365" s="87" t="str" cm="1">
        <f t="array" ref="U365">IF(AND(H365&lt;&gt;"YES",P365&lt;&gt;"",R365&lt;&gt;"",Q365&lt;&gt;""),
_xlfn.SWITCH(Q365,
"INR",_xlfn.SWITCH(R365,"KG",P365*S365,"CTN",P365,"UNIT",P365*N365,"NET",P365/M365,0),
"USD",_xlfn.SWITCH(R365,"KG",P365*S365*SI!$C$10,"CTN",P365*SI!$C$10,"UNIT",P365*N365*SI!$C$10,"NET",P365*SI!$C$10/M365,0),
"LKR",_xlfn.SWITCH(R365,"KG",P365*S365/SI!$C$9,"CTN",P365/SI!$C$9,"UNIT",P365*N365/SI!$C$9,"NET",P365/(M365*SI!$C$9),0),
0),
"")</f>
        <v/>
      </c>
      <c r="V365" s="87" t="str">
        <f t="shared" si="134"/>
        <v/>
      </c>
      <c r="W365" s="87" t="str">
        <f t="shared" si="135"/>
        <v/>
      </c>
      <c r="X365" s="88" t="str">
        <f t="shared" si="136"/>
        <v/>
      </c>
      <c r="Y365" s="24" t="str">
        <f t="shared" si="137"/>
        <v/>
      </c>
      <c r="Z365" s="267" t="str">
        <f>IF(AND(H365&lt;&gt;"yes",F365&lt;&gt;""),IFERROR(VLOOKUP(F365,DUTY_2025!A:F,5,FALSE),""),"")</f>
        <v/>
      </c>
      <c r="AA365" s="271" t="str">
        <f t="shared" si="138"/>
        <v/>
      </c>
      <c r="AB365" s="16" t="str">
        <f t="shared" si="139"/>
        <v/>
      </c>
      <c r="AC365" s="16" t="str">
        <f>IF(AA365&lt;&gt;"",ROUND(AA365*SI!$C$9,0),"")</f>
        <v/>
      </c>
      <c r="AD365" s="4" t="str">
        <f>IF(AC365&lt;&gt;"",ROUND(AC365/(SI!$C$9*SI!$C$10),2),"")</f>
        <v/>
      </c>
      <c r="AE365" s="30" t="str">
        <f>IF(AND(X365&lt;&gt;""), ROUND((SI!$E$23)*(X365/SUM($X$5:$X$493)),0),"")</f>
        <v/>
      </c>
      <c r="AF365" s="272" t="str">
        <f t="shared" si="140"/>
        <v/>
      </c>
      <c r="AG365" s="28" t="str">
        <f t="shared" si="141"/>
        <v/>
      </c>
      <c r="AH365" s="4" t="str">
        <f>IF(AD365&lt;&gt;"",ROUND(AD365*10*SI!$C$9/2,0),"")</f>
        <v/>
      </c>
      <c r="AI365" s="29" t="str">
        <f>IF(AND(X365&lt;&gt;""), ROUND((SI!$E$28)*(X365/SUM($X$5:$X$493)),0),"")</f>
        <v/>
      </c>
      <c r="AJ365" s="4" t="str">
        <f t="shared" si="142"/>
        <v/>
      </c>
      <c r="AK365" s="4" t="str">
        <f t="shared" si="143"/>
        <v/>
      </c>
      <c r="AL365" s="4" t="str">
        <f t="shared" si="144"/>
        <v/>
      </c>
      <c r="AM365" s="4" t="str">
        <f t="shared" si="145"/>
        <v/>
      </c>
      <c r="AN365" s="195" t="str">
        <f t="shared" si="146"/>
        <v/>
      </c>
      <c r="AO365" s="261" t="str">
        <f>IF(AND(AM365&lt;&gt;"",P365&lt;&gt;""),ROUND((AM365*((100+SI!$C$11)/100)),0),"")</f>
        <v/>
      </c>
      <c r="AP365" s="28" t="str">
        <f>IF(AG365&lt;&gt;"",ROUND(AG365/SI!$C$9,2),"")</f>
        <v/>
      </c>
      <c r="AQ365" s="4" t="str">
        <f>IF(AH365&lt;&gt;"",ROUND(AH365/SI!$C$9,2),"")</f>
        <v/>
      </c>
      <c r="AR365" s="29" t="str">
        <f>IF(AI365&lt;&gt;"",ROUND(AI365/SI!$C$9,2),"")</f>
        <v/>
      </c>
      <c r="AS365" s="4" t="str">
        <f t="shared" si="147"/>
        <v/>
      </c>
      <c r="AT365" s="4" t="str">
        <f t="shared" si="148"/>
        <v/>
      </c>
      <c r="AU365" s="4" t="str">
        <f>IF(AL365&lt;&gt;"",ROUND(AL365/SI!$C$9,2),"")</f>
        <v/>
      </c>
      <c r="AV365" s="4" t="str">
        <f>IF(AM365&lt;&gt;"",ROUND(AM365/SI!$C$9,2),"")</f>
        <v/>
      </c>
      <c r="AW365" s="4" t="str">
        <f>IF(AN365&lt;&gt;"",ROUND(AN365/SI!$C$9,2),"")</f>
        <v/>
      </c>
      <c r="AX365" s="261" t="str">
        <f>IF(AO365&lt;&gt;"",ROUND(AO365/SI!$C$9,2),"")</f>
        <v/>
      </c>
      <c r="AY365" s="28" t="str">
        <f t="shared" si="149"/>
        <v/>
      </c>
      <c r="AZ365" s="4" t="str">
        <f>IF(AY365&lt;&gt;"",ROUND(AY365/(SI!$C$9*SI!$C$10),2),"")</f>
        <v/>
      </c>
      <c r="BA365" s="4" t="str">
        <f t="shared" si="150"/>
        <v/>
      </c>
      <c r="BB365" s="4" t="str">
        <f t="shared" si="151"/>
        <v/>
      </c>
      <c r="BC365" s="4" t="str">
        <f t="shared" si="152"/>
        <v/>
      </c>
      <c r="BD365" s="4" t="str">
        <f t="shared" si="153"/>
        <v/>
      </c>
      <c r="BE365" s="4" t="str">
        <f>IF(AND(X365&lt;&gt;""),ROUND(X365/SI!$C$10,2),"")</f>
        <v/>
      </c>
      <c r="BF365" s="4" t="str">
        <f t="shared" si="155"/>
        <v/>
      </c>
      <c r="BG365" s="264" t="str">
        <f t="shared" si="154"/>
        <v/>
      </c>
      <c r="BH365" s="71" t="str">
        <f>IF(F365&lt;&gt;"",VLOOKUP(F365,DUTY_2025!A:O,15,FALSE),"")</f>
        <v/>
      </c>
    </row>
    <row r="366" spans="1:60" x14ac:dyDescent="0.25">
      <c r="A366" s="133">
        <f t="shared" si="130"/>
        <v>66</v>
      </c>
      <c r="B366" s="83" t="str">
        <f t="shared" si="131"/>
        <v/>
      </c>
      <c r="C366" s="126"/>
      <c r="D366" s="130"/>
      <c r="E366" s="22"/>
      <c r="F366" s="85"/>
      <c r="G366" s="27" t="str">
        <f>IF(F366&lt;&gt;"",IFERROR(VLOOKUP(F366,DUTY_2025!A:I,6,FALSE),""),"")</f>
        <v/>
      </c>
      <c r="H366" s="85" t="s">
        <v>133</v>
      </c>
      <c r="I366" s="27" t="str">
        <f>IF(F366&lt;&gt;"",IFERROR(VLOOKUP(F366,DUTY_2025!A:H,2,FALSE),""),"")</f>
        <v/>
      </c>
      <c r="J366" s="98"/>
      <c r="K366" s="98"/>
      <c r="L366" s="22"/>
      <c r="M366" s="22"/>
      <c r="N366" s="84"/>
      <c r="O366" s="22"/>
      <c r="P366" s="116"/>
      <c r="Q366" s="23"/>
      <c r="R366" s="27"/>
      <c r="S366" s="86" t="str">
        <f t="shared" si="132"/>
        <v/>
      </c>
      <c r="T366" s="87" t="str">
        <f t="shared" si="133"/>
        <v/>
      </c>
      <c r="U366" s="87" t="str" cm="1">
        <f t="array" ref="U366">IF(AND(H366&lt;&gt;"YES",P366&lt;&gt;"",R366&lt;&gt;"",Q366&lt;&gt;""),
_xlfn.SWITCH(Q366,
"INR",_xlfn.SWITCH(R366,"KG",P366*S366,"CTN",P366,"UNIT",P366*N366,"NET",P366/M366,0),
"USD",_xlfn.SWITCH(R366,"KG",P366*S366*SI!$C$10,"CTN",P366*SI!$C$10,"UNIT",P366*N366*SI!$C$10,"NET",P366*SI!$C$10/M366,0),
"LKR",_xlfn.SWITCH(R366,"KG",P366*S366/SI!$C$9,"CTN",P366/SI!$C$9,"UNIT",P366*N366/SI!$C$9,"NET",P366/(M366*SI!$C$9),0),
0),
"")</f>
        <v/>
      </c>
      <c r="V366" s="87" t="str">
        <f t="shared" si="134"/>
        <v/>
      </c>
      <c r="W366" s="87" t="str">
        <f t="shared" si="135"/>
        <v/>
      </c>
      <c r="X366" s="88" t="str">
        <f t="shared" si="136"/>
        <v/>
      </c>
      <c r="Y366" s="24" t="str">
        <f t="shared" si="137"/>
        <v/>
      </c>
      <c r="Z366" s="267" t="str">
        <f>IF(AND(H366&lt;&gt;"yes",F366&lt;&gt;""),IFERROR(VLOOKUP(F366,DUTY_2025!A:F,5,FALSE),""),"")</f>
        <v/>
      </c>
      <c r="AA366" s="271" t="str">
        <f t="shared" si="138"/>
        <v/>
      </c>
      <c r="AB366" s="16" t="str">
        <f t="shared" si="139"/>
        <v/>
      </c>
      <c r="AC366" s="16" t="str">
        <f>IF(AA366&lt;&gt;"",ROUND(AA366*SI!$C$9,0),"")</f>
        <v/>
      </c>
      <c r="AD366" s="4" t="str">
        <f>IF(AC366&lt;&gt;"",ROUND(AC366/(SI!$C$9*SI!$C$10),2),"")</f>
        <v/>
      </c>
      <c r="AE366" s="30" t="str">
        <f>IF(AND(X366&lt;&gt;""), ROUND((SI!$E$23)*(X366/SUM($X$5:$X$493)),0),"")</f>
        <v/>
      </c>
      <c r="AF366" s="272" t="str">
        <f t="shared" si="140"/>
        <v/>
      </c>
      <c r="AG366" s="28" t="str">
        <f t="shared" si="141"/>
        <v/>
      </c>
      <c r="AH366" s="4" t="str">
        <f>IF(AD366&lt;&gt;"",ROUND(AD366*10*SI!$C$9/2,0),"")</f>
        <v/>
      </c>
      <c r="AI366" s="29" t="str">
        <f>IF(AND(X366&lt;&gt;""), ROUND((SI!$E$28)*(X366/SUM($X$5:$X$493)),0),"")</f>
        <v/>
      </c>
      <c r="AJ366" s="4" t="str">
        <f t="shared" si="142"/>
        <v/>
      </c>
      <c r="AK366" s="4" t="str">
        <f t="shared" si="143"/>
        <v/>
      </c>
      <c r="AL366" s="4" t="str">
        <f t="shared" si="144"/>
        <v/>
      </c>
      <c r="AM366" s="4" t="str">
        <f t="shared" si="145"/>
        <v/>
      </c>
      <c r="AN366" s="195" t="str">
        <f t="shared" si="146"/>
        <v/>
      </c>
      <c r="AO366" s="261" t="str">
        <f>IF(AND(AM366&lt;&gt;"",P366&lt;&gt;""),ROUND((AM366*((100+SI!$C$11)/100)),0),"")</f>
        <v/>
      </c>
      <c r="AP366" s="28" t="str">
        <f>IF(AG366&lt;&gt;"",ROUND(AG366/SI!$C$9,2),"")</f>
        <v/>
      </c>
      <c r="AQ366" s="4" t="str">
        <f>IF(AH366&lt;&gt;"",ROUND(AH366/SI!$C$9,2),"")</f>
        <v/>
      </c>
      <c r="AR366" s="29" t="str">
        <f>IF(AI366&lt;&gt;"",ROUND(AI366/SI!$C$9,2),"")</f>
        <v/>
      </c>
      <c r="AS366" s="4" t="str">
        <f t="shared" si="147"/>
        <v/>
      </c>
      <c r="AT366" s="4" t="str">
        <f t="shared" si="148"/>
        <v/>
      </c>
      <c r="AU366" s="4" t="str">
        <f>IF(AL366&lt;&gt;"",ROUND(AL366/SI!$C$9,2),"")</f>
        <v/>
      </c>
      <c r="AV366" s="4" t="str">
        <f>IF(AM366&lt;&gt;"",ROUND(AM366/SI!$C$9,2),"")</f>
        <v/>
      </c>
      <c r="AW366" s="4" t="str">
        <f>IF(AN366&lt;&gt;"",ROUND(AN366/SI!$C$9,2),"")</f>
        <v/>
      </c>
      <c r="AX366" s="261" t="str">
        <f>IF(AO366&lt;&gt;"",ROUND(AO366/SI!$C$9,2),"")</f>
        <v/>
      </c>
      <c r="AY366" s="28" t="str">
        <f t="shared" si="149"/>
        <v/>
      </c>
      <c r="AZ366" s="4" t="str">
        <f>IF(AY366&lt;&gt;"",ROUND(AY366/(SI!$C$9*SI!$C$10),2),"")</f>
        <v/>
      </c>
      <c r="BA366" s="4" t="str">
        <f t="shared" si="150"/>
        <v/>
      </c>
      <c r="BB366" s="4" t="str">
        <f t="shared" si="151"/>
        <v/>
      </c>
      <c r="BC366" s="4" t="str">
        <f t="shared" si="152"/>
        <v/>
      </c>
      <c r="BD366" s="4" t="str">
        <f t="shared" si="153"/>
        <v/>
      </c>
      <c r="BE366" s="4" t="str">
        <f>IF(AND(X366&lt;&gt;""),ROUND(X366/SI!$C$10,2),"")</f>
        <v/>
      </c>
      <c r="BF366" s="4" t="str">
        <f t="shared" si="155"/>
        <v/>
      </c>
      <c r="BG366" s="264" t="str">
        <f t="shared" si="154"/>
        <v/>
      </c>
      <c r="BH366" s="71" t="str">
        <f>IF(F366&lt;&gt;"",VLOOKUP(F366,DUTY_2025!A:O,15,FALSE),"")</f>
        <v/>
      </c>
    </row>
    <row r="367" spans="1:60" x14ac:dyDescent="0.25">
      <c r="A367" s="133">
        <f t="shared" si="130"/>
        <v>66</v>
      </c>
      <c r="B367" s="83" t="str">
        <f t="shared" si="131"/>
        <v/>
      </c>
      <c r="C367" s="126"/>
      <c r="D367" s="130"/>
      <c r="E367" s="22"/>
      <c r="F367" s="85"/>
      <c r="G367" s="27" t="str">
        <f>IF(F367&lt;&gt;"",IFERROR(VLOOKUP(F367,DUTY_2025!A:I,6,FALSE),""),"")</f>
        <v/>
      </c>
      <c r="H367" s="85" t="s">
        <v>133</v>
      </c>
      <c r="I367" s="27" t="str">
        <f>IF(F367&lt;&gt;"",IFERROR(VLOOKUP(F367,DUTY_2025!A:H,2,FALSE),""),"")</f>
        <v/>
      </c>
      <c r="J367" s="98"/>
      <c r="K367" s="98"/>
      <c r="L367" s="22"/>
      <c r="M367" s="22"/>
      <c r="N367" s="84"/>
      <c r="O367" s="22"/>
      <c r="P367" s="116"/>
      <c r="Q367" s="23"/>
      <c r="R367" s="27"/>
      <c r="S367" s="86" t="str">
        <f t="shared" si="132"/>
        <v/>
      </c>
      <c r="T367" s="87" t="str">
        <f t="shared" si="133"/>
        <v/>
      </c>
      <c r="U367" s="87" t="str" cm="1">
        <f t="array" ref="U367">IF(AND(H367&lt;&gt;"YES",P367&lt;&gt;"",R367&lt;&gt;"",Q367&lt;&gt;""),
_xlfn.SWITCH(Q367,
"INR",_xlfn.SWITCH(R367,"KG",P367*S367,"CTN",P367,"UNIT",P367*N367,"NET",P367/M367,0),
"USD",_xlfn.SWITCH(R367,"KG",P367*S367*SI!$C$10,"CTN",P367*SI!$C$10,"UNIT",P367*N367*SI!$C$10,"NET",P367*SI!$C$10/M367,0),
"LKR",_xlfn.SWITCH(R367,"KG",P367*S367/SI!$C$9,"CTN",P367/SI!$C$9,"UNIT",P367*N367/SI!$C$9,"NET",P367/(M367*SI!$C$9),0),
0),
"")</f>
        <v/>
      </c>
      <c r="V367" s="87" t="str">
        <f t="shared" si="134"/>
        <v/>
      </c>
      <c r="W367" s="87" t="str">
        <f t="shared" si="135"/>
        <v/>
      </c>
      <c r="X367" s="88" t="str">
        <f t="shared" si="136"/>
        <v/>
      </c>
      <c r="Y367" s="24" t="str">
        <f t="shared" si="137"/>
        <v/>
      </c>
      <c r="Z367" s="267" t="str">
        <f>IF(AND(H367&lt;&gt;"yes",F367&lt;&gt;""),IFERROR(VLOOKUP(F367,DUTY_2025!A:F,5,FALSE),""),"")</f>
        <v/>
      </c>
      <c r="AA367" s="271" t="str">
        <f t="shared" si="138"/>
        <v/>
      </c>
      <c r="AB367" s="16" t="str">
        <f t="shared" si="139"/>
        <v/>
      </c>
      <c r="AC367" s="16" t="str">
        <f>IF(AA367&lt;&gt;"",ROUND(AA367*SI!$C$9,0),"")</f>
        <v/>
      </c>
      <c r="AD367" s="4" t="str">
        <f>IF(AC367&lt;&gt;"",ROUND(AC367/(SI!$C$9*SI!$C$10),2),"")</f>
        <v/>
      </c>
      <c r="AE367" s="30" t="str">
        <f>IF(AND(X367&lt;&gt;""), ROUND((SI!$E$23)*(X367/SUM($X$5:$X$493)),0),"")</f>
        <v/>
      </c>
      <c r="AF367" s="272" t="str">
        <f t="shared" si="140"/>
        <v/>
      </c>
      <c r="AG367" s="28" t="str">
        <f t="shared" si="141"/>
        <v/>
      </c>
      <c r="AH367" s="4" t="str">
        <f>IF(AD367&lt;&gt;"",ROUND(AD367*10*SI!$C$9/2,0),"")</f>
        <v/>
      </c>
      <c r="AI367" s="29" t="str">
        <f>IF(AND(X367&lt;&gt;""), ROUND((SI!$E$28)*(X367/SUM($X$5:$X$493)),0),"")</f>
        <v/>
      </c>
      <c r="AJ367" s="4" t="str">
        <f t="shared" si="142"/>
        <v/>
      </c>
      <c r="AK367" s="4" t="str">
        <f t="shared" si="143"/>
        <v/>
      </c>
      <c r="AL367" s="4" t="str">
        <f t="shared" si="144"/>
        <v/>
      </c>
      <c r="AM367" s="4" t="str">
        <f t="shared" si="145"/>
        <v/>
      </c>
      <c r="AN367" s="195" t="str">
        <f t="shared" si="146"/>
        <v/>
      </c>
      <c r="AO367" s="261" t="str">
        <f>IF(AND(AM367&lt;&gt;"",P367&lt;&gt;""),ROUND((AM367*((100+SI!$C$11)/100)),0),"")</f>
        <v/>
      </c>
      <c r="AP367" s="28" t="str">
        <f>IF(AG367&lt;&gt;"",ROUND(AG367/SI!$C$9,2),"")</f>
        <v/>
      </c>
      <c r="AQ367" s="4" t="str">
        <f>IF(AH367&lt;&gt;"",ROUND(AH367/SI!$C$9,2),"")</f>
        <v/>
      </c>
      <c r="AR367" s="29" t="str">
        <f>IF(AI367&lt;&gt;"",ROUND(AI367/SI!$C$9,2),"")</f>
        <v/>
      </c>
      <c r="AS367" s="4" t="str">
        <f t="shared" si="147"/>
        <v/>
      </c>
      <c r="AT367" s="4" t="str">
        <f t="shared" si="148"/>
        <v/>
      </c>
      <c r="AU367" s="4" t="str">
        <f>IF(AL367&lt;&gt;"",ROUND(AL367/SI!$C$9,2),"")</f>
        <v/>
      </c>
      <c r="AV367" s="4" t="str">
        <f>IF(AM367&lt;&gt;"",ROUND(AM367/SI!$C$9,2),"")</f>
        <v/>
      </c>
      <c r="AW367" s="4" t="str">
        <f>IF(AN367&lt;&gt;"",ROUND(AN367/SI!$C$9,2),"")</f>
        <v/>
      </c>
      <c r="AX367" s="261" t="str">
        <f>IF(AO367&lt;&gt;"",ROUND(AO367/SI!$C$9,2),"")</f>
        <v/>
      </c>
      <c r="AY367" s="28" t="str">
        <f t="shared" si="149"/>
        <v/>
      </c>
      <c r="AZ367" s="4" t="str">
        <f>IF(AY367&lt;&gt;"",ROUND(AY367/(SI!$C$9*SI!$C$10),2),"")</f>
        <v/>
      </c>
      <c r="BA367" s="4" t="str">
        <f t="shared" si="150"/>
        <v/>
      </c>
      <c r="BB367" s="4" t="str">
        <f t="shared" si="151"/>
        <v/>
      </c>
      <c r="BC367" s="4" t="str">
        <f t="shared" si="152"/>
        <v/>
      </c>
      <c r="BD367" s="4" t="str">
        <f t="shared" si="153"/>
        <v/>
      </c>
      <c r="BE367" s="4" t="str">
        <f>IF(AND(X367&lt;&gt;""),ROUND(X367/SI!$C$10,2),"")</f>
        <v/>
      </c>
      <c r="BF367" s="4" t="str">
        <f t="shared" si="155"/>
        <v/>
      </c>
      <c r="BG367" s="264" t="str">
        <f t="shared" si="154"/>
        <v/>
      </c>
      <c r="BH367" s="71" t="str">
        <f>IF(F367&lt;&gt;"",VLOOKUP(F367,DUTY_2025!A:O,15,FALSE),"")</f>
        <v/>
      </c>
    </row>
    <row r="368" spans="1:60" x14ac:dyDescent="0.25">
      <c r="A368" s="133">
        <f t="shared" si="130"/>
        <v>66</v>
      </c>
      <c r="B368" s="83" t="str">
        <f t="shared" si="131"/>
        <v/>
      </c>
      <c r="C368" s="126"/>
      <c r="D368" s="130"/>
      <c r="E368" s="22"/>
      <c r="F368" s="85"/>
      <c r="G368" s="27" t="str">
        <f>IF(F368&lt;&gt;"",IFERROR(VLOOKUP(F368,DUTY_2025!A:I,6,FALSE),""),"")</f>
        <v/>
      </c>
      <c r="H368" s="85" t="s">
        <v>133</v>
      </c>
      <c r="I368" s="27" t="str">
        <f>IF(F368&lt;&gt;"",IFERROR(VLOOKUP(F368,DUTY_2025!A:H,2,FALSE),""),"")</f>
        <v/>
      </c>
      <c r="J368" s="98"/>
      <c r="K368" s="98"/>
      <c r="L368" s="22"/>
      <c r="M368" s="22"/>
      <c r="N368" s="84"/>
      <c r="O368" s="22"/>
      <c r="P368" s="116"/>
      <c r="Q368" s="23"/>
      <c r="R368" s="27"/>
      <c r="S368" s="86" t="str">
        <f t="shared" si="132"/>
        <v/>
      </c>
      <c r="T368" s="87" t="str">
        <f t="shared" si="133"/>
        <v/>
      </c>
      <c r="U368" s="87" t="str" cm="1">
        <f t="array" ref="U368">IF(AND(H368&lt;&gt;"YES",P368&lt;&gt;"",R368&lt;&gt;"",Q368&lt;&gt;""),
_xlfn.SWITCH(Q368,
"INR",_xlfn.SWITCH(R368,"KG",P368*S368,"CTN",P368,"UNIT",P368*N368,"NET",P368/M368,0),
"USD",_xlfn.SWITCH(R368,"KG",P368*S368*SI!$C$10,"CTN",P368*SI!$C$10,"UNIT",P368*N368*SI!$C$10,"NET",P368*SI!$C$10/M368,0),
"LKR",_xlfn.SWITCH(R368,"KG",P368*S368/SI!$C$9,"CTN",P368/SI!$C$9,"UNIT",P368*N368/SI!$C$9,"NET",P368/(M368*SI!$C$9),0),
0),
"")</f>
        <v/>
      </c>
      <c r="V368" s="87" t="str">
        <f t="shared" si="134"/>
        <v/>
      </c>
      <c r="W368" s="87" t="str">
        <f t="shared" si="135"/>
        <v/>
      </c>
      <c r="X368" s="88" t="str">
        <f t="shared" si="136"/>
        <v/>
      </c>
      <c r="Y368" s="24" t="str">
        <f t="shared" si="137"/>
        <v/>
      </c>
      <c r="Z368" s="267" t="str">
        <f>IF(AND(H368&lt;&gt;"yes",F368&lt;&gt;""),IFERROR(VLOOKUP(F368,DUTY_2025!A:F,5,FALSE),""),"")</f>
        <v/>
      </c>
      <c r="AA368" s="271" t="str">
        <f t="shared" si="138"/>
        <v/>
      </c>
      <c r="AB368" s="16" t="str">
        <f t="shared" si="139"/>
        <v/>
      </c>
      <c r="AC368" s="16" t="str">
        <f>IF(AA368&lt;&gt;"",ROUND(AA368*SI!$C$9,0),"")</f>
        <v/>
      </c>
      <c r="AD368" s="4" t="str">
        <f>IF(AC368&lt;&gt;"",ROUND(AC368/(SI!$C$9*SI!$C$10),2),"")</f>
        <v/>
      </c>
      <c r="AE368" s="30" t="str">
        <f>IF(AND(X368&lt;&gt;""), ROUND((SI!$E$23)*(X368/SUM($X$5:$X$493)),0),"")</f>
        <v/>
      </c>
      <c r="AF368" s="272" t="str">
        <f t="shared" si="140"/>
        <v/>
      </c>
      <c r="AG368" s="28" t="str">
        <f t="shared" si="141"/>
        <v/>
      </c>
      <c r="AH368" s="4" t="str">
        <f>IF(AD368&lt;&gt;"",ROUND(AD368*10*SI!$C$9/2,0),"")</f>
        <v/>
      </c>
      <c r="AI368" s="29" t="str">
        <f>IF(AND(X368&lt;&gt;""), ROUND((SI!$E$28)*(X368/SUM($X$5:$X$493)),0),"")</f>
        <v/>
      </c>
      <c r="AJ368" s="4" t="str">
        <f t="shared" si="142"/>
        <v/>
      </c>
      <c r="AK368" s="4" t="str">
        <f t="shared" si="143"/>
        <v/>
      </c>
      <c r="AL368" s="4" t="str">
        <f t="shared" si="144"/>
        <v/>
      </c>
      <c r="AM368" s="4" t="str">
        <f t="shared" si="145"/>
        <v/>
      </c>
      <c r="AN368" s="195" t="str">
        <f t="shared" si="146"/>
        <v/>
      </c>
      <c r="AO368" s="261" t="str">
        <f>IF(AND(AM368&lt;&gt;"",P368&lt;&gt;""),ROUND((AM368*((100+SI!$C$11)/100)),0),"")</f>
        <v/>
      </c>
      <c r="AP368" s="28" t="str">
        <f>IF(AG368&lt;&gt;"",ROUND(AG368/SI!$C$9,2),"")</f>
        <v/>
      </c>
      <c r="AQ368" s="4" t="str">
        <f>IF(AH368&lt;&gt;"",ROUND(AH368/SI!$C$9,2),"")</f>
        <v/>
      </c>
      <c r="AR368" s="29" t="str">
        <f>IF(AI368&lt;&gt;"",ROUND(AI368/SI!$C$9,2),"")</f>
        <v/>
      </c>
      <c r="AS368" s="4" t="str">
        <f t="shared" si="147"/>
        <v/>
      </c>
      <c r="AT368" s="4" t="str">
        <f t="shared" si="148"/>
        <v/>
      </c>
      <c r="AU368" s="4" t="str">
        <f>IF(AL368&lt;&gt;"",ROUND(AL368/SI!$C$9,2),"")</f>
        <v/>
      </c>
      <c r="AV368" s="4" t="str">
        <f>IF(AM368&lt;&gt;"",ROUND(AM368/SI!$C$9,2),"")</f>
        <v/>
      </c>
      <c r="AW368" s="4" t="str">
        <f>IF(AN368&lt;&gt;"",ROUND(AN368/SI!$C$9,2),"")</f>
        <v/>
      </c>
      <c r="AX368" s="261" t="str">
        <f>IF(AO368&lt;&gt;"",ROUND(AO368/SI!$C$9,2),"")</f>
        <v/>
      </c>
      <c r="AY368" s="28" t="str">
        <f t="shared" si="149"/>
        <v/>
      </c>
      <c r="AZ368" s="4" t="str">
        <f>IF(AY368&lt;&gt;"",ROUND(AY368/(SI!$C$9*SI!$C$10),2),"")</f>
        <v/>
      </c>
      <c r="BA368" s="4" t="str">
        <f t="shared" si="150"/>
        <v/>
      </c>
      <c r="BB368" s="4" t="str">
        <f t="shared" si="151"/>
        <v/>
      </c>
      <c r="BC368" s="4" t="str">
        <f t="shared" si="152"/>
        <v/>
      </c>
      <c r="BD368" s="4" t="str">
        <f t="shared" si="153"/>
        <v/>
      </c>
      <c r="BE368" s="4" t="str">
        <f>IF(AND(X368&lt;&gt;""),ROUND(X368/SI!$C$10,2),"")</f>
        <v/>
      </c>
      <c r="BF368" s="4" t="str">
        <f t="shared" si="155"/>
        <v/>
      </c>
      <c r="BG368" s="264" t="str">
        <f t="shared" si="154"/>
        <v/>
      </c>
      <c r="BH368" s="71" t="str">
        <f>IF(F368&lt;&gt;"",VLOOKUP(F368,DUTY_2025!A:O,15,FALSE),"")</f>
        <v/>
      </c>
    </row>
    <row r="369" spans="1:60" x14ac:dyDescent="0.25">
      <c r="A369" s="133">
        <f t="shared" si="130"/>
        <v>66</v>
      </c>
      <c r="B369" s="83" t="str">
        <f t="shared" si="131"/>
        <v/>
      </c>
      <c r="C369" s="126"/>
      <c r="D369" s="130"/>
      <c r="E369" s="22"/>
      <c r="F369" s="85"/>
      <c r="G369" s="27" t="str">
        <f>IF(F369&lt;&gt;"",IFERROR(VLOOKUP(F369,DUTY_2025!A:I,6,FALSE),""),"")</f>
        <v/>
      </c>
      <c r="H369" s="85" t="s">
        <v>133</v>
      </c>
      <c r="I369" s="27" t="str">
        <f>IF(F369&lt;&gt;"",IFERROR(VLOOKUP(F369,DUTY_2025!A:H,2,FALSE),""),"")</f>
        <v/>
      </c>
      <c r="J369" s="98"/>
      <c r="K369" s="98"/>
      <c r="L369" s="22"/>
      <c r="M369" s="22"/>
      <c r="N369" s="84"/>
      <c r="O369" s="22"/>
      <c r="P369" s="116"/>
      <c r="Q369" s="23"/>
      <c r="R369" s="27"/>
      <c r="S369" s="86" t="str">
        <f t="shared" si="132"/>
        <v/>
      </c>
      <c r="T369" s="87" t="str">
        <f t="shared" si="133"/>
        <v/>
      </c>
      <c r="U369" s="87" t="str" cm="1">
        <f t="array" ref="U369">IF(AND(H369&lt;&gt;"YES",P369&lt;&gt;"",R369&lt;&gt;"",Q369&lt;&gt;""),
_xlfn.SWITCH(Q369,
"INR",_xlfn.SWITCH(R369,"KG",P369*S369,"CTN",P369,"UNIT",P369*N369,"NET",P369/M369,0),
"USD",_xlfn.SWITCH(R369,"KG",P369*S369*SI!$C$10,"CTN",P369*SI!$C$10,"UNIT",P369*N369*SI!$C$10,"NET",P369*SI!$C$10/M369,0),
"LKR",_xlfn.SWITCH(R369,"KG",P369*S369/SI!$C$9,"CTN",P369/SI!$C$9,"UNIT",P369*N369/SI!$C$9,"NET",P369/(M369*SI!$C$9),0),
0),
"")</f>
        <v/>
      </c>
      <c r="V369" s="87" t="str">
        <f t="shared" si="134"/>
        <v/>
      </c>
      <c r="W369" s="87" t="str">
        <f t="shared" si="135"/>
        <v/>
      </c>
      <c r="X369" s="88" t="str">
        <f t="shared" si="136"/>
        <v/>
      </c>
      <c r="Y369" s="24" t="str">
        <f t="shared" si="137"/>
        <v/>
      </c>
      <c r="Z369" s="267" t="str">
        <f>IF(AND(H369&lt;&gt;"yes",F369&lt;&gt;""),IFERROR(VLOOKUP(F369,DUTY_2025!A:F,5,FALSE),""),"")</f>
        <v/>
      </c>
      <c r="AA369" s="271" t="str">
        <f t="shared" si="138"/>
        <v/>
      </c>
      <c r="AB369" s="16" t="str">
        <f t="shared" si="139"/>
        <v/>
      </c>
      <c r="AC369" s="16" t="str">
        <f>IF(AA369&lt;&gt;"",ROUND(AA369*SI!$C$9,0),"")</f>
        <v/>
      </c>
      <c r="AD369" s="4" t="str">
        <f>IF(AC369&lt;&gt;"",ROUND(AC369/(SI!$C$9*SI!$C$10),2),"")</f>
        <v/>
      </c>
      <c r="AE369" s="30" t="str">
        <f>IF(AND(X369&lt;&gt;""), ROUND((SI!$E$23)*(X369/SUM($X$5:$X$493)),0),"")</f>
        <v/>
      </c>
      <c r="AF369" s="272" t="str">
        <f t="shared" si="140"/>
        <v/>
      </c>
      <c r="AG369" s="28" t="str">
        <f t="shared" si="141"/>
        <v/>
      </c>
      <c r="AH369" s="4" t="str">
        <f>IF(AD369&lt;&gt;"",ROUND(AD369*10*SI!$C$9/2,0),"")</f>
        <v/>
      </c>
      <c r="AI369" s="29" t="str">
        <f>IF(AND(X369&lt;&gt;""), ROUND((SI!$E$28)*(X369/SUM($X$5:$X$493)),0),"")</f>
        <v/>
      </c>
      <c r="AJ369" s="4" t="str">
        <f t="shared" si="142"/>
        <v/>
      </c>
      <c r="AK369" s="4" t="str">
        <f t="shared" si="143"/>
        <v/>
      </c>
      <c r="AL369" s="4" t="str">
        <f t="shared" si="144"/>
        <v/>
      </c>
      <c r="AM369" s="4" t="str">
        <f t="shared" si="145"/>
        <v/>
      </c>
      <c r="AN369" s="195" t="str">
        <f t="shared" si="146"/>
        <v/>
      </c>
      <c r="AO369" s="261" t="str">
        <f>IF(AND(AM369&lt;&gt;"",P369&lt;&gt;""),ROUND((AM369*((100+SI!$C$11)/100)),0),"")</f>
        <v/>
      </c>
      <c r="AP369" s="28" t="str">
        <f>IF(AG369&lt;&gt;"",ROUND(AG369/SI!$C$9,2),"")</f>
        <v/>
      </c>
      <c r="AQ369" s="4" t="str">
        <f>IF(AH369&lt;&gt;"",ROUND(AH369/SI!$C$9,2),"")</f>
        <v/>
      </c>
      <c r="AR369" s="29" t="str">
        <f>IF(AI369&lt;&gt;"",ROUND(AI369/SI!$C$9,2),"")</f>
        <v/>
      </c>
      <c r="AS369" s="4" t="str">
        <f t="shared" si="147"/>
        <v/>
      </c>
      <c r="AT369" s="4" t="str">
        <f t="shared" si="148"/>
        <v/>
      </c>
      <c r="AU369" s="4" t="str">
        <f>IF(AL369&lt;&gt;"",ROUND(AL369/SI!$C$9,2),"")</f>
        <v/>
      </c>
      <c r="AV369" s="4" t="str">
        <f>IF(AM369&lt;&gt;"",ROUND(AM369/SI!$C$9,2),"")</f>
        <v/>
      </c>
      <c r="AW369" s="4" t="str">
        <f>IF(AN369&lt;&gt;"",ROUND(AN369/SI!$C$9,2),"")</f>
        <v/>
      </c>
      <c r="AX369" s="261" t="str">
        <f>IF(AO369&lt;&gt;"",ROUND(AO369/SI!$C$9,2),"")</f>
        <v/>
      </c>
      <c r="AY369" s="28" t="str">
        <f t="shared" si="149"/>
        <v/>
      </c>
      <c r="AZ369" s="4" t="str">
        <f>IF(AY369&lt;&gt;"",ROUND(AY369/(SI!$C$9*SI!$C$10),2),"")</f>
        <v/>
      </c>
      <c r="BA369" s="4" t="str">
        <f t="shared" si="150"/>
        <v/>
      </c>
      <c r="BB369" s="4" t="str">
        <f t="shared" si="151"/>
        <v/>
      </c>
      <c r="BC369" s="4" t="str">
        <f t="shared" si="152"/>
        <v/>
      </c>
      <c r="BD369" s="4" t="str">
        <f t="shared" si="153"/>
        <v/>
      </c>
      <c r="BE369" s="4" t="str">
        <f>IF(AND(X369&lt;&gt;""),ROUND(X369/SI!$C$10,2),"")</f>
        <v/>
      </c>
      <c r="BF369" s="4" t="str">
        <f t="shared" si="155"/>
        <v/>
      </c>
      <c r="BG369" s="264" t="str">
        <f t="shared" si="154"/>
        <v/>
      </c>
      <c r="BH369" s="71" t="str">
        <f>IF(F369&lt;&gt;"",VLOOKUP(F369,DUTY_2025!A:O,15,FALSE),"")</f>
        <v/>
      </c>
    </row>
    <row r="370" spans="1:60" x14ac:dyDescent="0.25">
      <c r="A370" s="133">
        <f t="shared" si="130"/>
        <v>66</v>
      </c>
      <c r="B370" s="83" t="str">
        <f t="shared" si="131"/>
        <v/>
      </c>
      <c r="C370" s="126"/>
      <c r="D370" s="130"/>
      <c r="E370" s="22"/>
      <c r="F370" s="85"/>
      <c r="G370" s="27" t="str">
        <f>IF(F370&lt;&gt;"",IFERROR(VLOOKUP(F370,DUTY_2025!A:I,6,FALSE),""),"")</f>
        <v/>
      </c>
      <c r="H370" s="85" t="s">
        <v>133</v>
      </c>
      <c r="I370" s="27" t="str">
        <f>IF(F370&lt;&gt;"",IFERROR(VLOOKUP(F370,DUTY_2025!A:H,2,FALSE),""),"")</f>
        <v/>
      </c>
      <c r="J370" s="98"/>
      <c r="K370" s="98"/>
      <c r="L370" s="22"/>
      <c r="M370" s="22"/>
      <c r="N370" s="84"/>
      <c r="O370" s="22"/>
      <c r="P370" s="116"/>
      <c r="Q370" s="23"/>
      <c r="R370" s="27"/>
      <c r="S370" s="86" t="str">
        <f t="shared" si="132"/>
        <v/>
      </c>
      <c r="T370" s="87" t="str">
        <f t="shared" si="133"/>
        <v/>
      </c>
      <c r="U370" s="87" t="str" cm="1">
        <f t="array" ref="U370">IF(AND(H370&lt;&gt;"YES",P370&lt;&gt;"",R370&lt;&gt;"",Q370&lt;&gt;""),
_xlfn.SWITCH(Q370,
"INR",_xlfn.SWITCH(R370,"KG",P370*S370,"CTN",P370,"UNIT",P370*N370,"NET",P370/M370,0),
"USD",_xlfn.SWITCH(R370,"KG",P370*S370*SI!$C$10,"CTN",P370*SI!$C$10,"UNIT",P370*N370*SI!$C$10,"NET",P370*SI!$C$10/M370,0),
"LKR",_xlfn.SWITCH(R370,"KG",P370*S370/SI!$C$9,"CTN",P370/SI!$C$9,"UNIT",P370*N370/SI!$C$9,"NET",P370/(M370*SI!$C$9),0),
0),
"")</f>
        <v/>
      </c>
      <c r="V370" s="87" t="str">
        <f t="shared" si="134"/>
        <v/>
      </c>
      <c r="W370" s="87" t="str">
        <f t="shared" si="135"/>
        <v/>
      </c>
      <c r="X370" s="88" t="str">
        <f t="shared" si="136"/>
        <v/>
      </c>
      <c r="Y370" s="24" t="str">
        <f t="shared" si="137"/>
        <v/>
      </c>
      <c r="Z370" s="267" t="str">
        <f>IF(AND(H370&lt;&gt;"yes",F370&lt;&gt;""),IFERROR(VLOOKUP(F370,DUTY_2025!A:F,5,FALSE),""),"")</f>
        <v/>
      </c>
      <c r="AA370" s="271" t="str">
        <f t="shared" si="138"/>
        <v/>
      </c>
      <c r="AB370" s="16" t="str">
        <f t="shared" si="139"/>
        <v/>
      </c>
      <c r="AC370" s="16" t="str">
        <f>IF(AA370&lt;&gt;"",ROUND(AA370*SI!$C$9,0),"")</f>
        <v/>
      </c>
      <c r="AD370" s="4" t="str">
        <f>IF(AC370&lt;&gt;"",ROUND(AC370/(SI!$C$9*SI!$C$10),2),"")</f>
        <v/>
      </c>
      <c r="AE370" s="30" t="str">
        <f>IF(AND(X370&lt;&gt;""), ROUND((SI!$E$23)*(X370/SUM($X$5:$X$493)),0),"")</f>
        <v/>
      </c>
      <c r="AF370" s="272" t="str">
        <f t="shared" si="140"/>
        <v/>
      </c>
      <c r="AG370" s="28" t="str">
        <f t="shared" si="141"/>
        <v/>
      </c>
      <c r="AH370" s="4" t="str">
        <f>IF(AD370&lt;&gt;"",ROUND(AD370*10*SI!$C$9/2,0),"")</f>
        <v/>
      </c>
      <c r="AI370" s="29" t="str">
        <f>IF(AND(X370&lt;&gt;""), ROUND((SI!$E$28)*(X370/SUM($X$5:$X$493)),0),"")</f>
        <v/>
      </c>
      <c r="AJ370" s="4" t="str">
        <f t="shared" si="142"/>
        <v/>
      </c>
      <c r="AK370" s="4" t="str">
        <f t="shared" si="143"/>
        <v/>
      </c>
      <c r="AL370" s="4" t="str">
        <f t="shared" si="144"/>
        <v/>
      </c>
      <c r="AM370" s="4" t="str">
        <f t="shared" si="145"/>
        <v/>
      </c>
      <c r="AN370" s="195" t="str">
        <f t="shared" si="146"/>
        <v/>
      </c>
      <c r="AO370" s="261" t="str">
        <f>IF(AND(AM370&lt;&gt;"",P370&lt;&gt;""),ROUND((AM370*((100+SI!$C$11)/100)),0),"")</f>
        <v/>
      </c>
      <c r="AP370" s="28" t="str">
        <f>IF(AG370&lt;&gt;"",ROUND(AG370/SI!$C$9,2),"")</f>
        <v/>
      </c>
      <c r="AQ370" s="4" t="str">
        <f>IF(AH370&lt;&gt;"",ROUND(AH370/SI!$C$9,2),"")</f>
        <v/>
      </c>
      <c r="AR370" s="29" t="str">
        <f>IF(AI370&lt;&gt;"",ROUND(AI370/SI!$C$9,2),"")</f>
        <v/>
      </c>
      <c r="AS370" s="4" t="str">
        <f t="shared" si="147"/>
        <v/>
      </c>
      <c r="AT370" s="4" t="str">
        <f t="shared" si="148"/>
        <v/>
      </c>
      <c r="AU370" s="4" t="str">
        <f>IF(AL370&lt;&gt;"",ROUND(AL370/SI!$C$9,2),"")</f>
        <v/>
      </c>
      <c r="AV370" s="4" t="str">
        <f>IF(AM370&lt;&gt;"",ROUND(AM370/SI!$C$9,2),"")</f>
        <v/>
      </c>
      <c r="AW370" s="4" t="str">
        <f>IF(AN370&lt;&gt;"",ROUND(AN370/SI!$C$9,2),"")</f>
        <v/>
      </c>
      <c r="AX370" s="261" t="str">
        <f>IF(AO370&lt;&gt;"",ROUND(AO370/SI!$C$9,2),"")</f>
        <v/>
      </c>
      <c r="AY370" s="28" t="str">
        <f t="shared" si="149"/>
        <v/>
      </c>
      <c r="AZ370" s="4" t="str">
        <f>IF(AY370&lt;&gt;"",ROUND(AY370/(SI!$C$9*SI!$C$10),2),"")</f>
        <v/>
      </c>
      <c r="BA370" s="4" t="str">
        <f t="shared" si="150"/>
        <v/>
      </c>
      <c r="BB370" s="4" t="str">
        <f t="shared" si="151"/>
        <v/>
      </c>
      <c r="BC370" s="4" t="str">
        <f t="shared" si="152"/>
        <v/>
      </c>
      <c r="BD370" s="4" t="str">
        <f t="shared" si="153"/>
        <v/>
      </c>
      <c r="BE370" s="4" t="str">
        <f>IF(AND(X370&lt;&gt;""),ROUND(X370/SI!$C$10,2),"")</f>
        <v/>
      </c>
      <c r="BF370" s="4" t="str">
        <f t="shared" si="155"/>
        <v/>
      </c>
      <c r="BG370" s="264" t="str">
        <f t="shared" si="154"/>
        <v/>
      </c>
      <c r="BH370" s="71" t="str">
        <f>IF(F370&lt;&gt;"",VLOOKUP(F370,DUTY_2025!A:O,15,FALSE),"")</f>
        <v/>
      </c>
    </row>
    <row r="371" spans="1:60" x14ac:dyDescent="0.25">
      <c r="A371" s="133">
        <f t="shared" si="130"/>
        <v>66</v>
      </c>
      <c r="B371" s="83" t="str">
        <f t="shared" si="131"/>
        <v/>
      </c>
      <c r="C371" s="126"/>
      <c r="D371" s="130"/>
      <c r="E371" s="22"/>
      <c r="F371" s="85"/>
      <c r="G371" s="27" t="str">
        <f>IF(F371&lt;&gt;"",IFERROR(VLOOKUP(F371,DUTY_2025!A:I,6,FALSE),""),"")</f>
        <v/>
      </c>
      <c r="H371" s="85" t="s">
        <v>133</v>
      </c>
      <c r="I371" s="27" t="str">
        <f>IF(F371&lt;&gt;"",IFERROR(VLOOKUP(F371,DUTY_2025!A:H,2,FALSE),""),"")</f>
        <v/>
      </c>
      <c r="J371" s="98"/>
      <c r="K371" s="98"/>
      <c r="L371" s="22"/>
      <c r="M371" s="22"/>
      <c r="N371" s="84"/>
      <c r="O371" s="22"/>
      <c r="P371" s="116"/>
      <c r="Q371" s="23"/>
      <c r="R371" s="27"/>
      <c r="S371" s="86" t="str">
        <f t="shared" si="132"/>
        <v/>
      </c>
      <c r="T371" s="87" t="str">
        <f t="shared" si="133"/>
        <v/>
      </c>
      <c r="U371" s="87" t="str" cm="1">
        <f t="array" ref="U371">IF(AND(H371&lt;&gt;"YES",P371&lt;&gt;"",R371&lt;&gt;"",Q371&lt;&gt;""),
_xlfn.SWITCH(Q371,
"INR",_xlfn.SWITCH(R371,"KG",P371*S371,"CTN",P371,"UNIT",P371*N371,"NET",P371/M371,0),
"USD",_xlfn.SWITCH(R371,"KG",P371*S371*SI!$C$10,"CTN",P371*SI!$C$10,"UNIT",P371*N371*SI!$C$10,"NET",P371*SI!$C$10/M371,0),
"LKR",_xlfn.SWITCH(R371,"KG",P371*S371/SI!$C$9,"CTN",P371/SI!$C$9,"UNIT",P371*N371/SI!$C$9,"NET",P371/(M371*SI!$C$9),0),
0),
"")</f>
        <v/>
      </c>
      <c r="V371" s="87" t="str">
        <f t="shared" si="134"/>
        <v/>
      </c>
      <c r="W371" s="87" t="str">
        <f t="shared" si="135"/>
        <v/>
      </c>
      <c r="X371" s="88" t="str">
        <f t="shared" si="136"/>
        <v/>
      </c>
      <c r="Y371" s="24" t="str">
        <f t="shared" si="137"/>
        <v/>
      </c>
      <c r="Z371" s="267" t="str">
        <f>IF(AND(H371&lt;&gt;"yes",F371&lt;&gt;""),IFERROR(VLOOKUP(F371,DUTY_2025!A:F,5,FALSE),""),"")</f>
        <v/>
      </c>
      <c r="AA371" s="271" t="str">
        <f t="shared" si="138"/>
        <v/>
      </c>
      <c r="AB371" s="16" t="str">
        <f t="shared" si="139"/>
        <v/>
      </c>
      <c r="AC371" s="16" t="str">
        <f>IF(AA371&lt;&gt;"",ROUND(AA371*SI!$C$9,0),"")</f>
        <v/>
      </c>
      <c r="AD371" s="4" t="str">
        <f>IF(AC371&lt;&gt;"",ROUND(AC371/(SI!$C$9*SI!$C$10),2),"")</f>
        <v/>
      </c>
      <c r="AE371" s="30" t="str">
        <f>IF(AND(X371&lt;&gt;""), ROUND((SI!$E$23)*(X371/SUM($X$5:$X$493)),0),"")</f>
        <v/>
      </c>
      <c r="AF371" s="272" t="str">
        <f t="shared" si="140"/>
        <v/>
      </c>
      <c r="AG371" s="28" t="str">
        <f t="shared" si="141"/>
        <v/>
      </c>
      <c r="AH371" s="4" t="str">
        <f>IF(AD371&lt;&gt;"",ROUND(AD371*10*SI!$C$9/2,0),"")</f>
        <v/>
      </c>
      <c r="AI371" s="29" t="str">
        <f>IF(AND(X371&lt;&gt;""), ROUND((SI!$E$28)*(X371/SUM($X$5:$X$493)),0),"")</f>
        <v/>
      </c>
      <c r="AJ371" s="4" t="str">
        <f t="shared" si="142"/>
        <v/>
      </c>
      <c r="AK371" s="4" t="str">
        <f t="shared" si="143"/>
        <v/>
      </c>
      <c r="AL371" s="4" t="str">
        <f t="shared" si="144"/>
        <v/>
      </c>
      <c r="AM371" s="4" t="str">
        <f t="shared" si="145"/>
        <v/>
      </c>
      <c r="AN371" s="195" t="str">
        <f t="shared" si="146"/>
        <v/>
      </c>
      <c r="AO371" s="261" t="str">
        <f>IF(AND(AM371&lt;&gt;"",P371&lt;&gt;""),ROUND((AM371*((100+SI!$C$11)/100)),0),"")</f>
        <v/>
      </c>
      <c r="AP371" s="28" t="str">
        <f>IF(AG371&lt;&gt;"",ROUND(AG371/SI!$C$9,2),"")</f>
        <v/>
      </c>
      <c r="AQ371" s="4" t="str">
        <f>IF(AH371&lt;&gt;"",ROUND(AH371/SI!$C$9,2),"")</f>
        <v/>
      </c>
      <c r="AR371" s="29" t="str">
        <f>IF(AI371&lt;&gt;"",ROUND(AI371/SI!$C$9,2),"")</f>
        <v/>
      </c>
      <c r="AS371" s="4" t="str">
        <f t="shared" si="147"/>
        <v/>
      </c>
      <c r="AT371" s="4" t="str">
        <f t="shared" si="148"/>
        <v/>
      </c>
      <c r="AU371" s="4" t="str">
        <f>IF(AL371&lt;&gt;"",ROUND(AL371/SI!$C$9,2),"")</f>
        <v/>
      </c>
      <c r="AV371" s="4" t="str">
        <f>IF(AM371&lt;&gt;"",ROUND(AM371/SI!$C$9,2),"")</f>
        <v/>
      </c>
      <c r="AW371" s="4" t="str">
        <f>IF(AN371&lt;&gt;"",ROUND(AN371/SI!$C$9,2),"")</f>
        <v/>
      </c>
      <c r="AX371" s="261" t="str">
        <f>IF(AO371&lt;&gt;"",ROUND(AO371/SI!$C$9,2),"")</f>
        <v/>
      </c>
      <c r="AY371" s="28" t="str">
        <f t="shared" si="149"/>
        <v/>
      </c>
      <c r="AZ371" s="4" t="str">
        <f>IF(AY371&lt;&gt;"",ROUND(AY371/(SI!$C$9*SI!$C$10),2),"")</f>
        <v/>
      </c>
      <c r="BA371" s="4" t="str">
        <f t="shared" si="150"/>
        <v/>
      </c>
      <c r="BB371" s="4" t="str">
        <f t="shared" si="151"/>
        <v/>
      </c>
      <c r="BC371" s="4" t="str">
        <f t="shared" si="152"/>
        <v/>
      </c>
      <c r="BD371" s="4" t="str">
        <f t="shared" si="153"/>
        <v/>
      </c>
      <c r="BE371" s="4" t="str">
        <f>IF(AND(X371&lt;&gt;""),ROUND(X371/SI!$C$10,2),"")</f>
        <v/>
      </c>
      <c r="BF371" s="4" t="str">
        <f t="shared" si="155"/>
        <v/>
      </c>
      <c r="BG371" s="264" t="str">
        <f t="shared" si="154"/>
        <v/>
      </c>
      <c r="BH371" s="71" t="str">
        <f>IF(F371&lt;&gt;"",VLOOKUP(F371,DUTY_2025!A:O,15,FALSE),"")</f>
        <v/>
      </c>
    </row>
    <row r="372" spans="1:60" x14ac:dyDescent="0.25">
      <c r="A372" s="133">
        <f t="shared" si="130"/>
        <v>66</v>
      </c>
      <c r="B372" s="83" t="str">
        <f t="shared" si="131"/>
        <v/>
      </c>
      <c r="C372" s="126"/>
      <c r="D372" s="130"/>
      <c r="E372" s="22"/>
      <c r="F372" s="85"/>
      <c r="G372" s="27" t="str">
        <f>IF(F372&lt;&gt;"",IFERROR(VLOOKUP(F372,DUTY_2025!A:I,6,FALSE),""),"")</f>
        <v/>
      </c>
      <c r="H372" s="85" t="s">
        <v>133</v>
      </c>
      <c r="I372" s="27" t="str">
        <f>IF(F372&lt;&gt;"",IFERROR(VLOOKUP(F372,DUTY_2025!A:H,2,FALSE),""),"")</f>
        <v/>
      </c>
      <c r="J372" s="98"/>
      <c r="K372" s="98"/>
      <c r="L372" s="22"/>
      <c r="M372" s="22"/>
      <c r="N372" s="84"/>
      <c r="O372" s="22"/>
      <c r="P372" s="116"/>
      <c r="Q372" s="23"/>
      <c r="R372" s="27"/>
      <c r="S372" s="86" t="str">
        <f t="shared" si="132"/>
        <v/>
      </c>
      <c r="T372" s="87" t="str">
        <f t="shared" si="133"/>
        <v/>
      </c>
      <c r="U372" s="87" t="str" cm="1">
        <f t="array" ref="U372">IF(AND(H372&lt;&gt;"YES",P372&lt;&gt;"",R372&lt;&gt;"",Q372&lt;&gt;""),
_xlfn.SWITCH(Q372,
"INR",_xlfn.SWITCH(R372,"KG",P372*S372,"CTN",P372,"UNIT",P372*N372,"NET",P372/M372,0),
"USD",_xlfn.SWITCH(R372,"KG",P372*S372*SI!$C$10,"CTN",P372*SI!$C$10,"UNIT",P372*N372*SI!$C$10,"NET",P372*SI!$C$10/M372,0),
"LKR",_xlfn.SWITCH(R372,"KG",P372*S372/SI!$C$9,"CTN",P372/SI!$C$9,"UNIT",P372*N372/SI!$C$9,"NET",P372/(M372*SI!$C$9),0),
0),
"")</f>
        <v/>
      </c>
      <c r="V372" s="87" t="str">
        <f t="shared" si="134"/>
        <v/>
      </c>
      <c r="W372" s="87" t="str">
        <f t="shared" si="135"/>
        <v/>
      </c>
      <c r="X372" s="88" t="str">
        <f t="shared" si="136"/>
        <v/>
      </c>
      <c r="Y372" s="24" t="str">
        <f t="shared" si="137"/>
        <v/>
      </c>
      <c r="Z372" s="267" t="str">
        <f>IF(AND(H372&lt;&gt;"yes",F372&lt;&gt;""),IFERROR(VLOOKUP(F372,DUTY_2025!A:F,5,FALSE),""),"")</f>
        <v/>
      </c>
      <c r="AA372" s="271" t="str">
        <f t="shared" si="138"/>
        <v/>
      </c>
      <c r="AB372" s="16" t="str">
        <f t="shared" si="139"/>
        <v/>
      </c>
      <c r="AC372" s="16" t="str">
        <f>IF(AA372&lt;&gt;"",ROUND(AA372*SI!$C$9,0),"")</f>
        <v/>
      </c>
      <c r="AD372" s="4" t="str">
        <f>IF(AC372&lt;&gt;"",ROUND(AC372/(SI!$C$9*SI!$C$10),2),"")</f>
        <v/>
      </c>
      <c r="AE372" s="30" t="str">
        <f>IF(AND(X372&lt;&gt;""), ROUND((SI!$E$23)*(X372/SUM($X$5:$X$493)),0),"")</f>
        <v/>
      </c>
      <c r="AF372" s="272" t="str">
        <f t="shared" si="140"/>
        <v/>
      </c>
      <c r="AG372" s="28" t="str">
        <f t="shared" si="141"/>
        <v/>
      </c>
      <c r="AH372" s="4" t="str">
        <f>IF(AD372&lt;&gt;"",ROUND(AD372*10*SI!$C$9/2,0),"")</f>
        <v/>
      </c>
      <c r="AI372" s="29" t="str">
        <f>IF(AND(X372&lt;&gt;""), ROUND((SI!$E$28)*(X372/SUM($X$5:$X$493)),0),"")</f>
        <v/>
      </c>
      <c r="AJ372" s="4" t="str">
        <f t="shared" si="142"/>
        <v/>
      </c>
      <c r="AK372" s="4" t="str">
        <f t="shared" si="143"/>
        <v/>
      </c>
      <c r="AL372" s="4" t="str">
        <f t="shared" si="144"/>
        <v/>
      </c>
      <c r="AM372" s="4" t="str">
        <f t="shared" si="145"/>
        <v/>
      </c>
      <c r="AN372" s="195" t="str">
        <f t="shared" si="146"/>
        <v/>
      </c>
      <c r="AO372" s="261" t="str">
        <f>IF(AND(AM372&lt;&gt;"",P372&lt;&gt;""),ROUND((AM372*((100+SI!$C$11)/100)),0),"")</f>
        <v/>
      </c>
      <c r="AP372" s="28" t="str">
        <f>IF(AG372&lt;&gt;"",ROUND(AG372/SI!$C$9,2),"")</f>
        <v/>
      </c>
      <c r="AQ372" s="4" t="str">
        <f>IF(AH372&lt;&gt;"",ROUND(AH372/SI!$C$9,2),"")</f>
        <v/>
      </c>
      <c r="AR372" s="29" t="str">
        <f>IF(AI372&lt;&gt;"",ROUND(AI372/SI!$C$9,2),"")</f>
        <v/>
      </c>
      <c r="AS372" s="4" t="str">
        <f t="shared" si="147"/>
        <v/>
      </c>
      <c r="AT372" s="4" t="str">
        <f t="shared" si="148"/>
        <v/>
      </c>
      <c r="AU372" s="4" t="str">
        <f>IF(AL372&lt;&gt;"",ROUND(AL372/SI!$C$9,2),"")</f>
        <v/>
      </c>
      <c r="AV372" s="4" t="str">
        <f>IF(AM372&lt;&gt;"",ROUND(AM372/SI!$C$9,2),"")</f>
        <v/>
      </c>
      <c r="AW372" s="4" t="str">
        <f>IF(AN372&lt;&gt;"",ROUND(AN372/SI!$C$9,2),"")</f>
        <v/>
      </c>
      <c r="AX372" s="261" t="str">
        <f>IF(AO372&lt;&gt;"",ROUND(AO372/SI!$C$9,2),"")</f>
        <v/>
      </c>
      <c r="AY372" s="28" t="str">
        <f t="shared" si="149"/>
        <v/>
      </c>
      <c r="AZ372" s="4" t="str">
        <f>IF(AY372&lt;&gt;"",ROUND(AY372/(SI!$C$9*SI!$C$10),2),"")</f>
        <v/>
      </c>
      <c r="BA372" s="4" t="str">
        <f t="shared" si="150"/>
        <v/>
      </c>
      <c r="BB372" s="4" t="str">
        <f t="shared" si="151"/>
        <v/>
      </c>
      <c r="BC372" s="4" t="str">
        <f t="shared" si="152"/>
        <v/>
      </c>
      <c r="BD372" s="4" t="str">
        <f t="shared" si="153"/>
        <v/>
      </c>
      <c r="BE372" s="4" t="str">
        <f>IF(AND(X372&lt;&gt;""),ROUND(X372/SI!$C$10,2),"")</f>
        <v/>
      </c>
      <c r="BF372" s="4" t="str">
        <f t="shared" si="155"/>
        <v/>
      </c>
      <c r="BG372" s="264" t="str">
        <f t="shared" si="154"/>
        <v/>
      </c>
      <c r="BH372" s="71" t="str">
        <f>IF(F372&lt;&gt;"",VLOOKUP(F372,DUTY_2025!A:O,15,FALSE),"")</f>
        <v/>
      </c>
    </row>
    <row r="373" spans="1:60" x14ac:dyDescent="0.25">
      <c r="A373" s="133">
        <f t="shared" si="130"/>
        <v>66</v>
      </c>
      <c r="B373" s="83" t="str">
        <f t="shared" si="131"/>
        <v/>
      </c>
      <c r="C373" s="126"/>
      <c r="D373" s="130"/>
      <c r="E373" s="22"/>
      <c r="F373" s="85"/>
      <c r="G373" s="27" t="str">
        <f>IF(F373&lt;&gt;"",IFERROR(VLOOKUP(F373,DUTY_2025!A:I,6,FALSE),""),"")</f>
        <v/>
      </c>
      <c r="H373" s="85" t="s">
        <v>133</v>
      </c>
      <c r="I373" s="27" t="str">
        <f>IF(F373&lt;&gt;"",IFERROR(VLOOKUP(F373,DUTY_2025!A:H,2,FALSE),""),"")</f>
        <v/>
      </c>
      <c r="J373" s="98"/>
      <c r="K373" s="98"/>
      <c r="L373" s="22"/>
      <c r="M373" s="22"/>
      <c r="N373" s="84"/>
      <c r="O373" s="22"/>
      <c r="P373" s="116"/>
      <c r="Q373" s="23"/>
      <c r="R373" s="27"/>
      <c r="S373" s="86" t="str">
        <f t="shared" si="132"/>
        <v/>
      </c>
      <c r="T373" s="87" t="str">
        <f t="shared" si="133"/>
        <v/>
      </c>
      <c r="U373" s="87" t="str" cm="1">
        <f t="array" ref="U373">IF(AND(H373&lt;&gt;"YES",P373&lt;&gt;"",R373&lt;&gt;"",Q373&lt;&gt;""),
_xlfn.SWITCH(Q373,
"INR",_xlfn.SWITCH(R373,"KG",P373*S373,"CTN",P373,"UNIT",P373*N373,"NET",P373/M373,0),
"USD",_xlfn.SWITCH(R373,"KG",P373*S373*SI!$C$10,"CTN",P373*SI!$C$10,"UNIT",P373*N373*SI!$C$10,"NET",P373*SI!$C$10/M373,0),
"LKR",_xlfn.SWITCH(R373,"KG",P373*S373/SI!$C$9,"CTN",P373/SI!$C$9,"UNIT",P373*N373/SI!$C$9,"NET",P373/(M373*SI!$C$9),0),
0),
"")</f>
        <v/>
      </c>
      <c r="V373" s="87" t="str">
        <f t="shared" si="134"/>
        <v/>
      </c>
      <c r="W373" s="87" t="str">
        <f t="shared" si="135"/>
        <v/>
      </c>
      <c r="X373" s="88" t="str">
        <f t="shared" si="136"/>
        <v/>
      </c>
      <c r="Y373" s="24" t="str">
        <f t="shared" si="137"/>
        <v/>
      </c>
      <c r="Z373" s="267" t="str">
        <f>IF(AND(H373&lt;&gt;"yes",F373&lt;&gt;""),IFERROR(VLOOKUP(F373,DUTY_2025!A:F,5,FALSE),""),"")</f>
        <v/>
      </c>
      <c r="AA373" s="271" t="str">
        <f t="shared" si="138"/>
        <v/>
      </c>
      <c r="AB373" s="16" t="str">
        <f t="shared" si="139"/>
        <v/>
      </c>
      <c r="AC373" s="16" t="str">
        <f>IF(AA373&lt;&gt;"",ROUND(AA373*SI!$C$9,0),"")</f>
        <v/>
      </c>
      <c r="AD373" s="4" t="str">
        <f>IF(AC373&lt;&gt;"",ROUND(AC373/(SI!$C$9*SI!$C$10),2),"")</f>
        <v/>
      </c>
      <c r="AE373" s="30" t="str">
        <f>IF(AND(X373&lt;&gt;""), ROUND((SI!$E$23)*(X373/SUM($X$5:$X$493)),0),"")</f>
        <v/>
      </c>
      <c r="AF373" s="272" t="str">
        <f t="shared" si="140"/>
        <v/>
      </c>
      <c r="AG373" s="28" t="str">
        <f t="shared" si="141"/>
        <v/>
      </c>
      <c r="AH373" s="4" t="str">
        <f>IF(AD373&lt;&gt;"",ROUND(AD373*10*SI!$C$9/2,0),"")</f>
        <v/>
      </c>
      <c r="AI373" s="29" t="str">
        <f>IF(AND(X373&lt;&gt;""), ROUND((SI!$E$28)*(X373/SUM($X$5:$X$493)),0),"")</f>
        <v/>
      </c>
      <c r="AJ373" s="4" t="str">
        <f t="shared" si="142"/>
        <v/>
      </c>
      <c r="AK373" s="4" t="str">
        <f t="shared" si="143"/>
        <v/>
      </c>
      <c r="AL373" s="4" t="str">
        <f t="shared" si="144"/>
        <v/>
      </c>
      <c r="AM373" s="4" t="str">
        <f t="shared" si="145"/>
        <v/>
      </c>
      <c r="AN373" s="195" t="str">
        <f t="shared" si="146"/>
        <v/>
      </c>
      <c r="AO373" s="261" t="str">
        <f>IF(AND(AM373&lt;&gt;"",P373&lt;&gt;""),ROUND((AM373*((100+SI!$C$11)/100)),0),"")</f>
        <v/>
      </c>
      <c r="AP373" s="28" t="str">
        <f>IF(AG373&lt;&gt;"",ROUND(AG373/SI!$C$9,2),"")</f>
        <v/>
      </c>
      <c r="AQ373" s="4" t="str">
        <f>IF(AH373&lt;&gt;"",ROUND(AH373/SI!$C$9,2),"")</f>
        <v/>
      </c>
      <c r="AR373" s="29" t="str">
        <f>IF(AI373&lt;&gt;"",ROUND(AI373/SI!$C$9,2),"")</f>
        <v/>
      </c>
      <c r="AS373" s="4" t="str">
        <f t="shared" si="147"/>
        <v/>
      </c>
      <c r="AT373" s="4" t="str">
        <f t="shared" si="148"/>
        <v/>
      </c>
      <c r="AU373" s="4" t="str">
        <f>IF(AL373&lt;&gt;"",ROUND(AL373/SI!$C$9,2),"")</f>
        <v/>
      </c>
      <c r="AV373" s="4" t="str">
        <f>IF(AM373&lt;&gt;"",ROUND(AM373/SI!$C$9,2),"")</f>
        <v/>
      </c>
      <c r="AW373" s="4" t="str">
        <f>IF(AN373&lt;&gt;"",ROUND(AN373/SI!$C$9,2),"")</f>
        <v/>
      </c>
      <c r="AX373" s="261" t="str">
        <f>IF(AO373&lt;&gt;"",ROUND(AO373/SI!$C$9,2),"")</f>
        <v/>
      </c>
      <c r="AY373" s="28" t="str">
        <f t="shared" si="149"/>
        <v/>
      </c>
      <c r="AZ373" s="4" t="str">
        <f>IF(AY373&lt;&gt;"",ROUND(AY373/(SI!$C$9*SI!$C$10),2),"")</f>
        <v/>
      </c>
      <c r="BA373" s="4" t="str">
        <f t="shared" si="150"/>
        <v/>
      </c>
      <c r="BB373" s="4" t="str">
        <f t="shared" si="151"/>
        <v/>
      </c>
      <c r="BC373" s="4" t="str">
        <f t="shared" si="152"/>
        <v/>
      </c>
      <c r="BD373" s="4" t="str">
        <f t="shared" si="153"/>
        <v/>
      </c>
      <c r="BE373" s="4" t="str">
        <f>IF(AND(X373&lt;&gt;""),ROUND(X373/SI!$C$10,2),"")</f>
        <v/>
      </c>
      <c r="BF373" s="4" t="str">
        <f t="shared" si="155"/>
        <v/>
      </c>
      <c r="BG373" s="264" t="str">
        <f t="shared" si="154"/>
        <v/>
      </c>
      <c r="BH373" s="71" t="str">
        <f>IF(F373&lt;&gt;"",VLOOKUP(F373,DUTY_2025!A:O,15,FALSE),"")</f>
        <v/>
      </c>
    </row>
    <row r="374" spans="1:60" x14ac:dyDescent="0.25">
      <c r="A374" s="133">
        <f t="shared" si="130"/>
        <v>66</v>
      </c>
      <c r="B374" s="83" t="str">
        <f t="shared" si="131"/>
        <v/>
      </c>
      <c r="C374" s="126"/>
      <c r="D374" s="130"/>
      <c r="E374" s="22"/>
      <c r="F374" s="85"/>
      <c r="G374" s="27" t="str">
        <f>IF(F374&lt;&gt;"",IFERROR(VLOOKUP(F374,DUTY_2025!A:I,6,FALSE),""),"")</f>
        <v/>
      </c>
      <c r="H374" s="85" t="s">
        <v>133</v>
      </c>
      <c r="I374" s="27" t="str">
        <f>IF(F374&lt;&gt;"",IFERROR(VLOOKUP(F374,DUTY_2025!A:H,2,FALSE),""),"")</f>
        <v/>
      </c>
      <c r="J374" s="98"/>
      <c r="K374" s="98"/>
      <c r="L374" s="22"/>
      <c r="M374" s="22"/>
      <c r="N374" s="84"/>
      <c r="O374" s="22"/>
      <c r="P374" s="116"/>
      <c r="Q374" s="23"/>
      <c r="R374" s="27"/>
      <c r="S374" s="86" t="str">
        <f t="shared" si="132"/>
        <v/>
      </c>
      <c r="T374" s="87" t="str">
        <f t="shared" si="133"/>
        <v/>
      </c>
      <c r="U374" s="87" t="str" cm="1">
        <f t="array" ref="U374">IF(AND(H374&lt;&gt;"YES",P374&lt;&gt;"",R374&lt;&gt;"",Q374&lt;&gt;""),
_xlfn.SWITCH(Q374,
"INR",_xlfn.SWITCH(R374,"KG",P374*S374,"CTN",P374,"UNIT",P374*N374,"NET",P374/M374,0),
"USD",_xlfn.SWITCH(R374,"KG",P374*S374*SI!$C$10,"CTN",P374*SI!$C$10,"UNIT",P374*N374*SI!$C$10,"NET",P374*SI!$C$10/M374,0),
"LKR",_xlfn.SWITCH(R374,"KG",P374*S374/SI!$C$9,"CTN",P374/SI!$C$9,"UNIT",P374*N374/SI!$C$9,"NET",P374/(M374*SI!$C$9),0),
0),
"")</f>
        <v/>
      </c>
      <c r="V374" s="87" t="str">
        <f t="shared" si="134"/>
        <v/>
      </c>
      <c r="W374" s="87" t="str">
        <f t="shared" si="135"/>
        <v/>
      </c>
      <c r="X374" s="88" t="str">
        <f t="shared" si="136"/>
        <v/>
      </c>
      <c r="Y374" s="24" t="str">
        <f t="shared" si="137"/>
        <v/>
      </c>
      <c r="Z374" s="267" t="str">
        <f>IF(AND(H374&lt;&gt;"yes",F374&lt;&gt;""),IFERROR(VLOOKUP(F374,DUTY_2025!A:F,5,FALSE),""),"")</f>
        <v/>
      </c>
      <c r="AA374" s="271" t="str">
        <f t="shared" si="138"/>
        <v/>
      </c>
      <c r="AB374" s="16" t="str">
        <f t="shared" si="139"/>
        <v/>
      </c>
      <c r="AC374" s="16" t="str">
        <f>IF(AA374&lt;&gt;"",ROUND(AA374*SI!$C$9,0),"")</f>
        <v/>
      </c>
      <c r="AD374" s="4" t="str">
        <f>IF(AC374&lt;&gt;"",ROUND(AC374/(SI!$C$9*SI!$C$10),2),"")</f>
        <v/>
      </c>
      <c r="AE374" s="30" t="str">
        <f>IF(AND(X374&lt;&gt;""), ROUND((SI!$E$23)*(X374/SUM($X$5:$X$493)),0),"")</f>
        <v/>
      </c>
      <c r="AF374" s="272" t="str">
        <f t="shared" si="140"/>
        <v/>
      </c>
      <c r="AG374" s="28" t="str">
        <f t="shared" si="141"/>
        <v/>
      </c>
      <c r="AH374" s="4" t="str">
        <f>IF(AD374&lt;&gt;"",ROUND(AD374*10*SI!$C$9/2,0),"")</f>
        <v/>
      </c>
      <c r="AI374" s="29" t="str">
        <f>IF(AND(X374&lt;&gt;""), ROUND((SI!$E$28)*(X374/SUM($X$5:$X$493)),0),"")</f>
        <v/>
      </c>
      <c r="AJ374" s="4" t="str">
        <f t="shared" si="142"/>
        <v/>
      </c>
      <c r="AK374" s="4" t="str">
        <f t="shared" si="143"/>
        <v/>
      </c>
      <c r="AL374" s="4" t="str">
        <f t="shared" si="144"/>
        <v/>
      </c>
      <c r="AM374" s="4" t="str">
        <f t="shared" si="145"/>
        <v/>
      </c>
      <c r="AN374" s="195" t="str">
        <f t="shared" si="146"/>
        <v/>
      </c>
      <c r="AO374" s="261" t="str">
        <f>IF(AND(AM374&lt;&gt;"",P374&lt;&gt;""),ROUND((AM374*((100+SI!$C$11)/100)),0),"")</f>
        <v/>
      </c>
      <c r="AP374" s="28" t="str">
        <f>IF(AG374&lt;&gt;"",ROUND(AG374/SI!$C$9,2),"")</f>
        <v/>
      </c>
      <c r="AQ374" s="4" t="str">
        <f>IF(AH374&lt;&gt;"",ROUND(AH374/SI!$C$9,2),"")</f>
        <v/>
      </c>
      <c r="AR374" s="29" t="str">
        <f>IF(AI374&lt;&gt;"",ROUND(AI374/SI!$C$9,2),"")</f>
        <v/>
      </c>
      <c r="AS374" s="4" t="str">
        <f t="shared" si="147"/>
        <v/>
      </c>
      <c r="AT374" s="4" t="str">
        <f t="shared" si="148"/>
        <v/>
      </c>
      <c r="AU374" s="4" t="str">
        <f>IF(AL374&lt;&gt;"",ROUND(AL374/SI!$C$9,2),"")</f>
        <v/>
      </c>
      <c r="AV374" s="4" t="str">
        <f>IF(AM374&lt;&gt;"",ROUND(AM374/SI!$C$9,2),"")</f>
        <v/>
      </c>
      <c r="AW374" s="4" t="str">
        <f>IF(AN374&lt;&gt;"",ROUND(AN374/SI!$C$9,2),"")</f>
        <v/>
      </c>
      <c r="AX374" s="261" t="str">
        <f>IF(AO374&lt;&gt;"",ROUND(AO374/SI!$C$9,2),"")</f>
        <v/>
      </c>
      <c r="AY374" s="28" t="str">
        <f t="shared" si="149"/>
        <v/>
      </c>
      <c r="AZ374" s="4" t="str">
        <f>IF(AY374&lt;&gt;"",ROUND(AY374/(SI!$C$9*SI!$C$10),2),"")</f>
        <v/>
      </c>
      <c r="BA374" s="4" t="str">
        <f t="shared" si="150"/>
        <v/>
      </c>
      <c r="BB374" s="4" t="str">
        <f t="shared" si="151"/>
        <v/>
      </c>
      <c r="BC374" s="4" t="str">
        <f t="shared" si="152"/>
        <v/>
      </c>
      <c r="BD374" s="4" t="str">
        <f t="shared" si="153"/>
        <v/>
      </c>
      <c r="BE374" s="4" t="str">
        <f>IF(AND(X374&lt;&gt;""),ROUND(X374/SI!$C$10,2),"")</f>
        <v/>
      </c>
      <c r="BF374" s="4" t="str">
        <f t="shared" si="155"/>
        <v/>
      </c>
      <c r="BG374" s="264" t="str">
        <f t="shared" si="154"/>
        <v/>
      </c>
      <c r="BH374" s="71" t="str">
        <f>IF(F374&lt;&gt;"",VLOOKUP(F374,DUTY_2025!A:O,15,FALSE),"")</f>
        <v/>
      </c>
    </row>
    <row r="375" spans="1:60" x14ac:dyDescent="0.25">
      <c r="A375" s="133">
        <f t="shared" si="130"/>
        <v>66</v>
      </c>
      <c r="B375" s="83" t="str">
        <f t="shared" si="131"/>
        <v/>
      </c>
      <c r="C375" s="126"/>
      <c r="D375" s="130"/>
      <c r="E375" s="22"/>
      <c r="F375" s="85"/>
      <c r="G375" s="27" t="str">
        <f>IF(F375&lt;&gt;"",IFERROR(VLOOKUP(F375,DUTY_2025!A:I,6,FALSE),""),"")</f>
        <v/>
      </c>
      <c r="H375" s="85" t="s">
        <v>133</v>
      </c>
      <c r="I375" s="27" t="str">
        <f>IF(F375&lt;&gt;"",IFERROR(VLOOKUP(F375,DUTY_2025!A:H,2,FALSE),""),"")</f>
        <v/>
      </c>
      <c r="J375" s="98"/>
      <c r="K375" s="98"/>
      <c r="L375" s="22"/>
      <c r="M375" s="22"/>
      <c r="N375" s="84"/>
      <c r="O375" s="22"/>
      <c r="P375" s="116"/>
      <c r="Q375" s="23"/>
      <c r="R375" s="27"/>
      <c r="S375" s="86" t="str">
        <f t="shared" si="132"/>
        <v/>
      </c>
      <c r="T375" s="87" t="str">
        <f t="shared" si="133"/>
        <v/>
      </c>
      <c r="U375" s="87" t="str" cm="1">
        <f t="array" ref="U375">IF(AND(H375&lt;&gt;"YES",P375&lt;&gt;"",R375&lt;&gt;"",Q375&lt;&gt;""),
_xlfn.SWITCH(Q375,
"INR",_xlfn.SWITCH(R375,"KG",P375*S375,"CTN",P375,"UNIT",P375*N375,"NET",P375/M375,0),
"USD",_xlfn.SWITCH(R375,"KG",P375*S375*SI!$C$10,"CTN",P375*SI!$C$10,"UNIT",P375*N375*SI!$C$10,"NET",P375*SI!$C$10/M375,0),
"LKR",_xlfn.SWITCH(R375,"KG",P375*S375/SI!$C$9,"CTN",P375/SI!$C$9,"UNIT",P375*N375/SI!$C$9,"NET",P375/(M375*SI!$C$9),0),
0),
"")</f>
        <v/>
      </c>
      <c r="V375" s="87" t="str">
        <f t="shared" si="134"/>
        <v/>
      </c>
      <c r="W375" s="87" t="str">
        <f t="shared" si="135"/>
        <v/>
      </c>
      <c r="X375" s="88" t="str">
        <f t="shared" si="136"/>
        <v/>
      </c>
      <c r="Y375" s="24" t="str">
        <f t="shared" si="137"/>
        <v/>
      </c>
      <c r="Z375" s="267" t="str">
        <f>IF(AND(H375&lt;&gt;"yes",F375&lt;&gt;""),IFERROR(VLOOKUP(F375,DUTY_2025!A:F,5,FALSE),""),"")</f>
        <v/>
      </c>
      <c r="AA375" s="271" t="str">
        <f t="shared" si="138"/>
        <v/>
      </c>
      <c r="AB375" s="16" t="str">
        <f t="shared" si="139"/>
        <v/>
      </c>
      <c r="AC375" s="16" t="str">
        <f>IF(AA375&lt;&gt;"",ROUND(AA375*SI!$C$9,0),"")</f>
        <v/>
      </c>
      <c r="AD375" s="4" t="str">
        <f>IF(AC375&lt;&gt;"",ROUND(AC375/(SI!$C$9*SI!$C$10),2),"")</f>
        <v/>
      </c>
      <c r="AE375" s="30" t="str">
        <f>IF(AND(X375&lt;&gt;""), ROUND((SI!$E$23)*(X375/SUM($X$5:$X$493)),0),"")</f>
        <v/>
      </c>
      <c r="AF375" s="272" t="str">
        <f t="shared" si="140"/>
        <v/>
      </c>
      <c r="AG375" s="28" t="str">
        <f t="shared" si="141"/>
        <v/>
      </c>
      <c r="AH375" s="4" t="str">
        <f>IF(AD375&lt;&gt;"",ROUND(AD375*10*SI!$C$9/2,0),"")</f>
        <v/>
      </c>
      <c r="AI375" s="29" t="str">
        <f>IF(AND(X375&lt;&gt;""), ROUND((SI!$E$28)*(X375/SUM($X$5:$X$493)),0),"")</f>
        <v/>
      </c>
      <c r="AJ375" s="4" t="str">
        <f t="shared" si="142"/>
        <v/>
      </c>
      <c r="AK375" s="4" t="str">
        <f t="shared" si="143"/>
        <v/>
      </c>
      <c r="AL375" s="4" t="str">
        <f t="shared" si="144"/>
        <v/>
      </c>
      <c r="AM375" s="4" t="str">
        <f t="shared" si="145"/>
        <v/>
      </c>
      <c r="AN375" s="195" t="str">
        <f t="shared" si="146"/>
        <v/>
      </c>
      <c r="AO375" s="261" t="str">
        <f>IF(AND(AM375&lt;&gt;"",P375&lt;&gt;""),ROUND((AM375*((100+SI!$C$11)/100)),0),"")</f>
        <v/>
      </c>
      <c r="AP375" s="28" t="str">
        <f>IF(AG375&lt;&gt;"",ROUND(AG375/SI!$C$9,2),"")</f>
        <v/>
      </c>
      <c r="AQ375" s="4" t="str">
        <f>IF(AH375&lt;&gt;"",ROUND(AH375/SI!$C$9,2),"")</f>
        <v/>
      </c>
      <c r="AR375" s="29" t="str">
        <f>IF(AI375&lt;&gt;"",ROUND(AI375/SI!$C$9,2),"")</f>
        <v/>
      </c>
      <c r="AS375" s="4" t="str">
        <f t="shared" si="147"/>
        <v/>
      </c>
      <c r="AT375" s="4" t="str">
        <f t="shared" si="148"/>
        <v/>
      </c>
      <c r="AU375" s="4" t="str">
        <f>IF(AL375&lt;&gt;"",ROUND(AL375/SI!$C$9,2),"")</f>
        <v/>
      </c>
      <c r="AV375" s="4" t="str">
        <f>IF(AM375&lt;&gt;"",ROUND(AM375/SI!$C$9,2),"")</f>
        <v/>
      </c>
      <c r="AW375" s="4" t="str">
        <f>IF(AN375&lt;&gt;"",ROUND(AN375/SI!$C$9,2),"")</f>
        <v/>
      </c>
      <c r="AX375" s="261" t="str">
        <f>IF(AO375&lt;&gt;"",ROUND(AO375/SI!$C$9,2),"")</f>
        <v/>
      </c>
      <c r="AY375" s="28" t="str">
        <f t="shared" si="149"/>
        <v/>
      </c>
      <c r="AZ375" s="4" t="str">
        <f>IF(AY375&lt;&gt;"",ROUND(AY375/(SI!$C$9*SI!$C$10),2),"")</f>
        <v/>
      </c>
      <c r="BA375" s="4" t="str">
        <f t="shared" si="150"/>
        <v/>
      </c>
      <c r="BB375" s="4" t="str">
        <f t="shared" si="151"/>
        <v/>
      </c>
      <c r="BC375" s="4" t="str">
        <f t="shared" si="152"/>
        <v/>
      </c>
      <c r="BD375" s="4" t="str">
        <f t="shared" si="153"/>
        <v/>
      </c>
      <c r="BE375" s="4" t="str">
        <f>IF(AND(X375&lt;&gt;""),ROUND(X375/SI!$C$10,2),"")</f>
        <v/>
      </c>
      <c r="BF375" s="4" t="str">
        <f t="shared" si="155"/>
        <v/>
      </c>
      <c r="BG375" s="264" t="str">
        <f t="shared" si="154"/>
        <v/>
      </c>
      <c r="BH375" s="71" t="str">
        <f>IF(F375&lt;&gt;"",VLOOKUP(F375,DUTY_2025!A:O,15,FALSE),"")</f>
        <v/>
      </c>
    </row>
    <row r="376" spans="1:60" x14ac:dyDescent="0.25">
      <c r="A376" s="133">
        <f t="shared" si="130"/>
        <v>66</v>
      </c>
      <c r="B376" s="83" t="str">
        <f t="shared" si="131"/>
        <v/>
      </c>
      <c r="C376" s="126"/>
      <c r="D376" s="130"/>
      <c r="E376" s="22"/>
      <c r="F376" s="85"/>
      <c r="G376" s="27" t="str">
        <f>IF(F376&lt;&gt;"",IFERROR(VLOOKUP(F376,DUTY_2025!A:I,6,FALSE),""),"")</f>
        <v/>
      </c>
      <c r="H376" s="85" t="s">
        <v>133</v>
      </c>
      <c r="I376" s="27" t="str">
        <f>IF(F376&lt;&gt;"",IFERROR(VLOOKUP(F376,DUTY_2025!A:H,2,FALSE),""),"")</f>
        <v/>
      </c>
      <c r="J376" s="98"/>
      <c r="K376" s="98"/>
      <c r="L376" s="22"/>
      <c r="M376" s="22"/>
      <c r="N376" s="84"/>
      <c r="O376" s="22"/>
      <c r="P376" s="116"/>
      <c r="Q376" s="23"/>
      <c r="R376" s="27"/>
      <c r="S376" s="86" t="str">
        <f t="shared" si="132"/>
        <v/>
      </c>
      <c r="T376" s="87" t="str">
        <f t="shared" si="133"/>
        <v/>
      </c>
      <c r="U376" s="87" t="str" cm="1">
        <f t="array" ref="U376">IF(AND(H376&lt;&gt;"YES",P376&lt;&gt;"",R376&lt;&gt;"",Q376&lt;&gt;""),
_xlfn.SWITCH(Q376,
"INR",_xlfn.SWITCH(R376,"KG",P376*S376,"CTN",P376,"UNIT",P376*N376,"NET",P376/M376,0),
"USD",_xlfn.SWITCH(R376,"KG",P376*S376*SI!$C$10,"CTN",P376*SI!$C$10,"UNIT",P376*N376*SI!$C$10,"NET",P376*SI!$C$10/M376,0),
"LKR",_xlfn.SWITCH(R376,"KG",P376*S376/SI!$C$9,"CTN",P376/SI!$C$9,"UNIT",P376*N376/SI!$C$9,"NET",P376/(M376*SI!$C$9),0),
0),
"")</f>
        <v/>
      </c>
      <c r="V376" s="87" t="str">
        <f t="shared" si="134"/>
        <v/>
      </c>
      <c r="W376" s="87" t="str">
        <f t="shared" si="135"/>
        <v/>
      </c>
      <c r="X376" s="88" t="str">
        <f t="shared" si="136"/>
        <v/>
      </c>
      <c r="Y376" s="24" t="str">
        <f t="shared" si="137"/>
        <v/>
      </c>
      <c r="Z376" s="267" t="str">
        <f>IF(AND(H376&lt;&gt;"yes",F376&lt;&gt;""),IFERROR(VLOOKUP(F376,DUTY_2025!A:F,5,FALSE),""),"")</f>
        <v/>
      </c>
      <c r="AA376" s="271" t="str">
        <f t="shared" si="138"/>
        <v/>
      </c>
      <c r="AB376" s="16" t="str">
        <f t="shared" si="139"/>
        <v/>
      </c>
      <c r="AC376" s="16" t="str">
        <f>IF(AA376&lt;&gt;"",ROUND(AA376*SI!$C$9,0),"")</f>
        <v/>
      </c>
      <c r="AD376" s="4" t="str">
        <f>IF(AC376&lt;&gt;"",ROUND(AC376/(SI!$C$9*SI!$C$10),2),"")</f>
        <v/>
      </c>
      <c r="AE376" s="30" t="str">
        <f>IF(AND(X376&lt;&gt;""), ROUND((SI!$E$23)*(X376/SUM($X$5:$X$493)),0),"")</f>
        <v/>
      </c>
      <c r="AF376" s="272" t="str">
        <f t="shared" si="140"/>
        <v/>
      </c>
      <c r="AG376" s="28" t="str">
        <f t="shared" si="141"/>
        <v/>
      </c>
      <c r="AH376" s="4" t="str">
        <f>IF(AD376&lt;&gt;"",ROUND(AD376*10*SI!$C$9/2,0),"")</f>
        <v/>
      </c>
      <c r="AI376" s="29" t="str">
        <f>IF(AND(X376&lt;&gt;""), ROUND((SI!$E$28)*(X376/SUM($X$5:$X$493)),0),"")</f>
        <v/>
      </c>
      <c r="AJ376" s="4" t="str">
        <f t="shared" si="142"/>
        <v/>
      </c>
      <c r="AK376" s="4" t="str">
        <f t="shared" si="143"/>
        <v/>
      </c>
      <c r="AL376" s="4" t="str">
        <f t="shared" si="144"/>
        <v/>
      </c>
      <c r="AM376" s="4" t="str">
        <f t="shared" si="145"/>
        <v/>
      </c>
      <c r="AN376" s="195" t="str">
        <f t="shared" si="146"/>
        <v/>
      </c>
      <c r="AO376" s="261" t="str">
        <f>IF(AND(AM376&lt;&gt;"",P376&lt;&gt;""),ROUND((AM376*((100+SI!$C$11)/100)),0),"")</f>
        <v/>
      </c>
      <c r="AP376" s="28" t="str">
        <f>IF(AG376&lt;&gt;"",ROUND(AG376/SI!$C$9,2),"")</f>
        <v/>
      </c>
      <c r="AQ376" s="4" t="str">
        <f>IF(AH376&lt;&gt;"",ROUND(AH376/SI!$C$9,2),"")</f>
        <v/>
      </c>
      <c r="AR376" s="29" t="str">
        <f>IF(AI376&lt;&gt;"",ROUND(AI376/SI!$C$9,2),"")</f>
        <v/>
      </c>
      <c r="AS376" s="4" t="str">
        <f t="shared" si="147"/>
        <v/>
      </c>
      <c r="AT376" s="4" t="str">
        <f t="shared" si="148"/>
        <v/>
      </c>
      <c r="AU376" s="4" t="str">
        <f>IF(AL376&lt;&gt;"",ROUND(AL376/SI!$C$9,2),"")</f>
        <v/>
      </c>
      <c r="AV376" s="4" t="str">
        <f>IF(AM376&lt;&gt;"",ROUND(AM376/SI!$C$9,2),"")</f>
        <v/>
      </c>
      <c r="AW376" s="4" t="str">
        <f>IF(AN376&lt;&gt;"",ROUND(AN376/SI!$C$9,2),"")</f>
        <v/>
      </c>
      <c r="AX376" s="261" t="str">
        <f>IF(AO376&lt;&gt;"",ROUND(AO376/SI!$C$9,2),"")</f>
        <v/>
      </c>
      <c r="AY376" s="28" t="str">
        <f t="shared" si="149"/>
        <v/>
      </c>
      <c r="AZ376" s="4" t="str">
        <f>IF(AY376&lt;&gt;"",ROUND(AY376/(SI!$C$9*SI!$C$10),2),"")</f>
        <v/>
      </c>
      <c r="BA376" s="4" t="str">
        <f t="shared" si="150"/>
        <v/>
      </c>
      <c r="BB376" s="4" t="str">
        <f t="shared" si="151"/>
        <v/>
      </c>
      <c r="BC376" s="4" t="str">
        <f t="shared" si="152"/>
        <v/>
      </c>
      <c r="BD376" s="4" t="str">
        <f t="shared" si="153"/>
        <v/>
      </c>
      <c r="BE376" s="4" t="str">
        <f>IF(AND(X376&lt;&gt;""),ROUND(X376/SI!$C$10,2),"")</f>
        <v/>
      </c>
      <c r="BF376" s="4" t="str">
        <f t="shared" si="155"/>
        <v/>
      </c>
      <c r="BG376" s="264" t="str">
        <f t="shared" si="154"/>
        <v/>
      </c>
      <c r="BH376" s="71" t="str">
        <f>IF(F376&lt;&gt;"",VLOOKUP(F376,DUTY_2025!A:O,15,FALSE),"")</f>
        <v/>
      </c>
    </row>
    <row r="377" spans="1:60" x14ac:dyDescent="0.25">
      <c r="A377" s="133">
        <f t="shared" si="130"/>
        <v>66</v>
      </c>
      <c r="B377" s="83" t="str">
        <f t="shared" si="131"/>
        <v/>
      </c>
      <c r="C377" s="126"/>
      <c r="D377" s="130"/>
      <c r="E377" s="22"/>
      <c r="F377" s="85"/>
      <c r="G377" s="27" t="str">
        <f>IF(F377&lt;&gt;"",IFERROR(VLOOKUP(F377,DUTY_2025!A:I,6,FALSE),""),"")</f>
        <v/>
      </c>
      <c r="H377" s="85" t="s">
        <v>133</v>
      </c>
      <c r="I377" s="27" t="str">
        <f>IF(F377&lt;&gt;"",IFERROR(VLOOKUP(F377,DUTY_2025!A:H,2,FALSE),""),"")</f>
        <v/>
      </c>
      <c r="J377" s="98"/>
      <c r="K377" s="98"/>
      <c r="L377" s="22"/>
      <c r="M377" s="22"/>
      <c r="N377" s="84"/>
      <c r="O377" s="22"/>
      <c r="P377" s="116"/>
      <c r="Q377" s="23"/>
      <c r="R377" s="27"/>
      <c r="S377" s="86" t="str">
        <f t="shared" si="132"/>
        <v/>
      </c>
      <c r="T377" s="87" t="str">
        <f t="shared" si="133"/>
        <v/>
      </c>
      <c r="U377" s="87" t="str" cm="1">
        <f t="array" ref="U377">IF(AND(H377&lt;&gt;"YES",P377&lt;&gt;"",R377&lt;&gt;"",Q377&lt;&gt;""),
_xlfn.SWITCH(Q377,
"INR",_xlfn.SWITCH(R377,"KG",P377*S377,"CTN",P377,"UNIT",P377*N377,"NET",P377/M377,0),
"USD",_xlfn.SWITCH(R377,"KG",P377*S377*SI!$C$10,"CTN",P377*SI!$C$10,"UNIT",P377*N377*SI!$C$10,"NET",P377*SI!$C$10/M377,0),
"LKR",_xlfn.SWITCH(R377,"KG",P377*S377/SI!$C$9,"CTN",P377/SI!$C$9,"UNIT",P377*N377/SI!$C$9,"NET",P377/(M377*SI!$C$9),0),
0),
"")</f>
        <v/>
      </c>
      <c r="V377" s="87" t="str">
        <f t="shared" si="134"/>
        <v/>
      </c>
      <c r="W377" s="87" t="str">
        <f t="shared" si="135"/>
        <v/>
      </c>
      <c r="X377" s="88" t="str">
        <f t="shared" si="136"/>
        <v/>
      </c>
      <c r="Y377" s="24" t="str">
        <f t="shared" si="137"/>
        <v/>
      </c>
      <c r="Z377" s="267" t="str">
        <f>IF(AND(H377&lt;&gt;"yes",F377&lt;&gt;""),IFERROR(VLOOKUP(F377,DUTY_2025!A:F,5,FALSE),""),"")</f>
        <v/>
      </c>
      <c r="AA377" s="271" t="str">
        <f t="shared" si="138"/>
        <v/>
      </c>
      <c r="AB377" s="16" t="str">
        <f t="shared" si="139"/>
        <v/>
      </c>
      <c r="AC377" s="16" t="str">
        <f>IF(AA377&lt;&gt;"",ROUND(AA377*SI!$C$9,0),"")</f>
        <v/>
      </c>
      <c r="AD377" s="4" t="str">
        <f>IF(AC377&lt;&gt;"",ROUND(AC377/(SI!$C$9*SI!$C$10),2),"")</f>
        <v/>
      </c>
      <c r="AE377" s="30" t="str">
        <f>IF(AND(X377&lt;&gt;""), ROUND((SI!$E$23)*(X377/SUM($X$5:$X$493)),0),"")</f>
        <v/>
      </c>
      <c r="AF377" s="272" t="str">
        <f t="shared" si="140"/>
        <v/>
      </c>
      <c r="AG377" s="28" t="str">
        <f t="shared" si="141"/>
        <v/>
      </c>
      <c r="AH377" s="4" t="str">
        <f>IF(AD377&lt;&gt;"",ROUND(AD377*10*SI!$C$9/2,0),"")</f>
        <v/>
      </c>
      <c r="AI377" s="29" t="str">
        <f>IF(AND(X377&lt;&gt;""), ROUND((SI!$E$28)*(X377/SUM($X$5:$X$493)),0),"")</f>
        <v/>
      </c>
      <c r="AJ377" s="4" t="str">
        <f t="shared" si="142"/>
        <v/>
      </c>
      <c r="AK377" s="4" t="str">
        <f t="shared" si="143"/>
        <v/>
      </c>
      <c r="AL377" s="4" t="str">
        <f t="shared" si="144"/>
        <v/>
      </c>
      <c r="AM377" s="4" t="str">
        <f t="shared" si="145"/>
        <v/>
      </c>
      <c r="AN377" s="195" t="str">
        <f t="shared" si="146"/>
        <v/>
      </c>
      <c r="AO377" s="261" t="str">
        <f>IF(AND(AM377&lt;&gt;"",P377&lt;&gt;""),ROUND((AM377*((100+SI!$C$11)/100)),0),"")</f>
        <v/>
      </c>
      <c r="AP377" s="28" t="str">
        <f>IF(AG377&lt;&gt;"",ROUND(AG377/SI!$C$9,2),"")</f>
        <v/>
      </c>
      <c r="AQ377" s="4" t="str">
        <f>IF(AH377&lt;&gt;"",ROUND(AH377/SI!$C$9,2),"")</f>
        <v/>
      </c>
      <c r="AR377" s="29" t="str">
        <f>IF(AI377&lt;&gt;"",ROUND(AI377/SI!$C$9,2),"")</f>
        <v/>
      </c>
      <c r="AS377" s="4" t="str">
        <f t="shared" si="147"/>
        <v/>
      </c>
      <c r="AT377" s="4" t="str">
        <f t="shared" si="148"/>
        <v/>
      </c>
      <c r="AU377" s="4" t="str">
        <f>IF(AL377&lt;&gt;"",ROUND(AL377/SI!$C$9,2),"")</f>
        <v/>
      </c>
      <c r="AV377" s="4" t="str">
        <f>IF(AM377&lt;&gt;"",ROUND(AM377/SI!$C$9,2),"")</f>
        <v/>
      </c>
      <c r="AW377" s="4" t="str">
        <f>IF(AN377&lt;&gt;"",ROUND(AN377/SI!$C$9,2),"")</f>
        <v/>
      </c>
      <c r="AX377" s="261" t="str">
        <f>IF(AO377&lt;&gt;"",ROUND(AO377/SI!$C$9,2),"")</f>
        <v/>
      </c>
      <c r="AY377" s="28" t="str">
        <f t="shared" si="149"/>
        <v/>
      </c>
      <c r="AZ377" s="4" t="str">
        <f>IF(AY377&lt;&gt;"",ROUND(AY377/(SI!$C$9*SI!$C$10),2),"")</f>
        <v/>
      </c>
      <c r="BA377" s="4" t="str">
        <f t="shared" si="150"/>
        <v/>
      </c>
      <c r="BB377" s="4" t="str">
        <f t="shared" si="151"/>
        <v/>
      </c>
      <c r="BC377" s="4" t="str">
        <f t="shared" si="152"/>
        <v/>
      </c>
      <c r="BD377" s="4" t="str">
        <f t="shared" si="153"/>
        <v/>
      </c>
      <c r="BE377" s="4" t="str">
        <f>IF(AND(X377&lt;&gt;""),ROUND(X377/SI!$C$10,2),"")</f>
        <v/>
      </c>
      <c r="BF377" s="4" t="str">
        <f t="shared" si="155"/>
        <v/>
      </c>
      <c r="BG377" s="264" t="str">
        <f t="shared" si="154"/>
        <v/>
      </c>
      <c r="BH377" s="71" t="str">
        <f>IF(F377&lt;&gt;"",VLOOKUP(F377,DUTY_2025!A:O,15,FALSE),"")</f>
        <v/>
      </c>
    </row>
    <row r="378" spans="1:60" x14ac:dyDescent="0.25">
      <c r="A378" s="133">
        <f t="shared" si="130"/>
        <v>66</v>
      </c>
      <c r="B378" s="83" t="str">
        <f t="shared" si="131"/>
        <v/>
      </c>
      <c r="C378" s="126"/>
      <c r="D378" s="130"/>
      <c r="E378" s="22"/>
      <c r="F378" s="85"/>
      <c r="G378" s="27" t="str">
        <f>IF(F378&lt;&gt;"",IFERROR(VLOOKUP(F378,DUTY_2025!A:I,6,FALSE),""),"")</f>
        <v/>
      </c>
      <c r="H378" s="85" t="s">
        <v>133</v>
      </c>
      <c r="I378" s="27" t="str">
        <f>IF(F378&lt;&gt;"",IFERROR(VLOOKUP(F378,DUTY_2025!A:H,2,FALSE),""),"")</f>
        <v/>
      </c>
      <c r="J378" s="98"/>
      <c r="K378" s="98"/>
      <c r="L378" s="22"/>
      <c r="M378" s="22"/>
      <c r="N378" s="84"/>
      <c r="O378" s="22"/>
      <c r="P378" s="116"/>
      <c r="Q378" s="23"/>
      <c r="R378" s="27"/>
      <c r="S378" s="86" t="str">
        <f t="shared" si="132"/>
        <v/>
      </c>
      <c r="T378" s="87" t="str">
        <f t="shared" si="133"/>
        <v/>
      </c>
      <c r="U378" s="87" t="str" cm="1">
        <f t="array" ref="U378">IF(AND(H378&lt;&gt;"YES",P378&lt;&gt;"",R378&lt;&gt;"",Q378&lt;&gt;""),
_xlfn.SWITCH(Q378,
"INR",_xlfn.SWITCH(R378,"KG",P378*S378,"CTN",P378,"UNIT",P378*N378,"NET",P378/M378,0),
"USD",_xlfn.SWITCH(R378,"KG",P378*S378*SI!$C$10,"CTN",P378*SI!$C$10,"UNIT",P378*N378*SI!$C$10,"NET",P378*SI!$C$10/M378,0),
"LKR",_xlfn.SWITCH(R378,"KG",P378*S378/SI!$C$9,"CTN",P378/SI!$C$9,"UNIT",P378*N378/SI!$C$9,"NET",P378/(M378*SI!$C$9),0),
0),
"")</f>
        <v/>
      </c>
      <c r="V378" s="87" t="str">
        <f t="shared" si="134"/>
        <v/>
      </c>
      <c r="W378" s="87" t="str">
        <f t="shared" si="135"/>
        <v/>
      </c>
      <c r="X378" s="88" t="str">
        <f t="shared" si="136"/>
        <v/>
      </c>
      <c r="Y378" s="24" t="str">
        <f t="shared" si="137"/>
        <v/>
      </c>
      <c r="Z378" s="267" t="str">
        <f>IF(AND(H378&lt;&gt;"yes",F378&lt;&gt;""),IFERROR(VLOOKUP(F378,DUTY_2025!A:F,5,FALSE),""),"")</f>
        <v/>
      </c>
      <c r="AA378" s="271" t="str">
        <f t="shared" si="138"/>
        <v/>
      </c>
      <c r="AB378" s="16" t="str">
        <f t="shared" si="139"/>
        <v/>
      </c>
      <c r="AC378" s="16" t="str">
        <f>IF(AA378&lt;&gt;"",ROUND(AA378*SI!$C$9,0),"")</f>
        <v/>
      </c>
      <c r="AD378" s="4" t="str">
        <f>IF(AC378&lt;&gt;"",ROUND(AC378/(SI!$C$9*SI!$C$10),2),"")</f>
        <v/>
      </c>
      <c r="AE378" s="30" t="str">
        <f>IF(AND(X378&lt;&gt;""), ROUND((SI!$E$23)*(X378/SUM($X$5:$X$493)),0),"")</f>
        <v/>
      </c>
      <c r="AF378" s="272" t="str">
        <f t="shared" si="140"/>
        <v/>
      </c>
      <c r="AG378" s="28" t="str">
        <f t="shared" si="141"/>
        <v/>
      </c>
      <c r="AH378" s="4" t="str">
        <f>IF(AD378&lt;&gt;"",ROUND(AD378*10*SI!$C$9/2,0),"")</f>
        <v/>
      </c>
      <c r="AI378" s="29" t="str">
        <f>IF(AND(X378&lt;&gt;""), ROUND((SI!$E$28)*(X378/SUM($X$5:$X$493)),0),"")</f>
        <v/>
      </c>
      <c r="AJ378" s="4" t="str">
        <f t="shared" si="142"/>
        <v/>
      </c>
      <c r="AK378" s="4" t="str">
        <f t="shared" si="143"/>
        <v/>
      </c>
      <c r="AL378" s="4" t="str">
        <f t="shared" si="144"/>
        <v/>
      </c>
      <c r="AM378" s="4" t="str">
        <f t="shared" si="145"/>
        <v/>
      </c>
      <c r="AN378" s="195" t="str">
        <f t="shared" si="146"/>
        <v/>
      </c>
      <c r="AO378" s="261" t="str">
        <f>IF(AND(AM378&lt;&gt;"",P378&lt;&gt;""),ROUND((AM378*((100+SI!$C$11)/100)),0),"")</f>
        <v/>
      </c>
      <c r="AP378" s="28" t="str">
        <f>IF(AG378&lt;&gt;"",ROUND(AG378/SI!$C$9,2),"")</f>
        <v/>
      </c>
      <c r="AQ378" s="4" t="str">
        <f>IF(AH378&lt;&gt;"",ROUND(AH378/SI!$C$9,2),"")</f>
        <v/>
      </c>
      <c r="AR378" s="29" t="str">
        <f>IF(AI378&lt;&gt;"",ROUND(AI378/SI!$C$9,2),"")</f>
        <v/>
      </c>
      <c r="AS378" s="4" t="str">
        <f t="shared" si="147"/>
        <v/>
      </c>
      <c r="AT378" s="4" t="str">
        <f t="shared" si="148"/>
        <v/>
      </c>
      <c r="AU378" s="4" t="str">
        <f>IF(AL378&lt;&gt;"",ROUND(AL378/SI!$C$9,2),"")</f>
        <v/>
      </c>
      <c r="AV378" s="4" t="str">
        <f>IF(AM378&lt;&gt;"",ROUND(AM378/SI!$C$9,2),"")</f>
        <v/>
      </c>
      <c r="AW378" s="4" t="str">
        <f>IF(AN378&lt;&gt;"",ROUND(AN378/SI!$C$9,2),"")</f>
        <v/>
      </c>
      <c r="AX378" s="261" t="str">
        <f>IF(AO378&lt;&gt;"",ROUND(AO378/SI!$C$9,2),"")</f>
        <v/>
      </c>
      <c r="AY378" s="28" t="str">
        <f t="shared" si="149"/>
        <v/>
      </c>
      <c r="AZ378" s="4" t="str">
        <f>IF(AY378&lt;&gt;"",ROUND(AY378/(SI!$C$9*SI!$C$10),2),"")</f>
        <v/>
      </c>
      <c r="BA378" s="4" t="str">
        <f t="shared" si="150"/>
        <v/>
      </c>
      <c r="BB378" s="4" t="str">
        <f t="shared" si="151"/>
        <v/>
      </c>
      <c r="BC378" s="4" t="str">
        <f t="shared" si="152"/>
        <v/>
      </c>
      <c r="BD378" s="4" t="str">
        <f t="shared" si="153"/>
        <v/>
      </c>
      <c r="BE378" s="4" t="str">
        <f>IF(AND(X378&lt;&gt;""),ROUND(X378/SI!$C$10,2),"")</f>
        <v/>
      </c>
      <c r="BF378" s="4" t="str">
        <f t="shared" si="155"/>
        <v/>
      </c>
      <c r="BG378" s="264" t="str">
        <f t="shared" si="154"/>
        <v/>
      </c>
      <c r="BH378" s="71" t="str">
        <f>IF(F378&lt;&gt;"",VLOOKUP(F378,DUTY_2025!A:O,15,FALSE),"")</f>
        <v/>
      </c>
    </row>
    <row r="379" spans="1:60" x14ac:dyDescent="0.25">
      <c r="A379" s="133">
        <f t="shared" si="130"/>
        <v>66</v>
      </c>
      <c r="B379" s="83" t="str">
        <f t="shared" si="131"/>
        <v/>
      </c>
      <c r="C379" s="126"/>
      <c r="D379" s="130"/>
      <c r="E379" s="22"/>
      <c r="F379" s="85"/>
      <c r="G379" s="27" t="str">
        <f>IF(F379&lt;&gt;"",IFERROR(VLOOKUP(F379,DUTY_2025!A:I,6,FALSE),""),"")</f>
        <v/>
      </c>
      <c r="H379" s="85" t="s">
        <v>133</v>
      </c>
      <c r="I379" s="27" t="str">
        <f>IF(F379&lt;&gt;"",IFERROR(VLOOKUP(F379,DUTY_2025!A:H,2,FALSE),""),"")</f>
        <v/>
      </c>
      <c r="J379" s="98"/>
      <c r="K379" s="98"/>
      <c r="L379" s="22"/>
      <c r="M379" s="22"/>
      <c r="N379" s="84"/>
      <c r="O379" s="22"/>
      <c r="P379" s="116"/>
      <c r="Q379" s="23"/>
      <c r="R379" s="27"/>
      <c r="S379" s="86" t="str">
        <f t="shared" si="132"/>
        <v/>
      </c>
      <c r="T379" s="87" t="str">
        <f t="shared" si="133"/>
        <v/>
      </c>
      <c r="U379" s="87" t="str" cm="1">
        <f t="array" ref="U379">IF(AND(H379&lt;&gt;"YES",P379&lt;&gt;"",R379&lt;&gt;"",Q379&lt;&gt;""),
_xlfn.SWITCH(Q379,
"INR",_xlfn.SWITCH(R379,"KG",P379*S379,"CTN",P379,"UNIT",P379*N379,"NET",P379/M379,0),
"USD",_xlfn.SWITCH(R379,"KG",P379*S379*SI!$C$10,"CTN",P379*SI!$C$10,"UNIT",P379*N379*SI!$C$10,"NET",P379*SI!$C$10/M379,0),
"LKR",_xlfn.SWITCH(R379,"KG",P379*S379/SI!$C$9,"CTN",P379/SI!$C$9,"UNIT",P379*N379/SI!$C$9,"NET",P379/(M379*SI!$C$9),0),
0),
"")</f>
        <v/>
      </c>
      <c r="V379" s="87" t="str">
        <f t="shared" si="134"/>
        <v/>
      </c>
      <c r="W379" s="87" t="str">
        <f t="shared" si="135"/>
        <v/>
      </c>
      <c r="X379" s="88" t="str">
        <f t="shared" si="136"/>
        <v/>
      </c>
      <c r="Y379" s="24" t="str">
        <f t="shared" si="137"/>
        <v/>
      </c>
      <c r="Z379" s="267" t="str">
        <f>IF(AND(H379&lt;&gt;"yes",F379&lt;&gt;""),IFERROR(VLOOKUP(F379,DUTY_2025!A:F,5,FALSE),""),"")</f>
        <v/>
      </c>
      <c r="AA379" s="271" t="str">
        <f t="shared" si="138"/>
        <v/>
      </c>
      <c r="AB379" s="16" t="str">
        <f t="shared" si="139"/>
        <v/>
      </c>
      <c r="AC379" s="16" t="str">
        <f>IF(AA379&lt;&gt;"",ROUND(AA379*SI!$C$9,0),"")</f>
        <v/>
      </c>
      <c r="AD379" s="4" t="str">
        <f>IF(AC379&lt;&gt;"",ROUND(AC379/(SI!$C$9*SI!$C$10),2),"")</f>
        <v/>
      </c>
      <c r="AE379" s="30" t="str">
        <f>IF(AND(X379&lt;&gt;""), ROUND((SI!$E$23)*(X379/SUM($X$5:$X$493)),0),"")</f>
        <v/>
      </c>
      <c r="AF379" s="272" t="str">
        <f t="shared" si="140"/>
        <v/>
      </c>
      <c r="AG379" s="28" t="str">
        <f t="shared" si="141"/>
        <v/>
      </c>
      <c r="AH379" s="4" t="str">
        <f>IF(AD379&lt;&gt;"",ROUND(AD379*10*SI!$C$9/2,0),"")</f>
        <v/>
      </c>
      <c r="AI379" s="29" t="str">
        <f>IF(AND(X379&lt;&gt;""), ROUND((SI!$E$28)*(X379/SUM($X$5:$X$493)),0),"")</f>
        <v/>
      </c>
      <c r="AJ379" s="4" t="str">
        <f t="shared" si="142"/>
        <v/>
      </c>
      <c r="AK379" s="4" t="str">
        <f t="shared" si="143"/>
        <v/>
      </c>
      <c r="AL379" s="4" t="str">
        <f t="shared" si="144"/>
        <v/>
      </c>
      <c r="AM379" s="4" t="str">
        <f t="shared" si="145"/>
        <v/>
      </c>
      <c r="AN379" s="195" t="str">
        <f t="shared" si="146"/>
        <v/>
      </c>
      <c r="AO379" s="261" t="str">
        <f>IF(AND(AM379&lt;&gt;"",P379&lt;&gt;""),ROUND((AM379*((100+SI!$C$11)/100)),0),"")</f>
        <v/>
      </c>
      <c r="AP379" s="28" t="str">
        <f>IF(AG379&lt;&gt;"",ROUND(AG379/SI!$C$9,2),"")</f>
        <v/>
      </c>
      <c r="AQ379" s="4" t="str">
        <f>IF(AH379&lt;&gt;"",ROUND(AH379/SI!$C$9,2),"")</f>
        <v/>
      </c>
      <c r="AR379" s="29" t="str">
        <f>IF(AI379&lt;&gt;"",ROUND(AI379/SI!$C$9,2),"")</f>
        <v/>
      </c>
      <c r="AS379" s="4" t="str">
        <f t="shared" si="147"/>
        <v/>
      </c>
      <c r="AT379" s="4" t="str">
        <f t="shared" si="148"/>
        <v/>
      </c>
      <c r="AU379" s="4" t="str">
        <f>IF(AL379&lt;&gt;"",ROUND(AL379/SI!$C$9,2),"")</f>
        <v/>
      </c>
      <c r="AV379" s="4" t="str">
        <f>IF(AM379&lt;&gt;"",ROUND(AM379/SI!$C$9,2),"")</f>
        <v/>
      </c>
      <c r="AW379" s="4" t="str">
        <f>IF(AN379&lt;&gt;"",ROUND(AN379/SI!$C$9,2),"")</f>
        <v/>
      </c>
      <c r="AX379" s="261" t="str">
        <f>IF(AO379&lt;&gt;"",ROUND(AO379/SI!$C$9,2),"")</f>
        <v/>
      </c>
      <c r="AY379" s="28" t="str">
        <f t="shared" si="149"/>
        <v/>
      </c>
      <c r="AZ379" s="4" t="str">
        <f>IF(AY379&lt;&gt;"",ROUND(AY379/(SI!$C$9*SI!$C$10),2),"")</f>
        <v/>
      </c>
      <c r="BA379" s="4" t="str">
        <f t="shared" si="150"/>
        <v/>
      </c>
      <c r="BB379" s="4" t="str">
        <f t="shared" si="151"/>
        <v/>
      </c>
      <c r="BC379" s="4" t="str">
        <f t="shared" si="152"/>
        <v/>
      </c>
      <c r="BD379" s="4" t="str">
        <f t="shared" si="153"/>
        <v/>
      </c>
      <c r="BE379" s="4" t="str">
        <f>IF(AND(X379&lt;&gt;""),ROUND(X379/SI!$C$10,2),"")</f>
        <v/>
      </c>
      <c r="BF379" s="4" t="str">
        <f t="shared" si="155"/>
        <v/>
      </c>
      <c r="BG379" s="264" t="str">
        <f t="shared" si="154"/>
        <v/>
      </c>
      <c r="BH379" s="71" t="str">
        <f>IF(F379&lt;&gt;"",VLOOKUP(F379,DUTY_2025!A:O,15,FALSE),"")</f>
        <v/>
      </c>
    </row>
    <row r="380" spans="1:60" x14ac:dyDescent="0.25">
      <c r="A380" s="133">
        <f t="shared" si="130"/>
        <v>66</v>
      </c>
      <c r="B380" s="83" t="str">
        <f t="shared" si="131"/>
        <v/>
      </c>
      <c r="C380" s="126"/>
      <c r="D380" s="130"/>
      <c r="E380" s="22"/>
      <c r="F380" s="85"/>
      <c r="G380" s="27" t="str">
        <f>IF(F380&lt;&gt;"",IFERROR(VLOOKUP(F380,DUTY_2025!A:I,6,FALSE),""),"")</f>
        <v/>
      </c>
      <c r="H380" s="85" t="s">
        <v>133</v>
      </c>
      <c r="I380" s="27" t="str">
        <f>IF(F380&lt;&gt;"",IFERROR(VLOOKUP(F380,DUTY_2025!A:H,2,FALSE),""),"")</f>
        <v/>
      </c>
      <c r="J380" s="98"/>
      <c r="K380" s="98"/>
      <c r="L380" s="22"/>
      <c r="M380" s="22"/>
      <c r="N380" s="84"/>
      <c r="O380" s="22"/>
      <c r="P380" s="116"/>
      <c r="Q380" s="23"/>
      <c r="R380" s="27"/>
      <c r="S380" s="86" t="str">
        <f t="shared" si="132"/>
        <v/>
      </c>
      <c r="T380" s="87" t="str">
        <f t="shared" si="133"/>
        <v/>
      </c>
      <c r="U380" s="87" t="str" cm="1">
        <f t="array" ref="U380">IF(AND(H380&lt;&gt;"YES",P380&lt;&gt;"",R380&lt;&gt;"",Q380&lt;&gt;""),
_xlfn.SWITCH(Q380,
"INR",_xlfn.SWITCH(R380,"KG",P380*S380,"CTN",P380,"UNIT",P380*N380,"NET",P380/M380,0),
"USD",_xlfn.SWITCH(R380,"KG",P380*S380*SI!$C$10,"CTN",P380*SI!$C$10,"UNIT",P380*N380*SI!$C$10,"NET",P380*SI!$C$10/M380,0),
"LKR",_xlfn.SWITCH(R380,"KG",P380*S380/SI!$C$9,"CTN",P380/SI!$C$9,"UNIT",P380*N380/SI!$C$9,"NET",P380/(M380*SI!$C$9),0),
0),
"")</f>
        <v/>
      </c>
      <c r="V380" s="87" t="str">
        <f t="shared" si="134"/>
        <v/>
      </c>
      <c r="W380" s="87" t="str">
        <f t="shared" si="135"/>
        <v/>
      </c>
      <c r="X380" s="88" t="str">
        <f t="shared" si="136"/>
        <v/>
      </c>
      <c r="Y380" s="24" t="str">
        <f t="shared" si="137"/>
        <v/>
      </c>
      <c r="Z380" s="267" t="str">
        <f>IF(AND(H380&lt;&gt;"yes",F380&lt;&gt;""),IFERROR(VLOOKUP(F380,DUTY_2025!A:F,5,FALSE),""),"")</f>
        <v/>
      </c>
      <c r="AA380" s="271" t="str">
        <f t="shared" si="138"/>
        <v/>
      </c>
      <c r="AB380" s="16" t="str">
        <f t="shared" si="139"/>
        <v/>
      </c>
      <c r="AC380" s="16" t="str">
        <f>IF(AA380&lt;&gt;"",ROUND(AA380*SI!$C$9,0),"")</f>
        <v/>
      </c>
      <c r="AD380" s="4" t="str">
        <f>IF(AC380&lt;&gt;"",ROUND(AC380/(SI!$C$9*SI!$C$10),2),"")</f>
        <v/>
      </c>
      <c r="AE380" s="30" t="str">
        <f>IF(AND(X380&lt;&gt;""), ROUND((SI!$E$23)*(X380/SUM($X$5:$X$493)),0),"")</f>
        <v/>
      </c>
      <c r="AF380" s="272" t="str">
        <f t="shared" si="140"/>
        <v/>
      </c>
      <c r="AG380" s="28" t="str">
        <f t="shared" si="141"/>
        <v/>
      </c>
      <c r="AH380" s="4" t="str">
        <f>IF(AD380&lt;&gt;"",ROUND(AD380*10*SI!$C$9/2,0),"")</f>
        <v/>
      </c>
      <c r="AI380" s="29" t="str">
        <f>IF(AND(X380&lt;&gt;""), ROUND((SI!$E$28)*(X380/SUM($X$5:$X$493)),0),"")</f>
        <v/>
      </c>
      <c r="AJ380" s="4" t="str">
        <f t="shared" si="142"/>
        <v/>
      </c>
      <c r="AK380" s="4" t="str">
        <f t="shared" si="143"/>
        <v/>
      </c>
      <c r="AL380" s="4" t="str">
        <f t="shared" si="144"/>
        <v/>
      </c>
      <c r="AM380" s="4" t="str">
        <f t="shared" si="145"/>
        <v/>
      </c>
      <c r="AN380" s="195" t="str">
        <f t="shared" si="146"/>
        <v/>
      </c>
      <c r="AO380" s="261" t="str">
        <f>IF(AND(AM380&lt;&gt;"",P380&lt;&gt;""),ROUND((AM380*((100+SI!$C$11)/100)),0),"")</f>
        <v/>
      </c>
      <c r="AP380" s="28" t="str">
        <f>IF(AG380&lt;&gt;"",ROUND(AG380/SI!$C$9,2),"")</f>
        <v/>
      </c>
      <c r="AQ380" s="4" t="str">
        <f>IF(AH380&lt;&gt;"",ROUND(AH380/SI!$C$9,2),"")</f>
        <v/>
      </c>
      <c r="AR380" s="29" t="str">
        <f>IF(AI380&lt;&gt;"",ROUND(AI380/SI!$C$9,2),"")</f>
        <v/>
      </c>
      <c r="AS380" s="4" t="str">
        <f t="shared" si="147"/>
        <v/>
      </c>
      <c r="AT380" s="4" t="str">
        <f t="shared" si="148"/>
        <v/>
      </c>
      <c r="AU380" s="4" t="str">
        <f>IF(AL380&lt;&gt;"",ROUND(AL380/SI!$C$9,2),"")</f>
        <v/>
      </c>
      <c r="AV380" s="4" t="str">
        <f>IF(AM380&lt;&gt;"",ROUND(AM380/SI!$C$9,2),"")</f>
        <v/>
      </c>
      <c r="AW380" s="4" t="str">
        <f>IF(AN380&lt;&gt;"",ROUND(AN380/SI!$C$9,2),"")</f>
        <v/>
      </c>
      <c r="AX380" s="261" t="str">
        <f>IF(AO380&lt;&gt;"",ROUND(AO380/SI!$C$9,2),"")</f>
        <v/>
      </c>
      <c r="AY380" s="28" t="str">
        <f t="shared" si="149"/>
        <v/>
      </c>
      <c r="AZ380" s="4" t="str">
        <f>IF(AY380&lt;&gt;"",ROUND(AY380/(SI!$C$9*SI!$C$10),2),"")</f>
        <v/>
      </c>
      <c r="BA380" s="4" t="str">
        <f t="shared" si="150"/>
        <v/>
      </c>
      <c r="BB380" s="4" t="str">
        <f t="shared" si="151"/>
        <v/>
      </c>
      <c r="BC380" s="4" t="str">
        <f t="shared" si="152"/>
        <v/>
      </c>
      <c r="BD380" s="4" t="str">
        <f t="shared" si="153"/>
        <v/>
      </c>
      <c r="BE380" s="4" t="str">
        <f>IF(AND(X380&lt;&gt;""),ROUND(X380/SI!$C$10,2),"")</f>
        <v/>
      </c>
      <c r="BF380" s="4" t="str">
        <f t="shared" si="155"/>
        <v/>
      </c>
      <c r="BG380" s="264" t="str">
        <f t="shared" si="154"/>
        <v/>
      </c>
      <c r="BH380" s="71" t="str">
        <f>IF(F380&lt;&gt;"",VLOOKUP(F380,DUTY_2025!A:O,15,FALSE),"")</f>
        <v/>
      </c>
    </row>
    <row r="381" spans="1:60" x14ac:dyDescent="0.25">
      <c r="A381" s="133">
        <f t="shared" si="130"/>
        <v>66</v>
      </c>
      <c r="B381" s="83" t="str">
        <f t="shared" si="131"/>
        <v/>
      </c>
      <c r="C381" s="126"/>
      <c r="D381" s="130"/>
      <c r="E381" s="22"/>
      <c r="F381" s="85"/>
      <c r="G381" s="27" t="str">
        <f>IF(F381&lt;&gt;"",IFERROR(VLOOKUP(F381,DUTY_2025!A:I,6,FALSE),""),"")</f>
        <v/>
      </c>
      <c r="H381" s="85" t="s">
        <v>133</v>
      </c>
      <c r="I381" s="27" t="str">
        <f>IF(F381&lt;&gt;"",IFERROR(VLOOKUP(F381,DUTY_2025!A:H,2,FALSE),""),"")</f>
        <v/>
      </c>
      <c r="J381" s="98"/>
      <c r="K381" s="98"/>
      <c r="L381" s="22"/>
      <c r="M381" s="22"/>
      <c r="N381" s="84"/>
      <c r="O381" s="22"/>
      <c r="P381" s="116"/>
      <c r="Q381" s="23"/>
      <c r="R381" s="27"/>
      <c r="S381" s="86" t="str">
        <f t="shared" si="132"/>
        <v/>
      </c>
      <c r="T381" s="87" t="str">
        <f t="shared" si="133"/>
        <v/>
      </c>
      <c r="U381" s="87" t="str" cm="1">
        <f t="array" ref="U381">IF(AND(H381&lt;&gt;"YES",P381&lt;&gt;"",R381&lt;&gt;"",Q381&lt;&gt;""),
_xlfn.SWITCH(Q381,
"INR",_xlfn.SWITCH(R381,"KG",P381*S381,"CTN",P381,"UNIT",P381*N381,"NET",P381/M381,0),
"USD",_xlfn.SWITCH(R381,"KG",P381*S381*SI!$C$10,"CTN",P381*SI!$C$10,"UNIT",P381*N381*SI!$C$10,"NET",P381*SI!$C$10/M381,0),
"LKR",_xlfn.SWITCH(R381,"KG",P381*S381/SI!$C$9,"CTN",P381/SI!$C$9,"UNIT",P381*N381/SI!$C$9,"NET",P381/(M381*SI!$C$9),0),
0),
"")</f>
        <v/>
      </c>
      <c r="V381" s="87" t="str">
        <f t="shared" si="134"/>
        <v/>
      </c>
      <c r="W381" s="87" t="str">
        <f t="shared" si="135"/>
        <v/>
      </c>
      <c r="X381" s="88" t="str">
        <f t="shared" si="136"/>
        <v/>
      </c>
      <c r="Y381" s="24" t="str">
        <f t="shared" si="137"/>
        <v/>
      </c>
      <c r="Z381" s="267" t="str">
        <f>IF(AND(H381&lt;&gt;"yes",F381&lt;&gt;""),IFERROR(VLOOKUP(F381,DUTY_2025!A:F,5,FALSE),""),"")</f>
        <v/>
      </c>
      <c r="AA381" s="271" t="str">
        <f t="shared" si="138"/>
        <v/>
      </c>
      <c r="AB381" s="16" t="str">
        <f t="shared" si="139"/>
        <v/>
      </c>
      <c r="AC381" s="16" t="str">
        <f>IF(AA381&lt;&gt;"",ROUND(AA381*SI!$C$9,0),"")</f>
        <v/>
      </c>
      <c r="AD381" s="4" t="str">
        <f>IF(AC381&lt;&gt;"",ROUND(AC381/(SI!$C$9*SI!$C$10),2),"")</f>
        <v/>
      </c>
      <c r="AE381" s="30" t="str">
        <f>IF(AND(X381&lt;&gt;""), ROUND((SI!$E$23)*(X381/SUM($X$5:$X$493)),0),"")</f>
        <v/>
      </c>
      <c r="AF381" s="272" t="str">
        <f t="shared" si="140"/>
        <v/>
      </c>
      <c r="AG381" s="28" t="str">
        <f t="shared" si="141"/>
        <v/>
      </c>
      <c r="AH381" s="4" t="str">
        <f>IF(AD381&lt;&gt;"",ROUND(AD381*10*SI!$C$9/2,0),"")</f>
        <v/>
      </c>
      <c r="AI381" s="29" t="str">
        <f>IF(AND(X381&lt;&gt;""), ROUND((SI!$E$28)*(X381/SUM($X$5:$X$493)),0),"")</f>
        <v/>
      </c>
      <c r="AJ381" s="4" t="str">
        <f t="shared" si="142"/>
        <v/>
      </c>
      <c r="AK381" s="4" t="str">
        <f t="shared" si="143"/>
        <v/>
      </c>
      <c r="AL381" s="4" t="str">
        <f t="shared" si="144"/>
        <v/>
      </c>
      <c r="AM381" s="4" t="str">
        <f t="shared" si="145"/>
        <v/>
      </c>
      <c r="AN381" s="195" t="str">
        <f t="shared" si="146"/>
        <v/>
      </c>
      <c r="AO381" s="261" t="str">
        <f>IF(AND(AM381&lt;&gt;"",P381&lt;&gt;""),ROUND((AM381*((100+SI!$C$11)/100)),0),"")</f>
        <v/>
      </c>
      <c r="AP381" s="28" t="str">
        <f>IF(AG381&lt;&gt;"",ROUND(AG381/SI!$C$9,2),"")</f>
        <v/>
      </c>
      <c r="AQ381" s="4" t="str">
        <f>IF(AH381&lt;&gt;"",ROUND(AH381/SI!$C$9,2),"")</f>
        <v/>
      </c>
      <c r="AR381" s="29" t="str">
        <f>IF(AI381&lt;&gt;"",ROUND(AI381/SI!$C$9,2),"")</f>
        <v/>
      </c>
      <c r="AS381" s="4" t="str">
        <f t="shared" si="147"/>
        <v/>
      </c>
      <c r="AT381" s="4" t="str">
        <f t="shared" si="148"/>
        <v/>
      </c>
      <c r="AU381" s="4" t="str">
        <f>IF(AL381&lt;&gt;"",ROUND(AL381/SI!$C$9,2),"")</f>
        <v/>
      </c>
      <c r="AV381" s="4" t="str">
        <f>IF(AM381&lt;&gt;"",ROUND(AM381/SI!$C$9,2),"")</f>
        <v/>
      </c>
      <c r="AW381" s="4" t="str">
        <f>IF(AN381&lt;&gt;"",ROUND(AN381/SI!$C$9,2),"")</f>
        <v/>
      </c>
      <c r="AX381" s="261" t="str">
        <f>IF(AO381&lt;&gt;"",ROUND(AO381/SI!$C$9,2),"")</f>
        <v/>
      </c>
      <c r="AY381" s="28" t="str">
        <f t="shared" si="149"/>
        <v/>
      </c>
      <c r="AZ381" s="4" t="str">
        <f>IF(AY381&lt;&gt;"",ROUND(AY381/(SI!$C$9*SI!$C$10),2),"")</f>
        <v/>
      </c>
      <c r="BA381" s="4" t="str">
        <f t="shared" si="150"/>
        <v/>
      </c>
      <c r="BB381" s="4" t="str">
        <f t="shared" si="151"/>
        <v/>
      </c>
      <c r="BC381" s="4" t="str">
        <f t="shared" si="152"/>
        <v/>
      </c>
      <c r="BD381" s="4" t="str">
        <f t="shared" si="153"/>
        <v/>
      </c>
      <c r="BE381" s="4" t="str">
        <f>IF(AND(X381&lt;&gt;""),ROUND(X381/SI!$C$10,2),"")</f>
        <v/>
      </c>
      <c r="BF381" s="4" t="str">
        <f t="shared" si="155"/>
        <v/>
      </c>
      <c r="BG381" s="264" t="str">
        <f t="shared" si="154"/>
        <v/>
      </c>
      <c r="BH381" s="71" t="str">
        <f>IF(F381&lt;&gt;"",VLOOKUP(F381,DUTY_2025!A:O,15,FALSE),"")</f>
        <v/>
      </c>
    </row>
    <row r="382" spans="1:60" x14ac:dyDescent="0.25">
      <c r="A382" s="133">
        <f t="shared" si="130"/>
        <v>66</v>
      </c>
      <c r="B382" s="83" t="str">
        <f t="shared" si="131"/>
        <v/>
      </c>
      <c r="C382" s="126"/>
      <c r="D382" s="130"/>
      <c r="E382" s="22"/>
      <c r="F382" s="85"/>
      <c r="G382" s="27" t="str">
        <f>IF(F382&lt;&gt;"",IFERROR(VLOOKUP(F382,DUTY_2025!A:I,6,FALSE),""),"")</f>
        <v/>
      </c>
      <c r="H382" s="85" t="s">
        <v>133</v>
      </c>
      <c r="I382" s="27" t="str">
        <f>IF(F382&lt;&gt;"",IFERROR(VLOOKUP(F382,DUTY_2025!A:H,2,FALSE),""),"")</f>
        <v/>
      </c>
      <c r="J382" s="98"/>
      <c r="K382" s="98"/>
      <c r="L382" s="22"/>
      <c r="M382" s="22"/>
      <c r="N382" s="84"/>
      <c r="O382" s="22"/>
      <c r="P382" s="116"/>
      <c r="Q382" s="23"/>
      <c r="R382" s="27"/>
      <c r="S382" s="86" t="str">
        <f t="shared" si="132"/>
        <v/>
      </c>
      <c r="T382" s="87" t="str">
        <f t="shared" si="133"/>
        <v/>
      </c>
      <c r="U382" s="87" t="str" cm="1">
        <f t="array" ref="U382">IF(AND(H382&lt;&gt;"YES",P382&lt;&gt;"",R382&lt;&gt;"",Q382&lt;&gt;""),
_xlfn.SWITCH(Q382,
"INR",_xlfn.SWITCH(R382,"KG",P382*S382,"CTN",P382,"UNIT",P382*N382,"NET",P382/M382,0),
"USD",_xlfn.SWITCH(R382,"KG",P382*S382*SI!$C$10,"CTN",P382*SI!$C$10,"UNIT",P382*N382*SI!$C$10,"NET",P382*SI!$C$10/M382,0),
"LKR",_xlfn.SWITCH(R382,"KG",P382*S382/SI!$C$9,"CTN",P382/SI!$C$9,"UNIT",P382*N382/SI!$C$9,"NET",P382/(M382*SI!$C$9),0),
0),
"")</f>
        <v/>
      </c>
      <c r="V382" s="87" t="str">
        <f t="shared" si="134"/>
        <v/>
      </c>
      <c r="W382" s="87" t="str">
        <f t="shared" si="135"/>
        <v/>
      </c>
      <c r="X382" s="88" t="str">
        <f t="shared" si="136"/>
        <v/>
      </c>
      <c r="Y382" s="24" t="str">
        <f t="shared" si="137"/>
        <v/>
      </c>
      <c r="Z382" s="267" t="str">
        <f>IF(AND(H382&lt;&gt;"yes",F382&lt;&gt;""),IFERROR(VLOOKUP(F382,DUTY_2025!A:F,5,FALSE),""),"")</f>
        <v/>
      </c>
      <c r="AA382" s="271" t="str">
        <f t="shared" si="138"/>
        <v/>
      </c>
      <c r="AB382" s="16" t="str">
        <f t="shared" si="139"/>
        <v/>
      </c>
      <c r="AC382" s="16" t="str">
        <f>IF(AA382&lt;&gt;"",ROUND(AA382*SI!$C$9,0),"")</f>
        <v/>
      </c>
      <c r="AD382" s="4" t="str">
        <f>IF(AC382&lt;&gt;"",ROUND(AC382/(SI!$C$9*SI!$C$10),2),"")</f>
        <v/>
      </c>
      <c r="AE382" s="30" t="str">
        <f>IF(AND(X382&lt;&gt;""), ROUND((SI!$E$23)*(X382/SUM($X$5:$X$493)),0),"")</f>
        <v/>
      </c>
      <c r="AF382" s="272" t="str">
        <f t="shared" si="140"/>
        <v/>
      </c>
      <c r="AG382" s="28" t="str">
        <f t="shared" si="141"/>
        <v/>
      </c>
      <c r="AH382" s="4" t="str">
        <f>IF(AD382&lt;&gt;"",ROUND(AD382*10*SI!$C$9/2,0),"")</f>
        <v/>
      </c>
      <c r="AI382" s="29" t="str">
        <f>IF(AND(X382&lt;&gt;""), ROUND((SI!$E$28)*(X382/SUM($X$5:$X$493)),0),"")</f>
        <v/>
      </c>
      <c r="AJ382" s="4" t="str">
        <f t="shared" si="142"/>
        <v/>
      </c>
      <c r="AK382" s="4" t="str">
        <f t="shared" si="143"/>
        <v/>
      </c>
      <c r="AL382" s="4" t="str">
        <f t="shared" si="144"/>
        <v/>
      </c>
      <c r="AM382" s="4" t="str">
        <f t="shared" si="145"/>
        <v/>
      </c>
      <c r="AN382" s="195" t="str">
        <f t="shared" si="146"/>
        <v/>
      </c>
      <c r="AO382" s="261" t="str">
        <f>IF(AND(AM382&lt;&gt;"",P382&lt;&gt;""),ROUND((AM382*((100+SI!$C$11)/100)),0),"")</f>
        <v/>
      </c>
      <c r="AP382" s="28" t="str">
        <f>IF(AG382&lt;&gt;"",ROUND(AG382/SI!$C$9,2),"")</f>
        <v/>
      </c>
      <c r="AQ382" s="4" t="str">
        <f>IF(AH382&lt;&gt;"",ROUND(AH382/SI!$C$9,2),"")</f>
        <v/>
      </c>
      <c r="AR382" s="29" t="str">
        <f>IF(AI382&lt;&gt;"",ROUND(AI382/SI!$C$9,2),"")</f>
        <v/>
      </c>
      <c r="AS382" s="4" t="str">
        <f t="shared" si="147"/>
        <v/>
      </c>
      <c r="AT382" s="4" t="str">
        <f t="shared" si="148"/>
        <v/>
      </c>
      <c r="AU382" s="4" t="str">
        <f>IF(AL382&lt;&gt;"",ROUND(AL382/SI!$C$9,2),"")</f>
        <v/>
      </c>
      <c r="AV382" s="4" t="str">
        <f>IF(AM382&lt;&gt;"",ROUND(AM382/SI!$C$9,2),"")</f>
        <v/>
      </c>
      <c r="AW382" s="4" t="str">
        <f>IF(AN382&lt;&gt;"",ROUND(AN382/SI!$C$9,2),"")</f>
        <v/>
      </c>
      <c r="AX382" s="261" t="str">
        <f>IF(AO382&lt;&gt;"",ROUND(AO382/SI!$C$9,2),"")</f>
        <v/>
      </c>
      <c r="AY382" s="28" t="str">
        <f t="shared" si="149"/>
        <v/>
      </c>
      <c r="AZ382" s="4" t="str">
        <f>IF(AY382&lt;&gt;"",ROUND(AY382/(SI!$C$9*SI!$C$10),2),"")</f>
        <v/>
      </c>
      <c r="BA382" s="4" t="str">
        <f t="shared" si="150"/>
        <v/>
      </c>
      <c r="BB382" s="4" t="str">
        <f t="shared" si="151"/>
        <v/>
      </c>
      <c r="BC382" s="4" t="str">
        <f t="shared" si="152"/>
        <v/>
      </c>
      <c r="BD382" s="4" t="str">
        <f t="shared" si="153"/>
        <v/>
      </c>
      <c r="BE382" s="4" t="str">
        <f>IF(AND(X382&lt;&gt;""),ROUND(X382/SI!$C$10,2),"")</f>
        <v/>
      </c>
      <c r="BF382" s="4" t="str">
        <f t="shared" si="155"/>
        <v/>
      </c>
      <c r="BG382" s="264" t="str">
        <f t="shared" si="154"/>
        <v/>
      </c>
      <c r="BH382" s="71" t="str">
        <f>IF(F382&lt;&gt;"",VLOOKUP(F382,DUTY_2025!A:O,15,FALSE),"")</f>
        <v/>
      </c>
    </row>
    <row r="383" spans="1:60" x14ac:dyDescent="0.25">
      <c r="A383" s="133">
        <f t="shared" si="130"/>
        <v>66</v>
      </c>
      <c r="B383" s="83" t="str">
        <f t="shared" si="131"/>
        <v/>
      </c>
      <c r="C383" s="126"/>
      <c r="D383" s="130"/>
      <c r="E383" s="22"/>
      <c r="F383" s="85"/>
      <c r="G383" s="27" t="str">
        <f>IF(F383&lt;&gt;"",IFERROR(VLOOKUP(F383,DUTY_2025!A:I,6,FALSE),""),"")</f>
        <v/>
      </c>
      <c r="H383" s="85" t="s">
        <v>133</v>
      </c>
      <c r="I383" s="27" t="str">
        <f>IF(F383&lt;&gt;"",IFERROR(VLOOKUP(F383,DUTY_2025!A:H,2,FALSE),""),"")</f>
        <v/>
      </c>
      <c r="J383" s="98"/>
      <c r="K383" s="98"/>
      <c r="L383" s="22"/>
      <c r="M383" s="22"/>
      <c r="N383" s="84"/>
      <c r="O383" s="22"/>
      <c r="P383" s="116"/>
      <c r="Q383" s="23"/>
      <c r="R383" s="27"/>
      <c r="S383" s="86" t="str">
        <f t="shared" si="132"/>
        <v/>
      </c>
      <c r="T383" s="87" t="str">
        <f t="shared" si="133"/>
        <v/>
      </c>
      <c r="U383" s="87" t="str" cm="1">
        <f t="array" ref="U383">IF(AND(H383&lt;&gt;"YES",P383&lt;&gt;"",R383&lt;&gt;"",Q383&lt;&gt;""),
_xlfn.SWITCH(Q383,
"INR",_xlfn.SWITCH(R383,"KG",P383*S383,"CTN",P383,"UNIT",P383*N383,"NET",P383/M383,0),
"USD",_xlfn.SWITCH(R383,"KG",P383*S383*SI!$C$10,"CTN",P383*SI!$C$10,"UNIT",P383*N383*SI!$C$10,"NET",P383*SI!$C$10/M383,0),
"LKR",_xlfn.SWITCH(R383,"KG",P383*S383/SI!$C$9,"CTN",P383/SI!$C$9,"UNIT",P383*N383/SI!$C$9,"NET",P383/(M383*SI!$C$9),0),
0),
"")</f>
        <v/>
      </c>
      <c r="V383" s="87" t="str">
        <f t="shared" si="134"/>
        <v/>
      </c>
      <c r="W383" s="87" t="str">
        <f t="shared" si="135"/>
        <v/>
      </c>
      <c r="X383" s="88" t="str">
        <f t="shared" si="136"/>
        <v/>
      </c>
      <c r="Y383" s="24" t="str">
        <f t="shared" si="137"/>
        <v/>
      </c>
      <c r="Z383" s="267" t="str">
        <f>IF(AND(H383&lt;&gt;"yes",F383&lt;&gt;""),IFERROR(VLOOKUP(F383,DUTY_2025!A:F,5,FALSE),""),"")</f>
        <v/>
      </c>
      <c r="AA383" s="271" t="str">
        <f t="shared" si="138"/>
        <v/>
      </c>
      <c r="AB383" s="16" t="str">
        <f t="shared" si="139"/>
        <v/>
      </c>
      <c r="AC383" s="16" t="str">
        <f>IF(AA383&lt;&gt;"",ROUND(AA383*SI!$C$9,0),"")</f>
        <v/>
      </c>
      <c r="AD383" s="4" t="str">
        <f>IF(AC383&lt;&gt;"",ROUND(AC383/(SI!$C$9*SI!$C$10),2),"")</f>
        <v/>
      </c>
      <c r="AE383" s="30" t="str">
        <f>IF(AND(X383&lt;&gt;""), ROUND((SI!$E$23)*(X383/SUM($X$5:$X$493)),0),"")</f>
        <v/>
      </c>
      <c r="AF383" s="272" t="str">
        <f t="shared" si="140"/>
        <v/>
      </c>
      <c r="AG383" s="28" t="str">
        <f t="shared" si="141"/>
        <v/>
      </c>
      <c r="AH383" s="4" t="str">
        <f>IF(AD383&lt;&gt;"",ROUND(AD383*10*SI!$C$9/2,0),"")</f>
        <v/>
      </c>
      <c r="AI383" s="29" t="str">
        <f>IF(AND(X383&lt;&gt;""), ROUND((SI!$E$28)*(X383/SUM($X$5:$X$493)),0),"")</f>
        <v/>
      </c>
      <c r="AJ383" s="4" t="str">
        <f t="shared" si="142"/>
        <v/>
      </c>
      <c r="AK383" s="4" t="str">
        <f t="shared" si="143"/>
        <v/>
      </c>
      <c r="AL383" s="4" t="str">
        <f t="shared" si="144"/>
        <v/>
      </c>
      <c r="AM383" s="4" t="str">
        <f t="shared" si="145"/>
        <v/>
      </c>
      <c r="AN383" s="195" t="str">
        <f t="shared" si="146"/>
        <v/>
      </c>
      <c r="AO383" s="261" t="str">
        <f>IF(AND(AM383&lt;&gt;"",P383&lt;&gt;""),ROUND((AM383*((100+SI!$C$11)/100)),0),"")</f>
        <v/>
      </c>
      <c r="AP383" s="28" t="str">
        <f>IF(AG383&lt;&gt;"",ROUND(AG383/SI!$C$9,2),"")</f>
        <v/>
      </c>
      <c r="AQ383" s="4" t="str">
        <f>IF(AH383&lt;&gt;"",ROUND(AH383/SI!$C$9,2),"")</f>
        <v/>
      </c>
      <c r="AR383" s="29" t="str">
        <f>IF(AI383&lt;&gt;"",ROUND(AI383/SI!$C$9,2),"")</f>
        <v/>
      </c>
      <c r="AS383" s="4" t="str">
        <f t="shared" si="147"/>
        <v/>
      </c>
      <c r="AT383" s="4" t="str">
        <f t="shared" si="148"/>
        <v/>
      </c>
      <c r="AU383" s="4" t="str">
        <f>IF(AL383&lt;&gt;"",ROUND(AL383/SI!$C$9,2),"")</f>
        <v/>
      </c>
      <c r="AV383" s="4" t="str">
        <f>IF(AM383&lt;&gt;"",ROUND(AM383/SI!$C$9,2),"")</f>
        <v/>
      </c>
      <c r="AW383" s="4" t="str">
        <f>IF(AN383&lt;&gt;"",ROUND(AN383/SI!$C$9,2),"")</f>
        <v/>
      </c>
      <c r="AX383" s="261" t="str">
        <f>IF(AO383&lt;&gt;"",ROUND(AO383/SI!$C$9,2),"")</f>
        <v/>
      </c>
      <c r="AY383" s="28" t="str">
        <f t="shared" si="149"/>
        <v/>
      </c>
      <c r="AZ383" s="4" t="str">
        <f>IF(AY383&lt;&gt;"",ROUND(AY383/(SI!$C$9*SI!$C$10),2),"")</f>
        <v/>
      </c>
      <c r="BA383" s="4" t="str">
        <f t="shared" si="150"/>
        <v/>
      </c>
      <c r="BB383" s="4" t="str">
        <f t="shared" si="151"/>
        <v/>
      </c>
      <c r="BC383" s="4" t="str">
        <f t="shared" si="152"/>
        <v/>
      </c>
      <c r="BD383" s="4" t="str">
        <f t="shared" si="153"/>
        <v/>
      </c>
      <c r="BE383" s="4" t="str">
        <f>IF(AND(X383&lt;&gt;""),ROUND(X383/SI!$C$10,2),"")</f>
        <v/>
      </c>
      <c r="BF383" s="4" t="str">
        <f t="shared" si="155"/>
        <v/>
      </c>
      <c r="BG383" s="264" t="str">
        <f t="shared" si="154"/>
        <v/>
      </c>
      <c r="BH383" s="71" t="str">
        <f>IF(F383&lt;&gt;"",VLOOKUP(F383,DUTY_2025!A:O,15,FALSE),"")</f>
        <v/>
      </c>
    </row>
    <row r="384" spans="1:60" x14ac:dyDescent="0.25">
      <c r="A384" s="133">
        <f t="shared" si="130"/>
        <v>66</v>
      </c>
      <c r="B384" s="83" t="str">
        <f t="shared" si="131"/>
        <v/>
      </c>
      <c r="C384" s="126"/>
      <c r="D384" s="130"/>
      <c r="E384" s="22"/>
      <c r="F384" s="85"/>
      <c r="G384" s="27" t="str">
        <f>IF(F384&lt;&gt;"",IFERROR(VLOOKUP(F384,DUTY_2025!A:I,6,FALSE),""),"")</f>
        <v/>
      </c>
      <c r="H384" s="85" t="s">
        <v>133</v>
      </c>
      <c r="I384" s="27" t="str">
        <f>IF(F384&lt;&gt;"",IFERROR(VLOOKUP(F384,DUTY_2025!A:H,2,FALSE),""),"")</f>
        <v/>
      </c>
      <c r="J384" s="98"/>
      <c r="K384" s="98"/>
      <c r="L384" s="22"/>
      <c r="M384" s="22"/>
      <c r="N384" s="84"/>
      <c r="O384" s="22"/>
      <c r="P384" s="116"/>
      <c r="Q384" s="23"/>
      <c r="R384" s="27"/>
      <c r="S384" s="86" t="str">
        <f t="shared" si="132"/>
        <v/>
      </c>
      <c r="T384" s="87" t="str">
        <f t="shared" si="133"/>
        <v/>
      </c>
      <c r="U384" s="87" t="str" cm="1">
        <f t="array" ref="U384">IF(AND(H384&lt;&gt;"YES",P384&lt;&gt;"",R384&lt;&gt;"",Q384&lt;&gt;""),
_xlfn.SWITCH(Q384,
"INR",_xlfn.SWITCH(R384,"KG",P384*S384,"CTN",P384,"UNIT",P384*N384,"NET",P384/M384,0),
"USD",_xlfn.SWITCH(R384,"KG",P384*S384*SI!$C$10,"CTN",P384*SI!$C$10,"UNIT",P384*N384*SI!$C$10,"NET",P384*SI!$C$10/M384,0),
"LKR",_xlfn.SWITCH(R384,"KG",P384*S384/SI!$C$9,"CTN",P384/SI!$C$9,"UNIT",P384*N384/SI!$C$9,"NET",P384/(M384*SI!$C$9),0),
0),
"")</f>
        <v/>
      </c>
      <c r="V384" s="87" t="str">
        <f t="shared" si="134"/>
        <v/>
      </c>
      <c r="W384" s="87" t="str">
        <f t="shared" si="135"/>
        <v/>
      </c>
      <c r="X384" s="88" t="str">
        <f t="shared" si="136"/>
        <v/>
      </c>
      <c r="Y384" s="24" t="str">
        <f t="shared" si="137"/>
        <v/>
      </c>
      <c r="Z384" s="267" t="str">
        <f>IF(AND(H384&lt;&gt;"yes",F384&lt;&gt;""),IFERROR(VLOOKUP(F384,DUTY_2025!A:F,5,FALSE),""),"")</f>
        <v/>
      </c>
      <c r="AA384" s="271" t="str">
        <f t="shared" si="138"/>
        <v/>
      </c>
      <c r="AB384" s="16" t="str">
        <f t="shared" si="139"/>
        <v/>
      </c>
      <c r="AC384" s="16" t="str">
        <f>IF(AA384&lt;&gt;"",ROUND(AA384*SI!$C$9,0),"")</f>
        <v/>
      </c>
      <c r="AD384" s="4" t="str">
        <f>IF(AC384&lt;&gt;"",ROUND(AC384/(SI!$C$9*SI!$C$10),2),"")</f>
        <v/>
      </c>
      <c r="AE384" s="30" t="str">
        <f>IF(AND(X384&lt;&gt;""), ROUND((SI!$E$23)*(X384/SUM($X$5:$X$493)),0),"")</f>
        <v/>
      </c>
      <c r="AF384" s="272" t="str">
        <f t="shared" si="140"/>
        <v/>
      </c>
      <c r="AG384" s="28" t="str">
        <f t="shared" si="141"/>
        <v/>
      </c>
      <c r="AH384" s="4" t="str">
        <f>IF(AD384&lt;&gt;"",ROUND(AD384*10*SI!$C$9/2,0),"")</f>
        <v/>
      </c>
      <c r="AI384" s="29" t="str">
        <f>IF(AND(X384&lt;&gt;""), ROUND((SI!$E$28)*(X384/SUM($X$5:$X$493)),0),"")</f>
        <v/>
      </c>
      <c r="AJ384" s="4" t="str">
        <f t="shared" si="142"/>
        <v/>
      </c>
      <c r="AK384" s="4" t="str">
        <f t="shared" si="143"/>
        <v/>
      </c>
      <c r="AL384" s="4" t="str">
        <f t="shared" si="144"/>
        <v/>
      </c>
      <c r="AM384" s="4" t="str">
        <f t="shared" si="145"/>
        <v/>
      </c>
      <c r="AN384" s="195" t="str">
        <f t="shared" si="146"/>
        <v/>
      </c>
      <c r="AO384" s="261" t="str">
        <f>IF(AND(AM384&lt;&gt;"",P384&lt;&gt;""),ROUND((AM384*((100+SI!$C$11)/100)),0),"")</f>
        <v/>
      </c>
      <c r="AP384" s="28" t="str">
        <f>IF(AG384&lt;&gt;"",ROUND(AG384/SI!$C$9,2),"")</f>
        <v/>
      </c>
      <c r="AQ384" s="4" t="str">
        <f>IF(AH384&lt;&gt;"",ROUND(AH384/SI!$C$9,2),"")</f>
        <v/>
      </c>
      <c r="AR384" s="29" t="str">
        <f>IF(AI384&lt;&gt;"",ROUND(AI384/SI!$C$9,2),"")</f>
        <v/>
      </c>
      <c r="AS384" s="4" t="str">
        <f t="shared" si="147"/>
        <v/>
      </c>
      <c r="AT384" s="4" t="str">
        <f t="shared" si="148"/>
        <v/>
      </c>
      <c r="AU384" s="4" t="str">
        <f>IF(AL384&lt;&gt;"",ROUND(AL384/SI!$C$9,2),"")</f>
        <v/>
      </c>
      <c r="AV384" s="4" t="str">
        <f>IF(AM384&lt;&gt;"",ROUND(AM384/SI!$C$9,2),"")</f>
        <v/>
      </c>
      <c r="AW384" s="4" t="str">
        <f>IF(AN384&lt;&gt;"",ROUND(AN384/SI!$C$9,2),"")</f>
        <v/>
      </c>
      <c r="AX384" s="261" t="str">
        <f>IF(AO384&lt;&gt;"",ROUND(AO384/SI!$C$9,2),"")</f>
        <v/>
      </c>
      <c r="AY384" s="28" t="str">
        <f t="shared" si="149"/>
        <v/>
      </c>
      <c r="AZ384" s="4" t="str">
        <f>IF(AY384&lt;&gt;"",ROUND(AY384/(SI!$C$9*SI!$C$10),2),"")</f>
        <v/>
      </c>
      <c r="BA384" s="4" t="str">
        <f t="shared" si="150"/>
        <v/>
      </c>
      <c r="BB384" s="4" t="str">
        <f t="shared" si="151"/>
        <v/>
      </c>
      <c r="BC384" s="4" t="str">
        <f t="shared" si="152"/>
        <v/>
      </c>
      <c r="BD384" s="4" t="str">
        <f t="shared" si="153"/>
        <v/>
      </c>
      <c r="BE384" s="4" t="str">
        <f>IF(AND(X384&lt;&gt;""),ROUND(X384/SI!$C$10,2),"")</f>
        <v/>
      </c>
      <c r="BF384" s="4" t="str">
        <f t="shared" si="155"/>
        <v/>
      </c>
      <c r="BG384" s="264" t="str">
        <f t="shared" si="154"/>
        <v/>
      </c>
      <c r="BH384" s="71" t="str">
        <f>IF(F384&lt;&gt;"",VLOOKUP(F384,DUTY_2025!A:O,15,FALSE),"")</f>
        <v/>
      </c>
    </row>
    <row r="385" spans="1:60" x14ac:dyDescent="0.25">
      <c r="A385" s="133">
        <f t="shared" si="130"/>
        <v>66</v>
      </c>
      <c r="B385" s="83" t="str">
        <f t="shared" si="131"/>
        <v/>
      </c>
      <c r="C385" s="126"/>
      <c r="D385" s="130"/>
      <c r="E385" s="22"/>
      <c r="F385" s="85"/>
      <c r="G385" s="27" t="str">
        <f>IF(F385&lt;&gt;"",IFERROR(VLOOKUP(F385,DUTY_2025!A:I,6,FALSE),""),"")</f>
        <v/>
      </c>
      <c r="H385" s="85" t="s">
        <v>133</v>
      </c>
      <c r="I385" s="27" t="str">
        <f>IF(F385&lt;&gt;"",IFERROR(VLOOKUP(F385,DUTY_2025!A:H,2,FALSE),""),"")</f>
        <v/>
      </c>
      <c r="J385" s="98"/>
      <c r="K385" s="98"/>
      <c r="L385" s="22"/>
      <c r="M385" s="22"/>
      <c r="N385" s="84"/>
      <c r="O385" s="22"/>
      <c r="P385" s="116"/>
      <c r="Q385" s="23"/>
      <c r="R385" s="27"/>
      <c r="S385" s="86" t="str">
        <f t="shared" si="132"/>
        <v/>
      </c>
      <c r="T385" s="87" t="str">
        <f t="shared" si="133"/>
        <v/>
      </c>
      <c r="U385" s="87" t="str" cm="1">
        <f t="array" ref="U385">IF(AND(H385&lt;&gt;"YES",P385&lt;&gt;"",R385&lt;&gt;"",Q385&lt;&gt;""),
_xlfn.SWITCH(Q385,
"INR",_xlfn.SWITCH(R385,"KG",P385*S385,"CTN",P385,"UNIT",P385*N385,"NET",P385/M385,0),
"USD",_xlfn.SWITCH(R385,"KG",P385*S385*SI!$C$10,"CTN",P385*SI!$C$10,"UNIT",P385*N385*SI!$C$10,"NET",P385*SI!$C$10/M385,0),
"LKR",_xlfn.SWITCH(R385,"KG",P385*S385/SI!$C$9,"CTN",P385/SI!$C$9,"UNIT",P385*N385/SI!$C$9,"NET",P385/(M385*SI!$C$9),0),
0),
"")</f>
        <v/>
      </c>
      <c r="V385" s="87" t="str">
        <f t="shared" si="134"/>
        <v/>
      </c>
      <c r="W385" s="87" t="str">
        <f t="shared" si="135"/>
        <v/>
      </c>
      <c r="X385" s="88" t="str">
        <f t="shared" si="136"/>
        <v/>
      </c>
      <c r="Y385" s="24" t="str">
        <f t="shared" si="137"/>
        <v/>
      </c>
      <c r="Z385" s="267" t="str">
        <f>IF(AND(H385&lt;&gt;"yes",F385&lt;&gt;""),IFERROR(VLOOKUP(F385,DUTY_2025!A:F,5,FALSE),""),"")</f>
        <v/>
      </c>
      <c r="AA385" s="271" t="str">
        <f t="shared" si="138"/>
        <v/>
      </c>
      <c r="AB385" s="16" t="str">
        <f t="shared" si="139"/>
        <v/>
      </c>
      <c r="AC385" s="16" t="str">
        <f>IF(AA385&lt;&gt;"",ROUND(AA385*SI!$C$9,0),"")</f>
        <v/>
      </c>
      <c r="AD385" s="4" t="str">
        <f>IF(AC385&lt;&gt;"",ROUND(AC385/(SI!$C$9*SI!$C$10),2),"")</f>
        <v/>
      </c>
      <c r="AE385" s="30" t="str">
        <f>IF(AND(X385&lt;&gt;""), ROUND((SI!$E$23)*(X385/SUM($X$5:$X$493)),0),"")</f>
        <v/>
      </c>
      <c r="AF385" s="272" t="str">
        <f t="shared" si="140"/>
        <v/>
      </c>
      <c r="AG385" s="28" t="str">
        <f t="shared" si="141"/>
        <v/>
      </c>
      <c r="AH385" s="4" t="str">
        <f>IF(AD385&lt;&gt;"",ROUND(AD385*10*SI!$C$9/2,0),"")</f>
        <v/>
      </c>
      <c r="AI385" s="29" t="str">
        <f>IF(AND(X385&lt;&gt;""), ROUND((SI!$E$28)*(X385/SUM($X$5:$X$493)),0),"")</f>
        <v/>
      </c>
      <c r="AJ385" s="4" t="str">
        <f t="shared" si="142"/>
        <v/>
      </c>
      <c r="AK385" s="4" t="str">
        <f t="shared" si="143"/>
        <v/>
      </c>
      <c r="AL385" s="4" t="str">
        <f t="shared" si="144"/>
        <v/>
      </c>
      <c r="AM385" s="4" t="str">
        <f t="shared" si="145"/>
        <v/>
      </c>
      <c r="AN385" s="195" t="str">
        <f t="shared" si="146"/>
        <v/>
      </c>
      <c r="AO385" s="261" t="str">
        <f>IF(AND(AM385&lt;&gt;"",P385&lt;&gt;""),ROUND((AM385*((100+SI!$C$11)/100)),0),"")</f>
        <v/>
      </c>
      <c r="AP385" s="28" t="str">
        <f>IF(AG385&lt;&gt;"",ROUND(AG385/SI!$C$9,2),"")</f>
        <v/>
      </c>
      <c r="AQ385" s="4" t="str">
        <f>IF(AH385&lt;&gt;"",ROUND(AH385/SI!$C$9,2),"")</f>
        <v/>
      </c>
      <c r="AR385" s="29" t="str">
        <f>IF(AI385&lt;&gt;"",ROUND(AI385/SI!$C$9,2),"")</f>
        <v/>
      </c>
      <c r="AS385" s="4" t="str">
        <f t="shared" si="147"/>
        <v/>
      </c>
      <c r="AT385" s="4" t="str">
        <f t="shared" si="148"/>
        <v/>
      </c>
      <c r="AU385" s="4" t="str">
        <f>IF(AL385&lt;&gt;"",ROUND(AL385/SI!$C$9,2),"")</f>
        <v/>
      </c>
      <c r="AV385" s="4" t="str">
        <f>IF(AM385&lt;&gt;"",ROUND(AM385/SI!$C$9,2),"")</f>
        <v/>
      </c>
      <c r="AW385" s="4" t="str">
        <f>IF(AN385&lt;&gt;"",ROUND(AN385/SI!$C$9,2),"")</f>
        <v/>
      </c>
      <c r="AX385" s="261" t="str">
        <f>IF(AO385&lt;&gt;"",ROUND(AO385/SI!$C$9,2),"")</f>
        <v/>
      </c>
      <c r="AY385" s="28" t="str">
        <f t="shared" si="149"/>
        <v/>
      </c>
      <c r="AZ385" s="4" t="str">
        <f>IF(AY385&lt;&gt;"",ROUND(AY385/(SI!$C$9*SI!$C$10),2),"")</f>
        <v/>
      </c>
      <c r="BA385" s="4" t="str">
        <f t="shared" si="150"/>
        <v/>
      </c>
      <c r="BB385" s="4" t="str">
        <f t="shared" si="151"/>
        <v/>
      </c>
      <c r="BC385" s="4" t="str">
        <f t="shared" si="152"/>
        <v/>
      </c>
      <c r="BD385" s="4" t="str">
        <f t="shared" si="153"/>
        <v/>
      </c>
      <c r="BE385" s="4" t="str">
        <f>IF(AND(X385&lt;&gt;""),ROUND(X385/SI!$C$10,2),"")</f>
        <v/>
      </c>
      <c r="BF385" s="4" t="str">
        <f t="shared" si="155"/>
        <v/>
      </c>
      <c r="BG385" s="264" t="str">
        <f t="shared" si="154"/>
        <v/>
      </c>
      <c r="BH385" s="71" t="str">
        <f>IF(F385&lt;&gt;"",VLOOKUP(F385,DUTY_2025!A:O,15,FALSE),"")</f>
        <v/>
      </c>
    </row>
    <row r="386" spans="1:60" x14ac:dyDescent="0.25">
      <c r="A386" s="133">
        <f t="shared" si="130"/>
        <v>66</v>
      </c>
      <c r="B386" s="83" t="str">
        <f t="shared" si="131"/>
        <v/>
      </c>
      <c r="C386" s="126"/>
      <c r="D386" s="130"/>
      <c r="E386" s="22"/>
      <c r="F386" s="85"/>
      <c r="G386" s="27" t="str">
        <f>IF(F386&lt;&gt;"",IFERROR(VLOOKUP(F386,DUTY_2025!A:I,6,FALSE),""),"")</f>
        <v/>
      </c>
      <c r="H386" s="85" t="s">
        <v>133</v>
      </c>
      <c r="I386" s="27" t="str">
        <f>IF(F386&lt;&gt;"",IFERROR(VLOOKUP(F386,DUTY_2025!A:H,2,FALSE),""),"")</f>
        <v/>
      </c>
      <c r="J386" s="98"/>
      <c r="K386" s="98"/>
      <c r="L386" s="22"/>
      <c r="M386" s="22"/>
      <c r="N386" s="84"/>
      <c r="O386" s="22"/>
      <c r="P386" s="116"/>
      <c r="Q386" s="23"/>
      <c r="R386" s="27"/>
      <c r="S386" s="86" t="str">
        <f t="shared" si="132"/>
        <v/>
      </c>
      <c r="T386" s="87" t="str">
        <f t="shared" si="133"/>
        <v/>
      </c>
      <c r="U386" s="87" t="str" cm="1">
        <f t="array" ref="U386">IF(AND(H386&lt;&gt;"YES",P386&lt;&gt;"",R386&lt;&gt;"",Q386&lt;&gt;""),
_xlfn.SWITCH(Q386,
"INR",_xlfn.SWITCH(R386,"KG",P386*S386,"CTN",P386,"UNIT",P386*N386,"NET",P386/M386,0),
"USD",_xlfn.SWITCH(R386,"KG",P386*S386*SI!$C$10,"CTN",P386*SI!$C$10,"UNIT",P386*N386*SI!$C$10,"NET",P386*SI!$C$10/M386,0),
"LKR",_xlfn.SWITCH(R386,"KG",P386*S386/SI!$C$9,"CTN",P386/SI!$C$9,"UNIT",P386*N386/SI!$C$9,"NET",P386/(M386*SI!$C$9),0),
0),
"")</f>
        <v/>
      </c>
      <c r="V386" s="87" t="str">
        <f t="shared" si="134"/>
        <v/>
      </c>
      <c r="W386" s="87" t="str">
        <f t="shared" si="135"/>
        <v/>
      </c>
      <c r="X386" s="88" t="str">
        <f t="shared" si="136"/>
        <v/>
      </c>
      <c r="Y386" s="24" t="str">
        <f t="shared" si="137"/>
        <v/>
      </c>
      <c r="Z386" s="267" t="str">
        <f>IF(AND(H386&lt;&gt;"yes",F386&lt;&gt;""),IFERROR(VLOOKUP(F386,DUTY_2025!A:F,5,FALSE),""),"")</f>
        <v/>
      </c>
      <c r="AA386" s="271" t="str">
        <f t="shared" si="138"/>
        <v/>
      </c>
      <c r="AB386" s="16" t="str">
        <f t="shared" si="139"/>
        <v/>
      </c>
      <c r="AC386" s="16" t="str">
        <f>IF(AA386&lt;&gt;"",ROUND(AA386*SI!$C$9,0),"")</f>
        <v/>
      </c>
      <c r="AD386" s="4" t="str">
        <f>IF(AC386&lt;&gt;"",ROUND(AC386/(SI!$C$9*SI!$C$10),2),"")</f>
        <v/>
      </c>
      <c r="AE386" s="30" t="str">
        <f>IF(AND(X386&lt;&gt;""), ROUND((SI!$E$23)*(X386/SUM($X$5:$X$493)),0),"")</f>
        <v/>
      </c>
      <c r="AF386" s="272" t="str">
        <f t="shared" si="140"/>
        <v/>
      </c>
      <c r="AG386" s="28" t="str">
        <f t="shared" si="141"/>
        <v/>
      </c>
      <c r="AH386" s="4" t="str">
        <f>IF(AD386&lt;&gt;"",ROUND(AD386*10*SI!$C$9/2,0),"")</f>
        <v/>
      </c>
      <c r="AI386" s="29" t="str">
        <f>IF(AND(X386&lt;&gt;""), ROUND((SI!$E$28)*(X386/SUM($X$5:$X$493)),0),"")</f>
        <v/>
      </c>
      <c r="AJ386" s="4" t="str">
        <f t="shared" si="142"/>
        <v/>
      </c>
      <c r="AK386" s="4" t="str">
        <f t="shared" si="143"/>
        <v/>
      </c>
      <c r="AL386" s="4" t="str">
        <f t="shared" si="144"/>
        <v/>
      </c>
      <c r="AM386" s="4" t="str">
        <f t="shared" si="145"/>
        <v/>
      </c>
      <c r="AN386" s="195" t="str">
        <f t="shared" si="146"/>
        <v/>
      </c>
      <c r="AO386" s="261" t="str">
        <f>IF(AND(AM386&lt;&gt;"",P386&lt;&gt;""),ROUND((AM386*((100+SI!$C$11)/100)),0),"")</f>
        <v/>
      </c>
      <c r="AP386" s="28" t="str">
        <f>IF(AG386&lt;&gt;"",ROUND(AG386/SI!$C$9,2),"")</f>
        <v/>
      </c>
      <c r="AQ386" s="4" t="str">
        <f>IF(AH386&lt;&gt;"",ROUND(AH386/SI!$C$9,2),"")</f>
        <v/>
      </c>
      <c r="AR386" s="29" t="str">
        <f>IF(AI386&lt;&gt;"",ROUND(AI386/SI!$C$9,2),"")</f>
        <v/>
      </c>
      <c r="AS386" s="4" t="str">
        <f t="shared" si="147"/>
        <v/>
      </c>
      <c r="AT386" s="4" t="str">
        <f t="shared" si="148"/>
        <v/>
      </c>
      <c r="AU386" s="4" t="str">
        <f>IF(AL386&lt;&gt;"",ROUND(AL386/SI!$C$9,2),"")</f>
        <v/>
      </c>
      <c r="AV386" s="4" t="str">
        <f>IF(AM386&lt;&gt;"",ROUND(AM386/SI!$C$9,2),"")</f>
        <v/>
      </c>
      <c r="AW386" s="4" t="str">
        <f>IF(AN386&lt;&gt;"",ROUND(AN386/SI!$C$9,2),"")</f>
        <v/>
      </c>
      <c r="AX386" s="261" t="str">
        <f>IF(AO386&lt;&gt;"",ROUND(AO386/SI!$C$9,2),"")</f>
        <v/>
      </c>
      <c r="AY386" s="28" t="str">
        <f t="shared" si="149"/>
        <v/>
      </c>
      <c r="AZ386" s="4" t="str">
        <f>IF(AY386&lt;&gt;"",ROUND(AY386/(SI!$C$9*SI!$C$10),2),"")</f>
        <v/>
      </c>
      <c r="BA386" s="4" t="str">
        <f t="shared" si="150"/>
        <v/>
      </c>
      <c r="BB386" s="4" t="str">
        <f t="shared" si="151"/>
        <v/>
      </c>
      <c r="BC386" s="4" t="str">
        <f t="shared" si="152"/>
        <v/>
      </c>
      <c r="BD386" s="4" t="str">
        <f t="shared" si="153"/>
        <v/>
      </c>
      <c r="BE386" s="4" t="str">
        <f>IF(AND(X386&lt;&gt;""),ROUND(X386/SI!$C$10,2),"")</f>
        <v/>
      </c>
      <c r="BF386" s="4" t="str">
        <f t="shared" si="155"/>
        <v/>
      </c>
      <c r="BG386" s="264" t="str">
        <f t="shared" si="154"/>
        <v/>
      </c>
      <c r="BH386" s="71" t="str">
        <f>IF(F386&lt;&gt;"",VLOOKUP(F386,DUTY_2025!A:O,15,FALSE),"")</f>
        <v/>
      </c>
    </row>
    <row r="387" spans="1:60" x14ac:dyDescent="0.25">
      <c r="A387" s="133">
        <f t="shared" si="130"/>
        <v>66</v>
      </c>
      <c r="B387" s="83" t="str">
        <f t="shared" si="131"/>
        <v/>
      </c>
      <c r="C387" s="126"/>
      <c r="D387" s="130"/>
      <c r="E387" s="22"/>
      <c r="F387" s="85"/>
      <c r="G387" s="27" t="str">
        <f>IF(F387&lt;&gt;"",IFERROR(VLOOKUP(F387,DUTY_2025!A:I,6,FALSE),""),"")</f>
        <v/>
      </c>
      <c r="H387" s="85" t="s">
        <v>133</v>
      </c>
      <c r="I387" s="27" t="str">
        <f>IF(F387&lt;&gt;"",IFERROR(VLOOKUP(F387,DUTY_2025!A:H,2,FALSE),""),"")</f>
        <v/>
      </c>
      <c r="J387" s="98"/>
      <c r="K387" s="98"/>
      <c r="L387" s="22"/>
      <c r="M387" s="22"/>
      <c r="N387" s="84"/>
      <c r="O387" s="22"/>
      <c r="P387" s="116"/>
      <c r="Q387" s="23"/>
      <c r="R387" s="27"/>
      <c r="S387" s="86" t="str">
        <f t="shared" si="132"/>
        <v/>
      </c>
      <c r="T387" s="87" t="str">
        <f t="shared" si="133"/>
        <v/>
      </c>
      <c r="U387" s="87" t="str" cm="1">
        <f t="array" ref="U387">IF(AND(H387&lt;&gt;"YES",P387&lt;&gt;"",R387&lt;&gt;"",Q387&lt;&gt;""),
_xlfn.SWITCH(Q387,
"INR",_xlfn.SWITCH(R387,"KG",P387*S387,"CTN",P387,"UNIT",P387*N387,"NET",P387/M387,0),
"USD",_xlfn.SWITCH(R387,"KG",P387*S387*SI!$C$10,"CTN",P387*SI!$C$10,"UNIT",P387*N387*SI!$C$10,"NET",P387*SI!$C$10/M387,0),
"LKR",_xlfn.SWITCH(R387,"KG",P387*S387/SI!$C$9,"CTN",P387/SI!$C$9,"UNIT",P387*N387/SI!$C$9,"NET",P387/(M387*SI!$C$9),0),
0),
"")</f>
        <v/>
      </c>
      <c r="V387" s="87" t="str">
        <f t="shared" si="134"/>
        <v/>
      </c>
      <c r="W387" s="87" t="str">
        <f t="shared" si="135"/>
        <v/>
      </c>
      <c r="X387" s="88" t="str">
        <f t="shared" si="136"/>
        <v/>
      </c>
      <c r="Y387" s="24" t="str">
        <f t="shared" si="137"/>
        <v/>
      </c>
      <c r="Z387" s="267" t="str">
        <f>IF(AND(H387&lt;&gt;"yes",F387&lt;&gt;""),IFERROR(VLOOKUP(F387,DUTY_2025!A:F,5,FALSE),""),"")</f>
        <v/>
      </c>
      <c r="AA387" s="271" t="str">
        <f t="shared" si="138"/>
        <v/>
      </c>
      <c r="AB387" s="16" t="str">
        <f t="shared" si="139"/>
        <v/>
      </c>
      <c r="AC387" s="16" t="str">
        <f>IF(AA387&lt;&gt;"",ROUND(AA387*SI!$C$9,0),"")</f>
        <v/>
      </c>
      <c r="AD387" s="4" t="str">
        <f>IF(AC387&lt;&gt;"",ROUND(AC387/(SI!$C$9*SI!$C$10),2),"")</f>
        <v/>
      </c>
      <c r="AE387" s="30" t="str">
        <f>IF(AND(X387&lt;&gt;""), ROUND((SI!$E$23)*(X387/SUM($X$5:$X$493)),0),"")</f>
        <v/>
      </c>
      <c r="AF387" s="272" t="str">
        <f t="shared" si="140"/>
        <v/>
      </c>
      <c r="AG387" s="28" t="str">
        <f t="shared" si="141"/>
        <v/>
      </c>
      <c r="AH387" s="4" t="str">
        <f>IF(AD387&lt;&gt;"",ROUND(AD387*10*SI!$C$9/2,0),"")</f>
        <v/>
      </c>
      <c r="AI387" s="29" t="str">
        <f>IF(AND(X387&lt;&gt;""), ROUND((SI!$E$28)*(X387/SUM($X$5:$X$493)),0),"")</f>
        <v/>
      </c>
      <c r="AJ387" s="4" t="str">
        <f t="shared" si="142"/>
        <v/>
      </c>
      <c r="AK387" s="4" t="str">
        <f t="shared" si="143"/>
        <v/>
      </c>
      <c r="AL387" s="4" t="str">
        <f t="shared" si="144"/>
        <v/>
      </c>
      <c r="AM387" s="4" t="str">
        <f t="shared" si="145"/>
        <v/>
      </c>
      <c r="AN387" s="195" t="str">
        <f t="shared" si="146"/>
        <v/>
      </c>
      <c r="AO387" s="261" t="str">
        <f>IF(AND(AM387&lt;&gt;"",P387&lt;&gt;""),ROUND((AM387*((100+SI!$C$11)/100)),0),"")</f>
        <v/>
      </c>
      <c r="AP387" s="28" t="str">
        <f>IF(AG387&lt;&gt;"",ROUND(AG387/SI!$C$9,2),"")</f>
        <v/>
      </c>
      <c r="AQ387" s="4" t="str">
        <f>IF(AH387&lt;&gt;"",ROUND(AH387/SI!$C$9,2),"")</f>
        <v/>
      </c>
      <c r="AR387" s="29" t="str">
        <f>IF(AI387&lt;&gt;"",ROUND(AI387/SI!$C$9,2),"")</f>
        <v/>
      </c>
      <c r="AS387" s="4" t="str">
        <f t="shared" si="147"/>
        <v/>
      </c>
      <c r="AT387" s="4" t="str">
        <f t="shared" si="148"/>
        <v/>
      </c>
      <c r="AU387" s="4" t="str">
        <f>IF(AL387&lt;&gt;"",ROUND(AL387/SI!$C$9,2),"")</f>
        <v/>
      </c>
      <c r="AV387" s="4" t="str">
        <f>IF(AM387&lt;&gt;"",ROUND(AM387/SI!$C$9,2),"")</f>
        <v/>
      </c>
      <c r="AW387" s="4" t="str">
        <f>IF(AN387&lt;&gt;"",ROUND(AN387/SI!$C$9,2),"")</f>
        <v/>
      </c>
      <c r="AX387" s="261" t="str">
        <f>IF(AO387&lt;&gt;"",ROUND(AO387/SI!$C$9,2),"")</f>
        <v/>
      </c>
      <c r="AY387" s="28" t="str">
        <f t="shared" si="149"/>
        <v/>
      </c>
      <c r="AZ387" s="4" t="str">
        <f>IF(AY387&lt;&gt;"",ROUND(AY387/(SI!$C$9*SI!$C$10),2),"")</f>
        <v/>
      </c>
      <c r="BA387" s="4" t="str">
        <f t="shared" si="150"/>
        <v/>
      </c>
      <c r="BB387" s="4" t="str">
        <f t="shared" si="151"/>
        <v/>
      </c>
      <c r="BC387" s="4" t="str">
        <f t="shared" si="152"/>
        <v/>
      </c>
      <c r="BD387" s="4" t="str">
        <f t="shared" si="153"/>
        <v/>
      </c>
      <c r="BE387" s="4" t="str">
        <f>IF(AND(X387&lt;&gt;""),ROUND(X387/SI!$C$10,2),"")</f>
        <v/>
      </c>
      <c r="BF387" s="4" t="str">
        <f t="shared" si="155"/>
        <v/>
      </c>
      <c r="BG387" s="264" t="str">
        <f t="shared" si="154"/>
        <v/>
      </c>
      <c r="BH387" s="71" t="str">
        <f>IF(F387&lt;&gt;"",VLOOKUP(F387,DUTY_2025!A:O,15,FALSE),"")</f>
        <v/>
      </c>
    </row>
    <row r="388" spans="1:60" x14ac:dyDescent="0.25">
      <c r="A388" s="133">
        <f t="shared" si="130"/>
        <v>66</v>
      </c>
      <c r="B388" s="83" t="str">
        <f t="shared" si="131"/>
        <v/>
      </c>
      <c r="C388" s="126"/>
      <c r="D388" s="130"/>
      <c r="E388" s="22"/>
      <c r="F388" s="85"/>
      <c r="G388" s="27" t="str">
        <f>IF(F388&lt;&gt;"",IFERROR(VLOOKUP(F388,DUTY_2025!A:I,6,FALSE),""),"")</f>
        <v/>
      </c>
      <c r="H388" s="85" t="s">
        <v>133</v>
      </c>
      <c r="I388" s="27" t="str">
        <f>IF(F388&lt;&gt;"",IFERROR(VLOOKUP(F388,DUTY_2025!A:H,2,FALSE),""),"")</f>
        <v/>
      </c>
      <c r="J388" s="98"/>
      <c r="K388" s="98"/>
      <c r="L388" s="22"/>
      <c r="M388" s="22"/>
      <c r="N388" s="84"/>
      <c r="O388" s="22"/>
      <c r="P388" s="116"/>
      <c r="Q388" s="23"/>
      <c r="R388" s="27"/>
      <c r="S388" s="86" t="str">
        <f t="shared" si="132"/>
        <v/>
      </c>
      <c r="T388" s="87" t="str">
        <f t="shared" si="133"/>
        <v/>
      </c>
      <c r="U388" s="87" t="str" cm="1">
        <f t="array" ref="U388">IF(AND(H388&lt;&gt;"YES",P388&lt;&gt;"",R388&lt;&gt;"",Q388&lt;&gt;""),
_xlfn.SWITCH(Q388,
"INR",_xlfn.SWITCH(R388,"KG",P388*S388,"CTN",P388,"UNIT",P388*N388,"NET",P388/M388,0),
"USD",_xlfn.SWITCH(R388,"KG",P388*S388*SI!$C$10,"CTN",P388*SI!$C$10,"UNIT",P388*N388*SI!$C$10,"NET",P388*SI!$C$10/M388,0),
"LKR",_xlfn.SWITCH(R388,"KG",P388*S388/SI!$C$9,"CTN",P388/SI!$C$9,"UNIT",P388*N388/SI!$C$9,"NET",P388/(M388*SI!$C$9),0),
0),
"")</f>
        <v/>
      </c>
      <c r="V388" s="87" t="str">
        <f t="shared" si="134"/>
        <v/>
      </c>
      <c r="W388" s="87" t="str">
        <f t="shared" si="135"/>
        <v/>
      </c>
      <c r="X388" s="88" t="str">
        <f t="shared" si="136"/>
        <v/>
      </c>
      <c r="Y388" s="24" t="str">
        <f t="shared" si="137"/>
        <v/>
      </c>
      <c r="Z388" s="267" t="str">
        <f>IF(AND(H388&lt;&gt;"yes",F388&lt;&gt;""),IFERROR(VLOOKUP(F388,DUTY_2025!A:F,5,FALSE),""),"")</f>
        <v/>
      </c>
      <c r="AA388" s="271" t="str">
        <f t="shared" si="138"/>
        <v/>
      </c>
      <c r="AB388" s="16" t="str">
        <f t="shared" si="139"/>
        <v/>
      </c>
      <c r="AC388" s="16" t="str">
        <f>IF(AA388&lt;&gt;"",ROUND(AA388*SI!$C$9,0),"")</f>
        <v/>
      </c>
      <c r="AD388" s="4" t="str">
        <f>IF(AC388&lt;&gt;"",ROUND(AC388/(SI!$C$9*SI!$C$10),2),"")</f>
        <v/>
      </c>
      <c r="AE388" s="30" t="str">
        <f>IF(AND(X388&lt;&gt;""), ROUND((SI!$E$23)*(X388/SUM($X$5:$X$493)),0),"")</f>
        <v/>
      </c>
      <c r="AF388" s="272" t="str">
        <f t="shared" si="140"/>
        <v/>
      </c>
      <c r="AG388" s="28" t="str">
        <f t="shared" si="141"/>
        <v/>
      </c>
      <c r="AH388" s="4" t="str">
        <f>IF(AD388&lt;&gt;"",ROUND(AD388*10*SI!$C$9/2,0),"")</f>
        <v/>
      </c>
      <c r="AI388" s="29" t="str">
        <f>IF(AND(X388&lt;&gt;""), ROUND((SI!$E$28)*(X388/SUM($X$5:$X$493)),0),"")</f>
        <v/>
      </c>
      <c r="AJ388" s="4" t="str">
        <f t="shared" si="142"/>
        <v/>
      </c>
      <c r="AK388" s="4" t="str">
        <f t="shared" si="143"/>
        <v/>
      </c>
      <c r="AL388" s="4" t="str">
        <f t="shared" si="144"/>
        <v/>
      </c>
      <c r="AM388" s="4" t="str">
        <f t="shared" si="145"/>
        <v/>
      </c>
      <c r="AN388" s="195" t="str">
        <f t="shared" si="146"/>
        <v/>
      </c>
      <c r="AO388" s="261" t="str">
        <f>IF(AND(AM388&lt;&gt;"",P388&lt;&gt;""),ROUND((AM388*((100+SI!$C$11)/100)),0),"")</f>
        <v/>
      </c>
      <c r="AP388" s="28" t="str">
        <f>IF(AG388&lt;&gt;"",ROUND(AG388/SI!$C$9,2),"")</f>
        <v/>
      </c>
      <c r="AQ388" s="4" t="str">
        <f>IF(AH388&lt;&gt;"",ROUND(AH388/SI!$C$9,2),"")</f>
        <v/>
      </c>
      <c r="AR388" s="29" t="str">
        <f>IF(AI388&lt;&gt;"",ROUND(AI388/SI!$C$9,2),"")</f>
        <v/>
      </c>
      <c r="AS388" s="4" t="str">
        <f t="shared" si="147"/>
        <v/>
      </c>
      <c r="AT388" s="4" t="str">
        <f t="shared" si="148"/>
        <v/>
      </c>
      <c r="AU388" s="4" t="str">
        <f>IF(AL388&lt;&gt;"",ROUND(AL388/SI!$C$9,2),"")</f>
        <v/>
      </c>
      <c r="AV388" s="4" t="str">
        <f>IF(AM388&lt;&gt;"",ROUND(AM388/SI!$C$9,2),"")</f>
        <v/>
      </c>
      <c r="AW388" s="4" t="str">
        <f>IF(AN388&lt;&gt;"",ROUND(AN388/SI!$C$9,2),"")</f>
        <v/>
      </c>
      <c r="AX388" s="261" t="str">
        <f>IF(AO388&lt;&gt;"",ROUND(AO388/SI!$C$9,2),"")</f>
        <v/>
      </c>
      <c r="AY388" s="28" t="str">
        <f t="shared" si="149"/>
        <v/>
      </c>
      <c r="AZ388" s="4" t="str">
        <f>IF(AY388&lt;&gt;"",ROUND(AY388/(SI!$C$9*SI!$C$10),2),"")</f>
        <v/>
      </c>
      <c r="BA388" s="4" t="str">
        <f t="shared" si="150"/>
        <v/>
      </c>
      <c r="BB388" s="4" t="str">
        <f t="shared" si="151"/>
        <v/>
      </c>
      <c r="BC388" s="4" t="str">
        <f t="shared" si="152"/>
        <v/>
      </c>
      <c r="BD388" s="4" t="str">
        <f t="shared" si="153"/>
        <v/>
      </c>
      <c r="BE388" s="4" t="str">
        <f>IF(AND(X388&lt;&gt;""),ROUND(X388/SI!$C$10,2),"")</f>
        <v/>
      </c>
      <c r="BF388" s="4" t="str">
        <f t="shared" si="155"/>
        <v/>
      </c>
      <c r="BG388" s="264" t="str">
        <f t="shared" si="154"/>
        <v/>
      </c>
      <c r="BH388" s="71" t="str">
        <f>IF(F388&lt;&gt;"",VLOOKUP(F388,DUTY_2025!A:O,15,FALSE),"")</f>
        <v/>
      </c>
    </row>
    <row r="389" spans="1:60" x14ac:dyDescent="0.25">
      <c r="A389" s="133">
        <f t="shared" si="130"/>
        <v>66</v>
      </c>
      <c r="B389" s="83" t="str">
        <f t="shared" si="131"/>
        <v/>
      </c>
      <c r="C389" s="126"/>
      <c r="D389" s="130"/>
      <c r="E389" s="22"/>
      <c r="F389" s="85"/>
      <c r="G389" s="27" t="str">
        <f>IF(F389&lt;&gt;"",IFERROR(VLOOKUP(F389,DUTY_2025!A:I,6,FALSE),""),"")</f>
        <v/>
      </c>
      <c r="H389" s="85" t="s">
        <v>133</v>
      </c>
      <c r="I389" s="27" t="str">
        <f>IF(F389&lt;&gt;"",IFERROR(VLOOKUP(F389,DUTY_2025!A:H,2,FALSE),""),"")</f>
        <v/>
      </c>
      <c r="J389" s="98"/>
      <c r="K389" s="98"/>
      <c r="L389" s="22"/>
      <c r="M389" s="22"/>
      <c r="N389" s="84"/>
      <c r="O389" s="22"/>
      <c r="P389" s="116"/>
      <c r="Q389" s="23"/>
      <c r="R389" s="27"/>
      <c r="S389" s="86" t="str">
        <f t="shared" si="132"/>
        <v/>
      </c>
      <c r="T389" s="87" t="str">
        <f t="shared" si="133"/>
        <v/>
      </c>
      <c r="U389" s="87" t="str" cm="1">
        <f t="array" ref="U389">IF(AND(H389&lt;&gt;"YES",P389&lt;&gt;"",R389&lt;&gt;"",Q389&lt;&gt;""),
_xlfn.SWITCH(Q389,
"INR",_xlfn.SWITCH(R389,"KG",P389*S389,"CTN",P389,"UNIT",P389*N389,"NET",P389/M389,0),
"USD",_xlfn.SWITCH(R389,"KG",P389*S389*SI!$C$10,"CTN",P389*SI!$C$10,"UNIT",P389*N389*SI!$C$10,"NET",P389*SI!$C$10/M389,0),
"LKR",_xlfn.SWITCH(R389,"KG",P389*S389/SI!$C$9,"CTN",P389/SI!$C$9,"UNIT",P389*N389/SI!$C$9,"NET",P389/(M389*SI!$C$9),0),
0),
"")</f>
        <v/>
      </c>
      <c r="V389" s="87" t="str">
        <f t="shared" si="134"/>
        <v/>
      </c>
      <c r="W389" s="87" t="str">
        <f t="shared" si="135"/>
        <v/>
      </c>
      <c r="X389" s="88" t="str">
        <f t="shared" si="136"/>
        <v/>
      </c>
      <c r="Y389" s="24" t="str">
        <f t="shared" si="137"/>
        <v/>
      </c>
      <c r="Z389" s="267" t="str">
        <f>IF(AND(H389&lt;&gt;"yes",F389&lt;&gt;""),IFERROR(VLOOKUP(F389,DUTY_2025!A:F,5,FALSE),""),"")</f>
        <v/>
      </c>
      <c r="AA389" s="271" t="str">
        <f t="shared" si="138"/>
        <v/>
      </c>
      <c r="AB389" s="16" t="str">
        <f t="shared" si="139"/>
        <v/>
      </c>
      <c r="AC389" s="16" t="str">
        <f>IF(AA389&lt;&gt;"",ROUND(AA389*SI!$C$9,0),"")</f>
        <v/>
      </c>
      <c r="AD389" s="4" t="str">
        <f>IF(AC389&lt;&gt;"",ROUND(AC389/(SI!$C$9*SI!$C$10),2),"")</f>
        <v/>
      </c>
      <c r="AE389" s="30" t="str">
        <f>IF(AND(X389&lt;&gt;""), ROUND((SI!$E$23)*(X389/SUM($X$5:$X$493)),0),"")</f>
        <v/>
      </c>
      <c r="AF389" s="272" t="str">
        <f t="shared" si="140"/>
        <v/>
      </c>
      <c r="AG389" s="28" t="str">
        <f t="shared" si="141"/>
        <v/>
      </c>
      <c r="AH389" s="4" t="str">
        <f>IF(AD389&lt;&gt;"",ROUND(AD389*10*SI!$C$9/2,0),"")</f>
        <v/>
      </c>
      <c r="AI389" s="29" t="str">
        <f>IF(AND(X389&lt;&gt;""), ROUND((SI!$E$28)*(X389/SUM($X$5:$X$493)),0),"")</f>
        <v/>
      </c>
      <c r="AJ389" s="4" t="str">
        <f t="shared" si="142"/>
        <v/>
      </c>
      <c r="AK389" s="4" t="str">
        <f t="shared" si="143"/>
        <v/>
      </c>
      <c r="AL389" s="4" t="str">
        <f t="shared" si="144"/>
        <v/>
      </c>
      <c r="AM389" s="4" t="str">
        <f t="shared" si="145"/>
        <v/>
      </c>
      <c r="AN389" s="195" t="str">
        <f t="shared" si="146"/>
        <v/>
      </c>
      <c r="AO389" s="261" t="str">
        <f>IF(AND(AM389&lt;&gt;"",P389&lt;&gt;""),ROUND((AM389*((100+SI!$C$11)/100)),0),"")</f>
        <v/>
      </c>
      <c r="AP389" s="28" t="str">
        <f>IF(AG389&lt;&gt;"",ROUND(AG389/SI!$C$9,2),"")</f>
        <v/>
      </c>
      <c r="AQ389" s="4" t="str">
        <f>IF(AH389&lt;&gt;"",ROUND(AH389/SI!$C$9,2),"")</f>
        <v/>
      </c>
      <c r="AR389" s="29" t="str">
        <f>IF(AI389&lt;&gt;"",ROUND(AI389/SI!$C$9,2),"")</f>
        <v/>
      </c>
      <c r="AS389" s="4" t="str">
        <f t="shared" si="147"/>
        <v/>
      </c>
      <c r="AT389" s="4" t="str">
        <f t="shared" si="148"/>
        <v/>
      </c>
      <c r="AU389" s="4" t="str">
        <f>IF(AL389&lt;&gt;"",ROUND(AL389/SI!$C$9,2),"")</f>
        <v/>
      </c>
      <c r="AV389" s="4" t="str">
        <f>IF(AM389&lt;&gt;"",ROUND(AM389/SI!$C$9,2),"")</f>
        <v/>
      </c>
      <c r="AW389" s="4" t="str">
        <f>IF(AN389&lt;&gt;"",ROUND(AN389/SI!$C$9,2),"")</f>
        <v/>
      </c>
      <c r="AX389" s="261" t="str">
        <f>IF(AO389&lt;&gt;"",ROUND(AO389/SI!$C$9,2),"")</f>
        <v/>
      </c>
      <c r="AY389" s="28" t="str">
        <f t="shared" si="149"/>
        <v/>
      </c>
      <c r="AZ389" s="4" t="str">
        <f>IF(AY389&lt;&gt;"",ROUND(AY389/(SI!$C$9*SI!$C$10),2),"")</f>
        <v/>
      </c>
      <c r="BA389" s="4" t="str">
        <f t="shared" si="150"/>
        <v/>
      </c>
      <c r="BB389" s="4" t="str">
        <f t="shared" si="151"/>
        <v/>
      </c>
      <c r="BC389" s="4" t="str">
        <f t="shared" si="152"/>
        <v/>
      </c>
      <c r="BD389" s="4" t="str">
        <f t="shared" si="153"/>
        <v/>
      </c>
      <c r="BE389" s="4" t="str">
        <f>IF(AND(X389&lt;&gt;""),ROUND(X389/SI!$C$10,2),"")</f>
        <v/>
      </c>
      <c r="BF389" s="4" t="str">
        <f t="shared" si="155"/>
        <v/>
      </c>
      <c r="BG389" s="264" t="str">
        <f t="shared" si="154"/>
        <v/>
      </c>
      <c r="BH389" s="71" t="str">
        <f>IF(F389&lt;&gt;"",VLOOKUP(F389,DUTY_2025!A:O,15,FALSE),"")</f>
        <v/>
      </c>
    </row>
    <row r="390" spans="1:60" x14ac:dyDescent="0.25">
      <c r="A390" s="133">
        <f t="shared" ref="A390:A453" si="156">IF(AND(F390&lt;&gt;"",H390&lt;&gt;"YES"),IF(A389&lt;&gt;"",A389,0)+1,A389)</f>
        <v>66</v>
      </c>
      <c r="B390" s="83" t="str">
        <f t="shared" ref="B390:B453" si="157">IF(AND(F390&lt;&gt;"",H390&lt;&gt;"YES"),IF(B389&lt;&gt;"",B389,A389)+1,"")</f>
        <v/>
      </c>
      <c r="C390" s="126"/>
      <c r="D390" s="130"/>
      <c r="E390" s="22"/>
      <c r="F390" s="85"/>
      <c r="G390" s="27" t="str">
        <f>IF(F390&lt;&gt;"",IFERROR(VLOOKUP(F390,DUTY_2025!A:I,6,FALSE),""),"")</f>
        <v/>
      </c>
      <c r="H390" s="85" t="s">
        <v>133</v>
      </c>
      <c r="I390" s="27" t="str">
        <f>IF(F390&lt;&gt;"",IFERROR(VLOOKUP(F390,DUTY_2025!A:H,2,FALSE),""),"")</f>
        <v/>
      </c>
      <c r="J390" s="98"/>
      <c r="K390" s="98"/>
      <c r="L390" s="22"/>
      <c r="M390" s="22"/>
      <c r="N390" s="84"/>
      <c r="O390" s="22"/>
      <c r="P390" s="116"/>
      <c r="Q390" s="23"/>
      <c r="R390" s="27"/>
      <c r="S390" s="86" t="str">
        <f t="shared" ref="S390:S453" si="158">IF(AND(H390&lt;&gt;"YES",N390&lt;&gt;""),N390*L390/1000,"")</f>
        <v/>
      </c>
      <c r="T390" s="87" t="str">
        <f t="shared" ref="T390:T453" si="159">IF(S390&lt;&gt;"",S390*1.1,"")</f>
        <v/>
      </c>
      <c r="U390" s="87" t="str" cm="1">
        <f t="array" ref="U390">IF(AND(H390&lt;&gt;"YES",P390&lt;&gt;"",R390&lt;&gt;"",Q390&lt;&gt;""),
_xlfn.SWITCH(Q390,
"INR",_xlfn.SWITCH(R390,"KG",P390*S390,"CTN",P390,"UNIT",P390*N390,"NET",P390/M390,0),
"USD",_xlfn.SWITCH(R390,"KG",P390*S390*SI!$C$10,"CTN",P390*SI!$C$10,"UNIT",P390*N390*SI!$C$10,"NET",P390*SI!$C$10/M390,0),
"LKR",_xlfn.SWITCH(R390,"KG",P390*S390/SI!$C$9,"CTN",P390/SI!$C$9,"UNIT",P390*N390/SI!$C$9,"NET",P390/(M390*SI!$C$9),0),
0),
"")</f>
        <v/>
      </c>
      <c r="V390" s="87" t="str">
        <f t="shared" ref="V390:V453" si="160">IF(AND(S390&lt;&gt;"",M390&lt;&gt;"",N390&lt;&gt;""),S390*M390,"")</f>
        <v/>
      </c>
      <c r="W390" s="87" t="str">
        <f t="shared" ref="W390:W453" si="161">IF(V390&lt;&gt;"",V390*1.1,"")</f>
        <v/>
      </c>
      <c r="X390" s="88" t="str">
        <f t="shared" ref="X390:X453" si="162">IF(AND(U390&lt;&gt;"",M390&lt;&gt;""),U390*M390,"")</f>
        <v/>
      </c>
      <c r="Y390" s="24" t="str">
        <f t="shared" ref="Y390:Y453" si="163">IF(AND(H390&lt;&gt;"YES",M390&lt;&gt;"",N390&lt;&gt;""),IF(E390=1,(N390*M390)/2,N390*M390),"")</f>
        <v/>
      </c>
      <c r="Z390" s="267" t="str">
        <f>IF(AND(H390&lt;&gt;"yes",F390&lt;&gt;""),IFERROR(VLOOKUP(F390,DUTY_2025!A:F,5,FALSE),""),"")</f>
        <v/>
      </c>
      <c r="AA390" s="271" t="str">
        <f t="shared" ref="AA390:AA453" si="164">IF(B390&lt;&gt;"",IF(AND(X390&lt;&gt;"", O390&lt;&gt;""),IF(ROUND(X390*100/(100+O390),0)=0,"",ROUND(X390*100/(100+O390),0)),""),"")</f>
        <v/>
      </c>
      <c r="AB390" s="16" t="str">
        <f t="shared" ref="AB390:AB453" si="165">IF(M390&lt;&gt;"",IF(AND(X390&lt;&gt;"",AA390&lt;&gt;""),X390-AA390,""),"")</f>
        <v/>
      </c>
      <c r="AC390" s="16" t="str">
        <f>IF(AA390&lt;&gt;"",ROUND(AA390*SI!$C$9,0),"")</f>
        <v/>
      </c>
      <c r="AD390" s="4" t="str">
        <f>IF(AC390&lt;&gt;"",ROUND(AC390/(SI!$C$9*SI!$C$10),2),"")</f>
        <v/>
      </c>
      <c r="AE390" s="30" t="str">
        <f>IF(AND(X390&lt;&gt;""), ROUND((SI!$E$23)*(X390/SUM($X$5:$X$493)),0),"")</f>
        <v/>
      </c>
      <c r="AF390" s="272" t="str">
        <f t="shared" ref="AF390:AF453" si="166">IF(AND(AC390&lt;&gt;"",AE390&lt;&gt;""),ROUND(AC390+AE390,0),"")</f>
        <v/>
      </c>
      <c r="AG390" s="28" t="str">
        <f t="shared" ref="AG390:AG453" si="167">IF(AND(Z390&lt;&gt;"",V390&lt;&gt;""),Z390*V390,"")</f>
        <v/>
      </c>
      <c r="AH390" s="4" t="str">
        <f>IF(AD390&lt;&gt;"",ROUND(AD390*10*SI!$C$9/2,0),"")</f>
        <v/>
      </c>
      <c r="AI390" s="29" t="str">
        <f>IF(AND(X390&lt;&gt;""), ROUND((SI!$E$28)*(X390/SUM($X$5:$X$493)),0),"")</f>
        <v/>
      </c>
      <c r="AJ390" s="4" t="str">
        <f t="shared" ref="AJ390:AJ453" si="168">IF(AND(AG390&lt;&gt;"",AI390&lt;&gt;"",AH390&lt;&gt;""),AG390+AI390+AH390,"")</f>
        <v/>
      </c>
      <c r="AK390" s="4" t="str">
        <f t="shared" ref="AK390:AK453" si="169">IF(AND(AJ390&lt;&gt;"",Y390&lt;&gt;""),ROUND(AJ390/Y390,0),"")</f>
        <v/>
      </c>
      <c r="AL390" s="4" t="str">
        <f t="shared" ref="AL390:AL453" si="170">IF(AND(AC390&lt;&gt;"",Y390&lt;&gt;""),ROUND(AF390/Y390,0),"")</f>
        <v/>
      </c>
      <c r="AM390" s="4" t="str">
        <f t="shared" ref="AM390:AM453" si="171">IF(AND(AK390&lt;&gt;"",AL390&lt;&gt;""),AK390+AL390,"")</f>
        <v/>
      </c>
      <c r="AN390" s="195" t="str">
        <f t="shared" ref="AN390:AN453" si="172">IF(AND(AF390&lt;&gt;"",AG390&lt;&gt;"",AH390&lt;&gt;"",AI390&lt;&gt;""),AF390+AG390+AH390+AI390,"")</f>
        <v/>
      </c>
      <c r="AO390" s="261" t="str">
        <f>IF(AND(AM390&lt;&gt;"",P390&lt;&gt;""),ROUND((AM390*((100+SI!$C$11)/100)),0),"")</f>
        <v/>
      </c>
      <c r="AP390" s="28" t="str">
        <f>IF(AG390&lt;&gt;"",ROUND(AG390/SI!$C$9,2),"")</f>
        <v/>
      </c>
      <c r="AQ390" s="4" t="str">
        <f>IF(AH390&lt;&gt;"",ROUND(AH390/SI!$C$9,2),"")</f>
        <v/>
      </c>
      <c r="AR390" s="29" t="str">
        <f>IF(AI390&lt;&gt;"",ROUND(AI390/SI!$C$9,2),"")</f>
        <v/>
      </c>
      <c r="AS390" s="4" t="str">
        <f t="shared" ref="AS390:AS453" si="173">IF(AND(AP390&lt;&gt;"",AR390&lt;&gt;"",AQ390&lt;&gt;""),AP390+AR390+AQ390,"")</f>
        <v/>
      </c>
      <c r="AT390" s="4" t="str">
        <f t="shared" ref="AT390:AT453" si="174">IF(AND(AS390&lt;&gt;"",Y390&lt;&gt;""),ROUND(AS390/Y390,2),"")</f>
        <v/>
      </c>
      <c r="AU390" s="4" t="str">
        <f>IF(AL390&lt;&gt;"",ROUND(AL390/SI!$C$9,2),"")</f>
        <v/>
      </c>
      <c r="AV390" s="4" t="str">
        <f>IF(AM390&lt;&gt;"",ROUND(AM390/SI!$C$9,2),"")</f>
        <v/>
      </c>
      <c r="AW390" s="4" t="str">
        <f>IF(AN390&lt;&gt;"",ROUND(AN390/SI!$C$9,2),"")</f>
        <v/>
      </c>
      <c r="AX390" s="261" t="str">
        <f>IF(AO390&lt;&gt;"",ROUND(AO390/SI!$C$9,2),"")</f>
        <v/>
      </c>
      <c r="AY390" s="28" t="str">
        <f t="shared" ref="AY390:AY453" si="175">IF(AF390&lt;&gt;"",AF390,"")</f>
        <v/>
      </c>
      <c r="AZ390" s="4" t="str">
        <f>IF(AY390&lt;&gt;"",ROUND(AY390/(SI!$C$9*SI!$C$10),2),"")</f>
        <v/>
      </c>
      <c r="BA390" s="4" t="str">
        <f t="shared" ref="BA390:BA453" si="176">IF(AND(AY390&lt;&gt;"",BH390&lt;&gt;""),ROUND(AY390*BH390/100,2),"")</f>
        <v/>
      </c>
      <c r="BB390" s="4" t="str">
        <f t="shared" ref="BB390:BB453" si="177">IF(AND(AZ390&lt;&gt;"",BH390&lt;&gt;""),ROUND(AZ390*BH390/100,2),"")</f>
        <v/>
      </c>
      <c r="BC390" s="4" t="str">
        <f t="shared" ref="BC390:BC453" si="178">IF(AND(BB390&lt;&gt;"",Y390&lt;&gt;""),ROUND(BB390/Y390,3),"")</f>
        <v/>
      </c>
      <c r="BD390" s="4" t="str">
        <f t="shared" ref="BD390:BD453" si="179">IF(AND(BB390&lt;&gt;"",T390&lt;&gt;""),ROUND(BB390/V390,3),"")</f>
        <v/>
      </c>
      <c r="BE390" s="4" t="str">
        <f>IF(AND(X390&lt;&gt;""),ROUND(X390/SI!$C$10,2),"")</f>
        <v/>
      </c>
      <c r="BF390" s="4" t="str">
        <f t="shared" si="155"/>
        <v/>
      </c>
      <c r="BG390" s="264" t="str">
        <f t="shared" ref="BG390:BG453" si="180">IF(AND(BE390&lt;&gt;"",V390&lt;&gt;""),ROUND(BE390/V390,3),"")</f>
        <v/>
      </c>
      <c r="BH390" s="71" t="str">
        <f>IF(F390&lt;&gt;"",VLOOKUP(F390,DUTY_2025!A:O,15,FALSE),"")</f>
        <v/>
      </c>
    </row>
    <row r="391" spans="1:60" x14ac:dyDescent="0.25">
      <c r="A391" s="133">
        <f t="shared" si="156"/>
        <v>66</v>
      </c>
      <c r="B391" s="83" t="str">
        <f t="shared" si="157"/>
        <v/>
      </c>
      <c r="C391" s="126"/>
      <c r="D391" s="130"/>
      <c r="E391" s="22"/>
      <c r="F391" s="85"/>
      <c r="G391" s="27" t="str">
        <f>IF(F391&lt;&gt;"",IFERROR(VLOOKUP(F391,DUTY_2025!A:I,6,FALSE),""),"")</f>
        <v/>
      </c>
      <c r="H391" s="85" t="s">
        <v>133</v>
      </c>
      <c r="I391" s="27" t="str">
        <f>IF(F391&lt;&gt;"",IFERROR(VLOOKUP(F391,DUTY_2025!A:H,2,FALSE),""),"")</f>
        <v/>
      </c>
      <c r="J391" s="98"/>
      <c r="K391" s="98"/>
      <c r="L391" s="22"/>
      <c r="M391" s="22"/>
      <c r="N391" s="84"/>
      <c r="O391" s="22"/>
      <c r="P391" s="116"/>
      <c r="Q391" s="23"/>
      <c r="R391" s="27"/>
      <c r="S391" s="86" t="str">
        <f t="shared" si="158"/>
        <v/>
      </c>
      <c r="T391" s="87" t="str">
        <f t="shared" si="159"/>
        <v/>
      </c>
      <c r="U391" s="87" t="str" cm="1">
        <f t="array" ref="U391">IF(AND(H391&lt;&gt;"YES",P391&lt;&gt;"",R391&lt;&gt;"",Q391&lt;&gt;""),
_xlfn.SWITCH(Q391,
"INR",_xlfn.SWITCH(R391,"KG",P391*S391,"CTN",P391,"UNIT",P391*N391,"NET",P391/M391,0),
"USD",_xlfn.SWITCH(R391,"KG",P391*S391*SI!$C$10,"CTN",P391*SI!$C$10,"UNIT",P391*N391*SI!$C$10,"NET",P391*SI!$C$10/M391,0),
"LKR",_xlfn.SWITCH(R391,"KG",P391*S391/SI!$C$9,"CTN",P391/SI!$C$9,"UNIT",P391*N391/SI!$C$9,"NET",P391/(M391*SI!$C$9),0),
0),
"")</f>
        <v/>
      </c>
      <c r="V391" s="87" t="str">
        <f t="shared" si="160"/>
        <v/>
      </c>
      <c r="W391" s="87" t="str">
        <f t="shared" si="161"/>
        <v/>
      </c>
      <c r="X391" s="88" t="str">
        <f t="shared" si="162"/>
        <v/>
      </c>
      <c r="Y391" s="24" t="str">
        <f t="shared" si="163"/>
        <v/>
      </c>
      <c r="Z391" s="267" t="str">
        <f>IF(AND(H391&lt;&gt;"yes",F391&lt;&gt;""),IFERROR(VLOOKUP(F391,DUTY_2025!A:F,5,FALSE),""),"")</f>
        <v/>
      </c>
      <c r="AA391" s="271" t="str">
        <f t="shared" si="164"/>
        <v/>
      </c>
      <c r="AB391" s="16" t="str">
        <f t="shared" si="165"/>
        <v/>
      </c>
      <c r="AC391" s="16" t="str">
        <f>IF(AA391&lt;&gt;"",ROUND(AA391*SI!$C$9,0),"")</f>
        <v/>
      </c>
      <c r="AD391" s="4" t="str">
        <f>IF(AC391&lt;&gt;"",ROUND(AC391/(SI!$C$9*SI!$C$10),2),"")</f>
        <v/>
      </c>
      <c r="AE391" s="30" t="str">
        <f>IF(AND(X391&lt;&gt;""), ROUND((SI!$E$23)*(X391/SUM($X$5:$X$493)),0),"")</f>
        <v/>
      </c>
      <c r="AF391" s="272" t="str">
        <f t="shared" si="166"/>
        <v/>
      </c>
      <c r="AG391" s="28" t="str">
        <f t="shared" si="167"/>
        <v/>
      </c>
      <c r="AH391" s="4" t="str">
        <f>IF(AD391&lt;&gt;"",ROUND(AD391*10*SI!$C$9/2,0),"")</f>
        <v/>
      </c>
      <c r="AI391" s="29" t="str">
        <f>IF(AND(X391&lt;&gt;""), ROUND((SI!$E$28)*(X391/SUM($X$5:$X$493)),0),"")</f>
        <v/>
      </c>
      <c r="AJ391" s="4" t="str">
        <f t="shared" si="168"/>
        <v/>
      </c>
      <c r="AK391" s="4" t="str">
        <f t="shared" si="169"/>
        <v/>
      </c>
      <c r="AL391" s="4" t="str">
        <f t="shared" si="170"/>
        <v/>
      </c>
      <c r="AM391" s="4" t="str">
        <f t="shared" si="171"/>
        <v/>
      </c>
      <c r="AN391" s="195" t="str">
        <f t="shared" si="172"/>
        <v/>
      </c>
      <c r="AO391" s="261" t="str">
        <f>IF(AND(AM391&lt;&gt;"",P391&lt;&gt;""),ROUND((AM391*((100+SI!$C$11)/100)),0),"")</f>
        <v/>
      </c>
      <c r="AP391" s="28" t="str">
        <f>IF(AG391&lt;&gt;"",ROUND(AG391/SI!$C$9,2),"")</f>
        <v/>
      </c>
      <c r="AQ391" s="4" t="str">
        <f>IF(AH391&lt;&gt;"",ROUND(AH391/SI!$C$9,2),"")</f>
        <v/>
      </c>
      <c r="AR391" s="29" t="str">
        <f>IF(AI391&lt;&gt;"",ROUND(AI391/SI!$C$9,2),"")</f>
        <v/>
      </c>
      <c r="AS391" s="4" t="str">
        <f t="shared" si="173"/>
        <v/>
      </c>
      <c r="AT391" s="4" t="str">
        <f t="shared" si="174"/>
        <v/>
      </c>
      <c r="AU391" s="4" t="str">
        <f>IF(AL391&lt;&gt;"",ROUND(AL391/SI!$C$9,2),"")</f>
        <v/>
      </c>
      <c r="AV391" s="4" t="str">
        <f>IF(AM391&lt;&gt;"",ROUND(AM391/SI!$C$9,2),"")</f>
        <v/>
      </c>
      <c r="AW391" s="4" t="str">
        <f>IF(AN391&lt;&gt;"",ROUND(AN391/SI!$C$9,2),"")</f>
        <v/>
      </c>
      <c r="AX391" s="261" t="str">
        <f>IF(AO391&lt;&gt;"",ROUND(AO391/SI!$C$9,2),"")</f>
        <v/>
      </c>
      <c r="AY391" s="28" t="str">
        <f t="shared" si="175"/>
        <v/>
      </c>
      <c r="AZ391" s="4" t="str">
        <f>IF(AY391&lt;&gt;"",ROUND(AY391/(SI!$C$9*SI!$C$10),2),"")</f>
        <v/>
      </c>
      <c r="BA391" s="4" t="str">
        <f t="shared" si="176"/>
        <v/>
      </c>
      <c r="BB391" s="4" t="str">
        <f t="shared" si="177"/>
        <v/>
      </c>
      <c r="BC391" s="4" t="str">
        <f t="shared" si="178"/>
        <v/>
      </c>
      <c r="BD391" s="4" t="str">
        <f t="shared" si="179"/>
        <v/>
      </c>
      <c r="BE391" s="4" t="str">
        <f>IF(AND(X391&lt;&gt;""),ROUND(X391/SI!$C$10,2),"")</f>
        <v/>
      </c>
      <c r="BF391" s="4" t="str">
        <f t="shared" ref="BF391:BF454" si="181">IF(AND(BE391&lt;&gt;"",Y391&lt;&gt;""),ROUND(BE391/Y391,3),"")</f>
        <v/>
      </c>
      <c r="BG391" s="264" t="str">
        <f t="shared" si="180"/>
        <v/>
      </c>
      <c r="BH391" s="71" t="str">
        <f>IF(F391&lt;&gt;"",VLOOKUP(F391,DUTY_2025!A:O,15,FALSE),"")</f>
        <v/>
      </c>
    </row>
    <row r="392" spans="1:60" x14ac:dyDescent="0.25">
      <c r="A392" s="133">
        <f t="shared" si="156"/>
        <v>66</v>
      </c>
      <c r="B392" s="83" t="str">
        <f t="shared" si="157"/>
        <v/>
      </c>
      <c r="C392" s="126"/>
      <c r="D392" s="130"/>
      <c r="E392" s="22"/>
      <c r="F392" s="85"/>
      <c r="G392" s="27" t="str">
        <f>IF(F392&lt;&gt;"",IFERROR(VLOOKUP(F392,DUTY_2025!A:I,6,FALSE),""),"")</f>
        <v/>
      </c>
      <c r="H392" s="85" t="s">
        <v>133</v>
      </c>
      <c r="I392" s="27" t="str">
        <f>IF(F392&lt;&gt;"",IFERROR(VLOOKUP(F392,DUTY_2025!A:H,2,FALSE),""),"")</f>
        <v/>
      </c>
      <c r="J392" s="98"/>
      <c r="K392" s="98"/>
      <c r="L392" s="22"/>
      <c r="M392" s="22"/>
      <c r="N392" s="84"/>
      <c r="O392" s="22"/>
      <c r="P392" s="116"/>
      <c r="Q392" s="23"/>
      <c r="R392" s="27"/>
      <c r="S392" s="86" t="str">
        <f t="shared" si="158"/>
        <v/>
      </c>
      <c r="T392" s="87" t="str">
        <f t="shared" si="159"/>
        <v/>
      </c>
      <c r="U392" s="87" t="str" cm="1">
        <f t="array" ref="U392">IF(AND(H392&lt;&gt;"YES",P392&lt;&gt;"",R392&lt;&gt;"",Q392&lt;&gt;""),
_xlfn.SWITCH(Q392,
"INR",_xlfn.SWITCH(R392,"KG",P392*S392,"CTN",P392,"UNIT",P392*N392,"NET",P392/M392,0),
"USD",_xlfn.SWITCH(R392,"KG",P392*S392*SI!$C$10,"CTN",P392*SI!$C$10,"UNIT",P392*N392*SI!$C$10,"NET",P392*SI!$C$10/M392,0),
"LKR",_xlfn.SWITCH(R392,"KG",P392*S392/SI!$C$9,"CTN",P392/SI!$C$9,"UNIT",P392*N392/SI!$C$9,"NET",P392/(M392*SI!$C$9),0),
0),
"")</f>
        <v/>
      </c>
      <c r="V392" s="87" t="str">
        <f t="shared" si="160"/>
        <v/>
      </c>
      <c r="W392" s="87" t="str">
        <f t="shared" si="161"/>
        <v/>
      </c>
      <c r="X392" s="88" t="str">
        <f t="shared" si="162"/>
        <v/>
      </c>
      <c r="Y392" s="24" t="str">
        <f t="shared" si="163"/>
        <v/>
      </c>
      <c r="Z392" s="267" t="str">
        <f>IF(AND(H392&lt;&gt;"yes",F392&lt;&gt;""),IFERROR(VLOOKUP(F392,DUTY_2025!A:F,5,FALSE),""),"")</f>
        <v/>
      </c>
      <c r="AA392" s="271" t="str">
        <f t="shared" si="164"/>
        <v/>
      </c>
      <c r="AB392" s="16" t="str">
        <f t="shared" si="165"/>
        <v/>
      </c>
      <c r="AC392" s="16" t="str">
        <f>IF(AA392&lt;&gt;"",ROUND(AA392*SI!$C$9,0),"")</f>
        <v/>
      </c>
      <c r="AD392" s="4" t="str">
        <f>IF(AC392&lt;&gt;"",ROUND(AC392/(SI!$C$9*SI!$C$10),2),"")</f>
        <v/>
      </c>
      <c r="AE392" s="30" t="str">
        <f>IF(AND(X392&lt;&gt;""), ROUND((SI!$E$23)*(X392/SUM($X$5:$X$493)),0),"")</f>
        <v/>
      </c>
      <c r="AF392" s="272" t="str">
        <f t="shared" si="166"/>
        <v/>
      </c>
      <c r="AG392" s="28" t="str">
        <f t="shared" si="167"/>
        <v/>
      </c>
      <c r="AH392" s="4" t="str">
        <f>IF(AD392&lt;&gt;"",ROUND(AD392*10*SI!$C$9/2,0),"")</f>
        <v/>
      </c>
      <c r="AI392" s="29" t="str">
        <f>IF(AND(X392&lt;&gt;""), ROUND((SI!$E$28)*(X392/SUM($X$5:$X$493)),0),"")</f>
        <v/>
      </c>
      <c r="AJ392" s="4" t="str">
        <f t="shared" si="168"/>
        <v/>
      </c>
      <c r="AK392" s="4" t="str">
        <f t="shared" si="169"/>
        <v/>
      </c>
      <c r="AL392" s="4" t="str">
        <f t="shared" si="170"/>
        <v/>
      </c>
      <c r="AM392" s="4" t="str">
        <f t="shared" si="171"/>
        <v/>
      </c>
      <c r="AN392" s="195" t="str">
        <f t="shared" si="172"/>
        <v/>
      </c>
      <c r="AO392" s="261" t="str">
        <f>IF(AND(AM392&lt;&gt;"",P392&lt;&gt;""),ROUND((AM392*((100+SI!$C$11)/100)),0),"")</f>
        <v/>
      </c>
      <c r="AP392" s="28" t="str">
        <f>IF(AG392&lt;&gt;"",ROUND(AG392/SI!$C$9,2),"")</f>
        <v/>
      </c>
      <c r="AQ392" s="4" t="str">
        <f>IF(AH392&lt;&gt;"",ROUND(AH392/SI!$C$9,2),"")</f>
        <v/>
      </c>
      <c r="AR392" s="29" t="str">
        <f>IF(AI392&lt;&gt;"",ROUND(AI392/SI!$C$9,2),"")</f>
        <v/>
      </c>
      <c r="AS392" s="4" t="str">
        <f t="shared" si="173"/>
        <v/>
      </c>
      <c r="AT392" s="4" t="str">
        <f t="shared" si="174"/>
        <v/>
      </c>
      <c r="AU392" s="4" t="str">
        <f>IF(AL392&lt;&gt;"",ROUND(AL392/SI!$C$9,2),"")</f>
        <v/>
      </c>
      <c r="AV392" s="4" t="str">
        <f>IF(AM392&lt;&gt;"",ROUND(AM392/SI!$C$9,2),"")</f>
        <v/>
      </c>
      <c r="AW392" s="4" t="str">
        <f>IF(AN392&lt;&gt;"",ROUND(AN392/SI!$C$9,2),"")</f>
        <v/>
      </c>
      <c r="AX392" s="261" t="str">
        <f>IF(AO392&lt;&gt;"",ROUND(AO392/SI!$C$9,2),"")</f>
        <v/>
      </c>
      <c r="AY392" s="28" t="str">
        <f t="shared" si="175"/>
        <v/>
      </c>
      <c r="AZ392" s="4" t="str">
        <f>IF(AY392&lt;&gt;"",ROUND(AY392/(SI!$C$9*SI!$C$10),2),"")</f>
        <v/>
      </c>
      <c r="BA392" s="4" t="str">
        <f t="shared" si="176"/>
        <v/>
      </c>
      <c r="BB392" s="4" t="str">
        <f t="shared" si="177"/>
        <v/>
      </c>
      <c r="BC392" s="4" t="str">
        <f t="shared" si="178"/>
        <v/>
      </c>
      <c r="BD392" s="4" t="str">
        <f t="shared" si="179"/>
        <v/>
      </c>
      <c r="BE392" s="4" t="str">
        <f>IF(AND(X392&lt;&gt;""),ROUND(X392/SI!$C$10,2),"")</f>
        <v/>
      </c>
      <c r="BF392" s="4" t="str">
        <f t="shared" si="181"/>
        <v/>
      </c>
      <c r="BG392" s="264" t="str">
        <f t="shared" si="180"/>
        <v/>
      </c>
      <c r="BH392" s="71" t="str">
        <f>IF(F392&lt;&gt;"",VLOOKUP(F392,DUTY_2025!A:O,15,FALSE),"")</f>
        <v/>
      </c>
    </row>
    <row r="393" spans="1:60" x14ac:dyDescent="0.25">
      <c r="A393" s="133">
        <f t="shared" si="156"/>
        <v>66</v>
      </c>
      <c r="B393" s="83" t="str">
        <f t="shared" si="157"/>
        <v/>
      </c>
      <c r="C393" s="126"/>
      <c r="D393" s="130"/>
      <c r="E393" s="22"/>
      <c r="F393" s="85"/>
      <c r="G393" s="27" t="str">
        <f>IF(F393&lt;&gt;"",IFERROR(VLOOKUP(F393,DUTY_2025!A:I,6,FALSE),""),"")</f>
        <v/>
      </c>
      <c r="H393" s="85" t="s">
        <v>133</v>
      </c>
      <c r="I393" s="27" t="str">
        <f>IF(F393&lt;&gt;"",IFERROR(VLOOKUP(F393,DUTY_2025!A:H,2,FALSE),""),"")</f>
        <v/>
      </c>
      <c r="J393" s="98"/>
      <c r="K393" s="98"/>
      <c r="L393" s="22"/>
      <c r="M393" s="22"/>
      <c r="N393" s="84"/>
      <c r="O393" s="22"/>
      <c r="P393" s="116"/>
      <c r="Q393" s="23"/>
      <c r="R393" s="27"/>
      <c r="S393" s="86" t="str">
        <f t="shared" si="158"/>
        <v/>
      </c>
      <c r="T393" s="87" t="str">
        <f t="shared" si="159"/>
        <v/>
      </c>
      <c r="U393" s="87" t="str" cm="1">
        <f t="array" ref="U393">IF(AND(H393&lt;&gt;"YES",P393&lt;&gt;"",R393&lt;&gt;"",Q393&lt;&gt;""),
_xlfn.SWITCH(Q393,
"INR",_xlfn.SWITCH(R393,"KG",P393*S393,"CTN",P393,"UNIT",P393*N393,"NET",P393/M393,0),
"USD",_xlfn.SWITCH(R393,"KG",P393*S393*SI!$C$10,"CTN",P393*SI!$C$10,"UNIT",P393*N393*SI!$C$10,"NET",P393*SI!$C$10/M393,0),
"LKR",_xlfn.SWITCH(R393,"KG",P393*S393/SI!$C$9,"CTN",P393/SI!$C$9,"UNIT",P393*N393/SI!$C$9,"NET",P393/(M393*SI!$C$9),0),
0),
"")</f>
        <v/>
      </c>
      <c r="V393" s="87" t="str">
        <f t="shared" si="160"/>
        <v/>
      </c>
      <c r="W393" s="87" t="str">
        <f t="shared" si="161"/>
        <v/>
      </c>
      <c r="X393" s="88" t="str">
        <f t="shared" si="162"/>
        <v/>
      </c>
      <c r="Y393" s="24" t="str">
        <f t="shared" si="163"/>
        <v/>
      </c>
      <c r="Z393" s="267" t="str">
        <f>IF(AND(H393&lt;&gt;"yes",F393&lt;&gt;""),IFERROR(VLOOKUP(F393,DUTY_2025!A:F,5,FALSE),""),"")</f>
        <v/>
      </c>
      <c r="AA393" s="271" t="str">
        <f t="shared" si="164"/>
        <v/>
      </c>
      <c r="AB393" s="16" t="str">
        <f t="shared" si="165"/>
        <v/>
      </c>
      <c r="AC393" s="16" t="str">
        <f>IF(AA393&lt;&gt;"",ROUND(AA393*SI!$C$9,0),"")</f>
        <v/>
      </c>
      <c r="AD393" s="4" t="str">
        <f>IF(AC393&lt;&gt;"",ROUND(AC393/(SI!$C$9*SI!$C$10),2),"")</f>
        <v/>
      </c>
      <c r="AE393" s="30" t="str">
        <f>IF(AND(X393&lt;&gt;""), ROUND((SI!$E$23)*(X393/SUM($X$5:$X$493)),0),"")</f>
        <v/>
      </c>
      <c r="AF393" s="272" t="str">
        <f t="shared" si="166"/>
        <v/>
      </c>
      <c r="AG393" s="28" t="str">
        <f t="shared" si="167"/>
        <v/>
      </c>
      <c r="AH393" s="4" t="str">
        <f>IF(AD393&lt;&gt;"",ROUND(AD393*10*SI!$C$9/2,0),"")</f>
        <v/>
      </c>
      <c r="AI393" s="29" t="str">
        <f>IF(AND(X393&lt;&gt;""), ROUND((SI!$E$28)*(X393/SUM($X$5:$X$493)),0),"")</f>
        <v/>
      </c>
      <c r="AJ393" s="4" t="str">
        <f t="shared" si="168"/>
        <v/>
      </c>
      <c r="AK393" s="4" t="str">
        <f t="shared" si="169"/>
        <v/>
      </c>
      <c r="AL393" s="4" t="str">
        <f t="shared" si="170"/>
        <v/>
      </c>
      <c r="AM393" s="4" t="str">
        <f t="shared" si="171"/>
        <v/>
      </c>
      <c r="AN393" s="195" t="str">
        <f t="shared" si="172"/>
        <v/>
      </c>
      <c r="AO393" s="261" t="str">
        <f>IF(AND(AM393&lt;&gt;"",P393&lt;&gt;""),ROUND((AM393*((100+SI!$C$11)/100)),0),"")</f>
        <v/>
      </c>
      <c r="AP393" s="28" t="str">
        <f>IF(AG393&lt;&gt;"",ROUND(AG393/SI!$C$9,2),"")</f>
        <v/>
      </c>
      <c r="AQ393" s="4" t="str">
        <f>IF(AH393&lt;&gt;"",ROUND(AH393/SI!$C$9,2),"")</f>
        <v/>
      </c>
      <c r="AR393" s="29" t="str">
        <f>IF(AI393&lt;&gt;"",ROUND(AI393/SI!$C$9,2),"")</f>
        <v/>
      </c>
      <c r="AS393" s="4" t="str">
        <f t="shared" si="173"/>
        <v/>
      </c>
      <c r="AT393" s="4" t="str">
        <f t="shared" si="174"/>
        <v/>
      </c>
      <c r="AU393" s="4" t="str">
        <f>IF(AL393&lt;&gt;"",ROUND(AL393/SI!$C$9,2),"")</f>
        <v/>
      </c>
      <c r="AV393" s="4" t="str">
        <f>IF(AM393&lt;&gt;"",ROUND(AM393/SI!$C$9,2),"")</f>
        <v/>
      </c>
      <c r="AW393" s="4" t="str">
        <f>IF(AN393&lt;&gt;"",ROUND(AN393/SI!$C$9,2),"")</f>
        <v/>
      </c>
      <c r="AX393" s="261" t="str">
        <f>IF(AO393&lt;&gt;"",ROUND(AO393/SI!$C$9,2),"")</f>
        <v/>
      </c>
      <c r="AY393" s="28" t="str">
        <f t="shared" si="175"/>
        <v/>
      </c>
      <c r="AZ393" s="4" t="str">
        <f>IF(AY393&lt;&gt;"",ROUND(AY393/(SI!$C$9*SI!$C$10),2),"")</f>
        <v/>
      </c>
      <c r="BA393" s="4" t="str">
        <f t="shared" si="176"/>
        <v/>
      </c>
      <c r="BB393" s="4" t="str">
        <f t="shared" si="177"/>
        <v/>
      </c>
      <c r="BC393" s="4" t="str">
        <f t="shared" si="178"/>
        <v/>
      </c>
      <c r="BD393" s="4" t="str">
        <f t="shared" si="179"/>
        <v/>
      </c>
      <c r="BE393" s="4" t="str">
        <f>IF(AND(X393&lt;&gt;""),ROUND(X393/SI!$C$10,2),"")</f>
        <v/>
      </c>
      <c r="BF393" s="4" t="str">
        <f t="shared" si="181"/>
        <v/>
      </c>
      <c r="BG393" s="264" t="str">
        <f t="shared" si="180"/>
        <v/>
      </c>
      <c r="BH393" s="71" t="str">
        <f>IF(F393&lt;&gt;"",VLOOKUP(F393,DUTY_2025!A:O,15,FALSE),"")</f>
        <v/>
      </c>
    </row>
    <row r="394" spans="1:60" x14ac:dyDescent="0.25">
      <c r="A394" s="133">
        <f t="shared" si="156"/>
        <v>66</v>
      </c>
      <c r="B394" s="83" t="str">
        <f t="shared" si="157"/>
        <v/>
      </c>
      <c r="C394" s="126"/>
      <c r="D394" s="130"/>
      <c r="E394" s="22"/>
      <c r="F394" s="85"/>
      <c r="G394" s="27" t="str">
        <f>IF(F394&lt;&gt;"",IFERROR(VLOOKUP(F394,DUTY_2025!A:I,6,FALSE),""),"")</f>
        <v/>
      </c>
      <c r="H394" s="85" t="s">
        <v>133</v>
      </c>
      <c r="I394" s="27" t="str">
        <f>IF(F394&lt;&gt;"",IFERROR(VLOOKUP(F394,DUTY_2025!A:H,2,FALSE),""),"")</f>
        <v/>
      </c>
      <c r="J394" s="98"/>
      <c r="K394" s="98"/>
      <c r="L394" s="22"/>
      <c r="M394" s="22"/>
      <c r="N394" s="84"/>
      <c r="O394" s="22"/>
      <c r="P394" s="116"/>
      <c r="Q394" s="23"/>
      <c r="R394" s="27"/>
      <c r="S394" s="86" t="str">
        <f t="shared" si="158"/>
        <v/>
      </c>
      <c r="T394" s="87" t="str">
        <f t="shared" si="159"/>
        <v/>
      </c>
      <c r="U394" s="87" t="str" cm="1">
        <f t="array" ref="U394">IF(AND(H394&lt;&gt;"YES",P394&lt;&gt;"",R394&lt;&gt;"",Q394&lt;&gt;""),
_xlfn.SWITCH(Q394,
"INR",_xlfn.SWITCH(R394,"KG",P394*S394,"CTN",P394,"UNIT",P394*N394,"NET",P394/M394,0),
"USD",_xlfn.SWITCH(R394,"KG",P394*S394*SI!$C$10,"CTN",P394*SI!$C$10,"UNIT",P394*N394*SI!$C$10,"NET",P394*SI!$C$10/M394,0),
"LKR",_xlfn.SWITCH(R394,"KG",P394*S394/SI!$C$9,"CTN",P394/SI!$C$9,"UNIT",P394*N394/SI!$C$9,"NET",P394/(M394*SI!$C$9),0),
0),
"")</f>
        <v/>
      </c>
      <c r="V394" s="87" t="str">
        <f t="shared" si="160"/>
        <v/>
      </c>
      <c r="W394" s="87" t="str">
        <f t="shared" si="161"/>
        <v/>
      </c>
      <c r="X394" s="88" t="str">
        <f t="shared" si="162"/>
        <v/>
      </c>
      <c r="Y394" s="24" t="str">
        <f t="shared" si="163"/>
        <v/>
      </c>
      <c r="Z394" s="267" t="str">
        <f>IF(AND(H394&lt;&gt;"yes",F394&lt;&gt;""),IFERROR(VLOOKUP(F394,DUTY_2025!A:F,5,FALSE),""),"")</f>
        <v/>
      </c>
      <c r="AA394" s="271" t="str">
        <f t="shared" si="164"/>
        <v/>
      </c>
      <c r="AB394" s="16" t="str">
        <f t="shared" si="165"/>
        <v/>
      </c>
      <c r="AC394" s="16" t="str">
        <f>IF(AA394&lt;&gt;"",ROUND(AA394*SI!$C$9,0),"")</f>
        <v/>
      </c>
      <c r="AD394" s="4" t="str">
        <f>IF(AC394&lt;&gt;"",ROUND(AC394/(SI!$C$9*SI!$C$10),2),"")</f>
        <v/>
      </c>
      <c r="AE394" s="30" t="str">
        <f>IF(AND(X394&lt;&gt;""), ROUND((SI!$E$23)*(X394/SUM($X$5:$X$493)),0),"")</f>
        <v/>
      </c>
      <c r="AF394" s="272" t="str">
        <f t="shared" si="166"/>
        <v/>
      </c>
      <c r="AG394" s="28" t="str">
        <f t="shared" si="167"/>
        <v/>
      </c>
      <c r="AH394" s="4" t="str">
        <f>IF(AD394&lt;&gt;"",ROUND(AD394*10*SI!$C$9/2,0),"")</f>
        <v/>
      </c>
      <c r="AI394" s="29" t="str">
        <f>IF(AND(X394&lt;&gt;""), ROUND((SI!$E$28)*(X394/SUM($X$5:$X$493)),0),"")</f>
        <v/>
      </c>
      <c r="AJ394" s="4" t="str">
        <f t="shared" si="168"/>
        <v/>
      </c>
      <c r="AK394" s="4" t="str">
        <f t="shared" si="169"/>
        <v/>
      </c>
      <c r="AL394" s="4" t="str">
        <f t="shared" si="170"/>
        <v/>
      </c>
      <c r="AM394" s="4" t="str">
        <f t="shared" si="171"/>
        <v/>
      </c>
      <c r="AN394" s="195" t="str">
        <f t="shared" si="172"/>
        <v/>
      </c>
      <c r="AO394" s="261" t="str">
        <f>IF(AND(AM394&lt;&gt;"",P394&lt;&gt;""),ROUND((AM394*((100+SI!$C$11)/100)),0),"")</f>
        <v/>
      </c>
      <c r="AP394" s="28" t="str">
        <f>IF(AG394&lt;&gt;"",ROUND(AG394/SI!$C$9,2),"")</f>
        <v/>
      </c>
      <c r="AQ394" s="4" t="str">
        <f>IF(AH394&lt;&gt;"",ROUND(AH394/SI!$C$9,2),"")</f>
        <v/>
      </c>
      <c r="AR394" s="29" t="str">
        <f>IF(AI394&lt;&gt;"",ROUND(AI394/SI!$C$9,2),"")</f>
        <v/>
      </c>
      <c r="AS394" s="4" t="str">
        <f t="shared" si="173"/>
        <v/>
      </c>
      <c r="AT394" s="4" t="str">
        <f t="shared" si="174"/>
        <v/>
      </c>
      <c r="AU394" s="4" t="str">
        <f>IF(AL394&lt;&gt;"",ROUND(AL394/SI!$C$9,2),"")</f>
        <v/>
      </c>
      <c r="AV394" s="4" t="str">
        <f>IF(AM394&lt;&gt;"",ROUND(AM394/SI!$C$9,2),"")</f>
        <v/>
      </c>
      <c r="AW394" s="4" t="str">
        <f>IF(AN394&lt;&gt;"",ROUND(AN394/SI!$C$9,2),"")</f>
        <v/>
      </c>
      <c r="AX394" s="261" t="str">
        <f>IF(AO394&lt;&gt;"",ROUND(AO394/SI!$C$9,2),"")</f>
        <v/>
      </c>
      <c r="AY394" s="28" t="str">
        <f t="shared" si="175"/>
        <v/>
      </c>
      <c r="AZ394" s="4" t="str">
        <f>IF(AY394&lt;&gt;"",ROUND(AY394/(SI!$C$9*SI!$C$10),2),"")</f>
        <v/>
      </c>
      <c r="BA394" s="4" t="str">
        <f t="shared" si="176"/>
        <v/>
      </c>
      <c r="BB394" s="4" t="str">
        <f t="shared" si="177"/>
        <v/>
      </c>
      <c r="BC394" s="4" t="str">
        <f t="shared" si="178"/>
        <v/>
      </c>
      <c r="BD394" s="4" t="str">
        <f t="shared" si="179"/>
        <v/>
      </c>
      <c r="BE394" s="4" t="str">
        <f>IF(AND(X394&lt;&gt;""),ROUND(X394/SI!$C$10,2),"")</f>
        <v/>
      </c>
      <c r="BF394" s="4" t="str">
        <f t="shared" si="181"/>
        <v/>
      </c>
      <c r="BG394" s="264" t="str">
        <f t="shared" si="180"/>
        <v/>
      </c>
      <c r="BH394" s="71" t="str">
        <f>IF(F394&lt;&gt;"",VLOOKUP(F394,DUTY_2025!A:O,15,FALSE),"")</f>
        <v/>
      </c>
    </row>
    <row r="395" spans="1:60" x14ac:dyDescent="0.25">
      <c r="A395" s="133">
        <f t="shared" si="156"/>
        <v>66</v>
      </c>
      <c r="B395" s="83" t="str">
        <f t="shared" si="157"/>
        <v/>
      </c>
      <c r="C395" s="126"/>
      <c r="D395" s="130"/>
      <c r="E395" s="22"/>
      <c r="F395" s="85"/>
      <c r="G395" s="27" t="str">
        <f>IF(F395&lt;&gt;"",IFERROR(VLOOKUP(F395,DUTY_2025!A:I,6,FALSE),""),"")</f>
        <v/>
      </c>
      <c r="H395" s="85" t="s">
        <v>133</v>
      </c>
      <c r="I395" s="27" t="str">
        <f>IF(F395&lt;&gt;"",IFERROR(VLOOKUP(F395,DUTY_2025!A:H,2,FALSE),""),"")</f>
        <v/>
      </c>
      <c r="J395" s="98"/>
      <c r="K395" s="98"/>
      <c r="L395" s="22"/>
      <c r="M395" s="22"/>
      <c r="N395" s="84"/>
      <c r="O395" s="22"/>
      <c r="P395" s="116"/>
      <c r="Q395" s="23"/>
      <c r="R395" s="27"/>
      <c r="S395" s="86" t="str">
        <f t="shared" si="158"/>
        <v/>
      </c>
      <c r="T395" s="87" t="str">
        <f t="shared" si="159"/>
        <v/>
      </c>
      <c r="U395" s="87" t="str" cm="1">
        <f t="array" ref="U395">IF(AND(H395&lt;&gt;"YES",P395&lt;&gt;"",R395&lt;&gt;"",Q395&lt;&gt;""),
_xlfn.SWITCH(Q395,
"INR",_xlfn.SWITCH(R395,"KG",P395*S395,"CTN",P395,"UNIT",P395*N395,"NET",P395/M395,0),
"USD",_xlfn.SWITCH(R395,"KG",P395*S395*SI!$C$10,"CTN",P395*SI!$C$10,"UNIT",P395*N395*SI!$C$10,"NET",P395*SI!$C$10/M395,0),
"LKR",_xlfn.SWITCH(R395,"KG",P395*S395/SI!$C$9,"CTN",P395/SI!$C$9,"UNIT",P395*N395/SI!$C$9,"NET",P395/(M395*SI!$C$9),0),
0),
"")</f>
        <v/>
      </c>
      <c r="V395" s="87" t="str">
        <f t="shared" si="160"/>
        <v/>
      </c>
      <c r="W395" s="87" t="str">
        <f t="shared" si="161"/>
        <v/>
      </c>
      <c r="X395" s="88" t="str">
        <f t="shared" si="162"/>
        <v/>
      </c>
      <c r="Y395" s="24" t="str">
        <f t="shared" si="163"/>
        <v/>
      </c>
      <c r="Z395" s="267" t="str">
        <f>IF(AND(H395&lt;&gt;"yes",F395&lt;&gt;""),IFERROR(VLOOKUP(F395,DUTY_2025!A:F,5,FALSE),""),"")</f>
        <v/>
      </c>
      <c r="AA395" s="271" t="str">
        <f t="shared" si="164"/>
        <v/>
      </c>
      <c r="AB395" s="16" t="str">
        <f t="shared" si="165"/>
        <v/>
      </c>
      <c r="AC395" s="16" t="str">
        <f>IF(AA395&lt;&gt;"",ROUND(AA395*SI!$C$9,0),"")</f>
        <v/>
      </c>
      <c r="AD395" s="4" t="str">
        <f>IF(AC395&lt;&gt;"",ROUND(AC395/(SI!$C$9*SI!$C$10),2),"")</f>
        <v/>
      </c>
      <c r="AE395" s="30" t="str">
        <f>IF(AND(X395&lt;&gt;""), ROUND((SI!$E$23)*(X395/SUM($X$5:$X$493)),0),"")</f>
        <v/>
      </c>
      <c r="AF395" s="272" t="str">
        <f t="shared" si="166"/>
        <v/>
      </c>
      <c r="AG395" s="28" t="str">
        <f t="shared" si="167"/>
        <v/>
      </c>
      <c r="AH395" s="4" t="str">
        <f>IF(AD395&lt;&gt;"",ROUND(AD395*10*SI!$C$9/2,0),"")</f>
        <v/>
      </c>
      <c r="AI395" s="29" t="str">
        <f>IF(AND(X395&lt;&gt;""), ROUND((SI!$E$28)*(X395/SUM($X$5:$X$493)),0),"")</f>
        <v/>
      </c>
      <c r="AJ395" s="4" t="str">
        <f t="shared" si="168"/>
        <v/>
      </c>
      <c r="AK395" s="4" t="str">
        <f t="shared" si="169"/>
        <v/>
      </c>
      <c r="AL395" s="4" t="str">
        <f t="shared" si="170"/>
        <v/>
      </c>
      <c r="AM395" s="4" t="str">
        <f t="shared" si="171"/>
        <v/>
      </c>
      <c r="AN395" s="195" t="str">
        <f t="shared" si="172"/>
        <v/>
      </c>
      <c r="AO395" s="261" t="str">
        <f>IF(AND(AM395&lt;&gt;"",P395&lt;&gt;""),ROUND((AM395*((100+SI!$C$11)/100)),0),"")</f>
        <v/>
      </c>
      <c r="AP395" s="28" t="str">
        <f>IF(AG395&lt;&gt;"",ROUND(AG395/SI!$C$9,2),"")</f>
        <v/>
      </c>
      <c r="AQ395" s="4" t="str">
        <f>IF(AH395&lt;&gt;"",ROUND(AH395/SI!$C$9,2),"")</f>
        <v/>
      </c>
      <c r="AR395" s="29" t="str">
        <f>IF(AI395&lt;&gt;"",ROUND(AI395/SI!$C$9,2),"")</f>
        <v/>
      </c>
      <c r="AS395" s="4" t="str">
        <f t="shared" si="173"/>
        <v/>
      </c>
      <c r="AT395" s="4" t="str">
        <f t="shared" si="174"/>
        <v/>
      </c>
      <c r="AU395" s="4" t="str">
        <f>IF(AL395&lt;&gt;"",ROUND(AL395/SI!$C$9,2),"")</f>
        <v/>
      </c>
      <c r="AV395" s="4" t="str">
        <f>IF(AM395&lt;&gt;"",ROUND(AM395/SI!$C$9,2),"")</f>
        <v/>
      </c>
      <c r="AW395" s="4" t="str">
        <f>IF(AN395&lt;&gt;"",ROUND(AN395/SI!$C$9,2),"")</f>
        <v/>
      </c>
      <c r="AX395" s="261" t="str">
        <f>IF(AO395&lt;&gt;"",ROUND(AO395/SI!$C$9,2),"")</f>
        <v/>
      </c>
      <c r="AY395" s="28" t="str">
        <f t="shared" si="175"/>
        <v/>
      </c>
      <c r="AZ395" s="4" t="str">
        <f>IF(AY395&lt;&gt;"",ROUND(AY395/(SI!$C$9*SI!$C$10),2),"")</f>
        <v/>
      </c>
      <c r="BA395" s="4" t="str">
        <f t="shared" si="176"/>
        <v/>
      </c>
      <c r="BB395" s="4" t="str">
        <f t="shared" si="177"/>
        <v/>
      </c>
      <c r="BC395" s="4" t="str">
        <f t="shared" si="178"/>
        <v/>
      </c>
      <c r="BD395" s="4" t="str">
        <f t="shared" si="179"/>
        <v/>
      </c>
      <c r="BE395" s="4" t="str">
        <f>IF(AND(X395&lt;&gt;""),ROUND(X395/SI!$C$10,2),"")</f>
        <v/>
      </c>
      <c r="BF395" s="4" t="str">
        <f t="shared" si="181"/>
        <v/>
      </c>
      <c r="BG395" s="264" t="str">
        <f t="shared" si="180"/>
        <v/>
      </c>
      <c r="BH395" s="71" t="str">
        <f>IF(F395&lt;&gt;"",VLOOKUP(F395,DUTY_2025!A:O,15,FALSE),"")</f>
        <v/>
      </c>
    </row>
    <row r="396" spans="1:60" x14ac:dyDescent="0.25">
      <c r="A396" s="133">
        <f t="shared" si="156"/>
        <v>66</v>
      </c>
      <c r="B396" s="83" t="str">
        <f t="shared" si="157"/>
        <v/>
      </c>
      <c r="C396" s="126"/>
      <c r="D396" s="130"/>
      <c r="E396" s="22"/>
      <c r="F396" s="85"/>
      <c r="G396" s="27" t="str">
        <f>IF(F396&lt;&gt;"",IFERROR(VLOOKUP(F396,DUTY_2025!A:I,6,FALSE),""),"")</f>
        <v/>
      </c>
      <c r="H396" s="85" t="s">
        <v>133</v>
      </c>
      <c r="I396" s="27" t="str">
        <f>IF(F396&lt;&gt;"",IFERROR(VLOOKUP(F396,DUTY_2025!A:H,2,FALSE),""),"")</f>
        <v/>
      </c>
      <c r="J396" s="98"/>
      <c r="K396" s="98"/>
      <c r="L396" s="22"/>
      <c r="M396" s="22"/>
      <c r="N396" s="84"/>
      <c r="O396" s="22"/>
      <c r="P396" s="116"/>
      <c r="Q396" s="23"/>
      <c r="R396" s="27"/>
      <c r="S396" s="86" t="str">
        <f t="shared" si="158"/>
        <v/>
      </c>
      <c r="T396" s="87" t="str">
        <f t="shared" si="159"/>
        <v/>
      </c>
      <c r="U396" s="87" t="str" cm="1">
        <f t="array" ref="U396">IF(AND(H396&lt;&gt;"YES",P396&lt;&gt;"",R396&lt;&gt;"",Q396&lt;&gt;""),
_xlfn.SWITCH(Q396,
"INR",_xlfn.SWITCH(R396,"KG",P396*S396,"CTN",P396,"UNIT",P396*N396,"NET",P396/M396,0),
"USD",_xlfn.SWITCH(R396,"KG",P396*S396*SI!$C$10,"CTN",P396*SI!$C$10,"UNIT",P396*N396*SI!$C$10,"NET",P396*SI!$C$10/M396,0),
"LKR",_xlfn.SWITCH(R396,"KG",P396*S396/SI!$C$9,"CTN",P396/SI!$C$9,"UNIT",P396*N396/SI!$C$9,"NET",P396/(M396*SI!$C$9),0),
0),
"")</f>
        <v/>
      </c>
      <c r="V396" s="87" t="str">
        <f t="shared" si="160"/>
        <v/>
      </c>
      <c r="W396" s="87" t="str">
        <f t="shared" si="161"/>
        <v/>
      </c>
      <c r="X396" s="88" t="str">
        <f t="shared" si="162"/>
        <v/>
      </c>
      <c r="Y396" s="24" t="str">
        <f t="shared" si="163"/>
        <v/>
      </c>
      <c r="Z396" s="267" t="str">
        <f>IF(AND(H396&lt;&gt;"yes",F396&lt;&gt;""),IFERROR(VLOOKUP(F396,DUTY_2025!A:F,5,FALSE),""),"")</f>
        <v/>
      </c>
      <c r="AA396" s="271" t="str">
        <f t="shared" si="164"/>
        <v/>
      </c>
      <c r="AB396" s="16" t="str">
        <f t="shared" si="165"/>
        <v/>
      </c>
      <c r="AC396" s="16" t="str">
        <f>IF(AA396&lt;&gt;"",ROUND(AA396*SI!$C$9,0),"")</f>
        <v/>
      </c>
      <c r="AD396" s="4" t="str">
        <f>IF(AC396&lt;&gt;"",ROUND(AC396/(SI!$C$9*SI!$C$10),2),"")</f>
        <v/>
      </c>
      <c r="AE396" s="30" t="str">
        <f>IF(AND(X396&lt;&gt;""), ROUND((SI!$E$23)*(X396/SUM($X$5:$X$493)),0),"")</f>
        <v/>
      </c>
      <c r="AF396" s="272" t="str">
        <f t="shared" si="166"/>
        <v/>
      </c>
      <c r="AG396" s="28" t="str">
        <f t="shared" si="167"/>
        <v/>
      </c>
      <c r="AH396" s="4" t="str">
        <f>IF(AD396&lt;&gt;"",ROUND(AD396*10*SI!$C$9/2,0),"")</f>
        <v/>
      </c>
      <c r="AI396" s="29" t="str">
        <f>IF(AND(X396&lt;&gt;""), ROUND((SI!$E$28)*(X396/SUM($X$5:$X$493)),0),"")</f>
        <v/>
      </c>
      <c r="AJ396" s="4" t="str">
        <f t="shared" si="168"/>
        <v/>
      </c>
      <c r="AK396" s="4" t="str">
        <f t="shared" si="169"/>
        <v/>
      </c>
      <c r="AL396" s="4" t="str">
        <f t="shared" si="170"/>
        <v/>
      </c>
      <c r="AM396" s="4" t="str">
        <f t="shared" si="171"/>
        <v/>
      </c>
      <c r="AN396" s="195" t="str">
        <f t="shared" si="172"/>
        <v/>
      </c>
      <c r="AO396" s="261" t="str">
        <f>IF(AND(AM396&lt;&gt;"",P396&lt;&gt;""),ROUND((AM396*((100+SI!$C$11)/100)),0),"")</f>
        <v/>
      </c>
      <c r="AP396" s="28" t="str">
        <f>IF(AG396&lt;&gt;"",ROUND(AG396/SI!$C$9,2),"")</f>
        <v/>
      </c>
      <c r="AQ396" s="4" t="str">
        <f>IF(AH396&lt;&gt;"",ROUND(AH396/SI!$C$9,2),"")</f>
        <v/>
      </c>
      <c r="AR396" s="29" t="str">
        <f>IF(AI396&lt;&gt;"",ROUND(AI396/SI!$C$9,2),"")</f>
        <v/>
      </c>
      <c r="AS396" s="4" t="str">
        <f t="shared" si="173"/>
        <v/>
      </c>
      <c r="AT396" s="4" t="str">
        <f t="shared" si="174"/>
        <v/>
      </c>
      <c r="AU396" s="4" t="str">
        <f>IF(AL396&lt;&gt;"",ROUND(AL396/SI!$C$9,2),"")</f>
        <v/>
      </c>
      <c r="AV396" s="4" t="str">
        <f>IF(AM396&lt;&gt;"",ROUND(AM396/SI!$C$9,2),"")</f>
        <v/>
      </c>
      <c r="AW396" s="4" t="str">
        <f>IF(AN396&lt;&gt;"",ROUND(AN396/SI!$C$9,2),"")</f>
        <v/>
      </c>
      <c r="AX396" s="261" t="str">
        <f>IF(AO396&lt;&gt;"",ROUND(AO396/SI!$C$9,2),"")</f>
        <v/>
      </c>
      <c r="AY396" s="28" t="str">
        <f t="shared" si="175"/>
        <v/>
      </c>
      <c r="AZ396" s="4" t="str">
        <f>IF(AY396&lt;&gt;"",ROUND(AY396/(SI!$C$9*SI!$C$10),2),"")</f>
        <v/>
      </c>
      <c r="BA396" s="4" t="str">
        <f t="shared" si="176"/>
        <v/>
      </c>
      <c r="BB396" s="4" t="str">
        <f t="shared" si="177"/>
        <v/>
      </c>
      <c r="BC396" s="4" t="str">
        <f t="shared" si="178"/>
        <v/>
      </c>
      <c r="BD396" s="4" t="str">
        <f t="shared" si="179"/>
        <v/>
      </c>
      <c r="BE396" s="4" t="str">
        <f>IF(AND(X396&lt;&gt;""),ROUND(X396/SI!$C$10,2),"")</f>
        <v/>
      </c>
      <c r="BF396" s="4" t="str">
        <f t="shared" si="181"/>
        <v/>
      </c>
      <c r="BG396" s="264" t="str">
        <f t="shared" si="180"/>
        <v/>
      </c>
      <c r="BH396" s="71" t="str">
        <f>IF(F396&lt;&gt;"",VLOOKUP(F396,DUTY_2025!A:O,15,FALSE),"")</f>
        <v/>
      </c>
    </row>
    <row r="397" spans="1:60" x14ac:dyDescent="0.25">
      <c r="A397" s="133">
        <f t="shared" si="156"/>
        <v>66</v>
      </c>
      <c r="B397" s="83" t="str">
        <f t="shared" si="157"/>
        <v/>
      </c>
      <c r="C397" s="126"/>
      <c r="D397" s="130"/>
      <c r="E397" s="22"/>
      <c r="F397" s="85"/>
      <c r="G397" s="27" t="str">
        <f>IF(F397&lt;&gt;"",IFERROR(VLOOKUP(F397,DUTY_2025!A:I,6,FALSE),""),"")</f>
        <v/>
      </c>
      <c r="H397" s="85" t="s">
        <v>133</v>
      </c>
      <c r="I397" s="27" t="str">
        <f>IF(F397&lt;&gt;"",IFERROR(VLOOKUP(F397,DUTY_2025!A:H,2,FALSE),""),"")</f>
        <v/>
      </c>
      <c r="J397" s="98"/>
      <c r="K397" s="98"/>
      <c r="L397" s="22"/>
      <c r="M397" s="22"/>
      <c r="N397" s="84"/>
      <c r="O397" s="22"/>
      <c r="P397" s="116"/>
      <c r="Q397" s="23"/>
      <c r="R397" s="27"/>
      <c r="S397" s="86" t="str">
        <f t="shared" si="158"/>
        <v/>
      </c>
      <c r="T397" s="87" t="str">
        <f t="shared" si="159"/>
        <v/>
      </c>
      <c r="U397" s="87" t="str" cm="1">
        <f t="array" ref="U397">IF(AND(H397&lt;&gt;"YES",P397&lt;&gt;"",R397&lt;&gt;"",Q397&lt;&gt;""),
_xlfn.SWITCH(Q397,
"INR",_xlfn.SWITCH(R397,"KG",P397*S397,"CTN",P397,"UNIT",P397*N397,"NET",P397/M397,0),
"USD",_xlfn.SWITCH(R397,"KG",P397*S397*SI!$C$10,"CTN",P397*SI!$C$10,"UNIT",P397*N397*SI!$C$10,"NET",P397*SI!$C$10/M397,0),
"LKR",_xlfn.SWITCH(R397,"KG",P397*S397/SI!$C$9,"CTN",P397/SI!$C$9,"UNIT",P397*N397/SI!$C$9,"NET",P397/(M397*SI!$C$9),0),
0),
"")</f>
        <v/>
      </c>
      <c r="V397" s="87" t="str">
        <f t="shared" si="160"/>
        <v/>
      </c>
      <c r="W397" s="87" t="str">
        <f t="shared" si="161"/>
        <v/>
      </c>
      <c r="X397" s="88" t="str">
        <f t="shared" si="162"/>
        <v/>
      </c>
      <c r="Y397" s="24" t="str">
        <f t="shared" si="163"/>
        <v/>
      </c>
      <c r="Z397" s="267" t="str">
        <f>IF(AND(H397&lt;&gt;"yes",F397&lt;&gt;""),IFERROR(VLOOKUP(F397,DUTY_2025!A:F,5,FALSE),""),"")</f>
        <v/>
      </c>
      <c r="AA397" s="271" t="str">
        <f t="shared" si="164"/>
        <v/>
      </c>
      <c r="AB397" s="16" t="str">
        <f t="shared" si="165"/>
        <v/>
      </c>
      <c r="AC397" s="16" t="str">
        <f>IF(AA397&lt;&gt;"",ROUND(AA397*SI!$C$9,0),"")</f>
        <v/>
      </c>
      <c r="AD397" s="4" t="str">
        <f>IF(AC397&lt;&gt;"",ROUND(AC397/(SI!$C$9*SI!$C$10),2),"")</f>
        <v/>
      </c>
      <c r="AE397" s="30" t="str">
        <f>IF(AND(X397&lt;&gt;""), ROUND((SI!$E$23)*(X397/SUM($X$5:$X$493)),0),"")</f>
        <v/>
      </c>
      <c r="AF397" s="272" t="str">
        <f t="shared" si="166"/>
        <v/>
      </c>
      <c r="AG397" s="28" t="str">
        <f t="shared" si="167"/>
        <v/>
      </c>
      <c r="AH397" s="4" t="str">
        <f>IF(AD397&lt;&gt;"",ROUND(AD397*10*SI!$C$9/2,0),"")</f>
        <v/>
      </c>
      <c r="AI397" s="29" t="str">
        <f>IF(AND(X397&lt;&gt;""), ROUND((SI!$E$28)*(X397/SUM($X$5:$X$493)),0),"")</f>
        <v/>
      </c>
      <c r="AJ397" s="4" t="str">
        <f t="shared" si="168"/>
        <v/>
      </c>
      <c r="AK397" s="4" t="str">
        <f t="shared" si="169"/>
        <v/>
      </c>
      <c r="AL397" s="4" t="str">
        <f t="shared" si="170"/>
        <v/>
      </c>
      <c r="AM397" s="4" t="str">
        <f t="shared" si="171"/>
        <v/>
      </c>
      <c r="AN397" s="195" t="str">
        <f t="shared" si="172"/>
        <v/>
      </c>
      <c r="AO397" s="261" t="str">
        <f>IF(AND(AM397&lt;&gt;"",P397&lt;&gt;""),ROUND((AM397*((100+SI!$C$11)/100)),0),"")</f>
        <v/>
      </c>
      <c r="AP397" s="28" t="str">
        <f>IF(AG397&lt;&gt;"",ROUND(AG397/SI!$C$9,2),"")</f>
        <v/>
      </c>
      <c r="AQ397" s="4" t="str">
        <f>IF(AH397&lt;&gt;"",ROUND(AH397/SI!$C$9,2),"")</f>
        <v/>
      </c>
      <c r="AR397" s="29" t="str">
        <f>IF(AI397&lt;&gt;"",ROUND(AI397/SI!$C$9,2),"")</f>
        <v/>
      </c>
      <c r="AS397" s="4" t="str">
        <f t="shared" si="173"/>
        <v/>
      </c>
      <c r="AT397" s="4" t="str">
        <f t="shared" si="174"/>
        <v/>
      </c>
      <c r="AU397" s="4" t="str">
        <f>IF(AL397&lt;&gt;"",ROUND(AL397/SI!$C$9,2),"")</f>
        <v/>
      </c>
      <c r="AV397" s="4" t="str">
        <f>IF(AM397&lt;&gt;"",ROUND(AM397/SI!$C$9,2),"")</f>
        <v/>
      </c>
      <c r="AW397" s="4" t="str">
        <f>IF(AN397&lt;&gt;"",ROUND(AN397/SI!$C$9,2),"")</f>
        <v/>
      </c>
      <c r="AX397" s="261" t="str">
        <f>IF(AO397&lt;&gt;"",ROUND(AO397/SI!$C$9,2),"")</f>
        <v/>
      </c>
      <c r="AY397" s="28" t="str">
        <f t="shared" si="175"/>
        <v/>
      </c>
      <c r="AZ397" s="4" t="str">
        <f>IF(AY397&lt;&gt;"",ROUND(AY397/(SI!$C$9*SI!$C$10),2),"")</f>
        <v/>
      </c>
      <c r="BA397" s="4" t="str">
        <f t="shared" si="176"/>
        <v/>
      </c>
      <c r="BB397" s="4" t="str">
        <f t="shared" si="177"/>
        <v/>
      </c>
      <c r="BC397" s="4" t="str">
        <f t="shared" si="178"/>
        <v/>
      </c>
      <c r="BD397" s="4" t="str">
        <f t="shared" si="179"/>
        <v/>
      </c>
      <c r="BE397" s="4" t="str">
        <f>IF(AND(X397&lt;&gt;""),ROUND(X397/SI!$C$10,2),"")</f>
        <v/>
      </c>
      <c r="BF397" s="4" t="str">
        <f t="shared" si="181"/>
        <v/>
      </c>
      <c r="BG397" s="264" t="str">
        <f t="shared" si="180"/>
        <v/>
      </c>
      <c r="BH397" s="71" t="str">
        <f>IF(F397&lt;&gt;"",VLOOKUP(F397,DUTY_2025!A:O,15,FALSE),"")</f>
        <v/>
      </c>
    </row>
    <row r="398" spans="1:60" x14ac:dyDescent="0.25">
      <c r="A398" s="133">
        <f t="shared" si="156"/>
        <v>66</v>
      </c>
      <c r="B398" s="83" t="str">
        <f t="shared" si="157"/>
        <v/>
      </c>
      <c r="C398" s="126"/>
      <c r="D398" s="130"/>
      <c r="E398" s="22"/>
      <c r="F398" s="85"/>
      <c r="G398" s="27" t="str">
        <f>IF(F398&lt;&gt;"",IFERROR(VLOOKUP(F398,DUTY_2025!A:I,6,FALSE),""),"")</f>
        <v/>
      </c>
      <c r="H398" s="85" t="s">
        <v>133</v>
      </c>
      <c r="I398" s="27" t="str">
        <f>IF(F398&lt;&gt;"",IFERROR(VLOOKUP(F398,DUTY_2025!A:H,2,FALSE),""),"")</f>
        <v/>
      </c>
      <c r="J398" s="98"/>
      <c r="K398" s="98"/>
      <c r="L398" s="22"/>
      <c r="M398" s="22"/>
      <c r="N398" s="84"/>
      <c r="O398" s="22"/>
      <c r="P398" s="116"/>
      <c r="Q398" s="23"/>
      <c r="R398" s="27"/>
      <c r="S398" s="86" t="str">
        <f t="shared" si="158"/>
        <v/>
      </c>
      <c r="T398" s="87" t="str">
        <f t="shared" si="159"/>
        <v/>
      </c>
      <c r="U398" s="87" t="str" cm="1">
        <f t="array" ref="U398">IF(AND(H398&lt;&gt;"YES",P398&lt;&gt;"",R398&lt;&gt;"",Q398&lt;&gt;""),
_xlfn.SWITCH(Q398,
"INR",_xlfn.SWITCH(R398,"KG",P398*S398,"CTN",P398,"UNIT",P398*N398,"NET",P398/M398,0),
"USD",_xlfn.SWITCH(R398,"KG",P398*S398*SI!$C$10,"CTN",P398*SI!$C$10,"UNIT",P398*N398*SI!$C$10,"NET",P398*SI!$C$10/M398,0),
"LKR",_xlfn.SWITCH(R398,"KG",P398*S398/SI!$C$9,"CTN",P398/SI!$C$9,"UNIT",P398*N398/SI!$C$9,"NET",P398/(M398*SI!$C$9),0),
0),
"")</f>
        <v/>
      </c>
      <c r="V398" s="87" t="str">
        <f t="shared" si="160"/>
        <v/>
      </c>
      <c r="W398" s="87" t="str">
        <f t="shared" si="161"/>
        <v/>
      </c>
      <c r="X398" s="88" t="str">
        <f t="shared" si="162"/>
        <v/>
      </c>
      <c r="Y398" s="24" t="str">
        <f t="shared" si="163"/>
        <v/>
      </c>
      <c r="Z398" s="267" t="str">
        <f>IF(AND(H398&lt;&gt;"yes",F398&lt;&gt;""),IFERROR(VLOOKUP(F398,DUTY_2025!A:F,5,FALSE),""),"")</f>
        <v/>
      </c>
      <c r="AA398" s="271" t="str">
        <f t="shared" si="164"/>
        <v/>
      </c>
      <c r="AB398" s="16" t="str">
        <f t="shared" si="165"/>
        <v/>
      </c>
      <c r="AC398" s="16" t="str">
        <f>IF(AA398&lt;&gt;"",ROUND(AA398*SI!$C$9,0),"")</f>
        <v/>
      </c>
      <c r="AD398" s="4" t="str">
        <f>IF(AC398&lt;&gt;"",ROUND(AC398/(SI!$C$9*SI!$C$10),2),"")</f>
        <v/>
      </c>
      <c r="AE398" s="30" t="str">
        <f>IF(AND(X398&lt;&gt;""), ROUND((SI!$E$23)*(X398/SUM($X$5:$X$493)),0),"")</f>
        <v/>
      </c>
      <c r="AF398" s="272" t="str">
        <f t="shared" si="166"/>
        <v/>
      </c>
      <c r="AG398" s="28" t="str">
        <f t="shared" si="167"/>
        <v/>
      </c>
      <c r="AH398" s="4" t="str">
        <f>IF(AD398&lt;&gt;"",ROUND(AD398*10*SI!$C$9/2,0),"")</f>
        <v/>
      </c>
      <c r="AI398" s="29" t="str">
        <f>IF(AND(X398&lt;&gt;""), ROUND((SI!$E$28)*(X398/SUM($X$5:$X$493)),0),"")</f>
        <v/>
      </c>
      <c r="AJ398" s="4" t="str">
        <f t="shared" si="168"/>
        <v/>
      </c>
      <c r="AK398" s="4" t="str">
        <f t="shared" si="169"/>
        <v/>
      </c>
      <c r="AL398" s="4" t="str">
        <f t="shared" si="170"/>
        <v/>
      </c>
      <c r="AM398" s="4" t="str">
        <f t="shared" si="171"/>
        <v/>
      </c>
      <c r="AN398" s="195" t="str">
        <f t="shared" si="172"/>
        <v/>
      </c>
      <c r="AO398" s="261" t="str">
        <f>IF(AND(AM398&lt;&gt;"",P398&lt;&gt;""),ROUND((AM398*((100+SI!$C$11)/100)),0),"")</f>
        <v/>
      </c>
      <c r="AP398" s="28" t="str">
        <f>IF(AG398&lt;&gt;"",ROUND(AG398/SI!$C$9,2),"")</f>
        <v/>
      </c>
      <c r="AQ398" s="4" t="str">
        <f>IF(AH398&lt;&gt;"",ROUND(AH398/SI!$C$9,2),"")</f>
        <v/>
      </c>
      <c r="AR398" s="29" t="str">
        <f>IF(AI398&lt;&gt;"",ROUND(AI398/SI!$C$9,2),"")</f>
        <v/>
      </c>
      <c r="AS398" s="4" t="str">
        <f t="shared" si="173"/>
        <v/>
      </c>
      <c r="AT398" s="4" t="str">
        <f t="shared" si="174"/>
        <v/>
      </c>
      <c r="AU398" s="4" t="str">
        <f>IF(AL398&lt;&gt;"",ROUND(AL398/SI!$C$9,2),"")</f>
        <v/>
      </c>
      <c r="AV398" s="4" t="str">
        <f>IF(AM398&lt;&gt;"",ROUND(AM398/SI!$C$9,2),"")</f>
        <v/>
      </c>
      <c r="AW398" s="4" t="str">
        <f>IF(AN398&lt;&gt;"",ROUND(AN398/SI!$C$9,2),"")</f>
        <v/>
      </c>
      <c r="AX398" s="261" t="str">
        <f>IF(AO398&lt;&gt;"",ROUND(AO398/SI!$C$9,2),"")</f>
        <v/>
      </c>
      <c r="AY398" s="28" t="str">
        <f t="shared" si="175"/>
        <v/>
      </c>
      <c r="AZ398" s="4" t="str">
        <f>IF(AY398&lt;&gt;"",ROUND(AY398/(SI!$C$9*SI!$C$10),2),"")</f>
        <v/>
      </c>
      <c r="BA398" s="4" t="str">
        <f t="shared" si="176"/>
        <v/>
      </c>
      <c r="BB398" s="4" t="str">
        <f t="shared" si="177"/>
        <v/>
      </c>
      <c r="BC398" s="4" t="str">
        <f t="shared" si="178"/>
        <v/>
      </c>
      <c r="BD398" s="4" t="str">
        <f t="shared" si="179"/>
        <v/>
      </c>
      <c r="BE398" s="4" t="str">
        <f>IF(AND(X398&lt;&gt;""),ROUND(X398/SI!$C$10,2),"")</f>
        <v/>
      </c>
      <c r="BF398" s="4" t="str">
        <f t="shared" si="181"/>
        <v/>
      </c>
      <c r="BG398" s="264" t="str">
        <f t="shared" si="180"/>
        <v/>
      </c>
      <c r="BH398" s="71" t="str">
        <f>IF(F398&lt;&gt;"",VLOOKUP(F398,DUTY_2025!A:O,15,FALSE),"")</f>
        <v/>
      </c>
    </row>
    <row r="399" spans="1:60" x14ac:dyDescent="0.25">
      <c r="A399" s="133">
        <f t="shared" si="156"/>
        <v>66</v>
      </c>
      <c r="B399" s="83" t="str">
        <f t="shared" si="157"/>
        <v/>
      </c>
      <c r="C399" s="126"/>
      <c r="D399" s="130"/>
      <c r="E399" s="22"/>
      <c r="F399" s="85"/>
      <c r="G399" s="27" t="str">
        <f>IF(F399&lt;&gt;"",IFERROR(VLOOKUP(F399,DUTY_2025!A:I,6,FALSE),""),"")</f>
        <v/>
      </c>
      <c r="H399" s="85" t="s">
        <v>133</v>
      </c>
      <c r="I399" s="27" t="str">
        <f>IF(F399&lt;&gt;"",IFERROR(VLOOKUP(F399,DUTY_2025!A:H,2,FALSE),""),"")</f>
        <v/>
      </c>
      <c r="J399" s="98"/>
      <c r="K399" s="98"/>
      <c r="L399" s="22"/>
      <c r="M399" s="22"/>
      <c r="N399" s="84"/>
      <c r="O399" s="22"/>
      <c r="P399" s="116"/>
      <c r="Q399" s="23"/>
      <c r="R399" s="27"/>
      <c r="S399" s="86" t="str">
        <f t="shared" si="158"/>
        <v/>
      </c>
      <c r="T399" s="87" t="str">
        <f t="shared" si="159"/>
        <v/>
      </c>
      <c r="U399" s="87" t="str" cm="1">
        <f t="array" ref="U399">IF(AND(H399&lt;&gt;"YES",P399&lt;&gt;"",R399&lt;&gt;"",Q399&lt;&gt;""),
_xlfn.SWITCH(Q399,
"INR",_xlfn.SWITCH(R399,"KG",P399*S399,"CTN",P399,"UNIT",P399*N399,"NET",P399/M399,0),
"USD",_xlfn.SWITCH(R399,"KG",P399*S399*SI!$C$10,"CTN",P399*SI!$C$10,"UNIT",P399*N399*SI!$C$10,"NET",P399*SI!$C$10/M399,0),
"LKR",_xlfn.SWITCH(R399,"KG",P399*S399/SI!$C$9,"CTN",P399/SI!$C$9,"UNIT",P399*N399/SI!$C$9,"NET",P399/(M399*SI!$C$9),0),
0),
"")</f>
        <v/>
      </c>
      <c r="V399" s="87" t="str">
        <f t="shared" si="160"/>
        <v/>
      </c>
      <c r="W399" s="87" t="str">
        <f t="shared" si="161"/>
        <v/>
      </c>
      <c r="X399" s="88" t="str">
        <f t="shared" si="162"/>
        <v/>
      </c>
      <c r="Y399" s="24" t="str">
        <f t="shared" si="163"/>
        <v/>
      </c>
      <c r="Z399" s="267" t="str">
        <f>IF(AND(H399&lt;&gt;"yes",F399&lt;&gt;""),IFERROR(VLOOKUP(F399,DUTY_2025!A:F,5,FALSE),""),"")</f>
        <v/>
      </c>
      <c r="AA399" s="271" t="str">
        <f t="shared" si="164"/>
        <v/>
      </c>
      <c r="AB399" s="16" t="str">
        <f t="shared" si="165"/>
        <v/>
      </c>
      <c r="AC399" s="16" t="str">
        <f>IF(AA399&lt;&gt;"",ROUND(AA399*SI!$C$9,0),"")</f>
        <v/>
      </c>
      <c r="AD399" s="4" t="str">
        <f>IF(AC399&lt;&gt;"",ROUND(AC399/(SI!$C$9*SI!$C$10),2),"")</f>
        <v/>
      </c>
      <c r="AE399" s="30" t="str">
        <f>IF(AND(X399&lt;&gt;""), ROUND((SI!$E$23)*(X399/SUM($X$5:$X$493)),0),"")</f>
        <v/>
      </c>
      <c r="AF399" s="272" t="str">
        <f t="shared" si="166"/>
        <v/>
      </c>
      <c r="AG399" s="28" t="str">
        <f t="shared" si="167"/>
        <v/>
      </c>
      <c r="AH399" s="4" t="str">
        <f>IF(AD399&lt;&gt;"",ROUND(AD399*10*SI!$C$9/2,0),"")</f>
        <v/>
      </c>
      <c r="AI399" s="29" t="str">
        <f>IF(AND(X399&lt;&gt;""), ROUND((SI!$E$28)*(X399/SUM($X$5:$X$493)),0),"")</f>
        <v/>
      </c>
      <c r="AJ399" s="4" t="str">
        <f t="shared" si="168"/>
        <v/>
      </c>
      <c r="AK399" s="4" t="str">
        <f t="shared" si="169"/>
        <v/>
      </c>
      <c r="AL399" s="4" t="str">
        <f t="shared" si="170"/>
        <v/>
      </c>
      <c r="AM399" s="4" t="str">
        <f t="shared" si="171"/>
        <v/>
      </c>
      <c r="AN399" s="195" t="str">
        <f t="shared" si="172"/>
        <v/>
      </c>
      <c r="AO399" s="261" t="str">
        <f>IF(AND(AM399&lt;&gt;"",P399&lt;&gt;""),ROUND((AM399*((100+SI!$C$11)/100)),0),"")</f>
        <v/>
      </c>
      <c r="AP399" s="28" t="str">
        <f>IF(AG399&lt;&gt;"",ROUND(AG399/SI!$C$9,2),"")</f>
        <v/>
      </c>
      <c r="AQ399" s="4" t="str">
        <f>IF(AH399&lt;&gt;"",ROUND(AH399/SI!$C$9,2),"")</f>
        <v/>
      </c>
      <c r="AR399" s="29" t="str">
        <f>IF(AI399&lt;&gt;"",ROUND(AI399/SI!$C$9,2),"")</f>
        <v/>
      </c>
      <c r="AS399" s="4" t="str">
        <f t="shared" si="173"/>
        <v/>
      </c>
      <c r="AT399" s="4" t="str">
        <f t="shared" si="174"/>
        <v/>
      </c>
      <c r="AU399" s="4" t="str">
        <f>IF(AL399&lt;&gt;"",ROUND(AL399/SI!$C$9,2),"")</f>
        <v/>
      </c>
      <c r="AV399" s="4" t="str">
        <f>IF(AM399&lt;&gt;"",ROUND(AM399/SI!$C$9,2),"")</f>
        <v/>
      </c>
      <c r="AW399" s="4" t="str">
        <f>IF(AN399&lt;&gt;"",ROUND(AN399/SI!$C$9,2),"")</f>
        <v/>
      </c>
      <c r="AX399" s="261" t="str">
        <f>IF(AO399&lt;&gt;"",ROUND(AO399/SI!$C$9,2),"")</f>
        <v/>
      </c>
      <c r="AY399" s="28" t="str">
        <f t="shared" si="175"/>
        <v/>
      </c>
      <c r="AZ399" s="4" t="str">
        <f>IF(AY399&lt;&gt;"",ROUND(AY399/(SI!$C$9*SI!$C$10),2),"")</f>
        <v/>
      </c>
      <c r="BA399" s="4" t="str">
        <f t="shared" si="176"/>
        <v/>
      </c>
      <c r="BB399" s="4" t="str">
        <f t="shared" si="177"/>
        <v/>
      </c>
      <c r="BC399" s="4" t="str">
        <f t="shared" si="178"/>
        <v/>
      </c>
      <c r="BD399" s="4" t="str">
        <f t="shared" si="179"/>
        <v/>
      </c>
      <c r="BE399" s="4" t="str">
        <f>IF(AND(X399&lt;&gt;""),ROUND(X399/SI!$C$10,2),"")</f>
        <v/>
      </c>
      <c r="BF399" s="4" t="str">
        <f t="shared" si="181"/>
        <v/>
      </c>
      <c r="BG399" s="264" t="str">
        <f t="shared" si="180"/>
        <v/>
      </c>
      <c r="BH399" s="71" t="str">
        <f>IF(F399&lt;&gt;"",VLOOKUP(F399,DUTY_2025!A:O,15,FALSE),"")</f>
        <v/>
      </c>
    </row>
    <row r="400" spans="1:60" x14ac:dyDescent="0.25">
      <c r="A400" s="133">
        <f t="shared" si="156"/>
        <v>66</v>
      </c>
      <c r="B400" s="83" t="str">
        <f t="shared" si="157"/>
        <v/>
      </c>
      <c r="C400" s="126"/>
      <c r="D400" s="130"/>
      <c r="E400" s="22"/>
      <c r="F400" s="85"/>
      <c r="G400" s="27" t="str">
        <f>IF(F400&lt;&gt;"",IFERROR(VLOOKUP(F400,DUTY_2025!A:I,6,FALSE),""),"")</f>
        <v/>
      </c>
      <c r="H400" s="85" t="s">
        <v>133</v>
      </c>
      <c r="I400" s="27" t="str">
        <f>IF(F400&lt;&gt;"",IFERROR(VLOOKUP(F400,DUTY_2025!A:H,2,FALSE),""),"")</f>
        <v/>
      </c>
      <c r="J400" s="98"/>
      <c r="K400" s="98"/>
      <c r="L400" s="22"/>
      <c r="M400" s="22"/>
      <c r="N400" s="84"/>
      <c r="O400" s="22"/>
      <c r="P400" s="116"/>
      <c r="Q400" s="23"/>
      <c r="R400" s="27"/>
      <c r="S400" s="86" t="str">
        <f t="shared" si="158"/>
        <v/>
      </c>
      <c r="T400" s="87" t="str">
        <f t="shared" si="159"/>
        <v/>
      </c>
      <c r="U400" s="87" t="str" cm="1">
        <f t="array" ref="U400">IF(AND(H400&lt;&gt;"YES",P400&lt;&gt;"",R400&lt;&gt;"",Q400&lt;&gt;""),
_xlfn.SWITCH(Q400,
"INR",_xlfn.SWITCH(R400,"KG",P400*S400,"CTN",P400,"UNIT",P400*N400,"NET",P400/M400,0),
"USD",_xlfn.SWITCH(R400,"KG",P400*S400*SI!$C$10,"CTN",P400*SI!$C$10,"UNIT",P400*N400*SI!$C$10,"NET",P400*SI!$C$10/M400,0),
"LKR",_xlfn.SWITCH(R400,"KG",P400*S400/SI!$C$9,"CTN",P400/SI!$C$9,"UNIT",P400*N400/SI!$C$9,"NET",P400/(M400*SI!$C$9),0),
0),
"")</f>
        <v/>
      </c>
      <c r="V400" s="87" t="str">
        <f t="shared" si="160"/>
        <v/>
      </c>
      <c r="W400" s="87" t="str">
        <f t="shared" si="161"/>
        <v/>
      </c>
      <c r="X400" s="88" t="str">
        <f t="shared" si="162"/>
        <v/>
      </c>
      <c r="Y400" s="24" t="str">
        <f t="shared" si="163"/>
        <v/>
      </c>
      <c r="Z400" s="267" t="str">
        <f>IF(AND(H400&lt;&gt;"yes",F400&lt;&gt;""),IFERROR(VLOOKUP(F400,DUTY_2025!A:F,5,FALSE),""),"")</f>
        <v/>
      </c>
      <c r="AA400" s="271" t="str">
        <f t="shared" si="164"/>
        <v/>
      </c>
      <c r="AB400" s="16" t="str">
        <f t="shared" si="165"/>
        <v/>
      </c>
      <c r="AC400" s="16" t="str">
        <f>IF(AA400&lt;&gt;"",ROUND(AA400*SI!$C$9,0),"")</f>
        <v/>
      </c>
      <c r="AD400" s="4" t="str">
        <f>IF(AC400&lt;&gt;"",ROUND(AC400/(SI!$C$9*SI!$C$10),2),"")</f>
        <v/>
      </c>
      <c r="AE400" s="30" t="str">
        <f>IF(AND(X400&lt;&gt;""), ROUND((SI!$E$23)*(X400/SUM($X$5:$X$493)),0),"")</f>
        <v/>
      </c>
      <c r="AF400" s="272" t="str">
        <f t="shared" si="166"/>
        <v/>
      </c>
      <c r="AG400" s="28" t="str">
        <f t="shared" si="167"/>
        <v/>
      </c>
      <c r="AH400" s="4" t="str">
        <f>IF(AD400&lt;&gt;"",ROUND(AD400*10*SI!$C$9/2,0),"")</f>
        <v/>
      </c>
      <c r="AI400" s="29" t="str">
        <f>IF(AND(X400&lt;&gt;""), ROUND((SI!$E$28)*(X400/SUM($X$5:$X$493)),0),"")</f>
        <v/>
      </c>
      <c r="AJ400" s="4" t="str">
        <f t="shared" si="168"/>
        <v/>
      </c>
      <c r="AK400" s="4" t="str">
        <f t="shared" si="169"/>
        <v/>
      </c>
      <c r="AL400" s="4" t="str">
        <f t="shared" si="170"/>
        <v/>
      </c>
      <c r="AM400" s="4" t="str">
        <f t="shared" si="171"/>
        <v/>
      </c>
      <c r="AN400" s="195" t="str">
        <f t="shared" si="172"/>
        <v/>
      </c>
      <c r="AO400" s="261" t="str">
        <f>IF(AND(AM400&lt;&gt;"",P400&lt;&gt;""),ROUND((AM400*((100+SI!$C$11)/100)),0),"")</f>
        <v/>
      </c>
      <c r="AP400" s="28" t="str">
        <f>IF(AG400&lt;&gt;"",ROUND(AG400/SI!$C$9,2),"")</f>
        <v/>
      </c>
      <c r="AQ400" s="4" t="str">
        <f>IF(AH400&lt;&gt;"",ROUND(AH400/SI!$C$9,2),"")</f>
        <v/>
      </c>
      <c r="AR400" s="29" t="str">
        <f>IF(AI400&lt;&gt;"",ROUND(AI400/SI!$C$9,2),"")</f>
        <v/>
      </c>
      <c r="AS400" s="4" t="str">
        <f t="shared" si="173"/>
        <v/>
      </c>
      <c r="AT400" s="4" t="str">
        <f t="shared" si="174"/>
        <v/>
      </c>
      <c r="AU400" s="4" t="str">
        <f>IF(AL400&lt;&gt;"",ROUND(AL400/SI!$C$9,2),"")</f>
        <v/>
      </c>
      <c r="AV400" s="4" t="str">
        <f>IF(AM400&lt;&gt;"",ROUND(AM400/SI!$C$9,2),"")</f>
        <v/>
      </c>
      <c r="AW400" s="4" t="str">
        <f>IF(AN400&lt;&gt;"",ROUND(AN400/SI!$C$9,2),"")</f>
        <v/>
      </c>
      <c r="AX400" s="261" t="str">
        <f>IF(AO400&lt;&gt;"",ROUND(AO400/SI!$C$9,2),"")</f>
        <v/>
      </c>
      <c r="AY400" s="28" t="str">
        <f t="shared" si="175"/>
        <v/>
      </c>
      <c r="AZ400" s="4" t="str">
        <f>IF(AY400&lt;&gt;"",ROUND(AY400/(SI!$C$9*SI!$C$10),2),"")</f>
        <v/>
      </c>
      <c r="BA400" s="4" t="str">
        <f t="shared" si="176"/>
        <v/>
      </c>
      <c r="BB400" s="4" t="str">
        <f t="shared" si="177"/>
        <v/>
      </c>
      <c r="BC400" s="4" t="str">
        <f t="shared" si="178"/>
        <v/>
      </c>
      <c r="BD400" s="4" t="str">
        <f t="shared" si="179"/>
        <v/>
      </c>
      <c r="BE400" s="4" t="str">
        <f>IF(AND(X400&lt;&gt;""),ROUND(X400/SI!$C$10,2),"")</f>
        <v/>
      </c>
      <c r="BF400" s="4" t="str">
        <f t="shared" si="181"/>
        <v/>
      </c>
      <c r="BG400" s="264" t="str">
        <f t="shared" si="180"/>
        <v/>
      </c>
      <c r="BH400" s="71" t="str">
        <f>IF(F400&lt;&gt;"",VLOOKUP(F400,DUTY_2025!A:O,15,FALSE),"")</f>
        <v/>
      </c>
    </row>
    <row r="401" spans="1:60" x14ac:dyDescent="0.25">
      <c r="A401" s="133">
        <f t="shared" si="156"/>
        <v>66</v>
      </c>
      <c r="B401" s="83" t="str">
        <f t="shared" si="157"/>
        <v/>
      </c>
      <c r="C401" s="126"/>
      <c r="D401" s="130"/>
      <c r="E401" s="22"/>
      <c r="F401" s="85"/>
      <c r="G401" s="27" t="str">
        <f>IF(F401&lt;&gt;"",IFERROR(VLOOKUP(F401,DUTY_2025!A:I,6,FALSE),""),"")</f>
        <v/>
      </c>
      <c r="H401" s="85" t="s">
        <v>133</v>
      </c>
      <c r="I401" s="27" t="str">
        <f>IF(F401&lt;&gt;"",IFERROR(VLOOKUP(F401,DUTY_2025!A:H,2,FALSE),""),"")</f>
        <v/>
      </c>
      <c r="J401" s="98"/>
      <c r="K401" s="98"/>
      <c r="L401" s="22"/>
      <c r="M401" s="22"/>
      <c r="N401" s="84"/>
      <c r="O401" s="22"/>
      <c r="P401" s="116"/>
      <c r="Q401" s="23"/>
      <c r="R401" s="27"/>
      <c r="S401" s="86" t="str">
        <f t="shared" si="158"/>
        <v/>
      </c>
      <c r="T401" s="87" t="str">
        <f t="shared" si="159"/>
        <v/>
      </c>
      <c r="U401" s="87" t="str" cm="1">
        <f t="array" ref="U401">IF(AND(H401&lt;&gt;"YES",P401&lt;&gt;"",R401&lt;&gt;"",Q401&lt;&gt;""),
_xlfn.SWITCH(Q401,
"INR",_xlfn.SWITCH(R401,"KG",P401*S401,"CTN",P401,"UNIT",P401*N401,"NET",P401/M401,0),
"USD",_xlfn.SWITCH(R401,"KG",P401*S401*SI!$C$10,"CTN",P401*SI!$C$10,"UNIT",P401*N401*SI!$C$10,"NET",P401*SI!$C$10/M401,0),
"LKR",_xlfn.SWITCH(R401,"KG",P401*S401/SI!$C$9,"CTN",P401/SI!$C$9,"UNIT",P401*N401/SI!$C$9,"NET",P401/(M401*SI!$C$9),0),
0),
"")</f>
        <v/>
      </c>
      <c r="V401" s="87" t="str">
        <f t="shared" si="160"/>
        <v/>
      </c>
      <c r="W401" s="87" t="str">
        <f t="shared" si="161"/>
        <v/>
      </c>
      <c r="X401" s="88" t="str">
        <f t="shared" si="162"/>
        <v/>
      </c>
      <c r="Y401" s="24" t="str">
        <f t="shared" si="163"/>
        <v/>
      </c>
      <c r="Z401" s="267" t="str">
        <f>IF(AND(H401&lt;&gt;"yes",F401&lt;&gt;""),IFERROR(VLOOKUP(F401,DUTY_2025!A:F,5,FALSE),""),"")</f>
        <v/>
      </c>
      <c r="AA401" s="271" t="str">
        <f t="shared" si="164"/>
        <v/>
      </c>
      <c r="AB401" s="16" t="str">
        <f t="shared" si="165"/>
        <v/>
      </c>
      <c r="AC401" s="16" t="str">
        <f>IF(AA401&lt;&gt;"",ROUND(AA401*SI!$C$9,0),"")</f>
        <v/>
      </c>
      <c r="AD401" s="4" t="str">
        <f>IF(AC401&lt;&gt;"",ROUND(AC401/(SI!$C$9*SI!$C$10),2),"")</f>
        <v/>
      </c>
      <c r="AE401" s="30" t="str">
        <f>IF(AND(X401&lt;&gt;""), ROUND((SI!$E$23)*(X401/SUM($X$5:$X$493)),0),"")</f>
        <v/>
      </c>
      <c r="AF401" s="272" t="str">
        <f t="shared" si="166"/>
        <v/>
      </c>
      <c r="AG401" s="28" t="str">
        <f t="shared" si="167"/>
        <v/>
      </c>
      <c r="AH401" s="4" t="str">
        <f>IF(AD401&lt;&gt;"",ROUND(AD401*10*SI!$C$9/2,0),"")</f>
        <v/>
      </c>
      <c r="AI401" s="29" t="str">
        <f>IF(AND(X401&lt;&gt;""), ROUND((SI!$E$28)*(X401/SUM($X$5:$X$493)),0),"")</f>
        <v/>
      </c>
      <c r="AJ401" s="4" t="str">
        <f t="shared" si="168"/>
        <v/>
      </c>
      <c r="AK401" s="4" t="str">
        <f t="shared" si="169"/>
        <v/>
      </c>
      <c r="AL401" s="4" t="str">
        <f t="shared" si="170"/>
        <v/>
      </c>
      <c r="AM401" s="4" t="str">
        <f t="shared" si="171"/>
        <v/>
      </c>
      <c r="AN401" s="195" t="str">
        <f t="shared" si="172"/>
        <v/>
      </c>
      <c r="AO401" s="261" t="str">
        <f>IF(AND(AM401&lt;&gt;"",P401&lt;&gt;""),ROUND((AM401*((100+SI!$C$11)/100)),0),"")</f>
        <v/>
      </c>
      <c r="AP401" s="28" t="str">
        <f>IF(AG401&lt;&gt;"",ROUND(AG401/SI!$C$9,2),"")</f>
        <v/>
      </c>
      <c r="AQ401" s="4" t="str">
        <f>IF(AH401&lt;&gt;"",ROUND(AH401/SI!$C$9,2),"")</f>
        <v/>
      </c>
      <c r="AR401" s="29" t="str">
        <f>IF(AI401&lt;&gt;"",ROUND(AI401/SI!$C$9,2),"")</f>
        <v/>
      </c>
      <c r="AS401" s="4" t="str">
        <f t="shared" si="173"/>
        <v/>
      </c>
      <c r="AT401" s="4" t="str">
        <f t="shared" si="174"/>
        <v/>
      </c>
      <c r="AU401" s="4" t="str">
        <f>IF(AL401&lt;&gt;"",ROUND(AL401/SI!$C$9,2),"")</f>
        <v/>
      </c>
      <c r="AV401" s="4" t="str">
        <f>IF(AM401&lt;&gt;"",ROUND(AM401/SI!$C$9,2),"")</f>
        <v/>
      </c>
      <c r="AW401" s="4" t="str">
        <f>IF(AN401&lt;&gt;"",ROUND(AN401/SI!$C$9,2),"")</f>
        <v/>
      </c>
      <c r="AX401" s="261" t="str">
        <f>IF(AO401&lt;&gt;"",ROUND(AO401/SI!$C$9,2),"")</f>
        <v/>
      </c>
      <c r="AY401" s="28" t="str">
        <f t="shared" si="175"/>
        <v/>
      </c>
      <c r="AZ401" s="4" t="str">
        <f>IF(AY401&lt;&gt;"",ROUND(AY401/(SI!$C$9*SI!$C$10),2),"")</f>
        <v/>
      </c>
      <c r="BA401" s="4" t="str">
        <f t="shared" si="176"/>
        <v/>
      </c>
      <c r="BB401" s="4" t="str">
        <f t="shared" si="177"/>
        <v/>
      </c>
      <c r="BC401" s="4" t="str">
        <f t="shared" si="178"/>
        <v/>
      </c>
      <c r="BD401" s="4" t="str">
        <f t="shared" si="179"/>
        <v/>
      </c>
      <c r="BE401" s="4" t="str">
        <f>IF(AND(X401&lt;&gt;""),ROUND(X401/SI!$C$10,2),"")</f>
        <v/>
      </c>
      <c r="BF401" s="4" t="str">
        <f t="shared" si="181"/>
        <v/>
      </c>
      <c r="BG401" s="264" t="str">
        <f t="shared" si="180"/>
        <v/>
      </c>
      <c r="BH401" s="71" t="str">
        <f>IF(F401&lt;&gt;"",VLOOKUP(F401,DUTY_2025!A:O,15,FALSE),"")</f>
        <v/>
      </c>
    </row>
    <row r="402" spans="1:60" x14ac:dyDescent="0.25">
      <c r="A402" s="133">
        <f t="shared" si="156"/>
        <v>66</v>
      </c>
      <c r="B402" s="83" t="str">
        <f t="shared" si="157"/>
        <v/>
      </c>
      <c r="C402" s="126"/>
      <c r="D402" s="130"/>
      <c r="E402" s="22"/>
      <c r="F402" s="85"/>
      <c r="G402" s="27" t="str">
        <f>IF(F402&lt;&gt;"",IFERROR(VLOOKUP(F402,DUTY_2025!A:I,6,FALSE),""),"")</f>
        <v/>
      </c>
      <c r="H402" s="85" t="s">
        <v>133</v>
      </c>
      <c r="I402" s="27" t="str">
        <f>IF(F402&lt;&gt;"",IFERROR(VLOOKUP(F402,DUTY_2025!A:H,2,FALSE),""),"")</f>
        <v/>
      </c>
      <c r="J402" s="98"/>
      <c r="K402" s="98"/>
      <c r="L402" s="22"/>
      <c r="M402" s="22"/>
      <c r="N402" s="84"/>
      <c r="O402" s="22"/>
      <c r="P402" s="116"/>
      <c r="Q402" s="23"/>
      <c r="R402" s="27"/>
      <c r="S402" s="86" t="str">
        <f t="shared" si="158"/>
        <v/>
      </c>
      <c r="T402" s="87" t="str">
        <f t="shared" si="159"/>
        <v/>
      </c>
      <c r="U402" s="87" t="str" cm="1">
        <f t="array" ref="U402">IF(AND(H402&lt;&gt;"YES",P402&lt;&gt;"",R402&lt;&gt;"",Q402&lt;&gt;""),
_xlfn.SWITCH(Q402,
"INR",_xlfn.SWITCH(R402,"KG",P402*S402,"CTN",P402,"UNIT",P402*N402,"NET",P402/M402,0),
"USD",_xlfn.SWITCH(R402,"KG",P402*S402*SI!$C$10,"CTN",P402*SI!$C$10,"UNIT",P402*N402*SI!$C$10,"NET",P402*SI!$C$10/M402,0),
"LKR",_xlfn.SWITCH(R402,"KG",P402*S402/SI!$C$9,"CTN",P402/SI!$C$9,"UNIT",P402*N402/SI!$C$9,"NET",P402/(M402*SI!$C$9),0),
0),
"")</f>
        <v/>
      </c>
      <c r="V402" s="87" t="str">
        <f t="shared" si="160"/>
        <v/>
      </c>
      <c r="W402" s="87" t="str">
        <f t="shared" si="161"/>
        <v/>
      </c>
      <c r="X402" s="88" t="str">
        <f t="shared" si="162"/>
        <v/>
      </c>
      <c r="Y402" s="24" t="str">
        <f t="shared" si="163"/>
        <v/>
      </c>
      <c r="Z402" s="267" t="str">
        <f>IF(AND(H402&lt;&gt;"yes",F402&lt;&gt;""),IFERROR(VLOOKUP(F402,DUTY_2025!A:F,5,FALSE),""),"")</f>
        <v/>
      </c>
      <c r="AA402" s="271" t="str">
        <f t="shared" si="164"/>
        <v/>
      </c>
      <c r="AB402" s="16" t="str">
        <f t="shared" si="165"/>
        <v/>
      </c>
      <c r="AC402" s="16" t="str">
        <f>IF(AA402&lt;&gt;"",ROUND(AA402*SI!$C$9,0),"")</f>
        <v/>
      </c>
      <c r="AD402" s="4" t="str">
        <f>IF(AC402&lt;&gt;"",ROUND(AC402/(SI!$C$9*SI!$C$10),2),"")</f>
        <v/>
      </c>
      <c r="AE402" s="30" t="str">
        <f>IF(AND(X402&lt;&gt;""), ROUND((SI!$E$23)*(X402/SUM($X$5:$X$493)),0),"")</f>
        <v/>
      </c>
      <c r="AF402" s="272" t="str">
        <f t="shared" si="166"/>
        <v/>
      </c>
      <c r="AG402" s="28" t="str">
        <f t="shared" si="167"/>
        <v/>
      </c>
      <c r="AH402" s="4" t="str">
        <f>IF(AD402&lt;&gt;"",ROUND(AD402*10*SI!$C$9/2,0),"")</f>
        <v/>
      </c>
      <c r="AI402" s="29" t="str">
        <f>IF(AND(X402&lt;&gt;""), ROUND((SI!$E$28)*(X402/SUM($X$5:$X$493)),0),"")</f>
        <v/>
      </c>
      <c r="AJ402" s="4" t="str">
        <f t="shared" si="168"/>
        <v/>
      </c>
      <c r="AK402" s="4" t="str">
        <f t="shared" si="169"/>
        <v/>
      </c>
      <c r="AL402" s="4" t="str">
        <f t="shared" si="170"/>
        <v/>
      </c>
      <c r="AM402" s="4" t="str">
        <f t="shared" si="171"/>
        <v/>
      </c>
      <c r="AN402" s="195" t="str">
        <f t="shared" si="172"/>
        <v/>
      </c>
      <c r="AO402" s="261" t="str">
        <f>IF(AND(AM402&lt;&gt;"",P402&lt;&gt;""),ROUND((AM402*((100+SI!$C$11)/100)),0),"")</f>
        <v/>
      </c>
      <c r="AP402" s="28" t="str">
        <f>IF(AG402&lt;&gt;"",ROUND(AG402/SI!$C$9,2),"")</f>
        <v/>
      </c>
      <c r="AQ402" s="4" t="str">
        <f>IF(AH402&lt;&gt;"",ROUND(AH402/SI!$C$9,2),"")</f>
        <v/>
      </c>
      <c r="AR402" s="29" t="str">
        <f>IF(AI402&lt;&gt;"",ROUND(AI402/SI!$C$9,2),"")</f>
        <v/>
      </c>
      <c r="AS402" s="4" t="str">
        <f t="shared" si="173"/>
        <v/>
      </c>
      <c r="AT402" s="4" t="str">
        <f t="shared" si="174"/>
        <v/>
      </c>
      <c r="AU402" s="4" t="str">
        <f>IF(AL402&lt;&gt;"",ROUND(AL402/SI!$C$9,2),"")</f>
        <v/>
      </c>
      <c r="AV402" s="4" t="str">
        <f>IF(AM402&lt;&gt;"",ROUND(AM402/SI!$C$9,2),"")</f>
        <v/>
      </c>
      <c r="AW402" s="4" t="str">
        <f>IF(AN402&lt;&gt;"",ROUND(AN402/SI!$C$9,2),"")</f>
        <v/>
      </c>
      <c r="AX402" s="261" t="str">
        <f>IF(AO402&lt;&gt;"",ROUND(AO402/SI!$C$9,2),"")</f>
        <v/>
      </c>
      <c r="AY402" s="28" t="str">
        <f t="shared" si="175"/>
        <v/>
      </c>
      <c r="AZ402" s="4" t="str">
        <f>IF(AY402&lt;&gt;"",ROUND(AY402/(SI!$C$9*SI!$C$10),2),"")</f>
        <v/>
      </c>
      <c r="BA402" s="4" t="str">
        <f t="shared" si="176"/>
        <v/>
      </c>
      <c r="BB402" s="4" t="str">
        <f t="shared" si="177"/>
        <v/>
      </c>
      <c r="BC402" s="4" t="str">
        <f t="shared" si="178"/>
        <v/>
      </c>
      <c r="BD402" s="4" t="str">
        <f t="shared" si="179"/>
        <v/>
      </c>
      <c r="BE402" s="4" t="str">
        <f>IF(AND(X402&lt;&gt;""),ROUND(X402/SI!$C$10,2),"")</f>
        <v/>
      </c>
      <c r="BF402" s="4" t="str">
        <f t="shared" si="181"/>
        <v/>
      </c>
      <c r="BG402" s="264" t="str">
        <f t="shared" si="180"/>
        <v/>
      </c>
      <c r="BH402" s="71" t="str">
        <f>IF(F402&lt;&gt;"",VLOOKUP(F402,DUTY_2025!A:O,15,FALSE),"")</f>
        <v/>
      </c>
    </row>
    <row r="403" spans="1:60" x14ac:dyDescent="0.25">
      <c r="A403" s="133">
        <f t="shared" si="156"/>
        <v>66</v>
      </c>
      <c r="B403" s="83" t="str">
        <f t="shared" si="157"/>
        <v/>
      </c>
      <c r="C403" s="126"/>
      <c r="D403" s="130"/>
      <c r="E403" s="22"/>
      <c r="F403" s="85"/>
      <c r="G403" s="27" t="str">
        <f>IF(F403&lt;&gt;"",IFERROR(VLOOKUP(F403,DUTY_2025!A:I,6,FALSE),""),"")</f>
        <v/>
      </c>
      <c r="H403" s="85" t="s">
        <v>133</v>
      </c>
      <c r="I403" s="27" t="str">
        <f>IF(F403&lt;&gt;"",IFERROR(VLOOKUP(F403,DUTY_2025!A:H,2,FALSE),""),"")</f>
        <v/>
      </c>
      <c r="J403" s="98"/>
      <c r="K403" s="98"/>
      <c r="L403" s="22"/>
      <c r="M403" s="22"/>
      <c r="N403" s="84"/>
      <c r="O403" s="22"/>
      <c r="P403" s="116"/>
      <c r="Q403" s="23"/>
      <c r="R403" s="27"/>
      <c r="S403" s="86" t="str">
        <f t="shared" si="158"/>
        <v/>
      </c>
      <c r="T403" s="87" t="str">
        <f t="shared" si="159"/>
        <v/>
      </c>
      <c r="U403" s="87" t="str" cm="1">
        <f t="array" ref="U403">IF(AND(H403&lt;&gt;"YES",P403&lt;&gt;"",R403&lt;&gt;"",Q403&lt;&gt;""),
_xlfn.SWITCH(Q403,
"INR",_xlfn.SWITCH(R403,"KG",P403*S403,"CTN",P403,"UNIT",P403*N403,"NET",P403/M403,0),
"USD",_xlfn.SWITCH(R403,"KG",P403*S403*SI!$C$10,"CTN",P403*SI!$C$10,"UNIT",P403*N403*SI!$C$10,"NET",P403*SI!$C$10/M403,0),
"LKR",_xlfn.SWITCH(R403,"KG",P403*S403/SI!$C$9,"CTN",P403/SI!$C$9,"UNIT",P403*N403/SI!$C$9,"NET",P403/(M403*SI!$C$9),0),
0),
"")</f>
        <v/>
      </c>
      <c r="V403" s="87" t="str">
        <f t="shared" si="160"/>
        <v/>
      </c>
      <c r="W403" s="87" t="str">
        <f t="shared" si="161"/>
        <v/>
      </c>
      <c r="X403" s="88" t="str">
        <f t="shared" si="162"/>
        <v/>
      </c>
      <c r="Y403" s="24" t="str">
        <f t="shared" si="163"/>
        <v/>
      </c>
      <c r="Z403" s="267" t="str">
        <f>IF(AND(H403&lt;&gt;"yes",F403&lt;&gt;""),IFERROR(VLOOKUP(F403,DUTY_2025!A:F,5,FALSE),""),"")</f>
        <v/>
      </c>
      <c r="AA403" s="271" t="str">
        <f t="shared" si="164"/>
        <v/>
      </c>
      <c r="AB403" s="16" t="str">
        <f t="shared" si="165"/>
        <v/>
      </c>
      <c r="AC403" s="16" t="str">
        <f>IF(AA403&lt;&gt;"",ROUND(AA403*SI!$C$9,0),"")</f>
        <v/>
      </c>
      <c r="AD403" s="4" t="str">
        <f>IF(AC403&lt;&gt;"",ROUND(AC403/(SI!$C$9*SI!$C$10),2),"")</f>
        <v/>
      </c>
      <c r="AE403" s="30" t="str">
        <f>IF(AND(X403&lt;&gt;""), ROUND((SI!$E$23)*(X403/SUM($X$5:$X$493)),0),"")</f>
        <v/>
      </c>
      <c r="AF403" s="272" t="str">
        <f t="shared" si="166"/>
        <v/>
      </c>
      <c r="AG403" s="28" t="str">
        <f t="shared" si="167"/>
        <v/>
      </c>
      <c r="AH403" s="4" t="str">
        <f>IF(AD403&lt;&gt;"",ROUND(AD403*10*SI!$C$9/2,0),"")</f>
        <v/>
      </c>
      <c r="AI403" s="29" t="str">
        <f>IF(AND(X403&lt;&gt;""), ROUND((SI!$E$28)*(X403/SUM($X$5:$X$493)),0),"")</f>
        <v/>
      </c>
      <c r="AJ403" s="4" t="str">
        <f t="shared" si="168"/>
        <v/>
      </c>
      <c r="AK403" s="4" t="str">
        <f t="shared" si="169"/>
        <v/>
      </c>
      <c r="AL403" s="4" t="str">
        <f t="shared" si="170"/>
        <v/>
      </c>
      <c r="AM403" s="4" t="str">
        <f t="shared" si="171"/>
        <v/>
      </c>
      <c r="AN403" s="195" t="str">
        <f t="shared" si="172"/>
        <v/>
      </c>
      <c r="AO403" s="261" t="str">
        <f>IF(AND(AM403&lt;&gt;"",P403&lt;&gt;""),ROUND((AM403*((100+SI!$C$11)/100)),0),"")</f>
        <v/>
      </c>
      <c r="AP403" s="28" t="str">
        <f>IF(AG403&lt;&gt;"",ROUND(AG403/SI!$C$9,2),"")</f>
        <v/>
      </c>
      <c r="AQ403" s="4" t="str">
        <f>IF(AH403&lt;&gt;"",ROUND(AH403/SI!$C$9,2),"")</f>
        <v/>
      </c>
      <c r="AR403" s="29" t="str">
        <f>IF(AI403&lt;&gt;"",ROUND(AI403/SI!$C$9,2),"")</f>
        <v/>
      </c>
      <c r="AS403" s="4" t="str">
        <f t="shared" si="173"/>
        <v/>
      </c>
      <c r="AT403" s="4" t="str">
        <f t="shared" si="174"/>
        <v/>
      </c>
      <c r="AU403" s="4" t="str">
        <f>IF(AL403&lt;&gt;"",ROUND(AL403/SI!$C$9,2),"")</f>
        <v/>
      </c>
      <c r="AV403" s="4" t="str">
        <f>IF(AM403&lt;&gt;"",ROUND(AM403/SI!$C$9,2),"")</f>
        <v/>
      </c>
      <c r="AW403" s="4" t="str">
        <f>IF(AN403&lt;&gt;"",ROUND(AN403/SI!$C$9,2),"")</f>
        <v/>
      </c>
      <c r="AX403" s="261" t="str">
        <f>IF(AO403&lt;&gt;"",ROUND(AO403/SI!$C$9,2),"")</f>
        <v/>
      </c>
      <c r="AY403" s="28" t="str">
        <f t="shared" si="175"/>
        <v/>
      </c>
      <c r="AZ403" s="4" t="str">
        <f>IF(AY403&lt;&gt;"",ROUND(AY403/(SI!$C$9*SI!$C$10),2),"")</f>
        <v/>
      </c>
      <c r="BA403" s="4" t="str">
        <f t="shared" si="176"/>
        <v/>
      </c>
      <c r="BB403" s="4" t="str">
        <f t="shared" si="177"/>
        <v/>
      </c>
      <c r="BC403" s="4" t="str">
        <f t="shared" si="178"/>
        <v/>
      </c>
      <c r="BD403" s="4" t="str">
        <f t="shared" si="179"/>
        <v/>
      </c>
      <c r="BE403" s="4" t="str">
        <f>IF(AND(X403&lt;&gt;""),ROUND(X403/SI!$C$10,2),"")</f>
        <v/>
      </c>
      <c r="BF403" s="4" t="str">
        <f t="shared" si="181"/>
        <v/>
      </c>
      <c r="BG403" s="264" t="str">
        <f t="shared" si="180"/>
        <v/>
      </c>
      <c r="BH403" s="71" t="str">
        <f>IF(F403&lt;&gt;"",VLOOKUP(F403,DUTY_2025!A:O,15,FALSE),"")</f>
        <v/>
      </c>
    </row>
    <row r="404" spans="1:60" x14ac:dyDescent="0.25">
      <c r="A404" s="133">
        <f t="shared" si="156"/>
        <v>66</v>
      </c>
      <c r="B404" s="83" t="str">
        <f t="shared" si="157"/>
        <v/>
      </c>
      <c r="C404" s="126"/>
      <c r="D404" s="130"/>
      <c r="E404" s="22"/>
      <c r="F404" s="85"/>
      <c r="G404" s="27" t="str">
        <f>IF(F404&lt;&gt;"",IFERROR(VLOOKUP(F404,DUTY_2025!A:I,6,FALSE),""),"")</f>
        <v/>
      </c>
      <c r="H404" s="85" t="s">
        <v>133</v>
      </c>
      <c r="I404" s="27" t="str">
        <f>IF(F404&lt;&gt;"",IFERROR(VLOOKUP(F404,DUTY_2025!A:H,2,FALSE),""),"")</f>
        <v/>
      </c>
      <c r="J404" s="98"/>
      <c r="K404" s="98"/>
      <c r="L404" s="22"/>
      <c r="M404" s="22"/>
      <c r="N404" s="84"/>
      <c r="O404" s="22"/>
      <c r="P404" s="116"/>
      <c r="Q404" s="23"/>
      <c r="R404" s="27"/>
      <c r="S404" s="86" t="str">
        <f t="shared" si="158"/>
        <v/>
      </c>
      <c r="T404" s="87" t="str">
        <f t="shared" si="159"/>
        <v/>
      </c>
      <c r="U404" s="87" t="str" cm="1">
        <f t="array" ref="U404">IF(AND(H404&lt;&gt;"YES",P404&lt;&gt;"",R404&lt;&gt;"",Q404&lt;&gt;""),
_xlfn.SWITCH(Q404,
"INR",_xlfn.SWITCH(R404,"KG",P404*S404,"CTN",P404,"UNIT",P404*N404,"NET",P404/M404,0),
"USD",_xlfn.SWITCH(R404,"KG",P404*S404*SI!$C$10,"CTN",P404*SI!$C$10,"UNIT",P404*N404*SI!$C$10,"NET",P404*SI!$C$10/M404,0),
"LKR",_xlfn.SWITCH(R404,"KG",P404*S404/SI!$C$9,"CTN",P404/SI!$C$9,"UNIT",P404*N404/SI!$C$9,"NET",P404/(M404*SI!$C$9),0),
0),
"")</f>
        <v/>
      </c>
      <c r="V404" s="87" t="str">
        <f t="shared" si="160"/>
        <v/>
      </c>
      <c r="W404" s="87" t="str">
        <f t="shared" si="161"/>
        <v/>
      </c>
      <c r="X404" s="88" t="str">
        <f t="shared" si="162"/>
        <v/>
      </c>
      <c r="Y404" s="24" t="str">
        <f t="shared" si="163"/>
        <v/>
      </c>
      <c r="Z404" s="267" t="str">
        <f>IF(AND(H404&lt;&gt;"yes",F404&lt;&gt;""),IFERROR(VLOOKUP(F404,DUTY_2025!A:F,5,FALSE),""),"")</f>
        <v/>
      </c>
      <c r="AA404" s="271" t="str">
        <f t="shared" si="164"/>
        <v/>
      </c>
      <c r="AB404" s="16" t="str">
        <f t="shared" si="165"/>
        <v/>
      </c>
      <c r="AC404" s="16" t="str">
        <f>IF(AA404&lt;&gt;"",ROUND(AA404*SI!$C$9,0),"")</f>
        <v/>
      </c>
      <c r="AD404" s="4" t="str">
        <f>IF(AC404&lt;&gt;"",ROUND(AC404/(SI!$C$9*SI!$C$10),2),"")</f>
        <v/>
      </c>
      <c r="AE404" s="30" t="str">
        <f>IF(AND(X404&lt;&gt;""), ROUND((SI!$E$23)*(X404/SUM($X$5:$X$493)),0),"")</f>
        <v/>
      </c>
      <c r="AF404" s="272" t="str">
        <f t="shared" si="166"/>
        <v/>
      </c>
      <c r="AG404" s="28" t="str">
        <f t="shared" si="167"/>
        <v/>
      </c>
      <c r="AH404" s="4" t="str">
        <f>IF(AD404&lt;&gt;"",ROUND(AD404*10*SI!$C$9/2,0),"")</f>
        <v/>
      </c>
      <c r="AI404" s="29" t="str">
        <f>IF(AND(X404&lt;&gt;""), ROUND((SI!$E$28)*(X404/SUM($X$5:$X$493)),0),"")</f>
        <v/>
      </c>
      <c r="AJ404" s="4" t="str">
        <f t="shared" si="168"/>
        <v/>
      </c>
      <c r="AK404" s="4" t="str">
        <f t="shared" si="169"/>
        <v/>
      </c>
      <c r="AL404" s="4" t="str">
        <f t="shared" si="170"/>
        <v/>
      </c>
      <c r="AM404" s="4" t="str">
        <f t="shared" si="171"/>
        <v/>
      </c>
      <c r="AN404" s="195" t="str">
        <f t="shared" si="172"/>
        <v/>
      </c>
      <c r="AO404" s="261" t="str">
        <f>IF(AND(AM404&lt;&gt;"",P404&lt;&gt;""),ROUND((AM404*((100+SI!$C$11)/100)),0),"")</f>
        <v/>
      </c>
      <c r="AP404" s="28" t="str">
        <f>IF(AG404&lt;&gt;"",ROUND(AG404/SI!$C$9,2),"")</f>
        <v/>
      </c>
      <c r="AQ404" s="4" t="str">
        <f>IF(AH404&lt;&gt;"",ROUND(AH404/SI!$C$9,2),"")</f>
        <v/>
      </c>
      <c r="AR404" s="29" t="str">
        <f>IF(AI404&lt;&gt;"",ROUND(AI404/SI!$C$9,2),"")</f>
        <v/>
      </c>
      <c r="AS404" s="4" t="str">
        <f t="shared" si="173"/>
        <v/>
      </c>
      <c r="AT404" s="4" t="str">
        <f t="shared" si="174"/>
        <v/>
      </c>
      <c r="AU404" s="4" t="str">
        <f>IF(AL404&lt;&gt;"",ROUND(AL404/SI!$C$9,2),"")</f>
        <v/>
      </c>
      <c r="AV404" s="4" t="str">
        <f>IF(AM404&lt;&gt;"",ROUND(AM404/SI!$C$9,2),"")</f>
        <v/>
      </c>
      <c r="AW404" s="4" t="str">
        <f>IF(AN404&lt;&gt;"",ROUND(AN404/SI!$C$9,2),"")</f>
        <v/>
      </c>
      <c r="AX404" s="261" t="str">
        <f>IF(AO404&lt;&gt;"",ROUND(AO404/SI!$C$9,2),"")</f>
        <v/>
      </c>
      <c r="AY404" s="28" t="str">
        <f t="shared" si="175"/>
        <v/>
      </c>
      <c r="AZ404" s="4" t="str">
        <f>IF(AY404&lt;&gt;"",ROUND(AY404/(SI!$C$9*SI!$C$10),2),"")</f>
        <v/>
      </c>
      <c r="BA404" s="4" t="str">
        <f t="shared" si="176"/>
        <v/>
      </c>
      <c r="BB404" s="4" t="str">
        <f t="shared" si="177"/>
        <v/>
      </c>
      <c r="BC404" s="4" t="str">
        <f t="shared" si="178"/>
        <v/>
      </c>
      <c r="BD404" s="4" t="str">
        <f t="shared" si="179"/>
        <v/>
      </c>
      <c r="BE404" s="4" t="str">
        <f>IF(AND(X404&lt;&gt;""),ROUND(X404/SI!$C$10,2),"")</f>
        <v/>
      </c>
      <c r="BF404" s="4" t="str">
        <f t="shared" si="181"/>
        <v/>
      </c>
      <c r="BG404" s="264" t="str">
        <f t="shared" si="180"/>
        <v/>
      </c>
      <c r="BH404" s="71" t="str">
        <f>IF(F404&lt;&gt;"",VLOOKUP(F404,DUTY_2025!A:O,15,FALSE),"")</f>
        <v/>
      </c>
    </row>
    <row r="405" spans="1:60" x14ac:dyDescent="0.25">
      <c r="A405" s="133">
        <f t="shared" si="156"/>
        <v>66</v>
      </c>
      <c r="B405" s="83" t="str">
        <f t="shared" si="157"/>
        <v/>
      </c>
      <c r="C405" s="126"/>
      <c r="D405" s="130"/>
      <c r="E405" s="22"/>
      <c r="F405" s="85"/>
      <c r="G405" s="27" t="str">
        <f>IF(F405&lt;&gt;"",IFERROR(VLOOKUP(F405,DUTY_2025!A:I,6,FALSE),""),"")</f>
        <v/>
      </c>
      <c r="H405" s="85" t="s">
        <v>133</v>
      </c>
      <c r="I405" s="27" t="str">
        <f>IF(F405&lt;&gt;"",IFERROR(VLOOKUP(F405,DUTY_2025!A:H,2,FALSE),""),"")</f>
        <v/>
      </c>
      <c r="J405" s="98"/>
      <c r="K405" s="98"/>
      <c r="L405" s="22"/>
      <c r="M405" s="22"/>
      <c r="N405" s="84"/>
      <c r="O405" s="22"/>
      <c r="P405" s="116"/>
      <c r="Q405" s="23"/>
      <c r="R405" s="27"/>
      <c r="S405" s="86" t="str">
        <f t="shared" si="158"/>
        <v/>
      </c>
      <c r="T405" s="87" t="str">
        <f t="shared" si="159"/>
        <v/>
      </c>
      <c r="U405" s="87" t="str" cm="1">
        <f t="array" ref="U405">IF(AND(H405&lt;&gt;"YES",P405&lt;&gt;"",R405&lt;&gt;"",Q405&lt;&gt;""),
_xlfn.SWITCH(Q405,
"INR",_xlfn.SWITCH(R405,"KG",P405*S405,"CTN",P405,"UNIT",P405*N405,"NET",P405/M405,0),
"USD",_xlfn.SWITCH(R405,"KG",P405*S405*SI!$C$10,"CTN",P405*SI!$C$10,"UNIT",P405*N405*SI!$C$10,"NET",P405*SI!$C$10/M405,0),
"LKR",_xlfn.SWITCH(R405,"KG",P405*S405/SI!$C$9,"CTN",P405/SI!$C$9,"UNIT",P405*N405/SI!$C$9,"NET",P405/(M405*SI!$C$9),0),
0),
"")</f>
        <v/>
      </c>
      <c r="V405" s="87" t="str">
        <f t="shared" si="160"/>
        <v/>
      </c>
      <c r="W405" s="87" t="str">
        <f t="shared" si="161"/>
        <v/>
      </c>
      <c r="X405" s="88" t="str">
        <f t="shared" si="162"/>
        <v/>
      </c>
      <c r="Y405" s="24" t="str">
        <f t="shared" si="163"/>
        <v/>
      </c>
      <c r="Z405" s="267" t="str">
        <f>IF(AND(H405&lt;&gt;"yes",F405&lt;&gt;""),IFERROR(VLOOKUP(F405,DUTY_2025!A:F,5,FALSE),""),"")</f>
        <v/>
      </c>
      <c r="AA405" s="271" t="str">
        <f t="shared" si="164"/>
        <v/>
      </c>
      <c r="AB405" s="16" t="str">
        <f t="shared" si="165"/>
        <v/>
      </c>
      <c r="AC405" s="16" t="str">
        <f>IF(AA405&lt;&gt;"",ROUND(AA405*SI!$C$9,0),"")</f>
        <v/>
      </c>
      <c r="AD405" s="4" t="str">
        <f>IF(AC405&lt;&gt;"",ROUND(AC405/(SI!$C$9*SI!$C$10),2),"")</f>
        <v/>
      </c>
      <c r="AE405" s="30" t="str">
        <f>IF(AND(X405&lt;&gt;""), ROUND((SI!$E$23)*(X405/SUM($X$5:$X$493)),0),"")</f>
        <v/>
      </c>
      <c r="AF405" s="272" t="str">
        <f t="shared" si="166"/>
        <v/>
      </c>
      <c r="AG405" s="28" t="str">
        <f t="shared" si="167"/>
        <v/>
      </c>
      <c r="AH405" s="4" t="str">
        <f>IF(AD405&lt;&gt;"",ROUND(AD405*10*SI!$C$9/2,0),"")</f>
        <v/>
      </c>
      <c r="AI405" s="29" t="str">
        <f>IF(AND(X405&lt;&gt;""), ROUND((SI!$E$28)*(X405/SUM($X$5:$X$493)),0),"")</f>
        <v/>
      </c>
      <c r="AJ405" s="4" t="str">
        <f t="shared" si="168"/>
        <v/>
      </c>
      <c r="AK405" s="4" t="str">
        <f t="shared" si="169"/>
        <v/>
      </c>
      <c r="AL405" s="4" t="str">
        <f t="shared" si="170"/>
        <v/>
      </c>
      <c r="AM405" s="4" t="str">
        <f t="shared" si="171"/>
        <v/>
      </c>
      <c r="AN405" s="195" t="str">
        <f t="shared" si="172"/>
        <v/>
      </c>
      <c r="AO405" s="261" t="str">
        <f>IF(AND(AM405&lt;&gt;"",P405&lt;&gt;""),ROUND((AM405*((100+SI!$C$11)/100)),0),"")</f>
        <v/>
      </c>
      <c r="AP405" s="28" t="str">
        <f>IF(AG405&lt;&gt;"",ROUND(AG405/SI!$C$9,2),"")</f>
        <v/>
      </c>
      <c r="AQ405" s="4" t="str">
        <f>IF(AH405&lt;&gt;"",ROUND(AH405/SI!$C$9,2),"")</f>
        <v/>
      </c>
      <c r="AR405" s="29" t="str">
        <f>IF(AI405&lt;&gt;"",ROUND(AI405/SI!$C$9,2),"")</f>
        <v/>
      </c>
      <c r="AS405" s="4" t="str">
        <f t="shared" si="173"/>
        <v/>
      </c>
      <c r="AT405" s="4" t="str">
        <f t="shared" si="174"/>
        <v/>
      </c>
      <c r="AU405" s="4" t="str">
        <f>IF(AL405&lt;&gt;"",ROUND(AL405/SI!$C$9,2),"")</f>
        <v/>
      </c>
      <c r="AV405" s="4" t="str">
        <f>IF(AM405&lt;&gt;"",ROUND(AM405/SI!$C$9,2),"")</f>
        <v/>
      </c>
      <c r="AW405" s="4" t="str">
        <f>IF(AN405&lt;&gt;"",ROUND(AN405/SI!$C$9,2),"")</f>
        <v/>
      </c>
      <c r="AX405" s="261" t="str">
        <f>IF(AO405&lt;&gt;"",ROUND(AO405/SI!$C$9,2),"")</f>
        <v/>
      </c>
      <c r="AY405" s="28" t="str">
        <f t="shared" si="175"/>
        <v/>
      </c>
      <c r="AZ405" s="4" t="str">
        <f>IF(AY405&lt;&gt;"",ROUND(AY405/(SI!$C$9*SI!$C$10),2),"")</f>
        <v/>
      </c>
      <c r="BA405" s="4" t="str">
        <f t="shared" si="176"/>
        <v/>
      </c>
      <c r="BB405" s="4" t="str">
        <f t="shared" si="177"/>
        <v/>
      </c>
      <c r="BC405" s="4" t="str">
        <f t="shared" si="178"/>
        <v/>
      </c>
      <c r="BD405" s="4" t="str">
        <f t="shared" si="179"/>
        <v/>
      </c>
      <c r="BE405" s="4" t="str">
        <f>IF(AND(X405&lt;&gt;""),ROUND(X405/SI!$C$10,2),"")</f>
        <v/>
      </c>
      <c r="BF405" s="4" t="str">
        <f t="shared" si="181"/>
        <v/>
      </c>
      <c r="BG405" s="264" t="str">
        <f t="shared" si="180"/>
        <v/>
      </c>
      <c r="BH405" s="71" t="str">
        <f>IF(F405&lt;&gt;"",VLOOKUP(F405,DUTY_2025!A:O,15,FALSE),"")</f>
        <v/>
      </c>
    </row>
    <row r="406" spans="1:60" x14ac:dyDescent="0.25">
      <c r="A406" s="133">
        <f t="shared" si="156"/>
        <v>66</v>
      </c>
      <c r="B406" s="83" t="str">
        <f t="shared" si="157"/>
        <v/>
      </c>
      <c r="C406" s="126"/>
      <c r="D406" s="130"/>
      <c r="E406" s="22"/>
      <c r="F406" s="85"/>
      <c r="G406" s="27" t="str">
        <f>IF(F406&lt;&gt;"",IFERROR(VLOOKUP(F406,DUTY_2025!A:I,6,FALSE),""),"")</f>
        <v/>
      </c>
      <c r="H406" s="85" t="s">
        <v>133</v>
      </c>
      <c r="I406" s="27" t="str">
        <f>IF(F406&lt;&gt;"",IFERROR(VLOOKUP(F406,DUTY_2025!A:H,2,FALSE),""),"")</f>
        <v/>
      </c>
      <c r="J406" s="98"/>
      <c r="K406" s="98"/>
      <c r="L406" s="22"/>
      <c r="M406" s="22"/>
      <c r="N406" s="84"/>
      <c r="O406" s="22"/>
      <c r="P406" s="116"/>
      <c r="Q406" s="23"/>
      <c r="R406" s="27"/>
      <c r="S406" s="86" t="str">
        <f t="shared" si="158"/>
        <v/>
      </c>
      <c r="T406" s="87" t="str">
        <f t="shared" si="159"/>
        <v/>
      </c>
      <c r="U406" s="87" t="str" cm="1">
        <f t="array" ref="U406">IF(AND(H406&lt;&gt;"YES",P406&lt;&gt;"",R406&lt;&gt;"",Q406&lt;&gt;""),
_xlfn.SWITCH(Q406,
"INR",_xlfn.SWITCH(R406,"KG",P406*S406,"CTN",P406,"UNIT",P406*N406,"NET",P406/M406,0),
"USD",_xlfn.SWITCH(R406,"KG",P406*S406*SI!$C$10,"CTN",P406*SI!$C$10,"UNIT",P406*N406*SI!$C$10,"NET",P406*SI!$C$10/M406,0),
"LKR",_xlfn.SWITCH(R406,"KG",P406*S406/SI!$C$9,"CTN",P406/SI!$C$9,"UNIT",P406*N406/SI!$C$9,"NET",P406/(M406*SI!$C$9),0),
0),
"")</f>
        <v/>
      </c>
      <c r="V406" s="87" t="str">
        <f t="shared" si="160"/>
        <v/>
      </c>
      <c r="W406" s="87" t="str">
        <f t="shared" si="161"/>
        <v/>
      </c>
      <c r="X406" s="88" t="str">
        <f t="shared" si="162"/>
        <v/>
      </c>
      <c r="Y406" s="24" t="str">
        <f t="shared" si="163"/>
        <v/>
      </c>
      <c r="Z406" s="267" t="str">
        <f>IF(AND(H406&lt;&gt;"yes",F406&lt;&gt;""),IFERROR(VLOOKUP(F406,DUTY_2025!A:F,5,FALSE),""),"")</f>
        <v/>
      </c>
      <c r="AA406" s="271" t="str">
        <f t="shared" si="164"/>
        <v/>
      </c>
      <c r="AB406" s="16" t="str">
        <f t="shared" si="165"/>
        <v/>
      </c>
      <c r="AC406" s="16" t="str">
        <f>IF(AA406&lt;&gt;"",ROUND(AA406*SI!$C$9,0),"")</f>
        <v/>
      </c>
      <c r="AD406" s="4" t="str">
        <f>IF(AC406&lt;&gt;"",ROUND(AC406/(SI!$C$9*SI!$C$10),2),"")</f>
        <v/>
      </c>
      <c r="AE406" s="30" t="str">
        <f>IF(AND(X406&lt;&gt;""), ROUND((SI!$E$23)*(X406/SUM($X$5:$X$493)),0),"")</f>
        <v/>
      </c>
      <c r="AF406" s="272" t="str">
        <f t="shared" si="166"/>
        <v/>
      </c>
      <c r="AG406" s="28" t="str">
        <f t="shared" si="167"/>
        <v/>
      </c>
      <c r="AH406" s="4" t="str">
        <f>IF(AD406&lt;&gt;"",ROUND(AD406*10*SI!$C$9/2,0),"")</f>
        <v/>
      </c>
      <c r="AI406" s="29" t="str">
        <f>IF(AND(X406&lt;&gt;""), ROUND((SI!$E$28)*(X406/SUM($X$5:$X$493)),0),"")</f>
        <v/>
      </c>
      <c r="AJ406" s="4" t="str">
        <f t="shared" si="168"/>
        <v/>
      </c>
      <c r="AK406" s="4" t="str">
        <f t="shared" si="169"/>
        <v/>
      </c>
      <c r="AL406" s="4" t="str">
        <f t="shared" si="170"/>
        <v/>
      </c>
      <c r="AM406" s="4" t="str">
        <f t="shared" si="171"/>
        <v/>
      </c>
      <c r="AN406" s="195" t="str">
        <f t="shared" si="172"/>
        <v/>
      </c>
      <c r="AO406" s="261" t="str">
        <f>IF(AND(AM406&lt;&gt;"",P406&lt;&gt;""),ROUND((AM406*((100+SI!$C$11)/100)),0),"")</f>
        <v/>
      </c>
      <c r="AP406" s="28" t="str">
        <f>IF(AG406&lt;&gt;"",ROUND(AG406/SI!$C$9,2),"")</f>
        <v/>
      </c>
      <c r="AQ406" s="4" t="str">
        <f>IF(AH406&lt;&gt;"",ROUND(AH406/SI!$C$9,2),"")</f>
        <v/>
      </c>
      <c r="AR406" s="29" t="str">
        <f>IF(AI406&lt;&gt;"",ROUND(AI406/SI!$C$9,2),"")</f>
        <v/>
      </c>
      <c r="AS406" s="4" t="str">
        <f t="shared" si="173"/>
        <v/>
      </c>
      <c r="AT406" s="4" t="str">
        <f t="shared" si="174"/>
        <v/>
      </c>
      <c r="AU406" s="4" t="str">
        <f>IF(AL406&lt;&gt;"",ROUND(AL406/SI!$C$9,2),"")</f>
        <v/>
      </c>
      <c r="AV406" s="4" t="str">
        <f>IF(AM406&lt;&gt;"",ROUND(AM406/SI!$C$9,2),"")</f>
        <v/>
      </c>
      <c r="AW406" s="4" t="str">
        <f>IF(AN406&lt;&gt;"",ROUND(AN406/SI!$C$9,2),"")</f>
        <v/>
      </c>
      <c r="AX406" s="261" t="str">
        <f>IF(AO406&lt;&gt;"",ROUND(AO406/SI!$C$9,2),"")</f>
        <v/>
      </c>
      <c r="AY406" s="28" t="str">
        <f t="shared" si="175"/>
        <v/>
      </c>
      <c r="AZ406" s="4" t="str">
        <f>IF(AY406&lt;&gt;"",ROUND(AY406/(SI!$C$9*SI!$C$10),2),"")</f>
        <v/>
      </c>
      <c r="BA406" s="4" t="str">
        <f t="shared" si="176"/>
        <v/>
      </c>
      <c r="BB406" s="4" t="str">
        <f t="shared" si="177"/>
        <v/>
      </c>
      <c r="BC406" s="4" t="str">
        <f t="shared" si="178"/>
        <v/>
      </c>
      <c r="BD406" s="4" t="str">
        <f t="shared" si="179"/>
        <v/>
      </c>
      <c r="BE406" s="4" t="str">
        <f>IF(AND(X406&lt;&gt;""),ROUND(X406/SI!$C$10,2),"")</f>
        <v/>
      </c>
      <c r="BF406" s="4" t="str">
        <f t="shared" si="181"/>
        <v/>
      </c>
      <c r="BG406" s="264" t="str">
        <f t="shared" si="180"/>
        <v/>
      </c>
      <c r="BH406" s="71" t="str">
        <f>IF(F406&lt;&gt;"",VLOOKUP(F406,DUTY_2025!A:O,15,FALSE),"")</f>
        <v/>
      </c>
    </row>
    <row r="407" spans="1:60" x14ac:dyDescent="0.25">
      <c r="A407" s="133">
        <f t="shared" si="156"/>
        <v>66</v>
      </c>
      <c r="B407" s="83" t="str">
        <f t="shared" si="157"/>
        <v/>
      </c>
      <c r="C407" s="126"/>
      <c r="D407" s="130"/>
      <c r="E407" s="22"/>
      <c r="F407" s="85"/>
      <c r="G407" s="27" t="str">
        <f>IF(F407&lt;&gt;"",IFERROR(VLOOKUP(F407,DUTY_2025!A:I,6,FALSE),""),"")</f>
        <v/>
      </c>
      <c r="H407" s="85" t="s">
        <v>133</v>
      </c>
      <c r="I407" s="27" t="str">
        <f>IF(F407&lt;&gt;"",IFERROR(VLOOKUP(F407,DUTY_2025!A:H,2,FALSE),""),"")</f>
        <v/>
      </c>
      <c r="J407" s="98"/>
      <c r="K407" s="98"/>
      <c r="L407" s="22"/>
      <c r="M407" s="22"/>
      <c r="N407" s="84"/>
      <c r="O407" s="22"/>
      <c r="P407" s="116"/>
      <c r="Q407" s="23"/>
      <c r="R407" s="27"/>
      <c r="S407" s="86" t="str">
        <f t="shared" si="158"/>
        <v/>
      </c>
      <c r="T407" s="87" t="str">
        <f t="shared" si="159"/>
        <v/>
      </c>
      <c r="U407" s="87" t="str" cm="1">
        <f t="array" ref="U407">IF(AND(H407&lt;&gt;"YES",P407&lt;&gt;"",R407&lt;&gt;"",Q407&lt;&gt;""),
_xlfn.SWITCH(Q407,
"INR",_xlfn.SWITCH(R407,"KG",P407*S407,"CTN",P407,"UNIT",P407*N407,"NET",P407/M407,0),
"USD",_xlfn.SWITCH(R407,"KG",P407*S407*SI!$C$10,"CTN",P407*SI!$C$10,"UNIT",P407*N407*SI!$C$10,"NET",P407*SI!$C$10/M407,0),
"LKR",_xlfn.SWITCH(R407,"KG",P407*S407/SI!$C$9,"CTN",P407/SI!$C$9,"UNIT",P407*N407/SI!$C$9,"NET",P407/(M407*SI!$C$9),0),
0),
"")</f>
        <v/>
      </c>
      <c r="V407" s="87" t="str">
        <f t="shared" si="160"/>
        <v/>
      </c>
      <c r="W407" s="87" t="str">
        <f t="shared" si="161"/>
        <v/>
      </c>
      <c r="X407" s="88" t="str">
        <f t="shared" si="162"/>
        <v/>
      </c>
      <c r="Y407" s="24" t="str">
        <f t="shared" si="163"/>
        <v/>
      </c>
      <c r="Z407" s="267" t="str">
        <f>IF(AND(H407&lt;&gt;"yes",F407&lt;&gt;""),IFERROR(VLOOKUP(F407,DUTY_2025!A:F,5,FALSE),""),"")</f>
        <v/>
      </c>
      <c r="AA407" s="271" t="str">
        <f t="shared" si="164"/>
        <v/>
      </c>
      <c r="AB407" s="16" t="str">
        <f t="shared" si="165"/>
        <v/>
      </c>
      <c r="AC407" s="16" t="str">
        <f>IF(AA407&lt;&gt;"",ROUND(AA407*SI!$C$9,0),"")</f>
        <v/>
      </c>
      <c r="AD407" s="4" t="str">
        <f>IF(AC407&lt;&gt;"",ROUND(AC407/(SI!$C$9*SI!$C$10),2),"")</f>
        <v/>
      </c>
      <c r="AE407" s="30" t="str">
        <f>IF(AND(X407&lt;&gt;""), ROUND((SI!$E$23)*(X407/SUM($X$5:$X$493)),0),"")</f>
        <v/>
      </c>
      <c r="AF407" s="272" t="str">
        <f t="shared" si="166"/>
        <v/>
      </c>
      <c r="AG407" s="28" t="str">
        <f t="shared" si="167"/>
        <v/>
      </c>
      <c r="AH407" s="4" t="str">
        <f>IF(AD407&lt;&gt;"",ROUND(AD407*10*SI!$C$9/2,0),"")</f>
        <v/>
      </c>
      <c r="AI407" s="29" t="str">
        <f>IF(AND(X407&lt;&gt;""), ROUND((SI!$E$28)*(X407/SUM($X$5:$X$493)),0),"")</f>
        <v/>
      </c>
      <c r="AJ407" s="4" t="str">
        <f t="shared" si="168"/>
        <v/>
      </c>
      <c r="AK407" s="4" t="str">
        <f t="shared" si="169"/>
        <v/>
      </c>
      <c r="AL407" s="4" t="str">
        <f t="shared" si="170"/>
        <v/>
      </c>
      <c r="AM407" s="4" t="str">
        <f t="shared" si="171"/>
        <v/>
      </c>
      <c r="AN407" s="195" t="str">
        <f t="shared" si="172"/>
        <v/>
      </c>
      <c r="AO407" s="261" t="str">
        <f>IF(AND(AM407&lt;&gt;"",P407&lt;&gt;""),ROUND((AM407*((100+SI!$C$11)/100)),0),"")</f>
        <v/>
      </c>
      <c r="AP407" s="28" t="str">
        <f>IF(AG407&lt;&gt;"",ROUND(AG407/SI!$C$9,2),"")</f>
        <v/>
      </c>
      <c r="AQ407" s="4" t="str">
        <f>IF(AH407&lt;&gt;"",ROUND(AH407/SI!$C$9,2),"")</f>
        <v/>
      </c>
      <c r="AR407" s="29" t="str">
        <f>IF(AI407&lt;&gt;"",ROUND(AI407/SI!$C$9,2),"")</f>
        <v/>
      </c>
      <c r="AS407" s="4" t="str">
        <f t="shared" si="173"/>
        <v/>
      </c>
      <c r="AT407" s="4" t="str">
        <f t="shared" si="174"/>
        <v/>
      </c>
      <c r="AU407" s="4" t="str">
        <f>IF(AL407&lt;&gt;"",ROUND(AL407/SI!$C$9,2),"")</f>
        <v/>
      </c>
      <c r="AV407" s="4" t="str">
        <f>IF(AM407&lt;&gt;"",ROUND(AM407/SI!$C$9,2),"")</f>
        <v/>
      </c>
      <c r="AW407" s="4" t="str">
        <f>IF(AN407&lt;&gt;"",ROUND(AN407/SI!$C$9,2),"")</f>
        <v/>
      </c>
      <c r="AX407" s="261" t="str">
        <f>IF(AO407&lt;&gt;"",ROUND(AO407/SI!$C$9,2),"")</f>
        <v/>
      </c>
      <c r="AY407" s="28" t="str">
        <f t="shared" si="175"/>
        <v/>
      </c>
      <c r="AZ407" s="4" t="str">
        <f>IF(AY407&lt;&gt;"",ROUND(AY407/(SI!$C$9*SI!$C$10),2),"")</f>
        <v/>
      </c>
      <c r="BA407" s="4" t="str">
        <f t="shared" si="176"/>
        <v/>
      </c>
      <c r="BB407" s="4" t="str">
        <f t="shared" si="177"/>
        <v/>
      </c>
      <c r="BC407" s="4" t="str">
        <f t="shared" si="178"/>
        <v/>
      </c>
      <c r="BD407" s="4" t="str">
        <f t="shared" si="179"/>
        <v/>
      </c>
      <c r="BE407" s="4" t="str">
        <f>IF(AND(X407&lt;&gt;""),ROUND(X407/SI!$C$10,2),"")</f>
        <v/>
      </c>
      <c r="BF407" s="4" t="str">
        <f t="shared" si="181"/>
        <v/>
      </c>
      <c r="BG407" s="264" t="str">
        <f t="shared" si="180"/>
        <v/>
      </c>
      <c r="BH407" s="71" t="str">
        <f>IF(F407&lt;&gt;"",VLOOKUP(F407,DUTY_2025!A:O,15,FALSE),"")</f>
        <v/>
      </c>
    </row>
    <row r="408" spans="1:60" x14ac:dyDescent="0.25">
      <c r="A408" s="133">
        <f t="shared" si="156"/>
        <v>66</v>
      </c>
      <c r="B408" s="83" t="str">
        <f t="shared" si="157"/>
        <v/>
      </c>
      <c r="C408" s="126"/>
      <c r="D408" s="130"/>
      <c r="E408" s="22"/>
      <c r="F408" s="85"/>
      <c r="G408" s="27" t="str">
        <f>IF(F408&lt;&gt;"",IFERROR(VLOOKUP(F408,DUTY_2025!A:I,6,FALSE),""),"")</f>
        <v/>
      </c>
      <c r="H408" s="85" t="s">
        <v>133</v>
      </c>
      <c r="I408" s="27" t="str">
        <f>IF(F408&lt;&gt;"",IFERROR(VLOOKUP(F408,DUTY_2025!A:H,2,FALSE),""),"")</f>
        <v/>
      </c>
      <c r="J408" s="98"/>
      <c r="K408" s="98"/>
      <c r="L408" s="22"/>
      <c r="M408" s="22"/>
      <c r="N408" s="84"/>
      <c r="O408" s="22"/>
      <c r="P408" s="116"/>
      <c r="Q408" s="23"/>
      <c r="R408" s="27"/>
      <c r="S408" s="86" t="str">
        <f t="shared" si="158"/>
        <v/>
      </c>
      <c r="T408" s="87" t="str">
        <f t="shared" si="159"/>
        <v/>
      </c>
      <c r="U408" s="87" t="str" cm="1">
        <f t="array" ref="U408">IF(AND(H408&lt;&gt;"YES",P408&lt;&gt;"",R408&lt;&gt;"",Q408&lt;&gt;""),
_xlfn.SWITCH(Q408,
"INR",_xlfn.SWITCH(R408,"KG",P408*S408,"CTN",P408,"UNIT",P408*N408,"NET",P408/M408,0),
"USD",_xlfn.SWITCH(R408,"KG",P408*S408*SI!$C$10,"CTN",P408*SI!$C$10,"UNIT",P408*N408*SI!$C$10,"NET",P408*SI!$C$10/M408,0),
"LKR",_xlfn.SWITCH(R408,"KG",P408*S408/SI!$C$9,"CTN",P408/SI!$C$9,"UNIT",P408*N408/SI!$C$9,"NET",P408/(M408*SI!$C$9),0),
0),
"")</f>
        <v/>
      </c>
      <c r="V408" s="87" t="str">
        <f t="shared" si="160"/>
        <v/>
      </c>
      <c r="W408" s="87" t="str">
        <f t="shared" si="161"/>
        <v/>
      </c>
      <c r="X408" s="88" t="str">
        <f t="shared" si="162"/>
        <v/>
      </c>
      <c r="Y408" s="24" t="str">
        <f t="shared" si="163"/>
        <v/>
      </c>
      <c r="Z408" s="267" t="str">
        <f>IF(AND(H408&lt;&gt;"yes",F408&lt;&gt;""),IFERROR(VLOOKUP(F408,DUTY_2025!A:F,5,FALSE),""),"")</f>
        <v/>
      </c>
      <c r="AA408" s="271" t="str">
        <f t="shared" si="164"/>
        <v/>
      </c>
      <c r="AB408" s="16" t="str">
        <f t="shared" si="165"/>
        <v/>
      </c>
      <c r="AC408" s="16" t="str">
        <f>IF(AA408&lt;&gt;"",ROUND(AA408*SI!$C$9,0),"")</f>
        <v/>
      </c>
      <c r="AD408" s="4" t="str">
        <f>IF(AC408&lt;&gt;"",ROUND(AC408/(SI!$C$9*SI!$C$10),2),"")</f>
        <v/>
      </c>
      <c r="AE408" s="30" t="str">
        <f>IF(AND(X408&lt;&gt;""), ROUND((SI!$E$23)*(X408/SUM($X$5:$X$493)),0),"")</f>
        <v/>
      </c>
      <c r="AF408" s="272" t="str">
        <f t="shared" si="166"/>
        <v/>
      </c>
      <c r="AG408" s="28" t="str">
        <f t="shared" si="167"/>
        <v/>
      </c>
      <c r="AH408" s="4" t="str">
        <f>IF(AD408&lt;&gt;"",ROUND(AD408*10*SI!$C$9/2,0),"")</f>
        <v/>
      </c>
      <c r="AI408" s="29" t="str">
        <f>IF(AND(X408&lt;&gt;""), ROUND((SI!$E$28)*(X408/SUM($X$5:$X$493)),0),"")</f>
        <v/>
      </c>
      <c r="AJ408" s="4" t="str">
        <f t="shared" si="168"/>
        <v/>
      </c>
      <c r="AK408" s="4" t="str">
        <f t="shared" si="169"/>
        <v/>
      </c>
      <c r="AL408" s="4" t="str">
        <f t="shared" si="170"/>
        <v/>
      </c>
      <c r="AM408" s="4" t="str">
        <f t="shared" si="171"/>
        <v/>
      </c>
      <c r="AN408" s="195" t="str">
        <f t="shared" si="172"/>
        <v/>
      </c>
      <c r="AO408" s="261" t="str">
        <f>IF(AND(AM408&lt;&gt;"",P408&lt;&gt;""),ROUND((AM408*((100+SI!$C$11)/100)),0),"")</f>
        <v/>
      </c>
      <c r="AP408" s="28" t="str">
        <f>IF(AG408&lt;&gt;"",ROUND(AG408/SI!$C$9,2),"")</f>
        <v/>
      </c>
      <c r="AQ408" s="4" t="str">
        <f>IF(AH408&lt;&gt;"",ROUND(AH408/SI!$C$9,2),"")</f>
        <v/>
      </c>
      <c r="AR408" s="29" t="str">
        <f>IF(AI408&lt;&gt;"",ROUND(AI408/SI!$C$9,2),"")</f>
        <v/>
      </c>
      <c r="AS408" s="4" t="str">
        <f t="shared" si="173"/>
        <v/>
      </c>
      <c r="AT408" s="4" t="str">
        <f t="shared" si="174"/>
        <v/>
      </c>
      <c r="AU408" s="4" t="str">
        <f>IF(AL408&lt;&gt;"",ROUND(AL408/SI!$C$9,2),"")</f>
        <v/>
      </c>
      <c r="AV408" s="4" t="str">
        <f>IF(AM408&lt;&gt;"",ROUND(AM408/SI!$C$9,2),"")</f>
        <v/>
      </c>
      <c r="AW408" s="4" t="str">
        <f>IF(AN408&lt;&gt;"",ROUND(AN408/SI!$C$9,2),"")</f>
        <v/>
      </c>
      <c r="AX408" s="261" t="str">
        <f>IF(AO408&lt;&gt;"",ROUND(AO408/SI!$C$9,2),"")</f>
        <v/>
      </c>
      <c r="AY408" s="28" t="str">
        <f t="shared" si="175"/>
        <v/>
      </c>
      <c r="AZ408" s="4" t="str">
        <f>IF(AY408&lt;&gt;"",ROUND(AY408/(SI!$C$9*SI!$C$10),2),"")</f>
        <v/>
      </c>
      <c r="BA408" s="4" t="str">
        <f t="shared" si="176"/>
        <v/>
      </c>
      <c r="BB408" s="4" t="str">
        <f t="shared" si="177"/>
        <v/>
      </c>
      <c r="BC408" s="4" t="str">
        <f t="shared" si="178"/>
        <v/>
      </c>
      <c r="BD408" s="4" t="str">
        <f t="shared" si="179"/>
        <v/>
      </c>
      <c r="BE408" s="4" t="str">
        <f>IF(AND(X408&lt;&gt;""),ROUND(X408/SI!$C$10,2),"")</f>
        <v/>
      </c>
      <c r="BF408" s="4" t="str">
        <f t="shared" si="181"/>
        <v/>
      </c>
      <c r="BG408" s="264" t="str">
        <f t="shared" si="180"/>
        <v/>
      </c>
      <c r="BH408" s="71" t="str">
        <f>IF(F408&lt;&gt;"",VLOOKUP(F408,DUTY_2025!A:O,15,FALSE),"")</f>
        <v/>
      </c>
    </row>
    <row r="409" spans="1:60" x14ac:dyDescent="0.25">
      <c r="A409" s="133">
        <f t="shared" si="156"/>
        <v>66</v>
      </c>
      <c r="B409" s="83" t="str">
        <f t="shared" si="157"/>
        <v/>
      </c>
      <c r="C409" s="126"/>
      <c r="D409" s="130"/>
      <c r="E409" s="22"/>
      <c r="F409" s="85"/>
      <c r="G409" s="27" t="str">
        <f>IF(F409&lt;&gt;"",IFERROR(VLOOKUP(F409,DUTY_2025!A:I,6,FALSE),""),"")</f>
        <v/>
      </c>
      <c r="H409" s="85" t="s">
        <v>133</v>
      </c>
      <c r="I409" s="27" t="str">
        <f>IF(F409&lt;&gt;"",IFERROR(VLOOKUP(F409,DUTY_2025!A:H,2,FALSE),""),"")</f>
        <v/>
      </c>
      <c r="J409" s="98"/>
      <c r="K409" s="98"/>
      <c r="L409" s="22"/>
      <c r="M409" s="22"/>
      <c r="N409" s="84"/>
      <c r="O409" s="22"/>
      <c r="P409" s="116"/>
      <c r="Q409" s="23"/>
      <c r="R409" s="27"/>
      <c r="S409" s="86" t="str">
        <f t="shared" si="158"/>
        <v/>
      </c>
      <c r="T409" s="87" t="str">
        <f t="shared" si="159"/>
        <v/>
      </c>
      <c r="U409" s="87" t="str" cm="1">
        <f t="array" ref="U409">IF(AND(H409&lt;&gt;"YES",P409&lt;&gt;"",R409&lt;&gt;"",Q409&lt;&gt;""),
_xlfn.SWITCH(Q409,
"INR",_xlfn.SWITCH(R409,"KG",P409*S409,"CTN",P409,"UNIT",P409*N409,"NET",P409/M409,0),
"USD",_xlfn.SWITCH(R409,"KG",P409*S409*SI!$C$10,"CTN",P409*SI!$C$10,"UNIT",P409*N409*SI!$C$10,"NET",P409*SI!$C$10/M409,0),
"LKR",_xlfn.SWITCH(R409,"KG",P409*S409/SI!$C$9,"CTN",P409/SI!$C$9,"UNIT",P409*N409/SI!$C$9,"NET",P409/(M409*SI!$C$9),0),
0),
"")</f>
        <v/>
      </c>
      <c r="V409" s="87" t="str">
        <f t="shared" si="160"/>
        <v/>
      </c>
      <c r="W409" s="87" t="str">
        <f t="shared" si="161"/>
        <v/>
      </c>
      <c r="X409" s="88" t="str">
        <f t="shared" si="162"/>
        <v/>
      </c>
      <c r="Y409" s="24" t="str">
        <f t="shared" si="163"/>
        <v/>
      </c>
      <c r="Z409" s="267" t="str">
        <f>IF(AND(H409&lt;&gt;"yes",F409&lt;&gt;""),IFERROR(VLOOKUP(F409,DUTY_2025!A:F,5,FALSE),""),"")</f>
        <v/>
      </c>
      <c r="AA409" s="271" t="str">
        <f t="shared" si="164"/>
        <v/>
      </c>
      <c r="AB409" s="16" t="str">
        <f t="shared" si="165"/>
        <v/>
      </c>
      <c r="AC409" s="16" t="str">
        <f>IF(AA409&lt;&gt;"",ROUND(AA409*SI!$C$9,0),"")</f>
        <v/>
      </c>
      <c r="AD409" s="4" t="str">
        <f>IF(AC409&lt;&gt;"",ROUND(AC409/(SI!$C$9*SI!$C$10),2),"")</f>
        <v/>
      </c>
      <c r="AE409" s="30" t="str">
        <f>IF(AND(X409&lt;&gt;""), ROUND((SI!$E$23)*(X409/SUM($X$5:$X$493)),0),"")</f>
        <v/>
      </c>
      <c r="AF409" s="272" t="str">
        <f t="shared" si="166"/>
        <v/>
      </c>
      <c r="AG409" s="28" t="str">
        <f t="shared" si="167"/>
        <v/>
      </c>
      <c r="AH409" s="4" t="str">
        <f>IF(AD409&lt;&gt;"",ROUND(AD409*10*SI!$C$9/2,0),"")</f>
        <v/>
      </c>
      <c r="AI409" s="29" t="str">
        <f>IF(AND(X409&lt;&gt;""), ROUND((SI!$E$28)*(X409/SUM($X$5:$X$493)),0),"")</f>
        <v/>
      </c>
      <c r="AJ409" s="4" t="str">
        <f t="shared" si="168"/>
        <v/>
      </c>
      <c r="AK409" s="4" t="str">
        <f t="shared" si="169"/>
        <v/>
      </c>
      <c r="AL409" s="4" t="str">
        <f t="shared" si="170"/>
        <v/>
      </c>
      <c r="AM409" s="4" t="str">
        <f t="shared" si="171"/>
        <v/>
      </c>
      <c r="AN409" s="195" t="str">
        <f t="shared" si="172"/>
        <v/>
      </c>
      <c r="AO409" s="261" t="str">
        <f>IF(AND(AM409&lt;&gt;"",P409&lt;&gt;""),ROUND((AM409*((100+SI!$C$11)/100)),0),"")</f>
        <v/>
      </c>
      <c r="AP409" s="28" t="str">
        <f>IF(AG409&lt;&gt;"",ROUND(AG409/SI!$C$9,2),"")</f>
        <v/>
      </c>
      <c r="AQ409" s="4" t="str">
        <f>IF(AH409&lt;&gt;"",ROUND(AH409/SI!$C$9,2),"")</f>
        <v/>
      </c>
      <c r="AR409" s="29" t="str">
        <f>IF(AI409&lt;&gt;"",ROUND(AI409/SI!$C$9,2),"")</f>
        <v/>
      </c>
      <c r="AS409" s="4" t="str">
        <f t="shared" si="173"/>
        <v/>
      </c>
      <c r="AT409" s="4" t="str">
        <f t="shared" si="174"/>
        <v/>
      </c>
      <c r="AU409" s="4" t="str">
        <f>IF(AL409&lt;&gt;"",ROUND(AL409/SI!$C$9,2),"")</f>
        <v/>
      </c>
      <c r="AV409" s="4" t="str">
        <f>IF(AM409&lt;&gt;"",ROUND(AM409/SI!$C$9,2),"")</f>
        <v/>
      </c>
      <c r="AW409" s="4" t="str">
        <f>IF(AN409&lt;&gt;"",ROUND(AN409/SI!$C$9,2),"")</f>
        <v/>
      </c>
      <c r="AX409" s="261" t="str">
        <f>IF(AO409&lt;&gt;"",ROUND(AO409/SI!$C$9,2),"")</f>
        <v/>
      </c>
      <c r="AY409" s="28" t="str">
        <f t="shared" si="175"/>
        <v/>
      </c>
      <c r="AZ409" s="4" t="str">
        <f>IF(AY409&lt;&gt;"",ROUND(AY409/(SI!$C$9*SI!$C$10),2),"")</f>
        <v/>
      </c>
      <c r="BA409" s="4" t="str">
        <f t="shared" si="176"/>
        <v/>
      </c>
      <c r="BB409" s="4" t="str">
        <f t="shared" si="177"/>
        <v/>
      </c>
      <c r="BC409" s="4" t="str">
        <f t="shared" si="178"/>
        <v/>
      </c>
      <c r="BD409" s="4" t="str">
        <f t="shared" si="179"/>
        <v/>
      </c>
      <c r="BE409" s="4" t="str">
        <f>IF(AND(X409&lt;&gt;""),ROUND(X409/SI!$C$10,2),"")</f>
        <v/>
      </c>
      <c r="BF409" s="4" t="str">
        <f t="shared" si="181"/>
        <v/>
      </c>
      <c r="BG409" s="264" t="str">
        <f t="shared" si="180"/>
        <v/>
      </c>
      <c r="BH409" s="71" t="str">
        <f>IF(F409&lt;&gt;"",VLOOKUP(F409,DUTY_2025!A:O,15,FALSE),"")</f>
        <v/>
      </c>
    </row>
    <row r="410" spans="1:60" x14ac:dyDescent="0.25">
      <c r="A410" s="133">
        <f t="shared" si="156"/>
        <v>66</v>
      </c>
      <c r="B410" s="83" t="str">
        <f t="shared" si="157"/>
        <v/>
      </c>
      <c r="C410" s="126"/>
      <c r="D410" s="130"/>
      <c r="E410" s="22"/>
      <c r="F410" s="85"/>
      <c r="G410" s="27" t="str">
        <f>IF(F410&lt;&gt;"",IFERROR(VLOOKUP(F410,DUTY_2025!A:I,6,FALSE),""),"")</f>
        <v/>
      </c>
      <c r="H410" s="85" t="s">
        <v>133</v>
      </c>
      <c r="I410" s="27" t="str">
        <f>IF(F410&lt;&gt;"",IFERROR(VLOOKUP(F410,DUTY_2025!A:H,2,FALSE),""),"")</f>
        <v/>
      </c>
      <c r="J410" s="98"/>
      <c r="K410" s="98"/>
      <c r="L410" s="22"/>
      <c r="M410" s="22"/>
      <c r="N410" s="84"/>
      <c r="O410" s="22"/>
      <c r="P410" s="116"/>
      <c r="Q410" s="23"/>
      <c r="R410" s="27"/>
      <c r="S410" s="86" t="str">
        <f t="shared" si="158"/>
        <v/>
      </c>
      <c r="T410" s="87" t="str">
        <f t="shared" si="159"/>
        <v/>
      </c>
      <c r="U410" s="87" t="str" cm="1">
        <f t="array" ref="U410">IF(AND(H410&lt;&gt;"YES",P410&lt;&gt;"",R410&lt;&gt;"",Q410&lt;&gt;""),
_xlfn.SWITCH(Q410,
"INR",_xlfn.SWITCH(R410,"KG",P410*S410,"CTN",P410,"UNIT",P410*N410,"NET",P410/M410,0),
"USD",_xlfn.SWITCH(R410,"KG",P410*S410*SI!$C$10,"CTN",P410*SI!$C$10,"UNIT",P410*N410*SI!$C$10,"NET",P410*SI!$C$10/M410,0),
"LKR",_xlfn.SWITCH(R410,"KG",P410*S410/SI!$C$9,"CTN",P410/SI!$C$9,"UNIT",P410*N410/SI!$C$9,"NET",P410/(M410*SI!$C$9),0),
0),
"")</f>
        <v/>
      </c>
      <c r="V410" s="87" t="str">
        <f t="shared" si="160"/>
        <v/>
      </c>
      <c r="W410" s="87" t="str">
        <f t="shared" si="161"/>
        <v/>
      </c>
      <c r="X410" s="88" t="str">
        <f t="shared" si="162"/>
        <v/>
      </c>
      <c r="Y410" s="24" t="str">
        <f t="shared" si="163"/>
        <v/>
      </c>
      <c r="Z410" s="267" t="str">
        <f>IF(AND(H410&lt;&gt;"yes",F410&lt;&gt;""),IFERROR(VLOOKUP(F410,DUTY_2025!A:F,5,FALSE),""),"")</f>
        <v/>
      </c>
      <c r="AA410" s="271" t="str">
        <f t="shared" si="164"/>
        <v/>
      </c>
      <c r="AB410" s="16" t="str">
        <f t="shared" si="165"/>
        <v/>
      </c>
      <c r="AC410" s="16" t="str">
        <f>IF(AA410&lt;&gt;"",ROUND(AA410*SI!$C$9,0),"")</f>
        <v/>
      </c>
      <c r="AD410" s="4" t="str">
        <f>IF(AC410&lt;&gt;"",ROUND(AC410/(SI!$C$9*SI!$C$10),2),"")</f>
        <v/>
      </c>
      <c r="AE410" s="30" t="str">
        <f>IF(AND(X410&lt;&gt;""), ROUND((SI!$E$23)*(X410/SUM($X$5:$X$493)),0),"")</f>
        <v/>
      </c>
      <c r="AF410" s="272" t="str">
        <f t="shared" si="166"/>
        <v/>
      </c>
      <c r="AG410" s="28" t="str">
        <f t="shared" si="167"/>
        <v/>
      </c>
      <c r="AH410" s="4" t="str">
        <f>IF(AD410&lt;&gt;"",ROUND(AD410*10*SI!$C$9/2,0),"")</f>
        <v/>
      </c>
      <c r="AI410" s="29" t="str">
        <f>IF(AND(X410&lt;&gt;""), ROUND((SI!$E$28)*(X410/SUM($X$5:$X$493)),0),"")</f>
        <v/>
      </c>
      <c r="AJ410" s="4" t="str">
        <f t="shared" si="168"/>
        <v/>
      </c>
      <c r="AK410" s="4" t="str">
        <f t="shared" si="169"/>
        <v/>
      </c>
      <c r="AL410" s="4" t="str">
        <f t="shared" si="170"/>
        <v/>
      </c>
      <c r="AM410" s="4" t="str">
        <f t="shared" si="171"/>
        <v/>
      </c>
      <c r="AN410" s="195" t="str">
        <f t="shared" si="172"/>
        <v/>
      </c>
      <c r="AO410" s="261" t="str">
        <f>IF(AND(AM410&lt;&gt;"",P410&lt;&gt;""),ROUND((AM410*((100+SI!$C$11)/100)),0),"")</f>
        <v/>
      </c>
      <c r="AP410" s="28" t="str">
        <f>IF(AG410&lt;&gt;"",ROUND(AG410/SI!$C$9,2),"")</f>
        <v/>
      </c>
      <c r="AQ410" s="4" t="str">
        <f>IF(AH410&lt;&gt;"",ROUND(AH410/SI!$C$9,2),"")</f>
        <v/>
      </c>
      <c r="AR410" s="29" t="str">
        <f>IF(AI410&lt;&gt;"",ROUND(AI410/SI!$C$9,2),"")</f>
        <v/>
      </c>
      <c r="AS410" s="4" t="str">
        <f t="shared" si="173"/>
        <v/>
      </c>
      <c r="AT410" s="4" t="str">
        <f t="shared" si="174"/>
        <v/>
      </c>
      <c r="AU410" s="4" t="str">
        <f>IF(AL410&lt;&gt;"",ROUND(AL410/SI!$C$9,2),"")</f>
        <v/>
      </c>
      <c r="AV410" s="4" t="str">
        <f>IF(AM410&lt;&gt;"",ROUND(AM410/SI!$C$9,2),"")</f>
        <v/>
      </c>
      <c r="AW410" s="4" t="str">
        <f>IF(AN410&lt;&gt;"",ROUND(AN410/SI!$C$9,2),"")</f>
        <v/>
      </c>
      <c r="AX410" s="261" t="str">
        <f>IF(AO410&lt;&gt;"",ROUND(AO410/SI!$C$9,2),"")</f>
        <v/>
      </c>
      <c r="AY410" s="28" t="str">
        <f t="shared" si="175"/>
        <v/>
      </c>
      <c r="AZ410" s="4" t="str">
        <f>IF(AY410&lt;&gt;"",ROUND(AY410/(SI!$C$9*SI!$C$10),2),"")</f>
        <v/>
      </c>
      <c r="BA410" s="4" t="str">
        <f t="shared" si="176"/>
        <v/>
      </c>
      <c r="BB410" s="4" t="str">
        <f t="shared" si="177"/>
        <v/>
      </c>
      <c r="BC410" s="4" t="str">
        <f t="shared" si="178"/>
        <v/>
      </c>
      <c r="BD410" s="4" t="str">
        <f t="shared" si="179"/>
        <v/>
      </c>
      <c r="BE410" s="4" t="str">
        <f>IF(AND(X410&lt;&gt;""),ROUND(X410/SI!$C$10,2),"")</f>
        <v/>
      </c>
      <c r="BF410" s="4" t="str">
        <f t="shared" si="181"/>
        <v/>
      </c>
      <c r="BG410" s="264" t="str">
        <f t="shared" si="180"/>
        <v/>
      </c>
      <c r="BH410" s="71" t="str">
        <f>IF(F410&lt;&gt;"",VLOOKUP(F410,DUTY_2025!A:O,15,FALSE),"")</f>
        <v/>
      </c>
    </row>
    <row r="411" spans="1:60" x14ac:dyDescent="0.25">
      <c r="A411" s="133">
        <f t="shared" si="156"/>
        <v>66</v>
      </c>
      <c r="B411" s="83" t="str">
        <f t="shared" si="157"/>
        <v/>
      </c>
      <c r="C411" s="126"/>
      <c r="D411" s="130"/>
      <c r="E411" s="22"/>
      <c r="F411" s="85"/>
      <c r="G411" s="27" t="str">
        <f>IF(F411&lt;&gt;"",IFERROR(VLOOKUP(F411,DUTY_2025!A:I,6,FALSE),""),"")</f>
        <v/>
      </c>
      <c r="H411" s="85" t="s">
        <v>133</v>
      </c>
      <c r="I411" s="27" t="str">
        <f>IF(F411&lt;&gt;"",IFERROR(VLOOKUP(F411,DUTY_2025!A:H,2,FALSE),""),"")</f>
        <v/>
      </c>
      <c r="J411" s="98"/>
      <c r="K411" s="98"/>
      <c r="L411" s="22"/>
      <c r="M411" s="22"/>
      <c r="N411" s="84"/>
      <c r="O411" s="22"/>
      <c r="P411" s="116"/>
      <c r="Q411" s="23"/>
      <c r="R411" s="27"/>
      <c r="S411" s="86" t="str">
        <f t="shared" si="158"/>
        <v/>
      </c>
      <c r="T411" s="87" t="str">
        <f t="shared" si="159"/>
        <v/>
      </c>
      <c r="U411" s="87" t="str" cm="1">
        <f t="array" ref="U411">IF(AND(H411&lt;&gt;"YES",P411&lt;&gt;"",R411&lt;&gt;"",Q411&lt;&gt;""),
_xlfn.SWITCH(Q411,
"INR",_xlfn.SWITCH(R411,"KG",P411*S411,"CTN",P411,"UNIT",P411*N411,"NET",P411/M411,0),
"USD",_xlfn.SWITCH(R411,"KG",P411*S411*SI!$C$10,"CTN",P411*SI!$C$10,"UNIT",P411*N411*SI!$C$10,"NET",P411*SI!$C$10/M411,0),
"LKR",_xlfn.SWITCH(R411,"KG",P411*S411/SI!$C$9,"CTN",P411/SI!$C$9,"UNIT",P411*N411/SI!$C$9,"NET",P411/(M411*SI!$C$9),0),
0),
"")</f>
        <v/>
      </c>
      <c r="V411" s="87" t="str">
        <f t="shared" si="160"/>
        <v/>
      </c>
      <c r="W411" s="87" t="str">
        <f t="shared" si="161"/>
        <v/>
      </c>
      <c r="X411" s="88" t="str">
        <f t="shared" si="162"/>
        <v/>
      </c>
      <c r="Y411" s="24" t="str">
        <f t="shared" si="163"/>
        <v/>
      </c>
      <c r="Z411" s="267" t="str">
        <f>IF(AND(H411&lt;&gt;"yes",F411&lt;&gt;""),IFERROR(VLOOKUP(F411,DUTY_2025!A:F,5,FALSE),""),"")</f>
        <v/>
      </c>
      <c r="AA411" s="271" t="str">
        <f t="shared" si="164"/>
        <v/>
      </c>
      <c r="AB411" s="16" t="str">
        <f t="shared" si="165"/>
        <v/>
      </c>
      <c r="AC411" s="16" t="str">
        <f>IF(AA411&lt;&gt;"",ROUND(AA411*SI!$C$9,0),"")</f>
        <v/>
      </c>
      <c r="AD411" s="4" t="str">
        <f>IF(AC411&lt;&gt;"",ROUND(AC411/(SI!$C$9*SI!$C$10),2),"")</f>
        <v/>
      </c>
      <c r="AE411" s="30" t="str">
        <f>IF(AND(X411&lt;&gt;""), ROUND((SI!$E$23)*(X411/SUM($X$5:$X$493)),0),"")</f>
        <v/>
      </c>
      <c r="AF411" s="272" t="str">
        <f t="shared" si="166"/>
        <v/>
      </c>
      <c r="AG411" s="28" t="str">
        <f t="shared" si="167"/>
        <v/>
      </c>
      <c r="AH411" s="4" t="str">
        <f>IF(AD411&lt;&gt;"",ROUND(AD411*10*SI!$C$9/2,0),"")</f>
        <v/>
      </c>
      <c r="AI411" s="29" t="str">
        <f>IF(AND(X411&lt;&gt;""), ROUND((SI!$E$28)*(X411/SUM($X$5:$X$493)),0),"")</f>
        <v/>
      </c>
      <c r="AJ411" s="4" t="str">
        <f t="shared" si="168"/>
        <v/>
      </c>
      <c r="AK411" s="4" t="str">
        <f t="shared" si="169"/>
        <v/>
      </c>
      <c r="AL411" s="4" t="str">
        <f t="shared" si="170"/>
        <v/>
      </c>
      <c r="AM411" s="4" t="str">
        <f t="shared" si="171"/>
        <v/>
      </c>
      <c r="AN411" s="195" t="str">
        <f t="shared" si="172"/>
        <v/>
      </c>
      <c r="AO411" s="261" t="str">
        <f>IF(AND(AM411&lt;&gt;"",P411&lt;&gt;""),ROUND((AM411*((100+SI!$C$11)/100)),0),"")</f>
        <v/>
      </c>
      <c r="AP411" s="28" t="str">
        <f>IF(AG411&lt;&gt;"",ROUND(AG411/SI!$C$9,2),"")</f>
        <v/>
      </c>
      <c r="AQ411" s="4" t="str">
        <f>IF(AH411&lt;&gt;"",ROUND(AH411/SI!$C$9,2),"")</f>
        <v/>
      </c>
      <c r="AR411" s="29" t="str">
        <f>IF(AI411&lt;&gt;"",ROUND(AI411/SI!$C$9,2),"")</f>
        <v/>
      </c>
      <c r="AS411" s="4" t="str">
        <f t="shared" si="173"/>
        <v/>
      </c>
      <c r="AT411" s="4" t="str">
        <f t="shared" si="174"/>
        <v/>
      </c>
      <c r="AU411" s="4" t="str">
        <f>IF(AL411&lt;&gt;"",ROUND(AL411/SI!$C$9,2),"")</f>
        <v/>
      </c>
      <c r="AV411" s="4" t="str">
        <f>IF(AM411&lt;&gt;"",ROUND(AM411/SI!$C$9,2),"")</f>
        <v/>
      </c>
      <c r="AW411" s="4" t="str">
        <f>IF(AN411&lt;&gt;"",ROUND(AN411/SI!$C$9,2),"")</f>
        <v/>
      </c>
      <c r="AX411" s="261" t="str">
        <f>IF(AO411&lt;&gt;"",ROUND(AO411/SI!$C$9,2),"")</f>
        <v/>
      </c>
      <c r="AY411" s="28" t="str">
        <f t="shared" si="175"/>
        <v/>
      </c>
      <c r="AZ411" s="4" t="str">
        <f>IF(AY411&lt;&gt;"",ROUND(AY411/(SI!$C$9*SI!$C$10),2),"")</f>
        <v/>
      </c>
      <c r="BA411" s="4" t="str">
        <f t="shared" si="176"/>
        <v/>
      </c>
      <c r="BB411" s="4" t="str">
        <f t="shared" si="177"/>
        <v/>
      </c>
      <c r="BC411" s="4" t="str">
        <f t="shared" si="178"/>
        <v/>
      </c>
      <c r="BD411" s="4" t="str">
        <f t="shared" si="179"/>
        <v/>
      </c>
      <c r="BE411" s="4" t="str">
        <f>IF(AND(X411&lt;&gt;""),ROUND(X411/SI!$C$10,2),"")</f>
        <v/>
      </c>
      <c r="BF411" s="4" t="str">
        <f t="shared" si="181"/>
        <v/>
      </c>
      <c r="BG411" s="264" t="str">
        <f t="shared" si="180"/>
        <v/>
      </c>
      <c r="BH411" s="71" t="str">
        <f>IF(F411&lt;&gt;"",VLOOKUP(F411,DUTY_2025!A:O,15,FALSE),"")</f>
        <v/>
      </c>
    </row>
    <row r="412" spans="1:60" x14ac:dyDescent="0.25">
      <c r="A412" s="133">
        <f t="shared" si="156"/>
        <v>66</v>
      </c>
      <c r="B412" s="83" t="str">
        <f t="shared" si="157"/>
        <v/>
      </c>
      <c r="C412" s="126"/>
      <c r="D412" s="130"/>
      <c r="E412" s="22"/>
      <c r="F412" s="85"/>
      <c r="G412" s="27" t="str">
        <f>IF(F412&lt;&gt;"",IFERROR(VLOOKUP(F412,DUTY_2025!A:I,6,FALSE),""),"")</f>
        <v/>
      </c>
      <c r="H412" s="85" t="s">
        <v>133</v>
      </c>
      <c r="I412" s="27" t="str">
        <f>IF(F412&lt;&gt;"",IFERROR(VLOOKUP(F412,DUTY_2025!A:H,2,FALSE),""),"")</f>
        <v/>
      </c>
      <c r="J412" s="98"/>
      <c r="K412" s="98"/>
      <c r="L412" s="22"/>
      <c r="M412" s="22"/>
      <c r="N412" s="84"/>
      <c r="O412" s="22"/>
      <c r="P412" s="116"/>
      <c r="Q412" s="23"/>
      <c r="R412" s="27"/>
      <c r="S412" s="86" t="str">
        <f t="shared" si="158"/>
        <v/>
      </c>
      <c r="T412" s="87" t="str">
        <f t="shared" si="159"/>
        <v/>
      </c>
      <c r="U412" s="87" t="str" cm="1">
        <f t="array" ref="U412">IF(AND(H412&lt;&gt;"YES",P412&lt;&gt;"",R412&lt;&gt;"",Q412&lt;&gt;""),
_xlfn.SWITCH(Q412,
"INR",_xlfn.SWITCH(R412,"KG",P412*S412,"CTN",P412,"UNIT",P412*N412,"NET",P412/M412,0),
"USD",_xlfn.SWITCH(R412,"KG",P412*S412*SI!$C$10,"CTN",P412*SI!$C$10,"UNIT",P412*N412*SI!$C$10,"NET",P412*SI!$C$10/M412,0),
"LKR",_xlfn.SWITCH(R412,"KG",P412*S412/SI!$C$9,"CTN",P412/SI!$C$9,"UNIT",P412*N412/SI!$C$9,"NET",P412/(M412*SI!$C$9),0),
0),
"")</f>
        <v/>
      </c>
      <c r="V412" s="87" t="str">
        <f t="shared" si="160"/>
        <v/>
      </c>
      <c r="W412" s="87" t="str">
        <f t="shared" si="161"/>
        <v/>
      </c>
      <c r="X412" s="88" t="str">
        <f t="shared" si="162"/>
        <v/>
      </c>
      <c r="Y412" s="24" t="str">
        <f t="shared" si="163"/>
        <v/>
      </c>
      <c r="Z412" s="267" t="str">
        <f>IF(AND(H412&lt;&gt;"yes",F412&lt;&gt;""),IFERROR(VLOOKUP(F412,DUTY_2025!A:F,5,FALSE),""),"")</f>
        <v/>
      </c>
      <c r="AA412" s="271" t="str">
        <f t="shared" si="164"/>
        <v/>
      </c>
      <c r="AB412" s="16" t="str">
        <f t="shared" si="165"/>
        <v/>
      </c>
      <c r="AC412" s="16" t="str">
        <f>IF(AA412&lt;&gt;"",ROUND(AA412*SI!$C$9,0),"")</f>
        <v/>
      </c>
      <c r="AD412" s="4" t="str">
        <f>IF(AC412&lt;&gt;"",ROUND(AC412/(SI!$C$9*SI!$C$10),2),"")</f>
        <v/>
      </c>
      <c r="AE412" s="30" t="str">
        <f>IF(AND(X412&lt;&gt;""), ROUND((SI!$E$23)*(X412/SUM($X$5:$X$493)),0),"")</f>
        <v/>
      </c>
      <c r="AF412" s="272" t="str">
        <f t="shared" si="166"/>
        <v/>
      </c>
      <c r="AG412" s="28" t="str">
        <f t="shared" si="167"/>
        <v/>
      </c>
      <c r="AH412" s="4" t="str">
        <f>IF(AD412&lt;&gt;"",ROUND(AD412*10*SI!$C$9/2,0),"")</f>
        <v/>
      </c>
      <c r="AI412" s="29" t="str">
        <f>IF(AND(X412&lt;&gt;""), ROUND((SI!$E$28)*(X412/SUM($X$5:$X$493)),0),"")</f>
        <v/>
      </c>
      <c r="AJ412" s="4" t="str">
        <f t="shared" si="168"/>
        <v/>
      </c>
      <c r="AK412" s="4" t="str">
        <f t="shared" si="169"/>
        <v/>
      </c>
      <c r="AL412" s="4" t="str">
        <f t="shared" si="170"/>
        <v/>
      </c>
      <c r="AM412" s="4" t="str">
        <f t="shared" si="171"/>
        <v/>
      </c>
      <c r="AN412" s="195" t="str">
        <f t="shared" si="172"/>
        <v/>
      </c>
      <c r="AO412" s="261" t="str">
        <f>IF(AND(AM412&lt;&gt;"",P412&lt;&gt;""),ROUND((AM412*((100+SI!$C$11)/100)),0),"")</f>
        <v/>
      </c>
      <c r="AP412" s="28" t="str">
        <f>IF(AG412&lt;&gt;"",ROUND(AG412/SI!$C$9,2),"")</f>
        <v/>
      </c>
      <c r="AQ412" s="4" t="str">
        <f>IF(AH412&lt;&gt;"",ROUND(AH412/SI!$C$9,2),"")</f>
        <v/>
      </c>
      <c r="AR412" s="29" t="str">
        <f>IF(AI412&lt;&gt;"",ROUND(AI412/SI!$C$9,2),"")</f>
        <v/>
      </c>
      <c r="AS412" s="4" t="str">
        <f t="shared" si="173"/>
        <v/>
      </c>
      <c r="AT412" s="4" t="str">
        <f t="shared" si="174"/>
        <v/>
      </c>
      <c r="AU412" s="4" t="str">
        <f>IF(AL412&lt;&gt;"",ROUND(AL412/SI!$C$9,2),"")</f>
        <v/>
      </c>
      <c r="AV412" s="4" t="str">
        <f>IF(AM412&lt;&gt;"",ROUND(AM412/SI!$C$9,2),"")</f>
        <v/>
      </c>
      <c r="AW412" s="4" t="str">
        <f>IF(AN412&lt;&gt;"",ROUND(AN412/SI!$C$9,2),"")</f>
        <v/>
      </c>
      <c r="AX412" s="261" t="str">
        <f>IF(AO412&lt;&gt;"",ROUND(AO412/SI!$C$9,2),"")</f>
        <v/>
      </c>
      <c r="AY412" s="28" t="str">
        <f t="shared" si="175"/>
        <v/>
      </c>
      <c r="AZ412" s="4" t="str">
        <f>IF(AY412&lt;&gt;"",ROUND(AY412/(SI!$C$9*SI!$C$10),2),"")</f>
        <v/>
      </c>
      <c r="BA412" s="4" t="str">
        <f t="shared" si="176"/>
        <v/>
      </c>
      <c r="BB412" s="4" t="str">
        <f t="shared" si="177"/>
        <v/>
      </c>
      <c r="BC412" s="4" t="str">
        <f t="shared" si="178"/>
        <v/>
      </c>
      <c r="BD412" s="4" t="str">
        <f t="shared" si="179"/>
        <v/>
      </c>
      <c r="BE412" s="4" t="str">
        <f>IF(AND(X412&lt;&gt;""),ROUND(X412/SI!$C$10,2),"")</f>
        <v/>
      </c>
      <c r="BF412" s="4" t="str">
        <f t="shared" si="181"/>
        <v/>
      </c>
      <c r="BG412" s="264" t="str">
        <f t="shared" si="180"/>
        <v/>
      </c>
      <c r="BH412" s="71" t="str">
        <f>IF(F412&lt;&gt;"",VLOOKUP(F412,DUTY_2025!A:O,15,FALSE),"")</f>
        <v/>
      </c>
    </row>
    <row r="413" spans="1:60" x14ac:dyDescent="0.25">
      <c r="A413" s="133">
        <f t="shared" si="156"/>
        <v>66</v>
      </c>
      <c r="B413" s="83" t="str">
        <f t="shared" si="157"/>
        <v/>
      </c>
      <c r="C413" s="126"/>
      <c r="D413" s="130"/>
      <c r="E413" s="22"/>
      <c r="F413" s="85"/>
      <c r="G413" s="27" t="str">
        <f>IF(F413&lt;&gt;"",IFERROR(VLOOKUP(F413,DUTY_2025!A:I,6,FALSE),""),"")</f>
        <v/>
      </c>
      <c r="H413" s="85" t="s">
        <v>133</v>
      </c>
      <c r="I413" s="27" t="str">
        <f>IF(F413&lt;&gt;"",IFERROR(VLOOKUP(F413,DUTY_2025!A:H,2,FALSE),""),"")</f>
        <v/>
      </c>
      <c r="J413" s="98"/>
      <c r="K413" s="98"/>
      <c r="L413" s="22"/>
      <c r="M413" s="22"/>
      <c r="N413" s="84"/>
      <c r="O413" s="22"/>
      <c r="P413" s="116"/>
      <c r="Q413" s="23"/>
      <c r="R413" s="27"/>
      <c r="S413" s="86" t="str">
        <f t="shared" si="158"/>
        <v/>
      </c>
      <c r="T413" s="87" t="str">
        <f t="shared" si="159"/>
        <v/>
      </c>
      <c r="U413" s="87" t="str" cm="1">
        <f t="array" ref="U413">IF(AND(H413&lt;&gt;"YES",P413&lt;&gt;"",R413&lt;&gt;"",Q413&lt;&gt;""),
_xlfn.SWITCH(Q413,
"INR",_xlfn.SWITCH(R413,"KG",P413*S413,"CTN",P413,"UNIT",P413*N413,"NET",P413/M413,0),
"USD",_xlfn.SWITCH(R413,"KG",P413*S413*SI!$C$10,"CTN",P413*SI!$C$10,"UNIT",P413*N413*SI!$C$10,"NET",P413*SI!$C$10/M413,0),
"LKR",_xlfn.SWITCH(R413,"KG",P413*S413/SI!$C$9,"CTN",P413/SI!$C$9,"UNIT",P413*N413/SI!$C$9,"NET",P413/(M413*SI!$C$9),0),
0),
"")</f>
        <v/>
      </c>
      <c r="V413" s="87" t="str">
        <f t="shared" si="160"/>
        <v/>
      </c>
      <c r="W413" s="87" t="str">
        <f t="shared" si="161"/>
        <v/>
      </c>
      <c r="X413" s="88" t="str">
        <f t="shared" si="162"/>
        <v/>
      </c>
      <c r="Y413" s="24" t="str">
        <f t="shared" si="163"/>
        <v/>
      </c>
      <c r="Z413" s="267" t="str">
        <f>IF(AND(H413&lt;&gt;"yes",F413&lt;&gt;""),IFERROR(VLOOKUP(F413,DUTY_2025!A:F,5,FALSE),""),"")</f>
        <v/>
      </c>
      <c r="AA413" s="271" t="str">
        <f t="shared" si="164"/>
        <v/>
      </c>
      <c r="AB413" s="16" t="str">
        <f t="shared" si="165"/>
        <v/>
      </c>
      <c r="AC413" s="16" t="str">
        <f>IF(AA413&lt;&gt;"",ROUND(AA413*SI!$C$9,0),"")</f>
        <v/>
      </c>
      <c r="AD413" s="4" t="str">
        <f>IF(AC413&lt;&gt;"",ROUND(AC413/(SI!$C$9*SI!$C$10),2),"")</f>
        <v/>
      </c>
      <c r="AE413" s="30" t="str">
        <f>IF(AND(X413&lt;&gt;""), ROUND((SI!$E$23)*(X413/SUM($X$5:$X$493)),0),"")</f>
        <v/>
      </c>
      <c r="AF413" s="272" t="str">
        <f t="shared" si="166"/>
        <v/>
      </c>
      <c r="AG413" s="28" t="str">
        <f t="shared" si="167"/>
        <v/>
      </c>
      <c r="AH413" s="4" t="str">
        <f>IF(AD413&lt;&gt;"",ROUND(AD413*10*SI!$C$9/2,0),"")</f>
        <v/>
      </c>
      <c r="AI413" s="29" t="str">
        <f>IF(AND(X413&lt;&gt;""), ROUND((SI!$E$28)*(X413/SUM($X$5:$X$493)),0),"")</f>
        <v/>
      </c>
      <c r="AJ413" s="4" t="str">
        <f t="shared" si="168"/>
        <v/>
      </c>
      <c r="AK413" s="4" t="str">
        <f t="shared" si="169"/>
        <v/>
      </c>
      <c r="AL413" s="4" t="str">
        <f t="shared" si="170"/>
        <v/>
      </c>
      <c r="AM413" s="4" t="str">
        <f t="shared" si="171"/>
        <v/>
      </c>
      <c r="AN413" s="195" t="str">
        <f t="shared" si="172"/>
        <v/>
      </c>
      <c r="AO413" s="261" t="str">
        <f>IF(AND(AM413&lt;&gt;"",P413&lt;&gt;""),ROUND((AM413*((100+SI!$C$11)/100)),0),"")</f>
        <v/>
      </c>
      <c r="AP413" s="28" t="str">
        <f>IF(AG413&lt;&gt;"",ROUND(AG413/SI!$C$9,2),"")</f>
        <v/>
      </c>
      <c r="AQ413" s="4" t="str">
        <f>IF(AH413&lt;&gt;"",ROUND(AH413/SI!$C$9,2),"")</f>
        <v/>
      </c>
      <c r="AR413" s="29" t="str">
        <f>IF(AI413&lt;&gt;"",ROUND(AI413/SI!$C$9,2),"")</f>
        <v/>
      </c>
      <c r="AS413" s="4" t="str">
        <f t="shared" si="173"/>
        <v/>
      </c>
      <c r="AT413" s="4" t="str">
        <f t="shared" si="174"/>
        <v/>
      </c>
      <c r="AU413" s="4" t="str">
        <f>IF(AL413&lt;&gt;"",ROUND(AL413/SI!$C$9,2),"")</f>
        <v/>
      </c>
      <c r="AV413" s="4" t="str">
        <f>IF(AM413&lt;&gt;"",ROUND(AM413/SI!$C$9,2),"")</f>
        <v/>
      </c>
      <c r="AW413" s="4" t="str">
        <f>IF(AN413&lt;&gt;"",ROUND(AN413/SI!$C$9,2),"")</f>
        <v/>
      </c>
      <c r="AX413" s="261" t="str">
        <f>IF(AO413&lt;&gt;"",ROUND(AO413/SI!$C$9,2),"")</f>
        <v/>
      </c>
      <c r="AY413" s="28" t="str">
        <f t="shared" si="175"/>
        <v/>
      </c>
      <c r="AZ413" s="4" t="str">
        <f>IF(AY413&lt;&gt;"",ROUND(AY413/(SI!$C$9*SI!$C$10),2),"")</f>
        <v/>
      </c>
      <c r="BA413" s="4" t="str">
        <f t="shared" si="176"/>
        <v/>
      </c>
      <c r="BB413" s="4" t="str">
        <f t="shared" si="177"/>
        <v/>
      </c>
      <c r="BC413" s="4" t="str">
        <f t="shared" si="178"/>
        <v/>
      </c>
      <c r="BD413" s="4" t="str">
        <f t="shared" si="179"/>
        <v/>
      </c>
      <c r="BE413" s="4" t="str">
        <f>IF(AND(X413&lt;&gt;""),ROUND(X413/SI!$C$10,2),"")</f>
        <v/>
      </c>
      <c r="BF413" s="4" t="str">
        <f t="shared" si="181"/>
        <v/>
      </c>
      <c r="BG413" s="264" t="str">
        <f t="shared" si="180"/>
        <v/>
      </c>
      <c r="BH413" s="71" t="str">
        <f>IF(F413&lt;&gt;"",VLOOKUP(F413,DUTY_2025!A:O,15,FALSE),"")</f>
        <v/>
      </c>
    </row>
    <row r="414" spans="1:60" x14ac:dyDescent="0.25">
      <c r="A414" s="133">
        <f t="shared" si="156"/>
        <v>66</v>
      </c>
      <c r="B414" s="83" t="str">
        <f t="shared" si="157"/>
        <v/>
      </c>
      <c r="C414" s="126"/>
      <c r="D414" s="130"/>
      <c r="E414" s="22"/>
      <c r="F414" s="85"/>
      <c r="G414" s="27" t="str">
        <f>IF(F414&lt;&gt;"",IFERROR(VLOOKUP(F414,DUTY_2025!A:I,6,FALSE),""),"")</f>
        <v/>
      </c>
      <c r="H414" s="85" t="s">
        <v>133</v>
      </c>
      <c r="I414" s="27" t="str">
        <f>IF(F414&lt;&gt;"",IFERROR(VLOOKUP(F414,DUTY_2025!A:H,2,FALSE),""),"")</f>
        <v/>
      </c>
      <c r="J414" s="98"/>
      <c r="K414" s="98"/>
      <c r="L414" s="22"/>
      <c r="M414" s="22"/>
      <c r="N414" s="84"/>
      <c r="O414" s="22"/>
      <c r="P414" s="116"/>
      <c r="Q414" s="23"/>
      <c r="R414" s="27"/>
      <c r="S414" s="86" t="str">
        <f t="shared" si="158"/>
        <v/>
      </c>
      <c r="T414" s="87" t="str">
        <f t="shared" si="159"/>
        <v/>
      </c>
      <c r="U414" s="87" t="str" cm="1">
        <f t="array" ref="U414">IF(AND(H414&lt;&gt;"YES",P414&lt;&gt;"",R414&lt;&gt;"",Q414&lt;&gt;""),
_xlfn.SWITCH(Q414,
"INR",_xlfn.SWITCH(R414,"KG",P414*S414,"CTN",P414,"UNIT",P414*N414,"NET",P414/M414,0),
"USD",_xlfn.SWITCH(R414,"KG",P414*S414*SI!$C$10,"CTN",P414*SI!$C$10,"UNIT",P414*N414*SI!$C$10,"NET",P414*SI!$C$10/M414,0),
"LKR",_xlfn.SWITCH(R414,"KG",P414*S414/SI!$C$9,"CTN",P414/SI!$C$9,"UNIT",P414*N414/SI!$C$9,"NET",P414/(M414*SI!$C$9),0),
0),
"")</f>
        <v/>
      </c>
      <c r="V414" s="87" t="str">
        <f t="shared" si="160"/>
        <v/>
      </c>
      <c r="W414" s="87" t="str">
        <f t="shared" si="161"/>
        <v/>
      </c>
      <c r="X414" s="88" t="str">
        <f t="shared" si="162"/>
        <v/>
      </c>
      <c r="Y414" s="24" t="str">
        <f t="shared" si="163"/>
        <v/>
      </c>
      <c r="Z414" s="267" t="str">
        <f>IF(AND(H414&lt;&gt;"yes",F414&lt;&gt;""),IFERROR(VLOOKUP(F414,DUTY_2025!A:F,5,FALSE),""),"")</f>
        <v/>
      </c>
      <c r="AA414" s="271" t="str">
        <f t="shared" si="164"/>
        <v/>
      </c>
      <c r="AB414" s="16" t="str">
        <f t="shared" si="165"/>
        <v/>
      </c>
      <c r="AC414" s="16" t="str">
        <f>IF(AA414&lt;&gt;"",ROUND(AA414*SI!$C$9,0),"")</f>
        <v/>
      </c>
      <c r="AD414" s="4" t="str">
        <f>IF(AC414&lt;&gt;"",ROUND(AC414/(SI!$C$9*SI!$C$10),2),"")</f>
        <v/>
      </c>
      <c r="AE414" s="30" t="str">
        <f>IF(AND(X414&lt;&gt;""), ROUND((SI!$E$23)*(X414/SUM($X$5:$X$493)),0),"")</f>
        <v/>
      </c>
      <c r="AF414" s="272" t="str">
        <f t="shared" si="166"/>
        <v/>
      </c>
      <c r="AG414" s="28" t="str">
        <f t="shared" si="167"/>
        <v/>
      </c>
      <c r="AH414" s="4" t="str">
        <f>IF(AD414&lt;&gt;"",ROUND(AD414*10*SI!$C$9/2,0),"")</f>
        <v/>
      </c>
      <c r="AI414" s="29" t="str">
        <f>IF(AND(X414&lt;&gt;""), ROUND((SI!$E$28)*(X414/SUM($X$5:$X$493)),0),"")</f>
        <v/>
      </c>
      <c r="AJ414" s="4" t="str">
        <f t="shared" si="168"/>
        <v/>
      </c>
      <c r="AK414" s="4" t="str">
        <f t="shared" si="169"/>
        <v/>
      </c>
      <c r="AL414" s="4" t="str">
        <f t="shared" si="170"/>
        <v/>
      </c>
      <c r="AM414" s="4" t="str">
        <f t="shared" si="171"/>
        <v/>
      </c>
      <c r="AN414" s="195" t="str">
        <f t="shared" si="172"/>
        <v/>
      </c>
      <c r="AO414" s="261" t="str">
        <f>IF(AND(AM414&lt;&gt;"",P414&lt;&gt;""),ROUND((AM414*((100+SI!$C$11)/100)),0),"")</f>
        <v/>
      </c>
      <c r="AP414" s="28" t="str">
        <f>IF(AG414&lt;&gt;"",ROUND(AG414/SI!$C$9,2),"")</f>
        <v/>
      </c>
      <c r="AQ414" s="4" t="str">
        <f>IF(AH414&lt;&gt;"",ROUND(AH414/SI!$C$9,2),"")</f>
        <v/>
      </c>
      <c r="AR414" s="29" t="str">
        <f>IF(AI414&lt;&gt;"",ROUND(AI414/SI!$C$9,2),"")</f>
        <v/>
      </c>
      <c r="AS414" s="4" t="str">
        <f t="shared" si="173"/>
        <v/>
      </c>
      <c r="AT414" s="4" t="str">
        <f t="shared" si="174"/>
        <v/>
      </c>
      <c r="AU414" s="4" t="str">
        <f>IF(AL414&lt;&gt;"",ROUND(AL414/SI!$C$9,2),"")</f>
        <v/>
      </c>
      <c r="AV414" s="4" t="str">
        <f>IF(AM414&lt;&gt;"",ROUND(AM414/SI!$C$9,2),"")</f>
        <v/>
      </c>
      <c r="AW414" s="4" t="str">
        <f>IF(AN414&lt;&gt;"",ROUND(AN414/SI!$C$9,2),"")</f>
        <v/>
      </c>
      <c r="AX414" s="261" t="str">
        <f>IF(AO414&lt;&gt;"",ROUND(AO414/SI!$C$9,2),"")</f>
        <v/>
      </c>
      <c r="AY414" s="28" t="str">
        <f t="shared" si="175"/>
        <v/>
      </c>
      <c r="AZ414" s="4" t="str">
        <f>IF(AY414&lt;&gt;"",ROUND(AY414/(SI!$C$9*SI!$C$10),2),"")</f>
        <v/>
      </c>
      <c r="BA414" s="4" t="str">
        <f t="shared" si="176"/>
        <v/>
      </c>
      <c r="BB414" s="4" t="str">
        <f t="shared" si="177"/>
        <v/>
      </c>
      <c r="BC414" s="4" t="str">
        <f t="shared" si="178"/>
        <v/>
      </c>
      <c r="BD414" s="4" t="str">
        <f t="shared" si="179"/>
        <v/>
      </c>
      <c r="BE414" s="4" t="str">
        <f>IF(AND(X414&lt;&gt;""),ROUND(X414/SI!$C$10,2),"")</f>
        <v/>
      </c>
      <c r="BF414" s="4" t="str">
        <f t="shared" si="181"/>
        <v/>
      </c>
      <c r="BG414" s="264" t="str">
        <f t="shared" si="180"/>
        <v/>
      </c>
      <c r="BH414" s="71" t="str">
        <f>IF(F414&lt;&gt;"",VLOOKUP(F414,DUTY_2025!A:O,15,FALSE),"")</f>
        <v/>
      </c>
    </row>
    <row r="415" spans="1:60" x14ac:dyDescent="0.25">
      <c r="A415" s="133">
        <f t="shared" si="156"/>
        <v>66</v>
      </c>
      <c r="B415" s="83" t="str">
        <f t="shared" si="157"/>
        <v/>
      </c>
      <c r="C415" s="126"/>
      <c r="D415" s="130"/>
      <c r="E415" s="22"/>
      <c r="F415" s="85"/>
      <c r="G415" s="27" t="str">
        <f>IF(F415&lt;&gt;"",IFERROR(VLOOKUP(F415,DUTY_2025!A:I,6,FALSE),""),"")</f>
        <v/>
      </c>
      <c r="H415" s="85" t="s">
        <v>133</v>
      </c>
      <c r="I415" s="27" t="str">
        <f>IF(F415&lt;&gt;"",IFERROR(VLOOKUP(F415,DUTY_2025!A:H,2,FALSE),""),"")</f>
        <v/>
      </c>
      <c r="J415" s="98"/>
      <c r="K415" s="98"/>
      <c r="L415" s="22"/>
      <c r="M415" s="22"/>
      <c r="N415" s="84"/>
      <c r="O415" s="22"/>
      <c r="P415" s="116"/>
      <c r="Q415" s="23"/>
      <c r="R415" s="27"/>
      <c r="S415" s="86" t="str">
        <f t="shared" si="158"/>
        <v/>
      </c>
      <c r="T415" s="87" t="str">
        <f t="shared" si="159"/>
        <v/>
      </c>
      <c r="U415" s="87" t="str" cm="1">
        <f t="array" ref="U415">IF(AND(H415&lt;&gt;"YES",P415&lt;&gt;"",R415&lt;&gt;"",Q415&lt;&gt;""),
_xlfn.SWITCH(Q415,
"INR",_xlfn.SWITCH(R415,"KG",P415*S415,"CTN",P415,"UNIT",P415*N415,"NET",P415/M415,0),
"USD",_xlfn.SWITCH(R415,"KG",P415*S415*SI!$C$10,"CTN",P415*SI!$C$10,"UNIT",P415*N415*SI!$C$10,"NET",P415*SI!$C$10/M415,0),
"LKR",_xlfn.SWITCH(R415,"KG",P415*S415/SI!$C$9,"CTN",P415/SI!$C$9,"UNIT",P415*N415/SI!$C$9,"NET",P415/(M415*SI!$C$9),0),
0),
"")</f>
        <v/>
      </c>
      <c r="V415" s="87" t="str">
        <f t="shared" si="160"/>
        <v/>
      </c>
      <c r="W415" s="87" t="str">
        <f t="shared" si="161"/>
        <v/>
      </c>
      <c r="X415" s="88" t="str">
        <f t="shared" si="162"/>
        <v/>
      </c>
      <c r="Y415" s="24" t="str">
        <f t="shared" si="163"/>
        <v/>
      </c>
      <c r="Z415" s="267" t="str">
        <f>IF(AND(H415&lt;&gt;"yes",F415&lt;&gt;""),IFERROR(VLOOKUP(F415,DUTY_2025!A:F,5,FALSE),""),"")</f>
        <v/>
      </c>
      <c r="AA415" s="271" t="str">
        <f t="shared" si="164"/>
        <v/>
      </c>
      <c r="AB415" s="16" t="str">
        <f t="shared" si="165"/>
        <v/>
      </c>
      <c r="AC415" s="16" t="str">
        <f>IF(AA415&lt;&gt;"",ROUND(AA415*SI!$C$9,0),"")</f>
        <v/>
      </c>
      <c r="AD415" s="4" t="str">
        <f>IF(AC415&lt;&gt;"",ROUND(AC415/(SI!$C$9*SI!$C$10),2),"")</f>
        <v/>
      </c>
      <c r="AE415" s="30" t="str">
        <f>IF(AND(X415&lt;&gt;""), ROUND((SI!$E$23)*(X415/SUM($X$5:$X$493)),0),"")</f>
        <v/>
      </c>
      <c r="AF415" s="272" t="str">
        <f t="shared" si="166"/>
        <v/>
      </c>
      <c r="AG415" s="28" t="str">
        <f t="shared" si="167"/>
        <v/>
      </c>
      <c r="AH415" s="4" t="str">
        <f>IF(AD415&lt;&gt;"",ROUND(AD415*10*SI!$C$9/2,0),"")</f>
        <v/>
      </c>
      <c r="AI415" s="29" t="str">
        <f>IF(AND(X415&lt;&gt;""), ROUND((SI!$E$28)*(X415/SUM($X$5:$X$493)),0),"")</f>
        <v/>
      </c>
      <c r="AJ415" s="4" t="str">
        <f t="shared" si="168"/>
        <v/>
      </c>
      <c r="AK415" s="4" t="str">
        <f t="shared" si="169"/>
        <v/>
      </c>
      <c r="AL415" s="4" t="str">
        <f t="shared" si="170"/>
        <v/>
      </c>
      <c r="AM415" s="4" t="str">
        <f t="shared" si="171"/>
        <v/>
      </c>
      <c r="AN415" s="195" t="str">
        <f t="shared" si="172"/>
        <v/>
      </c>
      <c r="AO415" s="261" t="str">
        <f>IF(AND(AM415&lt;&gt;"",P415&lt;&gt;""),ROUND((AM415*((100+SI!$C$11)/100)),0),"")</f>
        <v/>
      </c>
      <c r="AP415" s="28" t="str">
        <f>IF(AG415&lt;&gt;"",ROUND(AG415/SI!$C$9,2),"")</f>
        <v/>
      </c>
      <c r="AQ415" s="4" t="str">
        <f>IF(AH415&lt;&gt;"",ROUND(AH415/SI!$C$9,2),"")</f>
        <v/>
      </c>
      <c r="AR415" s="29" t="str">
        <f>IF(AI415&lt;&gt;"",ROUND(AI415/SI!$C$9,2),"")</f>
        <v/>
      </c>
      <c r="AS415" s="4" t="str">
        <f t="shared" si="173"/>
        <v/>
      </c>
      <c r="AT415" s="4" t="str">
        <f t="shared" si="174"/>
        <v/>
      </c>
      <c r="AU415" s="4" t="str">
        <f>IF(AL415&lt;&gt;"",ROUND(AL415/SI!$C$9,2),"")</f>
        <v/>
      </c>
      <c r="AV415" s="4" t="str">
        <f>IF(AM415&lt;&gt;"",ROUND(AM415/SI!$C$9,2),"")</f>
        <v/>
      </c>
      <c r="AW415" s="4" t="str">
        <f>IF(AN415&lt;&gt;"",ROUND(AN415/SI!$C$9,2),"")</f>
        <v/>
      </c>
      <c r="AX415" s="261" t="str">
        <f>IF(AO415&lt;&gt;"",ROUND(AO415/SI!$C$9,2),"")</f>
        <v/>
      </c>
      <c r="AY415" s="28" t="str">
        <f t="shared" si="175"/>
        <v/>
      </c>
      <c r="AZ415" s="4" t="str">
        <f>IF(AY415&lt;&gt;"",ROUND(AY415/(SI!$C$9*SI!$C$10),2),"")</f>
        <v/>
      </c>
      <c r="BA415" s="4" t="str">
        <f t="shared" si="176"/>
        <v/>
      </c>
      <c r="BB415" s="4" t="str">
        <f t="shared" si="177"/>
        <v/>
      </c>
      <c r="BC415" s="4" t="str">
        <f t="shared" si="178"/>
        <v/>
      </c>
      <c r="BD415" s="4" t="str">
        <f t="shared" si="179"/>
        <v/>
      </c>
      <c r="BE415" s="4" t="str">
        <f>IF(AND(X415&lt;&gt;""),ROUND(X415/SI!$C$10,2),"")</f>
        <v/>
      </c>
      <c r="BF415" s="4" t="str">
        <f t="shared" si="181"/>
        <v/>
      </c>
      <c r="BG415" s="264" t="str">
        <f t="shared" si="180"/>
        <v/>
      </c>
      <c r="BH415" s="71" t="str">
        <f>IF(F415&lt;&gt;"",VLOOKUP(F415,DUTY_2025!A:O,15,FALSE),"")</f>
        <v/>
      </c>
    </row>
    <row r="416" spans="1:60" x14ac:dyDescent="0.25">
      <c r="A416" s="133">
        <f t="shared" si="156"/>
        <v>66</v>
      </c>
      <c r="B416" s="83" t="str">
        <f t="shared" si="157"/>
        <v/>
      </c>
      <c r="C416" s="126"/>
      <c r="D416" s="130"/>
      <c r="E416" s="22"/>
      <c r="F416" s="85"/>
      <c r="G416" s="27" t="str">
        <f>IF(F416&lt;&gt;"",IFERROR(VLOOKUP(F416,DUTY_2025!A:I,6,FALSE),""),"")</f>
        <v/>
      </c>
      <c r="H416" s="85" t="s">
        <v>133</v>
      </c>
      <c r="I416" s="27" t="str">
        <f>IF(F416&lt;&gt;"",IFERROR(VLOOKUP(F416,DUTY_2025!A:H,2,FALSE),""),"")</f>
        <v/>
      </c>
      <c r="J416" s="98"/>
      <c r="K416" s="98"/>
      <c r="L416" s="22"/>
      <c r="M416" s="22"/>
      <c r="N416" s="84"/>
      <c r="O416" s="22"/>
      <c r="P416" s="116"/>
      <c r="Q416" s="23"/>
      <c r="R416" s="27"/>
      <c r="S416" s="86" t="str">
        <f t="shared" si="158"/>
        <v/>
      </c>
      <c r="T416" s="87" t="str">
        <f t="shared" si="159"/>
        <v/>
      </c>
      <c r="U416" s="87" t="str" cm="1">
        <f t="array" ref="U416">IF(AND(H416&lt;&gt;"YES",P416&lt;&gt;"",R416&lt;&gt;"",Q416&lt;&gt;""),
_xlfn.SWITCH(Q416,
"INR",_xlfn.SWITCH(R416,"KG",P416*S416,"CTN",P416,"UNIT",P416*N416,"NET",P416/M416,0),
"USD",_xlfn.SWITCH(R416,"KG",P416*S416*SI!$C$10,"CTN",P416*SI!$C$10,"UNIT",P416*N416*SI!$C$10,"NET",P416*SI!$C$10/M416,0),
"LKR",_xlfn.SWITCH(R416,"KG",P416*S416/SI!$C$9,"CTN",P416/SI!$C$9,"UNIT",P416*N416/SI!$C$9,"NET",P416/(M416*SI!$C$9),0),
0),
"")</f>
        <v/>
      </c>
      <c r="V416" s="87" t="str">
        <f t="shared" si="160"/>
        <v/>
      </c>
      <c r="W416" s="87" t="str">
        <f t="shared" si="161"/>
        <v/>
      </c>
      <c r="X416" s="88" t="str">
        <f t="shared" si="162"/>
        <v/>
      </c>
      <c r="Y416" s="24" t="str">
        <f t="shared" si="163"/>
        <v/>
      </c>
      <c r="Z416" s="267" t="str">
        <f>IF(AND(H416&lt;&gt;"yes",F416&lt;&gt;""),IFERROR(VLOOKUP(F416,DUTY_2025!A:F,5,FALSE),""),"")</f>
        <v/>
      </c>
      <c r="AA416" s="271" t="str">
        <f t="shared" si="164"/>
        <v/>
      </c>
      <c r="AB416" s="16" t="str">
        <f t="shared" si="165"/>
        <v/>
      </c>
      <c r="AC416" s="16" t="str">
        <f>IF(AA416&lt;&gt;"",ROUND(AA416*SI!$C$9,0),"")</f>
        <v/>
      </c>
      <c r="AD416" s="4" t="str">
        <f>IF(AC416&lt;&gt;"",ROUND(AC416/(SI!$C$9*SI!$C$10),2),"")</f>
        <v/>
      </c>
      <c r="AE416" s="30" t="str">
        <f>IF(AND(X416&lt;&gt;""), ROUND((SI!$E$23)*(X416/SUM($X$5:$X$493)),0),"")</f>
        <v/>
      </c>
      <c r="AF416" s="272" t="str">
        <f t="shared" si="166"/>
        <v/>
      </c>
      <c r="AG416" s="28" t="str">
        <f t="shared" si="167"/>
        <v/>
      </c>
      <c r="AH416" s="4" t="str">
        <f>IF(AD416&lt;&gt;"",ROUND(AD416*10*SI!$C$9/2,0),"")</f>
        <v/>
      </c>
      <c r="AI416" s="29" t="str">
        <f>IF(AND(X416&lt;&gt;""), ROUND((SI!$E$28)*(X416/SUM($X$5:$X$493)),0),"")</f>
        <v/>
      </c>
      <c r="AJ416" s="4" t="str">
        <f t="shared" si="168"/>
        <v/>
      </c>
      <c r="AK416" s="4" t="str">
        <f t="shared" si="169"/>
        <v/>
      </c>
      <c r="AL416" s="4" t="str">
        <f t="shared" si="170"/>
        <v/>
      </c>
      <c r="AM416" s="4" t="str">
        <f t="shared" si="171"/>
        <v/>
      </c>
      <c r="AN416" s="195" t="str">
        <f t="shared" si="172"/>
        <v/>
      </c>
      <c r="AO416" s="261" t="str">
        <f>IF(AND(AM416&lt;&gt;"",P416&lt;&gt;""),ROUND((AM416*((100+SI!$C$11)/100)),0),"")</f>
        <v/>
      </c>
      <c r="AP416" s="28" t="str">
        <f>IF(AG416&lt;&gt;"",ROUND(AG416/SI!$C$9,2),"")</f>
        <v/>
      </c>
      <c r="AQ416" s="4" t="str">
        <f>IF(AH416&lt;&gt;"",ROUND(AH416/SI!$C$9,2),"")</f>
        <v/>
      </c>
      <c r="AR416" s="29" t="str">
        <f>IF(AI416&lt;&gt;"",ROUND(AI416/SI!$C$9,2),"")</f>
        <v/>
      </c>
      <c r="AS416" s="4" t="str">
        <f t="shared" si="173"/>
        <v/>
      </c>
      <c r="AT416" s="4" t="str">
        <f t="shared" si="174"/>
        <v/>
      </c>
      <c r="AU416" s="4" t="str">
        <f>IF(AL416&lt;&gt;"",ROUND(AL416/SI!$C$9,2),"")</f>
        <v/>
      </c>
      <c r="AV416" s="4" t="str">
        <f>IF(AM416&lt;&gt;"",ROUND(AM416/SI!$C$9,2),"")</f>
        <v/>
      </c>
      <c r="AW416" s="4" t="str">
        <f>IF(AN416&lt;&gt;"",ROUND(AN416/SI!$C$9,2),"")</f>
        <v/>
      </c>
      <c r="AX416" s="261" t="str">
        <f>IF(AO416&lt;&gt;"",ROUND(AO416/SI!$C$9,2),"")</f>
        <v/>
      </c>
      <c r="AY416" s="28" t="str">
        <f t="shared" si="175"/>
        <v/>
      </c>
      <c r="AZ416" s="4" t="str">
        <f>IF(AY416&lt;&gt;"",ROUND(AY416/(SI!$C$9*SI!$C$10),2),"")</f>
        <v/>
      </c>
      <c r="BA416" s="4" t="str">
        <f t="shared" si="176"/>
        <v/>
      </c>
      <c r="BB416" s="4" t="str">
        <f t="shared" si="177"/>
        <v/>
      </c>
      <c r="BC416" s="4" t="str">
        <f t="shared" si="178"/>
        <v/>
      </c>
      <c r="BD416" s="4" t="str">
        <f t="shared" si="179"/>
        <v/>
      </c>
      <c r="BE416" s="4" t="str">
        <f>IF(AND(X416&lt;&gt;""),ROUND(X416/SI!$C$10,2),"")</f>
        <v/>
      </c>
      <c r="BF416" s="4" t="str">
        <f t="shared" si="181"/>
        <v/>
      </c>
      <c r="BG416" s="264" t="str">
        <f t="shared" si="180"/>
        <v/>
      </c>
      <c r="BH416" s="71" t="str">
        <f>IF(F416&lt;&gt;"",VLOOKUP(F416,DUTY_2025!A:O,15,FALSE),"")</f>
        <v/>
      </c>
    </row>
    <row r="417" spans="1:60" x14ac:dyDescent="0.25">
      <c r="A417" s="133">
        <f t="shared" si="156"/>
        <v>66</v>
      </c>
      <c r="B417" s="83" t="str">
        <f t="shared" si="157"/>
        <v/>
      </c>
      <c r="C417" s="126"/>
      <c r="D417" s="130"/>
      <c r="E417" s="22"/>
      <c r="F417" s="85"/>
      <c r="G417" s="27" t="str">
        <f>IF(F417&lt;&gt;"",IFERROR(VLOOKUP(F417,DUTY_2025!A:I,6,FALSE),""),"")</f>
        <v/>
      </c>
      <c r="H417" s="85" t="s">
        <v>133</v>
      </c>
      <c r="I417" s="27" t="str">
        <f>IF(F417&lt;&gt;"",IFERROR(VLOOKUP(F417,DUTY_2025!A:H,2,FALSE),""),"")</f>
        <v/>
      </c>
      <c r="J417" s="98"/>
      <c r="K417" s="98"/>
      <c r="L417" s="22"/>
      <c r="M417" s="22"/>
      <c r="N417" s="84"/>
      <c r="O417" s="22"/>
      <c r="P417" s="116"/>
      <c r="Q417" s="23"/>
      <c r="R417" s="27"/>
      <c r="S417" s="86" t="str">
        <f t="shared" si="158"/>
        <v/>
      </c>
      <c r="T417" s="87" t="str">
        <f t="shared" si="159"/>
        <v/>
      </c>
      <c r="U417" s="87" t="str" cm="1">
        <f t="array" ref="U417">IF(AND(H417&lt;&gt;"YES",P417&lt;&gt;"",R417&lt;&gt;"",Q417&lt;&gt;""),
_xlfn.SWITCH(Q417,
"INR",_xlfn.SWITCH(R417,"KG",P417*S417,"CTN",P417,"UNIT",P417*N417,"NET",P417/M417,0),
"USD",_xlfn.SWITCH(R417,"KG",P417*S417*SI!$C$10,"CTN",P417*SI!$C$10,"UNIT",P417*N417*SI!$C$10,"NET",P417*SI!$C$10/M417,0),
"LKR",_xlfn.SWITCH(R417,"KG",P417*S417/SI!$C$9,"CTN",P417/SI!$C$9,"UNIT",P417*N417/SI!$C$9,"NET",P417/(M417*SI!$C$9),0),
0),
"")</f>
        <v/>
      </c>
      <c r="V417" s="87" t="str">
        <f t="shared" si="160"/>
        <v/>
      </c>
      <c r="W417" s="87" t="str">
        <f t="shared" si="161"/>
        <v/>
      </c>
      <c r="X417" s="88" t="str">
        <f t="shared" si="162"/>
        <v/>
      </c>
      <c r="Y417" s="24" t="str">
        <f t="shared" si="163"/>
        <v/>
      </c>
      <c r="Z417" s="267" t="str">
        <f>IF(AND(H417&lt;&gt;"yes",F417&lt;&gt;""),IFERROR(VLOOKUP(F417,DUTY_2025!A:F,5,FALSE),""),"")</f>
        <v/>
      </c>
      <c r="AA417" s="271" t="str">
        <f t="shared" si="164"/>
        <v/>
      </c>
      <c r="AB417" s="16" t="str">
        <f t="shared" si="165"/>
        <v/>
      </c>
      <c r="AC417" s="16" t="str">
        <f>IF(AA417&lt;&gt;"",ROUND(AA417*SI!$C$9,0),"")</f>
        <v/>
      </c>
      <c r="AD417" s="4" t="str">
        <f>IF(AC417&lt;&gt;"",ROUND(AC417/(SI!$C$9*SI!$C$10),2),"")</f>
        <v/>
      </c>
      <c r="AE417" s="30" t="str">
        <f>IF(AND(X417&lt;&gt;""), ROUND((SI!$E$23)*(X417/SUM($X$5:$X$493)),0),"")</f>
        <v/>
      </c>
      <c r="AF417" s="272" t="str">
        <f t="shared" si="166"/>
        <v/>
      </c>
      <c r="AG417" s="28" t="str">
        <f t="shared" si="167"/>
        <v/>
      </c>
      <c r="AH417" s="4" t="str">
        <f>IF(AD417&lt;&gt;"",ROUND(AD417*10*SI!$C$9/2,0),"")</f>
        <v/>
      </c>
      <c r="AI417" s="29" t="str">
        <f>IF(AND(X417&lt;&gt;""), ROUND((SI!$E$28)*(X417/SUM($X$5:$X$493)),0),"")</f>
        <v/>
      </c>
      <c r="AJ417" s="4" t="str">
        <f t="shared" si="168"/>
        <v/>
      </c>
      <c r="AK417" s="4" t="str">
        <f t="shared" si="169"/>
        <v/>
      </c>
      <c r="AL417" s="4" t="str">
        <f t="shared" si="170"/>
        <v/>
      </c>
      <c r="AM417" s="4" t="str">
        <f t="shared" si="171"/>
        <v/>
      </c>
      <c r="AN417" s="195" t="str">
        <f t="shared" si="172"/>
        <v/>
      </c>
      <c r="AO417" s="261" t="str">
        <f>IF(AND(AM417&lt;&gt;"",P417&lt;&gt;""),ROUND((AM417*((100+SI!$C$11)/100)),0),"")</f>
        <v/>
      </c>
      <c r="AP417" s="28" t="str">
        <f>IF(AG417&lt;&gt;"",ROUND(AG417/SI!$C$9,2),"")</f>
        <v/>
      </c>
      <c r="AQ417" s="4" t="str">
        <f>IF(AH417&lt;&gt;"",ROUND(AH417/SI!$C$9,2),"")</f>
        <v/>
      </c>
      <c r="AR417" s="29" t="str">
        <f>IF(AI417&lt;&gt;"",ROUND(AI417/SI!$C$9,2),"")</f>
        <v/>
      </c>
      <c r="AS417" s="4" t="str">
        <f t="shared" si="173"/>
        <v/>
      </c>
      <c r="AT417" s="4" t="str">
        <f t="shared" si="174"/>
        <v/>
      </c>
      <c r="AU417" s="4" t="str">
        <f>IF(AL417&lt;&gt;"",ROUND(AL417/SI!$C$9,2),"")</f>
        <v/>
      </c>
      <c r="AV417" s="4" t="str">
        <f>IF(AM417&lt;&gt;"",ROUND(AM417/SI!$C$9,2),"")</f>
        <v/>
      </c>
      <c r="AW417" s="4" t="str">
        <f>IF(AN417&lt;&gt;"",ROUND(AN417/SI!$C$9,2),"")</f>
        <v/>
      </c>
      <c r="AX417" s="261" t="str">
        <f>IF(AO417&lt;&gt;"",ROUND(AO417/SI!$C$9,2),"")</f>
        <v/>
      </c>
      <c r="AY417" s="28" t="str">
        <f t="shared" si="175"/>
        <v/>
      </c>
      <c r="AZ417" s="4" t="str">
        <f>IF(AY417&lt;&gt;"",ROUND(AY417/(SI!$C$9*SI!$C$10),2),"")</f>
        <v/>
      </c>
      <c r="BA417" s="4" t="str">
        <f t="shared" si="176"/>
        <v/>
      </c>
      <c r="BB417" s="4" t="str">
        <f t="shared" si="177"/>
        <v/>
      </c>
      <c r="BC417" s="4" t="str">
        <f t="shared" si="178"/>
        <v/>
      </c>
      <c r="BD417" s="4" t="str">
        <f t="shared" si="179"/>
        <v/>
      </c>
      <c r="BE417" s="4" t="str">
        <f>IF(AND(X417&lt;&gt;""),ROUND(X417/SI!$C$10,2),"")</f>
        <v/>
      </c>
      <c r="BF417" s="4" t="str">
        <f t="shared" si="181"/>
        <v/>
      </c>
      <c r="BG417" s="264" t="str">
        <f t="shared" si="180"/>
        <v/>
      </c>
      <c r="BH417" s="71" t="str">
        <f>IF(F417&lt;&gt;"",VLOOKUP(F417,DUTY_2025!A:O,15,FALSE),"")</f>
        <v/>
      </c>
    </row>
    <row r="418" spans="1:60" x14ac:dyDescent="0.25">
      <c r="A418" s="133">
        <f t="shared" si="156"/>
        <v>66</v>
      </c>
      <c r="B418" s="83" t="str">
        <f t="shared" si="157"/>
        <v/>
      </c>
      <c r="C418" s="126"/>
      <c r="D418" s="130"/>
      <c r="E418" s="22"/>
      <c r="F418" s="85"/>
      <c r="G418" s="27" t="str">
        <f>IF(F418&lt;&gt;"",IFERROR(VLOOKUP(F418,DUTY_2025!A:I,6,FALSE),""),"")</f>
        <v/>
      </c>
      <c r="H418" s="85" t="s">
        <v>133</v>
      </c>
      <c r="I418" s="27" t="str">
        <f>IF(F418&lt;&gt;"",IFERROR(VLOOKUP(F418,DUTY_2025!A:H,2,FALSE),""),"")</f>
        <v/>
      </c>
      <c r="J418" s="98"/>
      <c r="K418" s="98"/>
      <c r="L418" s="22"/>
      <c r="M418" s="22"/>
      <c r="N418" s="84"/>
      <c r="O418" s="22"/>
      <c r="P418" s="116"/>
      <c r="Q418" s="23"/>
      <c r="R418" s="27"/>
      <c r="S418" s="86" t="str">
        <f t="shared" si="158"/>
        <v/>
      </c>
      <c r="T418" s="87" t="str">
        <f t="shared" si="159"/>
        <v/>
      </c>
      <c r="U418" s="87" t="str" cm="1">
        <f t="array" ref="U418">IF(AND(H418&lt;&gt;"YES",P418&lt;&gt;"",R418&lt;&gt;"",Q418&lt;&gt;""),
_xlfn.SWITCH(Q418,
"INR",_xlfn.SWITCH(R418,"KG",P418*S418,"CTN",P418,"UNIT",P418*N418,"NET",P418/M418,0),
"USD",_xlfn.SWITCH(R418,"KG",P418*S418*SI!$C$10,"CTN",P418*SI!$C$10,"UNIT",P418*N418*SI!$C$10,"NET",P418*SI!$C$10/M418,0),
"LKR",_xlfn.SWITCH(R418,"KG",P418*S418/SI!$C$9,"CTN",P418/SI!$C$9,"UNIT",P418*N418/SI!$C$9,"NET",P418/(M418*SI!$C$9),0),
0),
"")</f>
        <v/>
      </c>
      <c r="V418" s="87" t="str">
        <f t="shared" si="160"/>
        <v/>
      </c>
      <c r="W418" s="87" t="str">
        <f t="shared" si="161"/>
        <v/>
      </c>
      <c r="X418" s="88" t="str">
        <f t="shared" si="162"/>
        <v/>
      </c>
      <c r="Y418" s="24" t="str">
        <f t="shared" si="163"/>
        <v/>
      </c>
      <c r="Z418" s="267" t="str">
        <f>IF(AND(H418&lt;&gt;"yes",F418&lt;&gt;""),IFERROR(VLOOKUP(F418,DUTY_2025!A:F,5,FALSE),""),"")</f>
        <v/>
      </c>
      <c r="AA418" s="271" t="str">
        <f t="shared" si="164"/>
        <v/>
      </c>
      <c r="AB418" s="16" t="str">
        <f t="shared" si="165"/>
        <v/>
      </c>
      <c r="AC418" s="16" t="str">
        <f>IF(AA418&lt;&gt;"",ROUND(AA418*SI!$C$9,0),"")</f>
        <v/>
      </c>
      <c r="AD418" s="4" t="str">
        <f>IF(AC418&lt;&gt;"",ROUND(AC418/(SI!$C$9*SI!$C$10),2),"")</f>
        <v/>
      </c>
      <c r="AE418" s="30" t="str">
        <f>IF(AND(X418&lt;&gt;""), ROUND((SI!$E$23)*(X418/SUM($X$5:$X$493)),0),"")</f>
        <v/>
      </c>
      <c r="AF418" s="272" t="str">
        <f t="shared" si="166"/>
        <v/>
      </c>
      <c r="AG418" s="28" t="str">
        <f t="shared" si="167"/>
        <v/>
      </c>
      <c r="AH418" s="4" t="str">
        <f>IF(AD418&lt;&gt;"",ROUND(AD418*10*SI!$C$9/2,0),"")</f>
        <v/>
      </c>
      <c r="AI418" s="29" t="str">
        <f>IF(AND(X418&lt;&gt;""), ROUND((SI!$E$28)*(X418/SUM($X$5:$X$493)),0),"")</f>
        <v/>
      </c>
      <c r="AJ418" s="4" t="str">
        <f t="shared" si="168"/>
        <v/>
      </c>
      <c r="AK418" s="4" t="str">
        <f t="shared" si="169"/>
        <v/>
      </c>
      <c r="AL418" s="4" t="str">
        <f t="shared" si="170"/>
        <v/>
      </c>
      <c r="AM418" s="4" t="str">
        <f t="shared" si="171"/>
        <v/>
      </c>
      <c r="AN418" s="195" t="str">
        <f t="shared" si="172"/>
        <v/>
      </c>
      <c r="AO418" s="261" t="str">
        <f>IF(AND(AM418&lt;&gt;"",P418&lt;&gt;""),ROUND((AM418*((100+SI!$C$11)/100)),0),"")</f>
        <v/>
      </c>
      <c r="AP418" s="28" t="str">
        <f>IF(AG418&lt;&gt;"",ROUND(AG418/SI!$C$9,2),"")</f>
        <v/>
      </c>
      <c r="AQ418" s="4" t="str">
        <f>IF(AH418&lt;&gt;"",ROUND(AH418/SI!$C$9,2),"")</f>
        <v/>
      </c>
      <c r="AR418" s="29" t="str">
        <f>IF(AI418&lt;&gt;"",ROUND(AI418/SI!$C$9,2),"")</f>
        <v/>
      </c>
      <c r="AS418" s="4" t="str">
        <f t="shared" si="173"/>
        <v/>
      </c>
      <c r="AT418" s="4" t="str">
        <f t="shared" si="174"/>
        <v/>
      </c>
      <c r="AU418" s="4" t="str">
        <f>IF(AL418&lt;&gt;"",ROUND(AL418/SI!$C$9,2),"")</f>
        <v/>
      </c>
      <c r="AV418" s="4" t="str">
        <f>IF(AM418&lt;&gt;"",ROUND(AM418/SI!$C$9,2),"")</f>
        <v/>
      </c>
      <c r="AW418" s="4" t="str">
        <f>IF(AN418&lt;&gt;"",ROUND(AN418/SI!$C$9,2),"")</f>
        <v/>
      </c>
      <c r="AX418" s="261" t="str">
        <f>IF(AO418&lt;&gt;"",ROUND(AO418/SI!$C$9,2),"")</f>
        <v/>
      </c>
      <c r="AY418" s="28" t="str">
        <f t="shared" si="175"/>
        <v/>
      </c>
      <c r="AZ418" s="4" t="str">
        <f>IF(AY418&lt;&gt;"",ROUND(AY418/(SI!$C$9*SI!$C$10),2),"")</f>
        <v/>
      </c>
      <c r="BA418" s="4" t="str">
        <f t="shared" si="176"/>
        <v/>
      </c>
      <c r="BB418" s="4" t="str">
        <f t="shared" si="177"/>
        <v/>
      </c>
      <c r="BC418" s="4" t="str">
        <f t="shared" si="178"/>
        <v/>
      </c>
      <c r="BD418" s="4" t="str">
        <f t="shared" si="179"/>
        <v/>
      </c>
      <c r="BE418" s="4" t="str">
        <f>IF(AND(X418&lt;&gt;""),ROUND(X418/SI!$C$10,2),"")</f>
        <v/>
      </c>
      <c r="BF418" s="4" t="str">
        <f t="shared" si="181"/>
        <v/>
      </c>
      <c r="BG418" s="264" t="str">
        <f t="shared" si="180"/>
        <v/>
      </c>
      <c r="BH418" s="71" t="str">
        <f>IF(F418&lt;&gt;"",VLOOKUP(F418,DUTY_2025!A:O,15,FALSE),"")</f>
        <v/>
      </c>
    </row>
    <row r="419" spans="1:60" x14ac:dyDescent="0.25">
      <c r="A419" s="133">
        <f t="shared" si="156"/>
        <v>66</v>
      </c>
      <c r="B419" s="83" t="str">
        <f t="shared" si="157"/>
        <v/>
      </c>
      <c r="C419" s="126"/>
      <c r="D419" s="130"/>
      <c r="E419" s="22"/>
      <c r="F419" s="85"/>
      <c r="G419" s="27" t="str">
        <f>IF(F419&lt;&gt;"",IFERROR(VLOOKUP(F419,DUTY_2025!A:I,6,FALSE),""),"")</f>
        <v/>
      </c>
      <c r="H419" s="85" t="s">
        <v>133</v>
      </c>
      <c r="I419" s="27" t="str">
        <f>IF(F419&lt;&gt;"",IFERROR(VLOOKUP(F419,DUTY_2025!A:H,2,FALSE),""),"")</f>
        <v/>
      </c>
      <c r="J419" s="98"/>
      <c r="K419" s="98"/>
      <c r="L419" s="22"/>
      <c r="M419" s="22"/>
      <c r="N419" s="84"/>
      <c r="O419" s="22"/>
      <c r="P419" s="116"/>
      <c r="Q419" s="23"/>
      <c r="R419" s="27"/>
      <c r="S419" s="86" t="str">
        <f t="shared" si="158"/>
        <v/>
      </c>
      <c r="T419" s="87" t="str">
        <f t="shared" si="159"/>
        <v/>
      </c>
      <c r="U419" s="87" t="str" cm="1">
        <f t="array" ref="U419">IF(AND(H419&lt;&gt;"YES",P419&lt;&gt;"",R419&lt;&gt;"",Q419&lt;&gt;""),
_xlfn.SWITCH(Q419,
"INR",_xlfn.SWITCH(R419,"KG",P419*S419,"CTN",P419,"UNIT",P419*N419,"NET",P419/M419,0),
"USD",_xlfn.SWITCH(R419,"KG",P419*S419*SI!$C$10,"CTN",P419*SI!$C$10,"UNIT",P419*N419*SI!$C$10,"NET",P419*SI!$C$10/M419,0),
"LKR",_xlfn.SWITCH(R419,"KG",P419*S419/SI!$C$9,"CTN",P419/SI!$C$9,"UNIT",P419*N419/SI!$C$9,"NET",P419/(M419*SI!$C$9),0),
0),
"")</f>
        <v/>
      </c>
      <c r="V419" s="87" t="str">
        <f t="shared" si="160"/>
        <v/>
      </c>
      <c r="W419" s="87" t="str">
        <f t="shared" si="161"/>
        <v/>
      </c>
      <c r="X419" s="88" t="str">
        <f t="shared" si="162"/>
        <v/>
      </c>
      <c r="Y419" s="24" t="str">
        <f t="shared" si="163"/>
        <v/>
      </c>
      <c r="Z419" s="267" t="str">
        <f>IF(AND(H419&lt;&gt;"yes",F419&lt;&gt;""),IFERROR(VLOOKUP(F419,DUTY_2025!A:F,5,FALSE),""),"")</f>
        <v/>
      </c>
      <c r="AA419" s="271" t="str">
        <f t="shared" si="164"/>
        <v/>
      </c>
      <c r="AB419" s="16" t="str">
        <f t="shared" si="165"/>
        <v/>
      </c>
      <c r="AC419" s="16" t="str">
        <f>IF(AA419&lt;&gt;"",ROUND(AA419*SI!$C$9,0),"")</f>
        <v/>
      </c>
      <c r="AD419" s="4" t="str">
        <f>IF(AC419&lt;&gt;"",ROUND(AC419/(SI!$C$9*SI!$C$10),2),"")</f>
        <v/>
      </c>
      <c r="AE419" s="30" t="str">
        <f>IF(AND(X419&lt;&gt;""), ROUND((SI!$E$23)*(X419/SUM($X$5:$X$493)),0),"")</f>
        <v/>
      </c>
      <c r="AF419" s="272" t="str">
        <f t="shared" si="166"/>
        <v/>
      </c>
      <c r="AG419" s="28" t="str">
        <f t="shared" si="167"/>
        <v/>
      </c>
      <c r="AH419" s="4" t="str">
        <f>IF(AD419&lt;&gt;"",ROUND(AD419*10*SI!$C$9/2,0),"")</f>
        <v/>
      </c>
      <c r="AI419" s="29" t="str">
        <f>IF(AND(X419&lt;&gt;""), ROUND((SI!$E$28)*(X419/SUM($X$5:$X$493)),0),"")</f>
        <v/>
      </c>
      <c r="AJ419" s="4" t="str">
        <f t="shared" si="168"/>
        <v/>
      </c>
      <c r="AK419" s="4" t="str">
        <f t="shared" si="169"/>
        <v/>
      </c>
      <c r="AL419" s="4" t="str">
        <f t="shared" si="170"/>
        <v/>
      </c>
      <c r="AM419" s="4" t="str">
        <f t="shared" si="171"/>
        <v/>
      </c>
      <c r="AN419" s="195" t="str">
        <f t="shared" si="172"/>
        <v/>
      </c>
      <c r="AO419" s="261" t="str">
        <f>IF(AND(AM419&lt;&gt;"",P419&lt;&gt;""),ROUND((AM419*((100+SI!$C$11)/100)),0),"")</f>
        <v/>
      </c>
      <c r="AP419" s="28" t="str">
        <f>IF(AG419&lt;&gt;"",ROUND(AG419/SI!$C$9,2),"")</f>
        <v/>
      </c>
      <c r="AQ419" s="4" t="str">
        <f>IF(AH419&lt;&gt;"",ROUND(AH419/SI!$C$9,2),"")</f>
        <v/>
      </c>
      <c r="AR419" s="29" t="str">
        <f>IF(AI419&lt;&gt;"",ROUND(AI419/SI!$C$9,2),"")</f>
        <v/>
      </c>
      <c r="AS419" s="4" t="str">
        <f t="shared" si="173"/>
        <v/>
      </c>
      <c r="AT419" s="4" t="str">
        <f t="shared" si="174"/>
        <v/>
      </c>
      <c r="AU419" s="4" t="str">
        <f>IF(AL419&lt;&gt;"",ROUND(AL419/SI!$C$9,2),"")</f>
        <v/>
      </c>
      <c r="AV419" s="4" t="str">
        <f>IF(AM419&lt;&gt;"",ROUND(AM419/SI!$C$9,2),"")</f>
        <v/>
      </c>
      <c r="AW419" s="4" t="str">
        <f>IF(AN419&lt;&gt;"",ROUND(AN419/SI!$C$9,2),"")</f>
        <v/>
      </c>
      <c r="AX419" s="261" t="str">
        <f>IF(AO419&lt;&gt;"",ROUND(AO419/SI!$C$9,2),"")</f>
        <v/>
      </c>
      <c r="AY419" s="28" t="str">
        <f t="shared" si="175"/>
        <v/>
      </c>
      <c r="AZ419" s="4" t="str">
        <f>IF(AY419&lt;&gt;"",ROUND(AY419/(SI!$C$9*SI!$C$10),2),"")</f>
        <v/>
      </c>
      <c r="BA419" s="4" t="str">
        <f t="shared" si="176"/>
        <v/>
      </c>
      <c r="BB419" s="4" t="str">
        <f t="shared" si="177"/>
        <v/>
      </c>
      <c r="BC419" s="4" t="str">
        <f t="shared" si="178"/>
        <v/>
      </c>
      <c r="BD419" s="4" t="str">
        <f t="shared" si="179"/>
        <v/>
      </c>
      <c r="BE419" s="4" t="str">
        <f>IF(AND(X419&lt;&gt;""),ROUND(X419/SI!$C$10,2),"")</f>
        <v/>
      </c>
      <c r="BF419" s="4" t="str">
        <f t="shared" si="181"/>
        <v/>
      </c>
      <c r="BG419" s="264" t="str">
        <f t="shared" si="180"/>
        <v/>
      </c>
      <c r="BH419" s="71" t="str">
        <f>IF(F419&lt;&gt;"",VLOOKUP(F419,DUTY_2025!A:O,15,FALSE),"")</f>
        <v/>
      </c>
    </row>
    <row r="420" spans="1:60" x14ac:dyDescent="0.25">
      <c r="A420" s="133">
        <f t="shared" si="156"/>
        <v>66</v>
      </c>
      <c r="B420" s="83" t="str">
        <f t="shared" si="157"/>
        <v/>
      </c>
      <c r="C420" s="126"/>
      <c r="D420" s="130"/>
      <c r="E420" s="22"/>
      <c r="F420" s="85"/>
      <c r="G420" s="27" t="str">
        <f>IF(F420&lt;&gt;"",IFERROR(VLOOKUP(F420,DUTY_2025!A:I,6,FALSE),""),"")</f>
        <v/>
      </c>
      <c r="H420" s="85" t="s">
        <v>133</v>
      </c>
      <c r="I420" s="27" t="str">
        <f>IF(F420&lt;&gt;"",IFERROR(VLOOKUP(F420,DUTY_2025!A:H,2,FALSE),""),"")</f>
        <v/>
      </c>
      <c r="J420" s="98"/>
      <c r="K420" s="98"/>
      <c r="L420" s="22"/>
      <c r="M420" s="22"/>
      <c r="N420" s="84"/>
      <c r="O420" s="22"/>
      <c r="P420" s="116"/>
      <c r="Q420" s="23"/>
      <c r="R420" s="27"/>
      <c r="S420" s="86" t="str">
        <f t="shared" si="158"/>
        <v/>
      </c>
      <c r="T420" s="87" t="str">
        <f t="shared" si="159"/>
        <v/>
      </c>
      <c r="U420" s="87" t="str" cm="1">
        <f t="array" ref="U420">IF(AND(H420&lt;&gt;"YES",P420&lt;&gt;"",R420&lt;&gt;"",Q420&lt;&gt;""),
_xlfn.SWITCH(Q420,
"INR",_xlfn.SWITCH(R420,"KG",P420*S420,"CTN",P420,"UNIT",P420*N420,"NET",P420/M420,0),
"USD",_xlfn.SWITCH(R420,"KG",P420*S420*SI!$C$10,"CTN",P420*SI!$C$10,"UNIT",P420*N420*SI!$C$10,"NET",P420*SI!$C$10/M420,0),
"LKR",_xlfn.SWITCH(R420,"KG",P420*S420/SI!$C$9,"CTN",P420/SI!$C$9,"UNIT",P420*N420/SI!$C$9,"NET",P420/(M420*SI!$C$9),0),
0),
"")</f>
        <v/>
      </c>
      <c r="V420" s="87" t="str">
        <f t="shared" si="160"/>
        <v/>
      </c>
      <c r="W420" s="87" t="str">
        <f t="shared" si="161"/>
        <v/>
      </c>
      <c r="X420" s="88" t="str">
        <f t="shared" si="162"/>
        <v/>
      </c>
      <c r="Y420" s="24" t="str">
        <f t="shared" si="163"/>
        <v/>
      </c>
      <c r="Z420" s="267" t="str">
        <f>IF(AND(H420&lt;&gt;"yes",F420&lt;&gt;""),IFERROR(VLOOKUP(F420,DUTY_2025!A:F,5,FALSE),""),"")</f>
        <v/>
      </c>
      <c r="AA420" s="271" t="str">
        <f t="shared" si="164"/>
        <v/>
      </c>
      <c r="AB420" s="16" t="str">
        <f t="shared" si="165"/>
        <v/>
      </c>
      <c r="AC420" s="16" t="str">
        <f>IF(AA420&lt;&gt;"",ROUND(AA420*SI!$C$9,0),"")</f>
        <v/>
      </c>
      <c r="AD420" s="4" t="str">
        <f>IF(AC420&lt;&gt;"",ROUND(AC420/(SI!$C$9*SI!$C$10),2),"")</f>
        <v/>
      </c>
      <c r="AE420" s="30" t="str">
        <f>IF(AND(X420&lt;&gt;""), ROUND((SI!$E$23)*(X420/SUM($X$5:$X$493)),0),"")</f>
        <v/>
      </c>
      <c r="AF420" s="272" t="str">
        <f t="shared" si="166"/>
        <v/>
      </c>
      <c r="AG420" s="28" t="str">
        <f t="shared" si="167"/>
        <v/>
      </c>
      <c r="AH420" s="4" t="str">
        <f>IF(AD420&lt;&gt;"",ROUND(AD420*10*SI!$C$9/2,0),"")</f>
        <v/>
      </c>
      <c r="AI420" s="29" t="str">
        <f>IF(AND(X420&lt;&gt;""), ROUND((SI!$E$28)*(X420/SUM($X$5:$X$493)),0),"")</f>
        <v/>
      </c>
      <c r="AJ420" s="4" t="str">
        <f t="shared" si="168"/>
        <v/>
      </c>
      <c r="AK420" s="4" t="str">
        <f t="shared" si="169"/>
        <v/>
      </c>
      <c r="AL420" s="4" t="str">
        <f t="shared" si="170"/>
        <v/>
      </c>
      <c r="AM420" s="4" t="str">
        <f t="shared" si="171"/>
        <v/>
      </c>
      <c r="AN420" s="195" t="str">
        <f t="shared" si="172"/>
        <v/>
      </c>
      <c r="AO420" s="261" t="str">
        <f>IF(AND(AM420&lt;&gt;"",P420&lt;&gt;""),ROUND((AM420*((100+SI!$C$11)/100)),0),"")</f>
        <v/>
      </c>
      <c r="AP420" s="28" t="str">
        <f>IF(AG420&lt;&gt;"",ROUND(AG420/SI!$C$9,2),"")</f>
        <v/>
      </c>
      <c r="AQ420" s="4" t="str">
        <f>IF(AH420&lt;&gt;"",ROUND(AH420/SI!$C$9,2),"")</f>
        <v/>
      </c>
      <c r="AR420" s="29" t="str">
        <f>IF(AI420&lt;&gt;"",ROUND(AI420/SI!$C$9,2),"")</f>
        <v/>
      </c>
      <c r="AS420" s="4" t="str">
        <f t="shared" si="173"/>
        <v/>
      </c>
      <c r="AT420" s="4" t="str">
        <f t="shared" si="174"/>
        <v/>
      </c>
      <c r="AU420" s="4" t="str">
        <f>IF(AL420&lt;&gt;"",ROUND(AL420/SI!$C$9,2),"")</f>
        <v/>
      </c>
      <c r="AV420" s="4" t="str">
        <f>IF(AM420&lt;&gt;"",ROUND(AM420/SI!$C$9,2),"")</f>
        <v/>
      </c>
      <c r="AW420" s="4" t="str">
        <f>IF(AN420&lt;&gt;"",ROUND(AN420/SI!$C$9,2),"")</f>
        <v/>
      </c>
      <c r="AX420" s="261" t="str">
        <f>IF(AO420&lt;&gt;"",ROUND(AO420/SI!$C$9,2),"")</f>
        <v/>
      </c>
      <c r="AY420" s="28" t="str">
        <f t="shared" si="175"/>
        <v/>
      </c>
      <c r="AZ420" s="4" t="str">
        <f>IF(AY420&lt;&gt;"",ROUND(AY420/(SI!$C$9*SI!$C$10),2),"")</f>
        <v/>
      </c>
      <c r="BA420" s="4" t="str">
        <f t="shared" si="176"/>
        <v/>
      </c>
      <c r="BB420" s="4" t="str">
        <f t="shared" si="177"/>
        <v/>
      </c>
      <c r="BC420" s="4" t="str">
        <f t="shared" si="178"/>
        <v/>
      </c>
      <c r="BD420" s="4" t="str">
        <f t="shared" si="179"/>
        <v/>
      </c>
      <c r="BE420" s="4" t="str">
        <f>IF(AND(X420&lt;&gt;""),ROUND(X420/SI!$C$10,2),"")</f>
        <v/>
      </c>
      <c r="BF420" s="4" t="str">
        <f t="shared" si="181"/>
        <v/>
      </c>
      <c r="BG420" s="264" t="str">
        <f t="shared" si="180"/>
        <v/>
      </c>
      <c r="BH420" s="71" t="str">
        <f>IF(F420&lt;&gt;"",VLOOKUP(F420,DUTY_2025!A:O,15,FALSE),"")</f>
        <v/>
      </c>
    </row>
    <row r="421" spans="1:60" x14ac:dyDescent="0.25">
      <c r="A421" s="133">
        <f t="shared" si="156"/>
        <v>66</v>
      </c>
      <c r="B421" s="83" t="str">
        <f t="shared" si="157"/>
        <v/>
      </c>
      <c r="C421" s="126"/>
      <c r="D421" s="130"/>
      <c r="E421" s="22"/>
      <c r="F421" s="85"/>
      <c r="G421" s="27" t="str">
        <f>IF(F421&lt;&gt;"",IFERROR(VLOOKUP(F421,DUTY_2025!A:I,6,FALSE),""),"")</f>
        <v/>
      </c>
      <c r="H421" s="85" t="s">
        <v>133</v>
      </c>
      <c r="I421" s="27" t="str">
        <f>IF(F421&lt;&gt;"",IFERROR(VLOOKUP(F421,DUTY_2025!A:H,2,FALSE),""),"")</f>
        <v/>
      </c>
      <c r="J421" s="98"/>
      <c r="K421" s="98"/>
      <c r="L421" s="22"/>
      <c r="M421" s="22"/>
      <c r="N421" s="84"/>
      <c r="O421" s="22"/>
      <c r="P421" s="116"/>
      <c r="Q421" s="23"/>
      <c r="R421" s="27"/>
      <c r="S421" s="86" t="str">
        <f t="shared" si="158"/>
        <v/>
      </c>
      <c r="T421" s="87" t="str">
        <f t="shared" si="159"/>
        <v/>
      </c>
      <c r="U421" s="87" t="str" cm="1">
        <f t="array" ref="U421">IF(AND(H421&lt;&gt;"YES",P421&lt;&gt;"",R421&lt;&gt;"",Q421&lt;&gt;""),
_xlfn.SWITCH(Q421,
"INR",_xlfn.SWITCH(R421,"KG",P421*S421,"CTN",P421,"UNIT",P421*N421,"NET",P421/M421,0),
"USD",_xlfn.SWITCH(R421,"KG",P421*S421*SI!$C$10,"CTN",P421*SI!$C$10,"UNIT",P421*N421*SI!$C$10,"NET",P421*SI!$C$10/M421,0),
"LKR",_xlfn.SWITCH(R421,"KG",P421*S421/SI!$C$9,"CTN",P421/SI!$C$9,"UNIT",P421*N421/SI!$C$9,"NET",P421/(M421*SI!$C$9),0),
0),
"")</f>
        <v/>
      </c>
      <c r="V421" s="87" t="str">
        <f t="shared" si="160"/>
        <v/>
      </c>
      <c r="W421" s="87" t="str">
        <f t="shared" si="161"/>
        <v/>
      </c>
      <c r="X421" s="88" t="str">
        <f t="shared" si="162"/>
        <v/>
      </c>
      <c r="Y421" s="24" t="str">
        <f t="shared" si="163"/>
        <v/>
      </c>
      <c r="Z421" s="267" t="str">
        <f>IF(AND(H421&lt;&gt;"yes",F421&lt;&gt;""),IFERROR(VLOOKUP(F421,DUTY_2025!A:F,5,FALSE),""),"")</f>
        <v/>
      </c>
      <c r="AA421" s="271" t="str">
        <f t="shared" si="164"/>
        <v/>
      </c>
      <c r="AB421" s="16" t="str">
        <f t="shared" si="165"/>
        <v/>
      </c>
      <c r="AC421" s="16" t="str">
        <f>IF(AA421&lt;&gt;"",ROUND(AA421*SI!$C$9,0),"")</f>
        <v/>
      </c>
      <c r="AD421" s="4" t="str">
        <f>IF(AC421&lt;&gt;"",ROUND(AC421/(SI!$C$9*SI!$C$10),2),"")</f>
        <v/>
      </c>
      <c r="AE421" s="30" t="str">
        <f>IF(AND(X421&lt;&gt;""), ROUND((SI!$E$23)*(X421/SUM($X$5:$X$493)),0),"")</f>
        <v/>
      </c>
      <c r="AF421" s="272" t="str">
        <f t="shared" si="166"/>
        <v/>
      </c>
      <c r="AG421" s="28" t="str">
        <f t="shared" si="167"/>
        <v/>
      </c>
      <c r="AH421" s="4" t="str">
        <f>IF(AD421&lt;&gt;"",ROUND(AD421*10*SI!$C$9/2,0),"")</f>
        <v/>
      </c>
      <c r="AI421" s="29" t="str">
        <f>IF(AND(X421&lt;&gt;""), ROUND((SI!$E$28)*(X421/SUM($X$5:$X$493)),0),"")</f>
        <v/>
      </c>
      <c r="AJ421" s="4" t="str">
        <f t="shared" si="168"/>
        <v/>
      </c>
      <c r="AK421" s="4" t="str">
        <f t="shared" si="169"/>
        <v/>
      </c>
      <c r="AL421" s="4" t="str">
        <f t="shared" si="170"/>
        <v/>
      </c>
      <c r="AM421" s="4" t="str">
        <f t="shared" si="171"/>
        <v/>
      </c>
      <c r="AN421" s="195" t="str">
        <f t="shared" si="172"/>
        <v/>
      </c>
      <c r="AO421" s="261" t="str">
        <f>IF(AND(AM421&lt;&gt;"",P421&lt;&gt;""),ROUND((AM421*((100+SI!$C$11)/100)),0),"")</f>
        <v/>
      </c>
      <c r="AP421" s="28" t="str">
        <f>IF(AG421&lt;&gt;"",ROUND(AG421/SI!$C$9,2),"")</f>
        <v/>
      </c>
      <c r="AQ421" s="4" t="str">
        <f>IF(AH421&lt;&gt;"",ROUND(AH421/SI!$C$9,2),"")</f>
        <v/>
      </c>
      <c r="AR421" s="29" t="str">
        <f>IF(AI421&lt;&gt;"",ROUND(AI421/SI!$C$9,2),"")</f>
        <v/>
      </c>
      <c r="AS421" s="4" t="str">
        <f t="shared" si="173"/>
        <v/>
      </c>
      <c r="AT421" s="4" t="str">
        <f t="shared" si="174"/>
        <v/>
      </c>
      <c r="AU421" s="4" t="str">
        <f>IF(AL421&lt;&gt;"",ROUND(AL421/SI!$C$9,2),"")</f>
        <v/>
      </c>
      <c r="AV421" s="4" t="str">
        <f>IF(AM421&lt;&gt;"",ROUND(AM421/SI!$C$9,2),"")</f>
        <v/>
      </c>
      <c r="AW421" s="4" t="str">
        <f>IF(AN421&lt;&gt;"",ROUND(AN421/SI!$C$9,2),"")</f>
        <v/>
      </c>
      <c r="AX421" s="261" t="str">
        <f>IF(AO421&lt;&gt;"",ROUND(AO421/SI!$C$9,2),"")</f>
        <v/>
      </c>
      <c r="AY421" s="28" t="str">
        <f t="shared" si="175"/>
        <v/>
      </c>
      <c r="AZ421" s="4" t="str">
        <f>IF(AY421&lt;&gt;"",ROUND(AY421/(SI!$C$9*SI!$C$10),2),"")</f>
        <v/>
      </c>
      <c r="BA421" s="4" t="str">
        <f t="shared" si="176"/>
        <v/>
      </c>
      <c r="BB421" s="4" t="str">
        <f t="shared" si="177"/>
        <v/>
      </c>
      <c r="BC421" s="4" t="str">
        <f t="shared" si="178"/>
        <v/>
      </c>
      <c r="BD421" s="4" t="str">
        <f t="shared" si="179"/>
        <v/>
      </c>
      <c r="BE421" s="4" t="str">
        <f>IF(AND(X421&lt;&gt;""),ROUND(X421/SI!$C$10,2),"")</f>
        <v/>
      </c>
      <c r="BF421" s="4" t="str">
        <f t="shared" si="181"/>
        <v/>
      </c>
      <c r="BG421" s="264" t="str">
        <f t="shared" si="180"/>
        <v/>
      </c>
      <c r="BH421" s="71" t="str">
        <f>IF(F421&lt;&gt;"",VLOOKUP(F421,DUTY_2025!A:O,15,FALSE),"")</f>
        <v/>
      </c>
    </row>
    <row r="422" spans="1:60" x14ac:dyDescent="0.25">
      <c r="A422" s="133">
        <f t="shared" si="156"/>
        <v>66</v>
      </c>
      <c r="B422" s="83" t="str">
        <f t="shared" si="157"/>
        <v/>
      </c>
      <c r="C422" s="126"/>
      <c r="D422" s="130"/>
      <c r="E422" s="22"/>
      <c r="F422" s="85"/>
      <c r="G422" s="27" t="str">
        <f>IF(F422&lt;&gt;"",IFERROR(VLOOKUP(F422,DUTY_2025!A:I,6,FALSE),""),"")</f>
        <v/>
      </c>
      <c r="H422" s="85" t="s">
        <v>133</v>
      </c>
      <c r="I422" s="27" t="str">
        <f>IF(F422&lt;&gt;"",IFERROR(VLOOKUP(F422,DUTY_2025!A:H,2,FALSE),""),"")</f>
        <v/>
      </c>
      <c r="J422" s="98"/>
      <c r="K422" s="98"/>
      <c r="L422" s="22"/>
      <c r="M422" s="22"/>
      <c r="N422" s="84"/>
      <c r="O422" s="22"/>
      <c r="P422" s="116"/>
      <c r="Q422" s="23"/>
      <c r="R422" s="27"/>
      <c r="S422" s="86" t="str">
        <f t="shared" si="158"/>
        <v/>
      </c>
      <c r="T422" s="87" t="str">
        <f t="shared" si="159"/>
        <v/>
      </c>
      <c r="U422" s="87" t="str" cm="1">
        <f t="array" ref="U422">IF(AND(H422&lt;&gt;"YES",P422&lt;&gt;"",R422&lt;&gt;"",Q422&lt;&gt;""),
_xlfn.SWITCH(Q422,
"INR",_xlfn.SWITCH(R422,"KG",P422*S422,"CTN",P422,"UNIT",P422*N422,"NET",P422/M422,0),
"USD",_xlfn.SWITCH(R422,"KG",P422*S422*SI!$C$10,"CTN",P422*SI!$C$10,"UNIT",P422*N422*SI!$C$10,"NET",P422*SI!$C$10/M422,0),
"LKR",_xlfn.SWITCH(R422,"KG",P422*S422/SI!$C$9,"CTN",P422/SI!$C$9,"UNIT",P422*N422/SI!$C$9,"NET",P422/(M422*SI!$C$9),0),
0),
"")</f>
        <v/>
      </c>
      <c r="V422" s="87" t="str">
        <f t="shared" si="160"/>
        <v/>
      </c>
      <c r="W422" s="87" t="str">
        <f t="shared" si="161"/>
        <v/>
      </c>
      <c r="X422" s="88" t="str">
        <f t="shared" si="162"/>
        <v/>
      </c>
      <c r="Y422" s="24" t="str">
        <f t="shared" si="163"/>
        <v/>
      </c>
      <c r="Z422" s="267" t="str">
        <f>IF(AND(H422&lt;&gt;"yes",F422&lt;&gt;""),IFERROR(VLOOKUP(F422,DUTY_2025!A:F,5,FALSE),""),"")</f>
        <v/>
      </c>
      <c r="AA422" s="271" t="str">
        <f t="shared" si="164"/>
        <v/>
      </c>
      <c r="AB422" s="16" t="str">
        <f t="shared" si="165"/>
        <v/>
      </c>
      <c r="AC422" s="16" t="str">
        <f>IF(AA422&lt;&gt;"",ROUND(AA422*SI!$C$9,0),"")</f>
        <v/>
      </c>
      <c r="AD422" s="4" t="str">
        <f>IF(AC422&lt;&gt;"",ROUND(AC422/(SI!$C$9*SI!$C$10),2),"")</f>
        <v/>
      </c>
      <c r="AE422" s="30" t="str">
        <f>IF(AND(X422&lt;&gt;""), ROUND((SI!$E$23)*(X422/SUM($X$5:$X$493)),0),"")</f>
        <v/>
      </c>
      <c r="AF422" s="272" t="str">
        <f t="shared" si="166"/>
        <v/>
      </c>
      <c r="AG422" s="28" t="str">
        <f t="shared" si="167"/>
        <v/>
      </c>
      <c r="AH422" s="4" t="str">
        <f>IF(AD422&lt;&gt;"",ROUND(AD422*10*SI!$C$9/2,0),"")</f>
        <v/>
      </c>
      <c r="AI422" s="29" t="str">
        <f>IF(AND(X422&lt;&gt;""), ROUND((SI!$E$28)*(X422/SUM($X$5:$X$493)),0),"")</f>
        <v/>
      </c>
      <c r="AJ422" s="4" t="str">
        <f t="shared" si="168"/>
        <v/>
      </c>
      <c r="AK422" s="4" t="str">
        <f t="shared" si="169"/>
        <v/>
      </c>
      <c r="AL422" s="4" t="str">
        <f t="shared" si="170"/>
        <v/>
      </c>
      <c r="AM422" s="4" t="str">
        <f t="shared" si="171"/>
        <v/>
      </c>
      <c r="AN422" s="195" t="str">
        <f t="shared" si="172"/>
        <v/>
      </c>
      <c r="AO422" s="261" t="str">
        <f>IF(AND(AM422&lt;&gt;"",P422&lt;&gt;""),ROUND((AM422*((100+SI!$C$11)/100)),0),"")</f>
        <v/>
      </c>
      <c r="AP422" s="28" t="str">
        <f>IF(AG422&lt;&gt;"",ROUND(AG422/SI!$C$9,2),"")</f>
        <v/>
      </c>
      <c r="AQ422" s="4" t="str">
        <f>IF(AH422&lt;&gt;"",ROUND(AH422/SI!$C$9,2),"")</f>
        <v/>
      </c>
      <c r="AR422" s="29" t="str">
        <f>IF(AI422&lt;&gt;"",ROUND(AI422/SI!$C$9,2),"")</f>
        <v/>
      </c>
      <c r="AS422" s="4" t="str">
        <f t="shared" si="173"/>
        <v/>
      </c>
      <c r="AT422" s="4" t="str">
        <f t="shared" si="174"/>
        <v/>
      </c>
      <c r="AU422" s="4" t="str">
        <f>IF(AL422&lt;&gt;"",ROUND(AL422/SI!$C$9,2),"")</f>
        <v/>
      </c>
      <c r="AV422" s="4" t="str">
        <f>IF(AM422&lt;&gt;"",ROUND(AM422/SI!$C$9,2),"")</f>
        <v/>
      </c>
      <c r="AW422" s="4" t="str">
        <f>IF(AN422&lt;&gt;"",ROUND(AN422/SI!$C$9,2),"")</f>
        <v/>
      </c>
      <c r="AX422" s="261" t="str">
        <f>IF(AO422&lt;&gt;"",ROUND(AO422/SI!$C$9,2),"")</f>
        <v/>
      </c>
      <c r="AY422" s="28" t="str">
        <f t="shared" si="175"/>
        <v/>
      </c>
      <c r="AZ422" s="4" t="str">
        <f>IF(AY422&lt;&gt;"",ROUND(AY422/(SI!$C$9*SI!$C$10),2),"")</f>
        <v/>
      </c>
      <c r="BA422" s="4" t="str">
        <f t="shared" si="176"/>
        <v/>
      </c>
      <c r="BB422" s="4" t="str">
        <f t="shared" si="177"/>
        <v/>
      </c>
      <c r="BC422" s="4" t="str">
        <f t="shared" si="178"/>
        <v/>
      </c>
      <c r="BD422" s="4" t="str">
        <f t="shared" si="179"/>
        <v/>
      </c>
      <c r="BE422" s="4" t="str">
        <f>IF(AND(X422&lt;&gt;""),ROUND(X422/SI!$C$10,2),"")</f>
        <v/>
      </c>
      <c r="BF422" s="4" t="str">
        <f t="shared" si="181"/>
        <v/>
      </c>
      <c r="BG422" s="264" t="str">
        <f t="shared" si="180"/>
        <v/>
      </c>
      <c r="BH422" s="71" t="str">
        <f>IF(F422&lt;&gt;"",VLOOKUP(F422,DUTY_2025!A:O,15,FALSE),"")</f>
        <v/>
      </c>
    </row>
    <row r="423" spans="1:60" x14ac:dyDescent="0.25">
      <c r="A423" s="133">
        <f t="shared" si="156"/>
        <v>66</v>
      </c>
      <c r="B423" s="83" t="str">
        <f t="shared" si="157"/>
        <v/>
      </c>
      <c r="C423" s="126"/>
      <c r="D423" s="130"/>
      <c r="E423" s="22"/>
      <c r="F423" s="85"/>
      <c r="G423" s="27" t="str">
        <f>IF(F423&lt;&gt;"",IFERROR(VLOOKUP(F423,DUTY_2025!A:I,6,FALSE),""),"")</f>
        <v/>
      </c>
      <c r="H423" s="85" t="s">
        <v>133</v>
      </c>
      <c r="I423" s="27" t="str">
        <f>IF(F423&lt;&gt;"",IFERROR(VLOOKUP(F423,DUTY_2025!A:H,2,FALSE),""),"")</f>
        <v/>
      </c>
      <c r="J423" s="98"/>
      <c r="K423" s="98"/>
      <c r="L423" s="22"/>
      <c r="M423" s="22"/>
      <c r="N423" s="84"/>
      <c r="O423" s="22"/>
      <c r="P423" s="116"/>
      <c r="Q423" s="23"/>
      <c r="R423" s="27"/>
      <c r="S423" s="86" t="str">
        <f t="shared" si="158"/>
        <v/>
      </c>
      <c r="T423" s="87" t="str">
        <f t="shared" si="159"/>
        <v/>
      </c>
      <c r="U423" s="87" t="str" cm="1">
        <f t="array" ref="U423">IF(AND(H423&lt;&gt;"YES",P423&lt;&gt;"",R423&lt;&gt;"",Q423&lt;&gt;""),
_xlfn.SWITCH(Q423,
"INR",_xlfn.SWITCH(R423,"KG",P423*S423,"CTN",P423,"UNIT",P423*N423,"NET",P423/M423,0),
"USD",_xlfn.SWITCH(R423,"KG",P423*S423*SI!$C$10,"CTN",P423*SI!$C$10,"UNIT",P423*N423*SI!$C$10,"NET",P423*SI!$C$10/M423,0),
"LKR",_xlfn.SWITCH(R423,"KG",P423*S423/SI!$C$9,"CTN",P423/SI!$C$9,"UNIT",P423*N423/SI!$C$9,"NET",P423/(M423*SI!$C$9),0),
0),
"")</f>
        <v/>
      </c>
      <c r="V423" s="87" t="str">
        <f t="shared" si="160"/>
        <v/>
      </c>
      <c r="W423" s="87" t="str">
        <f t="shared" si="161"/>
        <v/>
      </c>
      <c r="X423" s="88" t="str">
        <f t="shared" si="162"/>
        <v/>
      </c>
      <c r="Y423" s="24" t="str">
        <f t="shared" si="163"/>
        <v/>
      </c>
      <c r="Z423" s="267" t="str">
        <f>IF(AND(H423&lt;&gt;"yes",F423&lt;&gt;""),IFERROR(VLOOKUP(F423,DUTY_2025!A:F,5,FALSE),""),"")</f>
        <v/>
      </c>
      <c r="AA423" s="271" t="str">
        <f t="shared" si="164"/>
        <v/>
      </c>
      <c r="AB423" s="16" t="str">
        <f t="shared" si="165"/>
        <v/>
      </c>
      <c r="AC423" s="16" t="str">
        <f>IF(AA423&lt;&gt;"",ROUND(AA423*SI!$C$9,0),"")</f>
        <v/>
      </c>
      <c r="AD423" s="4" t="str">
        <f>IF(AC423&lt;&gt;"",ROUND(AC423/(SI!$C$9*SI!$C$10),2),"")</f>
        <v/>
      </c>
      <c r="AE423" s="30" t="str">
        <f>IF(AND(X423&lt;&gt;""), ROUND((SI!$E$23)*(X423/SUM($X$5:$X$493)),0),"")</f>
        <v/>
      </c>
      <c r="AF423" s="272" t="str">
        <f t="shared" si="166"/>
        <v/>
      </c>
      <c r="AG423" s="28" t="str">
        <f t="shared" si="167"/>
        <v/>
      </c>
      <c r="AH423" s="4" t="str">
        <f>IF(AD423&lt;&gt;"",ROUND(AD423*10*SI!$C$9/2,0),"")</f>
        <v/>
      </c>
      <c r="AI423" s="29" t="str">
        <f>IF(AND(X423&lt;&gt;""), ROUND((SI!$E$28)*(X423/SUM($X$5:$X$493)),0),"")</f>
        <v/>
      </c>
      <c r="AJ423" s="4" t="str">
        <f t="shared" si="168"/>
        <v/>
      </c>
      <c r="AK423" s="4" t="str">
        <f t="shared" si="169"/>
        <v/>
      </c>
      <c r="AL423" s="4" t="str">
        <f t="shared" si="170"/>
        <v/>
      </c>
      <c r="AM423" s="4" t="str">
        <f t="shared" si="171"/>
        <v/>
      </c>
      <c r="AN423" s="195" t="str">
        <f t="shared" si="172"/>
        <v/>
      </c>
      <c r="AO423" s="261" t="str">
        <f>IF(AND(AM423&lt;&gt;"",P423&lt;&gt;""),ROUND((AM423*((100+SI!$C$11)/100)),0),"")</f>
        <v/>
      </c>
      <c r="AP423" s="28" t="str">
        <f>IF(AG423&lt;&gt;"",ROUND(AG423/SI!$C$9,2),"")</f>
        <v/>
      </c>
      <c r="AQ423" s="4" t="str">
        <f>IF(AH423&lt;&gt;"",ROUND(AH423/SI!$C$9,2),"")</f>
        <v/>
      </c>
      <c r="AR423" s="29" t="str">
        <f>IF(AI423&lt;&gt;"",ROUND(AI423/SI!$C$9,2),"")</f>
        <v/>
      </c>
      <c r="AS423" s="4" t="str">
        <f t="shared" si="173"/>
        <v/>
      </c>
      <c r="AT423" s="4" t="str">
        <f t="shared" si="174"/>
        <v/>
      </c>
      <c r="AU423" s="4" t="str">
        <f>IF(AL423&lt;&gt;"",ROUND(AL423/SI!$C$9,2),"")</f>
        <v/>
      </c>
      <c r="AV423" s="4" t="str">
        <f>IF(AM423&lt;&gt;"",ROUND(AM423/SI!$C$9,2),"")</f>
        <v/>
      </c>
      <c r="AW423" s="4" t="str">
        <f>IF(AN423&lt;&gt;"",ROUND(AN423/SI!$C$9,2),"")</f>
        <v/>
      </c>
      <c r="AX423" s="261" t="str">
        <f>IF(AO423&lt;&gt;"",ROUND(AO423/SI!$C$9,2),"")</f>
        <v/>
      </c>
      <c r="AY423" s="28" t="str">
        <f t="shared" si="175"/>
        <v/>
      </c>
      <c r="AZ423" s="4" t="str">
        <f>IF(AY423&lt;&gt;"",ROUND(AY423/(SI!$C$9*SI!$C$10),2),"")</f>
        <v/>
      </c>
      <c r="BA423" s="4" t="str">
        <f t="shared" si="176"/>
        <v/>
      </c>
      <c r="BB423" s="4" t="str">
        <f t="shared" si="177"/>
        <v/>
      </c>
      <c r="BC423" s="4" t="str">
        <f t="shared" si="178"/>
        <v/>
      </c>
      <c r="BD423" s="4" t="str">
        <f t="shared" si="179"/>
        <v/>
      </c>
      <c r="BE423" s="4" t="str">
        <f>IF(AND(X423&lt;&gt;""),ROUND(X423/SI!$C$10,2),"")</f>
        <v/>
      </c>
      <c r="BF423" s="4" t="str">
        <f t="shared" si="181"/>
        <v/>
      </c>
      <c r="BG423" s="264" t="str">
        <f t="shared" si="180"/>
        <v/>
      </c>
      <c r="BH423" s="71" t="str">
        <f>IF(F423&lt;&gt;"",VLOOKUP(F423,DUTY_2025!A:O,15,FALSE),"")</f>
        <v/>
      </c>
    </row>
    <row r="424" spans="1:60" x14ac:dyDescent="0.25">
      <c r="A424" s="133">
        <f t="shared" si="156"/>
        <v>66</v>
      </c>
      <c r="B424" s="83" t="str">
        <f t="shared" si="157"/>
        <v/>
      </c>
      <c r="C424" s="126"/>
      <c r="D424" s="130"/>
      <c r="E424" s="22"/>
      <c r="F424" s="85"/>
      <c r="G424" s="27" t="str">
        <f>IF(F424&lt;&gt;"",IFERROR(VLOOKUP(F424,DUTY_2025!A:I,6,FALSE),""),"")</f>
        <v/>
      </c>
      <c r="H424" s="85" t="s">
        <v>133</v>
      </c>
      <c r="I424" s="27" t="str">
        <f>IF(F424&lt;&gt;"",IFERROR(VLOOKUP(F424,DUTY_2025!A:H,2,FALSE),""),"")</f>
        <v/>
      </c>
      <c r="J424" s="98"/>
      <c r="K424" s="98"/>
      <c r="L424" s="22"/>
      <c r="M424" s="22"/>
      <c r="N424" s="84"/>
      <c r="O424" s="22"/>
      <c r="P424" s="116"/>
      <c r="Q424" s="23"/>
      <c r="R424" s="27"/>
      <c r="S424" s="86" t="str">
        <f t="shared" si="158"/>
        <v/>
      </c>
      <c r="T424" s="87" t="str">
        <f t="shared" si="159"/>
        <v/>
      </c>
      <c r="U424" s="87" t="str" cm="1">
        <f t="array" ref="U424">IF(AND(H424&lt;&gt;"YES",P424&lt;&gt;"",R424&lt;&gt;"",Q424&lt;&gt;""),
_xlfn.SWITCH(Q424,
"INR",_xlfn.SWITCH(R424,"KG",P424*S424,"CTN",P424,"UNIT",P424*N424,"NET",P424/M424,0),
"USD",_xlfn.SWITCH(R424,"KG",P424*S424*SI!$C$10,"CTN",P424*SI!$C$10,"UNIT",P424*N424*SI!$C$10,"NET",P424*SI!$C$10/M424,0),
"LKR",_xlfn.SWITCH(R424,"KG",P424*S424/SI!$C$9,"CTN",P424/SI!$C$9,"UNIT",P424*N424/SI!$C$9,"NET",P424/(M424*SI!$C$9),0),
0),
"")</f>
        <v/>
      </c>
      <c r="V424" s="87" t="str">
        <f t="shared" si="160"/>
        <v/>
      </c>
      <c r="W424" s="87" t="str">
        <f t="shared" si="161"/>
        <v/>
      </c>
      <c r="X424" s="88" t="str">
        <f t="shared" si="162"/>
        <v/>
      </c>
      <c r="Y424" s="24" t="str">
        <f t="shared" si="163"/>
        <v/>
      </c>
      <c r="Z424" s="267" t="str">
        <f>IF(AND(H424&lt;&gt;"yes",F424&lt;&gt;""),IFERROR(VLOOKUP(F424,DUTY_2025!A:F,5,FALSE),""),"")</f>
        <v/>
      </c>
      <c r="AA424" s="271" t="str">
        <f t="shared" si="164"/>
        <v/>
      </c>
      <c r="AB424" s="16" t="str">
        <f t="shared" si="165"/>
        <v/>
      </c>
      <c r="AC424" s="16" t="str">
        <f>IF(AA424&lt;&gt;"",ROUND(AA424*SI!$C$9,0),"")</f>
        <v/>
      </c>
      <c r="AD424" s="4" t="str">
        <f>IF(AC424&lt;&gt;"",ROUND(AC424/(SI!$C$9*SI!$C$10),2),"")</f>
        <v/>
      </c>
      <c r="AE424" s="30" t="str">
        <f>IF(AND(X424&lt;&gt;""), ROUND((SI!$E$23)*(X424/SUM($X$5:$X$493)),0),"")</f>
        <v/>
      </c>
      <c r="AF424" s="272" t="str">
        <f t="shared" si="166"/>
        <v/>
      </c>
      <c r="AG424" s="28" t="str">
        <f t="shared" si="167"/>
        <v/>
      </c>
      <c r="AH424" s="4" t="str">
        <f>IF(AD424&lt;&gt;"",ROUND(AD424*10*SI!$C$9/2,0),"")</f>
        <v/>
      </c>
      <c r="AI424" s="29" t="str">
        <f>IF(AND(X424&lt;&gt;""), ROUND((SI!$E$28)*(X424/SUM($X$5:$X$493)),0),"")</f>
        <v/>
      </c>
      <c r="AJ424" s="4" t="str">
        <f t="shared" si="168"/>
        <v/>
      </c>
      <c r="AK424" s="4" t="str">
        <f t="shared" si="169"/>
        <v/>
      </c>
      <c r="AL424" s="4" t="str">
        <f t="shared" si="170"/>
        <v/>
      </c>
      <c r="AM424" s="4" t="str">
        <f t="shared" si="171"/>
        <v/>
      </c>
      <c r="AN424" s="195" t="str">
        <f t="shared" si="172"/>
        <v/>
      </c>
      <c r="AO424" s="261" t="str">
        <f>IF(AND(AM424&lt;&gt;"",P424&lt;&gt;""),ROUND((AM424*((100+SI!$C$11)/100)),0),"")</f>
        <v/>
      </c>
      <c r="AP424" s="28" t="str">
        <f>IF(AG424&lt;&gt;"",ROUND(AG424/SI!$C$9,2),"")</f>
        <v/>
      </c>
      <c r="AQ424" s="4" t="str">
        <f>IF(AH424&lt;&gt;"",ROUND(AH424/SI!$C$9,2),"")</f>
        <v/>
      </c>
      <c r="AR424" s="29" t="str">
        <f>IF(AI424&lt;&gt;"",ROUND(AI424/SI!$C$9,2),"")</f>
        <v/>
      </c>
      <c r="AS424" s="4" t="str">
        <f t="shared" si="173"/>
        <v/>
      </c>
      <c r="AT424" s="4" t="str">
        <f t="shared" si="174"/>
        <v/>
      </c>
      <c r="AU424" s="4" t="str">
        <f>IF(AL424&lt;&gt;"",ROUND(AL424/SI!$C$9,2),"")</f>
        <v/>
      </c>
      <c r="AV424" s="4" t="str">
        <f>IF(AM424&lt;&gt;"",ROUND(AM424/SI!$C$9,2),"")</f>
        <v/>
      </c>
      <c r="AW424" s="4" t="str">
        <f>IF(AN424&lt;&gt;"",ROUND(AN424/SI!$C$9,2),"")</f>
        <v/>
      </c>
      <c r="AX424" s="261" t="str">
        <f>IF(AO424&lt;&gt;"",ROUND(AO424/SI!$C$9,2),"")</f>
        <v/>
      </c>
      <c r="AY424" s="28" t="str">
        <f t="shared" si="175"/>
        <v/>
      </c>
      <c r="AZ424" s="4" t="str">
        <f>IF(AY424&lt;&gt;"",ROUND(AY424/(SI!$C$9*SI!$C$10),2),"")</f>
        <v/>
      </c>
      <c r="BA424" s="4" t="str">
        <f t="shared" si="176"/>
        <v/>
      </c>
      <c r="BB424" s="4" t="str">
        <f t="shared" si="177"/>
        <v/>
      </c>
      <c r="BC424" s="4" t="str">
        <f t="shared" si="178"/>
        <v/>
      </c>
      <c r="BD424" s="4" t="str">
        <f t="shared" si="179"/>
        <v/>
      </c>
      <c r="BE424" s="4" t="str">
        <f>IF(AND(X424&lt;&gt;""),ROUND(X424/SI!$C$10,2),"")</f>
        <v/>
      </c>
      <c r="BF424" s="4" t="str">
        <f t="shared" si="181"/>
        <v/>
      </c>
      <c r="BG424" s="264" t="str">
        <f t="shared" si="180"/>
        <v/>
      </c>
      <c r="BH424" s="71" t="str">
        <f>IF(F424&lt;&gt;"",VLOOKUP(F424,DUTY_2025!A:O,15,FALSE),"")</f>
        <v/>
      </c>
    </row>
    <row r="425" spans="1:60" x14ac:dyDescent="0.25">
      <c r="A425" s="133">
        <f t="shared" si="156"/>
        <v>66</v>
      </c>
      <c r="B425" s="83" t="str">
        <f t="shared" si="157"/>
        <v/>
      </c>
      <c r="C425" s="126"/>
      <c r="D425" s="130"/>
      <c r="E425" s="22"/>
      <c r="F425" s="85"/>
      <c r="G425" s="27" t="str">
        <f>IF(F425&lt;&gt;"",IFERROR(VLOOKUP(F425,DUTY_2025!A:I,6,FALSE),""),"")</f>
        <v/>
      </c>
      <c r="H425" s="85" t="s">
        <v>133</v>
      </c>
      <c r="I425" s="27" t="str">
        <f>IF(F425&lt;&gt;"",IFERROR(VLOOKUP(F425,DUTY_2025!A:H,2,FALSE),""),"")</f>
        <v/>
      </c>
      <c r="J425" s="98"/>
      <c r="K425" s="98"/>
      <c r="L425" s="22"/>
      <c r="M425" s="22"/>
      <c r="N425" s="84"/>
      <c r="O425" s="22"/>
      <c r="P425" s="116"/>
      <c r="Q425" s="23"/>
      <c r="R425" s="27"/>
      <c r="S425" s="86" t="str">
        <f t="shared" si="158"/>
        <v/>
      </c>
      <c r="T425" s="87" t="str">
        <f t="shared" si="159"/>
        <v/>
      </c>
      <c r="U425" s="87" t="str" cm="1">
        <f t="array" ref="U425">IF(AND(H425&lt;&gt;"YES",P425&lt;&gt;"",R425&lt;&gt;"",Q425&lt;&gt;""),
_xlfn.SWITCH(Q425,
"INR",_xlfn.SWITCH(R425,"KG",P425*S425,"CTN",P425,"UNIT",P425*N425,"NET",P425/M425,0),
"USD",_xlfn.SWITCH(R425,"KG",P425*S425*SI!$C$10,"CTN",P425*SI!$C$10,"UNIT",P425*N425*SI!$C$10,"NET",P425*SI!$C$10/M425,0),
"LKR",_xlfn.SWITCH(R425,"KG",P425*S425/SI!$C$9,"CTN",P425/SI!$C$9,"UNIT",P425*N425/SI!$C$9,"NET",P425/(M425*SI!$C$9),0),
0),
"")</f>
        <v/>
      </c>
      <c r="V425" s="87" t="str">
        <f t="shared" si="160"/>
        <v/>
      </c>
      <c r="W425" s="87" t="str">
        <f t="shared" si="161"/>
        <v/>
      </c>
      <c r="X425" s="88" t="str">
        <f t="shared" si="162"/>
        <v/>
      </c>
      <c r="Y425" s="24" t="str">
        <f t="shared" si="163"/>
        <v/>
      </c>
      <c r="Z425" s="267" t="str">
        <f>IF(AND(H425&lt;&gt;"yes",F425&lt;&gt;""),IFERROR(VLOOKUP(F425,DUTY_2025!A:F,5,FALSE),""),"")</f>
        <v/>
      </c>
      <c r="AA425" s="271" t="str">
        <f t="shared" si="164"/>
        <v/>
      </c>
      <c r="AB425" s="16" t="str">
        <f t="shared" si="165"/>
        <v/>
      </c>
      <c r="AC425" s="16" t="str">
        <f>IF(AA425&lt;&gt;"",ROUND(AA425*SI!$C$9,0),"")</f>
        <v/>
      </c>
      <c r="AD425" s="4" t="str">
        <f>IF(AC425&lt;&gt;"",ROUND(AC425/(SI!$C$9*SI!$C$10),2),"")</f>
        <v/>
      </c>
      <c r="AE425" s="30" t="str">
        <f>IF(AND(X425&lt;&gt;""), ROUND((SI!$E$23)*(X425/SUM($X$5:$X$493)),0),"")</f>
        <v/>
      </c>
      <c r="AF425" s="272" t="str">
        <f t="shared" si="166"/>
        <v/>
      </c>
      <c r="AG425" s="28" t="str">
        <f t="shared" si="167"/>
        <v/>
      </c>
      <c r="AH425" s="4" t="str">
        <f>IF(AD425&lt;&gt;"",ROUND(AD425*10*SI!$C$9/2,0),"")</f>
        <v/>
      </c>
      <c r="AI425" s="29" t="str">
        <f>IF(AND(X425&lt;&gt;""), ROUND((SI!$E$28)*(X425/SUM($X$5:$X$493)),0),"")</f>
        <v/>
      </c>
      <c r="AJ425" s="4" t="str">
        <f t="shared" si="168"/>
        <v/>
      </c>
      <c r="AK425" s="4" t="str">
        <f t="shared" si="169"/>
        <v/>
      </c>
      <c r="AL425" s="4" t="str">
        <f t="shared" si="170"/>
        <v/>
      </c>
      <c r="AM425" s="4" t="str">
        <f t="shared" si="171"/>
        <v/>
      </c>
      <c r="AN425" s="195" t="str">
        <f t="shared" si="172"/>
        <v/>
      </c>
      <c r="AO425" s="261" t="str">
        <f>IF(AND(AM425&lt;&gt;"",P425&lt;&gt;""),ROUND((AM425*((100+SI!$C$11)/100)),0),"")</f>
        <v/>
      </c>
      <c r="AP425" s="28" t="str">
        <f>IF(AG425&lt;&gt;"",ROUND(AG425/SI!$C$9,2),"")</f>
        <v/>
      </c>
      <c r="AQ425" s="4" t="str">
        <f>IF(AH425&lt;&gt;"",ROUND(AH425/SI!$C$9,2),"")</f>
        <v/>
      </c>
      <c r="AR425" s="29" t="str">
        <f>IF(AI425&lt;&gt;"",ROUND(AI425/SI!$C$9,2),"")</f>
        <v/>
      </c>
      <c r="AS425" s="4" t="str">
        <f t="shared" si="173"/>
        <v/>
      </c>
      <c r="AT425" s="4" t="str">
        <f t="shared" si="174"/>
        <v/>
      </c>
      <c r="AU425" s="4" t="str">
        <f>IF(AL425&lt;&gt;"",ROUND(AL425/SI!$C$9,2),"")</f>
        <v/>
      </c>
      <c r="AV425" s="4" t="str">
        <f>IF(AM425&lt;&gt;"",ROUND(AM425/SI!$C$9,2),"")</f>
        <v/>
      </c>
      <c r="AW425" s="4" t="str">
        <f>IF(AN425&lt;&gt;"",ROUND(AN425/SI!$C$9,2),"")</f>
        <v/>
      </c>
      <c r="AX425" s="261" t="str">
        <f>IF(AO425&lt;&gt;"",ROUND(AO425/SI!$C$9,2),"")</f>
        <v/>
      </c>
      <c r="AY425" s="28" t="str">
        <f t="shared" si="175"/>
        <v/>
      </c>
      <c r="AZ425" s="4" t="str">
        <f>IF(AY425&lt;&gt;"",ROUND(AY425/(SI!$C$9*SI!$C$10),2),"")</f>
        <v/>
      </c>
      <c r="BA425" s="4" t="str">
        <f t="shared" si="176"/>
        <v/>
      </c>
      <c r="BB425" s="4" t="str">
        <f t="shared" si="177"/>
        <v/>
      </c>
      <c r="BC425" s="4" t="str">
        <f t="shared" si="178"/>
        <v/>
      </c>
      <c r="BD425" s="4" t="str">
        <f t="shared" si="179"/>
        <v/>
      </c>
      <c r="BE425" s="4" t="str">
        <f>IF(AND(X425&lt;&gt;""),ROUND(X425/SI!$C$10,2),"")</f>
        <v/>
      </c>
      <c r="BF425" s="4" t="str">
        <f t="shared" si="181"/>
        <v/>
      </c>
      <c r="BG425" s="264" t="str">
        <f t="shared" si="180"/>
        <v/>
      </c>
      <c r="BH425" s="71" t="str">
        <f>IF(F425&lt;&gt;"",VLOOKUP(F425,DUTY_2025!A:O,15,FALSE),"")</f>
        <v/>
      </c>
    </row>
    <row r="426" spans="1:60" x14ac:dyDescent="0.25">
      <c r="A426" s="133">
        <f t="shared" si="156"/>
        <v>66</v>
      </c>
      <c r="B426" s="83" t="str">
        <f t="shared" si="157"/>
        <v/>
      </c>
      <c r="C426" s="126"/>
      <c r="D426" s="130"/>
      <c r="E426" s="22"/>
      <c r="F426" s="85"/>
      <c r="G426" s="27" t="str">
        <f>IF(F426&lt;&gt;"",IFERROR(VLOOKUP(F426,DUTY_2025!A:I,6,FALSE),""),"")</f>
        <v/>
      </c>
      <c r="H426" s="85" t="s">
        <v>133</v>
      </c>
      <c r="I426" s="27" t="str">
        <f>IF(F426&lt;&gt;"",IFERROR(VLOOKUP(F426,DUTY_2025!A:H,2,FALSE),""),"")</f>
        <v/>
      </c>
      <c r="J426" s="98"/>
      <c r="K426" s="98"/>
      <c r="L426" s="22"/>
      <c r="M426" s="22"/>
      <c r="N426" s="84"/>
      <c r="O426" s="22"/>
      <c r="P426" s="116"/>
      <c r="Q426" s="23"/>
      <c r="R426" s="27"/>
      <c r="S426" s="86" t="str">
        <f t="shared" si="158"/>
        <v/>
      </c>
      <c r="T426" s="87" t="str">
        <f t="shared" si="159"/>
        <v/>
      </c>
      <c r="U426" s="87" t="str" cm="1">
        <f t="array" ref="U426">IF(AND(H426&lt;&gt;"YES",P426&lt;&gt;"",R426&lt;&gt;"",Q426&lt;&gt;""),
_xlfn.SWITCH(Q426,
"INR",_xlfn.SWITCH(R426,"KG",P426*S426,"CTN",P426,"UNIT",P426*N426,"NET",P426/M426,0),
"USD",_xlfn.SWITCH(R426,"KG",P426*S426*SI!$C$10,"CTN",P426*SI!$C$10,"UNIT",P426*N426*SI!$C$10,"NET",P426*SI!$C$10/M426,0),
"LKR",_xlfn.SWITCH(R426,"KG",P426*S426/SI!$C$9,"CTN",P426/SI!$C$9,"UNIT",P426*N426/SI!$C$9,"NET",P426/(M426*SI!$C$9),0),
0),
"")</f>
        <v/>
      </c>
      <c r="V426" s="87" t="str">
        <f t="shared" si="160"/>
        <v/>
      </c>
      <c r="W426" s="87" t="str">
        <f t="shared" si="161"/>
        <v/>
      </c>
      <c r="X426" s="88" t="str">
        <f t="shared" si="162"/>
        <v/>
      </c>
      <c r="Y426" s="24" t="str">
        <f t="shared" si="163"/>
        <v/>
      </c>
      <c r="Z426" s="267" t="str">
        <f>IF(AND(H426&lt;&gt;"yes",F426&lt;&gt;""),IFERROR(VLOOKUP(F426,DUTY_2025!A:F,5,FALSE),""),"")</f>
        <v/>
      </c>
      <c r="AA426" s="271" t="str">
        <f t="shared" si="164"/>
        <v/>
      </c>
      <c r="AB426" s="16" t="str">
        <f t="shared" si="165"/>
        <v/>
      </c>
      <c r="AC426" s="16" t="str">
        <f>IF(AA426&lt;&gt;"",ROUND(AA426*SI!$C$9,0),"")</f>
        <v/>
      </c>
      <c r="AD426" s="4" t="str">
        <f>IF(AC426&lt;&gt;"",ROUND(AC426/(SI!$C$9*SI!$C$10),2),"")</f>
        <v/>
      </c>
      <c r="AE426" s="30" t="str">
        <f>IF(AND(X426&lt;&gt;""), ROUND((SI!$E$23)*(X426/SUM($X$5:$X$493)),0),"")</f>
        <v/>
      </c>
      <c r="AF426" s="272" t="str">
        <f t="shared" si="166"/>
        <v/>
      </c>
      <c r="AG426" s="28" t="str">
        <f t="shared" si="167"/>
        <v/>
      </c>
      <c r="AH426" s="4" t="str">
        <f>IF(AD426&lt;&gt;"",ROUND(AD426*10*SI!$C$9/2,0),"")</f>
        <v/>
      </c>
      <c r="AI426" s="29" t="str">
        <f>IF(AND(X426&lt;&gt;""), ROUND((SI!$E$28)*(X426/SUM($X$5:$X$493)),0),"")</f>
        <v/>
      </c>
      <c r="AJ426" s="4" t="str">
        <f t="shared" si="168"/>
        <v/>
      </c>
      <c r="AK426" s="4" t="str">
        <f t="shared" si="169"/>
        <v/>
      </c>
      <c r="AL426" s="4" t="str">
        <f t="shared" si="170"/>
        <v/>
      </c>
      <c r="AM426" s="4" t="str">
        <f t="shared" si="171"/>
        <v/>
      </c>
      <c r="AN426" s="195" t="str">
        <f t="shared" si="172"/>
        <v/>
      </c>
      <c r="AO426" s="261" t="str">
        <f>IF(AND(AM426&lt;&gt;"",P426&lt;&gt;""),ROUND((AM426*((100+SI!$C$11)/100)),0),"")</f>
        <v/>
      </c>
      <c r="AP426" s="28" t="str">
        <f>IF(AG426&lt;&gt;"",ROUND(AG426/SI!$C$9,2),"")</f>
        <v/>
      </c>
      <c r="AQ426" s="4" t="str">
        <f>IF(AH426&lt;&gt;"",ROUND(AH426/SI!$C$9,2),"")</f>
        <v/>
      </c>
      <c r="AR426" s="29" t="str">
        <f>IF(AI426&lt;&gt;"",ROUND(AI426/SI!$C$9,2),"")</f>
        <v/>
      </c>
      <c r="AS426" s="4" t="str">
        <f t="shared" si="173"/>
        <v/>
      </c>
      <c r="AT426" s="4" t="str">
        <f t="shared" si="174"/>
        <v/>
      </c>
      <c r="AU426" s="4" t="str">
        <f>IF(AL426&lt;&gt;"",ROUND(AL426/SI!$C$9,2),"")</f>
        <v/>
      </c>
      <c r="AV426" s="4" t="str">
        <f>IF(AM426&lt;&gt;"",ROUND(AM426/SI!$C$9,2),"")</f>
        <v/>
      </c>
      <c r="AW426" s="4" t="str">
        <f>IF(AN426&lt;&gt;"",ROUND(AN426/SI!$C$9,2),"")</f>
        <v/>
      </c>
      <c r="AX426" s="261" t="str">
        <f>IF(AO426&lt;&gt;"",ROUND(AO426/SI!$C$9,2),"")</f>
        <v/>
      </c>
      <c r="AY426" s="28" t="str">
        <f t="shared" si="175"/>
        <v/>
      </c>
      <c r="AZ426" s="4" t="str">
        <f>IF(AY426&lt;&gt;"",ROUND(AY426/(SI!$C$9*SI!$C$10),2),"")</f>
        <v/>
      </c>
      <c r="BA426" s="4" t="str">
        <f t="shared" si="176"/>
        <v/>
      </c>
      <c r="BB426" s="4" t="str">
        <f t="shared" si="177"/>
        <v/>
      </c>
      <c r="BC426" s="4" t="str">
        <f t="shared" si="178"/>
        <v/>
      </c>
      <c r="BD426" s="4" t="str">
        <f t="shared" si="179"/>
        <v/>
      </c>
      <c r="BE426" s="4" t="str">
        <f>IF(AND(X426&lt;&gt;""),ROUND(X426/SI!$C$10,2),"")</f>
        <v/>
      </c>
      <c r="BF426" s="4" t="str">
        <f t="shared" si="181"/>
        <v/>
      </c>
      <c r="BG426" s="264" t="str">
        <f t="shared" si="180"/>
        <v/>
      </c>
      <c r="BH426" s="71" t="str">
        <f>IF(F426&lt;&gt;"",VLOOKUP(F426,DUTY_2025!A:O,15,FALSE),"")</f>
        <v/>
      </c>
    </row>
    <row r="427" spans="1:60" x14ac:dyDescent="0.25">
      <c r="A427" s="133">
        <f t="shared" si="156"/>
        <v>66</v>
      </c>
      <c r="B427" s="83" t="str">
        <f t="shared" si="157"/>
        <v/>
      </c>
      <c r="C427" s="126"/>
      <c r="D427" s="130"/>
      <c r="E427" s="22"/>
      <c r="F427" s="85"/>
      <c r="G427" s="27" t="str">
        <f>IF(F427&lt;&gt;"",IFERROR(VLOOKUP(F427,DUTY_2025!A:I,6,FALSE),""),"")</f>
        <v/>
      </c>
      <c r="H427" s="85" t="s">
        <v>133</v>
      </c>
      <c r="I427" s="27" t="str">
        <f>IF(F427&lt;&gt;"",IFERROR(VLOOKUP(F427,DUTY_2025!A:H,2,FALSE),""),"")</f>
        <v/>
      </c>
      <c r="J427" s="98"/>
      <c r="K427" s="98"/>
      <c r="L427" s="22"/>
      <c r="M427" s="22"/>
      <c r="N427" s="84"/>
      <c r="O427" s="22"/>
      <c r="P427" s="116"/>
      <c r="Q427" s="23"/>
      <c r="R427" s="27"/>
      <c r="S427" s="86" t="str">
        <f t="shared" si="158"/>
        <v/>
      </c>
      <c r="T427" s="87" t="str">
        <f t="shared" si="159"/>
        <v/>
      </c>
      <c r="U427" s="87" t="str" cm="1">
        <f t="array" ref="U427">IF(AND(H427&lt;&gt;"YES",P427&lt;&gt;"",R427&lt;&gt;"",Q427&lt;&gt;""),
_xlfn.SWITCH(Q427,
"INR",_xlfn.SWITCH(R427,"KG",P427*S427,"CTN",P427,"UNIT",P427*N427,"NET",P427/M427,0),
"USD",_xlfn.SWITCH(R427,"KG",P427*S427*SI!$C$10,"CTN",P427*SI!$C$10,"UNIT",P427*N427*SI!$C$10,"NET",P427*SI!$C$10/M427,0),
"LKR",_xlfn.SWITCH(R427,"KG",P427*S427/SI!$C$9,"CTN",P427/SI!$C$9,"UNIT",P427*N427/SI!$C$9,"NET",P427/(M427*SI!$C$9),0),
0),
"")</f>
        <v/>
      </c>
      <c r="V427" s="87" t="str">
        <f t="shared" si="160"/>
        <v/>
      </c>
      <c r="W427" s="87" t="str">
        <f t="shared" si="161"/>
        <v/>
      </c>
      <c r="X427" s="88" t="str">
        <f t="shared" si="162"/>
        <v/>
      </c>
      <c r="Y427" s="24" t="str">
        <f t="shared" si="163"/>
        <v/>
      </c>
      <c r="Z427" s="267" t="str">
        <f>IF(AND(H427&lt;&gt;"yes",F427&lt;&gt;""),IFERROR(VLOOKUP(F427,DUTY_2025!A:F,5,FALSE),""),"")</f>
        <v/>
      </c>
      <c r="AA427" s="271" t="str">
        <f t="shared" si="164"/>
        <v/>
      </c>
      <c r="AB427" s="16" t="str">
        <f t="shared" si="165"/>
        <v/>
      </c>
      <c r="AC427" s="16" t="str">
        <f>IF(AA427&lt;&gt;"",ROUND(AA427*SI!$C$9,0),"")</f>
        <v/>
      </c>
      <c r="AD427" s="4" t="str">
        <f>IF(AC427&lt;&gt;"",ROUND(AC427/(SI!$C$9*SI!$C$10),2),"")</f>
        <v/>
      </c>
      <c r="AE427" s="30" t="str">
        <f>IF(AND(X427&lt;&gt;""), ROUND((SI!$E$23)*(X427/SUM($X$5:$X$493)),0),"")</f>
        <v/>
      </c>
      <c r="AF427" s="272" t="str">
        <f t="shared" si="166"/>
        <v/>
      </c>
      <c r="AG427" s="28" t="str">
        <f t="shared" si="167"/>
        <v/>
      </c>
      <c r="AH427" s="4" t="str">
        <f>IF(AD427&lt;&gt;"",ROUND(AD427*10*SI!$C$9/2,0),"")</f>
        <v/>
      </c>
      <c r="AI427" s="29" t="str">
        <f>IF(AND(X427&lt;&gt;""), ROUND((SI!$E$28)*(X427/SUM($X$5:$X$493)),0),"")</f>
        <v/>
      </c>
      <c r="AJ427" s="4" t="str">
        <f t="shared" si="168"/>
        <v/>
      </c>
      <c r="AK427" s="4" t="str">
        <f t="shared" si="169"/>
        <v/>
      </c>
      <c r="AL427" s="4" t="str">
        <f t="shared" si="170"/>
        <v/>
      </c>
      <c r="AM427" s="4" t="str">
        <f t="shared" si="171"/>
        <v/>
      </c>
      <c r="AN427" s="195" t="str">
        <f t="shared" si="172"/>
        <v/>
      </c>
      <c r="AO427" s="261" t="str">
        <f>IF(AND(AM427&lt;&gt;"",P427&lt;&gt;""),ROUND((AM427*((100+SI!$C$11)/100)),0),"")</f>
        <v/>
      </c>
      <c r="AP427" s="28" t="str">
        <f>IF(AG427&lt;&gt;"",ROUND(AG427/SI!$C$9,2),"")</f>
        <v/>
      </c>
      <c r="AQ427" s="4" t="str">
        <f>IF(AH427&lt;&gt;"",ROUND(AH427/SI!$C$9,2),"")</f>
        <v/>
      </c>
      <c r="AR427" s="29" t="str">
        <f>IF(AI427&lt;&gt;"",ROUND(AI427/SI!$C$9,2),"")</f>
        <v/>
      </c>
      <c r="AS427" s="4" t="str">
        <f t="shared" si="173"/>
        <v/>
      </c>
      <c r="AT427" s="4" t="str">
        <f t="shared" si="174"/>
        <v/>
      </c>
      <c r="AU427" s="4" t="str">
        <f>IF(AL427&lt;&gt;"",ROUND(AL427/SI!$C$9,2),"")</f>
        <v/>
      </c>
      <c r="AV427" s="4" t="str">
        <f>IF(AM427&lt;&gt;"",ROUND(AM427/SI!$C$9,2),"")</f>
        <v/>
      </c>
      <c r="AW427" s="4" t="str">
        <f>IF(AN427&lt;&gt;"",ROUND(AN427/SI!$C$9,2),"")</f>
        <v/>
      </c>
      <c r="AX427" s="261" t="str">
        <f>IF(AO427&lt;&gt;"",ROUND(AO427/SI!$C$9,2),"")</f>
        <v/>
      </c>
      <c r="AY427" s="28" t="str">
        <f t="shared" si="175"/>
        <v/>
      </c>
      <c r="AZ427" s="4" t="str">
        <f>IF(AY427&lt;&gt;"",ROUND(AY427/(SI!$C$9*SI!$C$10),2),"")</f>
        <v/>
      </c>
      <c r="BA427" s="4" t="str">
        <f t="shared" si="176"/>
        <v/>
      </c>
      <c r="BB427" s="4" t="str">
        <f t="shared" si="177"/>
        <v/>
      </c>
      <c r="BC427" s="4" t="str">
        <f t="shared" si="178"/>
        <v/>
      </c>
      <c r="BD427" s="4" t="str">
        <f t="shared" si="179"/>
        <v/>
      </c>
      <c r="BE427" s="4" t="str">
        <f>IF(AND(X427&lt;&gt;""),ROUND(X427/SI!$C$10,2),"")</f>
        <v/>
      </c>
      <c r="BF427" s="4" t="str">
        <f t="shared" si="181"/>
        <v/>
      </c>
      <c r="BG427" s="264" t="str">
        <f t="shared" si="180"/>
        <v/>
      </c>
      <c r="BH427" s="71" t="str">
        <f>IF(F427&lt;&gt;"",VLOOKUP(F427,DUTY_2025!A:O,15,FALSE),"")</f>
        <v/>
      </c>
    </row>
    <row r="428" spans="1:60" x14ac:dyDescent="0.25">
      <c r="A428" s="133">
        <f t="shared" si="156"/>
        <v>66</v>
      </c>
      <c r="B428" s="83" t="str">
        <f t="shared" si="157"/>
        <v/>
      </c>
      <c r="C428" s="126"/>
      <c r="D428" s="130"/>
      <c r="E428" s="22"/>
      <c r="F428" s="85"/>
      <c r="G428" s="27" t="str">
        <f>IF(F428&lt;&gt;"",IFERROR(VLOOKUP(F428,DUTY_2025!A:I,6,FALSE),""),"")</f>
        <v/>
      </c>
      <c r="H428" s="85" t="s">
        <v>133</v>
      </c>
      <c r="I428" s="27" t="str">
        <f>IF(F428&lt;&gt;"",IFERROR(VLOOKUP(F428,DUTY_2025!A:H,2,FALSE),""),"")</f>
        <v/>
      </c>
      <c r="J428" s="98"/>
      <c r="K428" s="98"/>
      <c r="L428" s="22"/>
      <c r="M428" s="22"/>
      <c r="N428" s="84"/>
      <c r="O428" s="22"/>
      <c r="P428" s="116"/>
      <c r="Q428" s="23"/>
      <c r="R428" s="27"/>
      <c r="S428" s="86" t="str">
        <f t="shared" si="158"/>
        <v/>
      </c>
      <c r="T428" s="87" t="str">
        <f t="shared" si="159"/>
        <v/>
      </c>
      <c r="U428" s="87" t="str" cm="1">
        <f t="array" ref="U428">IF(AND(H428&lt;&gt;"YES",P428&lt;&gt;"",R428&lt;&gt;"",Q428&lt;&gt;""),
_xlfn.SWITCH(Q428,
"INR",_xlfn.SWITCH(R428,"KG",P428*S428,"CTN",P428,"UNIT",P428*N428,"NET",P428/M428,0),
"USD",_xlfn.SWITCH(R428,"KG",P428*S428*SI!$C$10,"CTN",P428*SI!$C$10,"UNIT",P428*N428*SI!$C$10,"NET",P428*SI!$C$10/M428,0),
"LKR",_xlfn.SWITCH(R428,"KG",P428*S428/SI!$C$9,"CTN",P428/SI!$C$9,"UNIT",P428*N428/SI!$C$9,"NET",P428/(M428*SI!$C$9),0),
0),
"")</f>
        <v/>
      </c>
      <c r="V428" s="87" t="str">
        <f t="shared" si="160"/>
        <v/>
      </c>
      <c r="W428" s="87" t="str">
        <f t="shared" si="161"/>
        <v/>
      </c>
      <c r="X428" s="88" t="str">
        <f t="shared" si="162"/>
        <v/>
      </c>
      <c r="Y428" s="24" t="str">
        <f t="shared" si="163"/>
        <v/>
      </c>
      <c r="Z428" s="267" t="str">
        <f>IF(AND(H428&lt;&gt;"yes",F428&lt;&gt;""),IFERROR(VLOOKUP(F428,DUTY_2025!A:F,5,FALSE),""),"")</f>
        <v/>
      </c>
      <c r="AA428" s="271" t="str">
        <f t="shared" si="164"/>
        <v/>
      </c>
      <c r="AB428" s="16" t="str">
        <f t="shared" si="165"/>
        <v/>
      </c>
      <c r="AC428" s="16" t="str">
        <f>IF(AA428&lt;&gt;"",ROUND(AA428*SI!$C$9,0),"")</f>
        <v/>
      </c>
      <c r="AD428" s="4" t="str">
        <f>IF(AC428&lt;&gt;"",ROUND(AC428/(SI!$C$9*SI!$C$10),2),"")</f>
        <v/>
      </c>
      <c r="AE428" s="30" t="str">
        <f>IF(AND(X428&lt;&gt;""), ROUND((SI!$E$23)*(X428/SUM($X$5:$X$493)),0),"")</f>
        <v/>
      </c>
      <c r="AF428" s="272" t="str">
        <f t="shared" si="166"/>
        <v/>
      </c>
      <c r="AG428" s="28" t="str">
        <f t="shared" si="167"/>
        <v/>
      </c>
      <c r="AH428" s="4" t="str">
        <f>IF(AD428&lt;&gt;"",ROUND(AD428*10*SI!$C$9/2,0),"")</f>
        <v/>
      </c>
      <c r="AI428" s="29" t="str">
        <f>IF(AND(X428&lt;&gt;""), ROUND((SI!$E$28)*(X428/SUM($X$5:$X$493)),0),"")</f>
        <v/>
      </c>
      <c r="AJ428" s="4" t="str">
        <f t="shared" si="168"/>
        <v/>
      </c>
      <c r="AK428" s="4" t="str">
        <f t="shared" si="169"/>
        <v/>
      </c>
      <c r="AL428" s="4" t="str">
        <f t="shared" si="170"/>
        <v/>
      </c>
      <c r="AM428" s="4" t="str">
        <f t="shared" si="171"/>
        <v/>
      </c>
      <c r="AN428" s="195" t="str">
        <f t="shared" si="172"/>
        <v/>
      </c>
      <c r="AO428" s="261" t="str">
        <f>IF(AND(AM428&lt;&gt;"",P428&lt;&gt;""),ROUND((AM428*((100+SI!$C$11)/100)),0),"")</f>
        <v/>
      </c>
      <c r="AP428" s="28" t="str">
        <f>IF(AG428&lt;&gt;"",ROUND(AG428/SI!$C$9,2),"")</f>
        <v/>
      </c>
      <c r="AQ428" s="4" t="str">
        <f>IF(AH428&lt;&gt;"",ROUND(AH428/SI!$C$9,2),"")</f>
        <v/>
      </c>
      <c r="AR428" s="29" t="str">
        <f>IF(AI428&lt;&gt;"",ROUND(AI428/SI!$C$9,2),"")</f>
        <v/>
      </c>
      <c r="AS428" s="4" t="str">
        <f t="shared" si="173"/>
        <v/>
      </c>
      <c r="AT428" s="4" t="str">
        <f t="shared" si="174"/>
        <v/>
      </c>
      <c r="AU428" s="4" t="str">
        <f>IF(AL428&lt;&gt;"",ROUND(AL428/SI!$C$9,2),"")</f>
        <v/>
      </c>
      <c r="AV428" s="4" t="str">
        <f>IF(AM428&lt;&gt;"",ROUND(AM428/SI!$C$9,2),"")</f>
        <v/>
      </c>
      <c r="AW428" s="4" t="str">
        <f>IF(AN428&lt;&gt;"",ROUND(AN428/SI!$C$9,2),"")</f>
        <v/>
      </c>
      <c r="AX428" s="261" t="str">
        <f>IF(AO428&lt;&gt;"",ROUND(AO428/SI!$C$9,2),"")</f>
        <v/>
      </c>
      <c r="AY428" s="28" t="str">
        <f t="shared" si="175"/>
        <v/>
      </c>
      <c r="AZ428" s="4" t="str">
        <f>IF(AY428&lt;&gt;"",ROUND(AY428/(SI!$C$9*SI!$C$10),2),"")</f>
        <v/>
      </c>
      <c r="BA428" s="4" t="str">
        <f t="shared" si="176"/>
        <v/>
      </c>
      <c r="BB428" s="4" t="str">
        <f t="shared" si="177"/>
        <v/>
      </c>
      <c r="BC428" s="4" t="str">
        <f t="shared" si="178"/>
        <v/>
      </c>
      <c r="BD428" s="4" t="str">
        <f t="shared" si="179"/>
        <v/>
      </c>
      <c r="BE428" s="4" t="str">
        <f>IF(AND(X428&lt;&gt;""),ROUND(X428/SI!$C$10,2),"")</f>
        <v/>
      </c>
      <c r="BF428" s="4" t="str">
        <f t="shared" si="181"/>
        <v/>
      </c>
      <c r="BG428" s="264" t="str">
        <f t="shared" si="180"/>
        <v/>
      </c>
      <c r="BH428" s="71" t="str">
        <f>IF(F428&lt;&gt;"",VLOOKUP(F428,DUTY_2025!A:O,15,FALSE),"")</f>
        <v/>
      </c>
    </row>
    <row r="429" spans="1:60" x14ac:dyDescent="0.25">
      <c r="A429" s="133">
        <f t="shared" si="156"/>
        <v>66</v>
      </c>
      <c r="B429" s="83" t="str">
        <f t="shared" si="157"/>
        <v/>
      </c>
      <c r="C429" s="126"/>
      <c r="D429" s="130"/>
      <c r="E429" s="22"/>
      <c r="F429" s="85"/>
      <c r="G429" s="27" t="str">
        <f>IF(F429&lt;&gt;"",IFERROR(VLOOKUP(F429,DUTY_2025!A:I,6,FALSE),""),"")</f>
        <v/>
      </c>
      <c r="H429" s="85" t="s">
        <v>133</v>
      </c>
      <c r="I429" s="27" t="str">
        <f>IF(F429&lt;&gt;"",IFERROR(VLOOKUP(F429,DUTY_2025!A:H,2,FALSE),""),"")</f>
        <v/>
      </c>
      <c r="J429" s="98"/>
      <c r="K429" s="98"/>
      <c r="L429" s="22"/>
      <c r="M429" s="22"/>
      <c r="N429" s="84"/>
      <c r="O429" s="22"/>
      <c r="P429" s="116"/>
      <c r="Q429" s="23"/>
      <c r="R429" s="27"/>
      <c r="S429" s="86" t="str">
        <f t="shared" si="158"/>
        <v/>
      </c>
      <c r="T429" s="87" t="str">
        <f t="shared" si="159"/>
        <v/>
      </c>
      <c r="U429" s="87" t="str" cm="1">
        <f t="array" ref="U429">IF(AND(H429&lt;&gt;"YES",P429&lt;&gt;"",R429&lt;&gt;"",Q429&lt;&gt;""),
_xlfn.SWITCH(Q429,
"INR",_xlfn.SWITCH(R429,"KG",P429*S429,"CTN",P429,"UNIT",P429*N429,"NET",P429/M429,0),
"USD",_xlfn.SWITCH(R429,"KG",P429*S429*SI!$C$10,"CTN",P429*SI!$C$10,"UNIT",P429*N429*SI!$C$10,"NET",P429*SI!$C$10/M429,0),
"LKR",_xlfn.SWITCH(R429,"KG",P429*S429/SI!$C$9,"CTN",P429/SI!$C$9,"UNIT",P429*N429/SI!$C$9,"NET",P429/(M429*SI!$C$9),0),
0),
"")</f>
        <v/>
      </c>
      <c r="V429" s="87" t="str">
        <f t="shared" si="160"/>
        <v/>
      </c>
      <c r="W429" s="87" t="str">
        <f t="shared" si="161"/>
        <v/>
      </c>
      <c r="X429" s="88" t="str">
        <f t="shared" si="162"/>
        <v/>
      </c>
      <c r="Y429" s="24" t="str">
        <f t="shared" si="163"/>
        <v/>
      </c>
      <c r="Z429" s="267" t="str">
        <f>IF(AND(H429&lt;&gt;"yes",F429&lt;&gt;""),IFERROR(VLOOKUP(F429,DUTY_2025!A:F,5,FALSE),""),"")</f>
        <v/>
      </c>
      <c r="AA429" s="271" t="str">
        <f t="shared" si="164"/>
        <v/>
      </c>
      <c r="AB429" s="16" t="str">
        <f t="shared" si="165"/>
        <v/>
      </c>
      <c r="AC429" s="16" t="str">
        <f>IF(AA429&lt;&gt;"",ROUND(AA429*SI!$C$9,0),"")</f>
        <v/>
      </c>
      <c r="AD429" s="4" t="str">
        <f>IF(AC429&lt;&gt;"",ROUND(AC429/(SI!$C$9*SI!$C$10),2),"")</f>
        <v/>
      </c>
      <c r="AE429" s="30" t="str">
        <f>IF(AND(X429&lt;&gt;""), ROUND((SI!$E$23)*(X429/SUM($X$5:$X$493)),0),"")</f>
        <v/>
      </c>
      <c r="AF429" s="272" t="str">
        <f t="shared" si="166"/>
        <v/>
      </c>
      <c r="AG429" s="28" t="str">
        <f t="shared" si="167"/>
        <v/>
      </c>
      <c r="AH429" s="4" t="str">
        <f>IF(AD429&lt;&gt;"",ROUND(AD429*10*SI!$C$9/2,0),"")</f>
        <v/>
      </c>
      <c r="AI429" s="29" t="str">
        <f>IF(AND(X429&lt;&gt;""), ROUND((SI!$E$28)*(X429/SUM($X$5:$X$493)),0),"")</f>
        <v/>
      </c>
      <c r="AJ429" s="4" t="str">
        <f t="shared" si="168"/>
        <v/>
      </c>
      <c r="AK429" s="4" t="str">
        <f t="shared" si="169"/>
        <v/>
      </c>
      <c r="AL429" s="4" t="str">
        <f t="shared" si="170"/>
        <v/>
      </c>
      <c r="AM429" s="4" t="str">
        <f t="shared" si="171"/>
        <v/>
      </c>
      <c r="AN429" s="195" t="str">
        <f t="shared" si="172"/>
        <v/>
      </c>
      <c r="AO429" s="261" t="str">
        <f>IF(AND(AM429&lt;&gt;"",P429&lt;&gt;""),ROUND((AM429*((100+SI!$C$11)/100)),0),"")</f>
        <v/>
      </c>
      <c r="AP429" s="28" t="str">
        <f>IF(AG429&lt;&gt;"",ROUND(AG429/SI!$C$9,2),"")</f>
        <v/>
      </c>
      <c r="AQ429" s="4" t="str">
        <f>IF(AH429&lt;&gt;"",ROUND(AH429/SI!$C$9,2),"")</f>
        <v/>
      </c>
      <c r="AR429" s="29" t="str">
        <f>IF(AI429&lt;&gt;"",ROUND(AI429/SI!$C$9,2),"")</f>
        <v/>
      </c>
      <c r="AS429" s="4" t="str">
        <f t="shared" si="173"/>
        <v/>
      </c>
      <c r="AT429" s="4" t="str">
        <f t="shared" si="174"/>
        <v/>
      </c>
      <c r="AU429" s="4" t="str">
        <f>IF(AL429&lt;&gt;"",ROUND(AL429/SI!$C$9,2),"")</f>
        <v/>
      </c>
      <c r="AV429" s="4" t="str">
        <f>IF(AM429&lt;&gt;"",ROUND(AM429/SI!$C$9,2),"")</f>
        <v/>
      </c>
      <c r="AW429" s="4" t="str">
        <f>IF(AN429&lt;&gt;"",ROUND(AN429/SI!$C$9,2),"")</f>
        <v/>
      </c>
      <c r="AX429" s="261" t="str">
        <f>IF(AO429&lt;&gt;"",ROUND(AO429/SI!$C$9,2),"")</f>
        <v/>
      </c>
      <c r="AY429" s="28" t="str">
        <f t="shared" si="175"/>
        <v/>
      </c>
      <c r="AZ429" s="4" t="str">
        <f>IF(AY429&lt;&gt;"",ROUND(AY429/(SI!$C$9*SI!$C$10),2),"")</f>
        <v/>
      </c>
      <c r="BA429" s="4" t="str">
        <f t="shared" si="176"/>
        <v/>
      </c>
      <c r="BB429" s="4" t="str">
        <f t="shared" si="177"/>
        <v/>
      </c>
      <c r="BC429" s="4" t="str">
        <f t="shared" si="178"/>
        <v/>
      </c>
      <c r="BD429" s="4" t="str">
        <f t="shared" si="179"/>
        <v/>
      </c>
      <c r="BE429" s="4" t="str">
        <f>IF(AND(X429&lt;&gt;""),ROUND(X429/SI!$C$10,2),"")</f>
        <v/>
      </c>
      <c r="BF429" s="4" t="str">
        <f t="shared" si="181"/>
        <v/>
      </c>
      <c r="BG429" s="264" t="str">
        <f t="shared" si="180"/>
        <v/>
      </c>
      <c r="BH429" s="71" t="str">
        <f>IF(F429&lt;&gt;"",VLOOKUP(F429,DUTY_2025!A:O,15,FALSE),"")</f>
        <v/>
      </c>
    </row>
    <row r="430" spans="1:60" x14ac:dyDescent="0.25">
      <c r="A430" s="133">
        <f t="shared" si="156"/>
        <v>66</v>
      </c>
      <c r="B430" s="83" t="str">
        <f t="shared" si="157"/>
        <v/>
      </c>
      <c r="C430" s="126"/>
      <c r="D430" s="130"/>
      <c r="E430" s="22"/>
      <c r="F430" s="85"/>
      <c r="G430" s="27" t="str">
        <f>IF(F430&lt;&gt;"",IFERROR(VLOOKUP(F430,DUTY_2025!A:I,6,FALSE),""),"")</f>
        <v/>
      </c>
      <c r="H430" s="85" t="s">
        <v>133</v>
      </c>
      <c r="I430" s="27" t="str">
        <f>IF(F430&lt;&gt;"",IFERROR(VLOOKUP(F430,DUTY_2025!A:H,2,FALSE),""),"")</f>
        <v/>
      </c>
      <c r="J430" s="98"/>
      <c r="K430" s="98"/>
      <c r="L430" s="22"/>
      <c r="M430" s="22"/>
      <c r="N430" s="84"/>
      <c r="O430" s="22"/>
      <c r="P430" s="116"/>
      <c r="Q430" s="23"/>
      <c r="R430" s="27"/>
      <c r="S430" s="86" t="str">
        <f t="shared" si="158"/>
        <v/>
      </c>
      <c r="T430" s="87" t="str">
        <f t="shared" si="159"/>
        <v/>
      </c>
      <c r="U430" s="87" t="str" cm="1">
        <f t="array" ref="U430">IF(AND(H430&lt;&gt;"YES",P430&lt;&gt;"",R430&lt;&gt;"",Q430&lt;&gt;""),
_xlfn.SWITCH(Q430,
"INR",_xlfn.SWITCH(R430,"KG",P430*S430,"CTN",P430,"UNIT",P430*N430,"NET",P430/M430,0),
"USD",_xlfn.SWITCH(R430,"KG",P430*S430*SI!$C$10,"CTN",P430*SI!$C$10,"UNIT",P430*N430*SI!$C$10,"NET",P430*SI!$C$10/M430,0),
"LKR",_xlfn.SWITCH(R430,"KG",P430*S430/SI!$C$9,"CTN",P430/SI!$C$9,"UNIT",P430*N430/SI!$C$9,"NET",P430/(M430*SI!$C$9),0),
0),
"")</f>
        <v/>
      </c>
      <c r="V430" s="87" t="str">
        <f t="shared" si="160"/>
        <v/>
      </c>
      <c r="W430" s="87" t="str">
        <f t="shared" si="161"/>
        <v/>
      </c>
      <c r="X430" s="88" t="str">
        <f t="shared" si="162"/>
        <v/>
      </c>
      <c r="Y430" s="24" t="str">
        <f t="shared" si="163"/>
        <v/>
      </c>
      <c r="Z430" s="267" t="str">
        <f>IF(AND(H430&lt;&gt;"yes",F430&lt;&gt;""),IFERROR(VLOOKUP(F430,DUTY_2025!A:F,5,FALSE),""),"")</f>
        <v/>
      </c>
      <c r="AA430" s="271" t="str">
        <f t="shared" si="164"/>
        <v/>
      </c>
      <c r="AB430" s="16" t="str">
        <f t="shared" si="165"/>
        <v/>
      </c>
      <c r="AC430" s="16" t="str">
        <f>IF(AA430&lt;&gt;"",ROUND(AA430*SI!$C$9,0),"")</f>
        <v/>
      </c>
      <c r="AD430" s="4" t="str">
        <f>IF(AC430&lt;&gt;"",ROUND(AC430/(SI!$C$9*SI!$C$10),2),"")</f>
        <v/>
      </c>
      <c r="AE430" s="30" t="str">
        <f>IF(AND(X430&lt;&gt;""), ROUND((SI!$E$23)*(X430/SUM($X$5:$X$493)),0),"")</f>
        <v/>
      </c>
      <c r="AF430" s="272" t="str">
        <f t="shared" si="166"/>
        <v/>
      </c>
      <c r="AG430" s="28" t="str">
        <f t="shared" si="167"/>
        <v/>
      </c>
      <c r="AH430" s="4" t="str">
        <f>IF(AD430&lt;&gt;"",ROUND(AD430*10*SI!$C$9/2,0),"")</f>
        <v/>
      </c>
      <c r="AI430" s="29" t="str">
        <f>IF(AND(X430&lt;&gt;""), ROUND((SI!$E$28)*(X430/SUM($X$5:$X$493)),0),"")</f>
        <v/>
      </c>
      <c r="AJ430" s="4" t="str">
        <f t="shared" si="168"/>
        <v/>
      </c>
      <c r="AK430" s="4" t="str">
        <f t="shared" si="169"/>
        <v/>
      </c>
      <c r="AL430" s="4" t="str">
        <f t="shared" si="170"/>
        <v/>
      </c>
      <c r="AM430" s="4" t="str">
        <f t="shared" si="171"/>
        <v/>
      </c>
      <c r="AN430" s="195" t="str">
        <f t="shared" si="172"/>
        <v/>
      </c>
      <c r="AO430" s="261" t="str">
        <f>IF(AND(AM430&lt;&gt;"",P430&lt;&gt;""),ROUND((AM430*((100+SI!$C$11)/100)),0),"")</f>
        <v/>
      </c>
      <c r="AP430" s="28" t="str">
        <f>IF(AG430&lt;&gt;"",ROUND(AG430/SI!$C$9,2),"")</f>
        <v/>
      </c>
      <c r="AQ430" s="4" t="str">
        <f>IF(AH430&lt;&gt;"",ROUND(AH430/SI!$C$9,2),"")</f>
        <v/>
      </c>
      <c r="AR430" s="29" t="str">
        <f>IF(AI430&lt;&gt;"",ROUND(AI430/SI!$C$9,2),"")</f>
        <v/>
      </c>
      <c r="AS430" s="4" t="str">
        <f t="shared" si="173"/>
        <v/>
      </c>
      <c r="AT430" s="4" t="str">
        <f t="shared" si="174"/>
        <v/>
      </c>
      <c r="AU430" s="4" t="str">
        <f>IF(AL430&lt;&gt;"",ROUND(AL430/SI!$C$9,2),"")</f>
        <v/>
      </c>
      <c r="AV430" s="4" t="str">
        <f>IF(AM430&lt;&gt;"",ROUND(AM430/SI!$C$9,2),"")</f>
        <v/>
      </c>
      <c r="AW430" s="4" t="str">
        <f>IF(AN430&lt;&gt;"",ROUND(AN430/SI!$C$9,2),"")</f>
        <v/>
      </c>
      <c r="AX430" s="261" t="str">
        <f>IF(AO430&lt;&gt;"",ROUND(AO430/SI!$C$9,2),"")</f>
        <v/>
      </c>
      <c r="AY430" s="28" t="str">
        <f t="shared" si="175"/>
        <v/>
      </c>
      <c r="AZ430" s="4" t="str">
        <f>IF(AY430&lt;&gt;"",ROUND(AY430/(SI!$C$9*SI!$C$10),2),"")</f>
        <v/>
      </c>
      <c r="BA430" s="4" t="str">
        <f t="shared" si="176"/>
        <v/>
      </c>
      <c r="BB430" s="4" t="str">
        <f t="shared" si="177"/>
        <v/>
      </c>
      <c r="BC430" s="4" t="str">
        <f t="shared" si="178"/>
        <v/>
      </c>
      <c r="BD430" s="4" t="str">
        <f t="shared" si="179"/>
        <v/>
      </c>
      <c r="BE430" s="4" t="str">
        <f>IF(AND(X430&lt;&gt;""),ROUND(X430/SI!$C$10,2),"")</f>
        <v/>
      </c>
      <c r="BF430" s="4" t="str">
        <f t="shared" si="181"/>
        <v/>
      </c>
      <c r="BG430" s="264" t="str">
        <f t="shared" si="180"/>
        <v/>
      </c>
      <c r="BH430" s="71" t="str">
        <f>IF(F430&lt;&gt;"",VLOOKUP(F430,DUTY_2025!A:O,15,FALSE),"")</f>
        <v/>
      </c>
    </row>
    <row r="431" spans="1:60" x14ac:dyDescent="0.25">
      <c r="A431" s="133">
        <f t="shared" si="156"/>
        <v>66</v>
      </c>
      <c r="B431" s="83" t="str">
        <f t="shared" si="157"/>
        <v/>
      </c>
      <c r="C431" s="126"/>
      <c r="D431" s="130"/>
      <c r="E431" s="22"/>
      <c r="F431" s="85"/>
      <c r="G431" s="27" t="str">
        <f>IF(F431&lt;&gt;"",IFERROR(VLOOKUP(F431,DUTY_2025!A:I,6,FALSE),""),"")</f>
        <v/>
      </c>
      <c r="H431" s="85" t="s">
        <v>133</v>
      </c>
      <c r="I431" s="27" t="str">
        <f>IF(F431&lt;&gt;"",IFERROR(VLOOKUP(F431,DUTY_2025!A:H,2,FALSE),""),"")</f>
        <v/>
      </c>
      <c r="J431" s="98"/>
      <c r="K431" s="98"/>
      <c r="L431" s="22"/>
      <c r="M431" s="22"/>
      <c r="N431" s="84"/>
      <c r="O431" s="22"/>
      <c r="P431" s="116"/>
      <c r="Q431" s="23"/>
      <c r="R431" s="27"/>
      <c r="S431" s="86" t="str">
        <f t="shared" si="158"/>
        <v/>
      </c>
      <c r="T431" s="87" t="str">
        <f t="shared" si="159"/>
        <v/>
      </c>
      <c r="U431" s="87" t="str" cm="1">
        <f t="array" ref="U431">IF(AND(H431&lt;&gt;"YES",P431&lt;&gt;"",R431&lt;&gt;"",Q431&lt;&gt;""),
_xlfn.SWITCH(Q431,
"INR",_xlfn.SWITCH(R431,"KG",P431*S431,"CTN",P431,"UNIT",P431*N431,"NET",P431/M431,0),
"USD",_xlfn.SWITCH(R431,"KG",P431*S431*SI!$C$10,"CTN",P431*SI!$C$10,"UNIT",P431*N431*SI!$C$10,"NET",P431*SI!$C$10/M431,0),
"LKR",_xlfn.SWITCH(R431,"KG",P431*S431/SI!$C$9,"CTN",P431/SI!$C$9,"UNIT",P431*N431/SI!$C$9,"NET",P431/(M431*SI!$C$9),0),
0),
"")</f>
        <v/>
      </c>
      <c r="V431" s="87" t="str">
        <f t="shared" si="160"/>
        <v/>
      </c>
      <c r="W431" s="87" t="str">
        <f t="shared" si="161"/>
        <v/>
      </c>
      <c r="X431" s="88" t="str">
        <f t="shared" si="162"/>
        <v/>
      </c>
      <c r="Y431" s="24" t="str">
        <f t="shared" si="163"/>
        <v/>
      </c>
      <c r="Z431" s="267" t="str">
        <f>IF(AND(H431&lt;&gt;"yes",F431&lt;&gt;""),IFERROR(VLOOKUP(F431,DUTY_2025!A:F,5,FALSE),""),"")</f>
        <v/>
      </c>
      <c r="AA431" s="271" t="str">
        <f t="shared" si="164"/>
        <v/>
      </c>
      <c r="AB431" s="16" t="str">
        <f t="shared" si="165"/>
        <v/>
      </c>
      <c r="AC431" s="16" t="str">
        <f>IF(AA431&lt;&gt;"",ROUND(AA431*SI!$C$9,0),"")</f>
        <v/>
      </c>
      <c r="AD431" s="4" t="str">
        <f>IF(AC431&lt;&gt;"",ROUND(AC431/(SI!$C$9*SI!$C$10),2),"")</f>
        <v/>
      </c>
      <c r="AE431" s="30" t="str">
        <f>IF(AND(X431&lt;&gt;""), ROUND((SI!$E$23)*(X431/SUM($X$5:$X$493)),0),"")</f>
        <v/>
      </c>
      <c r="AF431" s="272" t="str">
        <f t="shared" si="166"/>
        <v/>
      </c>
      <c r="AG431" s="28" t="str">
        <f t="shared" si="167"/>
        <v/>
      </c>
      <c r="AH431" s="4" t="str">
        <f>IF(AD431&lt;&gt;"",ROUND(AD431*10*SI!$C$9/2,0),"")</f>
        <v/>
      </c>
      <c r="AI431" s="29" t="str">
        <f>IF(AND(X431&lt;&gt;""), ROUND((SI!$E$28)*(X431/SUM($X$5:$X$493)),0),"")</f>
        <v/>
      </c>
      <c r="AJ431" s="4" t="str">
        <f t="shared" si="168"/>
        <v/>
      </c>
      <c r="AK431" s="4" t="str">
        <f t="shared" si="169"/>
        <v/>
      </c>
      <c r="AL431" s="4" t="str">
        <f t="shared" si="170"/>
        <v/>
      </c>
      <c r="AM431" s="4" t="str">
        <f t="shared" si="171"/>
        <v/>
      </c>
      <c r="AN431" s="195" t="str">
        <f t="shared" si="172"/>
        <v/>
      </c>
      <c r="AO431" s="261" t="str">
        <f>IF(AND(AM431&lt;&gt;"",P431&lt;&gt;""),ROUND((AM431*((100+SI!$C$11)/100)),0),"")</f>
        <v/>
      </c>
      <c r="AP431" s="28" t="str">
        <f>IF(AG431&lt;&gt;"",ROUND(AG431/SI!$C$9,2),"")</f>
        <v/>
      </c>
      <c r="AQ431" s="4" t="str">
        <f>IF(AH431&lt;&gt;"",ROUND(AH431/SI!$C$9,2),"")</f>
        <v/>
      </c>
      <c r="AR431" s="29" t="str">
        <f>IF(AI431&lt;&gt;"",ROUND(AI431/SI!$C$9,2),"")</f>
        <v/>
      </c>
      <c r="AS431" s="4" t="str">
        <f t="shared" si="173"/>
        <v/>
      </c>
      <c r="AT431" s="4" t="str">
        <f t="shared" si="174"/>
        <v/>
      </c>
      <c r="AU431" s="4" t="str">
        <f>IF(AL431&lt;&gt;"",ROUND(AL431/SI!$C$9,2),"")</f>
        <v/>
      </c>
      <c r="AV431" s="4" t="str">
        <f>IF(AM431&lt;&gt;"",ROUND(AM431/SI!$C$9,2),"")</f>
        <v/>
      </c>
      <c r="AW431" s="4" t="str">
        <f>IF(AN431&lt;&gt;"",ROUND(AN431/SI!$C$9,2),"")</f>
        <v/>
      </c>
      <c r="AX431" s="261" t="str">
        <f>IF(AO431&lt;&gt;"",ROUND(AO431/SI!$C$9,2),"")</f>
        <v/>
      </c>
      <c r="AY431" s="28" t="str">
        <f t="shared" si="175"/>
        <v/>
      </c>
      <c r="AZ431" s="4" t="str">
        <f>IF(AY431&lt;&gt;"",ROUND(AY431/(SI!$C$9*SI!$C$10),2),"")</f>
        <v/>
      </c>
      <c r="BA431" s="4" t="str">
        <f t="shared" si="176"/>
        <v/>
      </c>
      <c r="BB431" s="4" t="str">
        <f t="shared" si="177"/>
        <v/>
      </c>
      <c r="BC431" s="4" t="str">
        <f t="shared" si="178"/>
        <v/>
      </c>
      <c r="BD431" s="4" t="str">
        <f t="shared" si="179"/>
        <v/>
      </c>
      <c r="BE431" s="4" t="str">
        <f>IF(AND(X431&lt;&gt;""),ROUND(X431/SI!$C$10,2),"")</f>
        <v/>
      </c>
      <c r="BF431" s="4" t="str">
        <f t="shared" si="181"/>
        <v/>
      </c>
      <c r="BG431" s="264" t="str">
        <f t="shared" si="180"/>
        <v/>
      </c>
      <c r="BH431" s="71" t="str">
        <f>IF(F431&lt;&gt;"",VLOOKUP(F431,DUTY_2025!A:O,15,FALSE),"")</f>
        <v/>
      </c>
    </row>
    <row r="432" spans="1:60" x14ac:dyDescent="0.25">
      <c r="A432" s="133">
        <f t="shared" si="156"/>
        <v>66</v>
      </c>
      <c r="B432" s="83" t="str">
        <f t="shared" si="157"/>
        <v/>
      </c>
      <c r="C432" s="126"/>
      <c r="D432" s="130"/>
      <c r="E432" s="22"/>
      <c r="F432" s="85"/>
      <c r="G432" s="27" t="str">
        <f>IF(F432&lt;&gt;"",IFERROR(VLOOKUP(F432,DUTY_2025!A:I,6,FALSE),""),"")</f>
        <v/>
      </c>
      <c r="H432" s="85" t="s">
        <v>133</v>
      </c>
      <c r="I432" s="27" t="str">
        <f>IF(F432&lt;&gt;"",IFERROR(VLOOKUP(F432,DUTY_2025!A:H,2,FALSE),""),"")</f>
        <v/>
      </c>
      <c r="J432" s="98"/>
      <c r="K432" s="98"/>
      <c r="L432" s="22"/>
      <c r="M432" s="22"/>
      <c r="N432" s="84"/>
      <c r="O432" s="22"/>
      <c r="P432" s="116"/>
      <c r="Q432" s="23"/>
      <c r="R432" s="27"/>
      <c r="S432" s="86" t="str">
        <f t="shared" si="158"/>
        <v/>
      </c>
      <c r="T432" s="87" t="str">
        <f t="shared" si="159"/>
        <v/>
      </c>
      <c r="U432" s="87" t="str" cm="1">
        <f t="array" ref="U432">IF(AND(H432&lt;&gt;"YES",P432&lt;&gt;"",R432&lt;&gt;"",Q432&lt;&gt;""),
_xlfn.SWITCH(Q432,
"INR",_xlfn.SWITCH(R432,"KG",P432*S432,"CTN",P432,"UNIT",P432*N432,"NET",P432/M432,0),
"USD",_xlfn.SWITCH(R432,"KG",P432*S432*SI!$C$10,"CTN",P432*SI!$C$10,"UNIT",P432*N432*SI!$C$10,"NET",P432*SI!$C$10/M432,0),
"LKR",_xlfn.SWITCH(R432,"KG",P432*S432/SI!$C$9,"CTN",P432/SI!$C$9,"UNIT",P432*N432/SI!$C$9,"NET",P432/(M432*SI!$C$9),0),
0),
"")</f>
        <v/>
      </c>
      <c r="V432" s="87" t="str">
        <f t="shared" si="160"/>
        <v/>
      </c>
      <c r="W432" s="87" t="str">
        <f t="shared" si="161"/>
        <v/>
      </c>
      <c r="X432" s="88" t="str">
        <f t="shared" si="162"/>
        <v/>
      </c>
      <c r="Y432" s="24" t="str">
        <f t="shared" si="163"/>
        <v/>
      </c>
      <c r="Z432" s="267" t="str">
        <f>IF(AND(H432&lt;&gt;"yes",F432&lt;&gt;""),IFERROR(VLOOKUP(F432,DUTY_2025!A:F,5,FALSE),""),"")</f>
        <v/>
      </c>
      <c r="AA432" s="271" t="str">
        <f t="shared" si="164"/>
        <v/>
      </c>
      <c r="AB432" s="16" t="str">
        <f t="shared" si="165"/>
        <v/>
      </c>
      <c r="AC432" s="16" t="str">
        <f>IF(AA432&lt;&gt;"",ROUND(AA432*SI!$C$9,0),"")</f>
        <v/>
      </c>
      <c r="AD432" s="4" t="str">
        <f>IF(AC432&lt;&gt;"",ROUND(AC432/(SI!$C$9*SI!$C$10),2),"")</f>
        <v/>
      </c>
      <c r="AE432" s="30" t="str">
        <f>IF(AND(X432&lt;&gt;""), ROUND((SI!$E$23)*(X432/SUM($X$5:$X$493)),0),"")</f>
        <v/>
      </c>
      <c r="AF432" s="272" t="str">
        <f t="shared" si="166"/>
        <v/>
      </c>
      <c r="AG432" s="28" t="str">
        <f t="shared" si="167"/>
        <v/>
      </c>
      <c r="AH432" s="4" t="str">
        <f>IF(AD432&lt;&gt;"",ROUND(AD432*10*SI!$C$9/2,0),"")</f>
        <v/>
      </c>
      <c r="AI432" s="29" t="str">
        <f>IF(AND(X432&lt;&gt;""), ROUND((SI!$E$28)*(X432/SUM($X$5:$X$493)),0),"")</f>
        <v/>
      </c>
      <c r="AJ432" s="4" t="str">
        <f t="shared" si="168"/>
        <v/>
      </c>
      <c r="AK432" s="4" t="str">
        <f t="shared" si="169"/>
        <v/>
      </c>
      <c r="AL432" s="4" t="str">
        <f t="shared" si="170"/>
        <v/>
      </c>
      <c r="AM432" s="4" t="str">
        <f t="shared" si="171"/>
        <v/>
      </c>
      <c r="AN432" s="195" t="str">
        <f t="shared" si="172"/>
        <v/>
      </c>
      <c r="AO432" s="261" t="str">
        <f>IF(AND(AM432&lt;&gt;"",P432&lt;&gt;""),ROUND((AM432*((100+SI!$C$11)/100)),0),"")</f>
        <v/>
      </c>
      <c r="AP432" s="28" t="str">
        <f>IF(AG432&lt;&gt;"",ROUND(AG432/SI!$C$9,2),"")</f>
        <v/>
      </c>
      <c r="AQ432" s="4" t="str">
        <f>IF(AH432&lt;&gt;"",ROUND(AH432/SI!$C$9,2),"")</f>
        <v/>
      </c>
      <c r="AR432" s="29" t="str">
        <f>IF(AI432&lt;&gt;"",ROUND(AI432/SI!$C$9,2),"")</f>
        <v/>
      </c>
      <c r="AS432" s="4" t="str">
        <f t="shared" si="173"/>
        <v/>
      </c>
      <c r="AT432" s="4" t="str">
        <f t="shared" si="174"/>
        <v/>
      </c>
      <c r="AU432" s="4" t="str">
        <f>IF(AL432&lt;&gt;"",ROUND(AL432/SI!$C$9,2),"")</f>
        <v/>
      </c>
      <c r="AV432" s="4" t="str">
        <f>IF(AM432&lt;&gt;"",ROUND(AM432/SI!$C$9,2),"")</f>
        <v/>
      </c>
      <c r="AW432" s="4" t="str">
        <f>IF(AN432&lt;&gt;"",ROUND(AN432/SI!$C$9,2),"")</f>
        <v/>
      </c>
      <c r="AX432" s="261" t="str">
        <f>IF(AO432&lt;&gt;"",ROUND(AO432/SI!$C$9,2),"")</f>
        <v/>
      </c>
      <c r="AY432" s="28" t="str">
        <f t="shared" si="175"/>
        <v/>
      </c>
      <c r="AZ432" s="4" t="str">
        <f>IF(AY432&lt;&gt;"",ROUND(AY432/(SI!$C$9*SI!$C$10),2),"")</f>
        <v/>
      </c>
      <c r="BA432" s="4" t="str">
        <f t="shared" si="176"/>
        <v/>
      </c>
      <c r="BB432" s="4" t="str">
        <f t="shared" si="177"/>
        <v/>
      </c>
      <c r="BC432" s="4" t="str">
        <f t="shared" si="178"/>
        <v/>
      </c>
      <c r="BD432" s="4" t="str">
        <f t="shared" si="179"/>
        <v/>
      </c>
      <c r="BE432" s="4" t="str">
        <f>IF(AND(X432&lt;&gt;""),ROUND(X432/SI!$C$10,2),"")</f>
        <v/>
      </c>
      <c r="BF432" s="4" t="str">
        <f t="shared" si="181"/>
        <v/>
      </c>
      <c r="BG432" s="264" t="str">
        <f t="shared" si="180"/>
        <v/>
      </c>
      <c r="BH432" s="71" t="str">
        <f>IF(F432&lt;&gt;"",VLOOKUP(F432,DUTY_2025!A:O,15,FALSE),"")</f>
        <v/>
      </c>
    </row>
    <row r="433" spans="1:60" x14ac:dyDescent="0.25">
      <c r="A433" s="133">
        <f t="shared" si="156"/>
        <v>66</v>
      </c>
      <c r="B433" s="83" t="str">
        <f t="shared" si="157"/>
        <v/>
      </c>
      <c r="C433" s="126"/>
      <c r="D433" s="130"/>
      <c r="E433" s="22"/>
      <c r="F433" s="85"/>
      <c r="G433" s="27" t="str">
        <f>IF(F433&lt;&gt;"",IFERROR(VLOOKUP(F433,DUTY_2025!A:I,6,FALSE),""),"")</f>
        <v/>
      </c>
      <c r="H433" s="85" t="s">
        <v>133</v>
      </c>
      <c r="I433" s="27" t="str">
        <f>IF(F433&lt;&gt;"",IFERROR(VLOOKUP(F433,DUTY_2025!A:H,2,FALSE),""),"")</f>
        <v/>
      </c>
      <c r="J433" s="98"/>
      <c r="K433" s="98"/>
      <c r="L433" s="22"/>
      <c r="M433" s="22"/>
      <c r="N433" s="84"/>
      <c r="O433" s="22"/>
      <c r="P433" s="116"/>
      <c r="Q433" s="23"/>
      <c r="R433" s="27"/>
      <c r="S433" s="86" t="str">
        <f t="shared" si="158"/>
        <v/>
      </c>
      <c r="T433" s="87" t="str">
        <f t="shared" si="159"/>
        <v/>
      </c>
      <c r="U433" s="87" t="str" cm="1">
        <f t="array" ref="U433">IF(AND(H433&lt;&gt;"YES",P433&lt;&gt;"",R433&lt;&gt;"",Q433&lt;&gt;""),
_xlfn.SWITCH(Q433,
"INR",_xlfn.SWITCH(R433,"KG",P433*S433,"CTN",P433,"UNIT",P433*N433,"NET",P433/M433,0),
"USD",_xlfn.SWITCH(R433,"KG",P433*S433*SI!$C$10,"CTN",P433*SI!$C$10,"UNIT",P433*N433*SI!$C$10,"NET",P433*SI!$C$10/M433,0),
"LKR",_xlfn.SWITCH(R433,"KG",P433*S433/SI!$C$9,"CTN",P433/SI!$C$9,"UNIT",P433*N433/SI!$C$9,"NET",P433/(M433*SI!$C$9),0),
0),
"")</f>
        <v/>
      </c>
      <c r="V433" s="87" t="str">
        <f t="shared" si="160"/>
        <v/>
      </c>
      <c r="W433" s="87" t="str">
        <f t="shared" si="161"/>
        <v/>
      </c>
      <c r="X433" s="88" t="str">
        <f t="shared" si="162"/>
        <v/>
      </c>
      <c r="Y433" s="24" t="str">
        <f t="shared" si="163"/>
        <v/>
      </c>
      <c r="Z433" s="267" t="str">
        <f>IF(AND(H433&lt;&gt;"yes",F433&lt;&gt;""),IFERROR(VLOOKUP(F433,DUTY_2025!A:F,5,FALSE),""),"")</f>
        <v/>
      </c>
      <c r="AA433" s="271" t="str">
        <f t="shared" si="164"/>
        <v/>
      </c>
      <c r="AB433" s="16" t="str">
        <f t="shared" si="165"/>
        <v/>
      </c>
      <c r="AC433" s="16" t="str">
        <f>IF(AA433&lt;&gt;"",ROUND(AA433*SI!$C$9,0),"")</f>
        <v/>
      </c>
      <c r="AD433" s="4" t="str">
        <f>IF(AC433&lt;&gt;"",ROUND(AC433/(SI!$C$9*SI!$C$10),2),"")</f>
        <v/>
      </c>
      <c r="AE433" s="30" t="str">
        <f>IF(AND(X433&lt;&gt;""), ROUND((SI!$E$23)*(X433/SUM($X$5:$X$493)),0),"")</f>
        <v/>
      </c>
      <c r="AF433" s="272" t="str">
        <f t="shared" si="166"/>
        <v/>
      </c>
      <c r="AG433" s="28" t="str">
        <f t="shared" si="167"/>
        <v/>
      </c>
      <c r="AH433" s="4" t="str">
        <f>IF(AD433&lt;&gt;"",ROUND(AD433*10*SI!$C$9/2,0),"")</f>
        <v/>
      </c>
      <c r="AI433" s="29" t="str">
        <f>IF(AND(X433&lt;&gt;""), ROUND((SI!$E$28)*(X433/SUM($X$5:$X$493)),0),"")</f>
        <v/>
      </c>
      <c r="AJ433" s="4" t="str">
        <f t="shared" si="168"/>
        <v/>
      </c>
      <c r="AK433" s="4" t="str">
        <f t="shared" si="169"/>
        <v/>
      </c>
      <c r="AL433" s="4" t="str">
        <f t="shared" si="170"/>
        <v/>
      </c>
      <c r="AM433" s="4" t="str">
        <f t="shared" si="171"/>
        <v/>
      </c>
      <c r="AN433" s="195" t="str">
        <f t="shared" si="172"/>
        <v/>
      </c>
      <c r="AO433" s="261" t="str">
        <f>IF(AND(AM433&lt;&gt;"",P433&lt;&gt;""),ROUND((AM433*((100+SI!$C$11)/100)),0),"")</f>
        <v/>
      </c>
      <c r="AP433" s="28" t="str">
        <f>IF(AG433&lt;&gt;"",ROUND(AG433/SI!$C$9,2),"")</f>
        <v/>
      </c>
      <c r="AQ433" s="4" t="str">
        <f>IF(AH433&lt;&gt;"",ROUND(AH433/SI!$C$9,2),"")</f>
        <v/>
      </c>
      <c r="AR433" s="29" t="str">
        <f>IF(AI433&lt;&gt;"",ROUND(AI433/SI!$C$9,2),"")</f>
        <v/>
      </c>
      <c r="AS433" s="4" t="str">
        <f t="shared" si="173"/>
        <v/>
      </c>
      <c r="AT433" s="4" t="str">
        <f t="shared" si="174"/>
        <v/>
      </c>
      <c r="AU433" s="4" t="str">
        <f>IF(AL433&lt;&gt;"",ROUND(AL433/SI!$C$9,2),"")</f>
        <v/>
      </c>
      <c r="AV433" s="4" t="str">
        <f>IF(AM433&lt;&gt;"",ROUND(AM433/SI!$C$9,2),"")</f>
        <v/>
      </c>
      <c r="AW433" s="4" t="str">
        <f>IF(AN433&lt;&gt;"",ROUND(AN433/SI!$C$9,2),"")</f>
        <v/>
      </c>
      <c r="AX433" s="261" t="str">
        <f>IF(AO433&lt;&gt;"",ROUND(AO433/SI!$C$9,2),"")</f>
        <v/>
      </c>
      <c r="AY433" s="28" t="str">
        <f t="shared" si="175"/>
        <v/>
      </c>
      <c r="AZ433" s="4" t="str">
        <f>IF(AY433&lt;&gt;"",ROUND(AY433/(SI!$C$9*SI!$C$10),2),"")</f>
        <v/>
      </c>
      <c r="BA433" s="4" t="str">
        <f t="shared" si="176"/>
        <v/>
      </c>
      <c r="BB433" s="4" t="str">
        <f t="shared" si="177"/>
        <v/>
      </c>
      <c r="BC433" s="4" t="str">
        <f t="shared" si="178"/>
        <v/>
      </c>
      <c r="BD433" s="4" t="str">
        <f t="shared" si="179"/>
        <v/>
      </c>
      <c r="BE433" s="4" t="str">
        <f>IF(AND(X433&lt;&gt;""),ROUND(X433/SI!$C$10,2),"")</f>
        <v/>
      </c>
      <c r="BF433" s="4" t="str">
        <f t="shared" si="181"/>
        <v/>
      </c>
      <c r="BG433" s="264" t="str">
        <f t="shared" si="180"/>
        <v/>
      </c>
      <c r="BH433" s="71" t="str">
        <f>IF(F433&lt;&gt;"",VLOOKUP(F433,DUTY_2025!A:O,15,FALSE),"")</f>
        <v/>
      </c>
    </row>
    <row r="434" spans="1:60" x14ac:dyDescent="0.25">
      <c r="A434" s="133">
        <f t="shared" si="156"/>
        <v>66</v>
      </c>
      <c r="B434" s="83" t="str">
        <f t="shared" si="157"/>
        <v/>
      </c>
      <c r="C434" s="126"/>
      <c r="D434" s="130"/>
      <c r="E434" s="22"/>
      <c r="F434" s="85"/>
      <c r="G434" s="27" t="str">
        <f>IF(F434&lt;&gt;"",IFERROR(VLOOKUP(F434,DUTY_2025!A:I,6,FALSE),""),"")</f>
        <v/>
      </c>
      <c r="H434" s="85" t="s">
        <v>133</v>
      </c>
      <c r="I434" s="27" t="str">
        <f>IF(F434&lt;&gt;"",IFERROR(VLOOKUP(F434,DUTY_2025!A:H,2,FALSE),""),"")</f>
        <v/>
      </c>
      <c r="J434" s="98"/>
      <c r="K434" s="98"/>
      <c r="L434" s="22"/>
      <c r="M434" s="22"/>
      <c r="N434" s="84"/>
      <c r="O434" s="22"/>
      <c r="P434" s="116"/>
      <c r="Q434" s="23"/>
      <c r="R434" s="27"/>
      <c r="S434" s="86" t="str">
        <f t="shared" si="158"/>
        <v/>
      </c>
      <c r="T434" s="87" t="str">
        <f t="shared" si="159"/>
        <v/>
      </c>
      <c r="U434" s="87" t="str" cm="1">
        <f t="array" ref="U434">IF(AND(H434&lt;&gt;"YES",P434&lt;&gt;"",R434&lt;&gt;"",Q434&lt;&gt;""),
_xlfn.SWITCH(Q434,
"INR",_xlfn.SWITCH(R434,"KG",P434*S434,"CTN",P434,"UNIT",P434*N434,"NET",P434/M434,0),
"USD",_xlfn.SWITCH(R434,"KG",P434*S434*SI!$C$10,"CTN",P434*SI!$C$10,"UNIT",P434*N434*SI!$C$10,"NET",P434*SI!$C$10/M434,0),
"LKR",_xlfn.SWITCH(R434,"KG",P434*S434/SI!$C$9,"CTN",P434/SI!$C$9,"UNIT",P434*N434/SI!$C$9,"NET",P434/(M434*SI!$C$9),0),
0),
"")</f>
        <v/>
      </c>
      <c r="V434" s="87" t="str">
        <f t="shared" si="160"/>
        <v/>
      </c>
      <c r="W434" s="87" t="str">
        <f t="shared" si="161"/>
        <v/>
      </c>
      <c r="X434" s="88" t="str">
        <f t="shared" si="162"/>
        <v/>
      </c>
      <c r="Y434" s="24" t="str">
        <f t="shared" si="163"/>
        <v/>
      </c>
      <c r="Z434" s="267" t="str">
        <f>IF(AND(H434&lt;&gt;"yes",F434&lt;&gt;""),IFERROR(VLOOKUP(F434,DUTY_2025!A:F,5,FALSE),""),"")</f>
        <v/>
      </c>
      <c r="AA434" s="271" t="str">
        <f t="shared" si="164"/>
        <v/>
      </c>
      <c r="AB434" s="16" t="str">
        <f t="shared" si="165"/>
        <v/>
      </c>
      <c r="AC434" s="16" t="str">
        <f>IF(AA434&lt;&gt;"",ROUND(AA434*SI!$C$9,0),"")</f>
        <v/>
      </c>
      <c r="AD434" s="4" t="str">
        <f>IF(AC434&lt;&gt;"",ROUND(AC434/(SI!$C$9*SI!$C$10),2),"")</f>
        <v/>
      </c>
      <c r="AE434" s="30" t="str">
        <f>IF(AND(X434&lt;&gt;""), ROUND((SI!$E$23)*(X434/SUM($X$5:$X$493)),0),"")</f>
        <v/>
      </c>
      <c r="AF434" s="272" t="str">
        <f t="shared" si="166"/>
        <v/>
      </c>
      <c r="AG434" s="28" t="str">
        <f t="shared" si="167"/>
        <v/>
      </c>
      <c r="AH434" s="4" t="str">
        <f>IF(AD434&lt;&gt;"",ROUND(AD434*10*SI!$C$9/2,0),"")</f>
        <v/>
      </c>
      <c r="AI434" s="29" t="str">
        <f>IF(AND(X434&lt;&gt;""), ROUND((SI!$E$28)*(X434/SUM($X$5:$X$493)),0),"")</f>
        <v/>
      </c>
      <c r="AJ434" s="4" t="str">
        <f t="shared" si="168"/>
        <v/>
      </c>
      <c r="AK434" s="4" t="str">
        <f t="shared" si="169"/>
        <v/>
      </c>
      <c r="AL434" s="4" t="str">
        <f t="shared" si="170"/>
        <v/>
      </c>
      <c r="AM434" s="4" t="str">
        <f t="shared" si="171"/>
        <v/>
      </c>
      <c r="AN434" s="195" t="str">
        <f t="shared" si="172"/>
        <v/>
      </c>
      <c r="AO434" s="261" t="str">
        <f>IF(AND(AM434&lt;&gt;"",P434&lt;&gt;""),ROUND((AM434*((100+SI!$C$11)/100)),0),"")</f>
        <v/>
      </c>
      <c r="AP434" s="28" t="str">
        <f>IF(AG434&lt;&gt;"",ROUND(AG434/SI!$C$9,2),"")</f>
        <v/>
      </c>
      <c r="AQ434" s="4" t="str">
        <f>IF(AH434&lt;&gt;"",ROUND(AH434/SI!$C$9,2),"")</f>
        <v/>
      </c>
      <c r="AR434" s="29" t="str">
        <f>IF(AI434&lt;&gt;"",ROUND(AI434/SI!$C$9,2),"")</f>
        <v/>
      </c>
      <c r="AS434" s="4" t="str">
        <f t="shared" si="173"/>
        <v/>
      </c>
      <c r="AT434" s="4" t="str">
        <f t="shared" si="174"/>
        <v/>
      </c>
      <c r="AU434" s="4" t="str">
        <f>IF(AL434&lt;&gt;"",ROUND(AL434/SI!$C$9,2),"")</f>
        <v/>
      </c>
      <c r="AV434" s="4" t="str">
        <f>IF(AM434&lt;&gt;"",ROUND(AM434/SI!$C$9,2),"")</f>
        <v/>
      </c>
      <c r="AW434" s="4" t="str">
        <f>IF(AN434&lt;&gt;"",ROUND(AN434/SI!$C$9,2),"")</f>
        <v/>
      </c>
      <c r="AX434" s="261" t="str">
        <f>IF(AO434&lt;&gt;"",ROUND(AO434/SI!$C$9,2),"")</f>
        <v/>
      </c>
      <c r="AY434" s="28" t="str">
        <f t="shared" si="175"/>
        <v/>
      </c>
      <c r="AZ434" s="4" t="str">
        <f>IF(AY434&lt;&gt;"",ROUND(AY434/(SI!$C$9*SI!$C$10),2),"")</f>
        <v/>
      </c>
      <c r="BA434" s="4" t="str">
        <f t="shared" si="176"/>
        <v/>
      </c>
      <c r="BB434" s="4" t="str">
        <f t="shared" si="177"/>
        <v/>
      </c>
      <c r="BC434" s="4" t="str">
        <f t="shared" si="178"/>
        <v/>
      </c>
      <c r="BD434" s="4" t="str">
        <f t="shared" si="179"/>
        <v/>
      </c>
      <c r="BE434" s="4" t="str">
        <f>IF(AND(X434&lt;&gt;""),ROUND(X434/SI!$C$10,2),"")</f>
        <v/>
      </c>
      <c r="BF434" s="4" t="str">
        <f t="shared" si="181"/>
        <v/>
      </c>
      <c r="BG434" s="264" t="str">
        <f t="shared" si="180"/>
        <v/>
      </c>
      <c r="BH434" s="71" t="str">
        <f>IF(F434&lt;&gt;"",VLOOKUP(F434,DUTY_2025!A:O,15,FALSE),"")</f>
        <v/>
      </c>
    </row>
    <row r="435" spans="1:60" x14ac:dyDescent="0.25">
      <c r="A435" s="133">
        <f t="shared" si="156"/>
        <v>66</v>
      </c>
      <c r="B435" s="83" t="str">
        <f t="shared" si="157"/>
        <v/>
      </c>
      <c r="C435" s="126"/>
      <c r="D435" s="130"/>
      <c r="E435" s="22"/>
      <c r="F435" s="85"/>
      <c r="G435" s="27" t="str">
        <f>IF(F435&lt;&gt;"",IFERROR(VLOOKUP(F435,DUTY_2025!A:I,6,FALSE),""),"")</f>
        <v/>
      </c>
      <c r="H435" s="85" t="s">
        <v>133</v>
      </c>
      <c r="I435" s="27" t="str">
        <f>IF(F435&lt;&gt;"",IFERROR(VLOOKUP(F435,DUTY_2025!A:H,2,FALSE),""),"")</f>
        <v/>
      </c>
      <c r="J435" s="98"/>
      <c r="K435" s="98"/>
      <c r="L435" s="22"/>
      <c r="M435" s="22"/>
      <c r="N435" s="84"/>
      <c r="O435" s="22"/>
      <c r="P435" s="116"/>
      <c r="Q435" s="23"/>
      <c r="R435" s="27"/>
      <c r="S435" s="86" t="str">
        <f t="shared" si="158"/>
        <v/>
      </c>
      <c r="T435" s="87" t="str">
        <f t="shared" si="159"/>
        <v/>
      </c>
      <c r="U435" s="87" t="str" cm="1">
        <f t="array" ref="U435">IF(AND(H435&lt;&gt;"YES",P435&lt;&gt;"",R435&lt;&gt;"",Q435&lt;&gt;""),
_xlfn.SWITCH(Q435,
"INR",_xlfn.SWITCH(R435,"KG",P435*S435,"CTN",P435,"UNIT",P435*N435,"NET",P435/M435,0),
"USD",_xlfn.SWITCH(R435,"KG",P435*S435*SI!$C$10,"CTN",P435*SI!$C$10,"UNIT",P435*N435*SI!$C$10,"NET",P435*SI!$C$10/M435,0),
"LKR",_xlfn.SWITCH(R435,"KG",P435*S435/SI!$C$9,"CTN",P435/SI!$C$9,"UNIT",P435*N435/SI!$C$9,"NET",P435/(M435*SI!$C$9),0),
0),
"")</f>
        <v/>
      </c>
      <c r="V435" s="87" t="str">
        <f t="shared" si="160"/>
        <v/>
      </c>
      <c r="W435" s="87" t="str">
        <f t="shared" si="161"/>
        <v/>
      </c>
      <c r="X435" s="88" t="str">
        <f t="shared" si="162"/>
        <v/>
      </c>
      <c r="Y435" s="24" t="str">
        <f t="shared" si="163"/>
        <v/>
      </c>
      <c r="Z435" s="267" t="str">
        <f>IF(AND(H435&lt;&gt;"yes",F435&lt;&gt;""),IFERROR(VLOOKUP(F435,DUTY_2025!A:F,5,FALSE),""),"")</f>
        <v/>
      </c>
      <c r="AA435" s="271" t="str">
        <f t="shared" si="164"/>
        <v/>
      </c>
      <c r="AB435" s="16" t="str">
        <f t="shared" si="165"/>
        <v/>
      </c>
      <c r="AC435" s="16" t="str">
        <f>IF(AA435&lt;&gt;"",ROUND(AA435*SI!$C$9,0),"")</f>
        <v/>
      </c>
      <c r="AD435" s="4" t="str">
        <f>IF(AC435&lt;&gt;"",ROUND(AC435/(SI!$C$9*SI!$C$10),2),"")</f>
        <v/>
      </c>
      <c r="AE435" s="30" t="str">
        <f>IF(AND(X435&lt;&gt;""), ROUND((SI!$E$23)*(X435/SUM($X$5:$X$493)),0),"")</f>
        <v/>
      </c>
      <c r="AF435" s="272" t="str">
        <f t="shared" si="166"/>
        <v/>
      </c>
      <c r="AG435" s="28" t="str">
        <f t="shared" si="167"/>
        <v/>
      </c>
      <c r="AH435" s="4" t="str">
        <f>IF(AD435&lt;&gt;"",ROUND(AD435*10*SI!$C$9/2,0),"")</f>
        <v/>
      </c>
      <c r="AI435" s="29" t="str">
        <f>IF(AND(X435&lt;&gt;""), ROUND((SI!$E$28)*(X435/SUM($X$5:$X$493)),0),"")</f>
        <v/>
      </c>
      <c r="AJ435" s="4" t="str">
        <f t="shared" si="168"/>
        <v/>
      </c>
      <c r="AK435" s="4" t="str">
        <f t="shared" si="169"/>
        <v/>
      </c>
      <c r="AL435" s="4" t="str">
        <f t="shared" si="170"/>
        <v/>
      </c>
      <c r="AM435" s="4" t="str">
        <f t="shared" si="171"/>
        <v/>
      </c>
      <c r="AN435" s="195" t="str">
        <f t="shared" si="172"/>
        <v/>
      </c>
      <c r="AO435" s="261" t="str">
        <f>IF(AND(AM435&lt;&gt;"",P435&lt;&gt;""),ROUND((AM435*((100+SI!$C$11)/100)),0),"")</f>
        <v/>
      </c>
      <c r="AP435" s="28" t="str">
        <f>IF(AG435&lt;&gt;"",ROUND(AG435/SI!$C$9,2),"")</f>
        <v/>
      </c>
      <c r="AQ435" s="4" t="str">
        <f>IF(AH435&lt;&gt;"",ROUND(AH435/SI!$C$9,2),"")</f>
        <v/>
      </c>
      <c r="AR435" s="29" t="str">
        <f>IF(AI435&lt;&gt;"",ROUND(AI435/SI!$C$9,2),"")</f>
        <v/>
      </c>
      <c r="AS435" s="4" t="str">
        <f t="shared" si="173"/>
        <v/>
      </c>
      <c r="AT435" s="4" t="str">
        <f t="shared" si="174"/>
        <v/>
      </c>
      <c r="AU435" s="4" t="str">
        <f>IF(AL435&lt;&gt;"",ROUND(AL435/SI!$C$9,2),"")</f>
        <v/>
      </c>
      <c r="AV435" s="4" t="str">
        <f>IF(AM435&lt;&gt;"",ROUND(AM435/SI!$C$9,2),"")</f>
        <v/>
      </c>
      <c r="AW435" s="4" t="str">
        <f>IF(AN435&lt;&gt;"",ROUND(AN435/SI!$C$9,2),"")</f>
        <v/>
      </c>
      <c r="AX435" s="261" t="str">
        <f>IF(AO435&lt;&gt;"",ROUND(AO435/SI!$C$9,2),"")</f>
        <v/>
      </c>
      <c r="AY435" s="28" t="str">
        <f t="shared" si="175"/>
        <v/>
      </c>
      <c r="AZ435" s="4" t="str">
        <f>IF(AY435&lt;&gt;"",ROUND(AY435/(SI!$C$9*SI!$C$10),2),"")</f>
        <v/>
      </c>
      <c r="BA435" s="4" t="str">
        <f t="shared" si="176"/>
        <v/>
      </c>
      <c r="BB435" s="4" t="str">
        <f t="shared" si="177"/>
        <v/>
      </c>
      <c r="BC435" s="4" t="str">
        <f t="shared" si="178"/>
        <v/>
      </c>
      <c r="BD435" s="4" t="str">
        <f t="shared" si="179"/>
        <v/>
      </c>
      <c r="BE435" s="4" t="str">
        <f>IF(AND(X435&lt;&gt;""),ROUND(X435/SI!$C$10,2),"")</f>
        <v/>
      </c>
      <c r="BF435" s="4" t="str">
        <f t="shared" si="181"/>
        <v/>
      </c>
      <c r="BG435" s="264" t="str">
        <f t="shared" si="180"/>
        <v/>
      </c>
      <c r="BH435" s="71" t="str">
        <f>IF(F435&lt;&gt;"",VLOOKUP(F435,DUTY_2025!A:O,15,FALSE),"")</f>
        <v/>
      </c>
    </row>
    <row r="436" spans="1:60" x14ac:dyDescent="0.25">
      <c r="A436" s="133">
        <f t="shared" si="156"/>
        <v>66</v>
      </c>
      <c r="B436" s="83" t="str">
        <f t="shared" si="157"/>
        <v/>
      </c>
      <c r="C436" s="126"/>
      <c r="D436" s="130"/>
      <c r="E436" s="22"/>
      <c r="F436" s="85"/>
      <c r="G436" s="27" t="str">
        <f>IF(F436&lt;&gt;"",IFERROR(VLOOKUP(F436,DUTY_2025!A:I,6,FALSE),""),"")</f>
        <v/>
      </c>
      <c r="H436" s="85" t="s">
        <v>133</v>
      </c>
      <c r="I436" s="27" t="str">
        <f>IF(F436&lt;&gt;"",IFERROR(VLOOKUP(F436,DUTY_2025!A:H,2,FALSE),""),"")</f>
        <v/>
      </c>
      <c r="J436" s="98"/>
      <c r="K436" s="98"/>
      <c r="L436" s="22"/>
      <c r="M436" s="22"/>
      <c r="N436" s="84"/>
      <c r="O436" s="22"/>
      <c r="P436" s="116"/>
      <c r="Q436" s="23"/>
      <c r="R436" s="27"/>
      <c r="S436" s="86" t="str">
        <f t="shared" si="158"/>
        <v/>
      </c>
      <c r="T436" s="87" t="str">
        <f t="shared" si="159"/>
        <v/>
      </c>
      <c r="U436" s="87" t="str" cm="1">
        <f t="array" ref="U436">IF(AND(H436&lt;&gt;"YES",P436&lt;&gt;"",R436&lt;&gt;"",Q436&lt;&gt;""),
_xlfn.SWITCH(Q436,
"INR",_xlfn.SWITCH(R436,"KG",P436*S436,"CTN",P436,"UNIT",P436*N436,"NET",P436/M436,0),
"USD",_xlfn.SWITCH(R436,"KG",P436*S436*SI!$C$10,"CTN",P436*SI!$C$10,"UNIT",P436*N436*SI!$C$10,"NET",P436*SI!$C$10/M436,0),
"LKR",_xlfn.SWITCH(R436,"KG",P436*S436/SI!$C$9,"CTN",P436/SI!$C$9,"UNIT",P436*N436/SI!$C$9,"NET",P436/(M436*SI!$C$9),0),
0),
"")</f>
        <v/>
      </c>
      <c r="V436" s="87" t="str">
        <f t="shared" si="160"/>
        <v/>
      </c>
      <c r="W436" s="87" t="str">
        <f t="shared" si="161"/>
        <v/>
      </c>
      <c r="X436" s="88" t="str">
        <f t="shared" si="162"/>
        <v/>
      </c>
      <c r="Y436" s="24" t="str">
        <f t="shared" si="163"/>
        <v/>
      </c>
      <c r="Z436" s="267" t="str">
        <f>IF(AND(H436&lt;&gt;"yes",F436&lt;&gt;""),IFERROR(VLOOKUP(F436,DUTY_2025!A:F,5,FALSE),""),"")</f>
        <v/>
      </c>
      <c r="AA436" s="271" t="str">
        <f t="shared" si="164"/>
        <v/>
      </c>
      <c r="AB436" s="16" t="str">
        <f t="shared" si="165"/>
        <v/>
      </c>
      <c r="AC436" s="16" t="str">
        <f>IF(AA436&lt;&gt;"",ROUND(AA436*SI!$C$9,0),"")</f>
        <v/>
      </c>
      <c r="AD436" s="4" t="str">
        <f>IF(AC436&lt;&gt;"",ROUND(AC436/(SI!$C$9*SI!$C$10),2),"")</f>
        <v/>
      </c>
      <c r="AE436" s="30" t="str">
        <f>IF(AND(X436&lt;&gt;""), ROUND((SI!$E$23)*(X436/SUM($X$5:$X$493)),0),"")</f>
        <v/>
      </c>
      <c r="AF436" s="272" t="str">
        <f t="shared" si="166"/>
        <v/>
      </c>
      <c r="AG436" s="28" t="str">
        <f t="shared" si="167"/>
        <v/>
      </c>
      <c r="AH436" s="4" t="str">
        <f>IF(AD436&lt;&gt;"",ROUND(AD436*10*SI!$C$9/2,0),"")</f>
        <v/>
      </c>
      <c r="AI436" s="29" t="str">
        <f>IF(AND(X436&lt;&gt;""), ROUND((SI!$E$28)*(X436/SUM($X$5:$X$493)),0),"")</f>
        <v/>
      </c>
      <c r="AJ436" s="4" t="str">
        <f t="shared" si="168"/>
        <v/>
      </c>
      <c r="AK436" s="4" t="str">
        <f t="shared" si="169"/>
        <v/>
      </c>
      <c r="AL436" s="4" t="str">
        <f t="shared" si="170"/>
        <v/>
      </c>
      <c r="AM436" s="4" t="str">
        <f t="shared" si="171"/>
        <v/>
      </c>
      <c r="AN436" s="195" t="str">
        <f t="shared" si="172"/>
        <v/>
      </c>
      <c r="AO436" s="261" t="str">
        <f>IF(AND(AM436&lt;&gt;"",P436&lt;&gt;""),ROUND((AM436*((100+SI!$C$11)/100)),0),"")</f>
        <v/>
      </c>
      <c r="AP436" s="28" t="str">
        <f>IF(AG436&lt;&gt;"",ROUND(AG436/SI!$C$9,2),"")</f>
        <v/>
      </c>
      <c r="AQ436" s="4" t="str">
        <f>IF(AH436&lt;&gt;"",ROUND(AH436/SI!$C$9,2),"")</f>
        <v/>
      </c>
      <c r="AR436" s="29" t="str">
        <f>IF(AI436&lt;&gt;"",ROUND(AI436/SI!$C$9,2),"")</f>
        <v/>
      </c>
      <c r="AS436" s="4" t="str">
        <f t="shared" si="173"/>
        <v/>
      </c>
      <c r="AT436" s="4" t="str">
        <f t="shared" si="174"/>
        <v/>
      </c>
      <c r="AU436" s="4" t="str">
        <f>IF(AL436&lt;&gt;"",ROUND(AL436/SI!$C$9,2),"")</f>
        <v/>
      </c>
      <c r="AV436" s="4" t="str">
        <f>IF(AM436&lt;&gt;"",ROUND(AM436/SI!$C$9,2),"")</f>
        <v/>
      </c>
      <c r="AW436" s="4" t="str">
        <f>IF(AN436&lt;&gt;"",ROUND(AN436/SI!$C$9,2),"")</f>
        <v/>
      </c>
      <c r="AX436" s="261" t="str">
        <f>IF(AO436&lt;&gt;"",ROUND(AO436/SI!$C$9,2),"")</f>
        <v/>
      </c>
      <c r="AY436" s="28" t="str">
        <f t="shared" si="175"/>
        <v/>
      </c>
      <c r="AZ436" s="4" t="str">
        <f>IF(AY436&lt;&gt;"",ROUND(AY436/(SI!$C$9*SI!$C$10),2),"")</f>
        <v/>
      </c>
      <c r="BA436" s="4" t="str">
        <f t="shared" si="176"/>
        <v/>
      </c>
      <c r="BB436" s="4" t="str">
        <f t="shared" si="177"/>
        <v/>
      </c>
      <c r="BC436" s="4" t="str">
        <f t="shared" si="178"/>
        <v/>
      </c>
      <c r="BD436" s="4" t="str">
        <f t="shared" si="179"/>
        <v/>
      </c>
      <c r="BE436" s="4" t="str">
        <f>IF(AND(X436&lt;&gt;""),ROUND(X436/SI!$C$10,2),"")</f>
        <v/>
      </c>
      <c r="BF436" s="4" t="str">
        <f t="shared" si="181"/>
        <v/>
      </c>
      <c r="BG436" s="264" t="str">
        <f t="shared" si="180"/>
        <v/>
      </c>
      <c r="BH436" s="71" t="str">
        <f>IF(F436&lt;&gt;"",VLOOKUP(F436,DUTY_2025!A:O,15,FALSE),"")</f>
        <v/>
      </c>
    </row>
    <row r="437" spans="1:60" x14ac:dyDescent="0.25">
      <c r="A437" s="133">
        <f t="shared" si="156"/>
        <v>66</v>
      </c>
      <c r="B437" s="83" t="str">
        <f t="shared" si="157"/>
        <v/>
      </c>
      <c r="C437" s="126"/>
      <c r="D437" s="130"/>
      <c r="E437" s="22"/>
      <c r="F437" s="85"/>
      <c r="G437" s="27" t="str">
        <f>IF(F437&lt;&gt;"",IFERROR(VLOOKUP(F437,DUTY_2025!A:I,6,FALSE),""),"")</f>
        <v/>
      </c>
      <c r="H437" s="85" t="s">
        <v>133</v>
      </c>
      <c r="I437" s="27" t="str">
        <f>IF(F437&lt;&gt;"",IFERROR(VLOOKUP(F437,DUTY_2025!A:H,2,FALSE),""),"")</f>
        <v/>
      </c>
      <c r="J437" s="98"/>
      <c r="K437" s="98"/>
      <c r="L437" s="22"/>
      <c r="M437" s="22"/>
      <c r="N437" s="84"/>
      <c r="O437" s="22"/>
      <c r="P437" s="116"/>
      <c r="Q437" s="23"/>
      <c r="R437" s="27"/>
      <c r="S437" s="86" t="str">
        <f t="shared" si="158"/>
        <v/>
      </c>
      <c r="T437" s="87" t="str">
        <f t="shared" si="159"/>
        <v/>
      </c>
      <c r="U437" s="87" t="str" cm="1">
        <f t="array" ref="U437">IF(AND(H437&lt;&gt;"YES",P437&lt;&gt;"",R437&lt;&gt;"",Q437&lt;&gt;""),
_xlfn.SWITCH(Q437,
"INR",_xlfn.SWITCH(R437,"KG",P437*S437,"CTN",P437,"UNIT",P437*N437,"NET",P437/M437,0),
"USD",_xlfn.SWITCH(R437,"KG",P437*S437*SI!$C$10,"CTN",P437*SI!$C$10,"UNIT",P437*N437*SI!$C$10,"NET",P437*SI!$C$10/M437,0),
"LKR",_xlfn.SWITCH(R437,"KG",P437*S437/SI!$C$9,"CTN",P437/SI!$C$9,"UNIT",P437*N437/SI!$C$9,"NET",P437/(M437*SI!$C$9),0),
0),
"")</f>
        <v/>
      </c>
      <c r="V437" s="87" t="str">
        <f t="shared" si="160"/>
        <v/>
      </c>
      <c r="W437" s="87" t="str">
        <f t="shared" si="161"/>
        <v/>
      </c>
      <c r="X437" s="88" t="str">
        <f t="shared" si="162"/>
        <v/>
      </c>
      <c r="Y437" s="24" t="str">
        <f t="shared" si="163"/>
        <v/>
      </c>
      <c r="Z437" s="267" t="str">
        <f>IF(AND(H437&lt;&gt;"yes",F437&lt;&gt;""),IFERROR(VLOOKUP(F437,DUTY_2025!A:F,5,FALSE),""),"")</f>
        <v/>
      </c>
      <c r="AA437" s="271" t="str">
        <f t="shared" si="164"/>
        <v/>
      </c>
      <c r="AB437" s="16" t="str">
        <f t="shared" si="165"/>
        <v/>
      </c>
      <c r="AC437" s="16" t="str">
        <f>IF(AA437&lt;&gt;"",ROUND(AA437*SI!$C$9,0),"")</f>
        <v/>
      </c>
      <c r="AD437" s="4" t="str">
        <f>IF(AC437&lt;&gt;"",ROUND(AC437/(SI!$C$9*SI!$C$10),2),"")</f>
        <v/>
      </c>
      <c r="AE437" s="30" t="str">
        <f>IF(AND(X437&lt;&gt;""), ROUND((SI!$E$23)*(X437/SUM($X$5:$X$493)),0),"")</f>
        <v/>
      </c>
      <c r="AF437" s="272" t="str">
        <f t="shared" si="166"/>
        <v/>
      </c>
      <c r="AG437" s="28" t="str">
        <f t="shared" si="167"/>
        <v/>
      </c>
      <c r="AH437" s="4" t="str">
        <f>IF(AD437&lt;&gt;"",ROUND(AD437*10*SI!$C$9/2,0),"")</f>
        <v/>
      </c>
      <c r="AI437" s="29" t="str">
        <f>IF(AND(X437&lt;&gt;""), ROUND((SI!$E$28)*(X437/SUM($X$5:$X$493)),0),"")</f>
        <v/>
      </c>
      <c r="AJ437" s="4" t="str">
        <f t="shared" si="168"/>
        <v/>
      </c>
      <c r="AK437" s="4" t="str">
        <f t="shared" si="169"/>
        <v/>
      </c>
      <c r="AL437" s="4" t="str">
        <f t="shared" si="170"/>
        <v/>
      </c>
      <c r="AM437" s="4" t="str">
        <f t="shared" si="171"/>
        <v/>
      </c>
      <c r="AN437" s="195" t="str">
        <f t="shared" si="172"/>
        <v/>
      </c>
      <c r="AO437" s="261" t="str">
        <f>IF(AND(AM437&lt;&gt;"",P437&lt;&gt;""),ROUND((AM437*((100+SI!$C$11)/100)),0),"")</f>
        <v/>
      </c>
      <c r="AP437" s="28" t="str">
        <f>IF(AG437&lt;&gt;"",ROUND(AG437/SI!$C$9,2),"")</f>
        <v/>
      </c>
      <c r="AQ437" s="4" t="str">
        <f>IF(AH437&lt;&gt;"",ROUND(AH437/SI!$C$9,2),"")</f>
        <v/>
      </c>
      <c r="AR437" s="29" t="str">
        <f>IF(AI437&lt;&gt;"",ROUND(AI437/SI!$C$9,2),"")</f>
        <v/>
      </c>
      <c r="AS437" s="4" t="str">
        <f t="shared" si="173"/>
        <v/>
      </c>
      <c r="AT437" s="4" t="str">
        <f t="shared" si="174"/>
        <v/>
      </c>
      <c r="AU437" s="4" t="str">
        <f>IF(AL437&lt;&gt;"",ROUND(AL437/SI!$C$9,2),"")</f>
        <v/>
      </c>
      <c r="AV437" s="4" t="str">
        <f>IF(AM437&lt;&gt;"",ROUND(AM437/SI!$C$9,2),"")</f>
        <v/>
      </c>
      <c r="AW437" s="4" t="str">
        <f>IF(AN437&lt;&gt;"",ROUND(AN437/SI!$C$9,2),"")</f>
        <v/>
      </c>
      <c r="AX437" s="261" t="str">
        <f>IF(AO437&lt;&gt;"",ROUND(AO437/SI!$C$9,2),"")</f>
        <v/>
      </c>
      <c r="AY437" s="28" t="str">
        <f t="shared" si="175"/>
        <v/>
      </c>
      <c r="AZ437" s="4" t="str">
        <f>IF(AY437&lt;&gt;"",ROUND(AY437/(SI!$C$9*SI!$C$10),2),"")</f>
        <v/>
      </c>
      <c r="BA437" s="4" t="str">
        <f t="shared" si="176"/>
        <v/>
      </c>
      <c r="BB437" s="4" t="str">
        <f t="shared" si="177"/>
        <v/>
      </c>
      <c r="BC437" s="4" t="str">
        <f t="shared" si="178"/>
        <v/>
      </c>
      <c r="BD437" s="4" t="str">
        <f t="shared" si="179"/>
        <v/>
      </c>
      <c r="BE437" s="4" t="str">
        <f>IF(AND(X437&lt;&gt;""),ROUND(X437/SI!$C$10,2),"")</f>
        <v/>
      </c>
      <c r="BF437" s="4" t="str">
        <f t="shared" si="181"/>
        <v/>
      </c>
      <c r="BG437" s="264" t="str">
        <f t="shared" si="180"/>
        <v/>
      </c>
      <c r="BH437" s="71" t="str">
        <f>IF(F437&lt;&gt;"",VLOOKUP(F437,DUTY_2025!A:O,15,FALSE),"")</f>
        <v/>
      </c>
    </row>
    <row r="438" spans="1:60" x14ac:dyDescent="0.25">
      <c r="A438" s="133">
        <f t="shared" si="156"/>
        <v>66</v>
      </c>
      <c r="B438" s="83" t="str">
        <f t="shared" si="157"/>
        <v/>
      </c>
      <c r="C438" s="126"/>
      <c r="D438" s="130"/>
      <c r="E438" s="22"/>
      <c r="F438" s="85"/>
      <c r="G438" s="27" t="str">
        <f>IF(F438&lt;&gt;"",IFERROR(VLOOKUP(F438,DUTY_2025!A:I,6,FALSE),""),"")</f>
        <v/>
      </c>
      <c r="H438" s="85" t="s">
        <v>133</v>
      </c>
      <c r="I438" s="27" t="str">
        <f>IF(F438&lt;&gt;"",IFERROR(VLOOKUP(F438,DUTY_2025!A:H,2,FALSE),""),"")</f>
        <v/>
      </c>
      <c r="J438" s="98"/>
      <c r="K438" s="98"/>
      <c r="L438" s="22"/>
      <c r="M438" s="22"/>
      <c r="N438" s="84"/>
      <c r="O438" s="22"/>
      <c r="P438" s="116"/>
      <c r="Q438" s="23"/>
      <c r="R438" s="27"/>
      <c r="S438" s="86" t="str">
        <f t="shared" si="158"/>
        <v/>
      </c>
      <c r="T438" s="87" t="str">
        <f t="shared" si="159"/>
        <v/>
      </c>
      <c r="U438" s="87" t="str" cm="1">
        <f t="array" ref="U438">IF(AND(H438&lt;&gt;"YES",P438&lt;&gt;"",R438&lt;&gt;"",Q438&lt;&gt;""),
_xlfn.SWITCH(Q438,
"INR",_xlfn.SWITCH(R438,"KG",P438*S438,"CTN",P438,"UNIT",P438*N438,"NET",P438/M438,0),
"USD",_xlfn.SWITCH(R438,"KG",P438*S438*SI!$C$10,"CTN",P438*SI!$C$10,"UNIT",P438*N438*SI!$C$10,"NET",P438*SI!$C$10/M438,0),
"LKR",_xlfn.SWITCH(R438,"KG",P438*S438/SI!$C$9,"CTN",P438/SI!$C$9,"UNIT",P438*N438/SI!$C$9,"NET",P438/(M438*SI!$C$9),0),
0),
"")</f>
        <v/>
      </c>
      <c r="V438" s="87" t="str">
        <f t="shared" si="160"/>
        <v/>
      </c>
      <c r="W438" s="87" t="str">
        <f t="shared" si="161"/>
        <v/>
      </c>
      <c r="X438" s="88" t="str">
        <f t="shared" si="162"/>
        <v/>
      </c>
      <c r="Y438" s="24" t="str">
        <f t="shared" si="163"/>
        <v/>
      </c>
      <c r="Z438" s="267" t="str">
        <f>IF(AND(H438&lt;&gt;"yes",F438&lt;&gt;""),IFERROR(VLOOKUP(F438,DUTY_2025!A:F,5,FALSE),""),"")</f>
        <v/>
      </c>
      <c r="AA438" s="271" t="str">
        <f t="shared" si="164"/>
        <v/>
      </c>
      <c r="AB438" s="16" t="str">
        <f t="shared" si="165"/>
        <v/>
      </c>
      <c r="AC438" s="16" t="str">
        <f>IF(AA438&lt;&gt;"",ROUND(AA438*SI!$C$9,0),"")</f>
        <v/>
      </c>
      <c r="AD438" s="4" t="str">
        <f>IF(AC438&lt;&gt;"",ROUND(AC438/(SI!$C$9*SI!$C$10),2),"")</f>
        <v/>
      </c>
      <c r="AE438" s="30" t="str">
        <f>IF(AND(X438&lt;&gt;""), ROUND((SI!$E$23)*(X438/SUM($X$5:$X$493)),0),"")</f>
        <v/>
      </c>
      <c r="AF438" s="272" t="str">
        <f t="shared" si="166"/>
        <v/>
      </c>
      <c r="AG438" s="28" t="str">
        <f t="shared" si="167"/>
        <v/>
      </c>
      <c r="AH438" s="4" t="str">
        <f>IF(AD438&lt;&gt;"",ROUND(AD438*10*SI!$C$9/2,0),"")</f>
        <v/>
      </c>
      <c r="AI438" s="29" t="str">
        <f>IF(AND(X438&lt;&gt;""), ROUND((SI!$E$28)*(X438/SUM($X$5:$X$493)),0),"")</f>
        <v/>
      </c>
      <c r="AJ438" s="4" t="str">
        <f t="shared" si="168"/>
        <v/>
      </c>
      <c r="AK438" s="4" t="str">
        <f t="shared" si="169"/>
        <v/>
      </c>
      <c r="AL438" s="4" t="str">
        <f t="shared" si="170"/>
        <v/>
      </c>
      <c r="AM438" s="4" t="str">
        <f t="shared" si="171"/>
        <v/>
      </c>
      <c r="AN438" s="195" t="str">
        <f t="shared" si="172"/>
        <v/>
      </c>
      <c r="AO438" s="261" t="str">
        <f>IF(AND(AM438&lt;&gt;"",P438&lt;&gt;""),ROUND((AM438*((100+SI!$C$11)/100)),0),"")</f>
        <v/>
      </c>
      <c r="AP438" s="28" t="str">
        <f>IF(AG438&lt;&gt;"",ROUND(AG438/SI!$C$9,2),"")</f>
        <v/>
      </c>
      <c r="AQ438" s="4" t="str">
        <f>IF(AH438&lt;&gt;"",ROUND(AH438/SI!$C$9,2),"")</f>
        <v/>
      </c>
      <c r="AR438" s="29" t="str">
        <f>IF(AI438&lt;&gt;"",ROUND(AI438/SI!$C$9,2),"")</f>
        <v/>
      </c>
      <c r="AS438" s="4" t="str">
        <f t="shared" si="173"/>
        <v/>
      </c>
      <c r="AT438" s="4" t="str">
        <f t="shared" si="174"/>
        <v/>
      </c>
      <c r="AU438" s="4" t="str">
        <f>IF(AL438&lt;&gt;"",ROUND(AL438/SI!$C$9,2),"")</f>
        <v/>
      </c>
      <c r="AV438" s="4" t="str">
        <f>IF(AM438&lt;&gt;"",ROUND(AM438/SI!$C$9,2),"")</f>
        <v/>
      </c>
      <c r="AW438" s="4" t="str">
        <f>IF(AN438&lt;&gt;"",ROUND(AN438/SI!$C$9,2),"")</f>
        <v/>
      </c>
      <c r="AX438" s="261" t="str">
        <f>IF(AO438&lt;&gt;"",ROUND(AO438/SI!$C$9,2),"")</f>
        <v/>
      </c>
      <c r="AY438" s="28" t="str">
        <f t="shared" si="175"/>
        <v/>
      </c>
      <c r="AZ438" s="4" t="str">
        <f>IF(AY438&lt;&gt;"",ROUND(AY438/(SI!$C$9*SI!$C$10),2),"")</f>
        <v/>
      </c>
      <c r="BA438" s="4" t="str">
        <f t="shared" si="176"/>
        <v/>
      </c>
      <c r="BB438" s="4" t="str">
        <f t="shared" si="177"/>
        <v/>
      </c>
      <c r="BC438" s="4" t="str">
        <f t="shared" si="178"/>
        <v/>
      </c>
      <c r="BD438" s="4" t="str">
        <f t="shared" si="179"/>
        <v/>
      </c>
      <c r="BE438" s="4" t="str">
        <f>IF(AND(X438&lt;&gt;""),ROUND(X438/SI!$C$10,2),"")</f>
        <v/>
      </c>
      <c r="BF438" s="4" t="str">
        <f t="shared" si="181"/>
        <v/>
      </c>
      <c r="BG438" s="264" t="str">
        <f t="shared" si="180"/>
        <v/>
      </c>
      <c r="BH438" s="71" t="str">
        <f>IF(F438&lt;&gt;"",VLOOKUP(F438,DUTY_2025!A:O,15,FALSE),"")</f>
        <v/>
      </c>
    </row>
    <row r="439" spans="1:60" x14ac:dyDescent="0.25">
      <c r="A439" s="133">
        <f t="shared" si="156"/>
        <v>66</v>
      </c>
      <c r="B439" s="83" t="str">
        <f t="shared" si="157"/>
        <v/>
      </c>
      <c r="C439" s="126"/>
      <c r="D439" s="130"/>
      <c r="E439" s="22"/>
      <c r="F439" s="85"/>
      <c r="G439" s="27" t="str">
        <f>IF(F439&lt;&gt;"",IFERROR(VLOOKUP(F439,DUTY_2025!A:I,6,FALSE),""),"")</f>
        <v/>
      </c>
      <c r="H439" s="85" t="s">
        <v>133</v>
      </c>
      <c r="I439" s="27" t="str">
        <f>IF(F439&lt;&gt;"",IFERROR(VLOOKUP(F439,DUTY_2025!A:H,2,FALSE),""),"")</f>
        <v/>
      </c>
      <c r="J439" s="98"/>
      <c r="K439" s="98"/>
      <c r="L439" s="22"/>
      <c r="M439" s="22"/>
      <c r="N439" s="84"/>
      <c r="O439" s="22"/>
      <c r="P439" s="116"/>
      <c r="Q439" s="23"/>
      <c r="R439" s="27"/>
      <c r="S439" s="86" t="str">
        <f t="shared" si="158"/>
        <v/>
      </c>
      <c r="T439" s="87" t="str">
        <f t="shared" si="159"/>
        <v/>
      </c>
      <c r="U439" s="87" t="str" cm="1">
        <f t="array" ref="U439">IF(AND(H439&lt;&gt;"YES",P439&lt;&gt;"",R439&lt;&gt;"",Q439&lt;&gt;""),
_xlfn.SWITCH(Q439,
"INR",_xlfn.SWITCH(R439,"KG",P439*S439,"CTN",P439,"UNIT",P439*N439,"NET",P439/M439,0),
"USD",_xlfn.SWITCH(R439,"KG",P439*S439*SI!$C$10,"CTN",P439*SI!$C$10,"UNIT",P439*N439*SI!$C$10,"NET",P439*SI!$C$10/M439,0),
"LKR",_xlfn.SWITCH(R439,"KG",P439*S439/SI!$C$9,"CTN",P439/SI!$C$9,"UNIT",P439*N439/SI!$C$9,"NET",P439/(M439*SI!$C$9),0),
0),
"")</f>
        <v/>
      </c>
      <c r="V439" s="87" t="str">
        <f t="shared" si="160"/>
        <v/>
      </c>
      <c r="W439" s="87" t="str">
        <f t="shared" si="161"/>
        <v/>
      </c>
      <c r="X439" s="88" t="str">
        <f t="shared" si="162"/>
        <v/>
      </c>
      <c r="Y439" s="24" t="str">
        <f t="shared" si="163"/>
        <v/>
      </c>
      <c r="Z439" s="267" t="str">
        <f>IF(AND(H439&lt;&gt;"yes",F439&lt;&gt;""),IFERROR(VLOOKUP(F439,DUTY_2025!A:F,5,FALSE),""),"")</f>
        <v/>
      </c>
      <c r="AA439" s="271" t="str">
        <f t="shared" si="164"/>
        <v/>
      </c>
      <c r="AB439" s="16" t="str">
        <f t="shared" si="165"/>
        <v/>
      </c>
      <c r="AC439" s="16" t="str">
        <f>IF(AA439&lt;&gt;"",ROUND(AA439*SI!$C$9,0),"")</f>
        <v/>
      </c>
      <c r="AD439" s="4" t="str">
        <f>IF(AC439&lt;&gt;"",ROUND(AC439/(SI!$C$9*SI!$C$10),2),"")</f>
        <v/>
      </c>
      <c r="AE439" s="30" t="str">
        <f>IF(AND(X439&lt;&gt;""), ROUND((SI!$E$23)*(X439/SUM($X$5:$X$493)),0),"")</f>
        <v/>
      </c>
      <c r="AF439" s="272" t="str">
        <f t="shared" si="166"/>
        <v/>
      </c>
      <c r="AG439" s="28" t="str">
        <f t="shared" si="167"/>
        <v/>
      </c>
      <c r="AH439" s="4" t="str">
        <f>IF(AD439&lt;&gt;"",ROUND(AD439*10*SI!$C$9/2,0),"")</f>
        <v/>
      </c>
      <c r="AI439" s="29" t="str">
        <f>IF(AND(X439&lt;&gt;""), ROUND((SI!$E$28)*(X439/SUM($X$5:$X$493)),0),"")</f>
        <v/>
      </c>
      <c r="AJ439" s="4" t="str">
        <f t="shared" si="168"/>
        <v/>
      </c>
      <c r="AK439" s="4" t="str">
        <f t="shared" si="169"/>
        <v/>
      </c>
      <c r="AL439" s="4" t="str">
        <f t="shared" si="170"/>
        <v/>
      </c>
      <c r="AM439" s="4" t="str">
        <f t="shared" si="171"/>
        <v/>
      </c>
      <c r="AN439" s="195" t="str">
        <f t="shared" si="172"/>
        <v/>
      </c>
      <c r="AO439" s="261" t="str">
        <f>IF(AND(AM439&lt;&gt;"",P439&lt;&gt;""),ROUND((AM439*((100+SI!$C$11)/100)),0),"")</f>
        <v/>
      </c>
      <c r="AP439" s="28" t="str">
        <f>IF(AG439&lt;&gt;"",ROUND(AG439/SI!$C$9,2),"")</f>
        <v/>
      </c>
      <c r="AQ439" s="4" t="str">
        <f>IF(AH439&lt;&gt;"",ROUND(AH439/SI!$C$9,2),"")</f>
        <v/>
      </c>
      <c r="AR439" s="29" t="str">
        <f>IF(AI439&lt;&gt;"",ROUND(AI439/SI!$C$9,2),"")</f>
        <v/>
      </c>
      <c r="AS439" s="4" t="str">
        <f t="shared" si="173"/>
        <v/>
      </c>
      <c r="AT439" s="4" t="str">
        <f t="shared" si="174"/>
        <v/>
      </c>
      <c r="AU439" s="4" t="str">
        <f>IF(AL439&lt;&gt;"",ROUND(AL439/SI!$C$9,2),"")</f>
        <v/>
      </c>
      <c r="AV439" s="4" t="str">
        <f>IF(AM439&lt;&gt;"",ROUND(AM439/SI!$C$9,2),"")</f>
        <v/>
      </c>
      <c r="AW439" s="4" t="str">
        <f>IF(AN439&lt;&gt;"",ROUND(AN439/SI!$C$9,2),"")</f>
        <v/>
      </c>
      <c r="AX439" s="261" t="str">
        <f>IF(AO439&lt;&gt;"",ROUND(AO439/SI!$C$9,2),"")</f>
        <v/>
      </c>
      <c r="AY439" s="28" t="str">
        <f t="shared" si="175"/>
        <v/>
      </c>
      <c r="AZ439" s="4" t="str">
        <f>IF(AY439&lt;&gt;"",ROUND(AY439/(SI!$C$9*SI!$C$10),2),"")</f>
        <v/>
      </c>
      <c r="BA439" s="4" t="str">
        <f t="shared" si="176"/>
        <v/>
      </c>
      <c r="BB439" s="4" t="str">
        <f t="shared" si="177"/>
        <v/>
      </c>
      <c r="BC439" s="4" t="str">
        <f t="shared" si="178"/>
        <v/>
      </c>
      <c r="BD439" s="4" t="str">
        <f t="shared" si="179"/>
        <v/>
      </c>
      <c r="BE439" s="4" t="str">
        <f>IF(AND(X439&lt;&gt;""),ROUND(X439/SI!$C$10,2),"")</f>
        <v/>
      </c>
      <c r="BF439" s="4" t="str">
        <f t="shared" si="181"/>
        <v/>
      </c>
      <c r="BG439" s="264" t="str">
        <f t="shared" si="180"/>
        <v/>
      </c>
      <c r="BH439" s="71" t="str">
        <f>IF(F439&lt;&gt;"",VLOOKUP(F439,DUTY_2025!A:O,15,FALSE),"")</f>
        <v/>
      </c>
    </row>
    <row r="440" spans="1:60" x14ac:dyDescent="0.25">
      <c r="A440" s="133">
        <f t="shared" si="156"/>
        <v>66</v>
      </c>
      <c r="B440" s="83" t="str">
        <f t="shared" si="157"/>
        <v/>
      </c>
      <c r="C440" s="126"/>
      <c r="D440" s="130"/>
      <c r="E440" s="22"/>
      <c r="F440" s="85"/>
      <c r="G440" s="27" t="str">
        <f>IF(F440&lt;&gt;"",IFERROR(VLOOKUP(F440,DUTY_2025!A:I,6,FALSE),""),"")</f>
        <v/>
      </c>
      <c r="H440" s="85" t="s">
        <v>133</v>
      </c>
      <c r="I440" s="27" t="str">
        <f>IF(F440&lt;&gt;"",IFERROR(VLOOKUP(F440,DUTY_2025!A:H,2,FALSE),""),"")</f>
        <v/>
      </c>
      <c r="J440" s="98"/>
      <c r="K440" s="98"/>
      <c r="L440" s="22"/>
      <c r="M440" s="22"/>
      <c r="N440" s="84"/>
      <c r="O440" s="22"/>
      <c r="P440" s="116"/>
      <c r="Q440" s="23"/>
      <c r="R440" s="27"/>
      <c r="S440" s="86" t="str">
        <f t="shared" si="158"/>
        <v/>
      </c>
      <c r="T440" s="87" t="str">
        <f t="shared" si="159"/>
        <v/>
      </c>
      <c r="U440" s="87" t="str" cm="1">
        <f t="array" ref="U440">IF(AND(H440&lt;&gt;"YES",P440&lt;&gt;"",R440&lt;&gt;"",Q440&lt;&gt;""),
_xlfn.SWITCH(Q440,
"INR",_xlfn.SWITCH(R440,"KG",P440*S440,"CTN",P440,"UNIT",P440*N440,"NET",P440/M440,0),
"USD",_xlfn.SWITCH(R440,"KG",P440*S440*SI!$C$10,"CTN",P440*SI!$C$10,"UNIT",P440*N440*SI!$C$10,"NET",P440*SI!$C$10/M440,0),
"LKR",_xlfn.SWITCH(R440,"KG",P440*S440/SI!$C$9,"CTN",P440/SI!$C$9,"UNIT",P440*N440/SI!$C$9,"NET",P440/(M440*SI!$C$9),0),
0),
"")</f>
        <v/>
      </c>
      <c r="V440" s="87" t="str">
        <f t="shared" si="160"/>
        <v/>
      </c>
      <c r="W440" s="87" t="str">
        <f t="shared" si="161"/>
        <v/>
      </c>
      <c r="X440" s="88" t="str">
        <f t="shared" si="162"/>
        <v/>
      </c>
      <c r="Y440" s="24" t="str">
        <f t="shared" si="163"/>
        <v/>
      </c>
      <c r="Z440" s="267" t="str">
        <f>IF(AND(H440&lt;&gt;"yes",F440&lt;&gt;""),IFERROR(VLOOKUP(F440,DUTY_2025!A:F,5,FALSE),""),"")</f>
        <v/>
      </c>
      <c r="AA440" s="271" t="str">
        <f t="shared" si="164"/>
        <v/>
      </c>
      <c r="AB440" s="16" t="str">
        <f t="shared" si="165"/>
        <v/>
      </c>
      <c r="AC440" s="16" t="str">
        <f>IF(AA440&lt;&gt;"",ROUND(AA440*SI!$C$9,0),"")</f>
        <v/>
      </c>
      <c r="AD440" s="4" t="str">
        <f>IF(AC440&lt;&gt;"",ROUND(AC440/(SI!$C$9*SI!$C$10),2),"")</f>
        <v/>
      </c>
      <c r="AE440" s="30" t="str">
        <f>IF(AND(X440&lt;&gt;""), ROUND((SI!$E$23)*(X440/SUM($X$5:$X$493)),0),"")</f>
        <v/>
      </c>
      <c r="AF440" s="272" t="str">
        <f t="shared" si="166"/>
        <v/>
      </c>
      <c r="AG440" s="28" t="str">
        <f t="shared" si="167"/>
        <v/>
      </c>
      <c r="AH440" s="4" t="str">
        <f>IF(AD440&lt;&gt;"",ROUND(AD440*10*SI!$C$9/2,0),"")</f>
        <v/>
      </c>
      <c r="AI440" s="29" t="str">
        <f>IF(AND(X440&lt;&gt;""), ROUND((SI!$E$28)*(X440/SUM($X$5:$X$493)),0),"")</f>
        <v/>
      </c>
      <c r="AJ440" s="4" t="str">
        <f t="shared" si="168"/>
        <v/>
      </c>
      <c r="AK440" s="4" t="str">
        <f t="shared" si="169"/>
        <v/>
      </c>
      <c r="AL440" s="4" t="str">
        <f t="shared" si="170"/>
        <v/>
      </c>
      <c r="AM440" s="4" t="str">
        <f t="shared" si="171"/>
        <v/>
      </c>
      <c r="AN440" s="195" t="str">
        <f t="shared" si="172"/>
        <v/>
      </c>
      <c r="AO440" s="261" t="str">
        <f>IF(AND(AM440&lt;&gt;"",P440&lt;&gt;""),ROUND((AM440*((100+SI!$C$11)/100)),0),"")</f>
        <v/>
      </c>
      <c r="AP440" s="28" t="str">
        <f>IF(AG440&lt;&gt;"",ROUND(AG440/SI!$C$9,2),"")</f>
        <v/>
      </c>
      <c r="AQ440" s="4" t="str">
        <f>IF(AH440&lt;&gt;"",ROUND(AH440/SI!$C$9,2),"")</f>
        <v/>
      </c>
      <c r="AR440" s="29" t="str">
        <f>IF(AI440&lt;&gt;"",ROUND(AI440/SI!$C$9,2),"")</f>
        <v/>
      </c>
      <c r="AS440" s="4" t="str">
        <f t="shared" si="173"/>
        <v/>
      </c>
      <c r="AT440" s="4" t="str">
        <f t="shared" si="174"/>
        <v/>
      </c>
      <c r="AU440" s="4" t="str">
        <f>IF(AL440&lt;&gt;"",ROUND(AL440/SI!$C$9,2),"")</f>
        <v/>
      </c>
      <c r="AV440" s="4" t="str">
        <f>IF(AM440&lt;&gt;"",ROUND(AM440/SI!$C$9,2),"")</f>
        <v/>
      </c>
      <c r="AW440" s="4" t="str">
        <f>IF(AN440&lt;&gt;"",ROUND(AN440/SI!$C$9,2),"")</f>
        <v/>
      </c>
      <c r="AX440" s="261" t="str">
        <f>IF(AO440&lt;&gt;"",ROUND(AO440/SI!$C$9,2),"")</f>
        <v/>
      </c>
      <c r="AY440" s="28" t="str">
        <f t="shared" si="175"/>
        <v/>
      </c>
      <c r="AZ440" s="4" t="str">
        <f>IF(AY440&lt;&gt;"",ROUND(AY440/(SI!$C$9*SI!$C$10),2),"")</f>
        <v/>
      </c>
      <c r="BA440" s="4" t="str">
        <f t="shared" si="176"/>
        <v/>
      </c>
      <c r="BB440" s="4" t="str">
        <f t="shared" si="177"/>
        <v/>
      </c>
      <c r="BC440" s="4" t="str">
        <f t="shared" si="178"/>
        <v/>
      </c>
      <c r="BD440" s="4" t="str">
        <f t="shared" si="179"/>
        <v/>
      </c>
      <c r="BE440" s="4" t="str">
        <f>IF(AND(X440&lt;&gt;""),ROUND(X440/SI!$C$10,2),"")</f>
        <v/>
      </c>
      <c r="BF440" s="4" t="str">
        <f t="shared" si="181"/>
        <v/>
      </c>
      <c r="BG440" s="264" t="str">
        <f t="shared" si="180"/>
        <v/>
      </c>
      <c r="BH440" s="71" t="str">
        <f>IF(F440&lt;&gt;"",VLOOKUP(F440,DUTY_2025!A:O,15,FALSE),"")</f>
        <v/>
      </c>
    </row>
    <row r="441" spans="1:60" x14ac:dyDescent="0.25">
      <c r="A441" s="133">
        <f t="shared" si="156"/>
        <v>66</v>
      </c>
      <c r="B441" s="83" t="str">
        <f t="shared" si="157"/>
        <v/>
      </c>
      <c r="C441" s="126"/>
      <c r="D441" s="130"/>
      <c r="E441" s="22"/>
      <c r="F441" s="85"/>
      <c r="G441" s="27" t="str">
        <f>IF(F441&lt;&gt;"",IFERROR(VLOOKUP(F441,DUTY_2025!A:I,6,FALSE),""),"")</f>
        <v/>
      </c>
      <c r="H441" s="85" t="s">
        <v>133</v>
      </c>
      <c r="I441" s="27" t="str">
        <f>IF(F441&lt;&gt;"",IFERROR(VLOOKUP(F441,DUTY_2025!A:H,2,FALSE),""),"")</f>
        <v/>
      </c>
      <c r="J441" s="98"/>
      <c r="K441" s="98"/>
      <c r="L441" s="22"/>
      <c r="M441" s="22"/>
      <c r="N441" s="84"/>
      <c r="O441" s="22"/>
      <c r="P441" s="116"/>
      <c r="Q441" s="23"/>
      <c r="R441" s="27"/>
      <c r="S441" s="86" t="str">
        <f t="shared" si="158"/>
        <v/>
      </c>
      <c r="T441" s="87" t="str">
        <f t="shared" si="159"/>
        <v/>
      </c>
      <c r="U441" s="87" t="str" cm="1">
        <f t="array" ref="U441">IF(AND(H441&lt;&gt;"YES",P441&lt;&gt;"",R441&lt;&gt;"",Q441&lt;&gt;""),
_xlfn.SWITCH(Q441,
"INR",_xlfn.SWITCH(R441,"KG",P441*S441,"CTN",P441,"UNIT",P441*N441,"NET",P441/M441,0),
"USD",_xlfn.SWITCH(R441,"KG",P441*S441*SI!$C$10,"CTN",P441*SI!$C$10,"UNIT",P441*N441*SI!$C$10,"NET",P441*SI!$C$10/M441,0),
"LKR",_xlfn.SWITCH(R441,"KG",P441*S441/SI!$C$9,"CTN",P441/SI!$C$9,"UNIT",P441*N441/SI!$C$9,"NET",P441/(M441*SI!$C$9),0),
0),
"")</f>
        <v/>
      </c>
      <c r="V441" s="87" t="str">
        <f t="shared" si="160"/>
        <v/>
      </c>
      <c r="W441" s="87" t="str">
        <f t="shared" si="161"/>
        <v/>
      </c>
      <c r="X441" s="88" t="str">
        <f t="shared" si="162"/>
        <v/>
      </c>
      <c r="Y441" s="24" t="str">
        <f t="shared" si="163"/>
        <v/>
      </c>
      <c r="Z441" s="267" t="str">
        <f>IF(AND(H441&lt;&gt;"yes",F441&lt;&gt;""),IFERROR(VLOOKUP(F441,DUTY_2025!A:F,5,FALSE),""),"")</f>
        <v/>
      </c>
      <c r="AA441" s="271" t="str">
        <f t="shared" si="164"/>
        <v/>
      </c>
      <c r="AB441" s="16" t="str">
        <f t="shared" si="165"/>
        <v/>
      </c>
      <c r="AC441" s="16" t="str">
        <f>IF(AA441&lt;&gt;"",ROUND(AA441*SI!$C$9,0),"")</f>
        <v/>
      </c>
      <c r="AD441" s="4" t="str">
        <f>IF(AC441&lt;&gt;"",ROUND(AC441/(SI!$C$9*SI!$C$10),2),"")</f>
        <v/>
      </c>
      <c r="AE441" s="30" t="str">
        <f>IF(AND(X441&lt;&gt;""), ROUND((SI!$E$23)*(X441/SUM($X$5:$X$493)),0),"")</f>
        <v/>
      </c>
      <c r="AF441" s="272" t="str">
        <f t="shared" si="166"/>
        <v/>
      </c>
      <c r="AG441" s="28" t="str">
        <f t="shared" si="167"/>
        <v/>
      </c>
      <c r="AH441" s="4" t="str">
        <f>IF(AD441&lt;&gt;"",ROUND(AD441*10*SI!$C$9/2,0),"")</f>
        <v/>
      </c>
      <c r="AI441" s="29" t="str">
        <f>IF(AND(X441&lt;&gt;""), ROUND((SI!$E$28)*(X441/SUM($X$5:$X$493)),0),"")</f>
        <v/>
      </c>
      <c r="AJ441" s="4" t="str">
        <f t="shared" si="168"/>
        <v/>
      </c>
      <c r="AK441" s="4" t="str">
        <f t="shared" si="169"/>
        <v/>
      </c>
      <c r="AL441" s="4" t="str">
        <f t="shared" si="170"/>
        <v/>
      </c>
      <c r="AM441" s="4" t="str">
        <f t="shared" si="171"/>
        <v/>
      </c>
      <c r="AN441" s="195" t="str">
        <f t="shared" si="172"/>
        <v/>
      </c>
      <c r="AO441" s="261" t="str">
        <f>IF(AND(AM441&lt;&gt;"",P441&lt;&gt;""),ROUND((AM441*((100+SI!$C$11)/100)),0),"")</f>
        <v/>
      </c>
      <c r="AP441" s="28" t="str">
        <f>IF(AG441&lt;&gt;"",ROUND(AG441/SI!$C$9,2),"")</f>
        <v/>
      </c>
      <c r="AQ441" s="4" t="str">
        <f>IF(AH441&lt;&gt;"",ROUND(AH441/SI!$C$9,2),"")</f>
        <v/>
      </c>
      <c r="AR441" s="29" t="str">
        <f>IF(AI441&lt;&gt;"",ROUND(AI441/SI!$C$9,2),"")</f>
        <v/>
      </c>
      <c r="AS441" s="4" t="str">
        <f t="shared" si="173"/>
        <v/>
      </c>
      <c r="AT441" s="4" t="str">
        <f t="shared" si="174"/>
        <v/>
      </c>
      <c r="AU441" s="4" t="str">
        <f>IF(AL441&lt;&gt;"",ROUND(AL441/SI!$C$9,2),"")</f>
        <v/>
      </c>
      <c r="AV441" s="4" t="str">
        <f>IF(AM441&lt;&gt;"",ROUND(AM441/SI!$C$9,2),"")</f>
        <v/>
      </c>
      <c r="AW441" s="4" t="str">
        <f>IF(AN441&lt;&gt;"",ROUND(AN441/SI!$C$9,2),"")</f>
        <v/>
      </c>
      <c r="AX441" s="261" t="str">
        <f>IF(AO441&lt;&gt;"",ROUND(AO441/SI!$C$9,2),"")</f>
        <v/>
      </c>
      <c r="AY441" s="28" t="str">
        <f t="shared" si="175"/>
        <v/>
      </c>
      <c r="AZ441" s="4" t="str">
        <f>IF(AY441&lt;&gt;"",ROUND(AY441/(SI!$C$9*SI!$C$10),2),"")</f>
        <v/>
      </c>
      <c r="BA441" s="4" t="str">
        <f t="shared" si="176"/>
        <v/>
      </c>
      <c r="BB441" s="4" t="str">
        <f t="shared" si="177"/>
        <v/>
      </c>
      <c r="BC441" s="4" t="str">
        <f t="shared" si="178"/>
        <v/>
      </c>
      <c r="BD441" s="4" t="str">
        <f t="shared" si="179"/>
        <v/>
      </c>
      <c r="BE441" s="4" t="str">
        <f>IF(AND(X441&lt;&gt;""),ROUND(X441/SI!$C$10,2),"")</f>
        <v/>
      </c>
      <c r="BF441" s="4" t="str">
        <f t="shared" si="181"/>
        <v/>
      </c>
      <c r="BG441" s="264" t="str">
        <f t="shared" si="180"/>
        <v/>
      </c>
      <c r="BH441" s="71" t="str">
        <f>IF(F441&lt;&gt;"",VLOOKUP(F441,DUTY_2025!A:O,15,FALSE),"")</f>
        <v/>
      </c>
    </row>
    <row r="442" spans="1:60" x14ac:dyDescent="0.25">
      <c r="A442" s="133">
        <f t="shared" si="156"/>
        <v>66</v>
      </c>
      <c r="B442" s="83" t="str">
        <f t="shared" si="157"/>
        <v/>
      </c>
      <c r="C442" s="126"/>
      <c r="D442" s="130"/>
      <c r="E442" s="22"/>
      <c r="F442" s="85"/>
      <c r="G442" s="27" t="str">
        <f>IF(F442&lt;&gt;"",IFERROR(VLOOKUP(F442,DUTY_2025!A:I,6,FALSE),""),"")</f>
        <v/>
      </c>
      <c r="H442" s="85" t="s">
        <v>133</v>
      </c>
      <c r="I442" s="27" t="str">
        <f>IF(F442&lt;&gt;"",IFERROR(VLOOKUP(F442,DUTY_2025!A:H,2,FALSE),""),"")</f>
        <v/>
      </c>
      <c r="J442" s="98"/>
      <c r="K442" s="98"/>
      <c r="L442" s="22"/>
      <c r="M442" s="22"/>
      <c r="N442" s="84"/>
      <c r="O442" s="22"/>
      <c r="P442" s="116"/>
      <c r="Q442" s="23"/>
      <c r="R442" s="27"/>
      <c r="S442" s="86" t="str">
        <f t="shared" si="158"/>
        <v/>
      </c>
      <c r="T442" s="87" t="str">
        <f t="shared" si="159"/>
        <v/>
      </c>
      <c r="U442" s="87" t="str" cm="1">
        <f t="array" ref="U442">IF(AND(H442&lt;&gt;"YES",P442&lt;&gt;"",R442&lt;&gt;"",Q442&lt;&gt;""),
_xlfn.SWITCH(Q442,
"INR",_xlfn.SWITCH(R442,"KG",P442*S442,"CTN",P442,"UNIT",P442*N442,"NET",P442/M442,0),
"USD",_xlfn.SWITCH(R442,"KG",P442*S442*SI!$C$10,"CTN",P442*SI!$C$10,"UNIT",P442*N442*SI!$C$10,"NET",P442*SI!$C$10/M442,0),
"LKR",_xlfn.SWITCH(R442,"KG",P442*S442/SI!$C$9,"CTN",P442/SI!$C$9,"UNIT",P442*N442/SI!$C$9,"NET",P442/(M442*SI!$C$9),0),
0),
"")</f>
        <v/>
      </c>
      <c r="V442" s="87" t="str">
        <f t="shared" si="160"/>
        <v/>
      </c>
      <c r="W442" s="87" t="str">
        <f t="shared" si="161"/>
        <v/>
      </c>
      <c r="X442" s="88" t="str">
        <f t="shared" si="162"/>
        <v/>
      </c>
      <c r="Y442" s="24" t="str">
        <f t="shared" si="163"/>
        <v/>
      </c>
      <c r="Z442" s="267" t="str">
        <f>IF(AND(H442&lt;&gt;"yes",F442&lt;&gt;""),IFERROR(VLOOKUP(F442,DUTY_2025!A:F,5,FALSE),""),"")</f>
        <v/>
      </c>
      <c r="AA442" s="271" t="str">
        <f t="shared" si="164"/>
        <v/>
      </c>
      <c r="AB442" s="16" t="str">
        <f t="shared" si="165"/>
        <v/>
      </c>
      <c r="AC442" s="16" t="str">
        <f>IF(AA442&lt;&gt;"",ROUND(AA442*SI!$C$9,0),"")</f>
        <v/>
      </c>
      <c r="AD442" s="4" t="str">
        <f>IF(AC442&lt;&gt;"",ROUND(AC442/(SI!$C$9*SI!$C$10),2),"")</f>
        <v/>
      </c>
      <c r="AE442" s="30" t="str">
        <f>IF(AND(X442&lt;&gt;""), ROUND((SI!$E$23)*(X442/SUM($X$5:$X$493)),0),"")</f>
        <v/>
      </c>
      <c r="AF442" s="272" t="str">
        <f t="shared" si="166"/>
        <v/>
      </c>
      <c r="AG442" s="28" t="str">
        <f t="shared" si="167"/>
        <v/>
      </c>
      <c r="AH442" s="4" t="str">
        <f>IF(AD442&lt;&gt;"",ROUND(AD442*10*SI!$C$9/2,0),"")</f>
        <v/>
      </c>
      <c r="AI442" s="29" t="str">
        <f>IF(AND(X442&lt;&gt;""), ROUND((SI!$E$28)*(X442/SUM($X$5:$X$493)),0),"")</f>
        <v/>
      </c>
      <c r="AJ442" s="4" t="str">
        <f t="shared" si="168"/>
        <v/>
      </c>
      <c r="AK442" s="4" t="str">
        <f t="shared" si="169"/>
        <v/>
      </c>
      <c r="AL442" s="4" t="str">
        <f t="shared" si="170"/>
        <v/>
      </c>
      <c r="AM442" s="4" t="str">
        <f t="shared" si="171"/>
        <v/>
      </c>
      <c r="AN442" s="195" t="str">
        <f t="shared" si="172"/>
        <v/>
      </c>
      <c r="AO442" s="261" t="str">
        <f>IF(AND(AM442&lt;&gt;"",P442&lt;&gt;""),ROUND((AM442*((100+SI!$C$11)/100)),0),"")</f>
        <v/>
      </c>
      <c r="AP442" s="28" t="str">
        <f>IF(AG442&lt;&gt;"",ROUND(AG442/SI!$C$9,2),"")</f>
        <v/>
      </c>
      <c r="AQ442" s="4" t="str">
        <f>IF(AH442&lt;&gt;"",ROUND(AH442/SI!$C$9,2),"")</f>
        <v/>
      </c>
      <c r="AR442" s="29" t="str">
        <f>IF(AI442&lt;&gt;"",ROUND(AI442/SI!$C$9,2),"")</f>
        <v/>
      </c>
      <c r="AS442" s="4" t="str">
        <f t="shared" si="173"/>
        <v/>
      </c>
      <c r="AT442" s="4" t="str">
        <f t="shared" si="174"/>
        <v/>
      </c>
      <c r="AU442" s="4" t="str">
        <f>IF(AL442&lt;&gt;"",ROUND(AL442/SI!$C$9,2),"")</f>
        <v/>
      </c>
      <c r="AV442" s="4" t="str">
        <f>IF(AM442&lt;&gt;"",ROUND(AM442/SI!$C$9,2),"")</f>
        <v/>
      </c>
      <c r="AW442" s="4" t="str">
        <f>IF(AN442&lt;&gt;"",ROUND(AN442/SI!$C$9,2),"")</f>
        <v/>
      </c>
      <c r="AX442" s="261" t="str">
        <f>IF(AO442&lt;&gt;"",ROUND(AO442/SI!$C$9,2),"")</f>
        <v/>
      </c>
      <c r="AY442" s="28" t="str">
        <f t="shared" si="175"/>
        <v/>
      </c>
      <c r="AZ442" s="4" t="str">
        <f>IF(AY442&lt;&gt;"",ROUND(AY442/(SI!$C$9*SI!$C$10),2),"")</f>
        <v/>
      </c>
      <c r="BA442" s="4" t="str">
        <f t="shared" si="176"/>
        <v/>
      </c>
      <c r="BB442" s="4" t="str">
        <f t="shared" si="177"/>
        <v/>
      </c>
      <c r="BC442" s="4" t="str">
        <f t="shared" si="178"/>
        <v/>
      </c>
      <c r="BD442" s="4" t="str">
        <f t="shared" si="179"/>
        <v/>
      </c>
      <c r="BE442" s="4" t="str">
        <f>IF(AND(X442&lt;&gt;""),ROUND(X442/SI!$C$10,2),"")</f>
        <v/>
      </c>
      <c r="BF442" s="4" t="str">
        <f t="shared" si="181"/>
        <v/>
      </c>
      <c r="BG442" s="264" t="str">
        <f t="shared" si="180"/>
        <v/>
      </c>
      <c r="BH442" s="71" t="str">
        <f>IF(F442&lt;&gt;"",VLOOKUP(F442,DUTY_2025!A:O,15,FALSE),"")</f>
        <v/>
      </c>
    </row>
    <row r="443" spans="1:60" x14ac:dyDescent="0.25">
      <c r="A443" s="133">
        <f t="shared" si="156"/>
        <v>66</v>
      </c>
      <c r="B443" s="83" t="str">
        <f t="shared" si="157"/>
        <v/>
      </c>
      <c r="C443" s="126"/>
      <c r="D443" s="130"/>
      <c r="E443" s="22"/>
      <c r="F443" s="85"/>
      <c r="G443" s="27" t="str">
        <f>IF(F443&lt;&gt;"",IFERROR(VLOOKUP(F443,DUTY_2025!A:I,6,FALSE),""),"")</f>
        <v/>
      </c>
      <c r="H443" s="85" t="s">
        <v>133</v>
      </c>
      <c r="I443" s="27" t="str">
        <f>IF(F443&lt;&gt;"",IFERROR(VLOOKUP(F443,DUTY_2025!A:H,2,FALSE),""),"")</f>
        <v/>
      </c>
      <c r="J443" s="98"/>
      <c r="K443" s="98"/>
      <c r="L443" s="22"/>
      <c r="M443" s="22"/>
      <c r="N443" s="84"/>
      <c r="O443" s="22"/>
      <c r="P443" s="116"/>
      <c r="Q443" s="23"/>
      <c r="R443" s="27"/>
      <c r="S443" s="86" t="str">
        <f t="shared" si="158"/>
        <v/>
      </c>
      <c r="T443" s="87" t="str">
        <f t="shared" si="159"/>
        <v/>
      </c>
      <c r="U443" s="87" t="str" cm="1">
        <f t="array" ref="U443">IF(AND(H443&lt;&gt;"YES",P443&lt;&gt;"",R443&lt;&gt;"",Q443&lt;&gt;""),
_xlfn.SWITCH(Q443,
"INR",_xlfn.SWITCH(R443,"KG",P443*S443,"CTN",P443,"UNIT",P443*N443,"NET",P443/M443,0),
"USD",_xlfn.SWITCH(R443,"KG",P443*S443*SI!$C$10,"CTN",P443*SI!$C$10,"UNIT",P443*N443*SI!$C$10,"NET",P443*SI!$C$10/M443,0),
"LKR",_xlfn.SWITCH(R443,"KG",P443*S443/SI!$C$9,"CTN",P443/SI!$C$9,"UNIT",P443*N443/SI!$C$9,"NET",P443/(M443*SI!$C$9),0),
0),
"")</f>
        <v/>
      </c>
      <c r="V443" s="87" t="str">
        <f t="shared" si="160"/>
        <v/>
      </c>
      <c r="W443" s="87" t="str">
        <f t="shared" si="161"/>
        <v/>
      </c>
      <c r="X443" s="88" t="str">
        <f t="shared" si="162"/>
        <v/>
      </c>
      <c r="Y443" s="24" t="str">
        <f t="shared" si="163"/>
        <v/>
      </c>
      <c r="Z443" s="267" t="str">
        <f>IF(AND(H443&lt;&gt;"yes",F443&lt;&gt;""),IFERROR(VLOOKUP(F443,DUTY_2025!A:F,5,FALSE),""),"")</f>
        <v/>
      </c>
      <c r="AA443" s="271" t="str">
        <f t="shared" si="164"/>
        <v/>
      </c>
      <c r="AB443" s="16" t="str">
        <f t="shared" si="165"/>
        <v/>
      </c>
      <c r="AC443" s="16" t="str">
        <f>IF(AA443&lt;&gt;"",ROUND(AA443*SI!$C$9,0),"")</f>
        <v/>
      </c>
      <c r="AD443" s="4" t="str">
        <f>IF(AC443&lt;&gt;"",ROUND(AC443/(SI!$C$9*SI!$C$10),2),"")</f>
        <v/>
      </c>
      <c r="AE443" s="30" t="str">
        <f>IF(AND(X443&lt;&gt;""), ROUND((SI!$E$23)*(X443/SUM($X$5:$X$493)),0),"")</f>
        <v/>
      </c>
      <c r="AF443" s="272" t="str">
        <f t="shared" si="166"/>
        <v/>
      </c>
      <c r="AG443" s="28" t="str">
        <f t="shared" si="167"/>
        <v/>
      </c>
      <c r="AH443" s="4" t="str">
        <f>IF(AD443&lt;&gt;"",ROUND(AD443*10*SI!$C$9/2,0),"")</f>
        <v/>
      </c>
      <c r="AI443" s="29" t="str">
        <f>IF(AND(X443&lt;&gt;""), ROUND((SI!$E$28)*(X443/SUM($X$5:$X$493)),0),"")</f>
        <v/>
      </c>
      <c r="AJ443" s="4" t="str">
        <f t="shared" si="168"/>
        <v/>
      </c>
      <c r="AK443" s="4" t="str">
        <f t="shared" si="169"/>
        <v/>
      </c>
      <c r="AL443" s="4" t="str">
        <f t="shared" si="170"/>
        <v/>
      </c>
      <c r="AM443" s="4" t="str">
        <f t="shared" si="171"/>
        <v/>
      </c>
      <c r="AN443" s="195" t="str">
        <f t="shared" si="172"/>
        <v/>
      </c>
      <c r="AO443" s="261" t="str">
        <f>IF(AND(AM443&lt;&gt;"",P443&lt;&gt;""),ROUND((AM443*((100+SI!$C$11)/100)),0),"")</f>
        <v/>
      </c>
      <c r="AP443" s="28" t="str">
        <f>IF(AG443&lt;&gt;"",ROUND(AG443/SI!$C$9,2),"")</f>
        <v/>
      </c>
      <c r="AQ443" s="4" t="str">
        <f>IF(AH443&lt;&gt;"",ROUND(AH443/SI!$C$9,2),"")</f>
        <v/>
      </c>
      <c r="AR443" s="29" t="str">
        <f>IF(AI443&lt;&gt;"",ROUND(AI443/SI!$C$9,2),"")</f>
        <v/>
      </c>
      <c r="AS443" s="4" t="str">
        <f t="shared" si="173"/>
        <v/>
      </c>
      <c r="AT443" s="4" t="str">
        <f t="shared" si="174"/>
        <v/>
      </c>
      <c r="AU443" s="4" t="str">
        <f>IF(AL443&lt;&gt;"",ROUND(AL443/SI!$C$9,2),"")</f>
        <v/>
      </c>
      <c r="AV443" s="4" t="str">
        <f>IF(AM443&lt;&gt;"",ROUND(AM443/SI!$C$9,2),"")</f>
        <v/>
      </c>
      <c r="AW443" s="4" t="str">
        <f>IF(AN443&lt;&gt;"",ROUND(AN443/SI!$C$9,2),"")</f>
        <v/>
      </c>
      <c r="AX443" s="261" t="str">
        <f>IF(AO443&lt;&gt;"",ROUND(AO443/SI!$C$9,2),"")</f>
        <v/>
      </c>
      <c r="AY443" s="28" t="str">
        <f t="shared" si="175"/>
        <v/>
      </c>
      <c r="AZ443" s="4" t="str">
        <f>IF(AY443&lt;&gt;"",ROUND(AY443/(SI!$C$9*SI!$C$10),2),"")</f>
        <v/>
      </c>
      <c r="BA443" s="4" t="str">
        <f t="shared" si="176"/>
        <v/>
      </c>
      <c r="BB443" s="4" t="str">
        <f t="shared" si="177"/>
        <v/>
      </c>
      <c r="BC443" s="4" t="str">
        <f t="shared" si="178"/>
        <v/>
      </c>
      <c r="BD443" s="4" t="str">
        <f t="shared" si="179"/>
        <v/>
      </c>
      <c r="BE443" s="4" t="str">
        <f>IF(AND(X443&lt;&gt;""),ROUND(X443/SI!$C$10,2),"")</f>
        <v/>
      </c>
      <c r="BF443" s="4" t="str">
        <f t="shared" si="181"/>
        <v/>
      </c>
      <c r="BG443" s="264" t="str">
        <f t="shared" si="180"/>
        <v/>
      </c>
      <c r="BH443" s="71" t="str">
        <f>IF(F443&lt;&gt;"",VLOOKUP(F443,DUTY_2025!A:O,15,FALSE),"")</f>
        <v/>
      </c>
    </row>
    <row r="444" spans="1:60" x14ac:dyDescent="0.25">
      <c r="A444" s="133">
        <f t="shared" si="156"/>
        <v>66</v>
      </c>
      <c r="B444" s="83" t="str">
        <f t="shared" si="157"/>
        <v/>
      </c>
      <c r="C444" s="126"/>
      <c r="D444" s="130"/>
      <c r="E444" s="22"/>
      <c r="F444" s="85"/>
      <c r="G444" s="27" t="str">
        <f>IF(F444&lt;&gt;"",IFERROR(VLOOKUP(F444,DUTY_2025!A:I,6,FALSE),""),"")</f>
        <v/>
      </c>
      <c r="H444" s="85" t="s">
        <v>133</v>
      </c>
      <c r="I444" s="27" t="str">
        <f>IF(F444&lt;&gt;"",IFERROR(VLOOKUP(F444,DUTY_2025!A:H,2,FALSE),""),"")</f>
        <v/>
      </c>
      <c r="J444" s="98"/>
      <c r="K444" s="98"/>
      <c r="L444" s="22"/>
      <c r="M444" s="22"/>
      <c r="N444" s="84"/>
      <c r="O444" s="22"/>
      <c r="P444" s="116"/>
      <c r="Q444" s="23"/>
      <c r="R444" s="27"/>
      <c r="S444" s="86" t="str">
        <f t="shared" si="158"/>
        <v/>
      </c>
      <c r="T444" s="87" t="str">
        <f t="shared" si="159"/>
        <v/>
      </c>
      <c r="U444" s="87" t="str" cm="1">
        <f t="array" ref="U444">IF(AND(H444&lt;&gt;"YES",P444&lt;&gt;"",R444&lt;&gt;"",Q444&lt;&gt;""),
_xlfn.SWITCH(Q444,
"INR",_xlfn.SWITCH(R444,"KG",P444*S444,"CTN",P444,"UNIT",P444*N444,"NET",P444/M444,0),
"USD",_xlfn.SWITCH(R444,"KG",P444*S444*SI!$C$10,"CTN",P444*SI!$C$10,"UNIT",P444*N444*SI!$C$10,"NET",P444*SI!$C$10/M444,0),
"LKR",_xlfn.SWITCH(R444,"KG",P444*S444/SI!$C$9,"CTN",P444/SI!$C$9,"UNIT",P444*N444/SI!$C$9,"NET",P444/(M444*SI!$C$9),0),
0),
"")</f>
        <v/>
      </c>
      <c r="V444" s="87" t="str">
        <f t="shared" si="160"/>
        <v/>
      </c>
      <c r="W444" s="87" t="str">
        <f t="shared" si="161"/>
        <v/>
      </c>
      <c r="X444" s="88" t="str">
        <f t="shared" si="162"/>
        <v/>
      </c>
      <c r="Y444" s="24" t="str">
        <f t="shared" si="163"/>
        <v/>
      </c>
      <c r="Z444" s="267" t="str">
        <f>IF(AND(H444&lt;&gt;"yes",F444&lt;&gt;""),IFERROR(VLOOKUP(F444,DUTY_2025!A:F,5,FALSE),""),"")</f>
        <v/>
      </c>
      <c r="AA444" s="271" t="str">
        <f t="shared" si="164"/>
        <v/>
      </c>
      <c r="AB444" s="16" t="str">
        <f t="shared" si="165"/>
        <v/>
      </c>
      <c r="AC444" s="16" t="str">
        <f>IF(AA444&lt;&gt;"",ROUND(AA444*SI!$C$9,0),"")</f>
        <v/>
      </c>
      <c r="AD444" s="4" t="str">
        <f>IF(AC444&lt;&gt;"",ROUND(AC444/(SI!$C$9*SI!$C$10),2),"")</f>
        <v/>
      </c>
      <c r="AE444" s="30" t="str">
        <f>IF(AND(X444&lt;&gt;""), ROUND((SI!$E$23)*(X444/SUM($X$5:$X$493)),0),"")</f>
        <v/>
      </c>
      <c r="AF444" s="272" t="str">
        <f t="shared" si="166"/>
        <v/>
      </c>
      <c r="AG444" s="28" t="str">
        <f t="shared" si="167"/>
        <v/>
      </c>
      <c r="AH444" s="4" t="str">
        <f>IF(AD444&lt;&gt;"",ROUND(AD444*10*SI!$C$9/2,0),"")</f>
        <v/>
      </c>
      <c r="AI444" s="29" t="str">
        <f>IF(AND(X444&lt;&gt;""), ROUND((SI!$E$28)*(X444/SUM($X$5:$X$493)),0),"")</f>
        <v/>
      </c>
      <c r="AJ444" s="4" t="str">
        <f t="shared" si="168"/>
        <v/>
      </c>
      <c r="AK444" s="4" t="str">
        <f t="shared" si="169"/>
        <v/>
      </c>
      <c r="AL444" s="4" t="str">
        <f t="shared" si="170"/>
        <v/>
      </c>
      <c r="AM444" s="4" t="str">
        <f t="shared" si="171"/>
        <v/>
      </c>
      <c r="AN444" s="195" t="str">
        <f t="shared" si="172"/>
        <v/>
      </c>
      <c r="AO444" s="261" t="str">
        <f>IF(AND(AM444&lt;&gt;"",P444&lt;&gt;""),ROUND((AM444*((100+SI!$C$11)/100)),0),"")</f>
        <v/>
      </c>
      <c r="AP444" s="28" t="str">
        <f>IF(AG444&lt;&gt;"",ROUND(AG444/SI!$C$9,2),"")</f>
        <v/>
      </c>
      <c r="AQ444" s="4" t="str">
        <f>IF(AH444&lt;&gt;"",ROUND(AH444/SI!$C$9,2),"")</f>
        <v/>
      </c>
      <c r="AR444" s="29" t="str">
        <f>IF(AI444&lt;&gt;"",ROUND(AI444/SI!$C$9,2),"")</f>
        <v/>
      </c>
      <c r="AS444" s="4" t="str">
        <f t="shared" si="173"/>
        <v/>
      </c>
      <c r="AT444" s="4" t="str">
        <f t="shared" si="174"/>
        <v/>
      </c>
      <c r="AU444" s="4" t="str">
        <f>IF(AL444&lt;&gt;"",ROUND(AL444/SI!$C$9,2),"")</f>
        <v/>
      </c>
      <c r="AV444" s="4" t="str">
        <f>IF(AM444&lt;&gt;"",ROUND(AM444/SI!$C$9,2),"")</f>
        <v/>
      </c>
      <c r="AW444" s="4" t="str">
        <f>IF(AN444&lt;&gt;"",ROUND(AN444/SI!$C$9,2),"")</f>
        <v/>
      </c>
      <c r="AX444" s="261" t="str">
        <f>IF(AO444&lt;&gt;"",ROUND(AO444/SI!$C$9,2),"")</f>
        <v/>
      </c>
      <c r="AY444" s="28" t="str">
        <f t="shared" si="175"/>
        <v/>
      </c>
      <c r="AZ444" s="4" t="str">
        <f>IF(AY444&lt;&gt;"",ROUND(AY444/(SI!$C$9*SI!$C$10),2),"")</f>
        <v/>
      </c>
      <c r="BA444" s="4" t="str">
        <f t="shared" si="176"/>
        <v/>
      </c>
      <c r="BB444" s="4" t="str">
        <f t="shared" si="177"/>
        <v/>
      </c>
      <c r="BC444" s="4" t="str">
        <f t="shared" si="178"/>
        <v/>
      </c>
      <c r="BD444" s="4" t="str">
        <f t="shared" si="179"/>
        <v/>
      </c>
      <c r="BE444" s="4" t="str">
        <f>IF(AND(X444&lt;&gt;""),ROUND(X444/SI!$C$10,2),"")</f>
        <v/>
      </c>
      <c r="BF444" s="4" t="str">
        <f t="shared" si="181"/>
        <v/>
      </c>
      <c r="BG444" s="264" t="str">
        <f t="shared" si="180"/>
        <v/>
      </c>
      <c r="BH444" s="71" t="str">
        <f>IF(F444&lt;&gt;"",VLOOKUP(F444,DUTY_2025!A:O,15,FALSE),"")</f>
        <v/>
      </c>
    </row>
    <row r="445" spans="1:60" x14ac:dyDescent="0.25">
      <c r="A445" s="133">
        <f t="shared" si="156"/>
        <v>66</v>
      </c>
      <c r="B445" s="83" t="str">
        <f t="shared" si="157"/>
        <v/>
      </c>
      <c r="C445" s="126"/>
      <c r="D445" s="130"/>
      <c r="E445" s="22"/>
      <c r="F445" s="85"/>
      <c r="G445" s="27" t="str">
        <f>IF(F445&lt;&gt;"",IFERROR(VLOOKUP(F445,DUTY_2025!A:I,6,FALSE),""),"")</f>
        <v/>
      </c>
      <c r="H445" s="85" t="s">
        <v>133</v>
      </c>
      <c r="I445" s="27" t="str">
        <f>IF(F445&lt;&gt;"",IFERROR(VLOOKUP(F445,DUTY_2025!A:H,2,FALSE),""),"")</f>
        <v/>
      </c>
      <c r="J445" s="98"/>
      <c r="K445" s="98"/>
      <c r="L445" s="22"/>
      <c r="M445" s="22"/>
      <c r="N445" s="84"/>
      <c r="O445" s="22"/>
      <c r="P445" s="116"/>
      <c r="Q445" s="23"/>
      <c r="R445" s="27"/>
      <c r="S445" s="86" t="str">
        <f t="shared" si="158"/>
        <v/>
      </c>
      <c r="T445" s="87" t="str">
        <f t="shared" si="159"/>
        <v/>
      </c>
      <c r="U445" s="87" t="str" cm="1">
        <f t="array" ref="U445">IF(AND(H445&lt;&gt;"YES",P445&lt;&gt;"",R445&lt;&gt;"",Q445&lt;&gt;""),
_xlfn.SWITCH(Q445,
"INR",_xlfn.SWITCH(R445,"KG",P445*S445,"CTN",P445,"UNIT",P445*N445,"NET",P445/M445,0),
"USD",_xlfn.SWITCH(R445,"KG",P445*S445*SI!$C$10,"CTN",P445*SI!$C$10,"UNIT",P445*N445*SI!$C$10,"NET",P445*SI!$C$10/M445,0),
"LKR",_xlfn.SWITCH(R445,"KG",P445*S445/SI!$C$9,"CTN",P445/SI!$C$9,"UNIT",P445*N445/SI!$C$9,"NET",P445/(M445*SI!$C$9),0),
0),
"")</f>
        <v/>
      </c>
      <c r="V445" s="87" t="str">
        <f t="shared" si="160"/>
        <v/>
      </c>
      <c r="W445" s="87" t="str">
        <f t="shared" si="161"/>
        <v/>
      </c>
      <c r="X445" s="88" t="str">
        <f t="shared" si="162"/>
        <v/>
      </c>
      <c r="Y445" s="24" t="str">
        <f t="shared" si="163"/>
        <v/>
      </c>
      <c r="Z445" s="267" t="str">
        <f>IF(AND(H445&lt;&gt;"yes",F445&lt;&gt;""),IFERROR(VLOOKUP(F445,DUTY_2025!A:F,5,FALSE),""),"")</f>
        <v/>
      </c>
      <c r="AA445" s="271" t="str">
        <f t="shared" si="164"/>
        <v/>
      </c>
      <c r="AB445" s="16" t="str">
        <f t="shared" si="165"/>
        <v/>
      </c>
      <c r="AC445" s="16" t="str">
        <f>IF(AA445&lt;&gt;"",ROUND(AA445*SI!$C$9,0),"")</f>
        <v/>
      </c>
      <c r="AD445" s="4" t="str">
        <f>IF(AC445&lt;&gt;"",ROUND(AC445/(SI!$C$9*SI!$C$10),2),"")</f>
        <v/>
      </c>
      <c r="AE445" s="30" t="str">
        <f>IF(AND(X445&lt;&gt;""), ROUND((SI!$E$23)*(X445/SUM($X$5:$X$493)),0),"")</f>
        <v/>
      </c>
      <c r="AF445" s="272" t="str">
        <f t="shared" si="166"/>
        <v/>
      </c>
      <c r="AG445" s="28" t="str">
        <f t="shared" si="167"/>
        <v/>
      </c>
      <c r="AH445" s="4" t="str">
        <f>IF(AD445&lt;&gt;"",ROUND(AD445*10*SI!$C$9/2,0),"")</f>
        <v/>
      </c>
      <c r="AI445" s="29" t="str">
        <f>IF(AND(X445&lt;&gt;""), ROUND((SI!$E$28)*(X445/SUM($X$5:$X$493)),0),"")</f>
        <v/>
      </c>
      <c r="AJ445" s="4" t="str">
        <f t="shared" si="168"/>
        <v/>
      </c>
      <c r="AK445" s="4" t="str">
        <f t="shared" si="169"/>
        <v/>
      </c>
      <c r="AL445" s="4" t="str">
        <f t="shared" si="170"/>
        <v/>
      </c>
      <c r="AM445" s="4" t="str">
        <f t="shared" si="171"/>
        <v/>
      </c>
      <c r="AN445" s="195" t="str">
        <f t="shared" si="172"/>
        <v/>
      </c>
      <c r="AO445" s="261" t="str">
        <f>IF(AND(AM445&lt;&gt;"",P445&lt;&gt;""),ROUND((AM445*((100+SI!$C$11)/100)),0),"")</f>
        <v/>
      </c>
      <c r="AP445" s="28" t="str">
        <f>IF(AG445&lt;&gt;"",ROUND(AG445/SI!$C$9,2),"")</f>
        <v/>
      </c>
      <c r="AQ445" s="4" t="str">
        <f>IF(AH445&lt;&gt;"",ROUND(AH445/SI!$C$9,2),"")</f>
        <v/>
      </c>
      <c r="AR445" s="29" t="str">
        <f>IF(AI445&lt;&gt;"",ROUND(AI445/SI!$C$9,2),"")</f>
        <v/>
      </c>
      <c r="AS445" s="4" t="str">
        <f t="shared" si="173"/>
        <v/>
      </c>
      <c r="AT445" s="4" t="str">
        <f t="shared" si="174"/>
        <v/>
      </c>
      <c r="AU445" s="4" t="str">
        <f>IF(AL445&lt;&gt;"",ROUND(AL445/SI!$C$9,2),"")</f>
        <v/>
      </c>
      <c r="AV445" s="4" t="str">
        <f>IF(AM445&lt;&gt;"",ROUND(AM445/SI!$C$9,2),"")</f>
        <v/>
      </c>
      <c r="AW445" s="4" t="str">
        <f>IF(AN445&lt;&gt;"",ROUND(AN445/SI!$C$9,2),"")</f>
        <v/>
      </c>
      <c r="AX445" s="261" t="str">
        <f>IF(AO445&lt;&gt;"",ROUND(AO445/SI!$C$9,2),"")</f>
        <v/>
      </c>
      <c r="AY445" s="28" t="str">
        <f t="shared" si="175"/>
        <v/>
      </c>
      <c r="AZ445" s="4" t="str">
        <f>IF(AY445&lt;&gt;"",ROUND(AY445/(SI!$C$9*SI!$C$10),2),"")</f>
        <v/>
      </c>
      <c r="BA445" s="4" t="str">
        <f t="shared" si="176"/>
        <v/>
      </c>
      <c r="BB445" s="4" t="str">
        <f t="shared" si="177"/>
        <v/>
      </c>
      <c r="BC445" s="4" t="str">
        <f t="shared" si="178"/>
        <v/>
      </c>
      <c r="BD445" s="4" t="str">
        <f t="shared" si="179"/>
        <v/>
      </c>
      <c r="BE445" s="4" t="str">
        <f>IF(AND(X445&lt;&gt;""),ROUND(X445/SI!$C$10,2),"")</f>
        <v/>
      </c>
      <c r="BF445" s="4" t="str">
        <f t="shared" si="181"/>
        <v/>
      </c>
      <c r="BG445" s="264" t="str">
        <f t="shared" si="180"/>
        <v/>
      </c>
      <c r="BH445" s="71" t="str">
        <f>IF(F445&lt;&gt;"",VLOOKUP(F445,DUTY_2025!A:O,15,FALSE),"")</f>
        <v/>
      </c>
    </row>
    <row r="446" spans="1:60" x14ac:dyDescent="0.25">
      <c r="A446" s="133">
        <f t="shared" si="156"/>
        <v>66</v>
      </c>
      <c r="B446" s="83" t="str">
        <f t="shared" si="157"/>
        <v/>
      </c>
      <c r="C446" s="126"/>
      <c r="D446" s="130"/>
      <c r="E446" s="22"/>
      <c r="F446" s="85"/>
      <c r="G446" s="27" t="str">
        <f>IF(F446&lt;&gt;"",IFERROR(VLOOKUP(F446,DUTY_2025!A:I,6,FALSE),""),"")</f>
        <v/>
      </c>
      <c r="H446" s="85" t="s">
        <v>133</v>
      </c>
      <c r="I446" s="27" t="str">
        <f>IF(F446&lt;&gt;"",IFERROR(VLOOKUP(F446,DUTY_2025!A:H,2,FALSE),""),"")</f>
        <v/>
      </c>
      <c r="J446" s="98"/>
      <c r="K446" s="98"/>
      <c r="L446" s="22"/>
      <c r="M446" s="22"/>
      <c r="N446" s="84"/>
      <c r="O446" s="22"/>
      <c r="P446" s="116"/>
      <c r="Q446" s="23"/>
      <c r="R446" s="27"/>
      <c r="S446" s="86" t="str">
        <f t="shared" si="158"/>
        <v/>
      </c>
      <c r="T446" s="87" t="str">
        <f t="shared" si="159"/>
        <v/>
      </c>
      <c r="U446" s="87" t="str" cm="1">
        <f t="array" ref="U446">IF(AND(H446&lt;&gt;"YES",P446&lt;&gt;"",R446&lt;&gt;"",Q446&lt;&gt;""),
_xlfn.SWITCH(Q446,
"INR",_xlfn.SWITCH(R446,"KG",P446*S446,"CTN",P446,"UNIT",P446*N446,"NET",P446/M446,0),
"USD",_xlfn.SWITCH(R446,"KG",P446*S446*SI!$C$10,"CTN",P446*SI!$C$10,"UNIT",P446*N446*SI!$C$10,"NET",P446*SI!$C$10/M446,0),
"LKR",_xlfn.SWITCH(R446,"KG",P446*S446/SI!$C$9,"CTN",P446/SI!$C$9,"UNIT",P446*N446/SI!$C$9,"NET",P446/(M446*SI!$C$9),0),
0),
"")</f>
        <v/>
      </c>
      <c r="V446" s="87" t="str">
        <f t="shared" si="160"/>
        <v/>
      </c>
      <c r="W446" s="87" t="str">
        <f t="shared" si="161"/>
        <v/>
      </c>
      <c r="X446" s="88" t="str">
        <f t="shared" si="162"/>
        <v/>
      </c>
      <c r="Y446" s="24" t="str">
        <f t="shared" si="163"/>
        <v/>
      </c>
      <c r="Z446" s="267" t="str">
        <f>IF(AND(H446&lt;&gt;"yes",F446&lt;&gt;""),IFERROR(VLOOKUP(F446,DUTY_2025!A:F,5,FALSE),""),"")</f>
        <v/>
      </c>
      <c r="AA446" s="271" t="str">
        <f t="shared" si="164"/>
        <v/>
      </c>
      <c r="AB446" s="16" t="str">
        <f t="shared" si="165"/>
        <v/>
      </c>
      <c r="AC446" s="16" t="str">
        <f>IF(AA446&lt;&gt;"",ROUND(AA446*SI!$C$9,0),"")</f>
        <v/>
      </c>
      <c r="AD446" s="4" t="str">
        <f>IF(AC446&lt;&gt;"",ROUND(AC446/(SI!$C$9*SI!$C$10),2),"")</f>
        <v/>
      </c>
      <c r="AE446" s="30" t="str">
        <f>IF(AND(X446&lt;&gt;""), ROUND((SI!$E$23)*(X446/SUM($X$5:$X$493)),0),"")</f>
        <v/>
      </c>
      <c r="AF446" s="272" t="str">
        <f t="shared" si="166"/>
        <v/>
      </c>
      <c r="AG446" s="28" t="str">
        <f t="shared" si="167"/>
        <v/>
      </c>
      <c r="AH446" s="4" t="str">
        <f>IF(AD446&lt;&gt;"",ROUND(AD446*10*SI!$C$9/2,0),"")</f>
        <v/>
      </c>
      <c r="AI446" s="29" t="str">
        <f>IF(AND(X446&lt;&gt;""), ROUND((SI!$E$28)*(X446/SUM($X$5:$X$493)),0),"")</f>
        <v/>
      </c>
      <c r="AJ446" s="4" t="str">
        <f t="shared" si="168"/>
        <v/>
      </c>
      <c r="AK446" s="4" t="str">
        <f t="shared" si="169"/>
        <v/>
      </c>
      <c r="AL446" s="4" t="str">
        <f t="shared" si="170"/>
        <v/>
      </c>
      <c r="AM446" s="4" t="str">
        <f t="shared" si="171"/>
        <v/>
      </c>
      <c r="AN446" s="195" t="str">
        <f t="shared" si="172"/>
        <v/>
      </c>
      <c r="AO446" s="261" t="str">
        <f>IF(AND(AM446&lt;&gt;"",P446&lt;&gt;""),ROUND((AM446*((100+SI!$C$11)/100)),0),"")</f>
        <v/>
      </c>
      <c r="AP446" s="28" t="str">
        <f>IF(AG446&lt;&gt;"",ROUND(AG446/SI!$C$9,2),"")</f>
        <v/>
      </c>
      <c r="AQ446" s="4" t="str">
        <f>IF(AH446&lt;&gt;"",ROUND(AH446/SI!$C$9,2),"")</f>
        <v/>
      </c>
      <c r="AR446" s="29" t="str">
        <f>IF(AI446&lt;&gt;"",ROUND(AI446/SI!$C$9,2),"")</f>
        <v/>
      </c>
      <c r="AS446" s="4" t="str">
        <f t="shared" si="173"/>
        <v/>
      </c>
      <c r="AT446" s="4" t="str">
        <f t="shared" si="174"/>
        <v/>
      </c>
      <c r="AU446" s="4" t="str">
        <f>IF(AL446&lt;&gt;"",ROUND(AL446/SI!$C$9,2),"")</f>
        <v/>
      </c>
      <c r="AV446" s="4" t="str">
        <f>IF(AM446&lt;&gt;"",ROUND(AM446/SI!$C$9,2),"")</f>
        <v/>
      </c>
      <c r="AW446" s="4" t="str">
        <f>IF(AN446&lt;&gt;"",ROUND(AN446/SI!$C$9,2),"")</f>
        <v/>
      </c>
      <c r="AX446" s="261" t="str">
        <f>IF(AO446&lt;&gt;"",ROUND(AO446/SI!$C$9,2),"")</f>
        <v/>
      </c>
      <c r="AY446" s="28" t="str">
        <f t="shared" si="175"/>
        <v/>
      </c>
      <c r="AZ446" s="4" t="str">
        <f>IF(AY446&lt;&gt;"",ROUND(AY446/(SI!$C$9*SI!$C$10),2),"")</f>
        <v/>
      </c>
      <c r="BA446" s="4" t="str">
        <f t="shared" si="176"/>
        <v/>
      </c>
      <c r="BB446" s="4" t="str">
        <f t="shared" si="177"/>
        <v/>
      </c>
      <c r="BC446" s="4" t="str">
        <f t="shared" si="178"/>
        <v/>
      </c>
      <c r="BD446" s="4" t="str">
        <f t="shared" si="179"/>
        <v/>
      </c>
      <c r="BE446" s="4" t="str">
        <f>IF(AND(X446&lt;&gt;""),ROUND(X446/SI!$C$10,2),"")</f>
        <v/>
      </c>
      <c r="BF446" s="4" t="str">
        <f t="shared" si="181"/>
        <v/>
      </c>
      <c r="BG446" s="264" t="str">
        <f t="shared" si="180"/>
        <v/>
      </c>
      <c r="BH446" s="71" t="str">
        <f>IF(F446&lt;&gt;"",VLOOKUP(F446,DUTY_2025!A:O,15,FALSE),"")</f>
        <v/>
      </c>
    </row>
    <row r="447" spans="1:60" x14ac:dyDescent="0.25">
      <c r="A447" s="133">
        <f t="shared" si="156"/>
        <v>66</v>
      </c>
      <c r="B447" s="83" t="str">
        <f t="shared" si="157"/>
        <v/>
      </c>
      <c r="C447" s="126"/>
      <c r="D447" s="130"/>
      <c r="E447" s="22"/>
      <c r="F447" s="85"/>
      <c r="G447" s="27" t="str">
        <f>IF(F447&lt;&gt;"",IFERROR(VLOOKUP(F447,DUTY_2025!A:I,6,FALSE),""),"")</f>
        <v/>
      </c>
      <c r="H447" s="85" t="s">
        <v>133</v>
      </c>
      <c r="I447" s="27" t="str">
        <f>IF(F447&lt;&gt;"",IFERROR(VLOOKUP(F447,DUTY_2025!A:H,2,FALSE),""),"")</f>
        <v/>
      </c>
      <c r="J447" s="98"/>
      <c r="K447" s="98"/>
      <c r="L447" s="22"/>
      <c r="M447" s="22"/>
      <c r="N447" s="84"/>
      <c r="O447" s="22"/>
      <c r="P447" s="116"/>
      <c r="Q447" s="23"/>
      <c r="R447" s="27"/>
      <c r="S447" s="86" t="str">
        <f t="shared" si="158"/>
        <v/>
      </c>
      <c r="T447" s="87" t="str">
        <f t="shared" si="159"/>
        <v/>
      </c>
      <c r="U447" s="87" t="str" cm="1">
        <f t="array" ref="U447">IF(AND(H447&lt;&gt;"YES",P447&lt;&gt;"",R447&lt;&gt;"",Q447&lt;&gt;""),
_xlfn.SWITCH(Q447,
"INR",_xlfn.SWITCH(R447,"KG",P447*S447,"CTN",P447,"UNIT",P447*N447,"NET",P447/M447,0),
"USD",_xlfn.SWITCH(R447,"KG",P447*S447*SI!$C$10,"CTN",P447*SI!$C$10,"UNIT",P447*N447*SI!$C$10,"NET",P447*SI!$C$10/M447,0),
"LKR",_xlfn.SWITCH(R447,"KG",P447*S447/SI!$C$9,"CTN",P447/SI!$C$9,"UNIT",P447*N447/SI!$C$9,"NET",P447/(M447*SI!$C$9),0),
0),
"")</f>
        <v/>
      </c>
      <c r="V447" s="87" t="str">
        <f t="shared" si="160"/>
        <v/>
      </c>
      <c r="W447" s="87" t="str">
        <f t="shared" si="161"/>
        <v/>
      </c>
      <c r="X447" s="88" t="str">
        <f t="shared" si="162"/>
        <v/>
      </c>
      <c r="Y447" s="24" t="str">
        <f t="shared" si="163"/>
        <v/>
      </c>
      <c r="Z447" s="267" t="str">
        <f>IF(AND(H447&lt;&gt;"yes",F447&lt;&gt;""),IFERROR(VLOOKUP(F447,DUTY_2025!A:F,5,FALSE),""),"")</f>
        <v/>
      </c>
      <c r="AA447" s="271" t="str">
        <f t="shared" si="164"/>
        <v/>
      </c>
      <c r="AB447" s="16" t="str">
        <f t="shared" si="165"/>
        <v/>
      </c>
      <c r="AC447" s="16" t="str">
        <f>IF(AA447&lt;&gt;"",ROUND(AA447*SI!$C$9,0),"")</f>
        <v/>
      </c>
      <c r="AD447" s="4" t="str">
        <f>IF(AC447&lt;&gt;"",ROUND(AC447/(SI!$C$9*SI!$C$10),2),"")</f>
        <v/>
      </c>
      <c r="AE447" s="30" t="str">
        <f>IF(AND(X447&lt;&gt;""), ROUND((SI!$E$23)*(X447/SUM($X$5:$X$493)),0),"")</f>
        <v/>
      </c>
      <c r="AF447" s="272" t="str">
        <f t="shared" si="166"/>
        <v/>
      </c>
      <c r="AG447" s="28" t="str">
        <f t="shared" si="167"/>
        <v/>
      </c>
      <c r="AH447" s="4" t="str">
        <f>IF(AD447&lt;&gt;"",ROUND(AD447*10*SI!$C$9/2,0),"")</f>
        <v/>
      </c>
      <c r="AI447" s="29" t="str">
        <f>IF(AND(X447&lt;&gt;""), ROUND((SI!$E$28)*(X447/SUM($X$5:$X$493)),0),"")</f>
        <v/>
      </c>
      <c r="AJ447" s="4" t="str">
        <f t="shared" si="168"/>
        <v/>
      </c>
      <c r="AK447" s="4" t="str">
        <f t="shared" si="169"/>
        <v/>
      </c>
      <c r="AL447" s="4" t="str">
        <f t="shared" si="170"/>
        <v/>
      </c>
      <c r="AM447" s="4" t="str">
        <f t="shared" si="171"/>
        <v/>
      </c>
      <c r="AN447" s="195" t="str">
        <f t="shared" si="172"/>
        <v/>
      </c>
      <c r="AO447" s="261" t="str">
        <f>IF(AND(AM447&lt;&gt;"",P447&lt;&gt;""),ROUND((AM447*((100+SI!$C$11)/100)),0),"")</f>
        <v/>
      </c>
      <c r="AP447" s="28" t="str">
        <f>IF(AG447&lt;&gt;"",ROUND(AG447/SI!$C$9,2),"")</f>
        <v/>
      </c>
      <c r="AQ447" s="4" t="str">
        <f>IF(AH447&lt;&gt;"",ROUND(AH447/SI!$C$9,2),"")</f>
        <v/>
      </c>
      <c r="AR447" s="29" t="str">
        <f>IF(AI447&lt;&gt;"",ROUND(AI447/SI!$C$9,2),"")</f>
        <v/>
      </c>
      <c r="AS447" s="4" t="str">
        <f t="shared" si="173"/>
        <v/>
      </c>
      <c r="AT447" s="4" t="str">
        <f t="shared" si="174"/>
        <v/>
      </c>
      <c r="AU447" s="4" t="str">
        <f>IF(AL447&lt;&gt;"",ROUND(AL447/SI!$C$9,2),"")</f>
        <v/>
      </c>
      <c r="AV447" s="4" t="str">
        <f>IF(AM447&lt;&gt;"",ROUND(AM447/SI!$C$9,2),"")</f>
        <v/>
      </c>
      <c r="AW447" s="4" t="str">
        <f>IF(AN447&lt;&gt;"",ROUND(AN447/SI!$C$9,2),"")</f>
        <v/>
      </c>
      <c r="AX447" s="261" t="str">
        <f>IF(AO447&lt;&gt;"",ROUND(AO447/SI!$C$9,2),"")</f>
        <v/>
      </c>
      <c r="AY447" s="28" t="str">
        <f t="shared" si="175"/>
        <v/>
      </c>
      <c r="AZ447" s="4" t="str">
        <f>IF(AY447&lt;&gt;"",ROUND(AY447/(SI!$C$9*SI!$C$10),2),"")</f>
        <v/>
      </c>
      <c r="BA447" s="4" t="str">
        <f t="shared" si="176"/>
        <v/>
      </c>
      <c r="BB447" s="4" t="str">
        <f t="shared" si="177"/>
        <v/>
      </c>
      <c r="BC447" s="4" t="str">
        <f t="shared" si="178"/>
        <v/>
      </c>
      <c r="BD447" s="4" t="str">
        <f t="shared" si="179"/>
        <v/>
      </c>
      <c r="BE447" s="4" t="str">
        <f>IF(AND(X447&lt;&gt;""),ROUND(X447/SI!$C$10,2),"")</f>
        <v/>
      </c>
      <c r="BF447" s="4" t="str">
        <f t="shared" si="181"/>
        <v/>
      </c>
      <c r="BG447" s="264" t="str">
        <f t="shared" si="180"/>
        <v/>
      </c>
      <c r="BH447" s="71" t="str">
        <f>IF(F447&lt;&gt;"",VLOOKUP(F447,DUTY_2025!A:O,15,FALSE),"")</f>
        <v/>
      </c>
    </row>
    <row r="448" spans="1:60" x14ac:dyDescent="0.25">
      <c r="A448" s="133">
        <f t="shared" si="156"/>
        <v>66</v>
      </c>
      <c r="B448" s="83" t="str">
        <f t="shared" si="157"/>
        <v/>
      </c>
      <c r="C448" s="126"/>
      <c r="D448" s="130"/>
      <c r="E448" s="22"/>
      <c r="F448" s="85"/>
      <c r="G448" s="27" t="str">
        <f>IF(F448&lt;&gt;"",IFERROR(VLOOKUP(F448,DUTY_2025!A:I,6,FALSE),""),"")</f>
        <v/>
      </c>
      <c r="H448" s="85" t="s">
        <v>133</v>
      </c>
      <c r="I448" s="27" t="str">
        <f>IF(F448&lt;&gt;"",IFERROR(VLOOKUP(F448,DUTY_2025!A:H,2,FALSE),""),"")</f>
        <v/>
      </c>
      <c r="J448" s="98"/>
      <c r="K448" s="98"/>
      <c r="L448" s="22"/>
      <c r="M448" s="22"/>
      <c r="N448" s="84"/>
      <c r="O448" s="22"/>
      <c r="P448" s="116"/>
      <c r="Q448" s="23"/>
      <c r="R448" s="27"/>
      <c r="S448" s="86" t="str">
        <f t="shared" si="158"/>
        <v/>
      </c>
      <c r="T448" s="87" t="str">
        <f t="shared" si="159"/>
        <v/>
      </c>
      <c r="U448" s="87" t="str" cm="1">
        <f t="array" ref="U448">IF(AND(H448&lt;&gt;"YES",P448&lt;&gt;"",R448&lt;&gt;"",Q448&lt;&gt;""),
_xlfn.SWITCH(Q448,
"INR",_xlfn.SWITCH(R448,"KG",P448*S448,"CTN",P448,"UNIT",P448*N448,"NET",P448/M448,0),
"USD",_xlfn.SWITCH(R448,"KG",P448*S448*SI!$C$10,"CTN",P448*SI!$C$10,"UNIT",P448*N448*SI!$C$10,"NET",P448*SI!$C$10/M448,0),
"LKR",_xlfn.SWITCH(R448,"KG",P448*S448/SI!$C$9,"CTN",P448/SI!$C$9,"UNIT",P448*N448/SI!$C$9,"NET",P448/(M448*SI!$C$9),0),
0),
"")</f>
        <v/>
      </c>
      <c r="V448" s="87" t="str">
        <f t="shared" si="160"/>
        <v/>
      </c>
      <c r="W448" s="87" t="str">
        <f t="shared" si="161"/>
        <v/>
      </c>
      <c r="X448" s="88" t="str">
        <f t="shared" si="162"/>
        <v/>
      </c>
      <c r="Y448" s="24" t="str">
        <f t="shared" si="163"/>
        <v/>
      </c>
      <c r="Z448" s="267" t="str">
        <f>IF(AND(H448&lt;&gt;"yes",F448&lt;&gt;""),IFERROR(VLOOKUP(F448,DUTY_2025!A:F,5,FALSE),""),"")</f>
        <v/>
      </c>
      <c r="AA448" s="271" t="str">
        <f t="shared" si="164"/>
        <v/>
      </c>
      <c r="AB448" s="16" t="str">
        <f t="shared" si="165"/>
        <v/>
      </c>
      <c r="AC448" s="16" t="str">
        <f>IF(AA448&lt;&gt;"",ROUND(AA448*SI!$C$9,0),"")</f>
        <v/>
      </c>
      <c r="AD448" s="4" t="str">
        <f>IF(AC448&lt;&gt;"",ROUND(AC448/(SI!$C$9*SI!$C$10),2),"")</f>
        <v/>
      </c>
      <c r="AE448" s="30" t="str">
        <f>IF(AND(X448&lt;&gt;""), ROUND((SI!$E$23)*(X448/SUM($X$5:$X$493)),0),"")</f>
        <v/>
      </c>
      <c r="AF448" s="272" t="str">
        <f t="shared" si="166"/>
        <v/>
      </c>
      <c r="AG448" s="28" t="str">
        <f t="shared" si="167"/>
        <v/>
      </c>
      <c r="AH448" s="4" t="str">
        <f>IF(AD448&lt;&gt;"",ROUND(AD448*10*SI!$C$9/2,0),"")</f>
        <v/>
      </c>
      <c r="AI448" s="29" t="str">
        <f>IF(AND(X448&lt;&gt;""), ROUND((SI!$E$28)*(X448/SUM($X$5:$X$493)),0),"")</f>
        <v/>
      </c>
      <c r="AJ448" s="4" t="str">
        <f t="shared" si="168"/>
        <v/>
      </c>
      <c r="AK448" s="4" t="str">
        <f t="shared" si="169"/>
        <v/>
      </c>
      <c r="AL448" s="4" t="str">
        <f t="shared" si="170"/>
        <v/>
      </c>
      <c r="AM448" s="4" t="str">
        <f t="shared" si="171"/>
        <v/>
      </c>
      <c r="AN448" s="195" t="str">
        <f t="shared" si="172"/>
        <v/>
      </c>
      <c r="AO448" s="261" t="str">
        <f>IF(AND(AM448&lt;&gt;"",P448&lt;&gt;""),ROUND((AM448*((100+SI!$C$11)/100)),0),"")</f>
        <v/>
      </c>
      <c r="AP448" s="28" t="str">
        <f>IF(AG448&lt;&gt;"",ROUND(AG448/SI!$C$9,2),"")</f>
        <v/>
      </c>
      <c r="AQ448" s="4" t="str">
        <f>IF(AH448&lt;&gt;"",ROUND(AH448/SI!$C$9,2),"")</f>
        <v/>
      </c>
      <c r="AR448" s="29" t="str">
        <f>IF(AI448&lt;&gt;"",ROUND(AI448/SI!$C$9,2),"")</f>
        <v/>
      </c>
      <c r="AS448" s="4" t="str">
        <f t="shared" si="173"/>
        <v/>
      </c>
      <c r="AT448" s="4" t="str">
        <f t="shared" si="174"/>
        <v/>
      </c>
      <c r="AU448" s="4" t="str">
        <f>IF(AL448&lt;&gt;"",ROUND(AL448/SI!$C$9,2),"")</f>
        <v/>
      </c>
      <c r="AV448" s="4" t="str">
        <f>IF(AM448&lt;&gt;"",ROUND(AM448/SI!$C$9,2),"")</f>
        <v/>
      </c>
      <c r="AW448" s="4" t="str">
        <f>IF(AN448&lt;&gt;"",ROUND(AN448/SI!$C$9,2),"")</f>
        <v/>
      </c>
      <c r="AX448" s="261" t="str">
        <f>IF(AO448&lt;&gt;"",ROUND(AO448/SI!$C$9,2),"")</f>
        <v/>
      </c>
      <c r="AY448" s="28" t="str">
        <f t="shared" si="175"/>
        <v/>
      </c>
      <c r="AZ448" s="4" t="str">
        <f>IF(AY448&lt;&gt;"",ROUND(AY448/(SI!$C$9*SI!$C$10),2),"")</f>
        <v/>
      </c>
      <c r="BA448" s="4" t="str">
        <f t="shared" si="176"/>
        <v/>
      </c>
      <c r="BB448" s="4" t="str">
        <f t="shared" si="177"/>
        <v/>
      </c>
      <c r="BC448" s="4" t="str">
        <f t="shared" si="178"/>
        <v/>
      </c>
      <c r="BD448" s="4" t="str">
        <f t="shared" si="179"/>
        <v/>
      </c>
      <c r="BE448" s="4" t="str">
        <f>IF(AND(X448&lt;&gt;""),ROUND(X448/SI!$C$10,2),"")</f>
        <v/>
      </c>
      <c r="BF448" s="4" t="str">
        <f t="shared" si="181"/>
        <v/>
      </c>
      <c r="BG448" s="264" t="str">
        <f t="shared" si="180"/>
        <v/>
      </c>
      <c r="BH448" s="71" t="str">
        <f>IF(F448&lt;&gt;"",VLOOKUP(F448,DUTY_2025!A:O,15,FALSE),"")</f>
        <v/>
      </c>
    </row>
    <row r="449" spans="1:60" x14ac:dyDescent="0.25">
      <c r="A449" s="133">
        <f t="shared" si="156"/>
        <v>66</v>
      </c>
      <c r="B449" s="83" t="str">
        <f t="shared" si="157"/>
        <v/>
      </c>
      <c r="C449" s="126"/>
      <c r="D449" s="130"/>
      <c r="E449" s="22"/>
      <c r="F449" s="85"/>
      <c r="G449" s="27" t="str">
        <f>IF(F449&lt;&gt;"",IFERROR(VLOOKUP(F449,DUTY_2025!A:I,6,FALSE),""),"")</f>
        <v/>
      </c>
      <c r="H449" s="85" t="s">
        <v>133</v>
      </c>
      <c r="I449" s="27" t="str">
        <f>IF(F449&lt;&gt;"",IFERROR(VLOOKUP(F449,DUTY_2025!A:H,2,FALSE),""),"")</f>
        <v/>
      </c>
      <c r="J449" s="98"/>
      <c r="K449" s="98"/>
      <c r="L449" s="22"/>
      <c r="M449" s="22"/>
      <c r="N449" s="84"/>
      <c r="O449" s="22"/>
      <c r="P449" s="116"/>
      <c r="Q449" s="23"/>
      <c r="R449" s="27"/>
      <c r="S449" s="86" t="str">
        <f t="shared" si="158"/>
        <v/>
      </c>
      <c r="T449" s="87" t="str">
        <f t="shared" si="159"/>
        <v/>
      </c>
      <c r="U449" s="87" t="str" cm="1">
        <f t="array" ref="U449">IF(AND(H449&lt;&gt;"YES",P449&lt;&gt;"",R449&lt;&gt;"",Q449&lt;&gt;""),
_xlfn.SWITCH(Q449,
"INR",_xlfn.SWITCH(R449,"KG",P449*S449,"CTN",P449,"UNIT",P449*N449,"NET",P449/M449,0),
"USD",_xlfn.SWITCH(R449,"KG",P449*S449*SI!$C$10,"CTN",P449*SI!$C$10,"UNIT",P449*N449*SI!$C$10,"NET",P449*SI!$C$10/M449,0),
"LKR",_xlfn.SWITCH(R449,"KG",P449*S449/SI!$C$9,"CTN",P449/SI!$C$9,"UNIT",P449*N449/SI!$C$9,"NET",P449/(M449*SI!$C$9),0),
0),
"")</f>
        <v/>
      </c>
      <c r="V449" s="87" t="str">
        <f t="shared" si="160"/>
        <v/>
      </c>
      <c r="W449" s="87" t="str">
        <f t="shared" si="161"/>
        <v/>
      </c>
      <c r="X449" s="88" t="str">
        <f t="shared" si="162"/>
        <v/>
      </c>
      <c r="Y449" s="24" t="str">
        <f t="shared" si="163"/>
        <v/>
      </c>
      <c r="Z449" s="267" t="str">
        <f>IF(AND(H449&lt;&gt;"yes",F449&lt;&gt;""),IFERROR(VLOOKUP(F449,DUTY_2025!A:F,5,FALSE),""),"")</f>
        <v/>
      </c>
      <c r="AA449" s="271" t="str">
        <f t="shared" si="164"/>
        <v/>
      </c>
      <c r="AB449" s="16" t="str">
        <f t="shared" si="165"/>
        <v/>
      </c>
      <c r="AC449" s="16" t="str">
        <f>IF(AA449&lt;&gt;"",ROUND(AA449*SI!$C$9,0),"")</f>
        <v/>
      </c>
      <c r="AD449" s="4" t="str">
        <f>IF(AC449&lt;&gt;"",ROUND(AC449/(SI!$C$9*SI!$C$10),2),"")</f>
        <v/>
      </c>
      <c r="AE449" s="30" t="str">
        <f>IF(AND(X449&lt;&gt;""), ROUND((SI!$E$23)*(X449/SUM($X$5:$X$493)),0),"")</f>
        <v/>
      </c>
      <c r="AF449" s="272" t="str">
        <f t="shared" si="166"/>
        <v/>
      </c>
      <c r="AG449" s="28" t="str">
        <f t="shared" si="167"/>
        <v/>
      </c>
      <c r="AH449" s="4" t="str">
        <f>IF(AD449&lt;&gt;"",ROUND(AD449*10*SI!$C$9/2,0),"")</f>
        <v/>
      </c>
      <c r="AI449" s="29" t="str">
        <f>IF(AND(X449&lt;&gt;""), ROUND((SI!$E$28)*(X449/SUM($X$5:$X$493)),0),"")</f>
        <v/>
      </c>
      <c r="AJ449" s="4" t="str">
        <f t="shared" si="168"/>
        <v/>
      </c>
      <c r="AK449" s="4" t="str">
        <f t="shared" si="169"/>
        <v/>
      </c>
      <c r="AL449" s="4" t="str">
        <f t="shared" si="170"/>
        <v/>
      </c>
      <c r="AM449" s="4" t="str">
        <f t="shared" si="171"/>
        <v/>
      </c>
      <c r="AN449" s="195" t="str">
        <f t="shared" si="172"/>
        <v/>
      </c>
      <c r="AO449" s="261" t="str">
        <f>IF(AND(AM449&lt;&gt;"",P449&lt;&gt;""),ROUND((AM449*((100+SI!$C$11)/100)),0),"")</f>
        <v/>
      </c>
      <c r="AP449" s="28" t="str">
        <f>IF(AG449&lt;&gt;"",ROUND(AG449/SI!$C$9,2),"")</f>
        <v/>
      </c>
      <c r="AQ449" s="4" t="str">
        <f>IF(AH449&lt;&gt;"",ROUND(AH449/SI!$C$9,2),"")</f>
        <v/>
      </c>
      <c r="AR449" s="29" t="str">
        <f>IF(AI449&lt;&gt;"",ROUND(AI449/SI!$C$9,2),"")</f>
        <v/>
      </c>
      <c r="AS449" s="4" t="str">
        <f t="shared" si="173"/>
        <v/>
      </c>
      <c r="AT449" s="4" t="str">
        <f t="shared" si="174"/>
        <v/>
      </c>
      <c r="AU449" s="4" t="str">
        <f>IF(AL449&lt;&gt;"",ROUND(AL449/SI!$C$9,2),"")</f>
        <v/>
      </c>
      <c r="AV449" s="4" t="str">
        <f>IF(AM449&lt;&gt;"",ROUND(AM449/SI!$C$9,2),"")</f>
        <v/>
      </c>
      <c r="AW449" s="4" t="str">
        <f>IF(AN449&lt;&gt;"",ROUND(AN449/SI!$C$9,2),"")</f>
        <v/>
      </c>
      <c r="AX449" s="261" t="str">
        <f>IF(AO449&lt;&gt;"",ROUND(AO449/SI!$C$9,2),"")</f>
        <v/>
      </c>
      <c r="AY449" s="28" t="str">
        <f t="shared" si="175"/>
        <v/>
      </c>
      <c r="AZ449" s="4" t="str">
        <f>IF(AY449&lt;&gt;"",ROUND(AY449/(SI!$C$9*SI!$C$10),2),"")</f>
        <v/>
      </c>
      <c r="BA449" s="4" t="str">
        <f t="shared" si="176"/>
        <v/>
      </c>
      <c r="BB449" s="4" t="str">
        <f t="shared" si="177"/>
        <v/>
      </c>
      <c r="BC449" s="4" t="str">
        <f t="shared" si="178"/>
        <v/>
      </c>
      <c r="BD449" s="4" t="str">
        <f t="shared" si="179"/>
        <v/>
      </c>
      <c r="BE449" s="4" t="str">
        <f>IF(AND(X449&lt;&gt;""),ROUND(X449/SI!$C$10,2),"")</f>
        <v/>
      </c>
      <c r="BF449" s="4" t="str">
        <f t="shared" si="181"/>
        <v/>
      </c>
      <c r="BG449" s="264" t="str">
        <f t="shared" si="180"/>
        <v/>
      </c>
      <c r="BH449" s="71" t="str">
        <f>IF(F449&lt;&gt;"",VLOOKUP(F449,DUTY_2025!A:O,15,FALSE),"")</f>
        <v/>
      </c>
    </row>
    <row r="450" spans="1:60" x14ac:dyDescent="0.25">
      <c r="A450" s="133">
        <f t="shared" si="156"/>
        <v>66</v>
      </c>
      <c r="B450" s="83" t="str">
        <f t="shared" si="157"/>
        <v/>
      </c>
      <c r="C450" s="126"/>
      <c r="D450" s="130"/>
      <c r="E450" s="22"/>
      <c r="F450" s="85"/>
      <c r="G450" s="27" t="str">
        <f>IF(F450&lt;&gt;"",IFERROR(VLOOKUP(F450,DUTY_2025!A:I,6,FALSE),""),"")</f>
        <v/>
      </c>
      <c r="H450" s="85" t="s">
        <v>133</v>
      </c>
      <c r="I450" s="27" t="str">
        <f>IF(F450&lt;&gt;"",IFERROR(VLOOKUP(F450,DUTY_2025!A:H,2,FALSE),""),"")</f>
        <v/>
      </c>
      <c r="J450" s="98"/>
      <c r="K450" s="98"/>
      <c r="L450" s="22"/>
      <c r="M450" s="22"/>
      <c r="N450" s="84"/>
      <c r="O450" s="22"/>
      <c r="P450" s="116"/>
      <c r="Q450" s="23"/>
      <c r="R450" s="27"/>
      <c r="S450" s="86" t="str">
        <f t="shared" si="158"/>
        <v/>
      </c>
      <c r="T450" s="87" t="str">
        <f t="shared" si="159"/>
        <v/>
      </c>
      <c r="U450" s="87" t="str" cm="1">
        <f t="array" ref="U450">IF(AND(H450&lt;&gt;"YES",P450&lt;&gt;"",R450&lt;&gt;"",Q450&lt;&gt;""),
_xlfn.SWITCH(Q450,
"INR",_xlfn.SWITCH(R450,"KG",P450*S450,"CTN",P450,"UNIT",P450*N450,"NET",P450/M450,0),
"USD",_xlfn.SWITCH(R450,"KG",P450*S450*SI!$C$10,"CTN",P450*SI!$C$10,"UNIT",P450*N450*SI!$C$10,"NET",P450*SI!$C$10/M450,0),
"LKR",_xlfn.SWITCH(R450,"KG",P450*S450/SI!$C$9,"CTN",P450/SI!$C$9,"UNIT",P450*N450/SI!$C$9,"NET",P450/(M450*SI!$C$9),0),
0),
"")</f>
        <v/>
      </c>
      <c r="V450" s="87" t="str">
        <f t="shared" si="160"/>
        <v/>
      </c>
      <c r="W450" s="87" t="str">
        <f t="shared" si="161"/>
        <v/>
      </c>
      <c r="X450" s="88" t="str">
        <f t="shared" si="162"/>
        <v/>
      </c>
      <c r="Y450" s="24" t="str">
        <f t="shared" si="163"/>
        <v/>
      </c>
      <c r="Z450" s="267" t="str">
        <f>IF(AND(H450&lt;&gt;"yes",F450&lt;&gt;""),IFERROR(VLOOKUP(F450,DUTY_2025!A:F,5,FALSE),""),"")</f>
        <v/>
      </c>
      <c r="AA450" s="271" t="str">
        <f t="shared" si="164"/>
        <v/>
      </c>
      <c r="AB450" s="16" t="str">
        <f t="shared" si="165"/>
        <v/>
      </c>
      <c r="AC450" s="16" t="str">
        <f>IF(AA450&lt;&gt;"",ROUND(AA450*SI!$C$9,0),"")</f>
        <v/>
      </c>
      <c r="AD450" s="4" t="str">
        <f>IF(AC450&lt;&gt;"",ROUND(AC450/(SI!$C$9*SI!$C$10),2),"")</f>
        <v/>
      </c>
      <c r="AE450" s="30" t="str">
        <f>IF(AND(X450&lt;&gt;""), ROUND((SI!$E$23)*(X450/SUM($X$5:$X$493)),0),"")</f>
        <v/>
      </c>
      <c r="AF450" s="272" t="str">
        <f t="shared" si="166"/>
        <v/>
      </c>
      <c r="AG450" s="28" t="str">
        <f t="shared" si="167"/>
        <v/>
      </c>
      <c r="AH450" s="4" t="str">
        <f>IF(AD450&lt;&gt;"",ROUND(AD450*10*SI!$C$9/2,0),"")</f>
        <v/>
      </c>
      <c r="AI450" s="29" t="str">
        <f>IF(AND(X450&lt;&gt;""), ROUND((SI!$E$28)*(X450/SUM($X$5:$X$493)),0),"")</f>
        <v/>
      </c>
      <c r="AJ450" s="4" t="str">
        <f t="shared" si="168"/>
        <v/>
      </c>
      <c r="AK450" s="4" t="str">
        <f t="shared" si="169"/>
        <v/>
      </c>
      <c r="AL450" s="4" t="str">
        <f t="shared" si="170"/>
        <v/>
      </c>
      <c r="AM450" s="4" t="str">
        <f t="shared" si="171"/>
        <v/>
      </c>
      <c r="AN450" s="195" t="str">
        <f t="shared" si="172"/>
        <v/>
      </c>
      <c r="AO450" s="261" t="str">
        <f>IF(AND(AM450&lt;&gt;"",P450&lt;&gt;""),ROUND((AM450*((100+SI!$C$11)/100)),0),"")</f>
        <v/>
      </c>
      <c r="AP450" s="28" t="str">
        <f>IF(AG450&lt;&gt;"",ROUND(AG450/SI!$C$9,2),"")</f>
        <v/>
      </c>
      <c r="AQ450" s="4" t="str">
        <f>IF(AH450&lt;&gt;"",ROUND(AH450/SI!$C$9,2),"")</f>
        <v/>
      </c>
      <c r="AR450" s="29" t="str">
        <f>IF(AI450&lt;&gt;"",ROUND(AI450/SI!$C$9,2),"")</f>
        <v/>
      </c>
      <c r="AS450" s="4" t="str">
        <f t="shared" si="173"/>
        <v/>
      </c>
      <c r="AT450" s="4" t="str">
        <f t="shared" si="174"/>
        <v/>
      </c>
      <c r="AU450" s="4" t="str">
        <f>IF(AL450&lt;&gt;"",ROUND(AL450/SI!$C$9,2),"")</f>
        <v/>
      </c>
      <c r="AV450" s="4" t="str">
        <f>IF(AM450&lt;&gt;"",ROUND(AM450/SI!$C$9,2),"")</f>
        <v/>
      </c>
      <c r="AW450" s="4" t="str">
        <f>IF(AN450&lt;&gt;"",ROUND(AN450/SI!$C$9,2),"")</f>
        <v/>
      </c>
      <c r="AX450" s="261" t="str">
        <f>IF(AO450&lt;&gt;"",ROUND(AO450/SI!$C$9,2),"")</f>
        <v/>
      </c>
      <c r="AY450" s="28" t="str">
        <f t="shared" si="175"/>
        <v/>
      </c>
      <c r="AZ450" s="4" t="str">
        <f>IF(AY450&lt;&gt;"",ROUND(AY450/(SI!$C$9*SI!$C$10),2),"")</f>
        <v/>
      </c>
      <c r="BA450" s="4" t="str">
        <f t="shared" si="176"/>
        <v/>
      </c>
      <c r="BB450" s="4" t="str">
        <f t="shared" si="177"/>
        <v/>
      </c>
      <c r="BC450" s="4" t="str">
        <f t="shared" si="178"/>
        <v/>
      </c>
      <c r="BD450" s="4" t="str">
        <f t="shared" si="179"/>
        <v/>
      </c>
      <c r="BE450" s="4" t="str">
        <f>IF(AND(X450&lt;&gt;""),ROUND(X450/SI!$C$10,2),"")</f>
        <v/>
      </c>
      <c r="BF450" s="4" t="str">
        <f t="shared" si="181"/>
        <v/>
      </c>
      <c r="BG450" s="264" t="str">
        <f t="shared" si="180"/>
        <v/>
      </c>
      <c r="BH450" s="71" t="str">
        <f>IF(F450&lt;&gt;"",VLOOKUP(F450,DUTY_2025!A:O,15,FALSE),"")</f>
        <v/>
      </c>
    </row>
    <row r="451" spans="1:60" x14ac:dyDescent="0.25">
      <c r="A451" s="133">
        <f t="shared" si="156"/>
        <v>66</v>
      </c>
      <c r="B451" s="83" t="str">
        <f t="shared" si="157"/>
        <v/>
      </c>
      <c r="C451" s="126"/>
      <c r="D451" s="130"/>
      <c r="E451" s="22"/>
      <c r="F451" s="85"/>
      <c r="G451" s="27" t="str">
        <f>IF(F451&lt;&gt;"",IFERROR(VLOOKUP(F451,DUTY_2025!A:I,6,FALSE),""),"")</f>
        <v/>
      </c>
      <c r="H451" s="85" t="s">
        <v>133</v>
      </c>
      <c r="I451" s="27" t="str">
        <f>IF(F451&lt;&gt;"",IFERROR(VLOOKUP(F451,DUTY_2025!A:H,2,FALSE),""),"")</f>
        <v/>
      </c>
      <c r="J451" s="98"/>
      <c r="K451" s="98"/>
      <c r="L451" s="22"/>
      <c r="M451" s="22"/>
      <c r="N451" s="84"/>
      <c r="O451" s="22"/>
      <c r="P451" s="116"/>
      <c r="Q451" s="23"/>
      <c r="R451" s="27"/>
      <c r="S451" s="86" t="str">
        <f t="shared" si="158"/>
        <v/>
      </c>
      <c r="T451" s="87" t="str">
        <f t="shared" si="159"/>
        <v/>
      </c>
      <c r="U451" s="87" t="str" cm="1">
        <f t="array" ref="U451">IF(AND(H451&lt;&gt;"YES",P451&lt;&gt;"",R451&lt;&gt;"",Q451&lt;&gt;""),
_xlfn.SWITCH(Q451,
"INR",_xlfn.SWITCH(R451,"KG",P451*S451,"CTN",P451,"UNIT",P451*N451,"NET",P451/M451,0),
"USD",_xlfn.SWITCH(R451,"KG",P451*S451*SI!$C$10,"CTN",P451*SI!$C$10,"UNIT",P451*N451*SI!$C$10,"NET",P451*SI!$C$10/M451,0),
"LKR",_xlfn.SWITCH(R451,"KG",P451*S451/SI!$C$9,"CTN",P451/SI!$C$9,"UNIT",P451*N451/SI!$C$9,"NET",P451/(M451*SI!$C$9),0),
0),
"")</f>
        <v/>
      </c>
      <c r="V451" s="87" t="str">
        <f t="shared" si="160"/>
        <v/>
      </c>
      <c r="W451" s="87" t="str">
        <f t="shared" si="161"/>
        <v/>
      </c>
      <c r="X451" s="88" t="str">
        <f t="shared" si="162"/>
        <v/>
      </c>
      <c r="Y451" s="24" t="str">
        <f t="shared" si="163"/>
        <v/>
      </c>
      <c r="Z451" s="267" t="str">
        <f>IF(AND(H451&lt;&gt;"yes",F451&lt;&gt;""),IFERROR(VLOOKUP(F451,DUTY_2025!A:F,5,FALSE),""),"")</f>
        <v/>
      </c>
      <c r="AA451" s="271" t="str">
        <f t="shared" si="164"/>
        <v/>
      </c>
      <c r="AB451" s="16" t="str">
        <f t="shared" si="165"/>
        <v/>
      </c>
      <c r="AC451" s="16" t="str">
        <f>IF(AA451&lt;&gt;"",ROUND(AA451*SI!$C$9,0),"")</f>
        <v/>
      </c>
      <c r="AD451" s="4" t="str">
        <f>IF(AC451&lt;&gt;"",ROUND(AC451/(SI!$C$9*SI!$C$10),2),"")</f>
        <v/>
      </c>
      <c r="AE451" s="30" t="str">
        <f>IF(AND(X451&lt;&gt;""), ROUND((SI!$E$23)*(X451/SUM($X$5:$X$493)),0),"")</f>
        <v/>
      </c>
      <c r="AF451" s="272" t="str">
        <f t="shared" si="166"/>
        <v/>
      </c>
      <c r="AG451" s="28" t="str">
        <f t="shared" si="167"/>
        <v/>
      </c>
      <c r="AH451" s="4" t="str">
        <f>IF(AD451&lt;&gt;"",ROUND(AD451*10*SI!$C$9/2,0),"")</f>
        <v/>
      </c>
      <c r="AI451" s="29" t="str">
        <f>IF(AND(X451&lt;&gt;""), ROUND((SI!$E$28)*(X451/SUM($X$5:$X$493)),0),"")</f>
        <v/>
      </c>
      <c r="AJ451" s="4" t="str">
        <f t="shared" si="168"/>
        <v/>
      </c>
      <c r="AK451" s="4" t="str">
        <f t="shared" si="169"/>
        <v/>
      </c>
      <c r="AL451" s="4" t="str">
        <f t="shared" si="170"/>
        <v/>
      </c>
      <c r="AM451" s="4" t="str">
        <f t="shared" si="171"/>
        <v/>
      </c>
      <c r="AN451" s="195" t="str">
        <f t="shared" si="172"/>
        <v/>
      </c>
      <c r="AO451" s="261" t="str">
        <f>IF(AND(AM451&lt;&gt;"",P451&lt;&gt;""),ROUND((AM451*((100+SI!$C$11)/100)),0),"")</f>
        <v/>
      </c>
      <c r="AP451" s="28" t="str">
        <f>IF(AG451&lt;&gt;"",ROUND(AG451/SI!$C$9,2),"")</f>
        <v/>
      </c>
      <c r="AQ451" s="4" t="str">
        <f>IF(AH451&lt;&gt;"",ROUND(AH451/SI!$C$9,2),"")</f>
        <v/>
      </c>
      <c r="AR451" s="29" t="str">
        <f>IF(AI451&lt;&gt;"",ROUND(AI451/SI!$C$9,2),"")</f>
        <v/>
      </c>
      <c r="AS451" s="4" t="str">
        <f t="shared" si="173"/>
        <v/>
      </c>
      <c r="AT451" s="4" t="str">
        <f t="shared" si="174"/>
        <v/>
      </c>
      <c r="AU451" s="4" t="str">
        <f>IF(AL451&lt;&gt;"",ROUND(AL451/SI!$C$9,2),"")</f>
        <v/>
      </c>
      <c r="AV451" s="4" t="str">
        <f>IF(AM451&lt;&gt;"",ROUND(AM451/SI!$C$9,2),"")</f>
        <v/>
      </c>
      <c r="AW451" s="4" t="str">
        <f>IF(AN451&lt;&gt;"",ROUND(AN451/SI!$C$9,2),"")</f>
        <v/>
      </c>
      <c r="AX451" s="261" t="str">
        <f>IF(AO451&lt;&gt;"",ROUND(AO451/SI!$C$9,2),"")</f>
        <v/>
      </c>
      <c r="AY451" s="28" t="str">
        <f t="shared" si="175"/>
        <v/>
      </c>
      <c r="AZ451" s="4" t="str">
        <f>IF(AY451&lt;&gt;"",ROUND(AY451/(SI!$C$9*SI!$C$10),2),"")</f>
        <v/>
      </c>
      <c r="BA451" s="4" t="str">
        <f t="shared" si="176"/>
        <v/>
      </c>
      <c r="BB451" s="4" t="str">
        <f t="shared" si="177"/>
        <v/>
      </c>
      <c r="BC451" s="4" t="str">
        <f t="shared" si="178"/>
        <v/>
      </c>
      <c r="BD451" s="4" t="str">
        <f t="shared" si="179"/>
        <v/>
      </c>
      <c r="BE451" s="4" t="str">
        <f>IF(AND(X451&lt;&gt;""),ROUND(X451/SI!$C$10,2),"")</f>
        <v/>
      </c>
      <c r="BF451" s="4" t="str">
        <f t="shared" si="181"/>
        <v/>
      </c>
      <c r="BG451" s="264" t="str">
        <f t="shared" si="180"/>
        <v/>
      </c>
      <c r="BH451" s="71" t="str">
        <f>IF(F451&lt;&gt;"",VLOOKUP(F451,DUTY_2025!A:O,15,FALSE),"")</f>
        <v/>
      </c>
    </row>
    <row r="452" spans="1:60" x14ac:dyDescent="0.25">
      <c r="A452" s="133">
        <f t="shared" si="156"/>
        <v>66</v>
      </c>
      <c r="B452" s="83" t="str">
        <f t="shared" si="157"/>
        <v/>
      </c>
      <c r="C452" s="126"/>
      <c r="D452" s="130"/>
      <c r="E452" s="22"/>
      <c r="F452" s="85"/>
      <c r="G452" s="27" t="str">
        <f>IF(F452&lt;&gt;"",IFERROR(VLOOKUP(F452,DUTY_2025!A:I,6,FALSE),""),"")</f>
        <v/>
      </c>
      <c r="H452" s="85" t="s">
        <v>133</v>
      </c>
      <c r="I452" s="27" t="str">
        <f>IF(F452&lt;&gt;"",IFERROR(VLOOKUP(F452,DUTY_2025!A:H,2,FALSE),""),"")</f>
        <v/>
      </c>
      <c r="J452" s="98"/>
      <c r="K452" s="98"/>
      <c r="L452" s="22"/>
      <c r="M452" s="22"/>
      <c r="N452" s="84"/>
      <c r="O452" s="22"/>
      <c r="P452" s="116"/>
      <c r="Q452" s="23"/>
      <c r="R452" s="27"/>
      <c r="S452" s="86" t="str">
        <f t="shared" si="158"/>
        <v/>
      </c>
      <c r="T452" s="87" t="str">
        <f t="shared" si="159"/>
        <v/>
      </c>
      <c r="U452" s="87" t="str" cm="1">
        <f t="array" ref="U452">IF(AND(H452&lt;&gt;"YES",P452&lt;&gt;"",R452&lt;&gt;"",Q452&lt;&gt;""),
_xlfn.SWITCH(Q452,
"INR",_xlfn.SWITCH(R452,"KG",P452*S452,"CTN",P452,"UNIT",P452*N452,"NET",P452/M452,0),
"USD",_xlfn.SWITCH(R452,"KG",P452*S452*SI!$C$10,"CTN",P452*SI!$C$10,"UNIT",P452*N452*SI!$C$10,"NET",P452*SI!$C$10/M452,0),
"LKR",_xlfn.SWITCH(R452,"KG",P452*S452/SI!$C$9,"CTN",P452/SI!$C$9,"UNIT",P452*N452/SI!$C$9,"NET",P452/(M452*SI!$C$9),0),
0),
"")</f>
        <v/>
      </c>
      <c r="V452" s="87" t="str">
        <f t="shared" si="160"/>
        <v/>
      </c>
      <c r="W452" s="87" t="str">
        <f t="shared" si="161"/>
        <v/>
      </c>
      <c r="X452" s="88" t="str">
        <f t="shared" si="162"/>
        <v/>
      </c>
      <c r="Y452" s="24" t="str">
        <f t="shared" si="163"/>
        <v/>
      </c>
      <c r="Z452" s="267" t="str">
        <f>IF(AND(H452&lt;&gt;"yes",F452&lt;&gt;""),IFERROR(VLOOKUP(F452,DUTY_2025!A:F,5,FALSE),""),"")</f>
        <v/>
      </c>
      <c r="AA452" s="271" t="str">
        <f t="shared" si="164"/>
        <v/>
      </c>
      <c r="AB452" s="16" t="str">
        <f t="shared" si="165"/>
        <v/>
      </c>
      <c r="AC452" s="16" t="str">
        <f>IF(AA452&lt;&gt;"",ROUND(AA452*SI!$C$9,0),"")</f>
        <v/>
      </c>
      <c r="AD452" s="4" t="str">
        <f>IF(AC452&lt;&gt;"",ROUND(AC452/(SI!$C$9*SI!$C$10),2),"")</f>
        <v/>
      </c>
      <c r="AE452" s="30" t="str">
        <f>IF(AND(X452&lt;&gt;""), ROUND((SI!$E$23)*(X452/SUM($X$5:$X$493)),0),"")</f>
        <v/>
      </c>
      <c r="AF452" s="272" t="str">
        <f t="shared" si="166"/>
        <v/>
      </c>
      <c r="AG452" s="28" t="str">
        <f t="shared" si="167"/>
        <v/>
      </c>
      <c r="AH452" s="4" t="str">
        <f>IF(AD452&lt;&gt;"",ROUND(AD452*10*SI!$C$9/2,0),"")</f>
        <v/>
      </c>
      <c r="AI452" s="29" t="str">
        <f>IF(AND(X452&lt;&gt;""), ROUND((SI!$E$28)*(X452/SUM($X$5:$X$493)),0),"")</f>
        <v/>
      </c>
      <c r="AJ452" s="4" t="str">
        <f t="shared" si="168"/>
        <v/>
      </c>
      <c r="AK452" s="4" t="str">
        <f t="shared" si="169"/>
        <v/>
      </c>
      <c r="AL452" s="4" t="str">
        <f t="shared" si="170"/>
        <v/>
      </c>
      <c r="AM452" s="4" t="str">
        <f t="shared" si="171"/>
        <v/>
      </c>
      <c r="AN452" s="195" t="str">
        <f t="shared" si="172"/>
        <v/>
      </c>
      <c r="AO452" s="261" t="str">
        <f>IF(AND(AM452&lt;&gt;"",P452&lt;&gt;""),ROUND((AM452*((100+SI!$C$11)/100)),0),"")</f>
        <v/>
      </c>
      <c r="AP452" s="28" t="str">
        <f>IF(AG452&lt;&gt;"",ROUND(AG452/SI!$C$9,2),"")</f>
        <v/>
      </c>
      <c r="AQ452" s="4" t="str">
        <f>IF(AH452&lt;&gt;"",ROUND(AH452/SI!$C$9,2),"")</f>
        <v/>
      </c>
      <c r="AR452" s="29" t="str">
        <f>IF(AI452&lt;&gt;"",ROUND(AI452/SI!$C$9,2),"")</f>
        <v/>
      </c>
      <c r="AS452" s="4" t="str">
        <f t="shared" si="173"/>
        <v/>
      </c>
      <c r="AT452" s="4" t="str">
        <f t="shared" si="174"/>
        <v/>
      </c>
      <c r="AU452" s="4" t="str">
        <f>IF(AL452&lt;&gt;"",ROUND(AL452/SI!$C$9,2),"")</f>
        <v/>
      </c>
      <c r="AV452" s="4" t="str">
        <f>IF(AM452&lt;&gt;"",ROUND(AM452/SI!$C$9,2),"")</f>
        <v/>
      </c>
      <c r="AW452" s="4" t="str">
        <f>IF(AN452&lt;&gt;"",ROUND(AN452/SI!$C$9,2),"")</f>
        <v/>
      </c>
      <c r="AX452" s="261" t="str">
        <f>IF(AO452&lt;&gt;"",ROUND(AO452/SI!$C$9,2),"")</f>
        <v/>
      </c>
      <c r="AY452" s="28" t="str">
        <f t="shared" si="175"/>
        <v/>
      </c>
      <c r="AZ452" s="4" t="str">
        <f>IF(AY452&lt;&gt;"",ROUND(AY452/(SI!$C$9*SI!$C$10),2),"")</f>
        <v/>
      </c>
      <c r="BA452" s="4" t="str">
        <f t="shared" si="176"/>
        <v/>
      </c>
      <c r="BB452" s="4" t="str">
        <f t="shared" si="177"/>
        <v/>
      </c>
      <c r="BC452" s="4" t="str">
        <f t="shared" si="178"/>
        <v/>
      </c>
      <c r="BD452" s="4" t="str">
        <f t="shared" si="179"/>
        <v/>
      </c>
      <c r="BE452" s="4" t="str">
        <f>IF(AND(X452&lt;&gt;""),ROUND(X452/SI!$C$10,2),"")</f>
        <v/>
      </c>
      <c r="BF452" s="4" t="str">
        <f t="shared" si="181"/>
        <v/>
      </c>
      <c r="BG452" s="264" t="str">
        <f t="shared" si="180"/>
        <v/>
      </c>
      <c r="BH452" s="71" t="str">
        <f>IF(F452&lt;&gt;"",VLOOKUP(F452,DUTY_2025!A:O,15,FALSE),"")</f>
        <v/>
      </c>
    </row>
    <row r="453" spans="1:60" x14ac:dyDescent="0.25">
      <c r="A453" s="133">
        <f t="shared" si="156"/>
        <v>66</v>
      </c>
      <c r="B453" s="83" t="str">
        <f t="shared" si="157"/>
        <v/>
      </c>
      <c r="C453" s="126"/>
      <c r="D453" s="130"/>
      <c r="E453" s="22"/>
      <c r="F453" s="85"/>
      <c r="G453" s="27" t="str">
        <f>IF(F453&lt;&gt;"",IFERROR(VLOOKUP(F453,DUTY_2025!A:I,6,FALSE),""),"")</f>
        <v/>
      </c>
      <c r="H453" s="85" t="s">
        <v>133</v>
      </c>
      <c r="I453" s="27" t="str">
        <f>IF(F453&lt;&gt;"",IFERROR(VLOOKUP(F453,DUTY_2025!A:H,2,FALSE),""),"")</f>
        <v/>
      </c>
      <c r="J453" s="98"/>
      <c r="K453" s="98"/>
      <c r="L453" s="22"/>
      <c r="M453" s="22"/>
      <c r="N453" s="84"/>
      <c r="O453" s="22"/>
      <c r="P453" s="116"/>
      <c r="Q453" s="23"/>
      <c r="R453" s="27"/>
      <c r="S453" s="86" t="str">
        <f t="shared" si="158"/>
        <v/>
      </c>
      <c r="T453" s="87" t="str">
        <f t="shared" si="159"/>
        <v/>
      </c>
      <c r="U453" s="87" t="str" cm="1">
        <f t="array" ref="U453">IF(AND(H453&lt;&gt;"YES",P453&lt;&gt;"",R453&lt;&gt;"",Q453&lt;&gt;""),
_xlfn.SWITCH(Q453,
"INR",_xlfn.SWITCH(R453,"KG",P453*S453,"CTN",P453,"UNIT",P453*N453,"NET",P453/M453,0),
"USD",_xlfn.SWITCH(R453,"KG",P453*S453*SI!$C$10,"CTN",P453*SI!$C$10,"UNIT",P453*N453*SI!$C$10,"NET",P453*SI!$C$10/M453,0),
"LKR",_xlfn.SWITCH(R453,"KG",P453*S453/SI!$C$9,"CTN",P453/SI!$C$9,"UNIT",P453*N453/SI!$C$9,"NET",P453/(M453*SI!$C$9),0),
0),
"")</f>
        <v/>
      </c>
      <c r="V453" s="87" t="str">
        <f t="shared" si="160"/>
        <v/>
      </c>
      <c r="W453" s="87" t="str">
        <f t="shared" si="161"/>
        <v/>
      </c>
      <c r="X453" s="88" t="str">
        <f t="shared" si="162"/>
        <v/>
      </c>
      <c r="Y453" s="24" t="str">
        <f t="shared" si="163"/>
        <v/>
      </c>
      <c r="Z453" s="267" t="str">
        <f>IF(AND(H453&lt;&gt;"yes",F453&lt;&gt;""),IFERROR(VLOOKUP(F453,DUTY_2025!A:F,5,FALSE),""),"")</f>
        <v/>
      </c>
      <c r="AA453" s="271" t="str">
        <f t="shared" si="164"/>
        <v/>
      </c>
      <c r="AB453" s="16" t="str">
        <f t="shared" si="165"/>
        <v/>
      </c>
      <c r="AC453" s="16" t="str">
        <f>IF(AA453&lt;&gt;"",ROUND(AA453*SI!$C$9,0),"")</f>
        <v/>
      </c>
      <c r="AD453" s="4" t="str">
        <f>IF(AC453&lt;&gt;"",ROUND(AC453/(SI!$C$9*SI!$C$10),2),"")</f>
        <v/>
      </c>
      <c r="AE453" s="30" t="str">
        <f>IF(AND(X453&lt;&gt;""), ROUND((SI!$E$23)*(X453/SUM($X$5:$X$493)),0),"")</f>
        <v/>
      </c>
      <c r="AF453" s="272" t="str">
        <f t="shared" si="166"/>
        <v/>
      </c>
      <c r="AG453" s="28" t="str">
        <f t="shared" si="167"/>
        <v/>
      </c>
      <c r="AH453" s="4" t="str">
        <f>IF(AD453&lt;&gt;"",ROUND(AD453*10*SI!$C$9/2,0),"")</f>
        <v/>
      </c>
      <c r="AI453" s="29" t="str">
        <f>IF(AND(X453&lt;&gt;""), ROUND((SI!$E$28)*(X453/SUM($X$5:$X$493)),0),"")</f>
        <v/>
      </c>
      <c r="AJ453" s="4" t="str">
        <f t="shared" si="168"/>
        <v/>
      </c>
      <c r="AK453" s="4" t="str">
        <f t="shared" si="169"/>
        <v/>
      </c>
      <c r="AL453" s="4" t="str">
        <f t="shared" si="170"/>
        <v/>
      </c>
      <c r="AM453" s="4" t="str">
        <f t="shared" si="171"/>
        <v/>
      </c>
      <c r="AN453" s="195" t="str">
        <f t="shared" si="172"/>
        <v/>
      </c>
      <c r="AO453" s="261" t="str">
        <f>IF(AND(AM453&lt;&gt;"",P453&lt;&gt;""),ROUND((AM453*((100+SI!$C$11)/100)),0),"")</f>
        <v/>
      </c>
      <c r="AP453" s="28" t="str">
        <f>IF(AG453&lt;&gt;"",ROUND(AG453/SI!$C$9,2),"")</f>
        <v/>
      </c>
      <c r="AQ453" s="4" t="str">
        <f>IF(AH453&lt;&gt;"",ROUND(AH453/SI!$C$9,2),"")</f>
        <v/>
      </c>
      <c r="AR453" s="29" t="str">
        <f>IF(AI453&lt;&gt;"",ROUND(AI453/SI!$C$9,2),"")</f>
        <v/>
      </c>
      <c r="AS453" s="4" t="str">
        <f t="shared" si="173"/>
        <v/>
      </c>
      <c r="AT453" s="4" t="str">
        <f t="shared" si="174"/>
        <v/>
      </c>
      <c r="AU453" s="4" t="str">
        <f>IF(AL453&lt;&gt;"",ROUND(AL453/SI!$C$9,2),"")</f>
        <v/>
      </c>
      <c r="AV453" s="4" t="str">
        <f>IF(AM453&lt;&gt;"",ROUND(AM453/SI!$C$9,2),"")</f>
        <v/>
      </c>
      <c r="AW453" s="4" t="str">
        <f>IF(AN453&lt;&gt;"",ROUND(AN453/SI!$C$9,2),"")</f>
        <v/>
      </c>
      <c r="AX453" s="261" t="str">
        <f>IF(AO453&lt;&gt;"",ROUND(AO453/SI!$C$9,2),"")</f>
        <v/>
      </c>
      <c r="AY453" s="28" t="str">
        <f t="shared" si="175"/>
        <v/>
      </c>
      <c r="AZ453" s="4" t="str">
        <f>IF(AY453&lt;&gt;"",ROUND(AY453/(SI!$C$9*SI!$C$10),2),"")</f>
        <v/>
      </c>
      <c r="BA453" s="4" t="str">
        <f t="shared" si="176"/>
        <v/>
      </c>
      <c r="BB453" s="4" t="str">
        <f t="shared" si="177"/>
        <v/>
      </c>
      <c r="BC453" s="4" t="str">
        <f t="shared" si="178"/>
        <v/>
      </c>
      <c r="BD453" s="4" t="str">
        <f t="shared" si="179"/>
        <v/>
      </c>
      <c r="BE453" s="4" t="str">
        <f>IF(AND(X453&lt;&gt;""),ROUND(X453/SI!$C$10,2),"")</f>
        <v/>
      </c>
      <c r="BF453" s="4" t="str">
        <f t="shared" si="181"/>
        <v/>
      </c>
      <c r="BG453" s="264" t="str">
        <f t="shared" si="180"/>
        <v/>
      </c>
      <c r="BH453" s="71" t="str">
        <f>IF(F453&lt;&gt;"",VLOOKUP(F453,DUTY_2025!A:O,15,FALSE),"")</f>
        <v/>
      </c>
    </row>
    <row r="454" spans="1:60" x14ac:dyDescent="0.25">
      <c r="A454" s="133">
        <f t="shared" ref="A454:A493" si="182">IF(AND(F454&lt;&gt;"",H454&lt;&gt;"YES"),IF(A453&lt;&gt;"",A453,0)+1,A453)</f>
        <v>66</v>
      </c>
      <c r="B454" s="83" t="str">
        <f t="shared" ref="B454:B493" si="183">IF(AND(F454&lt;&gt;"",H454&lt;&gt;"YES"),IF(B453&lt;&gt;"",B453,A453)+1,"")</f>
        <v/>
      </c>
      <c r="C454" s="126"/>
      <c r="D454" s="130"/>
      <c r="E454" s="22"/>
      <c r="F454" s="85"/>
      <c r="G454" s="27" t="str">
        <f>IF(F454&lt;&gt;"",IFERROR(VLOOKUP(F454,DUTY_2025!A:I,6,FALSE),""),"")</f>
        <v/>
      </c>
      <c r="H454" s="85" t="s">
        <v>133</v>
      </c>
      <c r="I454" s="27" t="str">
        <f>IF(F454&lt;&gt;"",IFERROR(VLOOKUP(F454,DUTY_2025!A:H,2,FALSE),""),"")</f>
        <v/>
      </c>
      <c r="J454" s="98"/>
      <c r="K454" s="98"/>
      <c r="L454" s="22"/>
      <c r="M454" s="22"/>
      <c r="N454" s="84"/>
      <c r="O454" s="22"/>
      <c r="P454" s="116"/>
      <c r="Q454" s="23"/>
      <c r="R454" s="27"/>
      <c r="S454" s="86" t="str">
        <f t="shared" ref="S454:S493" si="184">IF(AND(H454&lt;&gt;"YES",N454&lt;&gt;""),N454*L454/1000,"")</f>
        <v/>
      </c>
      <c r="T454" s="87" t="str">
        <f t="shared" ref="T454:T493" si="185">IF(S454&lt;&gt;"",S454*1.1,"")</f>
        <v/>
      </c>
      <c r="U454" s="87" t="str" cm="1">
        <f t="array" ref="U454">IF(AND(H454&lt;&gt;"YES",P454&lt;&gt;"",R454&lt;&gt;"",Q454&lt;&gt;""),
_xlfn.SWITCH(Q454,
"INR",_xlfn.SWITCH(R454,"KG",P454*S454,"CTN",P454,"UNIT",P454*N454,"NET",P454/M454,0),
"USD",_xlfn.SWITCH(R454,"KG",P454*S454*SI!$C$10,"CTN",P454*SI!$C$10,"UNIT",P454*N454*SI!$C$10,"NET",P454*SI!$C$10/M454,0),
"LKR",_xlfn.SWITCH(R454,"KG",P454*S454/SI!$C$9,"CTN",P454/SI!$C$9,"UNIT",P454*N454/SI!$C$9,"NET",P454/(M454*SI!$C$9),0),
0),
"")</f>
        <v/>
      </c>
      <c r="V454" s="87" t="str">
        <f t="shared" ref="V454:V493" si="186">IF(AND(S454&lt;&gt;"",M454&lt;&gt;"",N454&lt;&gt;""),S454*M454,"")</f>
        <v/>
      </c>
      <c r="W454" s="87" t="str">
        <f t="shared" ref="W454:W493" si="187">IF(V454&lt;&gt;"",V454*1.1,"")</f>
        <v/>
      </c>
      <c r="X454" s="88" t="str">
        <f t="shared" ref="X454:X493" si="188">IF(AND(U454&lt;&gt;"",M454&lt;&gt;""),U454*M454,"")</f>
        <v/>
      </c>
      <c r="Y454" s="24" t="str">
        <f t="shared" ref="Y454:Y493" si="189">IF(AND(H454&lt;&gt;"YES",M454&lt;&gt;"",N454&lt;&gt;""),IF(E454=1,(N454*M454)/2,N454*M454),"")</f>
        <v/>
      </c>
      <c r="Z454" s="267" t="str">
        <f>IF(AND(H454&lt;&gt;"yes",F454&lt;&gt;""),IFERROR(VLOOKUP(F454,DUTY_2025!A:F,5,FALSE),""),"")</f>
        <v/>
      </c>
      <c r="AA454" s="271" t="str">
        <f t="shared" ref="AA454:AA493" si="190">IF(B454&lt;&gt;"",IF(AND(X454&lt;&gt;"", O454&lt;&gt;""),IF(ROUND(X454*100/(100+O454),0)=0,"",ROUND(X454*100/(100+O454),0)),""),"")</f>
        <v/>
      </c>
      <c r="AB454" s="16" t="str">
        <f t="shared" ref="AB454:AB493" si="191">IF(M454&lt;&gt;"",IF(AND(X454&lt;&gt;"",AA454&lt;&gt;""),X454-AA454,""),"")</f>
        <v/>
      </c>
      <c r="AC454" s="16" t="str">
        <f>IF(AA454&lt;&gt;"",ROUND(AA454*SI!$C$9,0),"")</f>
        <v/>
      </c>
      <c r="AD454" s="4" t="str">
        <f>IF(AC454&lt;&gt;"",ROUND(AC454/(SI!$C$9*SI!$C$10),2),"")</f>
        <v/>
      </c>
      <c r="AE454" s="30" t="str">
        <f>IF(AND(X454&lt;&gt;""), ROUND((SI!$E$23)*(X454/SUM($X$5:$X$493)),0),"")</f>
        <v/>
      </c>
      <c r="AF454" s="272" t="str">
        <f t="shared" ref="AF454:AF493" si="192">IF(AND(AC454&lt;&gt;"",AE454&lt;&gt;""),ROUND(AC454+AE454,0),"")</f>
        <v/>
      </c>
      <c r="AG454" s="28" t="str">
        <f t="shared" ref="AG454:AG493" si="193">IF(AND(Z454&lt;&gt;"",V454&lt;&gt;""),Z454*V454,"")</f>
        <v/>
      </c>
      <c r="AH454" s="4" t="str">
        <f>IF(AD454&lt;&gt;"",ROUND(AD454*10*SI!$C$9/2,0),"")</f>
        <v/>
      </c>
      <c r="AI454" s="29" t="str">
        <f>IF(AND(X454&lt;&gt;""), ROUND((SI!$E$28)*(X454/SUM($X$5:$X$493)),0),"")</f>
        <v/>
      </c>
      <c r="AJ454" s="4" t="str">
        <f t="shared" ref="AJ454:AJ493" si="194">IF(AND(AG454&lt;&gt;"",AI454&lt;&gt;"",AH454&lt;&gt;""),AG454+AI454+AH454,"")</f>
        <v/>
      </c>
      <c r="AK454" s="4" t="str">
        <f t="shared" ref="AK454:AK493" si="195">IF(AND(AJ454&lt;&gt;"",Y454&lt;&gt;""),ROUND(AJ454/Y454,0),"")</f>
        <v/>
      </c>
      <c r="AL454" s="4" t="str">
        <f t="shared" ref="AL454:AL493" si="196">IF(AND(AC454&lt;&gt;"",Y454&lt;&gt;""),ROUND(AF454/Y454,0),"")</f>
        <v/>
      </c>
      <c r="AM454" s="4" t="str">
        <f t="shared" ref="AM454:AM493" si="197">IF(AND(AK454&lt;&gt;"",AL454&lt;&gt;""),AK454+AL454,"")</f>
        <v/>
      </c>
      <c r="AN454" s="195" t="str">
        <f t="shared" ref="AN454:AN493" si="198">IF(AND(AF454&lt;&gt;"",AG454&lt;&gt;"",AH454&lt;&gt;"",AI454&lt;&gt;""),AF454+AG454+AH454+AI454,"")</f>
        <v/>
      </c>
      <c r="AO454" s="261" t="str">
        <f>IF(AND(AM454&lt;&gt;"",P454&lt;&gt;""),ROUND((AM454*((100+SI!$C$11)/100)),0),"")</f>
        <v/>
      </c>
      <c r="AP454" s="28" t="str">
        <f>IF(AG454&lt;&gt;"",ROUND(AG454/SI!$C$9,2),"")</f>
        <v/>
      </c>
      <c r="AQ454" s="4" t="str">
        <f>IF(AH454&lt;&gt;"",ROUND(AH454/SI!$C$9,2),"")</f>
        <v/>
      </c>
      <c r="AR454" s="29" t="str">
        <f>IF(AI454&lt;&gt;"",ROUND(AI454/SI!$C$9,2),"")</f>
        <v/>
      </c>
      <c r="AS454" s="4" t="str">
        <f t="shared" ref="AS454:AS493" si="199">IF(AND(AP454&lt;&gt;"",AR454&lt;&gt;"",AQ454&lt;&gt;""),AP454+AR454+AQ454,"")</f>
        <v/>
      </c>
      <c r="AT454" s="4" t="str">
        <f t="shared" ref="AT454:AT493" si="200">IF(AND(AS454&lt;&gt;"",Y454&lt;&gt;""),ROUND(AS454/Y454,2),"")</f>
        <v/>
      </c>
      <c r="AU454" s="4" t="str">
        <f>IF(AL454&lt;&gt;"",ROUND(AL454/SI!$C$9,2),"")</f>
        <v/>
      </c>
      <c r="AV454" s="4" t="str">
        <f>IF(AM454&lt;&gt;"",ROUND(AM454/SI!$C$9,2),"")</f>
        <v/>
      </c>
      <c r="AW454" s="4" t="str">
        <f>IF(AN454&lt;&gt;"",ROUND(AN454/SI!$C$9,2),"")</f>
        <v/>
      </c>
      <c r="AX454" s="261" t="str">
        <f>IF(AO454&lt;&gt;"",ROUND(AO454/SI!$C$9,2),"")</f>
        <v/>
      </c>
      <c r="AY454" s="28" t="str">
        <f t="shared" ref="AY454:AY493" si="201">IF(AF454&lt;&gt;"",AF454,"")</f>
        <v/>
      </c>
      <c r="AZ454" s="4" t="str">
        <f>IF(AY454&lt;&gt;"",ROUND(AY454/(SI!$C$9*SI!$C$10),2),"")</f>
        <v/>
      </c>
      <c r="BA454" s="4" t="str">
        <f t="shared" ref="BA454:BA493" si="202">IF(AND(AY454&lt;&gt;"",BH454&lt;&gt;""),ROUND(AY454*BH454/100,2),"")</f>
        <v/>
      </c>
      <c r="BB454" s="4" t="str">
        <f t="shared" ref="BB454:BB493" si="203">IF(AND(AZ454&lt;&gt;"",BH454&lt;&gt;""),ROUND(AZ454*BH454/100,2),"")</f>
        <v/>
      </c>
      <c r="BC454" s="4" t="str">
        <f t="shared" ref="BC454:BC493" si="204">IF(AND(BB454&lt;&gt;"",Y454&lt;&gt;""),ROUND(BB454/Y454,3),"")</f>
        <v/>
      </c>
      <c r="BD454" s="4" t="str">
        <f t="shared" ref="BD454:BD493" si="205">IF(AND(BB454&lt;&gt;"",T454&lt;&gt;""),ROUND(BB454/V454,3),"")</f>
        <v/>
      </c>
      <c r="BE454" s="4" t="str">
        <f>IF(AND(X454&lt;&gt;""),ROUND(X454/SI!$C$10,2),"")</f>
        <v/>
      </c>
      <c r="BF454" s="4" t="str">
        <f t="shared" si="181"/>
        <v/>
      </c>
      <c r="BG454" s="264" t="str">
        <f t="shared" ref="BG454:BG493" si="206">IF(AND(BE454&lt;&gt;"",V454&lt;&gt;""),ROUND(BE454/V454,3),"")</f>
        <v/>
      </c>
      <c r="BH454" s="71" t="str">
        <f>IF(F454&lt;&gt;"",VLOOKUP(F454,DUTY_2025!A:O,15,FALSE),"")</f>
        <v/>
      </c>
    </row>
    <row r="455" spans="1:60" x14ac:dyDescent="0.25">
      <c r="A455" s="133">
        <f t="shared" si="182"/>
        <v>66</v>
      </c>
      <c r="B455" s="83" t="str">
        <f t="shared" si="183"/>
        <v/>
      </c>
      <c r="C455" s="126"/>
      <c r="D455" s="130"/>
      <c r="E455" s="22"/>
      <c r="F455" s="85"/>
      <c r="G455" s="27" t="str">
        <f>IF(F455&lt;&gt;"",IFERROR(VLOOKUP(F455,DUTY_2025!A:I,6,FALSE),""),"")</f>
        <v/>
      </c>
      <c r="H455" s="85" t="s">
        <v>133</v>
      </c>
      <c r="I455" s="27" t="str">
        <f>IF(F455&lt;&gt;"",IFERROR(VLOOKUP(F455,DUTY_2025!A:H,2,FALSE),""),"")</f>
        <v/>
      </c>
      <c r="J455" s="98"/>
      <c r="K455" s="98"/>
      <c r="L455" s="22"/>
      <c r="M455" s="22"/>
      <c r="N455" s="84"/>
      <c r="O455" s="22"/>
      <c r="P455" s="116"/>
      <c r="Q455" s="23"/>
      <c r="R455" s="27"/>
      <c r="S455" s="86" t="str">
        <f t="shared" si="184"/>
        <v/>
      </c>
      <c r="T455" s="87" t="str">
        <f t="shared" si="185"/>
        <v/>
      </c>
      <c r="U455" s="87" t="str" cm="1">
        <f t="array" ref="U455">IF(AND(H455&lt;&gt;"YES",P455&lt;&gt;"",R455&lt;&gt;"",Q455&lt;&gt;""),
_xlfn.SWITCH(Q455,
"INR",_xlfn.SWITCH(R455,"KG",P455*S455,"CTN",P455,"UNIT",P455*N455,"NET",P455/M455,0),
"USD",_xlfn.SWITCH(R455,"KG",P455*S455*SI!$C$10,"CTN",P455*SI!$C$10,"UNIT",P455*N455*SI!$C$10,"NET",P455*SI!$C$10/M455,0),
"LKR",_xlfn.SWITCH(R455,"KG",P455*S455/SI!$C$9,"CTN",P455/SI!$C$9,"UNIT",P455*N455/SI!$C$9,"NET",P455/(M455*SI!$C$9),0),
0),
"")</f>
        <v/>
      </c>
      <c r="V455" s="87" t="str">
        <f t="shared" si="186"/>
        <v/>
      </c>
      <c r="W455" s="87" t="str">
        <f t="shared" si="187"/>
        <v/>
      </c>
      <c r="X455" s="88" t="str">
        <f t="shared" si="188"/>
        <v/>
      </c>
      <c r="Y455" s="24" t="str">
        <f t="shared" si="189"/>
        <v/>
      </c>
      <c r="Z455" s="267" t="str">
        <f>IF(AND(H455&lt;&gt;"yes",F455&lt;&gt;""),IFERROR(VLOOKUP(F455,DUTY_2025!A:F,5,FALSE),""),"")</f>
        <v/>
      </c>
      <c r="AA455" s="271" t="str">
        <f t="shared" si="190"/>
        <v/>
      </c>
      <c r="AB455" s="16" t="str">
        <f t="shared" si="191"/>
        <v/>
      </c>
      <c r="AC455" s="16" t="str">
        <f>IF(AA455&lt;&gt;"",ROUND(AA455*SI!$C$9,0),"")</f>
        <v/>
      </c>
      <c r="AD455" s="4" t="str">
        <f>IF(AC455&lt;&gt;"",ROUND(AC455/(SI!$C$9*SI!$C$10),2),"")</f>
        <v/>
      </c>
      <c r="AE455" s="30" t="str">
        <f>IF(AND(X455&lt;&gt;""), ROUND((SI!$E$23)*(X455/SUM($X$5:$X$493)),0),"")</f>
        <v/>
      </c>
      <c r="AF455" s="272" t="str">
        <f t="shared" si="192"/>
        <v/>
      </c>
      <c r="AG455" s="28" t="str">
        <f t="shared" si="193"/>
        <v/>
      </c>
      <c r="AH455" s="4" t="str">
        <f>IF(AD455&lt;&gt;"",ROUND(AD455*10*SI!$C$9/2,0),"")</f>
        <v/>
      </c>
      <c r="AI455" s="29" t="str">
        <f>IF(AND(X455&lt;&gt;""), ROUND((SI!$E$28)*(X455/SUM($X$5:$X$493)),0),"")</f>
        <v/>
      </c>
      <c r="AJ455" s="4" t="str">
        <f t="shared" si="194"/>
        <v/>
      </c>
      <c r="AK455" s="4" t="str">
        <f t="shared" si="195"/>
        <v/>
      </c>
      <c r="AL455" s="4" t="str">
        <f t="shared" si="196"/>
        <v/>
      </c>
      <c r="AM455" s="4" t="str">
        <f t="shared" si="197"/>
        <v/>
      </c>
      <c r="AN455" s="195" t="str">
        <f t="shared" si="198"/>
        <v/>
      </c>
      <c r="AO455" s="261" t="str">
        <f>IF(AND(AM455&lt;&gt;"",P455&lt;&gt;""),ROUND((AM455*((100+SI!$C$11)/100)),0),"")</f>
        <v/>
      </c>
      <c r="AP455" s="28" t="str">
        <f>IF(AG455&lt;&gt;"",ROUND(AG455/SI!$C$9,2),"")</f>
        <v/>
      </c>
      <c r="AQ455" s="4" t="str">
        <f>IF(AH455&lt;&gt;"",ROUND(AH455/SI!$C$9,2),"")</f>
        <v/>
      </c>
      <c r="AR455" s="29" t="str">
        <f>IF(AI455&lt;&gt;"",ROUND(AI455/SI!$C$9,2),"")</f>
        <v/>
      </c>
      <c r="AS455" s="4" t="str">
        <f t="shared" si="199"/>
        <v/>
      </c>
      <c r="AT455" s="4" t="str">
        <f t="shared" si="200"/>
        <v/>
      </c>
      <c r="AU455" s="4" t="str">
        <f>IF(AL455&lt;&gt;"",ROUND(AL455/SI!$C$9,2),"")</f>
        <v/>
      </c>
      <c r="AV455" s="4" t="str">
        <f>IF(AM455&lt;&gt;"",ROUND(AM455/SI!$C$9,2),"")</f>
        <v/>
      </c>
      <c r="AW455" s="4" t="str">
        <f>IF(AN455&lt;&gt;"",ROUND(AN455/SI!$C$9,2),"")</f>
        <v/>
      </c>
      <c r="AX455" s="261" t="str">
        <f>IF(AO455&lt;&gt;"",ROUND(AO455/SI!$C$9,2),"")</f>
        <v/>
      </c>
      <c r="AY455" s="28" t="str">
        <f t="shared" si="201"/>
        <v/>
      </c>
      <c r="AZ455" s="4" t="str">
        <f>IF(AY455&lt;&gt;"",ROUND(AY455/(SI!$C$9*SI!$C$10),2),"")</f>
        <v/>
      </c>
      <c r="BA455" s="4" t="str">
        <f t="shared" si="202"/>
        <v/>
      </c>
      <c r="BB455" s="4" t="str">
        <f t="shared" si="203"/>
        <v/>
      </c>
      <c r="BC455" s="4" t="str">
        <f t="shared" si="204"/>
        <v/>
      </c>
      <c r="BD455" s="4" t="str">
        <f t="shared" si="205"/>
        <v/>
      </c>
      <c r="BE455" s="4" t="str">
        <f>IF(AND(X455&lt;&gt;""),ROUND(X455/SI!$C$10,2),"")</f>
        <v/>
      </c>
      <c r="BF455" s="4" t="str">
        <f t="shared" ref="BF455:BF493" si="207">IF(AND(BE455&lt;&gt;"",Y455&lt;&gt;""),ROUND(BE455/Y455,3),"")</f>
        <v/>
      </c>
      <c r="BG455" s="264" t="str">
        <f t="shared" si="206"/>
        <v/>
      </c>
      <c r="BH455" s="71" t="str">
        <f>IF(F455&lt;&gt;"",VLOOKUP(F455,DUTY_2025!A:O,15,FALSE),"")</f>
        <v/>
      </c>
    </row>
    <row r="456" spans="1:60" x14ac:dyDescent="0.25">
      <c r="A456" s="133">
        <f t="shared" si="182"/>
        <v>66</v>
      </c>
      <c r="B456" s="83" t="str">
        <f t="shared" si="183"/>
        <v/>
      </c>
      <c r="C456" s="126"/>
      <c r="D456" s="130"/>
      <c r="E456" s="22"/>
      <c r="F456" s="85"/>
      <c r="G456" s="27" t="str">
        <f>IF(F456&lt;&gt;"",IFERROR(VLOOKUP(F456,DUTY_2025!A:I,6,FALSE),""),"")</f>
        <v/>
      </c>
      <c r="H456" s="85" t="s">
        <v>133</v>
      </c>
      <c r="I456" s="27" t="str">
        <f>IF(F456&lt;&gt;"",IFERROR(VLOOKUP(F456,DUTY_2025!A:H,2,FALSE),""),"")</f>
        <v/>
      </c>
      <c r="J456" s="98"/>
      <c r="K456" s="98"/>
      <c r="L456" s="22"/>
      <c r="M456" s="22"/>
      <c r="N456" s="84"/>
      <c r="O456" s="22"/>
      <c r="P456" s="116"/>
      <c r="Q456" s="23"/>
      <c r="R456" s="27"/>
      <c r="S456" s="86" t="str">
        <f t="shared" si="184"/>
        <v/>
      </c>
      <c r="T456" s="87" t="str">
        <f t="shared" si="185"/>
        <v/>
      </c>
      <c r="U456" s="87" t="str" cm="1">
        <f t="array" ref="U456">IF(AND(H456&lt;&gt;"YES",P456&lt;&gt;"",R456&lt;&gt;"",Q456&lt;&gt;""),
_xlfn.SWITCH(Q456,
"INR",_xlfn.SWITCH(R456,"KG",P456*S456,"CTN",P456,"UNIT",P456*N456,"NET",P456/M456,0),
"USD",_xlfn.SWITCH(R456,"KG",P456*S456*SI!$C$10,"CTN",P456*SI!$C$10,"UNIT",P456*N456*SI!$C$10,"NET",P456*SI!$C$10/M456,0),
"LKR",_xlfn.SWITCH(R456,"KG",P456*S456/SI!$C$9,"CTN",P456/SI!$C$9,"UNIT",P456*N456/SI!$C$9,"NET",P456/(M456*SI!$C$9),0),
0),
"")</f>
        <v/>
      </c>
      <c r="V456" s="87" t="str">
        <f t="shared" si="186"/>
        <v/>
      </c>
      <c r="W456" s="87" t="str">
        <f t="shared" si="187"/>
        <v/>
      </c>
      <c r="X456" s="88" t="str">
        <f t="shared" si="188"/>
        <v/>
      </c>
      <c r="Y456" s="24" t="str">
        <f t="shared" si="189"/>
        <v/>
      </c>
      <c r="Z456" s="267" t="str">
        <f>IF(AND(H456&lt;&gt;"yes",F456&lt;&gt;""),IFERROR(VLOOKUP(F456,DUTY_2025!A:F,5,FALSE),""),"")</f>
        <v/>
      </c>
      <c r="AA456" s="271" t="str">
        <f t="shared" si="190"/>
        <v/>
      </c>
      <c r="AB456" s="16" t="str">
        <f t="shared" si="191"/>
        <v/>
      </c>
      <c r="AC456" s="16" t="str">
        <f>IF(AA456&lt;&gt;"",ROUND(AA456*SI!$C$9,0),"")</f>
        <v/>
      </c>
      <c r="AD456" s="4" t="str">
        <f>IF(AC456&lt;&gt;"",ROUND(AC456/(SI!$C$9*SI!$C$10),2),"")</f>
        <v/>
      </c>
      <c r="AE456" s="30" t="str">
        <f>IF(AND(X456&lt;&gt;""), ROUND((SI!$E$23)*(X456/SUM($X$5:$X$493)),0),"")</f>
        <v/>
      </c>
      <c r="AF456" s="272" t="str">
        <f t="shared" si="192"/>
        <v/>
      </c>
      <c r="AG456" s="28" t="str">
        <f t="shared" si="193"/>
        <v/>
      </c>
      <c r="AH456" s="4" t="str">
        <f>IF(AD456&lt;&gt;"",ROUND(AD456*10*SI!$C$9/2,0),"")</f>
        <v/>
      </c>
      <c r="AI456" s="29" t="str">
        <f>IF(AND(X456&lt;&gt;""), ROUND((SI!$E$28)*(X456/SUM($X$5:$X$493)),0),"")</f>
        <v/>
      </c>
      <c r="AJ456" s="4" t="str">
        <f t="shared" si="194"/>
        <v/>
      </c>
      <c r="AK456" s="4" t="str">
        <f t="shared" si="195"/>
        <v/>
      </c>
      <c r="AL456" s="4" t="str">
        <f t="shared" si="196"/>
        <v/>
      </c>
      <c r="AM456" s="4" t="str">
        <f t="shared" si="197"/>
        <v/>
      </c>
      <c r="AN456" s="195" t="str">
        <f t="shared" si="198"/>
        <v/>
      </c>
      <c r="AO456" s="261" t="str">
        <f>IF(AND(AM456&lt;&gt;"",P456&lt;&gt;""),ROUND((AM456*((100+SI!$C$11)/100)),0),"")</f>
        <v/>
      </c>
      <c r="AP456" s="28" t="str">
        <f>IF(AG456&lt;&gt;"",ROUND(AG456/SI!$C$9,2),"")</f>
        <v/>
      </c>
      <c r="AQ456" s="4" t="str">
        <f>IF(AH456&lt;&gt;"",ROUND(AH456/SI!$C$9,2),"")</f>
        <v/>
      </c>
      <c r="AR456" s="29" t="str">
        <f>IF(AI456&lt;&gt;"",ROUND(AI456/SI!$C$9,2),"")</f>
        <v/>
      </c>
      <c r="AS456" s="4" t="str">
        <f t="shared" si="199"/>
        <v/>
      </c>
      <c r="AT456" s="4" t="str">
        <f t="shared" si="200"/>
        <v/>
      </c>
      <c r="AU456" s="4" t="str">
        <f>IF(AL456&lt;&gt;"",ROUND(AL456/SI!$C$9,2),"")</f>
        <v/>
      </c>
      <c r="AV456" s="4" t="str">
        <f>IF(AM456&lt;&gt;"",ROUND(AM456/SI!$C$9,2),"")</f>
        <v/>
      </c>
      <c r="AW456" s="4" t="str">
        <f>IF(AN456&lt;&gt;"",ROUND(AN456/SI!$C$9,2),"")</f>
        <v/>
      </c>
      <c r="AX456" s="261" t="str">
        <f>IF(AO456&lt;&gt;"",ROUND(AO456/SI!$C$9,2),"")</f>
        <v/>
      </c>
      <c r="AY456" s="28" t="str">
        <f t="shared" si="201"/>
        <v/>
      </c>
      <c r="AZ456" s="4" t="str">
        <f>IF(AY456&lt;&gt;"",ROUND(AY456/(SI!$C$9*SI!$C$10),2),"")</f>
        <v/>
      </c>
      <c r="BA456" s="4" t="str">
        <f t="shared" si="202"/>
        <v/>
      </c>
      <c r="BB456" s="4" t="str">
        <f t="shared" si="203"/>
        <v/>
      </c>
      <c r="BC456" s="4" t="str">
        <f t="shared" si="204"/>
        <v/>
      </c>
      <c r="BD456" s="4" t="str">
        <f t="shared" si="205"/>
        <v/>
      </c>
      <c r="BE456" s="4" t="str">
        <f>IF(AND(X456&lt;&gt;""),ROUND(X456/SI!$C$10,2),"")</f>
        <v/>
      </c>
      <c r="BF456" s="4" t="str">
        <f t="shared" si="207"/>
        <v/>
      </c>
      <c r="BG456" s="264" t="str">
        <f t="shared" si="206"/>
        <v/>
      </c>
      <c r="BH456" s="71" t="str">
        <f>IF(F456&lt;&gt;"",VLOOKUP(F456,DUTY_2025!A:O,15,FALSE),"")</f>
        <v/>
      </c>
    </row>
    <row r="457" spans="1:60" x14ac:dyDescent="0.25">
      <c r="A457" s="133">
        <f t="shared" si="182"/>
        <v>66</v>
      </c>
      <c r="B457" s="83" t="str">
        <f t="shared" si="183"/>
        <v/>
      </c>
      <c r="C457" s="126"/>
      <c r="D457" s="130"/>
      <c r="E457" s="22"/>
      <c r="F457" s="85"/>
      <c r="G457" s="27" t="str">
        <f>IF(F457&lt;&gt;"",IFERROR(VLOOKUP(F457,DUTY_2025!A:I,6,FALSE),""),"")</f>
        <v/>
      </c>
      <c r="H457" s="85" t="s">
        <v>133</v>
      </c>
      <c r="I457" s="27" t="str">
        <f>IF(F457&lt;&gt;"",IFERROR(VLOOKUP(F457,DUTY_2025!A:H,2,FALSE),""),"")</f>
        <v/>
      </c>
      <c r="J457" s="98"/>
      <c r="K457" s="98"/>
      <c r="L457" s="22"/>
      <c r="M457" s="22"/>
      <c r="N457" s="84"/>
      <c r="O457" s="22"/>
      <c r="P457" s="116"/>
      <c r="Q457" s="23"/>
      <c r="R457" s="27"/>
      <c r="S457" s="86" t="str">
        <f t="shared" si="184"/>
        <v/>
      </c>
      <c r="T457" s="87" t="str">
        <f t="shared" si="185"/>
        <v/>
      </c>
      <c r="U457" s="87" t="str" cm="1">
        <f t="array" ref="U457">IF(AND(H457&lt;&gt;"YES",P457&lt;&gt;"",R457&lt;&gt;"",Q457&lt;&gt;""),
_xlfn.SWITCH(Q457,
"INR",_xlfn.SWITCH(R457,"KG",P457*S457,"CTN",P457,"UNIT",P457*N457,"NET",P457/M457,0),
"USD",_xlfn.SWITCH(R457,"KG",P457*S457*SI!$C$10,"CTN",P457*SI!$C$10,"UNIT",P457*N457*SI!$C$10,"NET",P457*SI!$C$10/M457,0),
"LKR",_xlfn.SWITCH(R457,"KG",P457*S457/SI!$C$9,"CTN",P457/SI!$C$9,"UNIT",P457*N457/SI!$C$9,"NET",P457/(M457*SI!$C$9),0),
0),
"")</f>
        <v/>
      </c>
      <c r="V457" s="87" t="str">
        <f t="shared" si="186"/>
        <v/>
      </c>
      <c r="W457" s="87" t="str">
        <f t="shared" si="187"/>
        <v/>
      </c>
      <c r="X457" s="88" t="str">
        <f t="shared" si="188"/>
        <v/>
      </c>
      <c r="Y457" s="24" t="str">
        <f t="shared" si="189"/>
        <v/>
      </c>
      <c r="Z457" s="267" t="str">
        <f>IF(AND(H457&lt;&gt;"yes",F457&lt;&gt;""),IFERROR(VLOOKUP(F457,DUTY_2025!A:F,5,FALSE),""),"")</f>
        <v/>
      </c>
      <c r="AA457" s="271" t="str">
        <f t="shared" si="190"/>
        <v/>
      </c>
      <c r="AB457" s="16" t="str">
        <f t="shared" si="191"/>
        <v/>
      </c>
      <c r="AC457" s="16" t="str">
        <f>IF(AA457&lt;&gt;"",ROUND(AA457*SI!$C$9,0),"")</f>
        <v/>
      </c>
      <c r="AD457" s="4" t="str">
        <f>IF(AC457&lt;&gt;"",ROUND(AC457/(SI!$C$9*SI!$C$10),2),"")</f>
        <v/>
      </c>
      <c r="AE457" s="30" t="str">
        <f>IF(AND(X457&lt;&gt;""), ROUND((SI!$E$23)*(X457/SUM($X$5:$X$493)),0),"")</f>
        <v/>
      </c>
      <c r="AF457" s="272" t="str">
        <f t="shared" si="192"/>
        <v/>
      </c>
      <c r="AG457" s="28" t="str">
        <f t="shared" si="193"/>
        <v/>
      </c>
      <c r="AH457" s="4" t="str">
        <f>IF(AD457&lt;&gt;"",ROUND(AD457*10*SI!$C$9/2,0),"")</f>
        <v/>
      </c>
      <c r="AI457" s="29" t="str">
        <f>IF(AND(X457&lt;&gt;""), ROUND((SI!$E$28)*(X457/SUM($X$5:$X$493)),0),"")</f>
        <v/>
      </c>
      <c r="AJ457" s="4" t="str">
        <f t="shared" si="194"/>
        <v/>
      </c>
      <c r="AK457" s="4" t="str">
        <f t="shared" si="195"/>
        <v/>
      </c>
      <c r="AL457" s="4" t="str">
        <f t="shared" si="196"/>
        <v/>
      </c>
      <c r="AM457" s="4" t="str">
        <f t="shared" si="197"/>
        <v/>
      </c>
      <c r="AN457" s="195" t="str">
        <f t="shared" si="198"/>
        <v/>
      </c>
      <c r="AO457" s="261" t="str">
        <f>IF(AND(AM457&lt;&gt;"",P457&lt;&gt;""),ROUND((AM457*((100+SI!$C$11)/100)),0),"")</f>
        <v/>
      </c>
      <c r="AP457" s="28" t="str">
        <f>IF(AG457&lt;&gt;"",ROUND(AG457/SI!$C$9,2),"")</f>
        <v/>
      </c>
      <c r="AQ457" s="4" t="str">
        <f>IF(AH457&lt;&gt;"",ROUND(AH457/SI!$C$9,2),"")</f>
        <v/>
      </c>
      <c r="AR457" s="29" t="str">
        <f>IF(AI457&lt;&gt;"",ROUND(AI457/SI!$C$9,2),"")</f>
        <v/>
      </c>
      <c r="AS457" s="4" t="str">
        <f t="shared" si="199"/>
        <v/>
      </c>
      <c r="AT457" s="4" t="str">
        <f t="shared" si="200"/>
        <v/>
      </c>
      <c r="AU457" s="4" t="str">
        <f>IF(AL457&lt;&gt;"",ROUND(AL457/SI!$C$9,2),"")</f>
        <v/>
      </c>
      <c r="AV457" s="4" t="str">
        <f>IF(AM457&lt;&gt;"",ROUND(AM457/SI!$C$9,2),"")</f>
        <v/>
      </c>
      <c r="AW457" s="4" t="str">
        <f>IF(AN457&lt;&gt;"",ROUND(AN457/SI!$C$9,2),"")</f>
        <v/>
      </c>
      <c r="AX457" s="261" t="str">
        <f>IF(AO457&lt;&gt;"",ROUND(AO457/SI!$C$9,2),"")</f>
        <v/>
      </c>
      <c r="AY457" s="28" t="str">
        <f t="shared" si="201"/>
        <v/>
      </c>
      <c r="AZ457" s="4" t="str">
        <f>IF(AY457&lt;&gt;"",ROUND(AY457/(SI!$C$9*SI!$C$10),2),"")</f>
        <v/>
      </c>
      <c r="BA457" s="4" t="str">
        <f t="shared" si="202"/>
        <v/>
      </c>
      <c r="BB457" s="4" t="str">
        <f t="shared" si="203"/>
        <v/>
      </c>
      <c r="BC457" s="4" t="str">
        <f t="shared" si="204"/>
        <v/>
      </c>
      <c r="BD457" s="4" t="str">
        <f t="shared" si="205"/>
        <v/>
      </c>
      <c r="BE457" s="4" t="str">
        <f>IF(AND(X457&lt;&gt;""),ROUND(X457/SI!$C$10,2),"")</f>
        <v/>
      </c>
      <c r="BF457" s="4" t="str">
        <f t="shared" si="207"/>
        <v/>
      </c>
      <c r="BG457" s="264" t="str">
        <f t="shared" si="206"/>
        <v/>
      </c>
      <c r="BH457" s="71" t="str">
        <f>IF(F457&lt;&gt;"",VLOOKUP(F457,DUTY_2025!A:O,15,FALSE),"")</f>
        <v/>
      </c>
    </row>
    <row r="458" spans="1:60" x14ac:dyDescent="0.25">
      <c r="A458" s="133">
        <f t="shared" si="182"/>
        <v>66</v>
      </c>
      <c r="B458" s="83" t="str">
        <f t="shared" si="183"/>
        <v/>
      </c>
      <c r="C458" s="126"/>
      <c r="D458" s="130"/>
      <c r="E458" s="22"/>
      <c r="F458" s="85"/>
      <c r="G458" s="27" t="str">
        <f>IF(F458&lt;&gt;"",IFERROR(VLOOKUP(F458,DUTY_2025!A:I,6,FALSE),""),"")</f>
        <v/>
      </c>
      <c r="H458" s="85" t="s">
        <v>133</v>
      </c>
      <c r="I458" s="27" t="str">
        <f>IF(F458&lt;&gt;"",IFERROR(VLOOKUP(F458,DUTY_2025!A:H,2,FALSE),""),"")</f>
        <v/>
      </c>
      <c r="J458" s="98"/>
      <c r="K458" s="98"/>
      <c r="L458" s="22"/>
      <c r="M458" s="22"/>
      <c r="N458" s="84"/>
      <c r="O458" s="22"/>
      <c r="P458" s="116"/>
      <c r="Q458" s="23"/>
      <c r="R458" s="27"/>
      <c r="S458" s="86" t="str">
        <f t="shared" si="184"/>
        <v/>
      </c>
      <c r="T458" s="87" t="str">
        <f t="shared" si="185"/>
        <v/>
      </c>
      <c r="U458" s="87" t="str" cm="1">
        <f t="array" ref="U458">IF(AND(H458&lt;&gt;"YES",P458&lt;&gt;"",R458&lt;&gt;"",Q458&lt;&gt;""),
_xlfn.SWITCH(Q458,
"INR",_xlfn.SWITCH(R458,"KG",P458*S458,"CTN",P458,"UNIT",P458*N458,"NET",P458/M458,0),
"USD",_xlfn.SWITCH(R458,"KG",P458*S458*SI!$C$10,"CTN",P458*SI!$C$10,"UNIT",P458*N458*SI!$C$10,"NET",P458*SI!$C$10/M458,0),
"LKR",_xlfn.SWITCH(R458,"KG",P458*S458/SI!$C$9,"CTN",P458/SI!$C$9,"UNIT",P458*N458/SI!$C$9,"NET",P458/(M458*SI!$C$9),0),
0),
"")</f>
        <v/>
      </c>
      <c r="V458" s="87" t="str">
        <f t="shared" si="186"/>
        <v/>
      </c>
      <c r="W458" s="87" t="str">
        <f t="shared" si="187"/>
        <v/>
      </c>
      <c r="X458" s="88" t="str">
        <f t="shared" si="188"/>
        <v/>
      </c>
      <c r="Y458" s="24" t="str">
        <f t="shared" si="189"/>
        <v/>
      </c>
      <c r="Z458" s="267" t="str">
        <f>IF(AND(H458&lt;&gt;"yes",F458&lt;&gt;""),IFERROR(VLOOKUP(F458,DUTY_2025!A:F,5,FALSE),""),"")</f>
        <v/>
      </c>
      <c r="AA458" s="271" t="str">
        <f t="shared" si="190"/>
        <v/>
      </c>
      <c r="AB458" s="16" t="str">
        <f t="shared" si="191"/>
        <v/>
      </c>
      <c r="AC458" s="16" t="str">
        <f>IF(AA458&lt;&gt;"",ROUND(AA458*SI!$C$9,0),"")</f>
        <v/>
      </c>
      <c r="AD458" s="4" t="str">
        <f>IF(AC458&lt;&gt;"",ROUND(AC458/(SI!$C$9*SI!$C$10),2),"")</f>
        <v/>
      </c>
      <c r="AE458" s="30" t="str">
        <f>IF(AND(X458&lt;&gt;""), ROUND((SI!$E$23)*(X458/SUM($X$5:$X$493)),0),"")</f>
        <v/>
      </c>
      <c r="AF458" s="272" t="str">
        <f t="shared" si="192"/>
        <v/>
      </c>
      <c r="AG458" s="28" t="str">
        <f t="shared" si="193"/>
        <v/>
      </c>
      <c r="AH458" s="4" t="str">
        <f>IF(AD458&lt;&gt;"",ROUND(AD458*10*SI!$C$9/2,0),"")</f>
        <v/>
      </c>
      <c r="AI458" s="29" t="str">
        <f>IF(AND(X458&lt;&gt;""), ROUND((SI!$E$28)*(X458/SUM($X$5:$X$493)),0),"")</f>
        <v/>
      </c>
      <c r="AJ458" s="4" t="str">
        <f t="shared" si="194"/>
        <v/>
      </c>
      <c r="AK458" s="4" t="str">
        <f t="shared" si="195"/>
        <v/>
      </c>
      <c r="AL458" s="4" t="str">
        <f t="shared" si="196"/>
        <v/>
      </c>
      <c r="AM458" s="4" t="str">
        <f t="shared" si="197"/>
        <v/>
      </c>
      <c r="AN458" s="195" t="str">
        <f t="shared" si="198"/>
        <v/>
      </c>
      <c r="AO458" s="261" t="str">
        <f>IF(AND(AM458&lt;&gt;"",P458&lt;&gt;""),ROUND((AM458*((100+SI!$C$11)/100)),0),"")</f>
        <v/>
      </c>
      <c r="AP458" s="28" t="str">
        <f>IF(AG458&lt;&gt;"",ROUND(AG458/SI!$C$9,2),"")</f>
        <v/>
      </c>
      <c r="AQ458" s="4" t="str">
        <f>IF(AH458&lt;&gt;"",ROUND(AH458/SI!$C$9,2),"")</f>
        <v/>
      </c>
      <c r="AR458" s="29" t="str">
        <f>IF(AI458&lt;&gt;"",ROUND(AI458/SI!$C$9,2),"")</f>
        <v/>
      </c>
      <c r="AS458" s="4" t="str">
        <f t="shared" si="199"/>
        <v/>
      </c>
      <c r="AT458" s="4" t="str">
        <f t="shared" si="200"/>
        <v/>
      </c>
      <c r="AU458" s="4" t="str">
        <f>IF(AL458&lt;&gt;"",ROUND(AL458/SI!$C$9,2),"")</f>
        <v/>
      </c>
      <c r="AV458" s="4" t="str">
        <f>IF(AM458&lt;&gt;"",ROUND(AM458/SI!$C$9,2),"")</f>
        <v/>
      </c>
      <c r="AW458" s="4" t="str">
        <f>IF(AN458&lt;&gt;"",ROUND(AN458/SI!$C$9,2),"")</f>
        <v/>
      </c>
      <c r="AX458" s="261" t="str">
        <f>IF(AO458&lt;&gt;"",ROUND(AO458/SI!$C$9,2),"")</f>
        <v/>
      </c>
      <c r="AY458" s="28" t="str">
        <f t="shared" si="201"/>
        <v/>
      </c>
      <c r="AZ458" s="4" t="str">
        <f>IF(AY458&lt;&gt;"",ROUND(AY458/(SI!$C$9*SI!$C$10),2),"")</f>
        <v/>
      </c>
      <c r="BA458" s="4" t="str">
        <f t="shared" si="202"/>
        <v/>
      </c>
      <c r="BB458" s="4" t="str">
        <f t="shared" si="203"/>
        <v/>
      </c>
      <c r="BC458" s="4" t="str">
        <f t="shared" si="204"/>
        <v/>
      </c>
      <c r="BD458" s="4" t="str">
        <f t="shared" si="205"/>
        <v/>
      </c>
      <c r="BE458" s="4" t="str">
        <f>IF(AND(X458&lt;&gt;""),ROUND(X458/SI!$C$10,2),"")</f>
        <v/>
      </c>
      <c r="BF458" s="4" t="str">
        <f t="shared" si="207"/>
        <v/>
      </c>
      <c r="BG458" s="264" t="str">
        <f t="shared" si="206"/>
        <v/>
      </c>
      <c r="BH458" s="71" t="str">
        <f>IF(F458&lt;&gt;"",VLOOKUP(F458,DUTY_2025!A:O,15,FALSE),"")</f>
        <v/>
      </c>
    </row>
    <row r="459" spans="1:60" x14ac:dyDescent="0.25">
      <c r="A459" s="133">
        <f t="shared" si="182"/>
        <v>66</v>
      </c>
      <c r="B459" s="83" t="str">
        <f t="shared" si="183"/>
        <v/>
      </c>
      <c r="C459" s="126"/>
      <c r="D459" s="130"/>
      <c r="E459" s="22"/>
      <c r="F459" s="85"/>
      <c r="G459" s="27" t="str">
        <f>IF(F459&lt;&gt;"",IFERROR(VLOOKUP(F459,DUTY_2025!A:I,6,FALSE),""),"")</f>
        <v/>
      </c>
      <c r="H459" s="85" t="s">
        <v>133</v>
      </c>
      <c r="I459" s="27" t="str">
        <f>IF(F459&lt;&gt;"",IFERROR(VLOOKUP(F459,DUTY_2025!A:H,2,FALSE),""),"")</f>
        <v/>
      </c>
      <c r="J459" s="98"/>
      <c r="K459" s="98"/>
      <c r="L459" s="22"/>
      <c r="M459" s="22"/>
      <c r="N459" s="84"/>
      <c r="O459" s="22"/>
      <c r="P459" s="116"/>
      <c r="Q459" s="23"/>
      <c r="R459" s="27"/>
      <c r="S459" s="86" t="str">
        <f t="shared" si="184"/>
        <v/>
      </c>
      <c r="T459" s="87" t="str">
        <f t="shared" si="185"/>
        <v/>
      </c>
      <c r="U459" s="87" t="str" cm="1">
        <f t="array" ref="U459">IF(AND(H459&lt;&gt;"YES",P459&lt;&gt;"",R459&lt;&gt;"",Q459&lt;&gt;""),
_xlfn.SWITCH(Q459,
"INR",_xlfn.SWITCH(R459,"KG",P459*S459,"CTN",P459,"UNIT",P459*N459,"NET",P459/M459,0),
"USD",_xlfn.SWITCH(R459,"KG",P459*S459*SI!$C$10,"CTN",P459*SI!$C$10,"UNIT",P459*N459*SI!$C$10,"NET",P459*SI!$C$10/M459,0),
"LKR",_xlfn.SWITCH(R459,"KG",P459*S459/SI!$C$9,"CTN",P459/SI!$C$9,"UNIT",P459*N459/SI!$C$9,"NET",P459/(M459*SI!$C$9),0),
0),
"")</f>
        <v/>
      </c>
      <c r="V459" s="87" t="str">
        <f t="shared" si="186"/>
        <v/>
      </c>
      <c r="W459" s="87" t="str">
        <f t="shared" si="187"/>
        <v/>
      </c>
      <c r="X459" s="88" t="str">
        <f t="shared" si="188"/>
        <v/>
      </c>
      <c r="Y459" s="24" t="str">
        <f t="shared" si="189"/>
        <v/>
      </c>
      <c r="Z459" s="267" t="str">
        <f>IF(AND(H459&lt;&gt;"yes",F459&lt;&gt;""),IFERROR(VLOOKUP(F459,DUTY_2025!A:F,5,FALSE),""),"")</f>
        <v/>
      </c>
      <c r="AA459" s="271" t="str">
        <f t="shared" si="190"/>
        <v/>
      </c>
      <c r="AB459" s="16" t="str">
        <f t="shared" si="191"/>
        <v/>
      </c>
      <c r="AC459" s="16" t="str">
        <f>IF(AA459&lt;&gt;"",ROUND(AA459*SI!$C$9,0),"")</f>
        <v/>
      </c>
      <c r="AD459" s="4" t="str">
        <f>IF(AC459&lt;&gt;"",ROUND(AC459/(SI!$C$9*SI!$C$10),2),"")</f>
        <v/>
      </c>
      <c r="AE459" s="30" t="str">
        <f>IF(AND(X459&lt;&gt;""), ROUND((SI!$E$23)*(X459/SUM($X$5:$X$493)),0),"")</f>
        <v/>
      </c>
      <c r="AF459" s="272" t="str">
        <f t="shared" si="192"/>
        <v/>
      </c>
      <c r="AG459" s="28" t="str">
        <f t="shared" si="193"/>
        <v/>
      </c>
      <c r="AH459" s="4" t="str">
        <f>IF(AD459&lt;&gt;"",ROUND(AD459*10*SI!$C$9/2,0),"")</f>
        <v/>
      </c>
      <c r="AI459" s="29" t="str">
        <f>IF(AND(X459&lt;&gt;""), ROUND((SI!$E$28)*(X459/SUM($X$5:$X$493)),0),"")</f>
        <v/>
      </c>
      <c r="AJ459" s="4" t="str">
        <f t="shared" si="194"/>
        <v/>
      </c>
      <c r="AK459" s="4" t="str">
        <f t="shared" si="195"/>
        <v/>
      </c>
      <c r="AL459" s="4" t="str">
        <f t="shared" si="196"/>
        <v/>
      </c>
      <c r="AM459" s="4" t="str">
        <f t="shared" si="197"/>
        <v/>
      </c>
      <c r="AN459" s="195" t="str">
        <f t="shared" si="198"/>
        <v/>
      </c>
      <c r="AO459" s="261" t="str">
        <f>IF(AND(AM459&lt;&gt;"",P459&lt;&gt;""),ROUND((AM459*((100+SI!$C$11)/100)),0),"")</f>
        <v/>
      </c>
      <c r="AP459" s="28" t="str">
        <f>IF(AG459&lt;&gt;"",ROUND(AG459/SI!$C$9,2),"")</f>
        <v/>
      </c>
      <c r="AQ459" s="4" t="str">
        <f>IF(AH459&lt;&gt;"",ROUND(AH459/SI!$C$9,2),"")</f>
        <v/>
      </c>
      <c r="AR459" s="29" t="str">
        <f>IF(AI459&lt;&gt;"",ROUND(AI459/SI!$C$9,2),"")</f>
        <v/>
      </c>
      <c r="AS459" s="4" t="str">
        <f t="shared" si="199"/>
        <v/>
      </c>
      <c r="AT459" s="4" t="str">
        <f t="shared" si="200"/>
        <v/>
      </c>
      <c r="AU459" s="4" t="str">
        <f>IF(AL459&lt;&gt;"",ROUND(AL459/SI!$C$9,2),"")</f>
        <v/>
      </c>
      <c r="AV459" s="4" t="str">
        <f>IF(AM459&lt;&gt;"",ROUND(AM459/SI!$C$9,2),"")</f>
        <v/>
      </c>
      <c r="AW459" s="4" t="str">
        <f>IF(AN459&lt;&gt;"",ROUND(AN459/SI!$C$9,2),"")</f>
        <v/>
      </c>
      <c r="AX459" s="261" t="str">
        <f>IF(AO459&lt;&gt;"",ROUND(AO459/SI!$C$9,2),"")</f>
        <v/>
      </c>
      <c r="AY459" s="28" t="str">
        <f t="shared" si="201"/>
        <v/>
      </c>
      <c r="AZ459" s="4" t="str">
        <f>IF(AY459&lt;&gt;"",ROUND(AY459/(SI!$C$9*SI!$C$10),2),"")</f>
        <v/>
      </c>
      <c r="BA459" s="4" t="str">
        <f t="shared" si="202"/>
        <v/>
      </c>
      <c r="BB459" s="4" t="str">
        <f t="shared" si="203"/>
        <v/>
      </c>
      <c r="BC459" s="4" t="str">
        <f t="shared" si="204"/>
        <v/>
      </c>
      <c r="BD459" s="4" t="str">
        <f t="shared" si="205"/>
        <v/>
      </c>
      <c r="BE459" s="4" t="str">
        <f>IF(AND(X459&lt;&gt;""),ROUND(X459/SI!$C$10,2),"")</f>
        <v/>
      </c>
      <c r="BF459" s="4" t="str">
        <f t="shared" si="207"/>
        <v/>
      </c>
      <c r="BG459" s="264" t="str">
        <f t="shared" si="206"/>
        <v/>
      </c>
      <c r="BH459" s="71" t="str">
        <f>IF(F459&lt;&gt;"",VLOOKUP(F459,DUTY_2025!A:O,15,FALSE),"")</f>
        <v/>
      </c>
    </row>
    <row r="460" spans="1:60" x14ac:dyDescent="0.25">
      <c r="A460" s="133">
        <f t="shared" si="182"/>
        <v>66</v>
      </c>
      <c r="B460" s="83" t="str">
        <f t="shared" si="183"/>
        <v/>
      </c>
      <c r="C460" s="126"/>
      <c r="D460" s="130"/>
      <c r="E460" s="22"/>
      <c r="F460" s="85"/>
      <c r="G460" s="27" t="str">
        <f>IF(F460&lt;&gt;"",IFERROR(VLOOKUP(F460,DUTY_2025!A:I,6,FALSE),""),"")</f>
        <v/>
      </c>
      <c r="H460" s="85" t="s">
        <v>133</v>
      </c>
      <c r="I460" s="27" t="str">
        <f>IF(F460&lt;&gt;"",IFERROR(VLOOKUP(F460,DUTY_2025!A:H,2,FALSE),""),"")</f>
        <v/>
      </c>
      <c r="J460" s="98"/>
      <c r="K460" s="98"/>
      <c r="L460" s="22"/>
      <c r="M460" s="22"/>
      <c r="N460" s="84"/>
      <c r="O460" s="22"/>
      <c r="P460" s="116"/>
      <c r="Q460" s="23"/>
      <c r="R460" s="27"/>
      <c r="S460" s="86" t="str">
        <f t="shared" si="184"/>
        <v/>
      </c>
      <c r="T460" s="87" t="str">
        <f t="shared" si="185"/>
        <v/>
      </c>
      <c r="U460" s="87" t="str" cm="1">
        <f t="array" ref="U460">IF(AND(H460&lt;&gt;"YES",P460&lt;&gt;"",R460&lt;&gt;"",Q460&lt;&gt;""),
_xlfn.SWITCH(Q460,
"INR",_xlfn.SWITCH(R460,"KG",P460*S460,"CTN",P460,"UNIT",P460*N460,"NET",P460/M460,0),
"USD",_xlfn.SWITCH(R460,"KG",P460*S460*SI!$C$10,"CTN",P460*SI!$C$10,"UNIT",P460*N460*SI!$C$10,"NET",P460*SI!$C$10/M460,0),
"LKR",_xlfn.SWITCH(R460,"KG",P460*S460/SI!$C$9,"CTN",P460/SI!$C$9,"UNIT",P460*N460/SI!$C$9,"NET",P460/(M460*SI!$C$9),0),
0),
"")</f>
        <v/>
      </c>
      <c r="V460" s="87" t="str">
        <f t="shared" si="186"/>
        <v/>
      </c>
      <c r="W460" s="87" t="str">
        <f t="shared" si="187"/>
        <v/>
      </c>
      <c r="X460" s="88" t="str">
        <f t="shared" si="188"/>
        <v/>
      </c>
      <c r="Y460" s="24" t="str">
        <f t="shared" si="189"/>
        <v/>
      </c>
      <c r="Z460" s="267" t="str">
        <f>IF(AND(H460&lt;&gt;"yes",F460&lt;&gt;""),IFERROR(VLOOKUP(F460,DUTY_2025!A:F,5,FALSE),""),"")</f>
        <v/>
      </c>
      <c r="AA460" s="271" t="str">
        <f t="shared" si="190"/>
        <v/>
      </c>
      <c r="AB460" s="16" t="str">
        <f t="shared" si="191"/>
        <v/>
      </c>
      <c r="AC460" s="16" t="str">
        <f>IF(AA460&lt;&gt;"",ROUND(AA460*SI!$C$9,0),"")</f>
        <v/>
      </c>
      <c r="AD460" s="4" t="str">
        <f>IF(AC460&lt;&gt;"",ROUND(AC460/(SI!$C$9*SI!$C$10),2),"")</f>
        <v/>
      </c>
      <c r="AE460" s="30" t="str">
        <f>IF(AND(X460&lt;&gt;""), ROUND((SI!$E$23)*(X460/SUM($X$5:$X$493)),0),"")</f>
        <v/>
      </c>
      <c r="AF460" s="272" t="str">
        <f t="shared" si="192"/>
        <v/>
      </c>
      <c r="AG460" s="28" t="str">
        <f t="shared" si="193"/>
        <v/>
      </c>
      <c r="AH460" s="4" t="str">
        <f>IF(AD460&lt;&gt;"",ROUND(AD460*10*SI!$C$9/2,0),"")</f>
        <v/>
      </c>
      <c r="AI460" s="29" t="str">
        <f>IF(AND(X460&lt;&gt;""), ROUND((SI!$E$28)*(X460/SUM($X$5:$X$493)),0),"")</f>
        <v/>
      </c>
      <c r="AJ460" s="4" t="str">
        <f t="shared" si="194"/>
        <v/>
      </c>
      <c r="AK460" s="4" t="str">
        <f t="shared" si="195"/>
        <v/>
      </c>
      <c r="AL460" s="4" t="str">
        <f t="shared" si="196"/>
        <v/>
      </c>
      <c r="AM460" s="4" t="str">
        <f t="shared" si="197"/>
        <v/>
      </c>
      <c r="AN460" s="195" t="str">
        <f t="shared" si="198"/>
        <v/>
      </c>
      <c r="AO460" s="261" t="str">
        <f>IF(AND(AM460&lt;&gt;"",P460&lt;&gt;""),ROUND((AM460*((100+SI!$C$11)/100)),0),"")</f>
        <v/>
      </c>
      <c r="AP460" s="28" t="str">
        <f>IF(AG460&lt;&gt;"",ROUND(AG460/SI!$C$9,2),"")</f>
        <v/>
      </c>
      <c r="AQ460" s="4" t="str">
        <f>IF(AH460&lt;&gt;"",ROUND(AH460/SI!$C$9,2),"")</f>
        <v/>
      </c>
      <c r="AR460" s="29" t="str">
        <f>IF(AI460&lt;&gt;"",ROUND(AI460/SI!$C$9,2),"")</f>
        <v/>
      </c>
      <c r="AS460" s="4" t="str">
        <f t="shared" si="199"/>
        <v/>
      </c>
      <c r="AT460" s="4" t="str">
        <f t="shared" si="200"/>
        <v/>
      </c>
      <c r="AU460" s="4" t="str">
        <f>IF(AL460&lt;&gt;"",ROUND(AL460/SI!$C$9,2),"")</f>
        <v/>
      </c>
      <c r="AV460" s="4" t="str">
        <f>IF(AM460&lt;&gt;"",ROUND(AM460/SI!$C$9,2),"")</f>
        <v/>
      </c>
      <c r="AW460" s="4" t="str">
        <f>IF(AN460&lt;&gt;"",ROUND(AN460/SI!$C$9,2),"")</f>
        <v/>
      </c>
      <c r="AX460" s="261" t="str">
        <f>IF(AO460&lt;&gt;"",ROUND(AO460/SI!$C$9,2),"")</f>
        <v/>
      </c>
      <c r="AY460" s="28" t="str">
        <f t="shared" si="201"/>
        <v/>
      </c>
      <c r="AZ460" s="4" t="str">
        <f>IF(AY460&lt;&gt;"",ROUND(AY460/(SI!$C$9*SI!$C$10),2),"")</f>
        <v/>
      </c>
      <c r="BA460" s="4" t="str">
        <f t="shared" si="202"/>
        <v/>
      </c>
      <c r="BB460" s="4" t="str">
        <f t="shared" si="203"/>
        <v/>
      </c>
      <c r="BC460" s="4" t="str">
        <f t="shared" si="204"/>
        <v/>
      </c>
      <c r="BD460" s="4" t="str">
        <f t="shared" si="205"/>
        <v/>
      </c>
      <c r="BE460" s="4" t="str">
        <f>IF(AND(X460&lt;&gt;""),ROUND(X460/SI!$C$10,2),"")</f>
        <v/>
      </c>
      <c r="BF460" s="4" t="str">
        <f t="shared" si="207"/>
        <v/>
      </c>
      <c r="BG460" s="264" t="str">
        <f t="shared" si="206"/>
        <v/>
      </c>
      <c r="BH460" s="71" t="str">
        <f>IF(F460&lt;&gt;"",VLOOKUP(F460,DUTY_2025!A:O,15,FALSE),"")</f>
        <v/>
      </c>
    </row>
    <row r="461" spans="1:60" x14ac:dyDescent="0.25">
      <c r="A461" s="133">
        <f t="shared" si="182"/>
        <v>66</v>
      </c>
      <c r="B461" s="83" t="str">
        <f t="shared" si="183"/>
        <v/>
      </c>
      <c r="C461" s="126"/>
      <c r="D461" s="130"/>
      <c r="E461" s="22"/>
      <c r="F461" s="85"/>
      <c r="G461" s="27" t="str">
        <f>IF(F461&lt;&gt;"",IFERROR(VLOOKUP(F461,DUTY_2025!A:I,6,FALSE),""),"")</f>
        <v/>
      </c>
      <c r="H461" s="85" t="s">
        <v>133</v>
      </c>
      <c r="I461" s="27" t="str">
        <f>IF(F461&lt;&gt;"",IFERROR(VLOOKUP(F461,DUTY_2025!A:H,2,FALSE),""),"")</f>
        <v/>
      </c>
      <c r="J461" s="98"/>
      <c r="K461" s="98"/>
      <c r="L461" s="22"/>
      <c r="M461" s="22"/>
      <c r="N461" s="84"/>
      <c r="O461" s="22"/>
      <c r="P461" s="116"/>
      <c r="Q461" s="23"/>
      <c r="R461" s="27"/>
      <c r="S461" s="86" t="str">
        <f t="shared" si="184"/>
        <v/>
      </c>
      <c r="T461" s="87" t="str">
        <f t="shared" si="185"/>
        <v/>
      </c>
      <c r="U461" s="87" t="str" cm="1">
        <f t="array" ref="U461">IF(AND(H461&lt;&gt;"YES",P461&lt;&gt;"",R461&lt;&gt;"",Q461&lt;&gt;""),
_xlfn.SWITCH(Q461,
"INR",_xlfn.SWITCH(R461,"KG",P461*S461,"CTN",P461,"UNIT",P461*N461,"NET",P461/M461,0),
"USD",_xlfn.SWITCH(R461,"KG",P461*S461*SI!$C$10,"CTN",P461*SI!$C$10,"UNIT",P461*N461*SI!$C$10,"NET",P461*SI!$C$10/M461,0),
"LKR",_xlfn.SWITCH(R461,"KG",P461*S461/SI!$C$9,"CTN",P461/SI!$C$9,"UNIT",P461*N461/SI!$C$9,"NET",P461/(M461*SI!$C$9),0),
0),
"")</f>
        <v/>
      </c>
      <c r="V461" s="87" t="str">
        <f t="shared" si="186"/>
        <v/>
      </c>
      <c r="W461" s="87" t="str">
        <f t="shared" si="187"/>
        <v/>
      </c>
      <c r="X461" s="88" t="str">
        <f t="shared" si="188"/>
        <v/>
      </c>
      <c r="Y461" s="24" t="str">
        <f t="shared" si="189"/>
        <v/>
      </c>
      <c r="Z461" s="267" t="str">
        <f>IF(AND(H461&lt;&gt;"yes",F461&lt;&gt;""),IFERROR(VLOOKUP(F461,DUTY_2025!A:F,5,FALSE),""),"")</f>
        <v/>
      </c>
      <c r="AA461" s="271" t="str">
        <f t="shared" si="190"/>
        <v/>
      </c>
      <c r="AB461" s="16" t="str">
        <f t="shared" si="191"/>
        <v/>
      </c>
      <c r="AC461" s="16" t="str">
        <f>IF(AA461&lt;&gt;"",ROUND(AA461*SI!$C$9,0),"")</f>
        <v/>
      </c>
      <c r="AD461" s="4" t="str">
        <f>IF(AC461&lt;&gt;"",ROUND(AC461/(SI!$C$9*SI!$C$10),2),"")</f>
        <v/>
      </c>
      <c r="AE461" s="30" t="str">
        <f>IF(AND(X461&lt;&gt;""), ROUND((SI!$E$23)*(X461/SUM($X$5:$X$493)),0),"")</f>
        <v/>
      </c>
      <c r="AF461" s="272" t="str">
        <f t="shared" si="192"/>
        <v/>
      </c>
      <c r="AG461" s="28" t="str">
        <f t="shared" si="193"/>
        <v/>
      </c>
      <c r="AH461" s="4" t="str">
        <f>IF(AD461&lt;&gt;"",ROUND(AD461*10*SI!$C$9/2,0),"")</f>
        <v/>
      </c>
      <c r="AI461" s="29" t="str">
        <f>IF(AND(X461&lt;&gt;""), ROUND((SI!$E$28)*(X461/SUM($X$5:$X$493)),0),"")</f>
        <v/>
      </c>
      <c r="AJ461" s="4" t="str">
        <f t="shared" si="194"/>
        <v/>
      </c>
      <c r="AK461" s="4" t="str">
        <f t="shared" si="195"/>
        <v/>
      </c>
      <c r="AL461" s="4" t="str">
        <f t="shared" si="196"/>
        <v/>
      </c>
      <c r="AM461" s="4" t="str">
        <f t="shared" si="197"/>
        <v/>
      </c>
      <c r="AN461" s="195" t="str">
        <f t="shared" si="198"/>
        <v/>
      </c>
      <c r="AO461" s="261" t="str">
        <f>IF(AND(AM461&lt;&gt;"",P461&lt;&gt;""),ROUND((AM461*((100+SI!$C$11)/100)),0),"")</f>
        <v/>
      </c>
      <c r="AP461" s="28" t="str">
        <f>IF(AG461&lt;&gt;"",ROUND(AG461/SI!$C$9,2),"")</f>
        <v/>
      </c>
      <c r="AQ461" s="4" t="str">
        <f>IF(AH461&lt;&gt;"",ROUND(AH461/SI!$C$9,2),"")</f>
        <v/>
      </c>
      <c r="AR461" s="29" t="str">
        <f>IF(AI461&lt;&gt;"",ROUND(AI461/SI!$C$9,2),"")</f>
        <v/>
      </c>
      <c r="AS461" s="4" t="str">
        <f t="shared" si="199"/>
        <v/>
      </c>
      <c r="AT461" s="4" t="str">
        <f t="shared" si="200"/>
        <v/>
      </c>
      <c r="AU461" s="4" t="str">
        <f>IF(AL461&lt;&gt;"",ROUND(AL461/SI!$C$9,2),"")</f>
        <v/>
      </c>
      <c r="AV461" s="4" t="str">
        <f>IF(AM461&lt;&gt;"",ROUND(AM461/SI!$C$9,2),"")</f>
        <v/>
      </c>
      <c r="AW461" s="4" t="str">
        <f>IF(AN461&lt;&gt;"",ROUND(AN461/SI!$C$9,2),"")</f>
        <v/>
      </c>
      <c r="AX461" s="261" t="str">
        <f>IF(AO461&lt;&gt;"",ROUND(AO461/SI!$C$9,2),"")</f>
        <v/>
      </c>
      <c r="AY461" s="28" t="str">
        <f t="shared" si="201"/>
        <v/>
      </c>
      <c r="AZ461" s="4" t="str">
        <f>IF(AY461&lt;&gt;"",ROUND(AY461/(SI!$C$9*SI!$C$10),2),"")</f>
        <v/>
      </c>
      <c r="BA461" s="4" t="str">
        <f t="shared" si="202"/>
        <v/>
      </c>
      <c r="BB461" s="4" t="str">
        <f t="shared" si="203"/>
        <v/>
      </c>
      <c r="BC461" s="4" t="str">
        <f t="shared" si="204"/>
        <v/>
      </c>
      <c r="BD461" s="4" t="str">
        <f t="shared" si="205"/>
        <v/>
      </c>
      <c r="BE461" s="4" t="str">
        <f>IF(AND(X461&lt;&gt;""),ROUND(X461/SI!$C$10,2),"")</f>
        <v/>
      </c>
      <c r="BF461" s="4" t="str">
        <f t="shared" si="207"/>
        <v/>
      </c>
      <c r="BG461" s="264" t="str">
        <f t="shared" si="206"/>
        <v/>
      </c>
      <c r="BH461" s="71" t="str">
        <f>IF(F461&lt;&gt;"",VLOOKUP(F461,DUTY_2025!A:O,15,FALSE),"")</f>
        <v/>
      </c>
    </row>
    <row r="462" spans="1:60" x14ac:dyDescent="0.25">
      <c r="A462" s="133">
        <f t="shared" si="182"/>
        <v>66</v>
      </c>
      <c r="B462" s="83" t="str">
        <f t="shared" si="183"/>
        <v/>
      </c>
      <c r="C462" s="126"/>
      <c r="D462" s="130"/>
      <c r="E462" s="22"/>
      <c r="F462" s="85"/>
      <c r="G462" s="27" t="str">
        <f>IF(F462&lt;&gt;"",IFERROR(VLOOKUP(F462,DUTY_2025!A:I,6,FALSE),""),"")</f>
        <v/>
      </c>
      <c r="H462" s="85" t="s">
        <v>133</v>
      </c>
      <c r="I462" s="27" t="str">
        <f>IF(F462&lt;&gt;"",IFERROR(VLOOKUP(F462,DUTY_2025!A:H,2,FALSE),""),"")</f>
        <v/>
      </c>
      <c r="J462" s="98"/>
      <c r="K462" s="98"/>
      <c r="L462" s="22"/>
      <c r="M462" s="22"/>
      <c r="N462" s="84"/>
      <c r="O462" s="22"/>
      <c r="P462" s="116"/>
      <c r="Q462" s="23"/>
      <c r="R462" s="27"/>
      <c r="S462" s="86" t="str">
        <f t="shared" si="184"/>
        <v/>
      </c>
      <c r="T462" s="87" t="str">
        <f t="shared" si="185"/>
        <v/>
      </c>
      <c r="U462" s="87" t="str" cm="1">
        <f t="array" ref="U462">IF(AND(H462&lt;&gt;"YES",P462&lt;&gt;"",R462&lt;&gt;"",Q462&lt;&gt;""),
_xlfn.SWITCH(Q462,
"INR",_xlfn.SWITCH(R462,"KG",P462*S462,"CTN",P462,"UNIT",P462*N462,"NET",P462/M462,0),
"USD",_xlfn.SWITCH(R462,"KG",P462*S462*SI!$C$10,"CTN",P462*SI!$C$10,"UNIT",P462*N462*SI!$C$10,"NET",P462*SI!$C$10/M462,0),
"LKR",_xlfn.SWITCH(R462,"KG",P462*S462/SI!$C$9,"CTN",P462/SI!$C$9,"UNIT",P462*N462/SI!$C$9,"NET",P462/(M462*SI!$C$9),0),
0),
"")</f>
        <v/>
      </c>
      <c r="V462" s="87" t="str">
        <f t="shared" si="186"/>
        <v/>
      </c>
      <c r="W462" s="87" t="str">
        <f t="shared" si="187"/>
        <v/>
      </c>
      <c r="X462" s="88" t="str">
        <f t="shared" si="188"/>
        <v/>
      </c>
      <c r="Y462" s="24" t="str">
        <f t="shared" si="189"/>
        <v/>
      </c>
      <c r="Z462" s="267" t="str">
        <f>IF(AND(H462&lt;&gt;"yes",F462&lt;&gt;""),IFERROR(VLOOKUP(F462,DUTY_2025!A:F,5,FALSE),""),"")</f>
        <v/>
      </c>
      <c r="AA462" s="271" t="str">
        <f t="shared" si="190"/>
        <v/>
      </c>
      <c r="AB462" s="16" t="str">
        <f t="shared" si="191"/>
        <v/>
      </c>
      <c r="AC462" s="16" t="str">
        <f>IF(AA462&lt;&gt;"",ROUND(AA462*SI!$C$9,0),"")</f>
        <v/>
      </c>
      <c r="AD462" s="4" t="str">
        <f>IF(AC462&lt;&gt;"",ROUND(AC462/(SI!$C$9*SI!$C$10),2),"")</f>
        <v/>
      </c>
      <c r="AE462" s="30" t="str">
        <f>IF(AND(X462&lt;&gt;""), ROUND((SI!$E$23)*(X462/SUM($X$5:$X$493)),0),"")</f>
        <v/>
      </c>
      <c r="AF462" s="272" t="str">
        <f t="shared" si="192"/>
        <v/>
      </c>
      <c r="AG462" s="28" t="str">
        <f t="shared" si="193"/>
        <v/>
      </c>
      <c r="AH462" s="4" t="str">
        <f>IF(AD462&lt;&gt;"",ROUND(AD462*10*SI!$C$9/2,0),"")</f>
        <v/>
      </c>
      <c r="AI462" s="29" t="str">
        <f>IF(AND(X462&lt;&gt;""), ROUND((SI!$E$28)*(X462/SUM($X$5:$X$493)),0),"")</f>
        <v/>
      </c>
      <c r="AJ462" s="4" t="str">
        <f t="shared" si="194"/>
        <v/>
      </c>
      <c r="AK462" s="4" t="str">
        <f t="shared" si="195"/>
        <v/>
      </c>
      <c r="AL462" s="4" t="str">
        <f t="shared" si="196"/>
        <v/>
      </c>
      <c r="AM462" s="4" t="str">
        <f t="shared" si="197"/>
        <v/>
      </c>
      <c r="AN462" s="195" t="str">
        <f t="shared" si="198"/>
        <v/>
      </c>
      <c r="AO462" s="261" t="str">
        <f>IF(AND(AM462&lt;&gt;"",P462&lt;&gt;""),ROUND((AM462*((100+SI!$C$11)/100)),0),"")</f>
        <v/>
      </c>
      <c r="AP462" s="28" t="str">
        <f>IF(AG462&lt;&gt;"",ROUND(AG462/SI!$C$9,2),"")</f>
        <v/>
      </c>
      <c r="AQ462" s="4" t="str">
        <f>IF(AH462&lt;&gt;"",ROUND(AH462/SI!$C$9,2),"")</f>
        <v/>
      </c>
      <c r="AR462" s="29" t="str">
        <f>IF(AI462&lt;&gt;"",ROUND(AI462/SI!$C$9,2),"")</f>
        <v/>
      </c>
      <c r="AS462" s="4" t="str">
        <f t="shared" si="199"/>
        <v/>
      </c>
      <c r="AT462" s="4" t="str">
        <f t="shared" si="200"/>
        <v/>
      </c>
      <c r="AU462" s="4" t="str">
        <f>IF(AL462&lt;&gt;"",ROUND(AL462/SI!$C$9,2),"")</f>
        <v/>
      </c>
      <c r="AV462" s="4" t="str">
        <f>IF(AM462&lt;&gt;"",ROUND(AM462/SI!$C$9,2),"")</f>
        <v/>
      </c>
      <c r="AW462" s="4" t="str">
        <f>IF(AN462&lt;&gt;"",ROUND(AN462/SI!$C$9,2),"")</f>
        <v/>
      </c>
      <c r="AX462" s="261" t="str">
        <f>IF(AO462&lt;&gt;"",ROUND(AO462/SI!$C$9,2),"")</f>
        <v/>
      </c>
      <c r="AY462" s="28" t="str">
        <f t="shared" si="201"/>
        <v/>
      </c>
      <c r="AZ462" s="4" t="str">
        <f>IF(AY462&lt;&gt;"",ROUND(AY462/(SI!$C$9*SI!$C$10),2),"")</f>
        <v/>
      </c>
      <c r="BA462" s="4" t="str">
        <f t="shared" si="202"/>
        <v/>
      </c>
      <c r="BB462" s="4" t="str">
        <f t="shared" si="203"/>
        <v/>
      </c>
      <c r="BC462" s="4" t="str">
        <f t="shared" si="204"/>
        <v/>
      </c>
      <c r="BD462" s="4" t="str">
        <f t="shared" si="205"/>
        <v/>
      </c>
      <c r="BE462" s="4" t="str">
        <f>IF(AND(X462&lt;&gt;""),ROUND(X462/SI!$C$10,2),"")</f>
        <v/>
      </c>
      <c r="BF462" s="4" t="str">
        <f t="shared" si="207"/>
        <v/>
      </c>
      <c r="BG462" s="264" t="str">
        <f t="shared" si="206"/>
        <v/>
      </c>
      <c r="BH462" s="71" t="str">
        <f>IF(F462&lt;&gt;"",VLOOKUP(F462,DUTY_2025!A:O,15,FALSE),"")</f>
        <v/>
      </c>
    </row>
    <row r="463" spans="1:60" x14ac:dyDescent="0.25">
      <c r="A463" s="133">
        <f t="shared" si="182"/>
        <v>66</v>
      </c>
      <c r="B463" s="83" t="str">
        <f t="shared" si="183"/>
        <v/>
      </c>
      <c r="C463" s="126"/>
      <c r="D463" s="130"/>
      <c r="E463" s="22"/>
      <c r="F463" s="85"/>
      <c r="G463" s="27" t="str">
        <f>IF(F463&lt;&gt;"",IFERROR(VLOOKUP(F463,DUTY_2025!A:I,6,FALSE),""),"")</f>
        <v/>
      </c>
      <c r="H463" s="85" t="s">
        <v>133</v>
      </c>
      <c r="I463" s="27" t="str">
        <f>IF(F463&lt;&gt;"",IFERROR(VLOOKUP(F463,DUTY_2025!A:H,2,FALSE),""),"")</f>
        <v/>
      </c>
      <c r="J463" s="98"/>
      <c r="K463" s="98"/>
      <c r="L463" s="22"/>
      <c r="M463" s="22"/>
      <c r="N463" s="84"/>
      <c r="O463" s="22"/>
      <c r="P463" s="116"/>
      <c r="Q463" s="23"/>
      <c r="R463" s="27"/>
      <c r="S463" s="86" t="str">
        <f t="shared" si="184"/>
        <v/>
      </c>
      <c r="T463" s="87" t="str">
        <f t="shared" si="185"/>
        <v/>
      </c>
      <c r="U463" s="87" t="str" cm="1">
        <f t="array" ref="U463">IF(AND(H463&lt;&gt;"YES",P463&lt;&gt;"",R463&lt;&gt;"",Q463&lt;&gt;""),
_xlfn.SWITCH(Q463,
"INR",_xlfn.SWITCH(R463,"KG",P463*S463,"CTN",P463,"UNIT",P463*N463,"NET",P463/M463,0),
"USD",_xlfn.SWITCH(R463,"KG",P463*S463*SI!$C$10,"CTN",P463*SI!$C$10,"UNIT",P463*N463*SI!$C$10,"NET",P463*SI!$C$10/M463,0),
"LKR",_xlfn.SWITCH(R463,"KG",P463*S463/SI!$C$9,"CTN",P463/SI!$C$9,"UNIT",P463*N463/SI!$C$9,"NET",P463/(M463*SI!$C$9),0),
0),
"")</f>
        <v/>
      </c>
      <c r="V463" s="87" t="str">
        <f t="shared" si="186"/>
        <v/>
      </c>
      <c r="W463" s="87" t="str">
        <f t="shared" si="187"/>
        <v/>
      </c>
      <c r="X463" s="88" t="str">
        <f t="shared" si="188"/>
        <v/>
      </c>
      <c r="Y463" s="24" t="str">
        <f t="shared" si="189"/>
        <v/>
      </c>
      <c r="Z463" s="267" t="str">
        <f>IF(AND(H463&lt;&gt;"yes",F463&lt;&gt;""),IFERROR(VLOOKUP(F463,DUTY_2025!A:F,5,FALSE),""),"")</f>
        <v/>
      </c>
      <c r="AA463" s="271" t="str">
        <f t="shared" si="190"/>
        <v/>
      </c>
      <c r="AB463" s="16" t="str">
        <f t="shared" si="191"/>
        <v/>
      </c>
      <c r="AC463" s="16" t="str">
        <f>IF(AA463&lt;&gt;"",ROUND(AA463*SI!$C$9,0),"")</f>
        <v/>
      </c>
      <c r="AD463" s="4" t="str">
        <f>IF(AC463&lt;&gt;"",ROUND(AC463/(SI!$C$9*SI!$C$10),2),"")</f>
        <v/>
      </c>
      <c r="AE463" s="30" t="str">
        <f>IF(AND(X463&lt;&gt;""), ROUND((SI!$E$23)*(X463/SUM($X$5:$X$493)),0),"")</f>
        <v/>
      </c>
      <c r="AF463" s="272" t="str">
        <f t="shared" si="192"/>
        <v/>
      </c>
      <c r="AG463" s="28" t="str">
        <f t="shared" si="193"/>
        <v/>
      </c>
      <c r="AH463" s="4" t="str">
        <f>IF(AD463&lt;&gt;"",ROUND(AD463*10*SI!$C$9/2,0),"")</f>
        <v/>
      </c>
      <c r="AI463" s="29" t="str">
        <f>IF(AND(X463&lt;&gt;""), ROUND((SI!$E$28)*(X463/SUM($X$5:$X$493)),0),"")</f>
        <v/>
      </c>
      <c r="AJ463" s="4" t="str">
        <f t="shared" si="194"/>
        <v/>
      </c>
      <c r="AK463" s="4" t="str">
        <f t="shared" si="195"/>
        <v/>
      </c>
      <c r="AL463" s="4" t="str">
        <f t="shared" si="196"/>
        <v/>
      </c>
      <c r="AM463" s="4" t="str">
        <f t="shared" si="197"/>
        <v/>
      </c>
      <c r="AN463" s="195" t="str">
        <f t="shared" si="198"/>
        <v/>
      </c>
      <c r="AO463" s="261" t="str">
        <f>IF(AND(AM463&lt;&gt;"",P463&lt;&gt;""),ROUND((AM463*((100+SI!$C$11)/100)),0),"")</f>
        <v/>
      </c>
      <c r="AP463" s="28" t="str">
        <f>IF(AG463&lt;&gt;"",ROUND(AG463/SI!$C$9,2),"")</f>
        <v/>
      </c>
      <c r="AQ463" s="4" t="str">
        <f>IF(AH463&lt;&gt;"",ROUND(AH463/SI!$C$9,2),"")</f>
        <v/>
      </c>
      <c r="AR463" s="29" t="str">
        <f>IF(AI463&lt;&gt;"",ROUND(AI463/SI!$C$9,2),"")</f>
        <v/>
      </c>
      <c r="AS463" s="4" t="str">
        <f t="shared" si="199"/>
        <v/>
      </c>
      <c r="AT463" s="4" t="str">
        <f t="shared" si="200"/>
        <v/>
      </c>
      <c r="AU463" s="4" t="str">
        <f>IF(AL463&lt;&gt;"",ROUND(AL463/SI!$C$9,2),"")</f>
        <v/>
      </c>
      <c r="AV463" s="4" t="str">
        <f>IF(AM463&lt;&gt;"",ROUND(AM463/SI!$C$9,2),"")</f>
        <v/>
      </c>
      <c r="AW463" s="4" t="str">
        <f>IF(AN463&lt;&gt;"",ROUND(AN463/SI!$C$9,2),"")</f>
        <v/>
      </c>
      <c r="AX463" s="261" t="str">
        <f>IF(AO463&lt;&gt;"",ROUND(AO463/SI!$C$9,2),"")</f>
        <v/>
      </c>
      <c r="AY463" s="28" t="str">
        <f t="shared" si="201"/>
        <v/>
      </c>
      <c r="AZ463" s="4" t="str">
        <f>IF(AY463&lt;&gt;"",ROUND(AY463/(SI!$C$9*SI!$C$10),2),"")</f>
        <v/>
      </c>
      <c r="BA463" s="4" t="str">
        <f t="shared" si="202"/>
        <v/>
      </c>
      <c r="BB463" s="4" t="str">
        <f t="shared" si="203"/>
        <v/>
      </c>
      <c r="BC463" s="4" t="str">
        <f t="shared" si="204"/>
        <v/>
      </c>
      <c r="BD463" s="4" t="str">
        <f t="shared" si="205"/>
        <v/>
      </c>
      <c r="BE463" s="4" t="str">
        <f>IF(AND(X463&lt;&gt;""),ROUND(X463/SI!$C$10,2),"")</f>
        <v/>
      </c>
      <c r="BF463" s="4" t="str">
        <f t="shared" si="207"/>
        <v/>
      </c>
      <c r="BG463" s="264" t="str">
        <f t="shared" si="206"/>
        <v/>
      </c>
      <c r="BH463" s="71" t="str">
        <f>IF(F463&lt;&gt;"",VLOOKUP(F463,DUTY_2025!A:O,15,FALSE),"")</f>
        <v/>
      </c>
    </row>
    <row r="464" spans="1:60" x14ac:dyDescent="0.25">
      <c r="A464" s="133">
        <f t="shared" si="182"/>
        <v>66</v>
      </c>
      <c r="B464" s="83" t="str">
        <f t="shared" si="183"/>
        <v/>
      </c>
      <c r="C464" s="126"/>
      <c r="D464" s="130"/>
      <c r="E464" s="22"/>
      <c r="F464" s="85"/>
      <c r="G464" s="27" t="str">
        <f>IF(F464&lt;&gt;"",IFERROR(VLOOKUP(F464,DUTY_2025!A:I,6,FALSE),""),"")</f>
        <v/>
      </c>
      <c r="H464" s="85" t="s">
        <v>133</v>
      </c>
      <c r="I464" s="27" t="str">
        <f>IF(F464&lt;&gt;"",IFERROR(VLOOKUP(F464,DUTY_2025!A:H,2,FALSE),""),"")</f>
        <v/>
      </c>
      <c r="J464" s="98"/>
      <c r="K464" s="98"/>
      <c r="L464" s="22"/>
      <c r="M464" s="22"/>
      <c r="N464" s="84"/>
      <c r="O464" s="22"/>
      <c r="P464" s="116"/>
      <c r="Q464" s="23"/>
      <c r="R464" s="27"/>
      <c r="S464" s="86" t="str">
        <f t="shared" si="184"/>
        <v/>
      </c>
      <c r="T464" s="87" t="str">
        <f t="shared" si="185"/>
        <v/>
      </c>
      <c r="U464" s="87" t="str" cm="1">
        <f t="array" ref="U464">IF(AND(H464&lt;&gt;"YES",P464&lt;&gt;"",R464&lt;&gt;"",Q464&lt;&gt;""),
_xlfn.SWITCH(Q464,
"INR",_xlfn.SWITCH(R464,"KG",P464*S464,"CTN",P464,"UNIT",P464*N464,"NET",P464/M464,0),
"USD",_xlfn.SWITCH(R464,"KG",P464*S464*SI!$C$10,"CTN",P464*SI!$C$10,"UNIT",P464*N464*SI!$C$10,"NET",P464*SI!$C$10/M464,0),
"LKR",_xlfn.SWITCH(R464,"KG",P464*S464/SI!$C$9,"CTN",P464/SI!$C$9,"UNIT",P464*N464/SI!$C$9,"NET",P464/(M464*SI!$C$9),0),
0),
"")</f>
        <v/>
      </c>
      <c r="V464" s="87" t="str">
        <f t="shared" si="186"/>
        <v/>
      </c>
      <c r="W464" s="87" t="str">
        <f t="shared" si="187"/>
        <v/>
      </c>
      <c r="X464" s="88" t="str">
        <f t="shared" si="188"/>
        <v/>
      </c>
      <c r="Y464" s="24" t="str">
        <f t="shared" si="189"/>
        <v/>
      </c>
      <c r="Z464" s="267" t="str">
        <f>IF(AND(H464&lt;&gt;"yes",F464&lt;&gt;""),IFERROR(VLOOKUP(F464,DUTY_2025!A:F,5,FALSE),""),"")</f>
        <v/>
      </c>
      <c r="AA464" s="271" t="str">
        <f t="shared" si="190"/>
        <v/>
      </c>
      <c r="AB464" s="16" t="str">
        <f t="shared" si="191"/>
        <v/>
      </c>
      <c r="AC464" s="16" t="str">
        <f>IF(AA464&lt;&gt;"",ROUND(AA464*SI!$C$9,0),"")</f>
        <v/>
      </c>
      <c r="AD464" s="4" t="str">
        <f>IF(AC464&lt;&gt;"",ROUND(AC464/(SI!$C$9*SI!$C$10),2),"")</f>
        <v/>
      </c>
      <c r="AE464" s="30" t="str">
        <f>IF(AND(X464&lt;&gt;""), ROUND((SI!$E$23)*(X464/SUM($X$5:$X$493)),0),"")</f>
        <v/>
      </c>
      <c r="AF464" s="272" t="str">
        <f t="shared" si="192"/>
        <v/>
      </c>
      <c r="AG464" s="28" t="str">
        <f t="shared" si="193"/>
        <v/>
      </c>
      <c r="AH464" s="4" t="str">
        <f>IF(AD464&lt;&gt;"",ROUND(AD464*10*SI!$C$9/2,0),"")</f>
        <v/>
      </c>
      <c r="AI464" s="29" t="str">
        <f>IF(AND(X464&lt;&gt;""), ROUND((SI!$E$28)*(X464/SUM($X$5:$X$493)),0),"")</f>
        <v/>
      </c>
      <c r="AJ464" s="4" t="str">
        <f t="shared" si="194"/>
        <v/>
      </c>
      <c r="AK464" s="4" t="str">
        <f t="shared" si="195"/>
        <v/>
      </c>
      <c r="AL464" s="4" t="str">
        <f t="shared" si="196"/>
        <v/>
      </c>
      <c r="AM464" s="4" t="str">
        <f t="shared" si="197"/>
        <v/>
      </c>
      <c r="AN464" s="195" t="str">
        <f t="shared" si="198"/>
        <v/>
      </c>
      <c r="AO464" s="261" t="str">
        <f>IF(AND(AM464&lt;&gt;"",P464&lt;&gt;""),ROUND((AM464*((100+SI!$C$11)/100)),0),"")</f>
        <v/>
      </c>
      <c r="AP464" s="28" t="str">
        <f>IF(AG464&lt;&gt;"",ROUND(AG464/SI!$C$9,2),"")</f>
        <v/>
      </c>
      <c r="AQ464" s="4" t="str">
        <f>IF(AH464&lt;&gt;"",ROUND(AH464/SI!$C$9,2),"")</f>
        <v/>
      </c>
      <c r="AR464" s="29" t="str">
        <f>IF(AI464&lt;&gt;"",ROUND(AI464/SI!$C$9,2),"")</f>
        <v/>
      </c>
      <c r="AS464" s="4" t="str">
        <f t="shared" si="199"/>
        <v/>
      </c>
      <c r="AT464" s="4" t="str">
        <f t="shared" si="200"/>
        <v/>
      </c>
      <c r="AU464" s="4" t="str">
        <f>IF(AL464&lt;&gt;"",ROUND(AL464/SI!$C$9,2),"")</f>
        <v/>
      </c>
      <c r="AV464" s="4" t="str">
        <f>IF(AM464&lt;&gt;"",ROUND(AM464/SI!$C$9,2),"")</f>
        <v/>
      </c>
      <c r="AW464" s="4" t="str">
        <f>IF(AN464&lt;&gt;"",ROUND(AN464/SI!$C$9,2),"")</f>
        <v/>
      </c>
      <c r="AX464" s="261" t="str">
        <f>IF(AO464&lt;&gt;"",ROUND(AO464/SI!$C$9,2),"")</f>
        <v/>
      </c>
      <c r="AY464" s="28" t="str">
        <f t="shared" si="201"/>
        <v/>
      </c>
      <c r="AZ464" s="4" t="str">
        <f>IF(AY464&lt;&gt;"",ROUND(AY464/(SI!$C$9*SI!$C$10),2),"")</f>
        <v/>
      </c>
      <c r="BA464" s="4" t="str">
        <f t="shared" si="202"/>
        <v/>
      </c>
      <c r="BB464" s="4" t="str">
        <f t="shared" si="203"/>
        <v/>
      </c>
      <c r="BC464" s="4" t="str">
        <f t="shared" si="204"/>
        <v/>
      </c>
      <c r="BD464" s="4" t="str">
        <f t="shared" si="205"/>
        <v/>
      </c>
      <c r="BE464" s="4" t="str">
        <f>IF(AND(X464&lt;&gt;""),ROUND(X464/SI!$C$10,2),"")</f>
        <v/>
      </c>
      <c r="BF464" s="4" t="str">
        <f t="shared" si="207"/>
        <v/>
      </c>
      <c r="BG464" s="264" t="str">
        <f t="shared" si="206"/>
        <v/>
      </c>
      <c r="BH464" s="71" t="str">
        <f>IF(F464&lt;&gt;"",VLOOKUP(F464,DUTY_2025!A:O,15,FALSE),"")</f>
        <v/>
      </c>
    </row>
    <row r="465" spans="1:60" x14ac:dyDescent="0.25">
      <c r="A465" s="133">
        <f t="shared" si="182"/>
        <v>66</v>
      </c>
      <c r="B465" s="83" t="str">
        <f t="shared" si="183"/>
        <v/>
      </c>
      <c r="C465" s="126"/>
      <c r="D465" s="130"/>
      <c r="E465" s="22"/>
      <c r="F465" s="85"/>
      <c r="G465" s="27" t="str">
        <f>IF(F465&lt;&gt;"",IFERROR(VLOOKUP(F465,DUTY_2025!A:I,6,FALSE),""),"")</f>
        <v/>
      </c>
      <c r="H465" s="85" t="s">
        <v>133</v>
      </c>
      <c r="I465" s="27" t="str">
        <f>IF(F465&lt;&gt;"",IFERROR(VLOOKUP(F465,DUTY_2025!A:H,2,FALSE),""),"")</f>
        <v/>
      </c>
      <c r="J465" s="98"/>
      <c r="K465" s="98"/>
      <c r="L465" s="22"/>
      <c r="M465" s="22"/>
      <c r="N465" s="84"/>
      <c r="O465" s="22"/>
      <c r="P465" s="116"/>
      <c r="Q465" s="23"/>
      <c r="R465" s="27"/>
      <c r="S465" s="86" t="str">
        <f t="shared" si="184"/>
        <v/>
      </c>
      <c r="T465" s="87" t="str">
        <f t="shared" si="185"/>
        <v/>
      </c>
      <c r="U465" s="87" t="str" cm="1">
        <f t="array" ref="U465">IF(AND(H465&lt;&gt;"YES",P465&lt;&gt;"",R465&lt;&gt;"",Q465&lt;&gt;""),
_xlfn.SWITCH(Q465,
"INR",_xlfn.SWITCH(R465,"KG",P465*S465,"CTN",P465,"UNIT",P465*N465,"NET",P465/M465,0),
"USD",_xlfn.SWITCH(R465,"KG",P465*S465*SI!$C$10,"CTN",P465*SI!$C$10,"UNIT",P465*N465*SI!$C$10,"NET",P465*SI!$C$10/M465,0),
"LKR",_xlfn.SWITCH(R465,"KG",P465*S465/SI!$C$9,"CTN",P465/SI!$C$9,"UNIT",P465*N465/SI!$C$9,"NET",P465/(M465*SI!$C$9),0),
0),
"")</f>
        <v/>
      </c>
      <c r="V465" s="87" t="str">
        <f t="shared" si="186"/>
        <v/>
      </c>
      <c r="W465" s="87" t="str">
        <f t="shared" si="187"/>
        <v/>
      </c>
      <c r="X465" s="88" t="str">
        <f t="shared" si="188"/>
        <v/>
      </c>
      <c r="Y465" s="24" t="str">
        <f t="shared" si="189"/>
        <v/>
      </c>
      <c r="Z465" s="267" t="str">
        <f>IF(AND(H465&lt;&gt;"yes",F465&lt;&gt;""),IFERROR(VLOOKUP(F465,DUTY_2025!A:F,5,FALSE),""),"")</f>
        <v/>
      </c>
      <c r="AA465" s="271" t="str">
        <f t="shared" si="190"/>
        <v/>
      </c>
      <c r="AB465" s="16" t="str">
        <f t="shared" si="191"/>
        <v/>
      </c>
      <c r="AC465" s="16" t="str">
        <f>IF(AA465&lt;&gt;"",ROUND(AA465*SI!$C$9,0),"")</f>
        <v/>
      </c>
      <c r="AD465" s="4" t="str">
        <f>IF(AC465&lt;&gt;"",ROUND(AC465/(SI!$C$9*SI!$C$10),2),"")</f>
        <v/>
      </c>
      <c r="AE465" s="30" t="str">
        <f>IF(AND(X465&lt;&gt;""), ROUND((SI!$E$23)*(X465/SUM($X$5:$X$493)),0),"")</f>
        <v/>
      </c>
      <c r="AF465" s="272" t="str">
        <f t="shared" si="192"/>
        <v/>
      </c>
      <c r="AG465" s="28" t="str">
        <f t="shared" si="193"/>
        <v/>
      </c>
      <c r="AH465" s="4" t="str">
        <f>IF(AD465&lt;&gt;"",ROUND(AD465*10*SI!$C$9/2,0),"")</f>
        <v/>
      </c>
      <c r="AI465" s="29" t="str">
        <f>IF(AND(X465&lt;&gt;""), ROUND((SI!$E$28)*(X465/SUM($X$5:$X$493)),0),"")</f>
        <v/>
      </c>
      <c r="AJ465" s="4" t="str">
        <f t="shared" si="194"/>
        <v/>
      </c>
      <c r="AK465" s="4" t="str">
        <f t="shared" si="195"/>
        <v/>
      </c>
      <c r="AL465" s="4" t="str">
        <f t="shared" si="196"/>
        <v/>
      </c>
      <c r="AM465" s="4" t="str">
        <f t="shared" si="197"/>
        <v/>
      </c>
      <c r="AN465" s="195" t="str">
        <f t="shared" si="198"/>
        <v/>
      </c>
      <c r="AO465" s="261" t="str">
        <f>IF(AND(AM465&lt;&gt;"",P465&lt;&gt;""),ROUND((AM465*((100+SI!$C$11)/100)),0),"")</f>
        <v/>
      </c>
      <c r="AP465" s="28" t="str">
        <f>IF(AG465&lt;&gt;"",ROUND(AG465/SI!$C$9,2),"")</f>
        <v/>
      </c>
      <c r="AQ465" s="4" t="str">
        <f>IF(AH465&lt;&gt;"",ROUND(AH465/SI!$C$9,2),"")</f>
        <v/>
      </c>
      <c r="AR465" s="29" t="str">
        <f>IF(AI465&lt;&gt;"",ROUND(AI465/SI!$C$9,2),"")</f>
        <v/>
      </c>
      <c r="AS465" s="4" t="str">
        <f t="shared" si="199"/>
        <v/>
      </c>
      <c r="AT465" s="4" t="str">
        <f t="shared" si="200"/>
        <v/>
      </c>
      <c r="AU465" s="4" t="str">
        <f>IF(AL465&lt;&gt;"",ROUND(AL465/SI!$C$9,2),"")</f>
        <v/>
      </c>
      <c r="AV465" s="4" t="str">
        <f>IF(AM465&lt;&gt;"",ROUND(AM465/SI!$C$9,2),"")</f>
        <v/>
      </c>
      <c r="AW465" s="4" t="str">
        <f>IF(AN465&lt;&gt;"",ROUND(AN465/SI!$C$9,2),"")</f>
        <v/>
      </c>
      <c r="AX465" s="261" t="str">
        <f>IF(AO465&lt;&gt;"",ROUND(AO465/SI!$C$9,2),"")</f>
        <v/>
      </c>
      <c r="AY465" s="28" t="str">
        <f t="shared" si="201"/>
        <v/>
      </c>
      <c r="AZ465" s="4" t="str">
        <f>IF(AY465&lt;&gt;"",ROUND(AY465/(SI!$C$9*SI!$C$10),2),"")</f>
        <v/>
      </c>
      <c r="BA465" s="4" t="str">
        <f t="shared" si="202"/>
        <v/>
      </c>
      <c r="BB465" s="4" t="str">
        <f t="shared" si="203"/>
        <v/>
      </c>
      <c r="BC465" s="4" t="str">
        <f t="shared" si="204"/>
        <v/>
      </c>
      <c r="BD465" s="4" t="str">
        <f t="shared" si="205"/>
        <v/>
      </c>
      <c r="BE465" s="4" t="str">
        <f>IF(AND(X465&lt;&gt;""),ROUND(X465/SI!$C$10,2),"")</f>
        <v/>
      </c>
      <c r="BF465" s="4" t="str">
        <f t="shared" si="207"/>
        <v/>
      </c>
      <c r="BG465" s="264" t="str">
        <f t="shared" si="206"/>
        <v/>
      </c>
      <c r="BH465" s="71" t="str">
        <f>IF(F465&lt;&gt;"",VLOOKUP(F465,DUTY_2025!A:O,15,FALSE),"")</f>
        <v/>
      </c>
    </row>
    <row r="466" spans="1:60" x14ac:dyDescent="0.25">
      <c r="A466" s="133">
        <f t="shared" si="182"/>
        <v>66</v>
      </c>
      <c r="B466" s="83" t="str">
        <f t="shared" si="183"/>
        <v/>
      </c>
      <c r="C466" s="126"/>
      <c r="D466" s="130"/>
      <c r="E466" s="22"/>
      <c r="F466" s="85"/>
      <c r="G466" s="27" t="str">
        <f>IF(F466&lt;&gt;"",IFERROR(VLOOKUP(F466,DUTY_2025!A:I,6,FALSE),""),"")</f>
        <v/>
      </c>
      <c r="H466" s="85" t="s">
        <v>133</v>
      </c>
      <c r="I466" s="27" t="str">
        <f>IF(F466&lt;&gt;"",IFERROR(VLOOKUP(F466,DUTY_2025!A:H,2,FALSE),""),"")</f>
        <v/>
      </c>
      <c r="J466" s="98"/>
      <c r="K466" s="98"/>
      <c r="L466" s="22"/>
      <c r="M466" s="22"/>
      <c r="N466" s="84"/>
      <c r="O466" s="22"/>
      <c r="P466" s="116"/>
      <c r="Q466" s="23"/>
      <c r="R466" s="27"/>
      <c r="S466" s="86" t="str">
        <f t="shared" si="184"/>
        <v/>
      </c>
      <c r="T466" s="87" t="str">
        <f t="shared" si="185"/>
        <v/>
      </c>
      <c r="U466" s="87" t="str" cm="1">
        <f t="array" ref="U466">IF(AND(H466&lt;&gt;"YES",P466&lt;&gt;"",R466&lt;&gt;"",Q466&lt;&gt;""),
_xlfn.SWITCH(Q466,
"INR",_xlfn.SWITCH(R466,"KG",P466*S466,"CTN",P466,"UNIT",P466*N466,"NET",P466/M466,0),
"USD",_xlfn.SWITCH(R466,"KG",P466*S466*SI!$C$10,"CTN",P466*SI!$C$10,"UNIT",P466*N466*SI!$C$10,"NET",P466*SI!$C$10/M466,0),
"LKR",_xlfn.SWITCH(R466,"KG",P466*S466/SI!$C$9,"CTN",P466/SI!$C$9,"UNIT",P466*N466/SI!$C$9,"NET",P466/(M466*SI!$C$9),0),
0),
"")</f>
        <v/>
      </c>
      <c r="V466" s="87" t="str">
        <f t="shared" si="186"/>
        <v/>
      </c>
      <c r="W466" s="87" t="str">
        <f t="shared" si="187"/>
        <v/>
      </c>
      <c r="X466" s="88" t="str">
        <f t="shared" si="188"/>
        <v/>
      </c>
      <c r="Y466" s="24" t="str">
        <f t="shared" si="189"/>
        <v/>
      </c>
      <c r="Z466" s="267" t="str">
        <f>IF(AND(H466&lt;&gt;"yes",F466&lt;&gt;""),IFERROR(VLOOKUP(F466,DUTY_2025!A:F,5,FALSE),""),"")</f>
        <v/>
      </c>
      <c r="AA466" s="271" t="str">
        <f t="shared" si="190"/>
        <v/>
      </c>
      <c r="AB466" s="16" t="str">
        <f t="shared" si="191"/>
        <v/>
      </c>
      <c r="AC466" s="16" t="str">
        <f>IF(AA466&lt;&gt;"",ROUND(AA466*SI!$C$9,0),"")</f>
        <v/>
      </c>
      <c r="AD466" s="4" t="str">
        <f>IF(AC466&lt;&gt;"",ROUND(AC466/(SI!$C$9*SI!$C$10),2),"")</f>
        <v/>
      </c>
      <c r="AE466" s="30" t="str">
        <f>IF(AND(X466&lt;&gt;""), ROUND((SI!$E$23)*(X466/SUM($X$5:$X$493)),0),"")</f>
        <v/>
      </c>
      <c r="AF466" s="272" t="str">
        <f t="shared" si="192"/>
        <v/>
      </c>
      <c r="AG466" s="28" t="str">
        <f t="shared" si="193"/>
        <v/>
      </c>
      <c r="AH466" s="4" t="str">
        <f>IF(AD466&lt;&gt;"",ROUND(AD466*10*SI!$C$9/2,0),"")</f>
        <v/>
      </c>
      <c r="AI466" s="29" t="str">
        <f>IF(AND(X466&lt;&gt;""), ROUND((SI!$E$28)*(X466/SUM($X$5:$X$493)),0),"")</f>
        <v/>
      </c>
      <c r="AJ466" s="4" t="str">
        <f t="shared" si="194"/>
        <v/>
      </c>
      <c r="AK466" s="4" t="str">
        <f t="shared" si="195"/>
        <v/>
      </c>
      <c r="AL466" s="4" t="str">
        <f t="shared" si="196"/>
        <v/>
      </c>
      <c r="AM466" s="4" t="str">
        <f t="shared" si="197"/>
        <v/>
      </c>
      <c r="AN466" s="195" t="str">
        <f t="shared" si="198"/>
        <v/>
      </c>
      <c r="AO466" s="261" t="str">
        <f>IF(AND(AM466&lt;&gt;"",P466&lt;&gt;""),ROUND((AM466*((100+SI!$C$11)/100)),0),"")</f>
        <v/>
      </c>
      <c r="AP466" s="28" t="str">
        <f>IF(AG466&lt;&gt;"",ROUND(AG466/SI!$C$9,2),"")</f>
        <v/>
      </c>
      <c r="AQ466" s="4" t="str">
        <f>IF(AH466&lt;&gt;"",ROUND(AH466/SI!$C$9,2),"")</f>
        <v/>
      </c>
      <c r="AR466" s="29" t="str">
        <f>IF(AI466&lt;&gt;"",ROUND(AI466/SI!$C$9,2),"")</f>
        <v/>
      </c>
      <c r="AS466" s="4" t="str">
        <f t="shared" si="199"/>
        <v/>
      </c>
      <c r="AT466" s="4" t="str">
        <f t="shared" si="200"/>
        <v/>
      </c>
      <c r="AU466" s="4" t="str">
        <f>IF(AL466&lt;&gt;"",ROUND(AL466/SI!$C$9,2),"")</f>
        <v/>
      </c>
      <c r="AV466" s="4" t="str">
        <f>IF(AM466&lt;&gt;"",ROUND(AM466/SI!$C$9,2),"")</f>
        <v/>
      </c>
      <c r="AW466" s="4" t="str">
        <f>IF(AN466&lt;&gt;"",ROUND(AN466/SI!$C$9,2),"")</f>
        <v/>
      </c>
      <c r="AX466" s="261" t="str">
        <f>IF(AO466&lt;&gt;"",ROUND(AO466/SI!$C$9,2),"")</f>
        <v/>
      </c>
      <c r="AY466" s="28" t="str">
        <f t="shared" si="201"/>
        <v/>
      </c>
      <c r="AZ466" s="4" t="str">
        <f>IF(AY466&lt;&gt;"",ROUND(AY466/(SI!$C$9*SI!$C$10),2),"")</f>
        <v/>
      </c>
      <c r="BA466" s="4" t="str">
        <f t="shared" si="202"/>
        <v/>
      </c>
      <c r="BB466" s="4" t="str">
        <f t="shared" si="203"/>
        <v/>
      </c>
      <c r="BC466" s="4" t="str">
        <f t="shared" si="204"/>
        <v/>
      </c>
      <c r="BD466" s="4" t="str">
        <f t="shared" si="205"/>
        <v/>
      </c>
      <c r="BE466" s="4" t="str">
        <f>IF(AND(X466&lt;&gt;""),ROUND(X466/SI!$C$10,2),"")</f>
        <v/>
      </c>
      <c r="BF466" s="4" t="str">
        <f t="shared" si="207"/>
        <v/>
      </c>
      <c r="BG466" s="264" t="str">
        <f t="shared" si="206"/>
        <v/>
      </c>
      <c r="BH466" s="71" t="str">
        <f>IF(F466&lt;&gt;"",VLOOKUP(F466,DUTY_2025!A:O,15,FALSE),"")</f>
        <v/>
      </c>
    </row>
    <row r="467" spans="1:60" x14ac:dyDescent="0.25">
      <c r="A467" s="133">
        <f t="shared" si="182"/>
        <v>66</v>
      </c>
      <c r="B467" s="83" t="str">
        <f t="shared" si="183"/>
        <v/>
      </c>
      <c r="C467" s="126"/>
      <c r="D467" s="130"/>
      <c r="E467" s="22"/>
      <c r="F467" s="85"/>
      <c r="G467" s="27" t="str">
        <f>IF(F467&lt;&gt;"",IFERROR(VLOOKUP(F467,DUTY_2025!A:I,6,FALSE),""),"")</f>
        <v/>
      </c>
      <c r="H467" s="85" t="s">
        <v>133</v>
      </c>
      <c r="I467" s="27" t="str">
        <f>IF(F467&lt;&gt;"",IFERROR(VLOOKUP(F467,DUTY_2025!A:H,2,FALSE),""),"")</f>
        <v/>
      </c>
      <c r="J467" s="98"/>
      <c r="K467" s="98"/>
      <c r="L467" s="22"/>
      <c r="M467" s="22"/>
      <c r="N467" s="84"/>
      <c r="O467" s="22"/>
      <c r="P467" s="116"/>
      <c r="Q467" s="23"/>
      <c r="R467" s="27"/>
      <c r="S467" s="86" t="str">
        <f t="shared" si="184"/>
        <v/>
      </c>
      <c r="T467" s="87" t="str">
        <f t="shared" si="185"/>
        <v/>
      </c>
      <c r="U467" s="87" t="str" cm="1">
        <f t="array" ref="U467">IF(AND(H467&lt;&gt;"YES",P467&lt;&gt;"",R467&lt;&gt;"",Q467&lt;&gt;""),
_xlfn.SWITCH(Q467,
"INR",_xlfn.SWITCH(R467,"KG",P467*S467,"CTN",P467,"UNIT",P467*N467,"NET",P467/M467,0),
"USD",_xlfn.SWITCH(R467,"KG",P467*S467*SI!$C$10,"CTN",P467*SI!$C$10,"UNIT",P467*N467*SI!$C$10,"NET",P467*SI!$C$10/M467,0),
"LKR",_xlfn.SWITCH(R467,"KG",P467*S467/SI!$C$9,"CTN",P467/SI!$C$9,"UNIT",P467*N467/SI!$C$9,"NET",P467/(M467*SI!$C$9),0),
0),
"")</f>
        <v/>
      </c>
      <c r="V467" s="87" t="str">
        <f t="shared" si="186"/>
        <v/>
      </c>
      <c r="W467" s="87" t="str">
        <f t="shared" si="187"/>
        <v/>
      </c>
      <c r="X467" s="88" t="str">
        <f t="shared" si="188"/>
        <v/>
      </c>
      <c r="Y467" s="24" t="str">
        <f t="shared" si="189"/>
        <v/>
      </c>
      <c r="Z467" s="267" t="str">
        <f>IF(AND(H467&lt;&gt;"yes",F467&lt;&gt;""),IFERROR(VLOOKUP(F467,DUTY_2025!A:F,5,FALSE),""),"")</f>
        <v/>
      </c>
      <c r="AA467" s="271" t="str">
        <f t="shared" si="190"/>
        <v/>
      </c>
      <c r="AB467" s="16" t="str">
        <f t="shared" si="191"/>
        <v/>
      </c>
      <c r="AC467" s="16" t="str">
        <f>IF(AA467&lt;&gt;"",ROUND(AA467*SI!$C$9,0),"")</f>
        <v/>
      </c>
      <c r="AD467" s="4" t="str">
        <f>IF(AC467&lt;&gt;"",ROUND(AC467/(SI!$C$9*SI!$C$10),2),"")</f>
        <v/>
      </c>
      <c r="AE467" s="30" t="str">
        <f>IF(AND(X467&lt;&gt;""), ROUND((SI!$E$23)*(X467/SUM($X$5:$X$493)),0),"")</f>
        <v/>
      </c>
      <c r="AF467" s="272" t="str">
        <f t="shared" si="192"/>
        <v/>
      </c>
      <c r="AG467" s="28" t="str">
        <f t="shared" si="193"/>
        <v/>
      </c>
      <c r="AH467" s="4" t="str">
        <f>IF(AD467&lt;&gt;"",ROUND(AD467*10*SI!$C$9/2,0),"")</f>
        <v/>
      </c>
      <c r="AI467" s="29" t="str">
        <f>IF(AND(X467&lt;&gt;""), ROUND((SI!$E$28)*(X467/SUM($X$5:$X$493)),0),"")</f>
        <v/>
      </c>
      <c r="AJ467" s="4" t="str">
        <f t="shared" si="194"/>
        <v/>
      </c>
      <c r="AK467" s="4" t="str">
        <f t="shared" si="195"/>
        <v/>
      </c>
      <c r="AL467" s="4" t="str">
        <f t="shared" si="196"/>
        <v/>
      </c>
      <c r="AM467" s="4" t="str">
        <f t="shared" si="197"/>
        <v/>
      </c>
      <c r="AN467" s="195" t="str">
        <f t="shared" si="198"/>
        <v/>
      </c>
      <c r="AO467" s="261" t="str">
        <f>IF(AND(AM467&lt;&gt;"",P467&lt;&gt;""),ROUND((AM467*((100+SI!$C$11)/100)),0),"")</f>
        <v/>
      </c>
      <c r="AP467" s="28" t="str">
        <f>IF(AG467&lt;&gt;"",ROUND(AG467/SI!$C$9,2),"")</f>
        <v/>
      </c>
      <c r="AQ467" s="4" t="str">
        <f>IF(AH467&lt;&gt;"",ROUND(AH467/SI!$C$9,2),"")</f>
        <v/>
      </c>
      <c r="AR467" s="29" t="str">
        <f>IF(AI467&lt;&gt;"",ROUND(AI467/SI!$C$9,2),"")</f>
        <v/>
      </c>
      <c r="AS467" s="4" t="str">
        <f t="shared" si="199"/>
        <v/>
      </c>
      <c r="AT467" s="4" t="str">
        <f t="shared" si="200"/>
        <v/>
      </c>
      <c r="AU467" s="4" t="str">
        <f>IF(AL467&lt;&gt;"",ROUND(AL467/SI!$C$9,2),"")</f>
        <v/>
      </c>
      <c r="AV467" s="4" t="str">
        <f>IF(AM467&lt;&gt;"",ROUND(AM467/SI!$C$9,2),"")</f>
        <v/>
      </c>
      <c r="AW467" s="4" t="str">
        <f>IF(AN467&lt;&gt;"",ROUND(AN467/SI!$C$9,2),"")</f>
        <v/>
      </c>
      <c r="AX467" s="261" t="str">
        <f>IF(AO467&lt;&gt;"",ROUND(AO467/SI!$C$9,2),"")</f>
        <v/>
      </c>
      <c r="AY467" s="28" t="str">
        <f t="shared" si="201"/>
        <v/>
      </c>
      <c r="AZ467" s="4" t="str">
        <f>IF(AY467&lt;&gt;"",ROUND(AY467/(SI!$C$9*SI!$C$10),2),"")</f>
        <v/>
      </c>
      <c r="BA467" s="4" t="str">
        <f t="shared" si="202"/>
        <v/>
      </c>
      <c r="BB467" s="4" t="str">
        <f t="shared" si="203"/>
        <v/>
      </c>
      <c r="BC467" s="4" t="str">
        <f t="shared" si="204"/>
        <v/>
      </c>
      <c r="BD467" s="4" t="str">
        <f t="shared" si="205"/>
        <v/>
      </c>
      <c r="BE467" s="4" t="str">
        <f>IF(AND(X467&lt;&gt;""),ROUND(X467/SI!$C$10,2),"")</f>
        <v/>
      </c>
      <c r="BF467" s="4" t="str">
        <f t="shared" si="207"/>
        <v/>
      </c>
      <c r="BG467" s="264" t="str">
        <f t="shared" si="206"/>
        <v/>
      </c>
      <c r="BH467" s="71" t="str">
        <f>IF(F467&lt;&gt;"",VLOOKUP(F467,DUTY_2025!A:O,15,FALSE),"")</f>
        <v/>
      </c>
    </row>
    <row r="468" spans="1:60" x14ac:dyDescent="0.25">
      <c r="A468" s="133">
        <f t="shared" si="182"/>
        <v>66</v>
      </c>
      <c r="B468" s="83" t="str">
        <f t="shared" si="183"/>
        <v/>
      </c>
      <c r="C468" s="126"/>
      <c r="D468" s="130"/>
      <c r="E468" s="22"/>
      <c r="F468" s="85"/>
      <c r="G468" s="27" t="str">
        <f>IF(F468&lt;&gt;"",IFERROR(VLOOKUP(F468,DUTY_2025!A:I,6,FALSE),""),"")</f>
        <v/>
      </c>
      <c r="H468" s="85" t="s">
        <v>133</v>
      </c>
      <c r="I468" s="27" t="str">
        <f>IF(F468&lt;&gt;"",IFERROR(VLOOKUP(F468,DUTY_2025!A:H,2,FALSE),""),"")</f>
        <v/>
      </c>
      <c r="J468" s="98"/>
      <c r="K468" s="98"/>
      <c r="L468" s="22"/>
      <c r="M468" s="22"/>
      <c r="N468" s="84"/>
      <c r="O468" s="22"/>
      <c r="P468" s="116"/>
      <c r="Q468" s="23"/>
      <c r="R468" s="27"/>
      <c r="S468" s="86" t="str">
        <f t="shared" si="184"/>
        <v/>
      </c>
      <c r="T468" s="87" t="str">
        <f t="shared" si="185"/>
        <v/>
      </c>
      <c r="U468" s="87" t="str" cm="1">
        <f t="array" ref="U468">IF(AND(H468&lt;&gt;"YES",P468&lt;&gt;"",R468&lt;&gt;"",Q468&lt;&gt;""),
_xlfn.SWITCH(Q468,
"INR",_xlfn.SWITCH(R468,"KG",P468*S468,"CTN",P468,"UNIT",P468*N468,"NET",P468/M468,0),
"USD",_xlfn.SWITCH(R468,"KG",P468*S468*SI!$C$10,"CTN",P468*SI!$C$10,"UNIT",P468*N468*SI!$C$10,"NET",P468*SI!$C$10/M468,0),
"LKR",_xlfn.SWITCH(R468,"KG",P468*S468/SI!$C$9,"CTN",P468/SI!$C$9,"UNIT",P468*N468/SI!$C$9,"NET",P468/(M468*SI!$C$9),0),
0),
"")</f>
        <v/>
      </c>
      <c r="V468" s="87" t="str">
        <f t="shared" si="186"/>
        <v/>
      </c>
      <c r="W468" s="87" t="str">
        <f t="shared" si="187"/>
        <v/>
      </c>
      <c r="X468" s="88" t="str">
        <f t="shared" si="188"/>
        <v/>
      </c>
      <c r="Y468" s="24" t="str">
        <f t="shared" si="189"/>
        <v/>
      </c>
      <c r="Z468" s="267" t="str">
        <f>IF(AND(H468&lt;&gt;"yes",F468&lt;&gt;""),IFERROR(VLOOKUP(F468,DUTY_2025!A:F,5,FALSE),""),"")</f>
        <v/>
      </c>
      <c r="AA468" s="271" t="str">
        <f t="shared" si="190"/>
        <v/>
      </c>
      <c r="AB468" s="16" t="str">
        <f t="shared" si="191"/>
        <v/>
      </c>
      <c r="AC468" s="16" t="str">
        <f>IF(AA468&lt;&gt;"",ROUND(AA468*SI!$C$9,0),"")</f>
        <v/>
      </c>
      <c r="AD468" s="4" t="str">
        <f>IF(AC468&lt;&gt;"",ROUND(AC468/(SI!$C$9*SI!$C$10),2),"")</f>
        <v/>
      </c>
      <c r="AE468" s="30" t="str">
        <f>IF(AND(X468&lt;&gt;""), ROUND((SI!$E$23)*(X468/SUM($X$5:$X$493)),0),"")</f>
        <v/>
      </c>
      <c r="AF468" s="272" t="str">
        <f t="shared" si="192"/>
        <v/>
      </c>
      <c r="AG468" s="28" t="str">
        <f t="shared" si="193"/>
        <v/>
      </c>
      <c r="AH468" s="4" t="str">
        <f>IF(AD468&lt;&gt;"",ROUND(AD468*10*SI!$C$9/2,0),"")</f>
        <v/>
      </c>
      <c r="AI468" s="29" t="str">
        <f>IF(AND(X468&lt;&gt;""), ROUND((SI!$E$28)*(X468/SUM($X$5:$X$493)),0),"")</f>
        <v/>
      </c>
      <c r="AJ468" s="4" t="str">
        <f t="shared" si="194"/>
        <v/>
      </c>
      <c r="AK468" s="4" t="str">
        <f t="shared" si="195"/>
        <v/>
      </c>
      <c r="AL468" s="4" t="str">
        <f t="shared" si="196"/>
        <v/>
      </c>
      <c r="AM468" s="4" t="str">
        <f t="shared" si="197"/>
        <v/>
      </c>
      <c r="AN468" s="195" t="str">
        <f t="shared" si="198"/>
        <v/>
      </c>
      <c r="AO468" s="261" t="str">
        <f>IF(AND(AM468&lt;&gt;"",P468&lt;&gt;""),ROUND((AM468*((100+SI!$C$11)/100)),0),"")</f>
        <v/>
      </c>
      <c r="AP468" s="28" t="str">
        <f>IF(AG468&lt;&gt;"",ROUND(AG468/SI!$C$9,2),"")</f>
        <v/>
      </c>
      <c r="AQ468" s="4" t="str">
        <f>IF(AH468&lt;&gt;"",ROUND(AH468/SI!$C$9,2),"")</f>
        <v/>
      </c>
      <c r="AR468" s="29" t="str">
        <f>IF(AI468&lt;&gt;"",ROUND(AI468/SI!$C$9,2),"")</f>
        <v/>
      </c>
      <c r="AS468" s="4" t="str">
        <f t="shared" si="199"/>
        <v/>
      </c>
      <c r="AT468" s="4" t="str">
        <f t="shared" si="200"/>
        <v/>
      </c>
      <c r="AU468" s="4" t="str">
        <f>IF(AL468&lt;&gt;"",ROUND(AL468/SI!$C$9,2),"")</f>
        <v/>
      </c>
      <c r="AV468" s="4" t="str">
        <f>IF(AM468&lt;&gt;"",ROUND(AM468/SI!$C$9,2),"")</f>
        <v/>
      </c>
      <c r="AW468" s="4" t="str">
        <f>IF(AN468&lt;&gt;"",ROUND(AN468/SI!$C$9,2),"")</f>
        <v/>
      </c>
      <c r="AX468" s="261" t="str">
        <f>IF(AO468&lt;&gt;"",ROUND(AO468/SI!$C$9,2),"")</f>
        <v/>
      </c>
      <c r="AY468" s="28" t="str">
        <f t="shared" si="201"/>
        <v/>
      </c>
      <c r="AZ468" s="4" t="str">
        <f>IF(AY468&lt;&gt;"",ROUND(AY468/(SI!$C$9*SI!$C$10),2),"")</f>
        <v/>
      </c>
      <c r="BA468" s="4" t="str">
        <f t="shared" si="202"/>
        <v/>
      </c>
      <c r="BB468" s="4" t="str">
        <f t="shared" si="203"/>
        <v/>
      </c>
      <c r="BC468" s="4" t="str">
        <f t="shared" si="204"/>
        <v/>
      </c>
      <c r="BD468" s="4" t="str">
        <f t="shared" si="205"/>
        <v/>
      </c>
      <c r="BE468" s="4" t="str">
        <f>IF(AND(X468&lt;&gt;""),ROUND(X468/SI!$C$10,2),"")</f>
        <v/>
      </c>
      <c r="BF468" s="4" t="str">
        <f t="shared" si="207"/>
        <v/>
      </c>
      <c r="BG468" s="264" t="str">
        <f t="shared" si="206"/>
        <v/>
      </c>
      <c r="BH468" s="71" t="str">
        <f>IF(F468&lt;&gt;"",VLOOKUP(F468,DUTY_2025!A:O,15,FALSE),"")</f>
        <v/>
      </c>
    </row>
    <row r="469" spans="1:60" x14ac:dyDescent="0.25">
      <c r="A469" s="133">
        <f t="shared" si="182"/>
        <v>66</v>
      </c>
      <c r="B469" s="83" t="str">
        <f t="shared" si="183"/>
        <v/>
      </c>
      <c r="C469" s="126"/>
      <c r="D469" s="130"/>
      <c r="E469" s="22"/>
      <c r="F469" s="85"/>
      <c r="G469" s="27" t="str">
        <f>IF(F469&lt;&gt;"",IFERROR(VLOOKUP(F469,DUTY_2025!A:I,6,FALSE),""),"")</f>
        <v/>
      </c>
      <c r="H469" s="85" t="s">
        <v>133</v>
      </c>
      <c r="I469" s="27" t="str">
        <f>IF(F469&lt;&gt;"",IFERROR(VLOOKUP(F469,DUTY_2025!A:H,2,FALSE),""),"")</f>
        <v/>
      </c>
      <c r="J469" s="98"/>
      <c r="K469" s="98"/>
      <c r="L469" s="22"/>
      <c r="M469" s="22"/>
      <c r="N469" s="84"/>
      <c r="O469" s="22"/>
      <c r="P469" s="116"/>
      <c r="Q469" s="23"/>
      <c r="R469" s="27"/>
      <c r="S469" s="86" t="str">
        <f t="shared" si="184"/>
        <v/>
      </c>
      <c r="T469" s="87" t="str">
        <f t="shared" si="185"/>
        <v/>
      </c>
      <c r="U469" s="87" t="str" cm="1">
        <f t="array" ref="U469">IF(AND(H469&lt;&gt;"YES",P469&lt;&gt;"",R469&lt;&gt;"",Q469&lt;&gt;""),
_xlfn.SWITCH(Q469,
"INR",_xlfn.SWITCH(R469,"KG",P469*S469,"CTN",P469,"UNIT",P469*N469,"NET",P469/M469,0),
"USD",_xlfn.SWITCH(R469,"KG",P469*S469*SI!$C$10,"CTN",P469*SI!$C$10,"UNIT",P469*N469*SI!$C$10,"NET",P469*SI!$C$10/M469,0),
"LKR",_xlfn.SWITCH(R469,"KG",P469*S469/SI!$C$9,"CTN",P469/SI!$C$9,"UNIT",P469*N469/SI!$C$9,"NET",P469/(M469*SI!$C$9),0),
0),
"")</f>
        <v/>
      </c>
      <c r="V469" s="87" t="str">
        <f t="shared" si="186"/>
        <v/>
      </c>
      <c r="W469" s="87" t="str">
        <f t="shared" si="187"/>
        <v/>
      </c>
      <c r="X469" s="88" t="str">
        <f t="shared" si="188"/>
        <v/>
      </c>
      <c r="Y469" s="24" t="str">
        <f t="shared" si="189"/>
        <v/>
      </c>
      <c r="Z469" s="267" t="str">
        <f>IF(AND(H469&lt;&gt;"yes",F469&lt;&gt;""),IFERROR(VLOOKUP(F469,DUTY_2025!A:F,5,FALSE),""),"")</f>
        <v/>
      </c>
      <c r="AA469" s="271" t="str">
        <f t="shared" si="190"/>
        <v/>
      </c>
      <c r="AB469" s="16" t="str">
        <f t="shared" si="191"/>
        <v/>
      </c>
      <c r="AC469" s="16" t="str">
        <f>IF(AA469&lt;&gt;"",ROUND(AA469*SI!$C$9,0),"")</f>
        <v/>
      </c>
      <c r="AD469" s="4" t="str">
        <f>IF(AC469&lt;&gt;"",ROUND(AC469/(SI!$C$9*SI!$C$10),2),"")</f>
        <v/>
      </c>
      <c r="AE469" s="30" t="str">
        <f>IF(AND(X469&lt;&gt;""), ROUND((SI!$E$23)*(X469/SUM($X$5:$X$493)),0),"")</f>
        <v/>
      </c>
      <c r="AF469" s="272" t="str">
        <f t="shared" si="192"/>
        <v/>
      </c>
      <c r="AG469" s="28" t="str">
        <f t="shared" si="193"/>
        <v/>
      </c>
      <c r="AH469" s="4" t="str">
        <f>IF(AD469&lt;&gt;"",ROUND(AD469*10*SI!$C$9/2,0),"")</f>
        <v/>
      </c>
      <c r="AI469" s="29" t="str">
        <f>IF(AND(X469&lt;&gt;""), ROUND((SI!$E$28)*(X469/SUM($X$5:$X$493)),0),"")</f>
        <v/>
      </c>
      <c r="AJ469" s="4" t="str">
        <f t="shared" si="194"/>
        <v/>
      </c>
      <c r="AK469" s="4" t="str">
        <f t="shared" si="195"/>
        <v/>
      </c>
      <c r="AL469" s="4" t="str">
        <f t="shared" si="196"/>
        <v/>
      </c>
      <c r="AM469" s="4" t="str">
        <f t="shared" si="197"/>
        <v/>
      </c>
      <c r="AN469" s="195" t="str">
        <f t="shared" si="198"/>
        <v/>
      </c>
      <c r="AO469" s="261" t="str">
        <f>IF(AND(AM469&lt;&gt;"",P469&lt;&gt;""),ROUND((AM469*((100+SI!$C$11)/100)),0),"")</f>
        <v/>
      </c>
      <c r="AP469" s="28" t="str">
        <f>IF(AG469&lt;&gt;"",ROUND(AG469/SI!$C$9,2),"")</f>
        <v/>
      </c>
      <c r="AQ469" s="4" t="str">
        <f>IF(AH469&lt;&gt;"",ROUND(AH469/SI!$C$9,2),"")</f>
        <v/>
      </c>
      <c r="AR469" s="29" t="str">
        <f>IF(AI469&lt;&gt;"",ROUND(AI469/SI!$C$9,2),"")</f>
        <v/>
      </c>
      <c r="AS469" s="4" t="str">
        <f t="shared" si="199"/>
        <v/>
      </c>
      <c r="AT469" s="4" t="str">
        <f t="shared" si="200"/>
        <v/>
      </c>
      <c r="AU469" s="4" t="str">
        <f>IF(AL469&lt;&gt;"",ROUND(AL469/SI!$C$9,2),"")</f>
        <v/>
      </c>
      <c r="AV469" s="4" t="str">
        <f>IF(AM469&lt;&gt;"",ROUND(AM469/SI!$C$9,2),"")</f>
        <v/>
      </c>
      <c r="AW469" s="4" t="str">
        <f>IF(AN469&lt;&gt;"",ROUND(AN469/SI!$C$9,2),"")</f>
        <v/>
      </c>
      <c r="AX469" s="261" t="str">
        <f>IF(AO469&lt;&gt;"",ROUND(AO469/SI!$C$9,2),"")</f>
        <v/>
      </c>
      <c r="AY469" s="28" t="str">
        <f t="shared" si="201"/>
        <v/>
      </c>
      <c r="AZ469" s="4" t="str">
        <f>IF(AY469&lt;&gt;"",ROUND(AY469/(SI!$C$9*SI!$C$10),2),"")</f>
        <v/>
      </c>
      <c r="BA469" s="4" t="str">
        <f t="shared" si="202"/>
        <v/>
      </c>
      <c r="BB469" s="4" t="str">
        <f t="shared" si="203"/>
        <v/>
      </c>
      <c r="BC469" s="4" t="str">
        <f t="shared" si="204"/>
        <v/>
      </c>
      <c r="BD469" s="4" t="str">
        <f t="shared" si="205"/>
        <v/>
      </c>
      <c r="BE469" s="4" t="str">
        <f>IF(AND(X469&lt;&gt;""),ROUND(X469/SI!$C$10,2),"")</f>
        <v/>
      </c>
      <c r="BF469" s="4" t="str">
        <f t="shared" si="207"/>
        <v/>
      </c>
      <c r="BG469" s="264" t="str">
        <f t="shared" si="206"/>
        <v/>
      </c>
      <c r="BH469" s="71" t="str">
        <f>IF(F469&lt;&gt;"",VLOOKUP(F469,DUTY_2025!A:O,15,FALSE),"")</f>
        <v/>
      </c>
    </row>
    <row r="470" spans="1:60" x14ac:dyDescent="0.25">
      <c r="A470" s="133">
        <f t="shared" si="182"/>
        <v>66</v>
      </c>
      <c r="B470" s="83" t="str">
        <f t="shared" si="183"/>
        <v/>
      </c>
      <c r="C470" s="126"/>
      <c r="D470" s="130"/>
      <c r="E470" s="22"/>
      <c r="F470" s="85"/>
      <c r="G470" s="27" t="str">
        <f>IF(F470&lt;&gt;"",IFERROR(VLOOKUP(F470,DUTY_2025!A:I,6,FALSE),""),"")</f>
        <v/>
      </c>
      <c r="H470" s="85" t="s">
        <v>133</v>
      </c>
      <c r="I470" s="27" t="str">
        <f>IF(F470&lt;&gt;"",IFERROR(VLOOKUP(F470,DUTY_2025!A:H,2,FALSE),""),"")</f>
        <v/>
      </c>
      <c r="J470" s="98"/>
      <c r="K470" s="98"/>
      <c r="L470" s="22"/>
      <c r="M470" s="22"/>
      <c r="N470" s="84"/>
      <c r="O470" s="22"/>
      <c r="P470" s="116"/>
      <c r="Q470" s="23"/>
      <c r="R470" s="27"/>
      <c r="S470" s="86" t="str">
        <f t="shared" si="184"/>
        <v/>
      </c>
      <c r="T470" s="87" t="str">
        <f t="shared" si="185"/>
        <v/>
      </c>
      <c r="U470" s="87" t="str" cm="1">
        <f t="array" ref="U470">IF(AND(H470&lt;&gt;"YES",P470&lt;&gt;"",R470&lt;&gt;"",Q470&lt;&gt;""),
_xlfn.SWITCH(Q470,
"INR",_xlfn.SWITCH(R470,"KG",P470*S470,"CTN",P470,"UNIT",P470*N470,"NET",P470/M470,0),
"USD",_xlfn.SWITCH(R470,"KG",P470*S470*SI!$C$10,"CTN",P470*SI!$C$10,"UNIT",P470*N470*SI!$C$10,"NET",P470*SI!$C$10/M470,0),
"LKR",_xlfn.SWITCH(R470,"KG",P470*S470/SI!$C$9,"CTN",P470/SI!$C$9,"UNIT",P470*N470/SI!$C$9,"NET",P470/(M470*SI!$C$9),0),
0),
"")</f>
        <v/>
      </c>
      <c r="V470" s="87" t="str">
        <f t="shared" si="186"/>
        <v/>
      </c>
      <c r="W470" s="87" t="str">
        <f t="shared" si="187"/>
        <v/>
      </c>
      <c r="X470" s="88" t="str">
        <f t="shared" si="188"/>
        <v/>
      </c>
      <c r="Y470" s="24" t="str">
        <f t="shared" si="189"/>
        <v/>
      </c>
      <c r="Z470" s="267" t="str">
        <f>IF(AND(H470&lt;&gt;"yes",F470&lt;&gt;""),IFERROR(VLOOKUP(F470,DUTY_2025!A:F,5,FALSE),""),"")</f>
        <v/>
      </c>
      <c r="AA470" s="271" t="str">
        <f t="shared" si="190"/>
        <v/>
      </c>
      <c r="AB470" s="16" t="str">
        <f t="shared" si="191"/>
        <v/>
      </c>
      <c r="AC470" s="16" t="str">
        <f>IF(AA470&lt;&gt;"",ROUND(AA470*SI!$C$9,0),"")</f>
        <v/>
      </c>
      <c r="AD470" s="4" t="str">
        <f>IF(AC470&lt;&gt;"",ROUND(AC470/(SI!$C$9*SI!$C$10),2),"")</f>
        <v/>
      </c>
      <c r="AE470" s="30" t="str">
        <f>IF(AND(X470&lt;&gt;""), ROUND((SI!$E$23)*(X470/SUM($X$5:$X$493)),0),"")</f>
        <v/>
      </c>
      <c r="AF470" s="272" t="str">
        <f t="shared" si="192"/>
        <v/>
      </c>
      <c r="AG470" s="28" t="str">
        <f t="shared" si="193"/>
        <v/>
      </c>
      <c r="AH470" s="4" t="str">
        <f>IF(AD470&lt;&gt;"",ROUND(AD470*10*SI!$C$9/2,0),"")</f>
        <v/>
      </c>
      <c r="AI470" s="29" t="str">
        <f>IF(AND(X470&lt;&gt;""), ROUND((SI!$E$28)*(X470/SUM($X$5:$X$493)),0),"")</f>
        <v/>
      </c>
      <c r="AJ470" s="4" t="str">
        <f t="shared" si="194"/>
        <v/>
      </c>
      <c r="AK470" s="4" t="str">
        <f t="shared" si="195"/>
        <v/>
      </c>
      <c r="AL470" s="4" t="str">
        <f t="shared" si="196"/>
        <v/>
      </c>
      <c r="AM470" s="4" t="str">
        <f t="shared" si="197"/>
        <v/>
      </c>
      <c r="AN470" s="195" t="str">
        <f t="shared" si="198"/>
        <v/>
      </c>
      <c r="AO470" s="261" t="str">
        <f>IF(AND(AM470&lt;&gt;"",P470&lt;&gt;""),ROUND((AM470*((100+SI!$C$11)/100)),0),"")</f>
        <v/>
      </c>
      <c r="AP470" s="28" t="str">
        <f>IF(AG470&lt;&gt;"",ROUND(AG470/SI!$C$9,2),"")</f>
        <v/>
      </c>
      <c r="AQ470" s="4" t="str">
        <f>IF(AH470&lt;&gt;"",ROUND(AH470/SI!$C$9,2),"")</f>
        <v/>
      </c>
      <c r="AR470" s="29" t="str">
        <f>IF(AI470&lt;&gt;"",ROUND(AI470/SI!$C$9,2),"")</f>
        <v/>
      </c>
      <c r="AS470" s="4" t="str">
        <f t="shared" si="199"/>
        <v/>
      </c>
      <c r="AT470" s="4" t="str">
        <f t="shared" si="200"/>
        <v/>
      </c>
      <c r="AU470" s="4" t="str">
        <f>IF(AL470&lt;&gt;"",ROUND(AL470/SI!$C$9,2),"")</f>
        <v/>
      </c>
      <c r="AV470" s="4" t="str">
        <f>IF(AM470&lt;&gt;"",ROUND(AM470/SI!$C$9,2),"")</f>
        <v/>
      </c>
      <c r="AW470" s="4" t="str">
        <f>IF(AN470&lt;&gt;"",ROUND(AN470/SI!$C$9,2),"")</f>
        <v/>
      </c>
      <c r="AX470" s="261" t="str">
        <f>IF(AO470&lt;&gt;"",ROUND(AO470/SI!$C$9,2),"")</f>
        <v/>
      </c>
      <c r="AY470" s="28" t="str">
        <f t="shared" si="201"/>
        <v/>
      </c>
      <c r="AZ470" s="4" t="str">
        <f>IF(AY470&lt;&gt;"",ROUND(AY470/(SI!$C$9*SI!$C$10),2),"")</f>
        <v/>
      </c>
      <c r="BA470" s="4" t="str">
        <f t="shared" si="202"/>
        <v/>
      </c>
      <c r="BB470" s="4" t="str">
        <f t="shared" si="203"/>
        <v/>
      </c>
      <c r="BC470" s="4" t="str">
        <f t="shared" si="204"/>
        <v/>
      </c>
      <c r="BD470" s="4" t="str">
        <f t="shared" si="205"/>
        <v/>
      </c>
      <c r="BE470" s="4" t="str">
        <f>IF(AND(X470&lt;&gt;""),ROUND(X470/SI!$C$10,2),"")</f>
        <v/>
      </c>
      <c r="BF470" s="4" t="str">
        <f t="shared" si="207"/>
        <v/>
      </c>
      <c r="BG470" s="264" t="str">
        <f t="shared" si="206"/>
        <v/>
      </c>
      <c r="BH470" s="71" t="str">
        <f>IF(F470&lt;&gt;"",VLOOKUP(F470,DUTY_2025!A:O,15,FALSE),"")</f>
        <v/>
      </c>
    </row>
    <row r="471" spans="1:60" x14ac:dyDescent="0.25">
      <c r="A471" s="133">
        <f t="shared" si="182"/>
        <v>66</v>
      </c>
      <c r="B471" s="83" t="str">
        <f t="shared" si="183"/>
        <v/>
      </c>
      <c r="C471" s="126"/>
      <c r="D471" s="130"/>
      <c r="E471" s="22"/>
      <c r="F471" s="85"/>
      <c r="G471" s="27" t="str">
        <f>IF(F471&lt;&gt;"",IFERROR(VLOOKUP(F471,DUTY_2025!A:I,6,FALSE),""),"")</f>
        <v/>
      </c>
      <c r="H471" s="85" t="s">
        <v>133</v>
      </c>
      <c r="I471" s="27" t="str">
        <f>IF(F471&lt;&gt;"",IFERROR(VLOOKUP(F471,DUTY_2025!A:H,2,FALSE),""),"")</f>
        <v/>
      </c>
      <c r="J471" s="98"/>
      <c r="K471" s="98"/>
      <c r="L471" s="22"/>
      <c r="M471" s="22"/>
      <c r="N471" s="84"/>
      <c r="O471" s="22"/>
      <c r="P471" s="116"/>
      <c r="Q471" s="23"/>
      <c r="R471" s="27"/>
      <c r="S471" s="86" t="str">
        <f t="shared" si="184"/>
        <v/>
      </c>
      <c r="T471" s="87" t="str">
        <f t="shared" si="185"/>
        <v/>
      </c>
      <c r="U471" s="87" t="str" cm="1">
        <f t="array" ref="U471">IF(AND(H471&lt;&gt;"YES",P471&lt;&gt;"",R471&lt;&gt;"",Q471&lt;&gt;""),
_xlfn.SWITCH(Q471,
"INR",_xlfn.SWITCH(R471,"KG",P471*S471,"CTN",P471,"UNIT",P471*N471,"NET",P471/M471,0),
"USD",_xlfn.SWITCH(R471,"KG",P471*S471*SI!$C$10,"CTN",P471*SI!$C$10,"UNIT",P471*N471*SI!$C$10,"NET",P471*SI!$C$10/M471,0),
"LKR",_xlfn.SWITCH(R471,"KG",P471*S471/SI!$C$9,"CTN",P471/SI!$C$9,"UNIT",P471*N471/SI!$C$9,"NET",P471/(M471*SI!$C$9),0),
0),
"")</f>
        <v/>
      </c>
      <c r="V471" s="87" t="str">
        <f t="shared" si="186"/>
        <v/>
      </c>
      <c r="W471" s="87" t="str">
        <f t="shared" si="187"/>
        <v/>
      </c>
      <c r="X471" s="88" t="str">
        <f t="shared" si="188"/>
        <v/>
      </c>
      <c r="Y471" s="24" t="str">
        <f t="shared" si="189"/>
        <v/>
      </c>
      <c r="Z471" s="267" t="str">
        <f>IF(AND(H471&lt;&gt;"yes",F471&lt;&gt;""),IFERROR(VLOOKUP(F471,DUTY_2025!A:F,5,FALSE),""),"")</f>
        <v/>
      </c>
      <c r="AA471" s="271" t="str">
        <f t="shared" si="190"/>
        <v/>
      </c>
      <c r="AB471" s="16" t="str">
        <f t="shared" si="191"/>
        <v/>
      </c>
      <c r="AC471" s="16" t="str">
        <f>IF(AA471&lt;&gt;"",ROUND(AA471*SI!$C$9,0),"")</f>
        <v/>
      </c>
      <c r="AD471" s="4" t="str">
        <f>IF(AC471&lt;&gt;"",ROUND(AC471/(SI!$C$9*SI!$C$10),2),"")</f>
        <v/>
      </c>
      <c r="AE471" s="30" t="str">
        <f>IF(AND(X471&lt;&gt;""), ROUND((SI!$E$23)*(X471/SUM($X$5:$X$493)),0),"")</f>
        <v/>
      </c>
      <c r="AF471" s="272" t="str">
        <f t="shared" si="192"/>
        <v/>
      </c>
      <c r="AG471" s="28" t="str">
        <f t="shared" si="193"/>
        <v/>
      </c>
      <c r="AH471" s="4" t="str">
        <f>IF(AD471&lt;&gt;"",ROUND(AD471*10*SI!$C$9/2,0),"")</f>
        <v/>
      </c>
      <c r="AI471" s="29" t="str">
        <f>IF(AND(X471&lt;&gt;""), ROUND((SI!$E$28)*(X471/SUM($X$5:$X$493)),0),"")</f>
        <v/>
      </c>
      <c r="AJ471" s="4" t="str">
        <f t="shared" si="194"/>
        <v/>
      </c>
      <c r="AK471" s="4" t="str">
        <f t="shared" si="195"/>
        <v/>
      </c>
      <c r="AL471" s="4" t="str">
        <f t="shared" si="196"/>
        <v/>
      </c>
      <c r="AM471" s="4" t="str">
        <f t="shared" si="197"/>
        <v/>
      </c>
      <c r="AN471" s="195" t="str">
        <f t="shared" si="198"/>
        <v/>
      </c>
      <c r="AO471" s="261" t="str">
        <f>IF(AND(AM471&lt;&gt;"",P471&lt;&gt;""),ROUND((AM471*((100+SI!$C$11)/100)),0),"")</f>
        <v/>
      </c>
      <c r="AP471" s="28" t="str">
        <f>IF(AG471&lt;&gt;"",ROUND(AG471/SI!$C$9,2),"")</f>
        <v/>
      </c>
      <c r="AQ471" s="4" t="str">
        <f>IF(AH471&lt;&gt;"",ROUND(AH471/SI!$C$9,2),"")</f>
        <v/>
      </c>
      <c r="AR471" s="29" t="str">
        <f>IF(AI471&lt;&gt;"",ROUND(AI471/SI!$C$9,2),"")</f>
        <v/>
      </c>
      <c r="AS471" s="4" t="str">
        <f t="shared" si="199"/>
        <v/>
      </c>
      <c r="AT471" s="4" t="str">
        <f t="shared" si="200"/>
        <v/>
      </c>
      <c r="AU471" s="4" t="str">
        <f>IF(AL471&lt;&gt;"",ROUND(AL471/SI!$C$9,2),"")</f>
        <v/>
      </c>
      <c r="AV471" s="4" t="str">
        <f>IF(AM471&lt;&gt;"",ROUND(AM471/SI!$C$9,2),"")</f>
        <v/>
      </c>
      <c r="AW471" s="4" t="str">
        <f>IF(AN471&lt;&gt;"",ROUND(AN471/SI!$C$9,2),"")</f>
        <v/>
      </c>
      <c r="AX471" s="261" t="str">
        <f>IF(AO471&lt;&gt;"",ROUND(AO471/SI!$C$9,2),"")</f>
        <v/>
      </c>
      <c r="AY471" s="28" t="str">
        <f t="shared" si="201"/>
        <v/>
      </c>
      <c r="AZ471" s="4" t="str">
        <f>IF(AY471&lt;&gt;"",ROUND(AY471/(SI!$C$9*SI!$C$10),2),"")</f>
        <v/>
      </c>
      <c r="BA471" s="4" t="str">
        <f t="shared" si="202"/>
        <v/>
      </c>
      <c r="BB471" s="4" t="str">
        <f t="shared" si="203"/>
        <v/>
      </c>
      <c r="BC471" s="4" t="str">
        <f t="shared" si="204"/>
        <v/>
      </c>
      <c r="BD471" s="4" t="str">
        <f t="shared" si="205"/>
        <v/>
      </c>
      <c r="BE471" s="4" t="str">
        <f>IF(AND(X471&lt;&gt;""),ROUND(X471/SI!$C$10,2),"")</f>
        <v/>
      </c>
      <c r="BF471" s="4" t="str">
        <f t="shared" si="207"/>
        <v/>
      </c>
      <c r="BG471" s="264" t="str">
        <f t="shared" si="206"/>
        <v/>
      </c>
      <c r="BH471" s="71" t="str">
        <f>IF(F471&lt;&gt;"",VLOOKUP(F471,DUTY_2025!A:O,15,FALSE),"")</f>
        <v/>
      </c>
    </row>
    <row r="472" spans="1:60" x14ac:dyDescent="0.25">
      <c r="A472" s="133">
        <f t="shared" si="182"/>
        <v>66</v>
      </c>
      <c r="B472" s="83" t="str">
        <f t="shared" si="183"/>
        <v/>
      </c>
      <c r="C472" s="126"/>
      <c r="D472" s="130"/>
      <c r="E472" s="22"/>
      <c r="F472" s="85"/>
      <c r="G472" s="27" t="str">
        <f>IF(F472&lt;&gt;"",IFERROR(VLOOKUP(F472,DUTY_2025!A:I,6,FALSE),""),"")</f>
        <v/>
      </c>
      <c r="H472" s="85" t="s">
        <v>133</v>
      </c>
      <c r="I472" s="27" t="str">
        <f>IF(F472&lt;&gt;"",IFERROR(VLOOKUP(F472,DUTY_2025!A:H,2,FALSE),""),"")</f>
        <v/>
      </c>
      <c r="J472" s="98"/>
      <c r="K472" s="98"/>
      <c r="L472" s="22"/>
      <c r="M472" s="22"/>
      <c r="N472" s="84"/>
      <c r="O472" s="22"/>
      <c r="P472" s="116"/>
      <c r="Q472" s="23"/>
      <c r="R472" s="27"/>
      <c r="S472" s="86" t="str">
        <f t="shared" si="184"/>
        <v/>
      </c>
      <c r="T472" s="87" t="str">
        <f t="shared" si="185"/>
        <v/>
      </c>
      <c r="U472" s="87" t="str" cm="1">
        <f t="array" ref="U472">IF(AND(H472&lt;&gt;"YES",P472&lt;&gt;"",R472&lt;&gt;"",Q472&lt;&gt;""),
_xlfn.SWITCH(Q472,
"INR",_xlfn.SWITCH(R472,"KG",P472*S472,"CTN",P472,"UNIT",P472*N472,"NET",P472/M472,0),
"USD",_xlfn.SWITCH(R472,"KG",P472*S472*SI!$C$10,"CTN",P472*SI!$C$10,"UNIT",P472*N472*SI!$C$10,"NET",P472*SI!$C$10/M472,0),
"LKR",_xlfn.SWITCH(R472,"KG",P472*S472/SI!$C$9,"CTN",P472/SI!$C$9,"UNIT",P472*N472/SI!$C$9,"NET",P472/(M472*SI!$C$9),0),
0),
"")</f>
        <v/>
      </c>
      <c r="V472" s="87" t="str">
        <f t="shared" si="186"/>
        <v/>
      </c>
      <c r="W472" s="87" t="str">
        <f t="shared" si="187"/>
        <v/>
      </c>
      <c r="X472" s="88" t="str">
        <f t="shared" si="188"/>
        <v/>
      </c>
      <c r="Y472" s="24" t="str">
        <f t="shared" si="189"/>
        <v/>
      </c>
      <c r="Z472" s="267" t="str">
        <f>IF(AND(H472&lt;&gt;"yes",F472&lt;&gt;""),IFERROR(VLOOKUP(F472,DUTY_2025!A:F,5,FALSE),""),"")</f>
        <v/>
      </c>
      <c r="AA472" s="271" t="str">
        <f t="shared" si="190"/>
        <v/>
      </c>
      <c r="AB472" s="16" t="str">
        <f t="shared" si="191"/>
        <v/>
      </c>
      <c r="AC472" s="16" t="str">
        <f>IF(AA472&lt;&gt;"",ROUND(AA472*SI!$C$9,0),"")</f>
        <v/>
      </c>
      <c r="AD472" s="4" t="str">
        <f>IF(AC472&lt;&gt;"",ROUND(AC472/(SI!$C$9*SI!$C$10),2),"")</f>
        <v/>
      </c>
      <c r="AE472" s="30" t="str">
        <f>IF(AND(X472&lt;&gt;""), ROUND((SI!$E$23)*(X472/SUM($X$5:$X$493)),0),"")</f>
        <v/>
      </c>
      <c r="AF472" s="272" t="str">
        <f t="shared" si="192"/>
        <v/>
      </c>
      <c r="AG472" s="28" t="str">
        <f t="shared" si="193"/>
        <v/>
      </c>
      <c r="AH472" s="4" t="str">
        <f>IF(AD472&lt;&gt;"",ROUND(AD472*10*SI!$C$9/2,0),"")</f>
        <v/>
      </c>
      <c r="AI472" s="29" t="str">
        <f>IF(AND(X472&lt;&gt;""), ROUND((SI!$E$28)*(X472/SUM($X$5:$X$493)),0),"")</f>
        <v/>
      </c>
      <c r="AJ472" s="4" t="str">
        <f t="shared" si="194"/>
        <v/>
      </c>
      <c r="AK472" s="4" t="str">
        <f t="shared" si="195"/>
        <v/>
      </c>
      <c r="AL472" s="4" t="str">
        <f t="shared" si="196"/>
        <v/>
      </c>
      <c r="AM472" s="4" t="str">
        <f t="shared" si="197"/>
        <v/>
      </c>
      <c r="AN472" s="195" t="str">
        <f t="shared" si="198"/>
        <v/>
      </c>
      <c r="AO472" s="261" t="str">
        <f>IF(AND(AM472&lt;&gt;"",P472&lt;&gt;""),ROUND((AM472*((100+SI!$C$11)/100)),0),"")</f>
        <v/>
      </c>
      <c r="AP472" s="28" t="str">
        <f>IF(AG472&lt;&gt;"",ROUND(AG472/SI!$C$9,2),"")</f>
        <v/>
      </c>
      <c r="AQ472" s="4" t="str">
        <f>IF(AH472&lt;&gt;"",ROUND(AH472/SI!$C$9,2),"")</f>
        <v/>
      </c>
      <c r="AR472" s="29" t="str">
        <f>IF(AI472&lt;&gt;"",ROUND(AI472/SI!$C$9,2),"")</f>
        <v/>
      </c>
      <c r="AS472" s="4" t="str">
        <f t="shared" si="199"/>
        <v/>
      </c>
      <c r="AT472" s="4" t="str">
        <f t="shared" si="200"/>
        <v/>
      </c>
      <c r="AU472" s="4" t="str">
        <f>IF(AL472&lt;&gt;"",ROUND(AL472/SI!$C$9,2),"")</f>
        <v/>
      </c>
      <c r="AV472" s="4" t="str">
        <f>IF(AM472&lt;&gt;"",ROUND(AM472/SI!$C$9,2),"")</f>
        <v/>
      </c>
      <c r="AW472" s="4" t="str">
        <f>IF(AN472&lt;&gt;"",ROUND(AN472/SI!$C$9,2),"")</f>
        <v/>
      </c>
      <c r="AX472" s="261" t="str">
        <f>IF(AO472&lt;&gt;"",ROUND(AO472/SI!$C$9,2),"")</f>
        <v/>
      </c>
      <c r="AY472" s="28" t="str">
        <f t="shared" si="201"/>
        <v/>
      </c>
      <c r="AZ472" s="4" t="str">
        <f>IF(AY472&lt;&gt;"",ROUND(AY472/(SI!$C$9*SI!$C$10),2),"")</f>
        <v/>
      </c>
      <c r="BA472" s="4" t="str">
        <f t="shared" si="202"/>
        <v/>
      </c>
      <c r="BB472" s="4" t="str">
        <f t="shared" si="203"/>
        <v/>
      </c>
      <c r="BC472" s="4" t="str">
        <f t="shared" si="204"/>
        <v/>
      </c>
      <c r="BD472" s="4" t="str">
        <f t="shared" si="205"/>
        <v/>
      </c>
      <c r="BE472" s="4" t="str">
        <f>IF(AND(X472&lt;&gt;""),ROUND(X472/SI!$C$10,2),"")</f>
        <v/>
      </c>
      <c r="BF472" s="4" t="str">
        <f t="shared" si="207"/>
        <v/>
      </c>
      <c r="BG472" s="264" t="str">
        <f t="shared" si="206"/>
        <v/>
      </c>
      <c r="BH472" s="71" t="str">
        <f>IF(F472&lt;&gt;"",VLOOKUP(F472,DUTY_2025!A:O,15,FALSE),"")</f>
        <v/>
      </c>
    </row>
    <row r="473" spans="1:60" x14ac:dyDescent="0.25">
      <c r="A473" s="133">
        <f t="shared" si="182"/>
        <v>66</v>
      </c>
      <c r="B473" s="83" t="str">
        <f t="shared" si="183"/>
        <v/>
      </c>
      <c r="C473" s="126"/>
      <c r="D473" s="130"/>
      <c r="E473" s="22"/>
      <c r="F473" s="85"/>
      <c r="G473" s="27" t="str">
        <f>IF(F473&lt;&gt;"",IFERROR(VLOOKUP(F473,DUTY_2025!A:I,6,FALSE),""),"")</f>
        <v/>
      </c>
      <c r="H473" s="85" t="s">
        <v>133</v>
      </c>
      <c r="I473" s="27" t="str">
        <f>IF(F473&lt;&gt;"",IFERROR(VLOOKUP(F473,DUTY_2025!A:H,2,FALSE),""),"")</f>
        <v/>
      </c>
      <c r="J473" s="98"/>
      <c r="K473" s="98"/>
      <c r="L473" s="22"/>
      <c r="M473" s="22"/>
      <c r="N473" s="84"/>
      <c r="O473" s="22"/>
      <c r="P473" s="116"/>
      <c r="Q473" s="23"/>
      <c r="R473" s="27"/>
      <c r="S473" s="86" t="str">
        <f t="shared" si="184"/>
        <v/>
      </c>
      <c r="T473" s="87" t="str">
        <f t="shared" si="185"/>
        <v/>
      </c>
      <c r="U473" s="87" t="str" cm="1">
        <f t="array" ref="U473">IF(AND(H473&lt;&gt;"YES",P473&lt;&gt;"",R473&lt;&gt;"",Q473&lt;&gt;""),
_xlfn.SWITCH(Q473,
"INR",_xlfn.SWITCH(R473,"KG",P473*S473,"CTN",P473,"UNIT",P473*N473,"NET",P473/M473,0),
"USD",_xlfn.SWITCH(R473,"KG",P473*S473*SI!$C$10,"CTN",P473*SI!$C$10,"UNIT",P473*N473*SI!$C$10,"NET",P473*SI!$C$10/M473,0),
"LKR",_xlfn.SWITCH(R473,"KG",P473*S473/SI!$C$9,"CTN",P473/SI!$C$9,"UNIT",P473*N473/SI!$C$9,"NET",P473/(M473*SI!$C$9),0),
0),
"")</f>
        <v/>
      </c>
      <c r="V473" s="87" t="str">
        <f t="shared" si="186"/>
        <v/>
      </c>
      <c r="W473" s="87" t="str">
        <f t="shared" si="187"/>
        <v/>
      </c>
      <c r="X473" s="88" t="str">
        <f t="shared" si="188"/>
        <v/>
      </c>
      <c r="Y473" s="24" t="str">
        <f t="shared" si="189"/>
        <v/>
      </c>
      <c r="Z473" s="267" t="str">
        <f>IF(AND(H473&lt;&gt;"yes",F473&lt;&gt;""),IFERROR(VLOOKUP(F473,DUTY_2025!A:F,5,FALSE),""),"")</f>
        <v/>
      </c>
      <c r="AA473" s="271" t="str">
        <f t="shared" si="190"/>
        <v/>
      </c>
      <c r="AB473" s="16" t="str">
        <f t="shared" si="191"/>
        <v/>
      </c>
      <c r="AC473" s="16" t="str">
        <f>IF(AA473&lt;&gt;"",ROUND(AA473*SI!$C$9,0),"")</f>
        <v/>
      </c>
      <c r="AD473" s="4" t="str">
        <f>IF(AC473&lt;&gt;"",ROUND(AC473/(SI!$C$9*SI!$C$10),2),"")</f>
        <v/>
      </c>
      <c r="AE473" s="30" t="str">
        <f>IF(AND(X473&lt;&gt;""), ROUND((SI!$E$23)*(X473/SUM($X$5:$X$493)),0),"")</f>
        <v/>
      </c>
      <c r="AF473" s="272" t="str">
        <f t="shared" si="192"/>
        <v/>
      </c>
      <c r="AG473" s="28" t="str">
        <f t="shared" si="193"/>
        <v/>
      </c>
      <c r="AH473" s="4" t="str">
        <f>IF(AD473&lt;&gt;"",ROUND(AD473*10*SI!$C$9/2,0),"")</f>
        <v/>
      </c>
      <c r="AI473" s="29" t="str">
        <f>IF(AND(X473&lt;&gt;""), ROUND((SI!$E$28)*(X473/SUM($X$5:$X$493)),0),"")</f>
        <v/>
      </c>
      <c r="AJ473" s="4" t="str">
        <f t="shared" si="194"/>
        <v/>
      </c>
      <c r="AK473" s="4" t="str">
        <f t="shared" si="195"/>
        <v/>
      </c>
      <c r="AL473" s="4" t="str">
        <f t="shared" si="196"/>
        <v/>
      </c>
      <c r="AM473" s="4" t="str">
        <f t="shared" si="197"/>
        <v/>
      </c>
      <c r="AN473" s="195" t="str">
        <f t="shared" si="198"/>
        <v/>
      </c>
      <c r="AO473" s="261" t="str">
        <f>IF(AND(AM473&lt;&gt;"",P473&lt;&gt;""),ROUND((AM473*((100+SI!$C$11)/100)),0),"")</f>
        <v/>
      </c>
      <c r="AP473" s="28" t="str">
        <f>IF(AG473&lt;&gt;"",ROUND(AG473/SI!$C$9,2),"")</f>
        <v/>
      </c>
      <c r="AQ473" s="4" t="str">
        <f>IF(AH473&lt;&gt;"",ROUND(AH473/SI!$C$9,2),"")</f>
        <v/>
      </c>
      <c r="AR473" s="29" t="str">
        <f>IF(AI473&lt;&gt;"",ROUND(AI473/SI!$C$9,2),"")</f>
        <v/>
      </c>
      <c r="AS473" s="4" t="str">
        <f t="shared" si="199"/>
        <v/>
      </c>
      <c r="AT473" s="4" t="str">
        <f t="shared" si="200"/>
        <v/>
      </c>
      <c r="AU473" s="4" t="str">
        <f>IF(AL473&lt;&gt;"",ROUND(AL473/SI!$C$9,2),"")</f>
        <v/>
      </c>
      <c r="AV473" s="4" t="str">
        <f>IF(AM473&lt;&gt;"",ROUND(AM473/SI!$C$9,2),"")</f>
        <v/>
      </c>
      <c r="AW473" s="4" t="str">
        <f>IF(AN473&lt;&gt;"",ROUND(AN473/SI!$C$9,2),"")</f>
        <v/>
      </c>
      <c r="AX473" s="261" t="str">
        <f>IF(AO473&lt;&gt;"",ROUND(AO473/SI!$C$9,2),"")</f>
        <v/>
      </c>
      <c r="AY473" s="28" t="str">
        <f t="shared" si="201"/>
        <v/>
      </c>
      <c r="AZ473" s="4" t="str">
        <f>IF(AY473&lt;&gt;"",ROUND(AY473/(SI!$C$9*SI!$C$10),2),"")</f>
        <v/>
      </c>
      <c r="BA473" s="4" t="str">
        <f t="shared" si="202"/>
        <v/>
      </c>
      <c r="BB473" s="4" t="str">
        <f t="shared" si="203"/>
        <v/>
      </c>
      <c r="BC473" s="4" t="str">
        <f t="shared" si="204"/>
        <v/>
      </c>
      <c r="BD473" s="4" t="str">
        <f t="shared" si="205"/>
        <v/>
      </c>
      <c r="BE473" s="4" t="str">
        <f>IF(AND(X473&lt;&gt;""),ROUND(X473/SI!$C$10,2),"")</f>
        <v/>
      </c>
      <c r="BF473" s="4" t="str">
        <f t="shared" si="207"/>
        <v/>
      </c>
      <c r="BG473" s="264" t="str">
        <f t="shared" si="206"/>
        <v/>
      </c>
      <c r="BH473" s="71" t="str">
        <f>IF(F473&lt;&gt;"",VLOOKUP(F473,DUTY_2025!A:O,15,FALSE),"")</f>
        <v/>
      </c>
    </row>
    <row r="474" spans="1:60" x14ac:dyDescent="0.25">
      <c r="A474" s="133">
        <f t="shared" si="182"/>
        <v>66</v>
      </c>
      <c r="B474" s="83" t="str">
        <f t="shared" si="183"/>
        <v/>
      </c>
      <c r="C474" s="126"/>
      <c r="D474" s="130"/>
      <c r="E474" s="22"/>
      <c r="F474" s="85"/>
      <c r="G474" s="27" t="str">
        <f>IF(F474&lt;&gt;"",IFERROR(VLOOKUP(F474,DUTY_2025!A:I,6,FALSE),""),"")</f>
        <v/>
      </c>
      <c r="H474" s="85" t="s">
        <v>133</v>
      </c>
      <c r="I474" s="27" t="str">
        <f>IF(F474&lt;&gt;"",IFERROR(VLOOKUP(F474,DUTY_2025!A:H,2,FALSE),""),"")</f>
        <v/>
      </c>
      <c r="J474" s="98"/>
      <c r="K474" s="98"/>
      <c r="L474" s="22"/>
      <c r="M474" s="22"/>
      <c r="N474" s="84"/>
      <c r="O474" s="22"/>
      <c r="P474" s="116"/>
      <c r="Q474" s="23"/>
      <c r="R474" s="27"/>
      <c r="S474" s="86" t="str">
        <f t="shared" si="184"/>
        <v/>
      </c>
      <c r="T474" s="87" t="str">
        <f t="shared" si="185"/>
        <v/>
      </c>
      <c r="U474" s="87" t="str" cm="1">
        <f t="array" ref="U474">IF(AND(H474&lt;&gt;"YES",P474&lt;&gt;"",R474&lt;&gt;"",Q474&lt;&gt;""),
_xlfn.SWITCH(Q474,
"INR",_xlfn.SWITCH(R474,"KG",P474*S474,"CTN",P474,"UNIT",P474*N474,"NET",P474/M474,0),
"USD",_xlfn.SWITCH(R474,"KG",P474*S474*SI!$C$10,"CTN",P474*SI!$C$10,"UNIT",P474*N474*SI!$C$10,"NET",P474*SI!$C$10/M474,0),
"LKR",_xlfn.SWITCH(R474,"KG",P474*S474/SI!$C$9,"CTN",P474/SI!$C$9,"UNIT",P474*N474/SI!$C$9,"NET",P474/(M474*SI!$C$9),0),
0),
"")</f>
        <v/>
      </c>
      <c r="V474" s="87" t="str">
        <f t="shared" si="186"/>
        <v/>
      </c>
      <c r="W474" s="87" t="str">
        <f t="shared" si="187"/>
        <v/>
      </c>
      <c r="X474" s="88" t="str">
        <f t="shared" si="188"/>
        <v/>
      </c>
      <c r="Y474" s="24" t="str">
        <f t="shared" si="189"/>
        <v/>
      </c>
      <c r="Z474" s="267" t="str">
        <f>IF(AND(H474&lt;&gt;"yes",F474&lt;&gt;""),IFERROR(VLOOKUP(F474,DUTY_2025!A:F,5,FALSE),""),"")</f>
        <v/>
      </c>
      <c r="AA474" s="271" t="str">
        <f t="shared" si="190"/>
        <v/>
      </c>
      <c r="AB474" s="16" t="str">
        <f t="shared" si="191"/>
        <v/>
      </c>
      <c r="AC474" s="16" t="str">
        <f>IF(AA474&lt;&gt;"",ROUND(AA474*SI!$C$9,0),"")</f>
        <v/>
      </c>
      <c r="AD474" s="4" t="str">
        <f>IF(AC474&lt;&gt;"",ROUND(AC474/(SI!$C$9*SI!$C$10),2),"")</f>
        <v/>
      </c>
      <c r="AE474" s="30" t="str">
        <f>IF(AND(X474&lt;&gt;""), ROUND((SI!$E$23)*(X474/SUM($X$5:$X$493)),0),"")</f>
        <v/>
      </c>
      <c r="AF474" s="272" t="str">
        <f t="shared" si="192"/>
        <v/>
      </c>
      <c r="AG474" s="28" t="str">
        <f t="shared" si="193"/>
        <v/>
      </c>
      <c r="AH474" s="4" t="str">
        <f>IF(AD474&lt;&gt;"",ROUND(AD474*10*SI!$C$9/2,0),"")</f>
        <v/>
      </c>
      <c r="AI474" s="29" t="str">
        <f>IF(AND(X474&lt;&gt;""), ROUND((SI!$E$28)*(X474/SUM($X$5:$X$493)),0),"")</f>
        <v/>
      </c>
      <c r="AJ474" s="4" t="str">
        <f t="shared" si="194"/>
        <v/>
      </c>
      <c r="AK474" s="4" t="str">
        <f t="shared" si="195"/>
        <v/>
      </c>
      <c r="AL474" s="4" t="str">
        <f t="shared" si="196"/>
        <v/>
      </c>
      <c r="AM474" s="4" t="str">
        <f t="shared" si="197"/>
        <v/>
      </c>
      <c r="AN474" s="195" t="str">
        <f t="shared" si="198"/>
        <v/>
      </c>
      <c r="AO474" s="261" t="str">
        <f>IF(AND(AM474&lt;&gt;"",P474&lt;&gt;""),ROUND((AM474*((100+SI!$C$11)/100)),0),"")</f>
        <v/>
      </c>
      <c r="AP474" s="28" t="str">
        <f>IF(AG474&lt;&gt;"",ROUND(AG474/SI!$C$9,2),"")</f>
        <v/>
      </c>
      <c r="AQ474" s="4" t="str">
        <f>IF(AH474&lt;&gt;"",ROUND(AH474/SI!$C$9,2),"")</f>
        <v/>
      </c>
      <c r="AR474" s="29" t="str">
        <f>IF(AI474&lt;&gt;"",ROUND(AI474/SI!$C$9,2),"")</f>
        <v/>
      </c>
      <c r="AS474" s="4" t="str">
        <f t="shared" si="199"/>
        <v/>
      </c>
      <c r="AT474" s="4" t="str">
        <f t="shared" si="200"/>
        <v/>
      </c>
      <c r="AU474" s="4" t="str">
        <f>IF(AL474&lt;&gt;"",ROUND(AL474/SI!$C$9,2),"")</f>
        <v/>
      </c>
      <c r="AV474" s="4" t="str">
        <f>IF(AM474&lt;&gt;"",ROUND(AM474/SI!$C$9,2),"")</f>
        <v/>
      </c>
      <c r="AW474" s="4" t="str">
        <f>IF(AN474&lt;&gt;"",ROUND(AN474/SI!$C$9,2),"")</f>
        <v/>
      </c>
      <c r="AX474" s="261" t="str">
        <f>IF(AO474&lt;&gt;"",ROUND(AO474/SI!$C$9,2),"")</f>
        <v/>
      </c>
      <c r="AY474" s="28" t="str">
        <f t="shared" si="201"/>
        <v/>
      </c>
      <c r="AZ474" s="4" t="str">
        <f>IF(AY474&lt;&gt;"",ROUND(AY474/(SI!$C$9*SI!$C$10),2),"")</f>
        <v/>
      </c>
      <c r="BA474" s="4" t="str">
        <f t="shared" si="202"/>
        <v/>
      </c>
      <c r="BB474" s="4" t="str">
        <f t="shared" si="203"/>
        <v/>
      </c>
      <c r="BC474" s="4" t="str">
        <f t="shared" si="204"/>
        <v/>
      </c>
      <c r="BD474" s="4" t="str">
        <f t="shared" si="205"/>
        <v/>
      </c>
      <c r="BE474" s="4" t="str">
        <f>IF(AND(X474&lt;&gt;""),ROUND(X474/SI!$C$10,2),"")</f>
        <v/>
      </c>
      <c r="BF474" s="4" t="str">
        <f t="shared" si="207"/>
        <v/>
      </c>
      <c r="BG474" s="264" t="str">
        <f t="shared" si="206"/>
        <v/>
      </c>
      <c r="BH474" s="71" t="str">
        <f>IF(F474&lt;&gt;"",VLOOKUP(F474,DUTY_2025!A:O,15,FALSE),"")</f>
        <v/>
      </c>
    </row>
    <row r="475" spans="1:60" x14ac:dyDescent="0.25">
      <c r="A475" s="133">
        <f t="shared" si="182"/>
        <v>66</v>
      </c>
      <c r="B475" s="83" t="str">
        <f t="shared" si="183"/>
        <v/>
      </c>
      <c r="C475" s="126"/>
      <c r="D475" s="130"/>
      <c r="E475" s="22"/>
      <c r="F475" s="85"/>
      <c r="G475" s="27" t="str">
        <f>IF(F475&lt;&gt;"",IFERROR(VLOOKUP(F475,DUTY_2025!A:I,6,FALSE),""),"")</f>
        <v/>
      </c>
      <c r="H475" s="85" t="s">
        <v>133</v>
      </c>
      <c r="I475" s="27" t="str">
        <f>IF(F475&lt;&gt;"",IFERROR(VLOOKUP(F475,DUTY_2025!A:H,2,FALSE),""),"")</f>
        <v/>
      </c>
      <c r="J475" s="98"/>
      <c r="K475" s="98"/>
      <c r="L475" s="22"/>
      <c r="M475" s="22"/>
      <c r="N475" s="84"/>
      <c r="O475" s="22"/>
      <c r="P475" s="116"/>
      <c r="Q475" s="23"/>
      <c r="R475" s="27"/>
      <c r="S475" s="86" t="str">
        <f t="shared" si="184"/>
        <v/>
      </c>
      <c r="T475" s="87" t="str">
        <f t="shared" si="185"/>
        <v/>
      </c>
      <c r="U475" s="87" t="str" cm="1">
        <f t="array" ref="U475">IF(AND(H475&lt;&gt;"YES",P475&lt;&gt;"",R475&lt;&gt;"",Q475&lt;&gt;""),
_xlfn.SWITCH(Q475,
"INR",_xlfn.SWITCH(R475,"KG",P475*S475,"CTN",P475,"UNIT",P475*N475,"NET",P475/M475,0),
"USD",_xlfn.SWITCH(R475,"KG",P475*S475*SI!$C$10,"CTN",P475*SI!$C$10,"UNIT",P475*N475*SI!$C$10,"NET",P475*SI!$C$10/M475,0),
"LKR",_xlfn.SWITCH(R475,"KG",P475*S475/SI!$C$9,"CTN",P475/SI!$C$9,"UNIT",P475*N475/SI!$C$9,"NET",P475/(M475*SI!$C$9),0),
0),
"")</f>
        <v/>
      </c>
      <c r="V475" s="87" t="str">
        <f t="shared" si="186"/>
        <v/>
      </c>
      <c r="W475" s="87" t="str">
        <f t="shared" si="187"/>
        <v/>
      </c>
      <c r="X475" s="88" t="str">
        <f t="shared" si="188"/>
        <v/>
      </c>
      <c r="Y475" s="24" t="str">
        <f t="shared" si="189"/>
        <v/>
      </c>
      <c r="Z475" s="267" t="str">
        <f>IF(AND(H475&lt;&gt;"yes",F475&lt;&gt;""),IFERROR(VLOOKUP(F475,DUTY_2025!A:F,5,FALSE),""),"")</f>
        <v/>
      </c>
      <c r="AA475" s="271" t="str">
        <f t="shared" si="190"/>
        <v/>
      </c>
      <c r="AB475" s="16" t="str">
        <f t="shared" si="191"/>
        <v/>
      </c>
      <c r="AC475" s="16" t="str">
        <f>IF(AA475&lt;&gt;"",ROUND(AA475*SI!$C$9,0),"")</f>
        <v/>
      </c>
      <c r="AD475" s="4" t="str">
        <f>IF(AC475&lt;&gt;"",ROUND(AC475/(SI!$C$9*SI!$C$10),2),"")</f>
        <v/>
      </c>
      <c r="AE475" s="30" t="str">
        <f>IF(AND(X475&lt;&gt;""), ROUND((SI!$E$23)*(X475/SUM($X$5:$X$493)),0),"")</f>
        <v/>
      </c>
      <c r="AF475" s="272" t="str">
        <f t="shared" si="192"/>
        <v/>
      </c>
      <c r="AG475" s="28" t="str">
        <f t="shared" si="193"/>
        <v/>
      </c>
      <c r="AH475" s="4" t="str">
        <f>IF(AD475&lt;&gt;"",ROUND(AD475*10*SI!$C$9/2,0),"")</f>
        <v/>
      </c>
      <c r="AI475" s="29" t="str">
        <f>IF(AND(X475&lt;&gt;""), ROUND((SI!$E$28)*(X475/SUM($X$5:$X$493)),0),"")</f>
        <v/>
      </c>
      <c r="AJ475" s="4" t="str">
        <f t="shared" si="194"/>
        <v/>
      </c>
      <c r="AK475" s="4" t="str">
        <f t="shared" si="195"/>
        <v/>
      </c>
      <c r="AL475" s="4" t="str">
        <f t="shared" si="196"/>
        <v/>
      </c>
      <c r="AM475" s="4" t="str">
        <f t="shared" si="197"/>
        <v/>
      </c>
      <c r="AN475" s="195" t="str">
        <f t="shared" si="198"/>
        <v/>
      </c>
      <c r="AO475" s="261" t="str">
        <f>IF(AND(AM475&lt;&gt;"",P475&lt;&gt;""),ROUND((AM475*((100+SI!$C$11)/100)),0),"")</f>
        <v/>
      </c>
      <c r="AP475" s="28" t="str">
        <f>IF(AG475&lt;&gt;"",ROUND(AG475/SI!$C$9,2),"")</f>
        <v/>
      </c>
      <c r="AQ475" s="4" t="str">
        <f>IF(AH475&lt;&gt;"",ROUND(AH475/SI!$C$9,2),"")</f>
        <v/>
      </c>
      <c r="AR475" s="29" t="str">
        <f>IF(AI475&lt;&gt;"",ROUND(AI475/SI!$C$9,2),"")</f>
        <v/>
      </c>
      <c r="AS475" s="4" t="str">
        <f t="shared" si="199"/>
        <v/>
      </c>
      <c r="AT475" s="4" t="str">
        <f t="shared" si="200"/>
        <v/>
      </c>
      <c r="AU475" s="4" t="str">
        <f>IF(AL475&lt;&gt;"",ROUND(AL475/SI!$C$9,2),"")</f>
        <v/>
      </c>
      <c r="AV475" s="4" t="str">
        <f>IF(AM475&lt;&gt;"",ROUND(AM475/SI!$C$9,2),"")</f>
        <v/>
      </c>
      <c r="AW475" s="4" t="str">
        <f>IF(AN475&lt;&gt;"",ROUND(AN475/SI!$C$9,2),"")</f>
        <v/>
      </c>
      <c r="AX475" s="261" t="str">
        <f>IF(AO475&lt;&gt;"",ROUND(AO475/SI!$C$9,2),"")</f>
        <v/>
      </c>
      <c r="AY475" s="28" t="str">
        <f t="shared" si="201"/>
        <v/>
      </c>
      <c r="AZ475" s="4" t="str">
        <f>IF(AY475&lt;&gt;"",ROUND(AY475/(SI!$C$9*SI!$C$10),2),"")</f>
        <v/>
      </c>
      <c r="BA475" s="4" t="str">
        <f t="shared" si="202"/>
        <v/>
      </c>
      <c r="BB475" s="4" t="str">
        <f t="shared" si="203"/>
        <v/>
      </c>
      <c r="BC475" s="4" t="str">
        <f t="shared" si="204"/>
        <v/>
      </c>
      <c r="BD475" s="4" t="str">
        <f t="shared" si="205"/>
        <v/>
      </c>
      <c r="BE475" s="4" t="str">
        <f>IF(AND(X475&lt;&gt;""),ROUND(X475/SI!$C$10,2),"")</f>
        <v/>
      </c>
      <c r="BF475" s="4" t="str">
        <f t="shared" si="207"/>
        <v/>
      </c>
      <c r="BG475" s="264" t="str">
        <f t="shared" si="206"/>
        <v/>
      </c>
      <c r="BH475" s="71" t="str">
        <f>IF(F475&lt;&gt;"",VLOOKUP(F475,DUTY_2025!A:O,15,FALSE),"")</f>
        <v/>
      </c>
    </row>
    <row r="476" spans="1:60" x14ac:dyDescent="0.25">
      <c r="A476" s="133">
        <f t="shared" si="182"/>
        <v>66</v>
      </c>
      <c r="B476" s="83" t="str">
        <f t="shared" si="183"/>
        <v/>
      </c>
      <c r="C476" s="126"/>
      <c r="D476" s="130"/>
      <c r="E476" s="22"/>
      <c r="F476" s="85"/>
      <c r="G476" s="27" t="str">
        <f>IF(F476&lt;&gt;"",IFERROR(VLOOKUP(F476,DUTY_2025!A:I,6,FALSE),""),"")</f>
        <v/>
      </c>
      <c r="H476" s="85" t="s">
        <v>133</v>
      </c>
      <c r="I476" s="27" t="str">
        <f>IF(F476&lt;&gt;"",IFERROR(VLOOKUP(F476,DUTY_2025!A:H,2,FALSE),""),"")</f>
        <v/>
      </c>
      <c r="J476" s="98"/>
      <c r="K476" s="98"/>
      <c r="L476" s="22"/>
      <c r="M476" s="22"/>
      <c r="N476" s="84"/>
      <c r="O476" s="22"/>
      <c r="P476" s="116"/>
      <c r="Q476" s="23"/>
      <c r="R476" s="27"/>
      <c r="S476" s="86" t="str">
        <f t="shared" si="184"/>
        <v/>
      </c>
      <c r="T476" s="87" t="str">
        <f t="shared" si="185"/>
        <v/>
      </c>
      <c r="U476" s="87" t="str" cm="1">
        <f t="array" ref="U476">IF(AND(H476&lt;&gt;"YES",P476&lt;&gt;"",R476&lt;&gt;"",Q476&lt;&gt;""),
_xlfn.SWITCH(Q476,
"INR",_xlfn.SWITCH(R476,"KG",P476*S476,"CTN",P476,"UNIT",P476*N476,"NET",P476/M476,0),
"USD",_xlfn.SWITCH(R476,"KG",P476*S476*SI!$C$10,"CTN",P476*SI!$C$10,"UNIT",P476*N476*SI!$C$10,"NET",P476*SI!$C$10/M476,0),
"LKR",_xlfn.SWITCH(R476,"KG",P476*S476/SI!$C$9,"CTN",P476/SI!$C$9,"UNIT",P476*N476/SI!$C$9,"NET",P476/(M476*SI!$C$9),0),
0),
"")</f>
        <v/>
      </c>
      <c r="V476" s="87" t="str">
        <f t="shared" si="186"/>
        <v/>
      </c>
      <c r="W476" s="87" t="str">
        <f t="shared" si="187"/>
        <v/>
      </c>
      <c r="X476" s="88" t="str">
        <f t="shared" si="188"/>
        <v/>
      </c>
      <c r="Y476" s="24" t="str">
        <f t="shared" si="189"/>
        <v/>
      </c>
      <c r="Z476" s="267" t="str">
        <f>IF(AND(H476&lt;&gt;"yes",F476&lt;&gt;""),IFERROR(VLOOKUP(F476,DUTY_2025!A:F,5,FALSE),""),"")</f>
        <v/>
      </c>
      <c r="AA476" s="271" t="str">
        <f t="shared" si="190"/>
        <v/>
      </c>
      <c r="AB476" s="16" t="str">
        <f t="shared" si="191"/>
        <v/>
      </c>
      <c r="AC476" s="16" t="str">
        <f>IF(AA476&lt;&gt;"",ROUND(AA476*SI!$C$9,0),"")</f>
        <v/>
      </c>
      <c r="AD476" s="4" t="str">
        <f>IF(AC476&lt;&gt;"",ROUND(AC476/(SI!$C$9*SI!$C$10),2),"")</f>
        <v/>
      </c>
      <c r="AE476" s="30" t="str">
        <f>IF(AND(X476&lt;&gt;""), ROUND((SI!$E$23)*(X476/SUM($X$5:$X$493)),0),"")</f>
        <v/>
      </c>
      <c r="AF476" s="272" t="str">
        <f t="shared" si="192"/>
        <v/>
      </c>
      <c r="AG476" s="28" t="str">
        <f t="shared" si="193"/>
        <v/>
      </c>
      <c r="AH476" s="4" t="str">
        <f>IF(AD476&lt;&gt;"",ROUND(AD476*10*SI!$C$9/2,0),"")</f>
        <v/>
      </c>
      <c r="AI476" s="29" t="str">
        <f>IF(AND(X476&lt;&gt;""), ROUND((SI!$E$28)*(X476/SUM($X$5:$X$493)),0),"")</f>
        <v/>
      </c>
      <c r="AJ476" s="4" t="str">
        <f t="shared" si="194"/>
        <v/>
      </c>
      <c r="AK476" s="4" t="str">
        <f t="shared" si="195"/>
        <v/>
      </c>
      <c r="AL476" s="4" t="str">
        <f t="shared" si="196"/>
        <v/>
      </c>
      <c r="AM476" s="4" t="str">
        <f t="shared" si="197"/>
        <v/>
      </c>
      <c r="AN476" s="195" t="str">
        <f t="shared" si="198"/>
        <v/>
      </c>
      <c r="AO476" s="261" t="str">
        <f>IF(AND(AM476&lt;&gt;"",P476&lt;&gt;""),ROUND((AM476*((100+SI!$C$11)/100)),0),"")</f>
        <v/>
      </c>
      <c r="AP476" s="28" t="str">
        <f>IF(AG476&lt;&gt;"",ROUND(AG476/SI!$C$9,2),"")</f>
        <v/>
      </c>
      <c r="AQ476" s="4" t="str">
        <f>IF(AH476&lt;&gt;"",ROUND(AH476/SI!$C$9,2),"")</f>
        <v/>
      </c>
      <c r="AR476" s="29" t="str">
        <f>IF(AI476&lt;&gt;"",ROUND(AI476/SI!$C$9,2),"")</f>
        <v/>
      </c>
      <c r="AS476" s="4" t="str">
        <f t="shared" si="199"/>
        <v/>
      </c>
      <c r="AT476" s="4" t="str">
        <f t="shared" si="200"/>
        <v/>
      </c>
      <c r="AU476" s="4" t="str">
        <f>IF(AL476&lt;&gt;"",ROUND(AL476/SI!$C$9,2),"")</f>
        <v/>
      </c>
      <c r="AV476" s="4" t="str">
        <f>IF(AM476&lt;&gt;"",ROUND(AM476/SI!$C$9,2),"")</f>
        <v/>
      </c>
      <c r="AW476" s="4" t="str">
        <f>IF(AN476&lt;&gt;"",ROUND(AN476/SI!$C$9,2),"")</f>
        <v/>
      </c>
      <c r="AX476" s="261" t="str">
        <f>IF(AO476&lt;&gt;"",ROUND(AO476/SI!$C$9,2),"")</f>
        <v/>
      </c>
      <c r="AY476" s="28" t="str">
        <f t="shared" si="201"/>
        <v/>
      </c>
      <c r="AZ476" s="4" t="str">
        <f>IF(AY476&lt;&gt;"",ROUND(AY476/(SI!$C$9*SI!$C$10),2),"")</f>
        <v/>
      </c>
      <c r="BA476" s="4" t="str">
        <f t="shared" si="202"/>
        <v/>
      </c>
      <c r="BB476" s="4" t="str">
        <f t="shared" si="203"/>
        <v/>
      </c>
      <c r="BC476" s="4" t="str">
        <f t="shared" si="204"/>
        <v/>
      </c>
      <c r="BD476" s="4" t="str">
        <f t="shared" si="205"/>
        <v/>
      </c>
      <c r="BE476" s="4" t="str">
        <f>IF(AND(X476&lt;&gt;""),ROUND(X476/SI!$C$10,2),"")</f>
        <v/>
      </c>
      <c r="BF476" s="4" t="str">
        <f t="shared" si="207"/>
        <v/>
      </c>
      <c r="BG476" s="264" t="str">
        <f t="shared" si="206"/>
        <v/>
      </c>
      <c r="BH476" s="71" t="str">
        <f>IF(F476&lt;&gt;"",VLOOKUP(F476,DUTY_2025!A:O,15,FALSE),"")</f>
        <v/>
      </c>
    </row>
    <row r="477" spans="1:60" x14ac:dyDescent="0.25">
      <c r="A477" s="133">
        <f t="shared" si="182"/>
        <v>66</v>
      </c>
      <c r="B477" s="83" t="str">
        <f t="shared" si="183"/>
        <v/>
      </c>
      <c r="C477" s="126"/>
      <c r="D477" s="130"/>
      <c r="E477" s="22"/>
      <c r="F477" s="85"/>
      <c r="G477" s="27" t="str">
        <f>IF(F477&lt;&gt;"",IFERROR(VLOOKUP(F477,DUTY_2025!A:I,6,FALSE),""),"")</f>
        <v/>
      </c>
      <c r="H477" s="85" t="s">
        <v>133</v>
      </c>
      <c r="I477" s="27" t="str">
        <f>IF(F477&lt;&gt;"",IFERROR(VLOOKUP(F477,DUTY_2025!A:H,2,FALSE),""),"")</f>
        <v/>
      </c>
      <c r="J477" s="98"/>
      <c r="K477" s="98"/>
      <c r="L477" s="22"/>
      <c r="M477" s="22"/>
      <c r="N477" s="84"/>
      <c r="O477" s="22"/>
      <c r="P477" s="116"/>
      <c r="Q477" s="23"/>
      <c r="R477" s="27"/>
      <c r="S477" s="86" t="str">
        <f t="shared" si="184"/>
        <v/>
      </c>
      <c r="T477" s="87" t="str">
        <f t="shared" si="185"/>
        <v/>
      </c>
      <c r="U477" s="87" t="str" cm="1">
        <f t="array" ref="U477">IF(AND(H477&lt;&gt;"YES",P477&lt;&gt;"",R477&lt;&gt;"",Q477&lt;&gt;""),
_xlfn.SWITCH(Q477,
"INR",_xlfn.SWITCH(R477,"KG",P477*S477,"CTN",P477,"UNIT",P477*N477,"NET",P477/M477,0),
"USD",_xlfn.SWITCH(R477,"KG",P477*S477*SI!$C$10,"CTN",P477*SI!$C$10,"UNIT",P477*N477*SI!$C$10,"NET",P477*SI!$C$10/M477,0),
"LKR",_xlfn.SWITCH(R477,"KG",P477*S477/SI!$C$9,"CTN",P477/SI!$C$9,"UNIT",P477*N477/SI!$C$9,"NET",P477/(M477*SI!$C$9),0),
0),
"")</f>
        <v/>
      </c>
      <c r="V477" s="87" t="str">
        <f t="shared" si="186"/>
        <v/>
      </c>
      <c r="W477" s="87" t="str">
        <f t="shared" si="187"/>
        <v/>
      </c>
      <c r="X477" s="88" t="str">
        <f t="shared" si="188"/>
        <v/>
      </c>
      <c r="Y477" s="24" t="str">
        <f t="shared" si="189"/>
        <v/>
      </c>
      <c r="Z477" s="267" t="str">
        <f>IF(AND(H477&lt;&gt;"yes",F477&lt;&gt;""),IFERROR(VLOOKUP(F477,DUTY_2025!A:F,5,FALSE),""),"")</f>
        <v/>
      </c>
      <c r="AA477" s="271" t="str">
        <f t="shared" si="190"/>
        <v/>
      </c>
      <c r="AB477" s="16" t="str">
        <f t="shared" si="191"/>
        <v/>
      </c>
      <c r="AC477" s="16" t="str">
        <f>IF(AA477&lt;&gt;"",ROUND(AA477*SI!$C$9,0),"")</f>
        <v/>
      </c>
      <c r="AD477" s="4" t="str">
        <f>IF(AC477&lt;&gt;"",ROUND(AC477/(SI!$C$9*SI!$C$10),2),"")</f>
        <v/>
      </c>
      <c r="AE477" s="30" t="str">
        <f>IF(AND(X477&lt;&gt;""), ROUND((SI!$E$23)*(X477/SUM($X$5:$X$493)),0),"")</f>
        <v/>
      </c>
      <c r="AF477" s="272" t="str">
        <f t="shared" si="192"/>
        <v/>
      </c>
      <c r="AG477" s="28" t="str">
        <f t="shared" si="193"/>
        <v/>
      </c>
      <c r="AH477" s="4" t="str">
        <f>IF(AD477&lt;&gt;"",ROUND(AD477*10*SI!$C$9/2,0),"")</f>
        <v/>
      </c>
      <c r="AI477" s="29" t="str">
        <f>IF(AND(X477&lt;&gt;""), ROUND((SI!$E$28)*(X477/SUM($X$5:$X$493)),0),"")</f>
        <v/>
      </c>
      <c r="AJ477" s="4" t="str">
        <f t="shared" si="194"/>
        <v/>
      </c>
      <c r="AK477" s="4" t="str">
        <f t="shared" si="195"/>
        <v/>
      </c>
      <c r="AL477" s="4" t="str">
        <f t="shared" si="196"/>
        <v/>
      </c>
      <c r="AM477" s="4" t="str">
        <f t="shared" si="197"/>
        <v/>
      </c>
      <c r="AN477" s="195" t="str">
        <f t="shared" si="198"/>
        <v/>
      </c>
      <c r="AO477" s="261" t="str">
        <f>IF(AND(AM477&lt;&gt;"",P477&lt;&gt;""),ROUND((AM477*((100+SI!$C$11)/100)),0),"")</f>
        <v/>
      </c>
      <c r="AP477" s="28" t="str">
        <f>IF(AG477&lt;&gt;"",ROUND(AG477/SI!$C$9,2),"")</f>
        <v/>
      </c>
      <c r="AQ477" s="4" t="str">
        <f>IF(AH477&lt;&gt;"",ROUND(AH477/SI!$C$9,2),"")</f>
        <v/>
      </c>
      <c r="AR477" s="29" t="str">
        <f>IF(AI477&lt;&gt;"",ROUND(AI477/SI!$C$9,2),"")</f>
        <v/>
      </c>
      <c r="AS477" s="4" t="str">
        <f t="shared" si="199"/>
        <v/>
      </c>
      <c r="AT477" s="4" t="str">
        <f t="shared" si="200"/>
        <v/>
      </c>
      <c r="AU477" s="4" t="str">
        <f>IF(AL477&lt;&gt;"",ROUND(AL477/SI!$C$9,2),"")</f>
        <v/>
      </c>
      <c r="AV477" s="4" t="str">
        <f>IF(AM477&lt;&gt;"",ROUND(AM477/SI!$C$9,2),"")</f>
        <v/>
      </c>
      <c r="AW477" s="4" t="str">
        <f>IF(AN477&lt;&gt;"",ROUND(AN477/SI!$C$9,2),"")</f>
        <v/>
      </c>
      <c r="AX477" s="261" t="str">
        <f>IF(AO477&lt;&gt;"",ROUND(AO477/SI!$C$9,2),"")</f>
        <v/>
      </c>
      <c r="AY477" s="28" t="str">
        <f t="shared" si="201"/>
        <v/>
      </c>
      <c r="AZ477" s="4" t="str">
        <f>IF(AY477&lt;&gt;"",ROUND(AY477/(SI!$C$9*SI!$C$10),2),"")</f>
        <v/>
      </c>
      <c r="BA477" s="4" t="str">
        <f t="shared" si="202"/>
        <v/>
      </c>
      <c r="BB477" s="4" t="str">
        <f t="shared" si="203"/>
        <v/>
      </c>
      <c r="BC477" s="4" t="str">
        <f t="shared" si="204"/>
        <v/>
      </c>
      <c r="BD477" s="4" t="str">
        <f t="shared" si="205"/>
        <v/>
      </c>
      <c r="BE477" s="4" t="str">
        <f>IF(AND(X477&lt;&gt;""),ROUND(X477/SI!$C$10,2),"")</f>
        <v/>
      </c>
      <c r="BF477" s="4" t="str">
        <f t="shared" si="207"/>
        <v/>
      </c>
      <c r="BG477" s="264" t="str">
        <f t="shared" si="206"/>
        <v/>
      </c>
      <c r="BH477" s="71" t="str">
        <f>IF(F477&lt;&gt;"",VLOOKUP(F477,DUTY_2025!A:O,15,FALSE),"")</f>
        <v/>
      </c>
    </row>
    <row r="478" spans="1:60" x14ac:dyDescent="0.25">
      <c r="A478" s="133">
        <f t="shared" si="182"/>
        <v>66</v>
      </c>
      <c r="B478" s="83" t="str">
        <f t="shared" si="183"/>
        <v/>
      </c>
      <c r="C478" s="126"/>
      <c r="D478" s="130"/>
      <c r="E478" s="22"/>
      <c r="F478" s="85"/>
      <c r="G478" s="27" t="str">
        <f>IF(F478&lt;&gt;"",IFERROR(VLOOKUP(F478,DUTY_2025!A:I,6,FALSE),""),"")</f>
        <v/>
      </c>
      <c r="H478" s="85" t="s">
        <v>133</v>
      </c>
      <c r="I478" s="27" t="str">
        <f>IF(F478&lt;&gt;"",IFERROR(VLOOKUP(F478,DUTY_2025!A:H,2,FALSE),""),"")</f>
        <v/>
      </c>
      <c r="J478" s="98"/>
      <c r="K478" s="98"/>
      <c r="L478" s="22"/>
      <c r="M478" s="22"/>
      <c r="N478" s="84"/>
      <c r="O478" s="22"/>
      <c r="P478" s="116"/>
      <c r="Q478" s="23"/>
      <c r="R478" s="27"/>
      <c r="S478" s="86" t="str">
        <f t="shared" si="184"/>
        <v/>
      </c>
      <c r="T478" s="87" t="str">
        <f t="shared" si="185"/>
        <v/>
      </c>
      <c r="U478" s="87" t="str" cm="1">
        <f t="array" ref="U478">IF(AND(H478&lt;&gt;"YES",P478&lt;&gt;"",R478&lt;&gt;"",Q478&lt;&gt;""),
_xlfn.SWITCH(Q478,
"INR",_xlfn.SWITCH(R478,"KG",P478*S478,"CTN",P478,"UNIT",P478*N478,"NET",P478/M478,0),
"USD",_xlfn.SWITCH(R478,"KG",P478*S478*SI!$C$10,"CTN",P478*SI!$C$10,"UNIT",P478*N478*SI!$C$10,"NET",P478*SI!$C$10/M478,0),
"LKR",_xlfn.SWITCH(R478,"KG",P478*S478/SI!$C$9,"CTN",P478/SI!$C$9,"UNIT",P478*N478/SI!$C$9,"NET",P478/(M478*SI!$C$9),0),
0),
"")</f>
        <v/>
      </c>
      <c r="V478" s="87" t="str">
        <f t="shared" si="186"/>
        <v/>
      </c>
      <c r="W478" s="87" t="str">
        <f t="shared" si="187"/>
        <v/>
      </c>
      <c r="X478" s="88" t="str">
        <f t="shared" si="188"/>
        <v/>
      </c>
      <c r="Y478" s="24" t="str">
        <f t="shared" si="189"/>
        <v/>
      </c>
      <c r="Z478" s="267" t="str">
        <f>IF(AND(H478&lt;&gt;"yes",F478&lt;&gt;""),IFERROR(VLOOKUP(F478,DUTY_2025!A:F,5,FALSE),""),"")</f>
        <v/>
      </c>
      <c r="AA478" s="271" t="str">
        <f t="shared" si="190"/>
        <v/>
      </c>
      <c r="AB478" s="16" t="str">
        <f t="shared" si="191"/>
        <v/>
      </c>
      <c r="AC478" s="16" t="str">
        <f>IF(AA478&lt;&gt;"",ROUND(AA478*SI!$C$9,0),"")</f>
        <v/>
      </c>
      <c r="AD478" s="4" t="str">
        <f>IF(AC478&lt;&gt;"",ROUND(AC478/(SI!$C$9*SI!$C$10),2),"")</f>
        <v/>
      </c>
      <c r="AE478" s="30" t="str">
        <f>IF(AND(X478&lt;&gt;""), ROUND((SI!$E$23)*(X478/SUM($X$5:$X$493)),0),"")</f>
        <v/>
      </c>
      <c r="AF478" s="272" t="str">
        <f t="shared" si="192"/>
        <v/>
      </c>
      <c r="AG478" s="28" t="str">
        <f t="shared" si="193"/>
        <v/>
      </c>
      <c r="AH478" s="4" t="str">
        <f>IF(AD478&lt;&gt;"",ROUND(AD478*10*SI!$C$9/2,0),"")</f>
        <v/>
      </c>
      <c r="AI478" s="29" t="str">
        <f>IF(AND(X478&lt;&gt;""), ROUND((SI!$E$28)*(X478/SUM($X$5:$X$493)),0),"")</f>
        <v/>
      </c>
      <c r="AJ478" s="4" t="str">
        <f t="shared" si="194"/>
        <v/>
      </c>
      <c r="AK478" s="4" t="str">
        <f t="shared" si="195"/>
        <v/>
      </c>
      <c r="AL478" s="4" t="str">
        <f t="shared" si="196"/>
        <v/>
      </c>
      <c r="AM478" s="4" t="str">
        <f t="shared" si="197"/>
        <v/>
      </c>
      <c r="AN478" s="195" t="str">
        <f t="shared" si="198"/>
        <v/>
      </c>
      <c r="AO478" s="261" t="str">
        <f>IF(AND(AM478&lt;&gt;"",P478&lt;&gt;""),ROUND((AM478*((100+SI!$C$11)/100)),0),"")</f>
        <v/>
      </c>
      <c r="AP478" s="28" t="str">
        <f>IF(AG478&lt;&gt;"",ROUND(AG478/SI!$C$9,2),"")</f>
        <v/>
      </c>
      <c r="AQ478" s="4" t="str">
        <f>IF(AH478&lt;&gt;"",ROUND(AH478/SI!$C$9,2),"")</f>
        <v/>
      </c>
      <c r="AR478" s="29" t="str">
        <f>IF(AI478&lt;&gt;"",ROUND(AI478/SI!$C$9,2),"")</f>
        <v/>
      </c>
      <c r="AS478" s="4" t="str">
        <f t="shared" si="199"/>
        <v/>
      </c>
      <c r="AT478" s="4" t="str">
        <f t="shared" si="200"/>
        <v/>
      </c>
      <c r="AU478" s="4" t="str">
        <f>IF(AL478&lt;&gt;"",ROUND(AL478/SI!$C$9,2),"")</f>
        <v/>
      </c>
      <c r="AV478" s="4" t="str">
        <f>IF(AM478&lt;&gt;"",ROUND(AM478/SI!$C$9,2),"")</f>
        <v/>
      </c>
      <c r="AW478" s="4" t="str">
        <f>IF(AN478&lt;&gt;"",ROUND(AN478/SI!$C$9,2),"")</f>
        <v/>
      </c>
      <c r="AX478" s="261" t="str">
        <f>IF(AO478&lt;&gt;"",ROUND(AO478/SI!$C$9,2),"")</f>
        <v/>
      </c>
      <c r="AY478" s="28" t="str">
        <f t="shared" si="201"/>
        <v/>
      </c>
      <c r="AZ478" s="4" t="str">
        <f>IF(AY478&lt;&gt;"",ROUND(AY478/(SI!$C$9*SI!$C$10),2),"")</f>
        <v/>
      </c>
      <c r="BA478" s="4" t="str">
        <f t="shared" si="202"/>
        <v/>
      </c>
      <c r="BB478" s="4" t="str">
        <f t="shared" si="203"/>
        <v/>
      </c>
      <c r="BC478" s="4" t="str">
        <f t="shared" si="204"/>
        <v/>
      </c>
      <c r="BD478" s="4" t="str">
        <f t="shared" si="205"/>
        <v/>
      </c>
      <c r="BE478" s="4" t="str">
        <f>IF(AND(X478&lt;&gt;""),ROUND(X478/SI!$C$10,2),"")</f>
        <v/>
      </c>
      <c r="BF478" s="4" t="str">
        <f t="shared" si="207"/>
        <v/>
      </c>
      <c r="BG478" s="264" t="str">
        <f t="shared" si="206"/>
        <v/>
      </c>
      <c r="BH478" s="71" t="str">
        <f>IF(F478&lt;&gt;"",VLOOKUP(F478,DUTY_2025!A:O,15,FALSE),"")</f>
        <v/>
      </c>
    </row>
    <row r="479" spans="1:60" x14ac:dyDescent="0.25">
      <c r="A479" s="133">
        <f t="shared" si="182"/>
        <v>66</v>
      </c>
      <c r="B479" s="83" t="str">
        <f t="shared" si="183"/>
        <v/>
      </c>
      <c r="C479" s="126"/>
      <c r="D479" s="130"/>
      <c r="E479" s="22"/>
      <c r="F479" s="85"/>
      <c r="G479" s="27" t="str">
        <f>IF(F479&lt;&gt;"",IFERROR(VLOOKUP(F479,DUTY_2025!A:I,6,FALSE),""),"")</f>
        <v/>
      </c>
      <c r="H479" s="85" t="s">
        <v>133</v>
      </c>
      <c r="I479" s="27" t="str">
        <f>IF(F479&lt;&gt;"",IFERROR(VLOOKUP(F479,DUTY_2025!A:H,2,FALSE),""),"")</f>
        <v/>
      </c>
      <c r="J479" s="98"/>
      <c r="K479" s="98"/>
      <c r="L479" s="22"/>
      <c r="M479" s="22"/>
      <c r="N479" s="84"/>
      <c r="O479" s="22"/>
      <c r="P479" s="116"/>
      <c r="Q479" s="23"/>
      <c r="R479" s="27"/>
      <c r="S479" s="86" t="str">
        <f t="shared" si="184"/>
        <v/>
      </c>
      <c r="T479" s="87" t="str">
        <f t="shared" si="185"/>
        <v/>
      </c>
      <c r="U479" s="87" t="str" cm="1">
        <f t="array" ref="U479">IF(AND(H479&lt;&gt;"YES",P479&lt;&gt;"",R479&lt;&gt;"",Q479&lt;&gt;""),
_xlfn.SWITCH(Q479,
"INR",_xlfn.SWITCH(R479,"KG",P479*S479,"CTN",P479,"UNIT",P479*N479,"NET",P479/M479,0),
"USD",_xlfn.SWITCH(R479,"KG",P479*S479*SI!$C$10,"CTN",P479*SI!$C$10,"UNIT",P479*N479*SI!$C$10,"NET",P479*SI!$C$10/M479,0),
"LKR",_xlfn.SWITCH(R479,"KG",P479*S479/SI!$C$9,"CTN",P479/SI!$C$9,"UNIT",P479*N479/SI!$C$9,"NET",P479/(M479*SI!$C$9),0),
0),
"")</f>
        <v/>
      </c>
      <c r="V479" s="87" t="str">
        <f t="shared" si="186"/>
        <v/>
      </c>
      <c r="W479" s="87" t="str">
        <f t="shared" si="187"/>
        <v/>
      </c>
      <c r="X479" s="88" t="str">
        <f t="shared" si="188"/>
        <v/>
      </c>
      <c r="Y479" s="24" t="str">
        <f t="shared" si="189"/>
        <v/>
      </c>
      <c r="Z479" s="267" t="str">
        <f>IF(AND(H479&lt;&gt;"yes",F479&lt;&gt;""),IFERROR(VLOOKUP(F479,DUTY_2025!A:F,5,FALSE),""),"")</f>
        <v/>
      </c>
      <c r="AA479" s="271" t="str">
        <f t="shared" si="190"/>
        <v/>
      </c>
      <c r="AB479" s="16" t="str">
        <f t="shared" si="191"/>
        <v/>
      </c>
      <c r="AC479" s="16" t="str">
        <f>IF(AA479&lt;&gt;"",ROUND(AA479*SI!$C$9,0),"")</f>
        <v/>
      </c>
      <c r="AD479" s="4" t="str">
        <f>IF(AC479&lt;&gt;"",ROUND(AC479/(SI!$C$9*SI!$C$10),2),"")</f>
        <v/>
      </c>
      <c r="AE479" s="30" t="str">
        <f>IF(AND(X479&lt;&gt;""), ROUND((SI!$E$23)*(X479/SUM($X$5:$X$493)),0),"")</f>
        <v/>
      </c>
      <c r="AF479" s="272" t="str">
        <f t="shared" si="192"/>
        <v/>
      </c>
      <c r="AG479" s="28" t="str">
        <f t="shared" si="193"/>
        <v/>
      </c>
      <c r="AH479" s="4" t="str">
        <f>IF(AD479&lt;&gt;"",ROUND(AD479*10*SI!$C$9/2,0),"")</f>
        <v/>
      </c>
      <c r="AI479" s="29" t="str">
        <f>IF(AND(X479&lt;&gt;""), ROUND((SI!$E$28)*(X479/SUM($X$5:$X$493)),0),"")</f>
        <v/>
      </c>
      <c r="AJ479" s="4" t="str">
        <f t="shared" si="194"/>
        <v/>
      </c>
      <c r="AK479" s="4" t="str">
        <f t="shared" si="195"/>
        <v/>
      </c>
      <c r="AL479" s="4" t="str">
        <f t="shared" si="196"/>
        <v/>
      </c>
      <c r="AM479" s="4" t="str">
        <f t="shared" si="197"/>
        <v/>
      </c>
      <c r="AN479" s="195" t="str">
        <f t="shared" si="198"/>
        <v/>
      </c>
      <c r="AO479" s="261" t="str">
        <f>IF(AND(AM479&lt;&gt;"",P479&lt;&gt;""),ROUND((AM479*((100+SI!$C$11)/100)),0),"")</f>
        <v/>
      </c>
      <c r="AP479" s="28" t="str">
        <f>IF(AG479&lt;&gt;"",ROUND(AG479/SI!$C$9,2),"")</f>
        <v/>
      </c>
      <c r="AQ479" s="4" t="str">
        <f>IF(AH479&lt;&gt;"",ROUND(AH479/SI!$C$9,2),"")</f>
        <v/>
      </c>
      <c r="AR479" s="29" t="str">
        <f>IF(AI479&lt;&gt;"",ROUND(AI479/SI!$C$9,2),"")</f>
        <v/>
      </c>
      <c r="AS479" s="4" t="str">
        <f t="shared" si="199"/>
        <v/>
      </c>
      <c r="AT479" s="4" t="str">
        <f t="shared" si="200"/>
        <v/>
      </c>
      <c r="AU479" s="4" t="str">
        <f>IF(AL479&lt;&gt;"",ROUND(AL479/SI!$C$9,2),"")</f>
        <v/>
      </c>
      <c r="AV479" s="4" t="str">
        <f>IF(AM479&lt;&gt;"",ROUND(AM479/SI!$C$9,2),"")</f>
        <v/>
      </c>
      <c r="AW479" s="4" t="str">
        <f>IF(AN479&lt;&gt;"",ROUND(AN479/SI!$C$9,2),"")</f>
        <v/>
      </c>
      <c r="AX479" s="261" t="str">
        <f>IF(AO479&lt;&gt;"",ROUND(AO479/SI!$C$9,2),"")</f>
        <v/>
      </c>
      <c r="AY479" s="28" t="str">
        <f t="shared" si="201"/>
        <v/>
      </c>
      <c r="AZ479" s="4" t="str">
        <f>IF(AY479&lt;&gt;"",ROUND(AY479/(SI!$C$9*SI!$C$10),2),"")</f>
        <v/>
      </c>
      <c r="BA479" s="4" t="str">
        <f t="shared" si="202"/>
        <v/>
      </c>
      <c r="BB479" s="4" t="str">
        <f t="shared" si="203"/>
        <v/>
      </c>
      <c r="BC479" s="4" t="str">
        <f t="shared" si="204"/>
        <v/>
      </c>
      <c r="BD479" s="4" t="str">
        <f t="shared" si="205"/>
        <v/>
      </c>
      <c r="BE479" s="4" t="str">
        <f>IF(AND(X479&lt;&gt;""),ROUND(X479/SI!$C$10,2),"")</f>
        <v/>
      </c>
      <c r="BF479" s="4" t="str">
        <f t="shared" si="207"/>
        <v/>
      </c>
      <c r="BG479" s="264" t="str">
        <f t="shared" si="206"/>
        <v/>
      </c>
      <c r="BH479" s="71" t="str">
        <f>IF(F479&lt;&gt;"",VLOOKUP(F479,DUTY_2025!A:O,15,FALSE),"")</f>
        <v/>
      </c>
    </row>
    <row r="480" spans="1:60" x14ac:dyDescent="0.25">
      <c r="A480" s="133">
        <f t="shared" si="182"/>
        <v>66</v>
      </c>
      <c r="B480" s="83" t="str">
        <f t="shared" si="183"/>
        <v/>
      </c>
      <c r="C480" s="126"/>
      <c r="D480" s="130"/>
      <c r="E480" s="22"/>
      <c r="F480" s="85"/>
      <c r="G480" s="27" t="str">
        <f>IF(F480&lt;&gt;"",IFERROR(VLOOKUP(F480,DUTY_2025!A:I,6,FALSE),""),"")</f>
        <v/>
      </c>
      <c r="H480" s="85" t="s">
        <v>133</v>
      </c>
      <c r="I480" s="27" t="str">
        <f>IF(F480&lt;&gt;"",IFERROR(VLOOKUP(F480,DUTY_2025!A:H,2,FALSE),""),"")</f>
        <v/>
      </c>
      <c r="J480" s="98"/>
      <c r="K480" s="98"/>
      <c r="L480" s="22"/>
      <c r="M480" s="22"/>
      <c r="N480" s="84"/>
      <c r="O480" s="22"/>
      <c r="P480" s="116"/>
      <c r="Q480" s="23"/>
      <c r="R480" s="27"/>
      <c r="S480" s="86" t="str">
        <f t="shared" si="184"/>
        <v/>
      </c>
      <c r="T480" s="87" t="str">
        <f t="shared" si="185"/>
        <v/>
      </c>
      <c r="U480" s="87" t="str" cm="1">
        <f t="array" ref="U480">IF(AND(H480&lt;&gt;"YES",P480&lt;&gt;"",R480&lt;&gt;"",Q480&lt;&gt;""),
_xlfn.SWITCH(Q480,
"INR",_xlfn.SWITCH(R480,"KG",P480*S480,"CTN",P480,"UNIT",P480*N480,"NET",P480/M480,0),
"USD",_xlfn.SWITCH(R480,"KG",P480*S480*SI!$C$10,"CTN",P480*SI!$C$10,"UNIT",P480*N480*SI!$C$10,"NET",P480*SI!$C$10/M480,0),
"LKR",_xlfn.SWITCH(R480,"KG",P480*S480/SI!$C$9,"CTN",P480/SI!$C$9,"UNIT",P480*N480/SI!$C$9,"NET",P480/(M480*SI!$C$9),0),
0),
"")</f>
        <v/>
      </c>
      <c r="V480" s="87" t="str">
        <f t="shared" si="186"/>
        <v/>
      </c>
      <c r="W480" s="87" t="str">
        <f t="shared" si="187"/>
        <v/>
      </c>
      <c r="X480" s="88" t="str">
        <f t="shared" si="188"/>
        <v/>
      </c>
      <c r="Y480" s="24" t="str">
        <f t="shared" si="189"/>
        <v/>
      </c>
      <c r="Z480" s="267" t="str">
        <f>IF(AND(H480&lt;&gt;"yes",F480&lt;&gt;""),IFERROR(VLOOKUP(F480,DUTY_2025!A:F,5,FALSE),""),"")</f>
        <v/>
      </c>
      <c r="AA480" s="271" t="str">
        <f t="shared" si="190"/>
        <v/>
      </c>
      <c r="AB480" s="16" t="str">
        <f t="shared" si="191"/>
        <v/>
      </c>
      <c r="AC480" s="16" t="str">
        <f>IF(AA480&lt;&gt;"",ROUND(AA480*SI!$C$9,0),"")</f>
        <v/>
      </c>
      <c r="AD480" s="4" t="str">
        <f>IF(AC480&lt;&gt;"",ROUND(AC480/(SI!$C$9*SI!$C$10),2),"")</f>
        <v/>
      </c>
      <c r="AE480" s="30" t="str">
        <f>IF(AND(X480&lt;&gt;""), ROUND((SI!$E$23)*(X480/SUM($X$5:$X$493)),0),"")</f>
        <v/>
      </c>
      <c r="AF480" s="272" t="str">
        <f t="shared" si="192"/>
        <v/>
      </c>
      <c r="AG480" s="28" t="str">
        <f t="shared" si="193"/>
        <v/>
      </c>
      <c r="AH480" s="4" t="str">
        <f>IF(AD480&lt;&gt;"",ROUND(AD480*10*SI!$C$9/2,0),"")</f>
        <v/>
      </c>
      <c r="AI480" s="29" t="str">
        <f>IF(AND(X480&lt;&gt;""), ROUND((SI!$E$28)*(X480/SUM($X$5:$X$493)),0),"")</f>
        <v/>
      </c>
      <c r="AJ480" s="4" t="str">
        <f t="shared" si="194"/>
        <v/>
      </c>
      <c r="AK480" s="4" t="str">
        <f t="shared" si="195"/>
        <v/>
      </c>
      <c r="AL480" s="4" t="str">
        <f t="shared" si="196"/>
        <v/>
      </c>
      <c r="AM480" s="4" t="str">
        <f t="shared" si="197"/>
        <v/>
      </c>
      <c r="AN480" s="195" t="str">
        <f t="shared" si="198"/>
        <v/>
      </c>
      <c r="AO480" s="261" t="str">
        <f>IF(AND(AM480&lt;&gt;"",P480&lt;&gt;""),ROUND((AM480*((100+SI!$C$11)/100)),0),"")</f>
        <v/>
      </c>
      <c r="AP480" s="28" t="str">
        <f>IF(AG480&lt;&gt;"",ROUND(AG480/SI!$C$9,2),"")</f>
        <v/>
      </c>
      <c r="AQ480" s="4" t="str">
        <f>IF(AH480&lt;&gt;"",ROUND(AH480/SI!$C$9,2),"")</f>
        <v/>
      </c>
      <c r="AR480" s="29" t="str">
        <f>IF(AI480&lt;&gt;"",ROUND(AI480/SI!$C$9,2),"")</f>
        <v/>
      </c>
      <c r="AS480" s="4" t="str">
        <f t="shared" si="199"/>
        <v/>
      </c>
      <c r="AT480" s="4" t="str">
        <f t="shared" si="200"/>
        <v/>
      </c>
      <c r="AU480" s="4" t="str">
        <f>IF(AL480&lt;&gt;"",ROUND(AL480/SI!$C$9,2),"")</f>
        <v/>
      </c>
      <c r="AV480" s="4" t="str">
        <f>IF(AM480&lt;&gt;"",ROUND(AM480/SI!$C$9,2),"")</f>
        <v/>
      </c>
      <c r="AW480" s="4" t="str">
        <f>IF(AN480&lt;&gt;"",ROUND(AN480/SI!$C$9,2),"")</f>
        <v/>
      </c>
      <c r="AX480" s="261" t="str">
        <f>IF(AO480&lt;&gt;"",ROUND(AO480/SI!$C$9,2),"")</f>
        <v/>
      </c>
      <c r="AY480" s="28" t="str">
        <f t="shared" si="201"/>
        <v/>
      </c>
      <c r="AZ480" s="4" t="str">
        <f>IF(AY480&lt;&gt;"",ROUND(AY480/(SI!$C$9*SI!$C$10),2),"")</f>
        <v/>
      </c>
      <c r="BA480" s="4" t="str">
        <f t="shared" si="202"/>
        <v/>
      </c>
      <c r="BB480" s="4" t="str">
        <f t="shared" si="203"/>
        <v/>
      </c>
      <c r="BC480" s="4" t="str">
        <f t="shared" si="204"/>
        <v/>
      </c>
      <c r="BD480" s="4" t="str">
        <f t="shared" si="205"/>
        <v/>
      </c>
      <c r="BE480" s="4" t="str">
        <f>IF(AND(X480&lt;&gt;""),ROUND(X480/SI!$C$10,2),"")</f>
        <v/>
      </c>
      <c r="BF480" s="4" t="str">
        <f t="shared" si="207"/>
        <v/>
      </c>
      <c r="BG480" s="264" t="str">
        <f t="shared" si="206"/>
        <v/>
      </c>
      <c r="BH480" s="71" t="str">
        <f>IF(F480&lt;&gt;"",VLOOKUP(F480,DUTY_2025!A:O,15,FALSE),"")</f>
        <v/>
      </c>
    </row>
    <row r="481" spans="1:60" x14ac:dyDescent="0.25">
      <c r="A481" s="133">
        <f t="shared" si="182"/>
        <v>66</v>
      </c>
      <c r="B481" s="83" t="str">
        <f t="shared" si="183"/>
        <v/>
      </c>
      <c r="C481" s="126"/>
      <c r="D481" s="130"/>
      <c r="E481" s="22"/>
      <c r="F481" s="85"/>
      <c r="G481" s="27" t="str">
        <f>IF(F481&lt;&gt;"",IFERROR(VLOOKUP(F481,DUTY_2025!A:I,6,FALSE),""),"")</f>
        <v/>
      </c>
      <c r="H481" s="85" t="s">
        <v>133</v>
      </c>
      <c r="I481" s="27" t="str">
        <f>IF(F481&lt;&gt;"",IFERROR(VLOOKUP(F481,DUTY_2025!A:H,2,FALSE),""),"")</f>
        <v/>
      </c>
      <c r="J481" s="98"/>
      <c r="K481" s="98"/>
      <c r="L481" s="22"/>
      <c r="M481" s="22"/>
      <c r="N481" s="84"/>
      <c r="O481" s="22"/>
      <c r="P481" s="116"/>
      <c r="Q481" s="23"/>
      <c r="R481" s="27"/>
      <c r="S481" s="86" t="str">
        <f t="shared" si="184"/>
        <v/>
      </c>
      <c r="T481" s="87" t="str">
        <f t="shared" si="185"/>
        <v/>
      </c>
      <c r="U481" s="87" t="str" cm="1">
        <f t="array" ref="U481">IF(AND(H481&lt;&gt;"YES",P481&lt;&gt;"",R481&lt;&gt;"",Q481&lt;&gt;""),
_xlfn.SWITCH(Q481,
"INR",_xlfn.SWITCH(R481,"KG",P481*S481,"CTN",P481,"UNIT",P481*N481,"NET",P481/M481,0),
"USD",_xlfn.SWITCH(R481,"KG",P481*S481*SI!$C$10,"CTN",P481*SI!$C$10,"UNIT",P481*N481*SI!$C$10,"NET",P481*SI!$C$10/M481,0),
"LKR",_xlfn.SWITCH(R481,"KG",P481*S481/SI!$C$9,"CTN",P481/SI!$C$9,"UNIT",P481*N481/SI!$C$9,"NET",P481/(M481*SI!$C$9),0),
0),
"")</f>
        <v/>
      </c>
      <c r="V481" s="87" t="str">
        <f t="shared" si="186"/>
        <v/>
      </c>
      <c r="W481" s="87" t="str">
        <f t="shared" si="187"/>
        <v/>
      </c>
      <c r="X481" s="88" t="str">
        <f t="shared" si="188"/>
        <v/>
      </c>
      <c r="Y481" s="24" t="str">
        <f t="shared" si="189"/>
        <v/>
      </c>
      <c r="Z481" s="267" t="str">
        <f>IF(AND(H481&lt;&gt;"yes",F481&lt;&gt;""),IFERROR(VLOOKUP(F481,DUTY_2025!A:F,5,FALSE),""),"")</f>
        <v/>
      </c>
      <c r="AA481" s="271" t="str">
        <f t="shared" si="190"/>
        <v/>
      </c>
      <c r="AB481" s="16" t="str">
        <f t="shared" si="191"/>
        <v/>
      </c>
      <c r="AC481" s="16" t="str">
        <f>IF(AA481&lt;&gt;"",ROUND(AA481*SI!$C$9,0),"")</f>
        <v/>
      </c>
      <c r="AD481" s="4" t="str">
        <f>IF(AC481&lt;&gt;"",ROUND(AC481/(SI!$C$9*SI!$C$10),2),"")</f>
        <v/>
      </c>
      <c r="AE481" s="30" t="str">
        <f>IF(AND(X481&lt;&gt;""), ROUND((SI!$E$23)*(X481/SUM($X$5:$X$493)),0),"")</f>
        <v/>
      </c>
      <c r="AF481" s="272" t="str">
        <f t="shared" si="192"/>
        <v/>
      </c>
      <c r="AG481" s="28" t="str">
        <f t="shared" si="193"/>
        <v/>
      </c>
      <c r="AH481" s="4" t="str">
        <f>IF(AD481&lt;&gt;"",ROUND(AD481*10*SI!$C$9/2,0),"")</f>
        <v/>
      </c>
      <c r="AI481" s="29" t="str">
        <f>IF(AND(X481&lt;&gt;""), ROUND((SI!$E$28)*(X481/SUM($X$5:$X$493)),0),"")</f>
        <v/>
      </c>
      <c r="AJ481" s="4" t="str">
        <f t="shared" si="194"/>
        <v/>
      </c>
      <c r="AK481" s="4" t="str">
        <f t="shared" si="195"/>
        <v/>
      </c>
      <c r="AL481" s="4" t="str">
        <f t="shared" si="196"/>
        <v/>
      </c>
      <c r="AM481" s="4" t="str">
        <f t="shared" si="197"/>
        <v/>
      </c>
      <c r="AN481" s="195" t="str">
        <f t="shared" si="198"/>
        <v/>
      </c>
      <c r="AO481" s="261" t="str">
        <f>IF(AND(AM481&lt;&gt;"",P481&lt;&gt;""),ROUND((AM481*((100+SI!$C$11)/100)),0),"")</f>
        <v/>
      </c>
      <c r="AP481" s="28" t="str">
        <f>IF(AG481&lt;&gt;"",ROUND(AG481/SI!$C$9,2),"")</f>
        <v/>
      </c>
      <c r="AQ481" s="4" t="str">
        <f>IF(AH481&lt;&gt;"",ROUND(AH481/SI!$C$9,2),"")</f>
        <v/>
      </c>
      <c r="AR481" s="29" t="str">
        <f>IF(AI481&lt;&gt;"",ROUND(AI481/SI!$C$9,2),"")</f>
        <v/>
      </c>
      <c r="AS481" s="4" t="str">
        <f t="shared" si="199"/>
        <v/>
      </c>
      <c r="AT481" s="4" t="str">
        <f t="shared" si="200"/>
        <v/>
      </c>
      <c r="AU481" s="4" t="str">
        <f>IF(AL481&lt;&gt;"",ROUND(AL481/SI!$C$9,2),"")</f>
        <v/>
      </c>
      <c r="AV481" s="4" t="str">
        <f>IF(AM481&lt;&gt;"",ROUND(AM481/SI!$C$9,2),"")</f>
        <v/>
      </c>
      <c r="AW481" s="4" t="str">
        <f>IF(AN481&lt;&gt;"",ROUND(AN481/SI!$C$9,2),"")</f>
        <v/>
      </c>
      <c r="AX481" s="261" t="str">
        <f>IF(AO481&lt;&gt;"",ROUND(AO481/SI!$C$9,2),"")</f>
        <v/>
      </c>
      <c r="AY481" s="28" t="str">
        <f t="shared" si="201"/>
        <v/>
      </c>
      <c r="AZ481" s="4" t="str">
        <f>IF(AY481&lt;&gt;"",ROUND(AY481/(SI!$C$9*SI!$C$10),2),"")</f>
        <v/>
      </c>
      <c r="BA481" s="4" t="str">
        <f t="shared" si="202"/>
        <v/>
      </c>
      <c r="BB481" s="4" t="str">
        <f t="shared" si="203"/>
        <v/>
      </c>
      <c r="BC481" s="4" t="str">
        <f t="shared" si="204"/>
        <v/>
      </c>
      <c r="BD481" s="4" t="str">
        <f t="shared" si="205"/>
        <v/>
      </c>
      <c r="BE481" s="4" t="str">
        <f>IF(AND(X481&lt;&gt;""),ROUND(X481/SI!$C$10,2),"")</f>
        <v/>
      </c>
      <c r="BF481" s="4" t="str">
        <f t="shared" si="207"/>
        <v/>
      </c>
      <c r="BG481" s="264" t="str">
        <f t="shared" si="206"/>
        <v/>
      </c>
      <c r="BH481" s="71" t="str">
        <f>IF(F481&lt;&gt;"",VLOOKUP(F481,DUTY_2025!A:O,15,FALSE),"")</f>
        <v/>
      </c>
    </row>
    <row r="482" spans="1:60" x14ac:dyDescent="0.25">
      <c r="A482" s="133">
        <f t="shared" si="182"/>
        <v>66</v>
      </c>
      <c r="B482" s="83" t="str">
        <f t="shared" si="183"/>
        <v/>
      </c>
      <c r="C482" s="126"/>
      <c r="D482" s="130"/>
      <c r="E482" s="22"/>
      <c r="F482" s="85"/>
      <c r="G482" s="27" t="str">
        <f>IF(F482&lt;&gt;"",IFERROR(VLOOKUP(F482,DUTY_2025!A:I,6,FALSE),""),"")</f>
        <v/>
      </c>
      <c r="H482" s="85" t="s">
        <v>133</v>
      </c>
      <c r="I482" s="27" t="str">
        <f>IF(F482&lt;&gt;"",IFERROR(VLOOKUP(F482,DUTY_2025!A:H,2,FALSE),""),"")</f>
        <v/>
      </c>
      <c r="J482" s="98"/>
      <c r="K482" s="98"/>
      <c r="L482" s="22"/>
      <c r="M482" s="22"/>
      <c r="N482" s="84"/>
      <c r="O482" s="22"/>
      <c r="P482" s="116"/>
      <c r="Q482" s="23"/>
      <c r="R482" s="27"/>
      <c r="S482" s="86" t="str">
        <f t="shared" si="184"/>
        <v/>
      </c>
      <c r="T482" s="87" t="str">
        <f t="shared" si="185"/>
        <v/>
      </c>
      <c r="U482" s="87" t="str" cm="1">
        <f t="array" ref="U482">IF(AND(H482&lt;&gt;"YES",P482&lt;&gt;"",R482&lt;&gt;"",Q482&lt;&gt;""),
_xlfn.SWITCH(Q482,
"INR",_xlfn.SWITCH(R482,"KG",P482*S482,"CTN",P482,"UNIT",P482*N482,"NET",P482/M482,0),
"USD",_xlfn.SWITCH(R482,"KG",P482*S482*SI!$C$10,"CTN",P482*SI!$C$10,"UNIT",P482*N482*SI!$C$10,"NET",P482*SI!$C$10/M482,0),
"LKR",_xlfn.SWITCH(R482,"KG",P482*S482/SI!$C$9,"CTN",P482/SI!$C$9,"UNIT",P482*N482/SI!$C$9,"NET",P482/(M482*SI!$C$9),0),
0),
"")</f>
        <v/>
      </c>
      <c r="V482" s="87" t="str">
        <f t="shared" si="186"/>
        <v/>
      </c>
      <c r="W482" s="87" t="str">
        <f t="shared" si="187"/>
        <v/>
      </c>
      <c r="X482" s="88" t="str">
        <f t="shared" si="188"/>
        <v/>
      </c>
      <c r="Y482" s="24" t="str">
        <f t="shared" si="189"/>
        <v/>
      </c>
      <c r="Z482" s="267" t="str">
        <f>IF(AND(H482&lt;&gt;"yes",F482&lt;&gt;""),IFERROR(VLOOKUP(F482,DUTY_2025!A:F,5,FALSE),""),"")</f>
        <v/>
      </c>
      <c r="AA482" s="271" t="str">
        <f t="shared" si="190"/>
        <v/>
      </c>
      <c r="AB482" s="16" t="str">
        <f t="shared" si="191"/>
        <v/>
      </c>
      <c r="AC482" s="16" t="str">
        <f>IF(AA482&lt;&gt;"",ROUND(AA482*SI!$C$9,0),"")</f>
        <v/>
      </c>
      <c r="AD482" s="4" t="str">
        <f>IF(AC482&lt;&gt;"",ROUND(AC482/(SI!$C$9*SI!$C$10),2),"")</f>
        <v/>
      </c>
      <c r="AE482" s="30" t="str">
        <f>IF(AND(X482&lt;&gt;""), ROUND((SI!$E$23)*(X482/SUM($X$5:$X$493)),0),"")</f>
        <v/>
      </c>
      <c r="AF482" s="272" t="str">
        <f t="shared" si="192"/>
        <v/>
      </c>
      <c r="AG482" s="28" t="str">
        <f t="shared" si="193"/>
        <v/>
      </c>
      <c r="AH482" s="4" t="str">
        <f>IF(AD482&lt;&gt;"",ROUND(AD482*10*SI!$C$9/2,0),"")</f>
        <v/>
      </c>
      <c r="AI482" s="29" t="str">
        <f>IF(AND(X482&lt;&gt;""), ROUND((SI!$E$28)*(X482/SUM($X$5:$X$493)),0),"")</f>
        <v/>
      </c>
      <c r="AJ482" s="4" t="str">
        <f t="shared" si="194"/>
        <v/>
      </c>
      <c r="AK482" s="4" t="str">
        <f t="shared" si="195"/>
        <v/>
      </c>
      <c r="AL482" s="4" t="str">
        <f t="shared" si="196"/>
        <v/>
      </c>
      <c r="AM482" s="4" t="str">
        <f t="shared" si="197"/>
        <v/>
      </c>
      <c r="AN482" s="195" t="str">
        <f t="shared" si="198"/>
        <v/>
      </c>
      <c r="AO482" s="261" t="str">
        <f>IF(AND(AM482&lt;&gt;"",P482&lt;&gt;""),ROUND((AM482*((100+SI!$C$11)/100)),0),"")</f>
        <v/>
      </c>
      <c r="AP482" s="28" t="str">
        <f>IF(AG482&lt;&gt;"",ROUND(AG482/SI!$C$9,2),"")</f>
        <v/>
      </c>
      <c r="AQ482" s="4" t="str">
        <f>IF(AH482&lt;&gt;"",ROUND(AH482/SI!$C$9,2),"")</f>
        <v/>
      </c>
      <c r="AR482" s="29" t="str">
        <f>IF(AI482&lt;&gt;"",ROUND(AI482/SI!$C$9,2),"")</f>
        <v/>
      </c>
      <c r="AS482" s="4" t="str">
        <f t="shared" si="199"/>
        <v/>
      </c>
      <c r="AT482" s="4" t="str">
        <f t="shared" si="200"/>
        <v/>
      </c>
      <c r="AU482" s="4" t="str">
        <f>IF(AL482&lt;&gt;"",ROUND(AL482/SI!$C$9,2),"")</f>
        <v/>
      </c>
      <c r="AV482" s="4" t="str">
        <f>IF(AM482&lt;&gt;"",ROUND(AM482/SI!$C$9,2),"")</f>
        <v/>
      </c>
      <c r="AW482" s="4" t="str">
        <f>IF(AN482&lt;&gt;"",ROUND(AN482/SI!$C$9,2),"")</f>
        <v/>
      </c>
      <c r="AX482" s="261" t="str">
        <f>IF(AO482&lt;&gt;"",ROUND(AO482/SI!$C$9,2),"")</f>
        <v/>
      </c>
      <c r="AY482" s="28" t="str">
        <f t="shared" si="201"/>
        <v/>
      </c>
      <c r="AZ482" s="4" t="str">
        <f>IF(AY482&lt;&gt;"",ROUND(AY482/(SI!$C$9*SI!$C$10),2),"")</f>
        <v/>
      </c>
      <c r="BA482" s="4" t="str">
        <f t="shared" si="202"/>
        <v/>
      </c>
      <c r="BB482" s="4" t="str">
        <f t="shared" si="203"/>
        <v/>
      </c>
      <c r="BC482" s="4" t="str">
        <f t="shared" si="204"/>
        <v/>
      </c>
      <c r="BD482" s="4" t="str">
        <f t="shared" si="205"/>
        <v/>
      </c>
      <c r="BE482" s="4" t="str">
        <f>IF(AND(X482&lt;&gt;""),ROUND(X482/SI!$C$10,2),"")</f>
        <v/>
      </c>
      <c r="BF482" s="4" t="str">
        <f t="shared" si="207"/>
        <v/>
      </c>
      <c r="BG482" s="264" t="str">
        <f t="shared" si="206"/>
        <v/>
      </c>
      <c r="BH482" s="71" t="str">
        <f>IF(F482&lt;&gt;"",VLOOKUP(F482,DUTY_2025!A:O,15,FALSE),"")</f>
        <v/>
      </c>
    </row>
    <row r="483" spans="1:60" x14ac:dyDescent="0.25">
      <c r="A483" s="133">
        <f t="shared" si="182"/>
        <v>66</v>
      </c>
      <c r="B483" s="83" t="str">
        <f t="shared" si="183"/>
        <v/>
      </c>
      <c r="C483" s="126"/>
      <c r="D483" s="130"/>
      <c r="E483" s="22"/>
      <c r="F483" s="85"/>
      <c r="G483" s="27" t="str">
        <f>IF(F483&lt;&gt;"",IFERROR(VLOOKUP(F483,DUTY_2025!A:I,6,FALSE),""),"")</f>
        <v/>
      </c>
      <c r="H483" s="85" t="s">
        <v>133</v>
      </c>
      <c r="I483" s="27" t="str">
        <f>IF(F483&lt;&gt;"",IFERROR(VLOOKUP(F483,DUTY_2025!A:H,2,FALSE),""),"")</f>
        <v/>
      </c>
      <c r="J483" s="98"/>
      <c r="K483" s="98"/>
      <c r="L483" s="22"/>
      <c r="M483" s="22"/>
      <c r="N483" s="84"/>
      <c r="O483" s="22"/>
      <c r="P483" s="116"/>
      <c r="Q483" s="23"/>
      <c r="R483" s="27"/>
      <c r="S483" s="86" t="str">
        <f t="shared" si="184"/>
        <v/>
      </c>
      <c r="T483" s="87" t="str">
        <f t="shared" si="185"/>
        <v/>
      </c>
      <c r="U483" s="87" t="str" cm="1">
        <f t="array" ref="U483">IF(AND(H483&lt;&gt;"YES",P483&lt;&gt;"",R483&lt;&gt;"",Q483&lt;&gt;""),
_xlfn.SWITCH(Q483,
"INR",_xlfn.SWITCH(R483,"KG",P483*S483,"CTN",P483,"UNIT",P483*N483,"NET",P483/M483,0),
"USD",_xlfn.SWITCH(R483,"KG",P483*S483*SI!$C$10,"CTN",P483*SI!$C$10,"UNIT",P483*N483*SI!$C$10,"NET",P483*SI!$C$10/M483,0),
"LKR",_xlfn.SWITCH(R483,"KG",P483*S483/SI!$C$9,"CTN",P483/SI!$C$9,"UNIT",P483*N483/SI!$C$9,"NET",P483/(M483*SI!$C$9),0),
0),
"")</f>
        <v/>
      </c>
      <c r="V483" s="87" t="str">
        <f t="shared" si="186"/>
        <v/>
      </c>
      <c r="W483" s="87" t="str">
        <f t="shared" si="187"/>
        <v/>
      </c>
      <c r="X483" s="88" t="str">
        <f t="shared" si="188"/>
        <v/>
      </c>
      <c r="Y483" s="24" t="str">
        <f t="shared" si="189"/>
        <v/>
      </c>
      <c r="Z483" s="267" t="str">
        <f>IF(AND(H483&lt;&gt;"yes",F483&lt;&gt;""),IFERROR(VLOOKUP(F483,DUTY_2025!A:F,5,FALSE),""),"")</f>
        <v/>
      </c>
      <c r="AA483" s="271" t="str">
        <f t="shared" si="190"/>
        <v/>
      </c>
      <c r="AB483" s="16" t="str">
        <f t="shared" si="191"/>
        <v/>
      </c>
      <c r="AC483" s="16" t="str">
        <f>IF(AA483&lt;&gt;"",ROUND(AA483*SI!$C$9,0),"")</f>
        <v/>
      </c>
      <c r="AD483" s="4" t="str">
        <f>IF(AC483&lt;&gt;"",ROUND(AC483/(SI!$C$9*SI!$C$10),2),"")</f>
        <v/>
      </c>
      <c r="AE483" s="30" t="str">
        <f>IF(AND(X483&lt;&gt;""), ROUND((SI!$E$23)*(X483/SUM($X$5:$X$493)),0),"")</f>
        <v/>
      </c>
      <c r="AF483" s="272" t="str">
        <f t="shared" si="192"/>
        <v/>
      </c>
      <c r="AG483" s="28" t="str">
        <f t="shared" si="193"/>
        <v/>
      </c>
      <c r="AH483" s="4" t="str">
        <f>IF(AD483&lt;&gt;"",ROUND(AD483*10*SI!$C$9/2,0),"")</f>
        <v/>
      </c>
      <c r="AI483" s="29" t="str">
        <f>IF(AND(X483&lt;&gt;""), ROUND((SI!$E$28)*(X483/SUM($X$5:$X$493)),0),"")</f>
        <v/>
      </c>
      <c r="AJ483" s="4" t="str">
        <f t="shared" si="194"/>
        <v/>
      </c>
      <c r="AK483" s="4" t="str">
        <f t="shared" si="195"/>
        <v/>
      </c>
      <c r="AL483" s="4" t="str">
        <f t="shared" si="196"/>
        <v/>
      </c>
      <c r="AM483" s="4" t="str">
        <f t="shared" si="197"/>
        <v/>
      </c>
      <c r="AN483" s="195" t="str">
        <f t="shared" si="198"/>
        <v/>
      </c>
      <c r="AO483" s="261" t="str">
        <f>IF(AND(AM483&lt;&gt;"",P483&lt;&gt;""),ROUND((AM483*((100+SI!$C$11)/100)),0),"")</f>
        <v/>
      </c>
      <c r="AP483" s="28" t="str">
        <f>IF(AG483&lt;&gt;"",ROUND(AG483/SI!$C$9,2),"")</f>
        <v/>
      </c>
      <c r="AQ483" s="4" t="str">
        <f>IF(AH483&lt;&gt;"",ROUND(AH483/SI!$C$9,2),"")</f>
        <v/>
      </c>
      <c r="AR483" s="29" t="str">
        <f>IF(AI483&lt;&gt;"",ROUND(AI483/SI!$C$9,2),"")</f>
        <v/>
      </c>
      <c r="AS483" s="4" t="str">
        <f t="shared" si="199"/>
        <v/>
      </c>
      <c r="AT483" s="4" t="str">
        <f t="shared" si="200"/>
        <v/>
      </c>
      <c r="AU483" s="4" t="str">
        <f>IF(AL483&lt;&gt;"",ROUND(AL483/SI!$C$9,2),"")</f>
        <v/>
      </c>
      <c r="AV483" s="4" t="str">
        <f>IF(AM483&lt;&gt;"",ROUND(AM483/SI!$C$9,2),"")</f>
        <v/>
      </c>
      <c r="AW483" s="4" t="str">
        <f>IF(AN483&lt;&gt;"",ROUND(AN483/SI!$C$9,2),"")</f>
        <v/>
      </c>
      <c r="AX483" s="261" t="str">
        <f>IF(AO483&lt;&gt;"",ROUND(AO483/SI!$C$9,2),"")</f>
        <v/>
      </c>
      <c r="AY483" s="28" t="str">
        <f t="shared" si="201"/>
        <v/>
      </c>
      <c r="AZ483" s="4" t="str">
        <f>IF(AY483&lt;&gt;"",ROUND(AY483/(SI!$C$9*SI!$C$10),2),"")</f>
        <v/>
      </c>
      <c r="BA483" s="4" t="str">
        <f t="shared" si="202"/>
        <v/>
      </c>
      <c r="BB483" s="4" t="str">
        <f t="shared" si="203"/>
        <v/>
      </c>
      <c r="BC483" s="4" t="str">
        <f t="shared" si="204"/>
        <v/>
      </c>
      <c r="BD483" s="4" t="str">
        <f t="shared" si="205"/>
        <v/>
      </c>
      <c r="BE483" s="4" t="str">
        <f>IF(AND(X483&lt;&gt;""),ROUND(X483/SI!$C$10,2),"")</f>
        <v/>
      </c>
      <c r="BF483" s="4" t="str">
        <f t="shared" si="207"/>
        <v/>
      </c>
      <c r="BG483" s="264" t="str">
        <f t="shared" si="206"/>
        <v/>
      </c>
      <c r="BH483" s="71" t="str">
        <f>IF(F483&lt;&gt;"",VLOOKUP(F483,DUTY_2025!A:O,15,FALSE),"")</f>
        <v/>
      </c>
    </row>
    <row r="484" spans="1:60" x14ac:dyDescent="0.25">
      <c r="A484" s="133">
        <f t="shared" si="182"/>
        <v>66</v>
      </c>
      <c r="B484" s="83" t="str">
        <f t="shared" si="183"/>
        <v/>
      </c>
      <c r="C484" s="126"/>
      <c r="D484" s="130"/>
      <c r="E484" s="22"/>
      <c r="F484" s="85"/>
      <c r="G484" s="27" t="str">
        <f>IF(F484&lt;&gt;"",IFERROR(VLOOKUP(F484,DUTY_2025!A:I,6,FALSE),""),"")</f>
        <v/>
      </c>
      <c r="H484" s="85" t="s">
        <v>133</v>
      </c>
      <c r="I484" s="27" t="str">
        <f>IF(F484&lt;&gt;"",IFERROR(VLOOKUP(F484,DUTY_2025!A:H,2,FALSE),""),"")</f>
        <v/>
      </c>
      <c r="J484" s="98"/>
      <c r="K484" s="98"/>
      <c r="L484" s="22"/>
      <c r="M484" s="22"/>
      <c r="N484" s="84"/>
      <c r="O484" s="22"/>
      <c r="P484" s="116"/>
      <c r="Q484" s="23"/>
      <c r="R484" s="27"/>
      <c r="S484" s="86" t="str">
        <f t="shared" si="184"/>
        <v/>
      </c>
      <c r="T484" s="87" t="str">
        <f t="shared" si="185"/>
        <v/>
      </c>
      <c r="U484" s="87" t="str" cm="1">
        <f t="array" ref="U484">IF(AND(H484&lt;&gt;"YES",P484&lt;&gt;"",R484&lt;&gt;"",Q484&lt;&gt;""),
_xlfn.SWITCH(Q484,
"INR",_xlfn.SWITCH(R484,"KG",P484*S484,"CTN",P484,"UNIT",P484*N484,"NET",P484/M484,0),
"USD",_xlfn.SWITCH(R484,"KG",P484*S484*SI!$C$10,"CTN",P484*SI!$C$10,"UNIT",P484*N484*SI!$C$10,"NET",P484*SI!$C$10/M484,0),
"LKR",_xlfn.SWITCH(R484,"KG",P484*S484/SI!$C$9,"CTN",P484/SI!$C$9,"UNIT",P484*N484/SI!$C$9,"NET",P484/(M484*SI!$C$9),0),
0),
"")</f>
        <v/>
      </c>
      <c r="V484" s="87" t="str">
        <f t="shared" si="186"/>
        <v/>
      </c>
      <c r="W484" s="87" t="str">
        <f t="shared" si="187"/>
        <v/>
      </c>
      <c r="X484" s="88" t="str">
        <f t="shared" si="188"/>
        <v/>
      </c>
      <c r="Y484" s="24" t="str">
        <f t="shared" si="189"/>
        <v/>
      </c>
      <c r="Z484" s="267" t="str">
        <f>IF(AND(H484&lt;&gt;"yes",F484&lt;&gt;""),IFERROR(VLOOKUP(F484,DUTY_2025!A:F,5,FALSE),""),"")</f>
        <v/>
      </c>
      <c r="AA484" s="271" t="str">
        <f t="shared" si="190"/>
        <v/>
      </c>
      <c r="AB484" s="16" t="str">
        <f t="shared" si="191"/>
        <v/>
      </c>
      <c r="AC484" s="16" t="str">
        <f>IF(AA484&lt;&gt;"",ROUND(AA484*SI!$C$9,0),"")</f>
        <v/>
      </c>
      <c r="AD484" s="4" t="str">
        <f>IF(AC484&lt;&gt;"",ROUND(AC484/(SI!$C$9*SI!$C$10),2),"")</f>
        <v/>
      </c>
      <c r="AE484" s="30" t="str">
        <f>IF(AND(X484&lt;&gt;""), ROUND((SI!$E$23)*(X484/SUM($X$5:$X$493)),0),"")</f>
        <v/>
      </c>
      <c r="AF484" s="272" t="str">
        <f t="shared" si="192"/>
        <v/>
      </c>
      <c r="AG484" s="28" t="str">
        <f t="shared" si="193"/>
        <v/>
      </c>
      <c r="AH484" s="4" t="str">
        <f>IF(AD484&lt;&gt;"",ROUND(AD484*10*SI!$C$9/2,0),"")</f>
        <v/>
      </c>
      <c r="AI484" s="29" t="str">
        <f>IF(AND(X484&lt;&gt;""), ROUND((SI!$E$28)*(X484/SUM($X$5:$X$493)),0),"")</f>
        <v/>
      </c>
      <c r="AJ484" s="4" t="str">
        <f t="shared" si="194"/>
        <v/>
      </c>
      <c r="AK484" s="4" t="str">
        <f t="shared" si="195"/>
        <v/>
      </c>
      <c r="AL484" s="4" t="str">
        <f t="shared" si="196"/>
        <v/>
      </c>
      <c r="AM484" s="4" t="str">
        <f t="shared" si="197"/>
        <v/>
      </c>
      <c r="AN484" s="195" t="str">
        <f t="shared" si="198"/>
        <v/>
      </c>
      <c r="AO484" s="261" t="str">
        <f>IF(AND(AM484&lt;&gt;"",P484&lt;&gt;""),ROUND((AM484*((100+SI!$C$11)/100)),0),"")</f>
        <v/>
      </c>
      <c r="AP484" s="28" t="str">
        <f>IF(AG484&lt;&gt;"",ROUND(AG484/SI!$C$9,2),"")</f>
        <v/>
      </c>
      <c r="AQ484" s="4" t="str">
        <f>IF(AH484&lt;&gt;"",ROUND(AH484/SI!$C$9,2),"")</f>
        <v/>
      </c>
      <c r="AR484" s="29" t="str">
        <f>IF(AI484&lt;&gt;"",ROUND(AI484/SI!$C$9,2),"")</f>
        <v/>
      </c>
      <c r="AS484" s="4" t="str">
        <f t="shared" si="199"/>
        <v/>
      </c>
      <c r="AT484" s="4" t="str">
        <f t="shared" si="200"/>
        <v/>
      </c>
      <c r="AU484" s="4" t="str">
        <f>IF(AL484&lt;&gt;"",ROUND(AL484/SI!$C$9,2),"")</f>
        <v/>
      </c>
      <c r="AV484" s="4" t="str">
        <f>IF(AM484&lt;&gt;"",ROUND(AM484/SI!$C$9,2),"")</f>
        <v/>
      </c>
      <c r="AW484" s="4" t="str">
        <f>IF(AN484&lt;&gt;"",ROUND(AN484/SI!$C$9,2),"")</f>
        <v/>
      </c>
      <c r="AX484" s="261" t="str">
        <f>IF(AO484&lt;&gt;"",ROUND(AO484/SI!$C$9,2),"")</f>
        <v/>
      </c>
      <c r="AY484" s="28" t="str">
        <f t="shared" si="201"/>
        <v/>
      </c>
      <c r="AZ484" s="4" t="str">
        <f>IF(AY484&lt;&gt;"",ROUND(AY484/(SI!$C$9*SI!$C$10),2),"")</f>
        <v/>
      </c>
      <c r="BA484" s="4" t="str">
        <f t="shared" si="202"/>
        <v/>
      </c>
      <c r="BB484" s="4" t="str">
        <f t="shared" si="203"/>
        <v/>
      </c>
      <c r="BC484" s="4" t="str">
        <f t="shared" si="204"/>
        <v/>
      </c>
      <c r="BD484" s="4" t="str">
        <f t="shared" si="205"/>
        <v/>
      </c>
      <c r="BE484" s="4" t="str">
        <f>IF(AND(X484&lt;&gt;""),ROUND(X484/SI!$C$10,2),"")</f>
        <v/>
      </c>
      <c r="BF484" s="4" t="str">
        <f t="shared" si="207"/>
        <v/>
      </c>
      <c r="BG484" s="264" t="str">
        <f t="shared" si="206"/>
        <v/>
      </c>
      <c r="BH484" s="71" t="str">
        <f>IF(F484&lt;&gt;"",VLOOKUP(F484,DUTY_2025!A:O,15,FALSE),"")</f>
        <v/>
      </c>
    </row>
    <row r="485" spans="1:60" x14ac:dyDescent="0.25">
      <c r="A485" s="133">
        <f t="shared" si="182"/>
        <v>66</v>
      </c>
      <c r="B485" s="83" t="str">
        <f t="shared" si="183"/>
        <v/>
      </c>
      <c r="C485" s="126"/>
      <c r="D485" s="130"/>
      <c r="E485" s="22"/>
      <c r="F485" s="85"/>
      <c r="G485" s="27" t="str">
        <f>IF(F485&lt;&gt;"",IFERROR(VLOOKUP(F485,DUTY_2025!A:I,6,FALSE),""),"")</f>
        <v/>
      </c>
      <c r="H485" s="85" t="s">
        <v>133</v>
      </c>
      <c r="I485" s="27" t="str">
        <f>IF(F485&lt;&gt;"",IFERROR(VLOOKUP(F485,DUTY_2025!A:H,2,FALSE),""),"")</f>
        <v/>
      </c>
      <c r="J485" s="98"/>
      <c r="K485" s="98"/>
      <c r="L485" s="22"/>
      <c r="M485" s="22"/>
      <c r="N485" s="84"/>
      <c r="O485" s="22"/>
      <c r="P485" s="116"/>
      <c r="Q485" s="23"/>
      <c r="R485" s="27"/>
      <c r="S485" s="86" t="str">
        <f t="shared" si="184"/>
        <v/>
      </c>
      <c r="T485" s="87" t="str">
        <f t="shared" si="185"/>
        <v/>
      </c>
      <c r="U485" s="87" t="str" cm="1">
        <f t="array" ref="U485">IF(AND(H485&lt;&gt;"YES",P485&lt;&gt;"",R485&lt;&gt;"",Q485&lt;&gt;""),
_xlfn.SWITCH(Q485,
"INR",_xlfn.SWITCH(R485,"KG",P485*S485,"CTN",P485,"UNIT",P485*N485,"NET",P485/M485,0),
"USD",_xlfn.SWITCH(R485,"KG",P485*S485*SI!$C$10,"CTN",P485*SI!$C$10,"UNIT",P485*N485*SI!$C$10,"NET",P485*SI!$C$10/M485,0),
"LKR",_xlfn.SWITCH(R485,"KG",P485*S485/SI!$C$9,"CTN",P485/SI!$C$9,"UNIT",P485*N485/SI!$C$9,"NET",P485/(M485*SI!$C$9),0),
0),
"")</f>
        <v/>
      </c>
      <c r="V485" s="87" t="str">
        <f t="shared" si="186"/>
        <v/>
      </c>
      <c r="W485" s="87" t="str">
        <f t="shared" si="187"/>
        <v/>
      </c>
      <c r="X485" s="88" t="str">
        <f t="shared" si="188"/>
        <v/>
      </c>
      <c r="Y485" s="24" t="str">
        <f t="shared" si="189"/>
        <v/>
      </c>
      <c r="Z485" s="267" t="str">
        <f>IF(AND(H485&lt;&gt;"yes",F485&lt;&gt;""),IFERROR(VLOOKUP(F485,DUTY_2025!A:F,5,FALSE),""),"")</f>
        <v/>
      </c>
      <c r="AA485" s="271" t="str">
        <f t="shared" si="190"/>
        <v/>
      </c>
      <c r="AB485" s="16" t="str">
        <f t="shared" si="191"/>
        <v/>
      </c>
      <c r="AC485" s="16" t="str">
        <f>IF(AA485&lt;&gt;"",ROUND(AA485*SI!$C$9,0),"")</f>
        <v/>
      </c>
      <c r="AD485" s="4" t="str">
        <f>IF(AC485&lt;&gt;"",ROUND(AC485/(SI!$C$9*SI!$C$10),2),"")</f>
        <v/>
      </c>
      <c r="AE485" s="30" t="str">
        <f>IF(AND(X485&lt;&gt;""), ROUND((SI!$E$23)*(X485/SUM($X$5:$X$493)),0),"")</f>
        <v/>
      </c>
      <c r="AF485" s="272" t="str">
        <f t="shared" si="192"/>
        <v/>
      </c>
      <c r="AG485" s="28" t="str">
        <f t="shared" si="193"/>
        <v/>
      </c>
      <c r="AH485" s="4" t="str">
        <f>IF(AD485&lt;&gt;"",ROUND(AD485*10*SI!$C$9/2,0),"")</f>
        <v/>
      </c>
      <c r="AI485" s="29" t="str">
        <f>IF(AND(X485&lt;&gt;""), ROUND((SI!$E$28)*(X485/SUM($X$5:$X$493)),0),"")</f>
        <v/>
      </c>
      <c r="AJ485" s="4" t="str">
        <f t="shared" si="194"/>
        <v/>
      </c>
      <c r="AK485" s="4" t="str">
        <f t="shared" si="195"/>
        <v/>
      </c>
      <c r="AL485" s="4" t="str">
        <f t="shared" si="196"/>
        <v/>
      </c>
      <c r="AM485" s="4" t="str">
        <f t="shared" si="197"/>
        <v/>
      </c>
      <c r="AN485" s="195" t="str">
        <f t="shared" si="198"/>
        <v/>
      </c>
      <c r="AO485" s="261" t="str">
        <f>IF(AND(AM485&lt;&gt;"",P485&lt;&gt;""),ROUND((AM485*((100+SI!$C$11)/100)),0),"")</f>
        <v/>
      </c>
      <c r="AP485" s="28" t="str">
        <f>IF(AG485&lt;&gt;"",ROUND(AG485/SI!$C$9,2),"")</f>
        <v/>
      </c>
      <c r="AQ485" s="4" t="str">
        <f>IF(AH485&lt;&gt;"",ROUND(AH485/SI!$C$9,2),"")</f>
        <v/>
      </c>
      <c r="AR485" s="29" t="str">
        <f>IF(AI485&lt;&gt;"",ROUND(AI485/SI!$C$9,2),"")</f>
        <v/>
      </c>
      <c r="AS485" s="4" t="str">
        <f t="shared" si="199"/>
        <v/>
      </c>
      <c r="AT485" s="4" t="str">
        <f t="shared" si="200"/>
        <v/>
      </c>
      <c r="AU485" s="4" t="str">
        <f>IF(AL485&lt;&gt;"",ROUND(AL485/SI!$C$9,2),"")</f>
        <v/>
      </c>
      <c r="AV485" s="4" t="str">
        <f>IF(AM485&lt;&gt;"",ROUND(AM485/SI!$C$9,2),"")</f>
        <v/>
      </c>
      <c r="AW485" s="4" t="str">
        <f>IF(AN485&lt;&gt;"",ROUND(AN485/SI!$C$9,2),"")</f>
        <v/>
      </c>
      <c r="AX485" s="261" t="str">
        <f>IF(AO485&lt;&gt;"",ROUND(AO485/SI!$C$9,2),"")</f>
        <v/>
      </c>
      <c r="AY485" s="28" t="str">
        <f t="shared" si="201"/>
        <v/>
      </c>
      <c r="AZ485" s="4" t="str">
        <f>IF(AY485&lt;&gt;"",ROUND(AY485/(SI!$C$9*SI!$C$10),2),"")</f>
        <v/>
      </c>
      <c r="BA485" s="4" t="str">
        <f t="shared" si="202"/>
        <v/>
      </c>
      <c r="BB485" s="4" t="str">
        <f t="shared" si="203"/>
        <v/>
      </c>
      <c r="BC485" s="4" t="str">
        <f t="shared" si="204"/>
        <v/>
      </c>
      <c r="BD485" s="4" t="str">
        <f t="shared" si="205"/>
        <v/>
      </c>
      <c r="BE485" s="4" t="str">
        <f>IF(AND(X485&lt;&gt;""),ROUND(X485/SI!$C$10,2),"")</f>
        <v/>
      </c>
      <c r="BF485" s="4" t="str">
        <f t="shared" si="207"/>
        <v/>
      </c>
      <c r="BG485" s="264" t="str">
        <f t="shared" si="206"/>
        <v/>
      </c>
      <c r="BH485" s="71" t="str">
        <f>IF(F485&lt;&gt;"",VLOOKUP(F485,DUTY_2025!A:O,15,FALSE),"")</f>
        <v/>
      </c>
    </row>
    <row r="486" spans="1:60" x14ac:dyDescent="0.25">
      <c r="A486" s="133">
        <f t="shared" si="182"/>
        <v>66</v>
      </c>
      <c r="B486" s="83" t="str">
        <f t="shared" si="183"/>
        <v/>
      </c>
      <c r="C486" s="126"/>
      <c r="D486" s="130"/>
      <c r="E486" s="22"/>
      <c r="F486" s="85"/>
      <c r="G486" s="27" t="str">
        <f>IF(F486&lt;&gt;"",IFERROR(VLOOKUP(F486,DUTY_2025!A:I,6,FALSE),""),"")</f>
        <v/>
      </c>
      <c r="H486" s="85" t="s">
        <v>133</v>
      </c>
      <c r="I486" s="27" t="str">
        <f>IF(F486&lt;&gt;"",IFERROR(VLOOKUP(F486,DUTY_2025!A:H,2,FALSE),""),"")</f>
        <v/>
      </c>
      <c r="J486" s="98"/>
      <c r="K486" s="98"/>
      <c r="L486" s="22"/>
      <c r="M486" s="22"/>
      <c r="N486" s="84"/>
      <c r="O486" s="22"/>
      <c r="P486" s="116"/>
      <c r="Q486" s="23"/>
      <c r="R486" s="27"/>
      <c r="S486" s="86" t="str">
        <f t="shared" si="184"/>
        <v/>
      </c>
      <c r="T486" s="87" t="str">
        <f t="shared" si="185"/>
        <v/>
      </c>
      <c r="U486" s="87" t="str" cm="1">
        <f t="array" ref="U486">IF(AND(H486&lt;&gt;"YES",P486&lt;&gt;"",R486&lt;&gt;"",Q486&lt;&gt;""),
_xlfn.SWITCH(Q486,
"INR",_xlfn.SWITCH(R486,"KG",P486*S486,"CTN",P486,"UNIT",P486*N486,"NET",P486/M486,0),
"USD",_xlfn.SWITCH(R486,"KG",P486*S486*SI!$C$10,"CTN",P486*SI!$C$10,"UNIT",P486*N486*SI!$C$10,"NET",P486*SI!$C$10/M486,0),
"LKR",_xlfn.SWITCH(R486,"KG",P486*S486/SI!$C$9,"CTN",P486/SI!$C$9,"UNIT",P486*N486/SI!$C$9,"NET",P486/(M486*SI!$C$9),0),
0),
"")</f>
        <v/>
      </c>
      <c r="V486" s="87" t="str">
        <f t="shared" si="186"/>
        <v/>
      </c>
      <c r="W486" s="87" t="str">
        <f t="shared" si="187"/>
        <v/>
      </c>
      <c r="X486" s="88" t="str">
        <f t="shared" si="188"/>
        <v/>
      </c>
      <c r="Y486" s="24" t="str">
        <f t="shared" si="189"/>
        <v/>
      </c>
      <c r="Z486" s="267" t="str">
        <f>IF(AND(H486&lt;&gt;"yes",F486&lt;&gt;""),IFERROR(VLOOKUP(F486,DUTY_2025!A:F,5,FALSE),""),"")</f>
        <v/>
      </c>
      <c r="AA486" s="271" t="str">
        <f t="shared" si="190"/>
        <v/>
      </c>
      <c r="AB486" s="16" t="str">
        <f t="shared" si="191"/>
        <v/>
      </c>
      <c r="AC486" s="16" t="str">
        <f>IF(AA486&lt;&gt;"",ROUND(AA486*SI!$C$9,0),"")</f>
        <v/>
      </c>
      <c r="AD486" s="4" t="str">
        <f>IF(AC486&lt;&gt;"",ROUND(AC486/(SI!$C$9*SI!$C$10),2),"")</f>
        <v/>
      </c>
      <c r="AE486" s="30" t="str">
        <f>IF(AND(X486&lt;&gt;""), ROUND((SI!$E$23)*(X486/SUM($X$5:$X$493)),0),"")</f>
        <v/>
      </c>
      <c r="AF486" s="272" t="str">
        <f t="shared" si="192"/>
        <v/>
      </c>
      <c r="AG486" s="28" t="str">
        <f t="shared" si="193"/>
        <v/>
      </c>
      <c r="AH486" s="4" t="str">
        <f>IF(AD486&lt;&gt;"",ROUND(AD486*10*SI!$C$9/2,0),"")</f>
        <v/>
      </c>
      <c r="AI486" s="29" t="str">
        <f>IF(AND(X486&lt;&gt;""), ROUND((SI!$E$28)*(X486/SUM($X$5:$X$493)),0),"")</f>
        <v/>
      </c>
      <c r="AJ486" s="4" t="str">
        <f t="shared" si="194"/>
        <v/>
      </c>
      <c r="AK486" s="4" t="str">
        <f t="shared" si="195"/>
        <v/>
      </c>
      <c r="AL486" s="4" t="str">
        <f t="shared" si="196"/>
        <v/>
      </c>
      <c r="AM486" s="4" t="str">
        <f t="shared" si="197"/>
        <v/>
      </c>
      <c r="AN486" s="195" t="str">
        <f t="shared" si="198"/>
        <v/>
      </c>
      <c r="AO486" s="261" t="str">
        <f>IF(AND(AM486&lt;&gt;"",P486&lt;&gt;""),ROUND((AM486*((100+SI!$C$11)/100)),0),"")</f>
        <v/>
      </c>
      <c r="AP486" s="28" t="str">
        <f>IF(AG486&lt;&gt;"",ROUND(AG486/SI!$C$9,2),"")</f>
        <v/>
      </c>
      <c r="AQ486" s="4" t="str">
        <f>IF(AH486&lt;&gt;"",ROUND(AH486/SI!$C$9,2),"")</f>
        <v/>
      </c>
      <c r="AR486" s="29" t="str">
        <f>IF(AI486&lt;&gt;"",ROUND(AI486/SI!$C$9,2),"")</f>
        <v/>
      </c>
      <c r="AS486" s="4" t="str">
        <f t="shared" si="199"/>
        <v/>
      </c>
      <c r="AT486" s="4" t="str">
        <f t="shared" si="200"/>
        <v/>
      </c>
      <c r="AU486" s="4" t="str">
        <f>IF(AL486&lt;&gt;"",ROUND(AL486/SI!$C$9,2),"")</f>
        <v/>
      </c>
      <c r="AV486" s="4" t="str">
        <f>IF(AM486&lt;&gt;"",ROUND(AM486/SI!$C$9,2),"")</f>
        <v/>
      </c>
      <c r="AW486" s="4" t="str">
        <f>IF(AN486&lt;&gt;"",ROUND(AN486/SI!$C$9,2),"")</f>
        <v/>
      </c>
      <c r="AX486" s="261" t="str">
        <f>IF(AO486&lt;&gt;"",ROUND(AO486/SI!$C$9,2),"")</f>
        <v/>
      </c>
      <c r="AY486" s="28" t="str">
        <f t="shared" si="201"/>
        <v/>
      </c>
      <c r="AZ486" s="4" t="str">
        <f>IF(AY486&lt;&gt;"",ROUND(AY486/(SI!$C$9*SI!$C$10),2),"")</f>
        <v/>
      </c>
      <c r="BA486" s="4" t="str">
        <f t="shared" si="202"/>
        <v/>
      </c>
      <c r="BB486" s="4" t="str">
        <f t="shared" si="203"/>
        <v/>
      </c>
      <c r="BC486" s="4" t="str">
        <f t="shared" si="204"/>
        <v/>
      </c>
      <c r="BD486" s="4" t="str">
        <f t="shared" si="205"/>
        <v/>
      </c>
      <c r="BE486" s="4" t="str">
        <f>IF(AND(X486&lt;&gt;""),ROUND(X486/SI!$C$10,2),"")</f>
        <v/>
      </c>
      <c r="BF486" s="4" t="str">
        <f t="shared" si="207"/>
        <v/>
      </c>
      <c r="BG486" s="264" t="str">
        <f t="shared" si="206"/>
        <v/>
      </c>
      <c r="BH486" s="71" t="str">
        <f>IF(F486&lt;&gt;"",VLOOKUP(F486,DUTY_2025!A:O,15,FALSE),"")</f>
        <v/>
      </c>
    </row>
    <row r="487" spans="1:60" x14ac:dyDescent="0.25">
      <c r="A487" s="133">
        <f t="shared" si="182"/>
        <v>66</v>
      </c>
      <c r="B487" s="83" t="str">
        <f t="shared" si="183"/>
        <v/>
      </c>
      <c r="C487" s="126"/>
      <c r="D487" s="130"/>
      <c r="E487" s="22"/>
      <c r="F487" s="85"/>
      <c r="G487" s="27" t="str">
        <f>IF(F487&lt;&gt;"",IFERROR(VLOOKUP(F487,DUTY_2025!A:I,6,FALSE),""),"")</f>
        <v/>
      </c>
      <c r="H487" s="85" t="s">
        <v>133</v>
      </c>
      <c r="I487" s="27" t="str">
        <f>IF(F487&lt;&gt;"",IFERROR(VLOOKUP(F487,DUTY_2025!A:H,2,FALSE),""),"")</f>
        <v/>
      </c>
      <c r="J487" s="98"/>
      <c r="K487" s="98"/>
      <c r="L487" s="22"/>
      <c r="M487" s="22"/>
      <c r="N487" s="84"/>
      <c r="O487" s="22"/>
      <c r="P487" s="116"/>
      <c r="Q487" s="23"/>
      <c r="R487" s="27"/>
      <c r="S487" s="86" t="str">
        <f t="shared" si="184"/>
        <v/>
      </c>
      <c r="T487" s="87" t="str">
        <f t="shared" si="185"/>
        <v/>
      </c>
      <c r="U487" s="87" t="str" cm="1">
        <f t="array" ref="U487">IF(AND(H487&lt;&gt;"YES",P487&lt;&gt;"",R487&lt;&gt;"",Q487&lt;&gt;""),
_xlfn.SWITCH(Q487,
"INR",_xlfn.SWITCH(R487,"KG",P487*S487,"CTN",P487,"UNIT",P487*N487,"NET",P487/M487,0),
"USD",_xlfn.SWITCH(R487,"KG",P487*S487*SI!$C$10,"CTN",P487*SI!$C$10,"UNIT",P487*N487*SI!$C$10,"NET",P487*SI!$C$10/M487,0),
"LKR",_xlfn.SWITCH(R487,"KG",P487*S487/SI!$C$9,"CTN",P487/SI!$C$9,"UNIT",P487*N487/SI!$C$9,"NET",P487/(M487*SI!$C$9),0),
0),
"")</f>
        <v/>
      </c>
      <c r="V487" s="87" t="str">
        <f t="shared" si="186"/>
        <v/>
      </c>
      <c r="W487" s="87" t="str">
        <f t="shared" si="187"/>
        <v/>
      </c>
      <c r="X487" s="88" t="str">
        <f t="shared" si="188"/>
        <v/>
      </c>
      <c r="Y487" s="24" t="str">
        <f t="shared" si="189"/>
        <v/>
      </c>
      <c r="Z487" s="267" t="str">
        <f>IF(AND(H487&lt;&gt;"yes",F487&lt;&gt;""),IFERROR(VLOOKUP(F487,DUTY_2025!A:F,5,FALSE),""),"")</f>
        <v/>
      </c>
      <c r="AA487" s="271" t="str">
        <f t="shared" si="190"/>
        <v/>
      </c>
      <c r="AB487" s="16" t="str">
        <f t="shared" si="191"/>
        <v/>
      </c>
      <c r="AC487" s="16" t="str">
        <f>IF(AA487&lt;&gt;"",ROUND(AA487*SI!$C$9,0),"")</f>
        <v/>
      </c>
      <c r="AD487" s="4" t="str">
        <f>IF(AC487&lt;&gt;"",ROUND(AC487/(SI!$C$9*SI!$C$10),2),"")</f>
        <v/>
      </c>
      <c r="AE487" s="30" t="str">
        <f>IF(AND(X487&lt;&gt;""), ROUND((SI!$E$23)*(X487/SUM($X$5:$X$493)),0),"")</f>
        <v/>
      </c>
      <c r="AF487" s="272" t="str">
        <f t="shared" si="192"/>
        <v/>
      </c>
      <c r="AG487" s="28" t="str">
        <f t="shared" si="193"/>
        <v/>
      </c>
      <c r="AH487" s="4" t="str">
        <f>IF(AD487&lt;&gt;"",ROUND(AD487*10*SI!$C$9/2,0),"")</f>
        <v/>
      </c>
      <c r="AI487" s="29" t="str">
        <f>IF(AND(X487&lt;&gt;""), ROUND((SI!$E$28)*(X487/SUM($X$5:$X$493)),0),"")</f>
        <v/>
      </c>
      <c r="AJ487" s="4" t="str">
        <f t="shared" si="194"/>
        <v/>
      </c>
      <c r="AK487" s="4" t="str">
        <f t="shared" si="195"/>
        <v/>
      </c>
      <c r="AL487" s="4" t="str">
        <f t="shared" si="196"/>
        <v/>
      </c>
      <c r="AM487" s="4" t="str">
        <f t="shared" si="197"/>
        <v/>
      </c>
      <c r="AN487" s="195" t="str">
        <f t="shared" si="198"/>
        <v/>
      </c>
      <c r="AO487" s="261" t="str">
        <f>IF(AND(AM487&lt;&gt;"",P487&lt;&gt;""),ROUND((AM487*((100+SI!$C$11)/100)),0),"")</f>
        <v/>
      </c>
      <c r="AP487" s="28" t="str">
        <f>IF(AG487&lt;&gt;"",ROUND(AG487/SI!$C$9,2),"")</f>
        <v/>
      </c>
      <c r="AQ487" s="4" t="str">
        <f>IF(AH487&lt;&gt;"",ROUND(AH487/SI!$C$9,2),"")</f>
        <v/>
      </c>
      <c r="AR487" s="29" t="str">
        <f>IF(AI487&lt;&gt;"",ROUND(AI487/SI!$C$9,2),"")</f>
        <v/>
      </c>
      <c r="AS487" s="4" t="str">
        <f t="shared" si="199"/>
        <v/>
      </c>
      <c r="AT487" s="4" t="str">
        <f t="shared" si="200"/>
        <v/>
      </c>
      <c r="AU487" s="4" t="str">
        <f>IF(AL487&lt;&gt;"",ROUND(AL487/SI!$C$9,2),"")</f>
        <v/>
      </c>
      <c r="AV487" s="4" t="str">
        <f>IF(AM487&lt;&gt;"",ROUND(AM487/SI!$C$9,2),"")</f>
        <v/>
      </c>
      <c r="AW487" s="4" t="str">
        <f>IF(AN487&lt;&gt;"",ROUND(AN487/SI!$C$9,2),"")</f>
        <v/>
      </c>
      <c r="AX487" s="261" t="str">
        <f>IF(AO487&lt;&gt;"",ROUND(AO487/SI!$C$9,2),"")</f>
        <v/>
      </c>
      <c r="AY487" s="28" t="str">
        <f t="shared" si="201"/>
        <v/>
      </c>
      <c r="AZ487" s="4" t="str">
        <f>IF(AY487&lt;&gt;"",ROUND(AY487/(SI!$C$9*SI!$C$10),2),"")</f>
        <v/>
      </c>
      <c r="BA487" s="4" t="str">
        <f t="shared" si="202"/>
        <v/>
      </c>
      <c r="BB487" s="4" t="str">
        <f t="shared" si="203"/>
        <v/>
      </c>
      <c r="BC487" s="4" t="str">
        <f t="shared" si="204"/>
        <v/>
      </c>
      <c r="BD487" s="4" t="str">
        <f t="shared" si="205"/>
        <v/>
      </c>
      <c r="BE487" s="4" t="str">
        <f>IF(AND(X487&lt;&gt;""),ROUND(X487/SI!$C$10,2),"")</f>
        <v/>
      </c>
      <c r="BF487" s="4" t="str">
        <f t="shared" si="207"/>
        <v/>
      </c>
      <c r="BG487" s="264" t="str">
        <f t="shared" si="206"/>
        <v/>
      </c>
      <c r="BH487" s="71" t="str">
        <f>IF(F487&lt;&gt;"",VLOOKUP(F487,DUTY_2025!A:O,15,FALSE),"")</f>
        <v/>
      </c>
    </row>
    <row r="488" spans="1:60" x14ac:dyDescent="0.25">
      <c r="A488" s="133">
        <f t="shared" si="182"/>
        <v>66</v>
      </c>
      <c r="B488" s="83" t="str">
        <f t="shared" si="183"/>
        <v/>
      </c>
      <c r="C488" s="126"/>
      <c r="D488" s="130"/>
      <c r="E488" s="22"/>
      <c r="F488" s="85"/>
      <c r="G488" s="27" t="str">
        <f>IF(F488&lt;&gt;"",IFERROR(VLOOKUP(F488,DUTY_2025!A:I,6,FALSE),""),"")</f>
        <v/>
      </c>
      <c r="H488" s="85" t="s">
        <v>133</v>
      </c>
      <c r="I488" s="27" t="str">
        <f>IF(F488&lt;&gt;"",IFERROR(VLOOKUP(F488,DUTY_2025!A:H,2,FALSE),""),"")</f>
        <v/>
      </c>
      <c r="J488" s="98"/>
      <c r="K488" s="98"/>
      <c r="L488" s="22"/>
      <c r="M488" s="22"/>
      <c r="N488" s="84"/>
      <c r="O488" s="22"/>
      <c r="P488" s="116"/>
      <c r="Q488" s="23"/>
      <c r="R488" s="27"/>
      <c r="S488" s="86" t="str">
        <f t="shared" si="184"/>
        <v/>
      </c>
      <c r="T488" s="87" t="str">
        <f t="shared" si="185"/>
        <v/>
      </c>
      <c r="U488" s="87" t="str" cm="1">
        <f t="array" ref="U488">IF(AND(H488&lt;&gt;"YES",P488&lt;&gt;"",R488&lt;&gt;"",Q488&lt;&gt;""),
_xlfn.SWITCH(Q488,
"INR",_xlfn.SWITCH(R488,"KG",P488*S488,"CTN",P488,"UNIT",P488*N488,"NET",P488/M488,0),
"USD",_xlfn.SWITCH(R488,"KG",P488*S488*SI!$C$10,"CTN",P488*SI!$C$10,"UNIT",P488*N488*SI!$C$10,"NET",P488*SI!$C$10/M488,0),
"LKR",_xlfn.SWITCH(R488,"KG",P488*S488/SI!$C$9,"CTN",P488/SI!$C$9,"UNIT",P488*N488/SI!$C$9,"NET",P488/(M488*SI!$C$9),0),
0),
"")</f>
        <v/>
      </c>
      <c r="V488" s="87" t="str">
        <f t="shared" si="186"/>
        <v/>
      </c>
      <c r="W488" s="87" t="str">
        <f t="shared" si="187"/>
        <v/>
      </c>
      <c r="X488" s="88" t="str">
        <f t="shared" si="188"/>
        <v/>
      </c>
      <c r="Y488" s="24" t="str">
        <f t="shared" si="189"/>
        <v/>
      </c>
      <c r="Z488" s="267" t="str">
        <f>IF(AND(H488&lt;&gt;"yes",F488&lt;&gt;""),IFERROR(VLOOKUP(F488,DUTY_2025!A:F,5,FALSE),""),"")</f>
        <v/>
      </c>
      <c r="AA488" s="271" t="str">
        <f t="shared" si="190"/>
        <v/>
      </c>
      <c r="AB488" s="16" t="str">
        <f t="shared" si="191"/>
        <v/>
      </c>
      <c r="AC488" s="16" t="str">
        <f>IF(AA488&lt;&gt;"",ROUND(AA488*SI!$C$9,0),"")</f>
        <v/>
      </c>
      <c r="AD488" s="4" t="str">
        <f>IF(AC488&lt;&gt;"",ROUND(AC488/(SI!$C$9*SI!$C$10),2),"")</f>
        <v/>
      </c>
      <c r="AE488" s="30" t="str">
        <f>IF(AND(X488&lt;&gt;""), ROUND((SI!$E$23)*(X488/SUM($X$5:$X$493)),0),"")</f>
        <v/>
      </c>
      <c r="AF488" s="272" t="str">
        <f t="shared" si="192"/>
        <v/>
      </c>
      <c r="AG488" s="28" t="str">
        <f t="shared" si="193"/>
        <v/>
      </c>
      <c r="AH488" s="4" t="str">
        <f>IF(AD488&lt;&gt;"",ROUND(AD488*10*SI!$C$9/2,0),"")</f>
        <v/>
      </c>
      <c r="AI488" s="29" t="str">
        <f>IF(AND(X488&lt;&gt;""), ROUND((SI!$E$28)*(X488/SUM($X$5:$X$493)),0),"")</f>
        <v/>
      </c>
      <c r="AJ488" s="4" t="str">
        <f t="shared" si="194"/>
        <v/>
      </c>
      <c r="AK488" s="4" t="str">
        <f t="shared" si="195"/>
        <v/>
      </c>
      <c r="AL488" s="4" t="str">
        <f t="shared" si="196"/>
        <v/>
      </c>
      <c r="AM488" s="4" t="str">
        <f t="shared" si="197"/>
        <v/>
      </c>
      <c r="AN488" s="195" t="str">
        <f t="shared" si="198"/>
        <v/>
      </c>
      <c r="AO488" s="261" t="str">
        <f>IF(AND(AM488&lt;&gt;"",P488&lt;&gt;""),ROUND((AM488*((100+SI!$C$11)/100)),0),"")</f>
        <v/>
      </c>
      <c r="AP488" s="28" t="str">
        <f>IF(AG488&lt;&gt;"",ROUND(AG488/SI!$C$9,2),"")</f>
        <v/>
      </c>
      <c r="AQ488" s="4" t="str">
        <f>IF(AH488&lt;&gt;"",ROUND(AH488/SI!$C$9,2),"")</f>
        <v/>
      </c>
      <c r="AR488" s="29" t="str">
        <f>IF(AI488&lt;&gt;"",ROUND(AI488/SI!$C$9,2),"")</f>
        <v/>
      </c>
      <c r="AS488" s="4" t="str">
        <f t="shared" si="199"/>
        <v/>
      </c>
      <c r="AT488" s="4" t="str">
        <f t="shared" si="200"/>
        <v/>
      </c>
      <c r="AU488" s="4" t="str">
        <f>IF(AL488&lt;&gt;"",ROUND(AL488/SI!$C$9,2),"")</f>
        <v/>
      </c>
      <c r="AV488" s="4" t="str">
        <f>IF(AM488&lt;&gt;"",ROUND(AM488/SI!$C$9,2),"")</f>
        <v/>
      </c>
      <c r="AW488" s="4" t="str">
        <f>IF(AN488&lt;&gt;"",ROUND(AN488/SI!$C$9,2),"")</f>
        <v/>
      </c>
      <c r="AX488" s="261" t="str">
        <f>IF(AO488&lt;&gt;"",ROUND(AO488/SI!$C$9,2),"")</f>
        <v/>
      </c>
      <c r="AY488" s="28" t="str">
        <f t="shared" si="201"/>
        <v/>
      </c>
      <c r="AZ488" s="4" t="str">
        <f>IF(AY488&lt;&gt;"",ROUND(AY488/(SI!$C$9*SI!$C$10),2),"")</f>
        <v/>
      </c>
      <c r="BA488" s="4" t="str">
        <f t="shared" si="202"/>
        <v/>
      </c>
      <c r="BB488" s="4" t="str">
        <f t="shared" si="203"/>
        <v/>
      </c>
      <c r="BC488" s="4" t="str">
        <f t="shared" si="204"/>
        <v/>
      </c>
      <c r="BD488" s="4" t="str">
        <f t="shared" si="205"/>
        <v/>
      </c>
      <c r="BE488" s="4" t="str">
        <f>IF(AND(X488&lt;&gt;""),ROUND(X488/SI!$C$10,2),"")</f>
        <v/>
      </c>
      <c r="BF488" s="4" t="str">
        <f t="shared" si="207"/>
        <v/>
      </c>
      <c r="BG488" s="264" t="str">
        <f t="shared" si="206"/>
        <v/>
      </c>
      <c r="BH488" s="71" t="str">
        <f>IF(F488&lt;&gt;"",VLOOKUP(F488,DUTY_2025!A:O,15,FALSE),"")</f>
        <v/>
      </c>
    </row>
    <row r="489" spans="1:60" x14ac:dyDescent="0.25">
      <c r="A489" s="133">
        <f t="shared" si="182"/>
        <v>66</v>
      </c>
      <c r="B489" s="83" t="str">
        <f t="shared" si="183"/>
        <v/>
      </c>
      <c r="C489" s="126"/>
      <c r="D489" s="130"/>
      <c r="E489" s="22"/>
      <c r="F489" s="85"/>
      <c r="G489" s="27" t="str">
        <f>IF(F489&lt;&gt;"",IFERROR(VLOOKUP(F489,DUTY_2025!A:I,6,FALSE),""),"")</f>
        <v/>
      </c>
      <c r="H489" s="85" t="s">
        <v>133</v>
      </c>
      <c r="I489" s="27" t="str">
        <f>IF(F489&lt;&gt;"",IFERROR(VLOOKUP(F489,DUTY_2025!A:H,2,FALSE),""),"")</f>
        <v/>
      </c>
      <c r="J489" s="98"/>
      <c r="K489" s="98"/>
      <c r="L489" s="22"/>
      <c r="M489" s="22"/>
      <c r="N489" s="84"/>
      <c r="O489" s="22"/>
      <c r="P489" s="116"/>
      <c r="Q489" s="23"/>
      <c r="R489" s="27"/>
      <c r="S489" s="86" t="str">
        <f t="shared" si="184"/>
        <v/>
      </c>
      <c r="T489" s="87" t="str">
        <f t="shared" si="185"/>
        <v/>
      </c>
      <c r="U489" s="87" t="str" cm="1">
        <f t="array" ref="U489">IF(AND(H489&lt;&gt;"YES",P489&lt;&gt;"",R489&lt;&gt;"",Q489&lt;&gt;""),
_xlfn.SWITCH(Q489,
"INR",_xlfn.SWITCH(R489,"KG",P489*S489,"CTN",P489,"UNIT",P489*N489,"NET",P489/M489,0),
"USD",_xlfn.SWITCH(R489,"KG",P489*S489*SI!$C$10,"CTN",P489*SI!$C$10,"UNIT",P489*N489*SI!$C$10,"NET",P489*SI!$C$10/M489,0),
"LKR",_xlfn.SWITCH(R489,"KG",P489*S489/SI!$C$9,"CTN",P489/SI!$C$9,"UNIT",P489*N489/SI!$C$9,"NET",P489/(M489*SI!$C$9),0),
0),
"")</f>
        <v/>
      </c>
      <c r="V489" s="87" t="str">
        <f t="shared" si="186"/>
        <v/>
      </c>
      <c r="W489" s="87" t="str">
        <f t="shared" si="187"/>
        <v/>
      </c>
      <c r="X489" s="88" t="str">
        <f t="shared" si="188"/>
        <v/>
      </c>
      <c r="Y489" s="24" t="str">
        <f t="shared" si="189"/>
        <v/>
      </c>
      <c r="Z489" s="267" t="str">
        <f>IF(AND(H489&lt;&gt;"yes",F489&lt;&gt;""),IFERROR(VLOOKUP(F489,DUTY_2025!A:F,5,FALSE),""),"")</f>
        <v/>
      </c>
      <c r="AA489" s="271" t="str">
        <f t="shared" si="190"/>
        <v/>
      </c>
      <c r="AB489" s="16" t="str">
        <f t="shared" si="191"/>
        <v/>
      </c>
      <c r="AC489" s="16" t="str">
        <f>IF(AA489&lt;&gt;"",ROUND(AA489*SI!$C$9,0),"")</f>
        <v/>
      </c>
      <c r="AD489" s="4" t="str">
        <f>IF(AC489&lt;&gt;"",ROUND(AC489/(SI!$C$9*SI!$C$10),2),"")</f>
        <v/>
      </c>
      <c r="AE489" s="30" t="str">
        <f>IF(AND(X489&lt;&gt;""), ROUND((SI!$E$23)*(X489/SUM($X$5:$X$493)),0),"")</f>
        <v/>
      </c>
      <c r="AF489" s="272" t="str">
        <f t="shared" si="192"/>
        <v/>
      </c>
      <c r="AG489" s="28" t="str">
        <f t="shared" si="193"/>
        <v/>
      </c>
      <c r="AH489" s="4" t="str">
        <f>IF(AD489&lt;&gt;"",ROUND(AD489*10*SI!$C$9/2,0),"")</f>
        <v/>
      </c>
      <c r="AI489" s="29" t="str">
        <f>IF(AND(X489&lt;&gt;""), ROUND((SI!$E$28)*(X489/SUM($X$5:$X$493)),0),"")</f>
        <v/>
      </c>
      <c r="AJ489" s="4" t="str">
        <f t="shared" si="194"/>
        <v/>
      </c>
      <c r="AK489" s="4" t="str">
        <f t="shared" si="195"/>
        <v/>
      </c>
      <c r="AL489" s="4" t="str">
        <f t="shared" si="196"/>
        <v/>
      </c>
      <c r="AM489" s="4" t="str">
        <f t="shared" si="197"/>
        <v/>
      </c>
      <c r="AN489" s="195" t="str">
        <f t="shared" si="198"/>
        <v/>
      </c>
      <c r="AO489" s="261" t="str">
        <f>IF(AND(AM489&lt;&gt;"",P489&lt;&gt;""),ROUND((AM489*((100+SI!$C$11)/100)),0),"")</f>
        <v/>
      </c>
      <c r="AP489" s="28" t="str">
        <f>IF(AG489&lt;&gt;"",ROUND(AG489/SI!$C$9,2),"")</f>
        <v/>
      </c>
      <c r="AQ489" s="4" t="str">
        <f>IF(AH489&lt;&gt;"",ROUND(AH489/SI!$C$9,2),"")</f>
        <v/>
      </c>
      <c r="AR489" s="29" t="str">
        <f>IF(AI489&lt;&gt;"",ROUND(AI489/SI!$C$9,2),"")</f>
        <v/>
      </c>
      <c r="AS489" s="4" t="str">
        <f t="shared" si="199"/>
        <v/>
      </c>
      <c r="AT489" s="4" t="str">
        <f t="shared" si="200"/>
        <v/>
      </c>
      <c r="AU489" s="4" t="str">
        <f>IF(AL489&lt;&gt;"",ROUND(AL489/SI!$C$9,2),"")</f>
        <v/>
      </c>
      <c r="AV489" s="4" t="str">
        <f>IF(AM489&lt;&gt;"",ROUND(AM489/SI!$C$9,2),"")</f>
        <v/>
      </c>
      <c r="AW489" s="4" t="str">
        <f>IF(AN489&lt;&gt;"",ROUND(AN489/SI!$C$9,2),"")</f>
        <v/>
      </c>
      <c r="AX489" s="261" t="str">
        <f>IF(AO489&lt;&gt;"",ROUND(AO489/SI!$C$9,2),"")</f>
        <v/>
      </c>
      <c r="AY489" s="28" t="str">
        <f t="shared" si="201"/>
        <v/>
      </c>
      <c r="AZ489" s="4" t="str">
        <f>IF(AY489&lt;&gt;"",ROUND(AY489/(SI!$C$9*SI!$C$10),2),"")</f>
        <v/>
      </c>
      <c r="BA489" s="4" t="str">
        <f t="shared" si="202"/>
        <v/>
      </c>
      <c r="BB489" s="4" t="str">
        <f t="shared" si="203"/>
        <v/>
      </c>
      <c r="BC489" s="4" t="str">
        <f t="shared" si="204"/>
        <v/>
      </c>
      <c r="BD489" s="4" t="str">
        <f t="shared" si="205"/>
        <v/>
      </c>
      <c r="BE489" s="4" t="str">
        <f>IF(AND(X489&lt;&gt;""),ROUND(X489/SI!$C$10,2),"")</f>
        <v/>
      </c>
      <c r="BF489" s="4" t="str">
        <f t="shared" si="207"/>
        <v/>
      </c>
      <c r="BG489" s="264" t="str">
        <f t="shared" si="206"/>
        <v/>
      </c>
      <c r="BH489" s="71" t="str">
        <f>IF(F489&lt;&gt;"",VLOOKUP(F489,DUTY_2025!A:O,15,FALSE),"")</f>
        <v/>
      </c>
    </row>
    <row r="490" spans="1:60" x14ac:dyDescent="0.25">
      <c r="A490" s="133">
        <f t="shared" si="182"/>
        <v>66</v>
      </c>
      <c r="B490" s="83" t="str">
        <f t="shared" si="183"/>
        <v/>
      </c>
      <c r="C490" s="126"/>
      <c r="D490" s="130"/>
      <c r="E490" s="22"/>
      <c r="F490" s="85"/>
      <c r="G490" s="27" t="str">
        <f>IF(F490&lt;&gt;"",IFERROR(VLOOKUP(F490,DUTY_2025!A:I,6,FALSE),""),"")</f>
        <v/>
      </c>
      <c r="H490" s="85" t="s">
        <v>133</v>
      </c>
      <c r="I490" s="27" t="str">
        <f>IF(F490&lt;&gt;"",IFERROR(VLOOKUP(F490,DUTY_2025!A:H,2,FALSE),""),"")</f>
        <v/>
      </c>
      <c r="J490" s="98"/>
      <c r="K490" s="98"/>
      <c r="L490" s="22"/>
      <c r="M490" s="22"/>
      <c r="N490" s="84"/>
      <c r="O490" s="22"/>
      <c r="P490" s="116"/>
      <c r="Q490" s="23"/>
      <c r="R490" s="27"/>
      <c r="S490" s="86" t="str">
        <f t="shared" si="184"/>
        <v/>
      </c>
      <c r="T490" s="87" t="str">
        <f t="shared" si="185"/>
        <v/>
      </c>
      <c r="U490" s="87" t="str" cm="1">
        <f t="array" ref="U490">IF(AND(H490&lt;&gt;"YES",P490&lt;&gt;"",R490&lt;&gt;"",Q490&lt;&gt;""),
_xlfn.SWITCH(Q490,
"INR",_xlfn.SWITCH(R490,"KG",P490*S490,"CTN",P490,"UNIT",P490*N490,"NET",P490/M490,0),
"USD",_xlfn.SWITCH(R490,"KG",P490*S490*SI!$C$10,"CTN",P490*SI!$C$10,"UNIT",P490*N490*SI!$C$10,"NET",P490*SI!$C$10/M490,0),
"LKR",_xlfn.SWITCH(R490,"KG",P490*S490/SI!$C$9,"CTN",P490/SI!$C$9,"UNIT",P490*N490/SI!$C$9,"NET",P490/(M490*SI!$C$9),0),
0),
"")</f>
        <v/>
      </c>
      <c r="V490" s="87" t="str">
        <f t="shared" si="186"/>
        <v/>
      </c>
      <c r="W490" s="87" t="str">
        <f t="shared" si="187"/>
        <v/>
      </c>
      <c r="X490" s="88" t="str">
        <f t="shared" si="188"/>
        <v/>
      </c>
      <c r="Y490" s="24" t="str">
        <f t="shared" si="189"/>
        <v/>
      </c>
      <c r="Z490" s="267" t="str">
        <f>IF(AND(H490&lt;&gt;"yes",F490&lt;&gt;""),IFERROR(VLOOKUP(F490,DUTY_2025!A:F,5,FALSE),""),"")</f>
        <v/>
      </c>
      <c r="AA490" s="271" t="str">
        <f t="shared" si="190"/>
        <v/>
      </c>
      <c r="AB490" s="16" t="str">
        <f t="shared" si="191"/>
        <v/>
      </c>
      <c r="AC490" s="16" t="str">
        <f>IF(AA490&lt;&gt;"",ROUND(AA490*SI!$C$9,0),"")</f>
        <v/>
      </c>
      <c r="AD490" s="4" t="str">
        <f>IF(AC490&lt;&gt;"",ROUND(AC490/(SI!$C$9*SI!$C$10),2),"")</f>
        <v/>
      </c>
      <c r="AE490" s="30" t="str">
        <f>IF(AND(X490&lt;&gt;""), ROUND((SI!$E$23)*(X490/SUM($X$5:$X$493)),0),"")</f>
        <v/>
      </c>
      <c r="AF490" s="272" t="str">
        <f t="shared" si="192"/>
        <v/>
      </c>
      <c r="AG490" s="28" t="str">
        <f t="shared" si="193"/>
        <v/>
      </c>
      <c r="AH490" s="4" t="str">
        <f>IF(AD490&lt;&gt;"",ROUND(AD490*10*SI!$C$9/2,0),"")</f>
        <v/>
      </c>
      <c r="AI490" s="29" t="str">
        <f>IF(AND(X490&lt;&gt;""), ROUND((SI!$E$28)*(X490/SUM($X$5:$X$493)),0),"")</f>
        <v/>
      </c>
      <c r="AJ490" s="4" t="str">
        <f t="shared" si="194"/>
        <v/>
      </c>
      <c r="AK490" s="4" t="str">
        <f t="shared" si="195"/>
        <v/>
      </c>
      <c r="AL490" s="4" t="str">
        <f t="shared" si="196"/>
        <v/>
      </c>
      <c r="AM490" s="4" t="str">
        <f t="shared" si="197"/>
        <v/>
      </c>
      <c r="AN490" s="195" t="str">
        <f t="shared" si="198"/>
        <v/>
      </c>
      <c r="AO490" s="261" t="str">
        <f>IF(AND(AM490&lt;&gt;"",P490&lt;&gt;""),ROUND((AM490*((100+SI!$C$11)/100)),0),"")</f>
        <v/>
      </c>
      <c r="AP490" s="28" t="str">
        <f>IF(AG490&lt;&gt;"",ROUND(AG490/SI!$C$9,2),"")</f>
        <v/>
      </c>
      <c r="AQ490" s="4" t="str">
        <f>IF(AH490&lt;&gt;"",ROUND(AH490/SI!$C$9,2),"")</f>
        <v/>
      </c>
      <c r="AR490" s="29" t="str">
        <f>IF(AI490&lt;&gt;"",ROUND(AI490/SI!$C$9,2),"")</f>
        <v/>
      </c>
      <c r="AS490" s="4" t="str">
        <f t="shared" si="199"/>
        <v/>
      </c>
      <c r="AT490" s="4" t="str">
        <f t="shared" si="200"/>
        <v/>
      </c>
      <c r="AU490" s="4" t="str">
        <f>IF(AL490&lt;&gt;"",ROUND(AL490/SI!$C$9,2),"")</f>
        <v/>
      </c>
      <c r="AV490" s="4" t="str">
        <f>IF(AM490&lt;&gt;"",ROUND(AM490/SI!$C$9,2),"")</f>
        <v/>
      </c>
      <c r="AW490" s="4" t="str">
        <f>IF(AN490&lt;&gt;"",ROUND(AN490/SI!$C$9,2),"")</f>
        <v/>
      </c>
      <c r="AX490" s="261" t="str">
        <f>IF(AO490&lt;&gt;"",ROUND(AO490/SI!$C$9,2),"")</f>
        <v/>
      </c>
      <c r="AY490" s="28" t="str">
        <f t="shared" si="201"/>
        <v/>
      </c>
      <c r="AZ490" s="4" t="str">
        <f>IF(AY490&lt;&gt;"",ROUND(AY490/(SI!$C$9*SI!$C$10),2),"")</f>
        <v/>
      </c>
      <c r="BA490" s="4" t="str">
        <f t="shared" si="202"/>
        <v/>
      </c>
      <c r="BB490" s="4" t="str">
        <f t="shared" si="203"/>
        <v/>
      </c>
      <c r="BC490" s="4" t="str">
        <f t="shared" si="204"/>
        <v/>
      </c>
      <c r="BD490" s="4" t="str">
        <f t="shared" si="205"/>
        <v/>
      </c>
      <c r="BE490" s="4" t="str">
        <f>IF(AND(X490&lt;&gt;""),ROUND(X490/SI!$C$10,2),"")</f>
        <v/>
      </c>
      <c r="BF490" s="4" t="str">
        <f t="shared" si="207"/>
        <v/>
      </c>
      <c r="BG490" s="264" t="str">
        <f t="shared" si="206"/>
        <v/>
      </c>
      <c r="BH490" s="71" t="str">
        <f>IF(F490&lt;&gt;"",VLOOKUP(F490,DUTY_2025!A:O,15,FALSE),"")</f>
        <v/>
      </c>
    </row>
    <row r="491" spans="1:60" x14ac:dyDescent="0.25">
      <c r="A491" s="133">
        <f t="shared" si="182"/>
        <v>66</v>
      </c>
      <c r="B491" s="83" t="str">
        <f t="shared" si="183"/>
        <v/>
      </c>
      <c r="C491" s="126"/>
      <c r="D491" s="130"/>
      <c r="E491" s="22"/>
      <c r="F491" s="85"/>
      <c r="G491" s="27" t="str">
        <f>IF(F491&lt;&gt;"",IFERROR(VLOOKUP(F491,DUTY_2025!A:I,6,FALSE),""),"")</f>
        <v/>
      </c>
      <c r="H491" s="85" t="s">
        <v>133</v>
      </c>
      <c r="I491" s="27" t="str">
        <f>IF(F491&lt;&gt;"",IFERROR(VLOOKUP(F491,DUTY_2025!A:H,2,FALSE),""),"")</f>
        <v/>
      </c>
      <c r="J491" s="98"/>
      <c r="K491" s="98"/>
      <c r="L491" s="22"/>
      <c r="M491" s="22"/>
      <c r="N491" s="84"/>
      <c r="O491" s="22"/>
      <c r="P491" s="116"/>
      <c r="Q491" s="23"/>
      <c r="R491" s="27"/>
      <c r="S491" s="86" t="str">
        <f t="shared" si="184"/>
        <v/>
      </c>
      <c r="T491" s="87" t="str">
        <f t="shared" si="185"/>
        <v/>
      </c>
      <c r="U491" s="87" t="str" cm="1">
        <f t="array" ref="U491">IF(AND(H491&lt;&gt;"YES",P491&lt;&gt;"",R491&lt;&gt;"",Q491&lt;&gt;""),
_xlfn.SWITCH(Q491,
"INR",_xlfn.SWITCH(R491,"KG",P491*S491,"CTN",P491,"UNIT",P491*N491,"NET",P491/M491,0),
"USD",_xlfn.SWITCH(R491,"KG",P491*S491*SI!$C$10,"CTN",P491*SI!$C$10,"UNIT",P491*N491*SI!$C$10,"NET",P491*SI!$C$10/M491,0),
"LKR",_xlfn.SWITCH(R491,"KG",P491*S491/SI!$C$9,"CTN",P491/SI!$C$9,"UNIT",P491*N491/SI!$C$9,"NET",P491/(M491*SI!$C$9),0),
0),
"")</f>
        <v/>
      </c>
      <c r="V491" s="87" t="str">
        <f t="shared" si="186"/>
        <v/>
      </c>
      <c r="W491" s="87" t="str">
        <f t="shared" si="187"/>
        <v/>
      </c>
      <c r="X491" s="88" t="str">
        <f t="shared" si="188"/>
        <v/>
      </c>
      <c r="Y491" s="24" t="str">
        <f t="shared" si="189"/>
        <v/>
      </c>
      <c r="Z491" s="267" t="str">
        <f>IF(AND(H491&lt;&gt;"yes",F491&lt;&gt;""),IFERROR(VLOOKUP(F491,DUTY_2025!A:F,5,FALSE),""),"")</f>
        <v/>
      </c>
      <c r="AA491" s="271" t="str">
        <f t="shared" si="190"/>
        <v/>
      </c>
      <c r="AB491" s="16" t="str">
        <f t="shared" si="191"/>
        <v/>
      </c>
      <c r="AC491" s="16" t="str">
        <f>IF(AA491&lt;&gt;"",ROUND(AA491*SI!$C$9,0),"")</f>
        <v/>
      </c>
      <c r="AD491" s="4" t="str">
        <f>IF(AC491&lt;&gt;"",ROUND(AC491/(SI!$C$9*SI!$C$10),2),"")</f>
        <v/>
      </c>
      <c r="AE491" s="30" t="str">
        <f>IF(AND(X491&lt;&gt;""), ROUND((SI!$E$23)*(X491/SUM($X$5:$X$493)),0),"")</f>
        <v/>
      </c>
      <c r="AF491" s="272" t="str">
        <f t="shared" si="192"/>
        <v/>
      </c>
      <c r="AG491" s="28" t="str">
        <f t="shared" si="193"/>
        <v/>
      </c>
      <c r="AH491" s="4" t="str">
        <f>IF(AD491&lt;&gt;"",ROUND(AD491*10*SI!$C$9/2,0),"")</f>
        <v/>
      </c>
      <c r="AI491" s="29" t="str">
        <f>IF(AND(X491&lt;&gt;""), ROUND((SI!$E$28)*(X491/SUM($X$5:$X$493)),0),"")</f>
        <v/>
      </c>
      <c r="AJ491" s="4" t="str">
        <f t="shared" si="194"/>
        <v/>
      </c>
      <c r="AK491" s="4" t="str">
        <f t="shared" si="195"/>
        <v/>
      </c>
      <c r="AL491" s="4" t="str">
        <f t="shared" si="196"/>
        <v/>
      </c>
      <c r="AM491" s="4" t="str">
        <f t="shared" si="197"/>
        <v/>
      </c>
      <c r="AN491" s="195" t="str">
        <f t="shared" si="198"/>
        <v/>
      </c>
      <c r="AO491" s="261" t="str">
        <f>IF(AND(AM491&lt;&gt;"",P491&lt;&gt;""),ROUND((AM491*((100+SI!$C$11)/100)),0),"")</f>
        <v/>
      </c>
      <c r="AP491" s="28" t="str">
        <f>IF(AG491&lt;&gt;"",ROUND(AG491/SI!$C$9,2),"")</f>
        <v/>
      </c>
      <c r="AQ491" s="4" t="str">
        <f>IF(AH491&lt;&gt;"",ROUND(AH491/SI!$C$9,2),"")</f>
        <v/>
      </c>
      <c r="AR491" s="29" t="str">
        <f>IF(AI491&lt;&gt;"",ROUND(AI491/SI!$C$9,2),"")</f>
        <v/>
      </c>
      <c r="AS491" s="4" t="str">
        <f t="shared" si="199"/>
        <v/>
      </c>
      <c r="AT491" s="4" t="str">
        <f t="shared" si="200"/>
        <v/>
      </c>
      <c r="AU491" s="4" t="str">
        <f>IF(AL491&lt;&gt;"",ROUND(AL491/SI!$C$9,2),"")</f>
        <v/>
      </c>
      <c r="AV491" s="4" t="str">
        <f>IF(AM491&lt;&gt;"",ROUND(AM491/SI!$C$9,2),"")</f>
        <v/>
      </c>
      <c r="AW491" s="4" t="str">
        <f>IF(AN491&lt;&gt;"",ROUND(AN491/SI!$C$9,2),"")</f>
        <v/>
      </c>
      <c r="AX491" s="261" t="str">
        <f>IF(AO491&lt;&gt;"",ROUND(AO491/SI!$C$9,2),"")</f>
        <v/>
      </c>
      <c r="AY491" s="28" t="str">
        <f t="shared" si="201"/>
        <v/>
      </c>
      <c r="AZ491" s="4" t="str">
        <f>IF(AY491&lt;&gt;"",ROUND(AY491/(SI!$C$9*SI!$C$10),2),"")</f>
        <v/>
      </c>
      <c r="BA491" s="4" t="str">
        <f t="shared" si="202"/>
        <v/>
      </c>
      <c r="BB491" s="4" t="str">
        <f t="shared" si="203"/>
        <v/>
      </c>
      <c r="BC491" s="4" t="str">
        <f t="shared" si="204"/>
        <v/>
      </c>
      <c r="BD491" s="4" t="str">
        <f t="shared" si="205"/>
        <v/>
      </c>
      <c r="BE491" s="4" t="str">
        <f>IF(AND(X491&lt;&gt;""),ROUND(X491/SI!$C$10,2),"")</f>
        <v/>
      </c>
      <c r="BF491" s="4" t="str">
        <f t="shared" si="207"/>
        <v/>
      </c>
      <c r="BG491" s="264" t="str">
        <f t="shared" si="206"/>
        <v/>
      </c>
      <c r="BH491" s="71" t="str">
        <f>IF(F491&lt;&gt;"",VLOOKUP(F491,DUTY_2025!A:O,15,FALSE),"")</f>
        <v/>
      </c>
    </row>
    <row r="492" spans="1:60" x14ac:dyDescent="0.25">
      <c r="A492" s="133">
        <f t="shared" si="182"/>
        <v>66</v>
      </c>
      <c r="B492" s="83" t="str">
        <f t="shared" si="183"/>
        <v/>
      </c>
      <c r="C492" s="126"/>
      <c r="D492" s="130"/>
      <c r="E492" s="22"/>
      <c r="F492" s="85"/>
      <c r="G492" s="27" t="str">
        <f>IF(F492&lt;&gt;"",IFERROR(VLOOKUP(F492,DUTY_2025!A:I,6,FALSE),""),"")</f>
        <v/>
      </c>
      <c r="H492" s="85" t="s">
        <v>133</v>
      </c>
      <c r="I492" s="27" t="str">
        <f>IF(F492&lt;&gt;"",IFERROR(VLOOKUP(F492,DUTY_2025!A:H,2,FALSE),""),"")</f>
        <v/>
      </c>
      <c r="J492" s="98"/>
      <c r="K492" s="98"/>
      <c r="L492" s="22"/>
      <c r="M492" s="22"/>
      <c r="N492" s="84"/>
      <c r="O492" s="22"/>
      <c r="P492" s="116"/>
      <c r="Q492" s="23"/>
      <c r="R492" s="27"/>
      <c r="S492" s="86" t="str">
        <f t="shared" si="184"/>
        <v/>
      </c>
      <c r="T492" s="87" t="str">
        <f t="shared" si="185"/>
        <v/>
      </c>
      <c r="U492" s="87" t="str" cm="1">
        <f t="array" ref="U492">IF(AND(H492&lt;&gt;"YES",P492&lt;&gt;"",R492&lt;&gt;"",Q492&lt;&gt;""),
_xlfn.SWITCH(Q492,
"INR",_xlfn.SWITCH(R492,"KG",P492*S492,"CTN",P492,"UNIT",P492*N492,"NET",P492/M492,0),
"USD",_xlfn.SWITCH(R492,"KG",P492*S492*SI!$C$10,"CTN",P492*SI!$C$10,"UNIT",P492*N492*SI!$C$10,"NET",P492*SI!$C$10/M492,0),
"LKR",_xlfn.SWITCH(R492,"KG",P492*S492/SI!$C$9,"CTN",P492/SI!$C$9,"UNIT",P492*N492/SI!$C$9,"NET",P492/(M492*SI!$C$9),0),
0),
"")</f>
        <v/>
      </c>
      <c r="V492" s="87" t="str">
        <f t="shared" si="186"/>
        <v/>
      </c>
      <c r="W492" s="87" t="str">
        <f t="shared" si="187"/>
        <v/>
      </c>
      <c r="X492" s="88" t="str">
        <f t="shared" si="188"/>
        <v/>
      </c>
      <c r="Y492" s="24" t="str">
        <f t="shared" si="189"/>
        <v/>
      </c>
      <c r="Z492" s="267" t="str">
        <f>IF(AND(H492&lt;&gt;"yes",F492&lt;&gt;""),IFERROR(VLOOKUP(F492,DUTY_2025!A:F,5,FALSE),""),"")</f>
        <v/>
      </c>
      <c r="AA492" s="271" t="str">
        <f t="shared" si="190"/>
        <v/>
      </c>
      <c r="AB492" s="16" t="str">
        <f t="shared" si="191"/>
        <v/>
      </c>
      <c r="AC492" s="16" t="str">
        <f>IF(AA492&lt;&gt;"",ROUND(AA492*SI!$C$9,0),"")</f>
        <v/>
      </c>
      <c r="AD492" s="4" t="str">
        <f>IF(AC492&lt;&gt;"",ROUND(AC492/(SI!$C$9*SI!$C$10),2),"")</f>
        <v/>
      </c>
      <c r="AE492" s="30" t="str">
        <f>IF(AND(X492&lt;&gt;""), ROUND((SI!$E$23)*(X492/SUM($X$5:$X$493)),0),"")</f>
        <v/>
      </c>
      <c r="AF492" s="272" t="str">
        <f t="shared" si="192"/>
        <v/>
      </c>
      <c r="AG492" s="28" t="str">
        <f t="shared" si="193"/>
        <v/>
      </c>
      <c r="AH492" s="4" t="str">
        <f>IF(AD492&lt;&gt;"",ROUND(AD492*10*SI!$C$9/2,0),"")</f>
        <v/>
      </c>
      <c r="AI492" s="29" t="str">
        <f>IF(AND(X492&lt;&gt;""), ROUND((SI!$E$28)*(X492/SUM($X$5:$X$493)),0),"")</f>
        <v/>
      </c>
      <c r="AJ492" s="4" t="str">
        <f t="shared" si="194"/>
        <v/>
      </c>
      <c r="AK492" s="4" t="str">
        <f t="shared" si="195"/>
        <v/>
      </c>
      <c r="AL492" s="4" t="str">
        <f t="shared" si="196"/>
        <v/>
      </c>
      <c r="AM492" s="4" t="str">
        <f t="shared" si="197"/>
        <v/>
      </c>
      <c r="AN492" s="195" t="str">
        <f t="shared" si="198"/>
        <v/>
      </c>
      <c r="AO492" s="261" t="str">
        <f>IF(AND(AM492&lt;&gt;"",P492&lt;&gt;""),ROUND((AM492*((100+SI!$C$11)/100)),0),"")</f>
        <v/>
      </c>
      <c r="AP492" s="28" t="str">
        <f>IF(AG492&lt;&gt;"",ROUND(AG492/SI!$C$9,2),"")</f>
        <v/>
      </c>
      <c r="AQ492" s="4" t="str">
        <f>IF(AH492&lt;&gt;"",ROUND(AH492/SI!$C$9,2),"")</f>
        <v/>
      </c>
      <c r="AR492" s="29" t="str">
        <f>IF(AI492&lt;&gt;"",ROUND(AI492/SI!$C$9,2),"")</f>
        <v/>
      </c>
      <c r="AS492" s="4" t="str">
        <f t="shared" si="199"/>
        <v/>
      </c>
      <c r="AT492" s="4" t="str">
        <f t="shared" si="200"/>
        <v/>
      </c>
      <c r="AU492" s="4" t="str">
        <f>IF(AL492&lt;&gt;"",ROUND(AL492/SI!$C$9,2),"")</f>
        <v/>
      </c>
      <c r="AV492" s="4" t="str">
        <f>IF(AM492&lt;&gt;"",ROUND(AM492/SI!$C$9,2),"")</f>
        <v/>
      </c>
      <c r="AW492" s="4" t="str">
        <f>IF(AN492&lt;&gt;"",ROUND(AN492/SI!$C$9,2),"")</f>
        <v/>
      </c>
      <c r="AX492" s="261" t="str">
        <f>IF(AO492&lt;&gt;"",ROUND(AO492/SI!$C$9,2),"")</f>
        <v/>
      </c>
      <c r="AY492" s="28" t="str">
        <f t="shared" si="201"/>
        <v/>
      </c>
      <c r="AZ492" s="4" t="str">
        <f>IF(AY492&lt;&gt;"",ROUND(AY492/(SI!$C$9*SI!$C$10),2),"")</f>
        <v/>
      </c>
      <c r="BA492" s="4" t="str">
        <f t="shared" si="202"/>
        <v/>
      </c>
      <c r="BB492" s="4" t="str">
        <f t="shared" si="203"/>
        <v/>
      </c>
      <c r="BC492" s="4" t="str">
        <f t="shared" si="204"/>
        <v/>
      </c>
      <c r="BD492" s="4" t="str">
        <f t="shared" si="205"/>
        <v/>
      </c>
      <c r="BE492" s="4" t="str">
        <f>IF(AND(X492&lt;&gt;""),ROUND(X492/SI!$C$10,2),"")</f>
        <v/>
      </c>
      <c r="BF492" s="4" t="str">
        <f t="shared" si="207"/>
        <v/>
      </c>
      <c r="BG492" s="264" t="str">
        <f t="shared" si="206"/>
        <v/>
      </c>
      <c r="BH492" s="71" t="str">
        <f>IF(F492&lt;&gt;"",VLOOKUP(F492,DUTY_2025!A:O,15,FALSE),"")</f>
        <v/>
      </c>
    </row>
    <row r="493" spans="1:60" x14ac:dyDescent="0.25">
      <c r="A493" s="133">
        <f t="shared" si="182"/>
        <v>66</v>
      </c>
      <c r="B493" s="83" t="str">
        <f t="shared" si="183"/>
        <v/>
      </c>
      <c r="C493" s="126"/>
      <c r="D493" s="130"/>
      <c r="E493" s="22"/>
      <c r="F493" s="85"/>
      <c r="G493" s="27" t="str">
        <f>IF(F493&lt;&gt;"",IFERROR(VLOOKUP(F493,DUTY_2025!A:I,6,FALSE),""),"")</f>
        <v/>
      </c>
      <c r="H493" s="85" t="s">
        <v>133</v>
      </c>
      <c r="I493" s="27" t="str">
        <f>IF(F493&lt;&gt;"",IFERROR(VLOOKUP(F493,DUTY_2025!A:H,2,FALSE),""),"")</f>
        <v/>
      </c>
      <c r="J493" s="98"/>
      <c r="K493" s="98"/>
      <c r="L493" s="22"/>
      <c r="M493" s="22"/>
      <c r="N493" s="84"/>
      <c r="O493" s="22"/>
      <c r="P493" s="116"/>
      <c r="Q493" s="23"/>
      <c r="R493" s="27"/>
      <c r="S493" s="86" t="str">
        <f t="shared" si="184"/>
        <v/>
      </c>
      <c r="T493" s="87" t="str">
        <f t="shared" si="185"/>
        <v/>
      </c>
      <c r="U493" s="87" t="str" cm="1">
        <f t="array" ref="U493">IF(AND(H493&lt;&gt;"YES",P493&lt;&gt;"",R493&lt;&gt;"",Q493&lt;&gt;""),
_xlfn.SWITCH(Q493,
"INR",_xlfn.SWITCH(R493,"KG",P493*S493,"CTN",P493,"UNIT",P493*N493,"NET",P493/M493,0),
"USD",_xlfn.SWITCH(R493,"KG",P493*S493*SI!$C$10,"CTN",P493*SI!$C$10,"UNIT",P493*N493*SI!$C$10,"NET",P493*SI!$C$10/M493,0),
"LKR",_xlfn.SWITCH(R493,"KG",P493*S493/SI!$C$9,"CTN",P493/SI!$C$9,"UNIT",P493*N493/SI!$C$9,"NET",P493/(M493*SI!$C$9),0),
0),
"")</f>
        <v/>
      </c>
      <c r="V493" s="87" t="str">
        <f t="shared" si="186"/>
        <v/>
      </c>
      <c r="W493" s="87" t="str">
        <f t="shared" si="187"/>
        <v/>
      </c>
      <c r="X493" s="88" t="str">
        <f t="shared" si="188"/>
        <v/>
      </c>
      <c r="Y493" s="24" t="str">
        <f t="shared" si="189"/>
        <v/>
      </c>
      <c r="Z493" s="267" t="str">
        <f>IF(AND(H493&lt;&gt;"yes",F493&lt;&gt;""),IFERROR(VLOOKUP(F493,DUTY_2025!A:F,5,FALSE),""),"")</f>
        <v/>
      </c>
      <c r="AA493" s="271" t="str">
        <f t="shared" si="190"/>
        <v/>
      </c>
      <c r="AB493" s="16" t="str">
        <f t="shared" si="191"/>
        <v/>
      </c>
      <c r="AC493" s="16" t="str">
        <f>IF(AA493&lt;&gt;"",ROUND(AA493*SI!$C$9,0),"")</f>
        <v/>
      </c>
      <c r="AD493" s="4" t="str">
        <f>IF(AC493&lt;&gt;"",ROUND(AC493/(SI!$C$9*SI!$C$10),2),"")</f>
        <v/>
      </c>
      <c r="AE493" s="30" t="str">
        <f>IF(AND(X493&lt;&gt;""), ROUND((SI!$E$23)*(X493/SUM($X$5:$X$493)),0),"")</f>
        <v/>
      </c>
      <c r="AF493" s="272" t="str">
        <f t="shared" si="192"/>
        <v/>
      </c>
      <c r="AG493" s="28" t="str">
        <f t="shared" si="193"/>
        <v/>
      </c>
      <c r="AH493" s="4" t="str">
        <f>IF(AD493&lt;&gt;"",ROUND(AD493*10*SI!$C$9/2,0),"")</f>
        <v/>
      </c>
      <c r="AI493" s="29" t="str">
        <f>IF(AND(X493&lt;&gt;""), ROUND((SI!$E$28)*(X493/SUM($X$5:$X$493)),0),"")</f>
        <v/>
      </c>
      <c r="AJ493" s="4" t="str">
        <f t="shared" si="194"/>
        <v/>
      </c>
      <c r="AK493" s="4" t="str">
        <f t="shared" si="195"/>
        <v/>
      </c>
      <c r="AL493" s="4" t="str">
        <f t="shared" si="196"/>
        <v/>
      </c>
      <c r="AM493" s="4" t="str">
        <f t="shared" si="197"/>
        <v/>
      </c>
      <c r="AN493" s="195" t="str">
        <f t="shared" si="198"/>
        <v/>
      </c>
      <c r="AO493" s="261" t="str">
        <f>IF(AND(AM493&lt;&gt;"",P493&lt;&gt;""),ROUND((AM493*((100+SI!$C$11)/100)),0),"")</f>
        <v/>
      </c>
      <c r="AP493" s="28" t="str">
        <f>IF(AG493&lt;&gt;"",ROUND(AG493/SI!$C$9,2),"")</f>
        <v/>
      </c>
      <c r="AQ493" s="4" t="str">
        <f>IF(AH493&lt;&gt;"",ROUND(AH493/SI!$C$9,2),"")</f>
        <v/>
      </c>
      <c r="AR493" s="29" t="str">
        <f>IF(AI493&lt;&gt;"",ROUND(AI493/SI!$C$9,2),"")</f>
        <v/>
      </c>
      <c r="AS493" s="4" t="str">
        <f t="shared" si="199"/>
        <v/>
      </c>
      <c r="AT493" s="4" t="str">
        <f t="shared" si="200"/>
        <v/>
      </c>
      <c r="AU493" s="4" t="str">
        <f>IF(AL493&lt;&gt;"",ROUND(AL493/SI!$C$9,2),"")</f>
        <v/>
      </c>
      <c r="AV493" s="4" t="str">
        <f>IF(AM493&lt;&gt;"",ROUND(AM493/SI!$C$9,2),"")</f>
        <v/>
      </c>
      <c r="AW493" s="4" t="str">
        <f>IF(AN493&lt;&gt;"",ROUND(AN493/SI!$C$9,2),"")</f>
        <v/>
      </c>
      <c r="AX493" s="261" t="str">
        <f>IF(AO493&lt;&gt;"",ROUND(AO493/SI!$C$9,2),"")</f>
        <v/>
      </c>
      <c r="AY493" s="28" t="str">
        <f t="shared" si="201"/>
        <v/>
      </c>
      <c r="AZ493" s="4" t="str">
        <f>IF(AY493&lt;&gt;"",ROUND(AY493/(SI!$C$9*SI!$C$10),2),"")</f>
        <v/>
      </c>
      <c r="BA493" s="4" t="str">
        <f t="shared" si="202"/>
        <v/>
      </c>
      <c r="BB493" s="4" t="str">
        <f t="shared" si="203"/>
        <v/>
      </c>
      <c r="BC493" s="4" t="str">
        <f t="shared" si="204"/>
        <v/>
      </c>
      <c r="BD493" s="4" t="str">
        <f t="shared" si="205"/>
        <v/>
      </c>
      <c r="BE493" s="4" t="str">
        <f>IF(AND(X493&lt;&gt;""),ROUND(X493/SI!$C$10,2),"")</f>
        <v/>
      </c>
      <c r="BF493" s="4" t="str">
        <f t="shared" si="207"/>
        <v/>
      </c>
      <c r="BG493" s="264" t="str">
        <f t="shared" si="206"/>
        <v/>
      </c>
      <c r="BH493" s="71" t="str">
        <f>IF(F493&lt;&gt;"",VLOOKUP(F493,DUTY_2025!A:O,15,FALSE),"")</f>
        <v/>
      </c>
    </row>
  </sheetData>
  <protectedRanges>
    <protectedRange sqref="M176:M178 M152 M154 M122" name="Range1_2_3_1_1_1_1"/>
    <protectedRange sqref="M18:M19 M86:M89 M115:M117 M104:M111 M70:M84 M24 M36 M50:M68 N12" name="Range1_2_3_1_1_1_1_3"/>
    <protectedRange sqref="M69" name="Range1_2_3_1_1_1_1_1"/>
  </protectedRanges>
  <autoFilter ref="B3:Y3" xr:uid="{1CF4EBFE-86F8-46A4-A9FB-6D2D7FEB612B}"/>
  <mergeCells count="4">
    <mergeCell ref="AG2:AO2"/>
    <mergeCell ref="AP2:AX2"/>
    <mergeCell ref="B1:J2"/>
    <mergeCell ref="AY2:BG2"/>
  </mergeCells>
  <conditionalFormatting sqref="G4:G493">
    <cfRule type="containsText" dxfId="15" priority="1" operator="containsText" text="S">
      <formula>NOT(ISERROR(SEARCH("S",G4)))</formula>
    </cfRule>
    <cfRule type="containsText" dxfId="14" priority="2" operator="containsText" text="L">
      <formula>NOT(ISERROR(SEARCH("L",G4)))</formula>
    </cfRule>
  </conditionalFormatting>
  <conditionalFormatting sqref="H4:H1048576">
    <cfRule type="containsText" dxfId="13" priority="3" operator="containsText" text="YES">
      <formula>NOT(ISERROR(SEARCH("YES",H4)))</formula>
    </cfRule>
  </conditionalFormatting>
  <dataValidations count="4">
    <dataValidation type="list" allowBlank="1" showInputMessage="1" showErrorMessage="1" sqref="Q4:Q493" xr:uid="{FA5574AF-B133-4ECF-84F6-138BE8788D7D}">
      <formula1>"USD, INR, LKR"</formula1>
    </dataValidation>
    <dataValidation type="list" allowBlank="1" showInputMessage="1" showErrorMessage="1" sqref="R4:R493" xr:uid="{16D0F74E-0D5B-4A73-A05F-DF07E8361C55}">
      <formula1>"KG, CTN, UNIT, LIT, NET"</formula1>
    </dataValidation>
    <dataValidation type="list" allowBlank="1" showInputMessage="1" showErrorMessage="1" sqref="H4:H493" xr:uid="{C3CE9E57-629A-4269-9612-08ED139C05B1}">
      <formula1>"YES, NO"</formula1>
    </dataValidation>
    <dataValidation type="list" allowBlank="1" showInputMessage="1" showErrorMessage="1" sqref="C4:D4" xr:uid="{01481F7D-E03F-445F-8D5F-C45CB60B996A}">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8356E8D-9891-4E3A-B40F-654D931A5ED0}">
          <x14:formula1>
            <xm:f>SI!$Q$5:$Q$11</xm:f>
          </x14:formula1>
          <xm:sqref>C5:C493</xm:sqref>
        </x14:dataValidation>
        <x14:dataValidation type="list" allowBlank="1" showInputMessage="1" showErrorMessage="1" xr:uid="{3D61EC54-36D9-45F4-8D32-F38F69BF36D0}">
          <x14:formula1>
            <xm:f>SI!$R$5:$R$25</xm:f>
          </x14:formula1>
          <xm:sqref>D5:D493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AFCA4-B088-47D1-A43D-31069236B5F4}">
  <sheetPr>
    <pageSetUpPr fitToPage="1"/>
  </sheetPr>
  <dimension ref="A1:Y506"/>
  <sheetViews>
    <sheetView tabSelected="1" zoomScale="85" zoomScaleNormal="85" workbookViewId="0">
      <pane ySplit="3" topLeftCell="A43" activePane="bottomLeft" state="frozen"/>
      <selection pane="bottomLeft" activeCell="L71" sqref="L71"/>
    </sheetView>
  </sheetViews>
  <sheetFormatPr defaultColWidth="9.140625" defaultRowHeight="15" x14ac:dyDescent="0.25"/>
  <cols>
    <col min="1" max="1" width="3.7109375" style="197" customWidth="1"/>
    <col min="2" max="3" width="8.7109375" style="5" customWidth="1"/>
    <col min="4" max="4" width="6.140625" style="14" customWidth="1"/>
    <col min="5" max="6" width="14.7109375" style="15" customWidth="1"/>
    <col min="7" max="7" width="64.28515625" style="124" bestFit="1" customWidth="1"/>
    <col min="8" max="8" width="10.28515625" style="13" customWidth="1"/>
    <col min="9" max="10" width="10.28515625" style="1" customWidth="1"/>
    <col min="11" max="11" width="10.42578125" style="1" customWidth="1"/>
    <col min="12" max="14" width="10.42578125" style="17" customWidth="1"/>
    <col min="15" max="19" width="10.42578125" style="1" customWidth="1"/>
    <col min="20" max="16384" width="9.140625" style="1"/>
  </cols>
  <sheetData>
    <row r="1" spans="1:19" s="14" customFormat="1" x14ac:dyDescent="0.25">
      <c r="A1" s="196"/>
      <c r="D1" s="427" t="s">
        <v>264</v>
      </c>
      <c r="E1" s="427"/>
      <c r="G1" s="13">
        <v>1</v>
      </c>
      <c r="H1" s="13"/>
    </row>
    <row r="2" spans="1:19" ht="15" customHeight="1" x14ac:dyDescent="0.25">
      <c r="B2" s="200"/>
      <c r="C2" s="200"/>
      <c r="D2" s="428" t="s">
        <v>57</v>
      </c>
      <c r="E2" s="428"/>
      <c r="F2" s="428"/>
      <c r="G2" s="428"/>
      <c r="H2" s="428"/>
      <c r="I2" s="428"/>
      <c r="J2" s="428"/>
      <c r="K2" s="200" t="s">
        <v>103</v>
      </c>
      <c r="L2" s="200"/>
      <c r="M2" s="200"/>
      <c r="N2" s="200"/>
      <c r="O2" s="8"/>
      <c r="P2" s="8"/>
      <c r="Q2" s="8"/>
      <c r="R2" s="8"/>
      <c r="S2" s="8"/>
    </row>
    <row r="3" spans="1:19" s="2" customFormat="1" ht="60" x14ac:dyDescent="0.25">
      <c r="A3" s="198"/>
      <c r="B3" s="31" t="s">
        <v>6</v>
      </c>
      <c r="C3" s="31" t="s">
        <v>81</v>
      </c>
      <c r="D3" s="3" t="s">
        <v>21</v>
      </c>
      <c r="E3" s="74" t="s">
        <v>16</v>
      </c>
      <c r="F3" s="74" t="s">
        <v>490</v>
      </c>
      <c r="G3" s="3" t="s">
        <v>0</v>
      </c>
      <c r="H3" s="3" t="s">
        <v>13</v>
      </c>
      <c r="I3" s="3" t="s">
        <v>18</v>
      </c>
      <c r="J3" s="3" t="s">
        <v>12</v>
      </c>
      <c r="K3" s="201" t="s">
        <v>83</v>
      </c>
      <c r="L3" s="31" t="s">
        <v>82</v>
      </c>
      <c r="M3" s="31" t="s">
        <v>275</v>
      </c>
      <c r="N3" s="31" t="s">
        <v>276</v>
      </c>
      <c r="O3" s="3" t="s">
        <v>271</v>
      </c>
      <c r="P3" s="3" t="s">
        <v>82</v>
      </c>
      <c r="Q3" s="3" t="s">
        <v>272</v>
      </c>
      <c r="R3" s="3" t="s">
        <v>273</v>
      </c>
      <c r="S3" s="3" t="s">
        <v>274</v>
      </c>
    </row>
    <row r="4" spans="1:19" s="79" customFormat="1" x14ac:dyDescent="0.25">
      <c r="A4" s="197">
        <v>0</v>
      </c>
      <c r="B4" s="76" t="str">
        <f>IF(AND(L4&lt;&gt;"",F4&lt;&gt;""),ROUND((((L4-F4)*100)/F4),2),"")</f>
        <v/>
      </c>
      <c r="C4" s="77" t="str">
        <f>IF(G4&lt;&gt;"",IFERROR(ROUND(VLOOKUP(G4,ProductList!J:AO,31,FALSE),0),""),"")</f>
        <v/>
      </c>
      <c r="D4" s="78"/>
      <c r="E4" s="78"/>
      <c r="F4" s="78"/>
      <c r="G4" s="121"/>
      <c r="H4" s="103"/>
      <c r="I4" s="78" t="str">
        <f>IF(ProductList!L4&lt;&gt;"",ProductList!L4,"")</f>
        <v/>
      </c>
      <c r="J4" s="78"/>
      <c r="K4" s="202"/>
      <c r="L4" s="75" t="str">
        <f>IF(AND(J4&lt;&gt;"",K4&lt;&gt;""),K4*J4,"")</f>
        <v/>
      </c>
      <c r="M4" s="75"/>
      <c r="N4" s="75"/>
      <c r="O4" s="203"/>
      <c r="P4" s="203"/>
      <c r="Q4" s="203"/>
      <c r="R4" s="203"/>
      <c r="S4" s="203"/>
    </row>
    <row r="5" spans="1:19" x14ac:dyDescent="0.25">
      <c r="A5" s="197">
        <f t="shared" ref="A5:A68" si="0">IF(AND(E5&lt;&gt;""),IF(A4&lt;&gt;"",A4,0)+1,A4)</f>
        <v>1</v>
      </c>
      <c r="B5" s="76">
        <f>IF(AND(L5&lt;&gt;"",F5&lt;&gt;""),ROUND((((L5-F5)*100)/F5),2),"")</f>
        <v>19.350000000000001</v>
      </c>
      <c r="C5" s="77">
        <f>IF(G5&lt;&gt;"",IFERROR(ROUND(VLOOKUP(G5,ProductList!J:AO,32,FALSE),0),""),"")</f>
        <v>434</v>
      </c>
      <c r="D5" s="73">
        <f>IF(E5&lt;&gt;"",IF(D4&lt;&gt;"",D4,A4)+1,"")</f>
        <v>1</v>
      </c>
      <c r="E5" s="73" t="str" cm="1">
        <f t="array" ref="E5:J70">IFERROR(
  _xlfn.SORTBY(
    _xlfn.CHOOSECOLS(
      _xlfn._xlws.FILTER(ProductList!B5:AO493, (ProductList!H5:H493="NO")*(ProductList!B5:B493&lt;&gt;"")*(ProductList!C5:C493=$G$1), ""),
      5,39,9,11,12,24
    ),
    INDEX(
      _xlfn.CHOOSECOLS(
        _xlfn._xlws.FILTER(ProductList!B5:AO493, (ProductList!H5:H493="NO")*(ProductList!B5:B493&lt;&gt;"")*(ProductList!C5:C493=$G$1), ""),
        1
      ),
      ,
    ),
    1
  ),
  ""
)</f>
        <v>09042190</v>
      </c>
      <c r="F5" s="73">
        <v>37704</v>
      </c>
      <c r="G5" s="122" t="str">
        <v>SPECIAL CHILLI POWDER - 200 G</v>
      </c>
      <c r="H5" s="104">
        <v>200</v>
      </c>
      <c r="I5" s="73">
        <v>2</v>
      </c>
      <c r="J5" s="73">
        <v>100</v>
      </c>
      <c r="K5" s="6">
        <v>450</v>
      </c>
      <c r="L5" s="75">
        <f>IF(AND(J5&lt;&gt;"",K5&lt;&gt;""),K5*J5,"")</f>
        <v>45000</v>
      </c>
      <c r="M5" s="75"/>
      <c r="N5" s="75" t="str">
        <f>IF(AND(M5&lt;&gt;"",J5&lt;&gt;""),M5*J5,"")</f>
        <v/>
      </c>
      <c r="O5" s="204">
        <f t="shared" ref="O5:O68" si="1">IF(AND(K5&lt;&gt;"",M5&lt;&gt;""),K5-M5,IF(K5&lt;&gt;"",K5,""))</f>
        <v>450</v>
      </c>
      <c r="P5" s="199">
        <f>IF(AND(O5&lt;&gt;"",J5&lt;&gt;""),O5*J5,"")</f>
        <v>45000</v>
      </c>
      <c r="Q5" s="4"/>
      <c r="R5" s="199" t="str">
        <f>IF(AND(Q5&lt;&gt;"",O5&lt;&gt;""),Q5*O5,"")</f>
        <v/>
      </c>
      <c r="S5" s="199">
        <f>IF(R5&lt;&gt;"",P5-R5,P5)</f>
        <v>45000</v>
      </c>
    </row>
    <row r="6" spans="1:19" x14ac:dyDescent="0.25">
      <c r="A6" s="197">
        <f t="shared" si="0"/>
        <v>2</v>
      </c>
      <c r="B6" s="76">
        <f t="shared" ref="B6:B69" si="2">IF(AND(L6&lt;&gt;"",F6&lt;&gt;""),ROUND((((L6-F6)*100)/F6),2),"")</f>
        <v>16.71</v>
      </c>
      <c r="C6" s="77">
        <f>IF(G6&lt;&gt;"",IFERROR(ROUND(VLOOKUP(G6,ProductList!J:AO,32,FALSE),0),""),"")</f>
        <v>1084</v>
      </c>
      <c r="D6" s="73">
        <f>IF(E6&lt;&gt;"",IF(D5&lt;&gt;"",D5,#REF!)+1,"")</f>
        <v>2</v>
      </c>
      <c r="E6" s="73" t="str">
        <v>09042190</v>
      </c>
      <c r="F6" s="73">
        <v>1130990</v>
      </c>
      <c r="G6" s="122" t="str">
        <v>SPECIAL CHILLI POWDER - 500 G</v>
      </c>
      <c r="H6" s="104">
        <v>500</v>
      </c>
      <c r="I6" s="73">
        <v>30</v>
      </c>
      <c r="J6" s="73">
        <v>1200</v>
      </c>
      <c r="K6" s="6">
        <v>1100</v>
      </c>
      <c r="L6" s="75">
        <f t="shared" ref="L6:L69" si="3">IF(AND(J6&lt;&gt;"",K6&lt;&gt;""),K6*J6,"")</f>
        <v>1320000</v>
      </c>
      <c r="M6" s="75"/>
      <c r="N6" s="75" t="str">
        <f t="shared" ref="N6:N69" si="4">IF(AND(M6&lt;&gt;"",J6&lt;&gt;""),M6*J6,"")</f>
        <v/>
      </c>
      <c r="O6" s="204">
        <f t="shared" si="1"/>
        <v>1100</v>
      </c>
      <c r="P6" s="199">
        <f t="shared" ref="P6:P69" si="5">IF(AND(O6&lt;&gt;"",J6&lt;&gt;""),O6*J6,"")</f>
        <v>1320000</v>
      </c>
      <c r="Q6" s="4"/>
      <c r="R6" s="199" t="str">
        <f t="shared" ref="R6:R69" si="6">IF(AND(Q6&lt;&gt;"",O6&lt;&gt;""),Q6*O6,"")</f>
        <v/>
      </c>
      <c r="S6" s="199">
        <f>IF(R6&lt;&gt;"",P6-R6,P6)</f>
        <v>1320000</v>
      </c>
    </row>
    <row r="7" spans="1:19" x14ac:dyDescent="0.25">
      <c r="A7" s="197">
        <f t="shared" si="0"/>
        <v>3</v>
      </c>
      <c r="B7" s="76">
        <f t="shared" si="2"/>
        <v>17.39</v>
      </c>
      <c r="C7" s="77">
        <f>IF(G7&lt;&gt;"",IFERROR(ROUND(VLOOKUP(G7,ProductList!J:AO,32,FALSE),0),""),"")</f>
        <v>225</v>
      </c>
      <c r="D7" s="73">
        <f>IF(E7&lt;&gt;"",IF(D6&lt;&gt;"",D6,#REF!)+1,"")</f>
        <v>3</v>
      </c>
      <c r="E7" s="73" t="str">
        <v>11029020</v>
      </c>
      <c r="F7" s="73">
        <v>39185</v>
      </c>
      <c r="G7" s="122" t="str">
        <v>RAGI FLOUR 500 G</v>
      </c>
      <c r="H7" s="104">
        <v>500</v>
      </c>
      <c r="I7" s="73">
        <v>10</v>
      </c>
      <c r="J7" s="73">
        <v>200</v>
      </c>
      <c r="K7" s="6">
        <v>230</v>
      </c>
      <c r="L7" s="75">
        <f t="shared" si="3"/>
        <v>46000</v>
      </c>
      <c r="M7" s="75"/>
      <c r="N7" s="75" t="str">
        <f t="shared" si="4"/>
        <v/>
      </c>
      <c r="O7" s="204">
        <f t="shared" si="1"/>
        <v>230</v>
      </c>
      <c r="P7" s="199">
        <f t="shared" si="5"/>
        <v>46000</v>
      </c>
      <c r="Q7" s="4"/>
      <c r="R7" s="199" t="str">
        <f t="shared" si="6"/>
        <v/>
      </c>
      <c r="S7" s="199">
        <f>IF(R7&lt;&gt;"",P7-R7,P7)</f>
        <v>46000</v>
      </c>
    </row>
    <row r="8" spans="1:19" x14ac:dyDescent="0.25">
      <c r="A8" s="197">
        <f t="shared" si="0"/>
        <v>4</v>
      </c>
      <c r="B8" s="76">
        <f t="shared" si="2"/>
        <v>16.66</v>
      </c>
      <c r="C8" s="77">
        <f>IF(G8&lt;&gt;"",IFERROR(ROUND(VLOOKUP(G8,ProductList!J:AO,32,FALSE),0),""),"")</f>
        <v>592</v>
      </c>
      <c r="D8" s="73">
        <f>IF(E8&lt;&gt;"",IF(D7&lt;&gt;"",D7,#REF!)+1,"")</f>
        <v>4</v>
      </c>
      <c r="E8" s="73" t="str">
        <v>09092200</v>
      </c>
      <c r="F8" s="73">
        <v>205728</v>
      </c>
      <c r="G8" s="122" t="str">
        <v xml:space="preserve">DANIYA POWDER - 500 G </v>
      </c>
      <c r="H8" s="104">
        <v>500</v>
      </c>
      <c r="I8" s="73">
        <v>10</v>
      </c>
      <c r="J8" s="73">
        <v>400</v>
      </c>
      <c r="K8" s="6">
        <v>600</v>
      </c>
      <c r="L8" s="75">
        <f t="shared" si="3"/>
        <v>240000</v>
      </c>
      <c r="M8" s="75"/>
      <c r="N8" s="75" t="str">
        <f t="shared" si="4"/>
        <v/>
      </c>
      <c r="O8" s="204">
        <f t="shared" si="1"/>
        <v>600</v>
      </c>
      <c r="P8" s="199">
        <f t="shared" si="5"/>
        <v>240000</v>
      </c>
      <c r="Q8" s="4"/>
      <c r="R8" s="199" t="str">
        <f t="shared" si="6"/>
        <v/>
      </c>
      <c r="S8" s="199">
        <f>IF(R8&lt;&gt;"",P8-R8,P8)</f>
        <v>240000</v>
      </c>
    </row>
    <row r="9" spans="1:19" x14ac:dyDescent="0.25">
      <c r="A9" s="197">
        <f t="shared" si="0"/>
        <v>5</v>
      </c>
      <c r="B9" s="76">
        <f t="shared" si="2"/>
        <v>17.55</v>
      </c>
      <c r="C9" s="77">
        <f>IF(G9&lt;&gt;"",IFERROR(ROUND(VLOOKUP(G9,ProductList!J:AO,32,FALSE),0),""),"")</f>
        <v>392</v>
      </c>
      <c r="D9" s="73">
        <f>IF(E9&lt;&gt;"",IF(D8&lt;&gt;"",D8,#REF!)+1,"")</f>
        <v>5</v>
      </c>
      <c r="E9" s="73" t="str">
        <v>21069099</v>
      </c>
      <c r="F9" s="73">
        <v>176939</v>
      </c>
      <c r="G9" s="122" t="str">
        <v>HEALTH MIX 200 G</v>
      </c>
      <c r="H9" s="104">
        <v>200</v>
      </c>
      <c r="I9" s="73">
        <v>13</v>
      </c>
      <c r="J9" s="73">
        <v>520</v>
      </c>
      <c r="K9" s="6">
        <v>400</v>
      </c>
      <c r="L9" s="75">
        <f t="shared" si="3"/>
        <v>208000</v>
      </c>
      <c r="M9" s="75"/>
      <c r="N9" s="75" t="str">
        <f t="shared" si="4"/>
        <v/>
      </c>
      <c r="O9" s="204">
        <f t="shared" si="1"/>
        <v>400</v>
      </c>
      <c r="P9" s="199">
        <f t="shared" si="5"/>
        <v>208000</v>
      </c>
      <c r="Q9" s="6"/>
      <c r="R9" s="199" t="str">
        <f t="shared" si="6"/>
        <v/>
      </c>
      <c r="S9" s="199">
        <f>IF(R9&lt;&gt;"",P9-R9,P9)</f>
        <v>208000</v>
      </c>
    </row>
    <row r="10" spans="1:19" x14ac:dyDescent="0.25">
      <c r="A10" s="197">
        <f t="shared" si="0"/>
        <v>6</v>
      </c>
      <c r="B10" s="76">
        <f t="shared" si="2"/>
        <v>15.62</v>
      </c>
      <c r="C10" s="77">
        <f>IF(G10&lt;&gt;"",IFERROR(ROUND(VLOOKUP(G10,ProductList!J:AO,32,FALSE),0),""),"")</f>
        <v>358</v>
      </c>
      <c r="D10" s="73">
        <f>IF(E10&lt;&gt;"",IF(D9&lt;&gt;"",D9,#REF!)+1,"")</f>
        <v>6</v>
      </c>
      <c r="E10" s="73" t="str">
        <v>13012000</v>
      </c>
      <c r="F10" s="73">
        <v>373629</v>
      </c>
      <c r="G10" s="122" t="str">
        <v>ASAFOETIDA POWDER 50 G</v>
      </c>
      <c r="H10" s="104">
        <v>50</v>
      </c>
      <c r="I10" s="73">
        <v>10</v>
      </c>
      <c r="J10" s="73">
        <v>1200</v>
      </c>
      <c r="K10" s="6">
        <v>360</v>
      </c>
      <c r="L10" s="75">
        <f t="shared" si="3"/>
        <v>432000</v>
      </c>
      <c r="M10" s="75"/>
      <c r="N10" s="75" t="str">
        <f t="shared" si="4"/>
        <v/>
      </c>
      <c r="O10" s="204">
        <f t="shared" si="1"/>
        <v>360</v>
      </c>
      <c r="P10" s="199">
        <f t="shared" si="5"/>
        <v>432000</v>
      </c>
      <c r="Q10" s="6"/>
      <c r="R10" s="199" t="str">
        <f t="shared" si="6"/>
        <v/>
      </c>
      <c r="S10" s="199">
        <f t="shared" ref="S10:S73" si="7">IF(R10&lt;&gt;"",P10-R10,P10)</f>
        <v>432000</v>
      </c>
    </row>
    <row r="11" spans="1:19" x14ac:dyDescent="0.25">
      <c r="A11" s="197">
        <f t="shared" si="0"/>
        <v>7</v>
      </c>
      <c r="B11" s="76">
        <f t="shared" si="2"/>
        <v>16</v>
      </c>
      <c r="C11" s="77">
        <f>IF(G11&lt;&gt;"",IFERROR(ROUND(VLOOKUP(G11,ProductList!J:AO,32,FALSE),0),""),"")</f>
        <v>347</v>
      </c>
      <c r="D11" s="73">
        <f>IF(E11&lt;&gt;"",IF(D10&lt;&gt;"",D10,#REF!)+1,"")</f>
        <v>7</v>
      </c>
      <c r="E11" s="73" t="str">
        <v>21069099</v>
      </c>
      <c r="F11" s="73">
        <v>120692</v>
      </c>
      <c r="G11" s="122" t="str">
        <v>ROYAL PAYASAMMIX 175 G</v>
      </c>
      <c r="H11" s="104">
        <v>175</v>
      </c>
      <c r="I11" s="73">
        <v>10</v>
      </c>
      <c r="J11" s="73">
        <v>400</v>
      </c>
      <c r="K11" s="6">
        <v>350</v>
      </c>
      <c r="L11" s="75">
        <f t="shared" si="3"/>
        <v>140000</v>
      </c>
      <c r="M11" s="75"/>
      <c r="N11" s="75" t="str">
        <f t="shared" si="4"/>
        <v/>
      </c>
      <c r="O11" s="204">
        <f t="shared" si="1"/>
        <v>350</v>
      </c>
      <c r="P11" s="199">
        <f t="shared" si="5"/>
        <v>140000</v>
      </c>
      <c r="Q11" s="6"/>
      <c r="R11" s="199" t="str">
        <f t="shared" si="6"/>
        <v/>
      </c>
      <c r="S11" s="199">
        <f t="shared" si="7"/>
        <v>140000</v>
      </c>
    </row>
    <row r="12" spans="1:19" x14ac:dyDescent="0.25">
      <c r="A12" s="197">
        <f t="shared" si="0"/>
        <v>8</v>
      </c>
      <c r="B12" s="76">
        <f t="shared" si="2"/>
        <v>17.09</v>
      </c>
      <c r="C12" s="77">
        <f>IF(G12&lt;&gt;"",IFERROR(ROUND(VLOOKUP(G12,ProductList!J:AO,32,FALSE),0),""),"")</f>
        <v>610</v>
      </c>
      <c r="D12" s="73">
        <f>IF(E12&lt;&gt;"",IF(D11&lt;&gt;"",D11,#REF!)+1,"")</f>
        <v>8</v>
      </c>
      <c r="E12" s="73" t="str">
        <v>21069060</v>
      </c>
      <c r="F12" s="73">
        <v>232984.80000000002</v>
      </c>
      <c r="G12" s="122" t="str">
        <v>PANI PURI KIT FAMILY 266 G</v>
      </c>
      <c r="H12" s="104">
        <v>266</v>
      </c>
      <c r="I12" s="73">
        <v>22</v>
      </c>
      <c r="J12" s="73">
        <v>440</v>
      </c>
      <c r="K12" s="6">
        <v>620</v>
      </c>
      <c r="L12" s="75">
        <f t="shared" si="3"/>
        <v>272800</v>
      </c>
      <c r="M12" s="75"/>
      <c r="N12" s="75" t="str">
        <f t="shared" si="4"/>
        <v/>
      </c>
      <c r="O12" s="204">
        <f t="shared" si="1"/>
        <v>620</v>
      </c>
      <c r="P12" s="199">
        <f t="shared" si="5"/>
        <v>272800</v>
      </c>
      <c r="Q12" s="6"/>
      <c r="R12" s="199" t="str">
        <f t="shared" si="6"/>
        <v/>
      </c>
      <c r="S12" s="199">
        <f t="shared" si="7"/>
        <v>272800</v>
      </c>
    </row>
    <row r="13" spans="1:19" x14ac:dyDescent="0.25">
      <c r="A13" s="197">
        <f t="shared" si="0"/>
        <v>9</v>
      </c>
      <c r="B13" s="76">
        <f t="shared" si="2"/>
        <v>15.86</v>
      </c>
      <c r="C13" s="77">
        <f>IF(G13&lt;&gt;"",IFERROR(ROUND(VLOOKUP(G13,ProductList!J:AO,32,FALSE),0),""),"")</f>
        <v>277</v>
      </c>
      <c r="D13" s="73">
        <f>IF(E13&lt;&gt;"",IF(D12&lt;&gt;"",D12,#REF!)+1,"")</f>
        <v>9</v>
      </c>
      <c r="E13" s="73" t="str">
        <v>20019000</v>
      </c>
      <c r="F13" s="73">
        <v>311760</v>
      </c>
      <c r="G13" s="122" t="str">
        <v>CUT MANGO PICKLE 200 G</v>
      </c>
      <c r="H13" s="104">
        <v>200</v>
      </c>
      <c r="I13" s="73">
        <v>43</v>
      </c>
      <c r="J13" s="73">
        <v>1290</v>
      </c>
      <c r="K13" s="6">
        <v>280</v>
      </c>
      <c r="L13" s="75">
        <f t="shared" si="3"/>
        <v>361200</v>
      </c>
      <c r="M13" s="75"/>
      <c r="N13" s="75" t="str">
        <f t="shared" si="4"/>
        <v/>
      </c>
      <c r="O13" s="204">
        <f t="shared" si="1"/>
        <v>280</v>
      </c>
      <c r="P13" s="199">
        <f t="shared" si="5"/>
        <v>361200</v>
      </c>
      <c r="Q13" s="4"/>
      <c r="R13" s="199" t="str">
        <f t="shared" si="6"/>
        <v/>
      </c>
      <c r="S13" s="199">
        <f t="shared" si="7"/>
        <v>361200</v>
      </c>
    </row>
    <row r="14" spans="1:19" x14ac:dyDescent="0.25">
      <c r="A14" s="197">
        <f t="shared" si="0"/>
        <v>10</v>
      </c>
      <c r="B14" s="76">
        <f t="shared" si="2"/>
        <v>15.86</v>
      </c>
      <c r="C14" s="77">
        <f>IF(G14&lt;&gt;"",IFERROR(ROUND(VLOOKUP(G14,ProductList!J:AO,32,FALSE),0),""),"")</f>
        <v>277</v>
      </c>
      <c r="D14" s="73">
        <f>IF(E14&lt;&gt;"",IF(D13&lt;&gt;"",D13,#REF!)+1,"")</f>
        <v>10</v>
      </c>
      <c r="E14" s="73" t="str">
        <v>20019000</v>
      </c>
      <c r="F14" s="73">
        <v>311760</v>
      </c>
      <c r="G14" s="122" t="str">
        <v>LEMON PICKLE 200 G</v>
      </c>
      <c r="H14" s="104">
        <v>200</v>
      </c>
      <c r="I14" s="73">
        <v>43</v>
      </c>
      <c r="J14" s="73">
        <v>1290</v>
      </c>
      <c r="K14" s="6">
        <v>280</v>
      </c>
      <c r="L14" s="75">
        <f t="shared" si="3"/>
        <v>361200</v>
      </c>
      <c r="M14" s="75"/>
      <c r="N14" s="75" t="str">
        <f t="shared" si="4"/>
        <v/>
      </c>
      <c r="O14" s="204">
        <f t="shared" si="1"/>
        <v>280</v>
      </c>
      <c r="P14" s="199">
        <f t="shared" si="5"/>
        <v>361200</v>
      </c>
      <c r="Q14" s="6"/>
      <c r="R14" s="199" t="str">
        <f t="shared" si="6"/>
        <v/>
      </c>
      <c r="S14" s="199">
        <f t="shared" si="7"/>
        <v>361200</v>
      </c>
    </row>
    <row r="15" spans="1:19" x14ac:dyDescent="0.25">
      <c r="A15" s="197">
        <f t="shared" si="0"/>
        <v>11</v>
      </c>
      <c r="B15" s="76">
        <f t="shared" si="2"/>
        <v>15.63</v>
      </c>
      <c r="C15" s="77">
        <f>IF(G15&lt;&gt;"",IFERROR(ROUND(VLOOKUP(G15,ProductList!J:AO,32,FALSE),0),""),"")</f>
        <v>289</v>
      </c>
      <c r="D15" s="73">
        <f>IF(E15&lt;&gt;"",IF(D14&lt;&gt;"",D14,#REF!)+1,"")</f>
        <v>11</v>
      </c>
      <c r="E15" s="73" t="str">
        <v>20019000</v>
      </c>
      <c r="F15" s="73">
        <v>323535</v>
      </c>
      <c r="G15" s="122" t="str">
        <v>GARLIC PICKLE 200 G</v>
      </c>
      <c r="H15" s="104">
        <v>200</v>
      </c>
      <c r="I15" s="73">
        <v>43</v>
      </c>
      <c r="J15" s="73">
        <v>1290</v>
      </c>
      <c r="K15" s="6">
        <v>290</v>
      </c>
      <c r="L15" s="75">
        <f t="shared" si="3"/>
        <v>374100</v>
      </c>
      <c r="M15" s="75"/>
      <c r="N15" s="75" t="str">
        <f t="shared" si="4"/>
        <v/>
      </c>
      <c r="O15" s="204">
        <f t="shared" si="1"/>
        <v>290</v>
      </c>
      <c r="P15" s="199">
        <f t="shared" si="5"/>
        <v>374100</v>
      </c>
      <c r="Q15" s="4"/>
      <c r="R15" s="199" t="str">
        <f t="shared" si="6"/>
        <v/>
      </c>
      <c r="S15" s="199">
        <f t="shared" si="7"/>
        <v>374100</v>
      </c>
    </row>
    <row r="16" spans="1:19" x14ac:dyDescent="0.25">
      <c r="A16" s="197">
        <f t="shared" si="0"/>
        <v>12</v>
      </c>
      <c r="B16" s="76">
        <f t="shared" si="2"/>
        <v>18.559999999999999</v>
      </c>
      <c r="C16" s="77">
        <f>IF(G16&lt;&gt;"",IFERROR(ROUND(VLOOKUP(G16,ProductList!J:AO,32,FALSE),0),""),"")</f>
        <v>262</v>
      </c>
      <c r="D16" s="73">
        <f>IF(E16&lt;&gt;"",IF(D15&lt;&gt;"",D15,#REF!)+1,"")</f>
        <v>12</v>
      </c>
      <c r="E16" s="73" t="str">
        <v>20019000</v>
      </c>
      <c r="F16" s="73">
        <v>109311</v>
      </c>
      <c r="G16" s="122" t="str">
        <v>MIXED VEG PICKLE 200 G</v>
      </c>
      <c r="H16" s="104">
        <v>200</v>
      </c>
      <c r="I16" s="73">
        <v>16</v>
      </c>
      <c r="J16" s="73">
        <v>480</v>
      </c>
      <c r="K16" s="6">
        <v>270</v>
      </c>
      <c r="L16" s="75">
        <f t="shared" si="3"/>
        <v>129600</v>
      </c>
      <c r="M16" s="75"/>
      <c r="N16" s="75" t="str">
        <f t="shared" si="4"/>
        <v/>
      </c>
      <c r="O16" s="204">
        <f t="shared" si="1"/>
        <v>270</v>
      </c>
      <c r="P16" s="199">
        <f t="shared" si="5"/>
        <v>129600</v>
      </c>
      <c r="Q16" s="4"/>
      <c r="R16" s="199" t="str">
        <f t="shared" si="6"/>
        <v/>
      </c>
      <c r="S16" s="199">
        <f t="shared" si="7"/>
        <v>129600</v>
      </c>
    </row>
    <row r="17" spans="1:25" x14ac:dyDescent="0.25">
      <c r="A17" s="197">
        <f t="shared" si="0"/>
        <v>13</v>
      </c>
      <c r="B17" s="76">
        <f t="shared" si="2"/>
        <v>18.559999999999999</v>
      </c>
      <c r="C17" s="77">
        <f>IF(G17&lt;&gt;"",IFERROR(ROUND(VLOOKUP(G17,ProductList!J:AO,32,FALSE),0),""),"")</f>
        <v>262</v>
      </c>
      <c r="D17" s="73">
        <f>IF(E17&lt;&gt;"",IF(D16&lt;&gt;"",D16,#REF!)+1,"")</f>
        <v>13</v>
      </c>
      <c r="E17" s="73" t="str">
        <v>20019000</v>
      </c>
      <c r="F17" s="73">
        <v>34159</v>
      </c>
      <c r="G17" s="122" t="str">
        <v>MANGOTHOKKU PICKLE 200 G</v>
      </c>
      <c r="H17" s="104">
        <v>200</v>
      </c>
      <c r="I17" s="73">
        <v>5</v>
      </c>
      <c r="J17" s="73">
        <v>150</v>
      </c>
      <c r="K17" s="6">
        <v>270</v>
      </c>
      <c r="L17" s="75">
        <f t="shared" si="3"/>
        <v>40500</v>
      </c>
      <c r="M17" s="75"/>
      <c r="N17" s="75" t="str">
        <f t="shared" si="4"/>
        <v/>
      </c>
      <c r="O17" s="204">
        <f t="shared" si="1"/>
        <v>270</v>
      </c>
      <c r="P17" s="199">
        <f t="shared" si="5"/>
        <v>40500</v>
      </c>
      <c r="Q17" s="6"/>
      <c r="R17" s="199" t="str">
        <f t="shared" si="6"/>
        <v/>
      </c>
      <c r="S17" s="199">
        <f t="shared" si="7"/>
        <v>40500</v>
      </c>
    </row>
    <row r="18" spans="1:25" x14ac:dyDescent="0.25">
      <c r="A18" s="197">
        <f t="shared" si="0"/>
        <v>14</v>
      </c>
      <c r="B18" s="76">
        <f t="shared" si="2"/>
        <v>19.77</v>
      </c>
      <c r="C18" s="77">
        <f>IF(G18&lt;&gt;"",IFERROR(ROUND(VLOOKUP(G18,ProductList!J:AO,32,FALSE),0),""),"")</f>
        <v>144</v>
      </c>
      <c r="D18" s="73">
        <f>IF(E18&lt;&gt;"",IF(D17&lt;&gt;"",D17,#REF!)+1,"")</f>
        <v>14</v>
      </c>
      <c r="E18" s="73" t="str">
        <v>21069099</v>
      </c>
      <c r="F18" s="73">
        <v>75142</v>
      </c>
      <c r="G18" s="122" t="str">
        <v>SAKTHI MUTTON MASALA 50G</v>
      </c>
      <c r="H18" s="104">
        <v>50</v>
      </c>
      <c r="I18" s="73">
        <v>1</v>
      </c>
      <c r="J18" s="73">
        <v>600</v>
      </c>
      <c r="K18" s="6">
        <v>150</v>
      </c>
      <c r="L18" s="75">
        <f t="shared" si="3"/>
        <v>90000</v>
      </c>
      <c r="M18" s="75"/>
      <c r="N18" s="75" t="str">
        <f t="shared" si="4"/>
        <v/>
      </c>
      <c r="O18" s="204">
        <f t="shared" si="1"/>
        <v>150</v>
      </c>
      <c r="P18" s="199">
        <f t="shared" si="5"/>
        <v>90000</v>
      </c>
      <c r="Q18" s="4"/>
      <c r="R18" s="199" t="str">
        <f t="shared" si="6"/>
        <v/>
      </c>
      <c r="S18" s="199">
        <f t="shared" si="7"/>
        <v>90000</v>
      </c>
      <c r="V18" s="1">
        <f>L5</f>
        <v>45000</v>
      </c>
    </row>
    <row r="19" spans="1:25" x14ac:dyDescent="0.25">
      <c r="A19" s="197">
        <f t="shared" si="0"/>
        <v>15</v>
      </c>
      <c r="B19" s="76">
        <f t="shared" si="2"/>
        <v>17.45</v>
      </c>
      <c r="C19" s="77">
        <f>IF(G19&lt;&gt;"",IFERROR(ROUND(VLOOKUP(G19,ProductList!J:AO,32,FALSE),0),""),"")</f>
        <v>156</v>
      </c>
      <c r="D19" s="73">
        <f>IF(E19&lt;&gt;"",IF(D18&lt;&gt;"",D18,#REF!)+1,"")</f>
        <v>15</v>
      </c>
      <c r="E19" s="73" t="str">
        <v>21069099</v>
      </c>
      <c r="F19" s="73">
        <v>81734</v>
      </c>
      <c r="G19" s="122" t="str">
        <v>SAKTHI RASAM POWER 50G</v>
      </c>
      <c r="H19" s="104">
        <v>50</v>
      </c>
      <c r="I19" s="73">
        <v>1</v>
      </c>
      <c r="J19" s="73">
        <v>600</v>
      </c>
      <c r="K19" s="6">
        <v>160</v>
      </c>
      <c r="L19" s="75">
        <f t="shared" si="3"/>
        <v>96000</v>
      </c>
      <c r="M19" s="75"/>
      <c r="N19" s="75" t="str">
        <f t="shared" si="4"/>
        <v/>
      </c>
      <c r="O19" s="204">
        <f t="shared" si="1"/>
        <v>160</v>
      </c>
      <c r="P19" s="199">
        <f t="shared" si="5"/>
        <v>96000</v>
      </c>
      <c r="Q19" s="6"/>
      <c r="R19" s="199" t="str">
        <f t="shared" si="6"/>
        <v/>
      </c>
      <c r="S19" s="199">
        <f t="shared" si="7"/>
        <v>96000</v>
      </c>
      <c r="U19" s="1">
        <f>1020*144*4</f>
        <v>587520</v>
      </c>
      <c r="V19" s="1">
        <f>-U19*3.4</f>
        <v>-1997568</v>
      </c>
    </row>
    <row r="20" spans="1:25" x14ac:dyDescent="0.25">
      <c r="A20" s="197">
        <f t="shared" si="0"/>
        <v>16</v>
      </c>
      <c r="B20" s="76">
        <f t="shared" si="2"/>
        <v>13.79</v>
      </c>
      <c r="C20" s="77">
        <f>IF(G20&lt;&gt;"",IFERROR(ROUND(VLOOKUP(G20,ProductList!J:AO,32,FALSE),0),""),"")</f>
        <v>141</v>
      </c>
      <c r="D20" s="73">
        <f>IF(E20&lt;&gt;"",IF(D19&lt;&gt;"",D19,#REF!)+1,"")</f>
        <v>16</v>
      </c>
      <c r="E20" s="73" t="str">
        <v>21069099</v>
      </c>
      <c r="F20" s="73">
        <v>73821</v>
      </c>
      <c r="G20" s="122" t="str">
        <v>SAKTHI CURRY MASAL POWDER 50G</v>
      </c>
      <c r="H20" s="104">
        <v>50</v>
      </c>
      <c r="I20" s="73">
        <v>1</v>
      </c>
      <c r="J20" s="73">
        <v>600</v>
      </c>
      <c r="K20" s="6">
        <v>140</v>
      </c>
      <c r="L20" s="75">
        <f t="shared" si="3"/>
        <v>84000</v>
      </c>
      <c r="M20" s="75"/>
      <c r="N20" s="75" t="str">
        <f t="shared" si="4"/>
        <v/>
      </c>
      <c r="O20" s="204">
        <f t="shared" si="1"/>
        <v>140</v>
      </c>
      <c r="P20" s="199">
        <f t="shared" si="5"/>
        <v>84000</v>
      </c>
      <c r="Q20" s="4"/>
      <c r="R20" s="199" t="str">
        <f t="shared" si="6"/>
        <v/>
      </c>
      <c r="S20" s="199">
        <f t="shared" si="7"/>
        <v>84000</v>
      </c>
      <c r="V20" s="1">
        <v>-2200000</v>
      </c>
    </row>
    <row r="21" spans="1:25" x14ac:dyDescent="0.25">
      <c r="A21" s="197">
        <f t="shared" si="0"/>
        <v>17</v>
      </c>
      <c r="B21" s="76">
        <f t="shared" si="2"/>
        <v>17.47</v>
      </c>
      <c r="C21" s="77">
        <f>IF(G21&lt;&gt;"",IFERROR(ROUND(VLOOKUP(G21,ProductList!J:AO,32,FALSE),0),""),"")</f>
        <v>117</v>
      </c>
      <c r="D21" s="73">
        <f>IF(E21&lt;&gt;"",IF(D20&lt;&gt;"",D20,#REF!)+1,"")</f>
        <v>17</v>
      </c>
      <c r="E21" s="73" t="str">
        <v>21069099</v>
      </c>
      <c r="F21" s="73">
        <v>61290</v>
      </c>
      <c r="G21" s="122" t="str">
        <v>SAKTHI FISH CURRY MASALA 50G</v>
      </c>
      <c r="H21" s="104">
        <v>50</v>
      </c>
      <c r="I21" s="73">
        <v>1</v>
      </c>
      <c r="J21" s="73">
        <v>600</v>
      </c>
      <c r="K21" s="6">
        <v>120</v>
      </c>
      <c r="L21" s="75">
        <f t="shared" si="3"/>
        <v>72000</v>
      </c>
      <c r="M21" s="75"/>
      <c r="N21" s="75" t="str">
        <f t="shared" si="4"/>
        <v/>
      </c>
      <c r="O21" s="204">
        <f t="shared" si="1"/>
        <v>120</v>
      </c>
      <c r="P21" s="199">
        <f t="shared" si="5"/>
        <v>72000</v>
      </c>
      <c r="Q21" s="4"/>
      <c r="R21" s="199" t="str">
        <f t="shared" si="6"/>
        <v/>
      </c>
      <c r="S21" s="199">
        <f t="shared" si="7"/>
        <v>72000</v>
      </c>
      <c r="U21" s="1">
        <v>200000</v>
      </c>
      <c r="V21" s="1">
        <f>-U21*3.4</f>
        <v>-680000</v>
      </c>
    </row>
    <row r="22" spans="1:25" x14ac:dyDescent="0.25">
      <c r="A22" s="197">
        <f t="shared" si="0"/>
        <v>18</v>
      </c>
      <c r="B22" s="76">
        <f t="shared" si="2"/>
        <v>22.39</v>
      </c>
      <c r="C22" s="77">
        <f>IF(G22&lt;&gt;"",IFERROR(ROUND(VLOOKUP(G22,ProductList!J:AO,32,FALSE),0),""),"")</f>
        <v>151</v>
      </c>
      <c r="D22" s="73">
        <f>IF(E22&lt;&gt;"",IF(D21&lt;&gt;"",D21,#REF!)+1,"")</f>
        <v>18</v>
      </c>
      <c r="E22" s="73" t="str">
        <v>21069099</v>
      </c>
      <c r="F22" s="73">
        <v>78437</v>
      </c>
      <c r="G22" s="122" t="str">
        <v>SAKTHI FISH FRY 50G</v>
      </c>
      <c r="H22" s="104">
        <v>50</v>
      </c>
      <c r="I22" s="73">
        <v>1</v>
      </c>
      <c r="J22" s="73">
        <v>600</v>
      </c>
      <c r="K22" s="6">
        <v>160</v>
      </c>
      <c r="L22" s="75">
        <f t="shared" si="3"/>
        <v>96000</v>
      </c>
      <c r="M22" s="75"/>
      <c r="N22" s="75" t="str">
        <f t="shared" si="4"/>
        <v/>
      </c>
      <c r="O22" s="204">
        <f t="shared" si="1"/>
        <v>160</v>
      </c>
      <c r="P22" s="199">
        <f t="shared" si="5"/>
        <v>96000</v>
      </c>
      <c r="Q22" s="4"/>
      <c r="R22" s="199" t="str">
        <f t="shared" si="6"/>
        <v/>
      </c>
      <c r="S22" s="199">
        <f t="shared" si="7"/>
        <v>96000</v>
      </c>
      <c r="U22" s="1">
        <v>30000</v>
      </c>
      <c r="V22" s="1">
        <f>-U22*3.4</f>
        <v>-102000</v>
      </c>
      <c r="X22" s="1">
        <f>SUM(V18:V22)</f>
        <v>-4934568</v>
      </c>
      <c r="Y22" s="1">
        <f>X22/3.4</f>
        <v>-1451343.5294117648</v>
      </c>
    </row>
    <row r="23" spans="1:25" x14ac:dyDescent="0.25">
      <c r="A23" s="197">
        <f t="shared" si="0"/>
        <v>19</v>
      </c>
      <c r="B23" s="76">
        <f t="shared" si="2"/>
        <v>25.2</v>
      </c>
      <c r="C23" s="77">
        <f>IF(G23&lt;&gt;"",IFERROR(ROUND(VLOOKUP(G23,ProductList!J:AO,32,FALSE),0),""),"")</f>
        <v>101</v>
      </c>
      <c r="D23" s="73">
        <f>IF(E23&lt;&gt;"",IF(D22&lt;&gt;"",D22,#REF!)+1,"")</f>
        <v>19</v>
      </c>
      <c r="E23" s="73" t="str">
        <v>21069099</v>
      </c>
      <c r="F23" s="73">
        <v>105434</v>
      </c>
      <c r="G23" s="122" t="str">
        <v>SAKTHI IDLI CHILLI POWDER 50G</v>
      </c>
      <c r="H23" s="104">
        <v>50</v>
      </c>
      <c r="I23" s="73">
        <v>2</v>
      </c>
      <c r="J23" s="73">
        <v>1200</v>
      </c>
      <c r="K23" s="6">
        <v>110</v>
      </c>
      <c r="L23" s="75">
        <f t="shared" si="3"/>
        <v>132000</v>
      </c>
      <c r="M23" s="75"/>
      <c r="N23" s="75" t="str">
        <f t="shared" si="4"/>
        <v/>
      </c>
      <c r="O23" s="204">
        <f t="shared" si="1"/>
        <v>110</v>
      </c>
      <c r="P23" s="199">
        <f t="shared" si="5"/>
        <v>132000</v>
      </c>
      <c r="Q23" s="4"/>
      <c r="R23" s="199" t="str">
        <f t="shared" si="6"/>
        <v/>
      </c>
      <c r="S23" s="199">
        <f t="shared" si="7"/>
        <v>132000</v>
      </c>
    </row>
    <row r="24" spans="1:25" x14ac:dyDescent="0.25">
      <c r="A24" s="197">
        <f t="shared" si="0"/>
        <v>20</v>
      </c>
      <c r="B24" s="76">
        <f t="shared" si="2"/>
        <v>15.86</v>
      </c>
      <c r="C24" s="77">
        <f>IF(G24&lt;&gt;"",IFERROR(ROUND(VLOOKUP(G24,ProductList!J:AO,32,FALSE),0),""),"")</f>
        <v>695</v>
      </c>
      <c r="D24" s="73">
        <f>IF(E24&lt;&gt;"",IF(D23&lt;&gt;"",D23,#REF!)+1,"")</f>
        <v>20</v>
      </c>
      <c r="E24" s="73" t="str">
        <v>09092200</v>
      </c>
      <c r="F24" s="73">
        <v>1522564</v>
      </c>
      <c r="G24" s="122" t="str">
        <v>SAKTHI CORIANDER POWDER 500G</v>
      </c>
      <c r="H24" s="104">
        <v>500</v>
      </c>
      <c r="I24" s="73">
        <v>42</v>
      </c>
      <c r="J24" s="73">
        <v>2520</v>
      </c>
      <c r="K24" s="6">
        <v>700</v>
      </c>
      <c r="L24" s="75">
        <f t="shared" si="3"/>
        <v>1764000</v>
      </c>
      <c r="M24" s="75"/>
      <c r="N24" s="75" t="str">
        <f t="shared" si="4"/>
        <v/>
      </c>
      <c r="O24" s="204">
        <f t="shared" si="1"/>
        <v>700</v>
      </c>
      <c r="P24" s="199">
        <f t="shared" si="5"/>
        <v>1764000</v>
      </c>
      <c r="Q24" s="6"/>
      <c r="R24" s="199" t="str">
        <f t="shared" si="6"/>
        <v/>
      </c>
      <c r="S24" s="199">
        <f t="shared" si="7"/>
        <v>1764000</v>
      </c>
    </row>
    <row r="25" spans="1:25" x14ac:dyDescent="0.25">
      <c r="A25" s="197">
        <f t="shared" si="0"/>
        <v>21</v>
      </c>
      <c r="B25" s="76">
        <f t="shared" si="2"/>
        <v>17.8</v>
      </c>
      <c r="C25" s="77">
        <f>IF(G25&lt;&gt;"",IFERROR(ROUND(VLOOKUP(G25,ProductList!J:AO,32,FALSE),0),""),"")</f>
        <v>1171</v>
      </c>
      <c r="D25" s="73">
        <f>IF(E25&lt;&gt;"",IF(D24&lt;&gt;"",D24,#REF!)+1,"")</f>
        <v>21</v>
      </c>
      <c r="E25" s="73" t="str">
        <v>09042190</v>
      </c>
      <c r="F25" s="73">
        <v>916798</v>
      </c>
      <c r="G25" s="122" t="str">
        <v>SAKTHI CHILLI POWDER 500G</v>
      </c>
      <c r="H25" s="104">
        <v>500</v>
      </c>
      <c r="I25" s="73">
        <v>15</v>
      </c>
      <c r="J25" s="73">
        <v>900</v>
      </c>
      <c r="K25" s="6">
        <v>1200</v>
      </c>
      <c r="L25" s="75">
        <f t="shared" si="3"/>
        <v>1080000</v>
      </c>
      <c r="M25" s="75"/>
      <c r="N25" s="75" t="str">
        <f t="shared" si="4"/>
        <v/>
      </c>
      <c r="O25" s="204">
        <f t="shared" si="1"/>
        <v>1200</v>
      </c>
      <c r="P25" s="199">
        <f t="shared" si="5"/>
        <v>1080000</v>
      </c>
      <c r="Q25" s="6"/>
      <c r="R25" s="199" t="str">
        <f t="shared" si="6"/>
        <v/>
      </c>
      <c r="S25" s="199">
        <f t="shared" si="7"/>
        <v>1080000</v>
      </c>
    </row>
    <row r="26" spans="1:25" x14ac:dyDescent="0.25">
      <c r="A26" s="197">
        <f t="shared" si="0"/>
        <v>22</v>
      </c>
      <c r="B26" s="76">
        <f t="shared" si="2"/>
        <v>16.829999999999998</v>
      </c>
      <c r="C26" s="77">
        <f>IF(G26&lt;&gt;"",IFERROR(ROUND(VLOOKUP(G26,ProductList!J:AO,32,FALSE),0),""),"")</f>
        <v>542</v>
      </c>
      <c r="D26" s="73">
        <f>IF(E26&lt;&gt;"",IF(D25&lt;&gt;"",D25,#REF!)+1,"")</f>
        <v>22</v>
      </c>
      <c r="E26" s="73" t="str">
        <v>11042200</v>
      </c>
      <c r="F26" s="73">
        <v>112985</v>
      </c>
      <c r="G26" s="122" t="str">
        <v>OATS 400 G</v>
      </c>
      <c r="H26" s="104">
        <v>400</v>
      </c>
      <c r="I26" s="73">
        <v>10</v>
      </c>
      <c r="J26" s="73">
        <v>240</v>
      </c>
      <c r="K26" s="6">
        <v>550</v>
      </c>
      <c r="L26" s="75">
        <f t="shared" si="3"/>
        <v>132000</v>
      </c>
      <c r="M26" s="75"/>
      <c r="N26" s="75" t="str">
        <f t="shared" si="4"/>
        <v/>
      </c>
      <c r="O26" s="204">
        <f t="shared" si="1"/>
        <v>550</v>
      </c>
      <c r="P26" s="199">
        <f t="shared" si="5"/>
        <v>132000</v>
      </c>
      <c r="Q26" s="4"/>
      <c r="R26" s="199" t="str">
        <f t="shared" si="6"/>
        <v/>
      </c>
      <c r="S26" s="199">
        <f t="shared" si="7"/>
        <v>132000</v>
      </c>
    </row>
    <row r="27" spans="1:25" x14ac:dyDescent="0.25">
      <c r="A27" s="197">
        <f t="shared" si="0"/>
        <v>23</v>
      </c>
      <c r="B27" s="76">
        <f t="shared" si="2"/>
        <v>22.49</v>
      </c>
      <c r="C27" s="77">
        <f>IF(G27&lt;&gt;"",IFERROR(ROUND(VLOOKUP(G27,ProductList!J:AO,32,FALSE),0),""),"")</f>
        <v>1314</v>
      </c>
      <c r="D27" s="73">
        <f>IF(E27&lt;&gt;"",IF(D26&lt;&gt;"",D26,#REF!)+1,"")</f>
        <v>23</v>
      </c>
      <c r="E27" s="73" t="str">
        <v>11042200</v>
      </c>
      <c r="F27" s="73">
        <v>137154</v>
      </c>
      <c r="G27" s="122" t="str">
        <v>OATS 1 KG</v>
      </c>
      <c r="H27" s="104">
        <v>1000</v>
      </c>
      <c r="I27" s="73">
        <v>10</v>
      </c>
      <c r="J27" s="73">
        <v>120</v>
      </c>
      <c r="K27" s="6">
        <v>1400</v>
      </c>
      <c r="L27" s="75">
        <f t="shared" si="3"/>
        <v>168000</v>
      </c>
      <c r="M27" s="75"/>
      <c r="N27" s="75" t="str">
        <f t="shared" si="4"/>
        <v/>
      </c>
      <c r="O27" s="204">
        <f t="shared" si="1"/>
        <v>1400</v>
      </c>
      <c r="P27" s="199">
        <f t="shared" si="5"/>
        <v>168000</v>
      </c>
      <c r="Q27" s="6"/>
      <c r="R27" s="199" t="str">
        <f t="shared" si="6"/>
        <v/>
      </c>
      <c r="S27" s="199">
        <f t="shared" si="7"/>
        <v>168000</v>
      </c>
    </row>
    <row r="28" spans="1:25" x14ac:dyDescent="0.25">
      <c r="A28" s="197">
        <f t="shared" si="0"/>
        <v>24</v>
      </c>
      <c r="B28" s="76">
        <f t="shared" si="2"/>
        <v>16.41</v>
      </c>
      <c r="C28" s="77">
        <f>IF(G28&lt;&gt;"",IFERROR(ROUND(VLOOKUP(G28,ProductList!J:AO,32,FALSE),0),""),"")</f>
        <v>217</v>
      </c>
      <c r="D28" s="73">
        <f>IF(E28&lt;&gt;"",IF(D27&lt;&gt;"",D27,#REF!)+1,"")</f>
        <v>24</v>
      </c>
      <c r="E28" s="73" t="str">
        <v>21069060</v>
      </c>
      <c r="F28" s="73">
        <v>425229</v>
      </c>
      <c r="G28" s="122" t="str">
        <v>APPALAM 100G X 200PCS (EACH 15 KGS)</v>
      </c>
      <c r="H28" s="104">
        <v>100</v>
      </c>
      <c r="I28" s="73">
        <v>15</v>
      </c>
      <c r="J28" s="73">
        <v>2250</v>
      </c>
      <c r="K28" s="6">
        <v>220</v>
      </c>
      <c r="L28" s="75">
        <f t="shared" si="3"/>
        <v>495000</v>
      </c>
      <c r="M28" s="75"/>
      <c r="N28" s="75" t="str">
        <f t="shared" si="4"/>
        <v/>
      </c>
      <c r="O28" s="204">
        <f t="shared" si="1"/>
        <v>220</v>
      </c>
      <c r="P28" s="199">
        <f t="shared" si="5"/>
        <v>495000</v>
      </c>
      <c r="Q28" s="4"/>
      <c r="R28" s="199" t="str">
        <f t="shared" si="6"/>
        <v/>
      </c>
      <c r="S28" s="199">
        <f t="shared" si="7"/>
        <v>495000</v>
      </c>
    </row>
    <row r="29" spans="1:25" x14ac:dyDescent="0.25">
      <c r="A29" s="197">
        <f t="shared" si="0"/>
        <v>25</v>
      </c>
      <c r="B29" s="76">
        <f t="shared" si="2"/>
        <v>16.41</v>
      </c>
      <c r="C29" s="77">
        <f>IF(G29&lt;&gt;"",IFERROR(ROUND(VLOOKUP(G29,ProductList!J:AO,32,FALSE),0),""),"")</f>
        <v>435</v>
      </c>
      <c r="D29" s="73">
        <f>IF(E29&lt;&gt;"",IF(D28&lt;&gt;"",D28,#REF!)+1,"")</f>
        <v>25</v>
      </c>
      <c r="E29" s="73" t="str">
        <v>21069060</v>
      </c>
      <c r="F29" s="73">
        <v>141743</v>
      </c>
      <c r="G29" s="122" t="str">
        <v>APPALAM 200G X 75PCS (EACH 15 KGS)</v>
      </c>
      <c r="H29" s="104">
        <v>200</v>
      </c>
      <c r="I29" s="73">
        <v>5</v>
      </c>
      <c r="J29" s="73">
        <v>375</v>
      </c>
      <c r="K29" s="6">
        <v>440</v>
      </c>
      <c r="L29" s="75">
        <f t="shared" si="3"/>
        <v>165000</v>
      </c>
      <c r="M29" s="75"/>
      <c r="N29" s="75" t="str">
        <f t="shared" si="4"/>
        <v/>
      </c>
      <c r="O29" s="204">
        <f t="shared" si="1"/>
        <v>440</v>
      </c>
      <c r="P29" s="199">
        <f t="shared" si="5"/>
        <v>165000</v>
      </c>
      <c r="Q29" s="4"/>
      <c r="R29" s="199" t="str">
        <f t="shared" si="6"/>
        <v/>
      </c>
      <c r="S29" s="199">
        <f t="shared" si="7"/>
        <v>165000</v>
      </c>
    </row>
    <row r="30" spans="1:25" x14ac:dyDescent="0.25">
      <c r="A30" s="197">
        <f t="shared" si="0"/>
        <v>26</v>
      </c>
      <c r="B30" s="76">
        <f t="shared" si="2"/>
        <v>15.72</v>
      </c>
      <c r="C30" s="77">
        <f>IF(G30&lt;&gt;"",IFERROR(ROUND(VLOOKUP(G30,ProductList!J:AO,32,FALSE),0),""),"")</f>
        <v>666</v>
      </c>
      <c r="D30" s="73">
        <f>IF(E30&lt;&gt;"",IF(D29&lt;&gt;"",D29,#REF!)+1,"")</f>
        <v>26</v>
      </c>
      <c r="E30" s="73" t="str">
        <v>04059000</v>
      </c>
      <c r="F30" s="73">
        <v>1042189</v>
      </c>
      <c r="G30" s="122" t="str">
        <v>GHEE 100 ML</v>
      </c>
      <c r="H30" s="104">
        <v>100</v>
      </c>
      <c r="I30" s="73">
        <v>15</v>
      </c>
      <c r="J30" s="73">
        <v>1800</v>
      </c>
      <c r="K30" s="6">
        <v>670</v>
      </c>
      <c r="L30" s="75">
        <f t="shared" si="3"/>
        <v>1206000</v>
      </c>
      <c r="M30" s="75"/>
      <c r="N30" s="75" t="str">
        <f t="shared" si="4"/>
        <v/>
      </c>
      <c r="O30" s="204">
        <f t="shared" si="1"/>
        <v>670</v>
      </c>
      <c r="P30" s="199">
        <f t="shared" si="5"/>
        <v>1206000</v>
      </c>
      <c r="Q30" s="6"/>
      <c r="R30" s="199" t="str">
        <f t="shared" si="6"/>
        <v/>
      </c>
      <c r="S30" s="199">
        <f t="shared" si="7"/>
        <v>1206000</v>
      </c>
    </row>
    <row r="31" spans="1:25" x14ac:dyDescent="0.25">
      <c r="A31" s="197">
        <f t="shared" si="0"/>
        <v>27</v>
      </c>
      <c r="B31" s="76">
        <f t="shared" si="2"/>
        <v>18.510000000000002</v>
      </c>
      <c r="C31" s="77">
        <f>IF(G31&lt;&gt;"",IFERROR(ROUND(VLOOKUP(G31,ProductList!J:AO,32,FALSE),0),""),"")</f>
        <v>1310</v>
      </c>
      <c r="D31" s="73">
        <f>IF(E31&lt;&gt;"",IF(D30&lt;&gt;"",D30,#REF!)+1,"")</f>
        <v>27</v>
      </c>
      <c r="E31" s="73" t="str">
        <v>04059000</v>
      </c>
      <c r="F31" s="73">
        <v>1025197</v>
      </c>
      <c r="G31" s="122" t="str">
        <v>GHEE 200 ML</v>
      </c>
      <c r="H31" s="104">
        <v>200</v>
      </c>
      <c r="I31" s="73">
        <v>15</v>
      </c>
      <c r="J31" s="73">
        <v>900</v>
      </c>
      <c r="K31" s="6">
        <v>1350</v>
      </c>
      <c r="L31" s="75">
        <f t="shared" si="3"/>
        <v>1215000</v>
      </c>
      <c r="M31" s="75"/>
      <c r="N31" s="75" t="str">
        <f t="shared" si="4"/>
        <v/>
      </c>
      <c r="O31" s="204">
        <f t="shared" si="1"/>
        <v>1350</v>
      </c>
      <c r="P31" s="199">
        <f t="shared" si="5"/>
        <v>1215000</v>
      </c>
      <c r="Q31" s="6"/>
      <c r="R31" s="199"/>
      <c r="S31" s="199">
        <f t="shared" si="7"/>
        <v>1215000</v>
      </c>
    </row>
    <row r="32" spans="1:25" x14ac:dyDescent="0.25">
      <c r="A32" s="197">
        <f t="shared" si="0"/>
        <v>28</v>
      </c>
      <c r="B32" s="76">
        <f t="shared" si="2"/>
        <v>16.84</v>
      </c>
      <c r="C32" s="77">
        <f>IF(G32&lt;&gt;"",IFERROR(ROUND(VLOOKUP(G32,ProductList!J:AO,32,FALSE),0),""),"")</f>
        <v>522</v>
      </c>
      <c r="D32" s="73">
        <f>IF(E32&lt;&gt;"",IF(D31&lt;&gt;"",D31,#REF!)+1,"")</f>
        <v>28</v>
      </c>
      <c r="E32" s="73" t="str">
        <v>20019000</v>
      </c>
      <c r="F32" s="73">
        <v>204127</v>
      </c>
      <c r="G32" s="122" t="str">
        <v>CUT MANGO PICKLE 300G</v>
      </c>
      <c r="H32" s="104">
        <v>300</v>
      </c>
      <c r="I32" s="73">
        <v>15</v>
      </c>
      <c r="J32" s="73">
        <v>450</v>
      </c>
      <c r="K32" s="6">
        <v>530</v>
      </c>
      <c r="L32" s="75">
        <f t="shared" si="3"/>
        <v>238500</v>
      </c>
      <c r="M32" s="75"/>
      <c r="N32" s="75" t="str">
        <f t="shared" si="4"/>
        <v/>
      </c>
      <c r="O32" s="204">
        <f t="shared" si="1"/>
        <v>530</v>
      </c>
      <c r="P32" s="199">
        <f t="shared" si="5"/>
        <v>238500</v>
      </c>
      <c r="Q32" s="6"/>
      <c r="R32" s="199" t="str">
        <f t="shared" si="6"/>
        <v/>
      </c>
      <c r="S32" s="199">
        <f t="shared" si="7"/>
        <v>238500</v>
      </c>
    </row>
    <row r="33" spans="1:19" x14ac:dyDescent="0.25">
      <c r="A33" s="197">
        <f t="shared" si="0"/>
        <v>29</v>
      </c>
      <c r="B33" s="76">
        <f t="shared" si="2"/>
        <v>16.91</v>
      </c>
      <c r="C33" s="77">
        <f>IF(G33&lt;&gt;"",IFERROR(ROUND(VLOOKUP(G33,ProductList!J:AO,32,FALSE),0),""),"")</f>
        <v>492</v>
      </c>
      <c r="D33" s="73">
        <f>IF(E33&lt;&gt;"",IF(D32&lt;&gt;"",D32,#REF!)+1,"")</f>
        <v>29</v>
      </c>
      <c r="E33" s="73" t="str">
        <v>20019000</v>
      </c>
      <c r="F33" s="73">
        <v>141133</v>
      </c>
      <c r="G33" s="122" t="str">
        <v>LEMON PICKLE 300 G</v>
      </c>
      <c r="H33" s="104">
        <v>300</v>
      </c>
      <c r="I33" s="73">
        <v>11</v>
      </c>
      <c r="J33" s="73">
        <v>330</v>
      </c>
      <c r="K33" s="6">
        <v>500</v>
      </c>
      <c r="L33" s="75">
        <f t="shared" si="3"/>
        <v>165000</v>
      </c>
      <c r="M33" s="75"/>
      <c r="N33" s="75" t="str">
        <f t="shared" si="4"/>
        <v/>
      </c>
      <c r="O33" s="204">
        <f t="shared" si="1"/>
        <v>500</v>
      </c>
      <c r="P33" s="199">
        <f t="shared" si="5"/>
        <v>165000</v>
      </c>
      <c r="Q33" s="6"/>
      <c r="R33" s="199" t="str">
        <f t="shared" si="6"/>
        <v/>
      </c>
      <c r="S33" s="199">
        <f t="shared" si="7"/>
        <v>165000</v>
      </c>
    </row>
    <row r="34" spans="1:19" x14ac:dyDescent="0.25">
      <c r="A34" s="197">
        <f t="shared" si="0"/>
        <v>30</v>
      </c>
      <c r="B34" s="76">
        <f t="shared" si="2"/>
        <v>15.03</v>
      </c>
      <c r="C34" s="77">
        <f>IF(G34&lt;&gt;"",IFERROR(ROUND(VLOOKUP(G34,ProductList!J:AO,32,FALSE),0),""),"")</f>
        <v>450</v>
      </c>
      <c r="D34" s="73">
        <f>IF(E34&lt;&gt;"",IF(D33&lt;&gt;"",D33,#REF!)+1,"")</f>
        <v>30</v>
      </c>
      <c r="E34" s="73" t="str">
        <v>20019000</v>
      </c>
      <c r="F34" s="73">
        <v>187777</v>
      </c>
      <c r="G34" s="122" t="str">
        <v>MIXED VEG PICKLE 300 G</v>
      </c>
      <c r="H34" s="104">
        <v>300</v>
      </c>
      <c r="I34" s="73">
        <v>16</v>
      </c>
      <c r="J34" s="73">
        <v>480</v>
      </c>
      <c r="K34" s="6">
        <v>450</v>
      </c>
      <c r="L34" s="75">
        <f t="shared" si="3"/>
        <v>216000</v>
      </c>
      <c r="M34" s="75"/>
      <c r="N34" s="75" t="str">
        <f t="shared" si="4"/>
        <v/>
      </c>
      <c r="O34" s="204">
        <f t="shared" si="1"/>
        <v>450</v>
      </c>
      <c r="P34" s="199">
        <f t="shared" si="5"/>
        <v>216000</v>
      </c>
      <c r="Q34" s="6"/>
      <c r="R34" s="199" t="str">
        <f t="shared" si="6"/>
        <v/>
      </c>
      <c r="S34" s="199">
        <f t="shared" si="7"/>
        <v>216000</v>
      </c>
    </row>
    <row r="35" spans="1:19" x14ac:dyDescent="0.25">
      <c r="A35" s="197">
        <f t="shared" si="0"/>
        <v>31</v>
      </c>
      <c r="B35" s="76">
        <f t="shared" si="2"/>
        <v>14.94</v>
      </c>
      <c r="C35" s="77">
        <f>IF(G35&lt;&gt;"",IFERROR(ROUND(VLOOKUP(G35,ProductList!J:AO,32,FALSE),0),""),"")</f>
        <v>860</v>
      </c>
      <c r="D35" s="73">
        <f>IF(E35&lt;&gt;"",IF(D34&lt;&gt;"",D34,#REF!)+1,"")</f>
        <v>31</v>
      </c>
      <c r="E35" s="73" t="str">
        <v>08134090</v>
      </c>
      <c r="F35" s="73">
        <v>299293</v>
      </c>
      <c r="G35" s="122" t="str">
        <v>TAMARIND 500 G</v>
      </c>
      <c r="H35" s="104">
        <v>500</v>
      </c>
      <c r="I35" s="73">
        <v>10</v>
      </c>
      <c r="J35" s="73">
        <v>400</v>
      </c>
      <c r="K35" s="6">
        <v>860</v>
      </c>
      <c r="L35" s="75">
        <f t="shared" si="3"/>
        <v>344000</v>
      </c>
      <c r="M35" s="75"/>
      <c r="N35" s="75" t="str">
        <f t="shared" si="4"/>
        <v/>
      </c>
      <c r="O35" s="204">
        <f t="shared" si="1"/>
        <v>860</v>
      </c>
      <c r="P35" s="199">
        <f t="shared" si="5"/>
        <v>344000</v>
      </c>
      <c r="Q35" s="6"/>
      <c r="R35" s="199" t="str">
        <f t="shared" si="6"/>
        <v/>
      </c>
      <c r="S35" s="199">
        <f t="shared" si="7"/>
        <v>344000</v>
      </c>
    </row>
    <row r="36" spans="1:19" x14ac:dyDescent="0.25">
      <c r="A36" s="197">
        <f t="shared" si="0"/>
        <v>32</v>
      </c>
      <c r="B36" s="76">
        <f t="shared" si="2"/>
        <v>17.87</v>
      </c>
      <c r="C36" s="77">
        <f>IF(G36&lt;&gt;"",IFERROR(ROUND(VLOOKUP(G36,ProductList!J:AO,32,FALSE),0),""),"")</f>
        <v>1366</v>
      </c>
      <c r="D36" s="73">
        <f>IF(E36&lt;&gt;"",IF(D35&lt;&gt;"",D35,#REF!)+1,"")</f>
        <v>32</v>
      </c>
      <c r="E36" s="73" t="str">
        <v>10063011</v>
      </c>
      <c r="F36" s="73">
        <v>3741521</v>
      </c>
      <c r="G36" s="122" t="str">
        <v>BASMATI RICE 1 KG</v>
      </c>
      <c r="H36" s="104">
        <v>1000</v>
      </c>
      <c r="I36" s="73">
        <v>150</v>
      </c>
      <c r="J36" s="73">
        <v>3150</v>
      </c>
      <c r="K36" s="6">
        <v>1400</v>
      </c>
      <c r="L36" s="75">
        <f t="shared" si="3"/>
        <v>4410000</v>
      </c>
      <c r="M36" s="75"/>
      <c r="N36" s="75" t="str">
        <f t="shared" si="4"/>
        <v/>
      </c>
      <c r="O36" s="204">
        <f t="shared" si="1"/>
        <v>1400</v>
      </c>
      <c r="P36" s="199">
        <f t="shared" si="5"/>
        <v>4410000</v>
      </c>
      <c r="Q36" s="4"/>
      <c r="R36" s="199" t="str">
        <f t="shared" si="6"/>
        <v/>
      </c>
      <c r="S36" s="199">
        <f t="shared" si="7"/>
        <v>4410000</v>
      </c>
    </row>
    <row r="37" spans="1:19" x14ac:dyDescent="0.25">
      <c r="A37" s="197">
        <f t="shared" si="0"/>
        <v>33</v>
      </c>
      <c r="B37" s="76">
        <f t="shared" si="2"/>
        <v>5.64</v>
      </c>
      <c r="C37" s="77">
        <f>IF(G37&lt;&gt;"",IFERROR(ROUND(VLOOKUP(G37,ProductList!J:AO,32,FALSE),0),""),"")</f>
        <v>1366</v>
      </c>
      <c r="D37" s="73">
        <f>IF(E37&lt;&gt;"",IF(D36&lt;&gt;"",D36,#REF!)+1,"")</f>
        <v>33</v>
      </c>
      <c r="E37" s="73" t="str">
        <v>10063011</v>
      </c>
      <c r="F37" s="73">
        <v>662639</v>
      </c>
      <c r="G37" s="122" t="str">
        <v>BASMATI RICE 1 KG</v>
      </c>
      <c r="H37" s="104">
        <v>1000</v>
      </c>
      <c r="I37" s="73">
        <v>25</v>
      </c>
      <c r="J37" s="73">
        <v>500</v>
      </c>
      <c r="K37" s="6">
        <v>1400</v>
      </c>
      <c r="L37" s="75">
        <f t="shared" si="3"/>
        <v>700000</v>
      </c>
      <c r="M37" s="75"/>
      <c r="N37" s="75" t="str">
        <f t="shared" si="4"/>
        <v/>
      </c>
      <c r="O37" s="204">
        <f t="shared" si="1"/>
        <v>1400</v>
      </c>
      <c r="P37" s="199">
        <f t="shared" si="5"/>
        <v>700000</v>
      </c>
      <c r="Q37" s="4"/>
      <c r="R37" s="199" t="str">
        <f t="shared" si="6"/>
        <v/>
      </c>
      <c r="S37" s="199">
        <f t="shared" si="7"/>
        <v>700000</v>
      </c>
    </row>
    <row r="38" spans="1:19" x14ac:dyDescent="0.25">
      <c r="A38" s="197">
        <f t="shared" si="0"/>
        <v>34</v>
      </c>
      <c r="B38" s="76">
        <f t="shared" si="2"/>
        <v>16.829999999999998</v>
      </c>
      <c r="C38" s="77">
        <f>IF(G38&lt;&gt;"",IFERROR(ROUND(VLOOKUP(G38,ProductList!J:AO,32,FALSE),0),""),"")</f>
        <v>5905</v>
      </c>
      <c r="D38" s="73">
        <f>IF(E38&lt;&gt;"",IF(D37&lt;&gt;"",D37,#REF!)+1,"")</f>
        <v>34</v>
      </c>
      <c r="E38" s="73" t="str">
        <v>04059000</v>
      </c>
      <c r="F38" s="73">
        <v>92441</v>
      </c>
      <c r="G38" s="122" t="str">
        <v>SATTVAM GHEE  1 LT</v>
      </c>
      <c r="H38" s="104">
        <v>1000</v>
      </c>
      <c r="I38" s="73">
        <v>1</v>
      </c>
      <c r="J38" s="73">
        <v>18</v>
      </c>
      <c r="K38" s="6">
        <v>6000</v>
      </c>
      <c r="L38" s="75">
        <f t="shared" si="3"/>
        <v>108000</v>
      </c>
      <c r="M38" s="75"/>
      <c r="N38" s="75" t="str">
        <f t="shared" si="4"/>
        <v/>
      </c>
      <c r="O38" s="204">
        <f t="shared" si="1"/>
        <v>6000</v>
      </c>
      <c r="P38" s="199">
        <f t="shared" si="5"/>
        <v>108000</v>
      </c>
      <c r="Q38" s="4"/>
      <c r="R38" s="199" t="str">
        <f t="shared" si="6"/>
        <v/>
      </c>
      <c r="S38" s="199">
        <f t="shared" si="7"/>
        <v>108000</v>
      </c>
    </row>
    <row r="39" spans="1:19" x14ac:dyDescent="0.25">
      <c r="A39" s="197">
        <f t="shared" si="0"/>
        <v>35</v>
      </c>
      <c r="B39" s="76">
        <f t="shared" si="2"/>
        <v>16.61</v>
      </c>
      <c r="C39" s="77">
        <f>IF(G39&lt;&gt;"",IFERROR(ROUND(VLOOKUP(G39,ProductList!J:AO,32,FALSE),0),""),"")</f>
        <v>118</v>
      </c>
      <c r="D39" s="73">
        <f>IF(E39&lt;&gt;"",IF(D38&lt;&gt;"",D38,#REF!)+1,"")</f>
        <v>35</v>
      </c>
      <c r="E39" s="73" t="str">
        <v>21069099</v>
      </c>
      <c r="F39" s="73">
        <v>197576</v>
      </c>
      <c r="G39" s="122" t="str">
        <v>PAYASAM MIX 75 G</v>
      </c>
      <c r="H39" s="104">
        <v>75</v>
      </c>
      <c r="I39" s="73">
        <v>20</v>
      </c>
      <c r="J39" s="73">
        <v>1920</v>
      </c>
      <c r="K39" s="6">
        <v>120</v>
      </c>
      <c r="L39" s="75">
        <f t="shared" si="3"/>
        <v>230400</v>
      </c>
      <c r="M39" s="75"/>
      <c r="N39" s="75" t="str">
        <f t="shared" si="4"/>
        <v/>
      </c>
      <c r="O39" s="204">
        <f t="shared" si="1"/>
        <v>120</v>
      </c>
      <c r="P39" s="199">
        <f t="shared" si="5"/>
        <v>230400</v>
      </c>
      <c r="Q39" s="4"/>
      <c r="R39" s="199" t="str">
        <f t="shared" si="6"/>
        <v/>
      </c>
      <c r="S39" s="199">
        <f t="shared" si="7"/>
        <v>230400</v>
      </c>
    </row>
    <row r="40" spans="1:19" x14ac:dyDescent="0.25">
      <c r="A40" s="197">
        <f t="shared" si="0"/>
        <v>36</v>
      </c>
      <c r="B40" s="76">
        <f t="shared" si="2"/>
        <v>97.45</v>
      </c>
      <c r="C40" s="77">
        <f>IF(G40&lt;&gt;"",IFERROR(ROUND(VLOOKUP(G40,ProductList!J:AO,32,FALSE),0),""),"")</f>
        <v>6</v>
      </c>
      <c r="D40" s="73">
        <f>IF(E40&lt;&gt;"",IF(D39&lt;&gt;"",D39,#REF!)+1,"")</f>
        <v>36</v>
      </c>
      <c r="E40" s="73" t="str">
        <v>21069099</v>
      </c>
      <c r="F40" s="73">
        <v>243094</v>
      </c>
      <c r="G40" s="122" t="str">
        <v>MAGGI MASALA 66 G</v>
      </c>
      <c r="H40" s="104">
        <v>6</v>
      </c>
      <c r="I40" s="73">
        <v>1</v>
      </c>
      <c r="J40" s="73">
        <v>60000</v>
      </c>
      <c r="K40" s="6">
        <v>8</v>
      </c>
      <c r="L40" s="75">
        <f t="shared" si="3"/>
        <v>480000</v>
      </c>
      <c r="M40" s="75"/>
      <c r="N40" s="75" t="str">
        <f t="shared" si="4"/>
        <v/>
      </c>
      <c r="O40" s="204">
        <f t="shared" si="1"/>
        <v>8</v>
      </c>
      <c r="P40" s="199">
        <f t="shared" si="5"/>
        <v>480000</v>
      </c>
      <c r="Q40" s="4"/>
      <c r="R40" s="199" t="str">
        <f t="shared" si="6"/>
        <v/>
      </c>
      <c r="S40" s="199">
        <f t="shared" si="7"/>
        <v>480000</v>
      </c>
    </row>
    <row r="41" spans="1:19" x14ac:dyDescent="0.25">
      <c r="A41" s="197">
        <f t="shared" si="0"/>
        <v>37</v>
      </c>
      <c r="B41" s="76">
        <f t="shared" si="2"/>
        <v>22.3</v>
      </c>
      <c r="C41" s="77">
        <f>IF(G41&lt;&gt;"",IFERROR(ROUND(VLOOKUP(G41,ProductList!J:AO,32,FALSE),0),""),"")</f>
        <v>1317</v>
      </c>
      <c r="D41" s="73">
        <f>IF(E41&lt;&gt;"",IF(D40&lt;&gt;"",D40,#REF!)+1,"")</f>
        <v>37</v>
      </c>
      <c r="E41" s="73" t="str">
        <v>10063011</v>
      </c>
      <c r="F41" s="73">
        <v>68684</v>
      </c>
      <c r="G41" s="122" t="str">
        <v>SEERAGA RICE 1 KG</v>
      </c>
      <c r="H41" s="104">
        <v>1000</v>
      </c>
      <c r="I41" s="73">
        <v>5</v>
      </c>
      <c r="J41" s="73">
        <v>60</v>
      </c>
      <c r="K41" s="6">
        <v>1400</v>
      </c>
      <c r="L41" s="75">
        <f t="shared" si="3"/>
        <v>84000</v>
      </c>
      <c r="M41" s="75"/>
      <c r="N41" s="75" t="str">
        <f t="shared" si="4"/>
        <v/>
      </c>
      <c r="O41" s="204">
        <f t="shared" si="1"/>
        <v>1400</v>
      </c>
      <c r="P41" s="199">
        <f t="shared" si="5"/>
        <v>84000</v>
      </c>
      <c r="Q41" s="6"/>
      <c r="R41" s="199" t="str">
        <f t="shared" si="6"/>
        <v/>
      </c>
      <c r="S41" s="199">
        <f t="shared" si="7"/>
        <v>84000</v>
      </c>
    </row>
    <row r="42" spans="1:19" x14ac:dyDescent="0.25">
      <c r="A42" s="197">
        <f t="shared" si="0"/>
        <v>38</v>
      </c>
      <c r="B42" s="76">
        <f t="shared" si="2"/>
        <v>17.39</v>
      </c>
      <c r="C42" s="77">
        <f>IF(G42&lt;&gt;"",IFERROR(ROUND(VLOOKUP(G42,ProductList!J:AO,32,FALSE),0),""),"")</f>
        <v>1366</v>
      </c>
      <c r="D42" s="73">
        <f>IF(E42&lt;&gt;"",IF(D41&lt;&gt;"",D41,#REF!)+1,"")</f>
        <v>38</v>
      </c>
      <c r="E42" s="73" t="str">
        <v>10063011</v>
      </c>
      <c r="F42" s="73">
        <v>1252269</v>
      </c>
      <c r="G42" s="122" t="str">
        <v>BASMATI RICE 1 KG</v>
      </c>
      <c r="H42" s="104">
        <v>1000</v>
      </c>
      <c r="I42" s="73">
        <v>50</v>
      </c>
      <c r="J42" s="73">
        <v>1050</v>
      </c>
      <c r="K42" s="6">
        <v>1400</v>
      </c>
      <c r="L42" s="75">
        <f t="shared" si="3"/>
        <v>1470000</v>
      </c>
      <c r="M42" s="75"/>
      <c r="N42" s="75" t="str">
        <f t="shared" si="4"/>
        <v/>
      </c>
      <c r="O42" s="204">
        <f t="shared" si="1"/>
        <v>1400</v>
      </c>
      <c r="P42" s="199">
        <f t="shared" si="5"/>
        <v>1470000</v>
      </c>
      <c r="Q42" s="6"/>
      <c r="R42" s="199" t="str">
        <f t="shared" si="6"/>
        <v/>
      </c>
      <c r="S42" s="199">
        <f t="shared" si="7"/>
        <v>1470000</v>
      </c>
    </row>
    <row r="43" spans="1:19" x14ac:dyDescent="0.25">
      <c r="A43" s="197">
        <f t="shared" si="0"/>
        <v>39</v>
      </c>
      <c r="B43" s="76">
        <f t="shared" si="2"/>
        <v>15.83</v>
      </c>
      <c r="C43" s="77">
        <f>IF(G43&lt;&gt;"",IFERROR(ROUND(VLOOKUP(G43,ProductList!J:AO,32,FALSE),0),""),"")</f>
        <v>883</v>
      </c>
      <c r="D43" s="73">
        <f>IF(E43&lt;&gt;"",IF(D42&lt;&gt;"",D42,#REF!)+1,"")</f>
        <v>39</v>
      </c>
      <c r="E43" s="73" t="str">
        <v>21069060</v>
      </c>
      <c r="F43" s="73">
        <v>230510</v>
      </c>
      <c r="G43" s="122" t="str">
        <v xml:space="preserve">POPALAR APPALAM </v>
      </c>
      <c r="H43" s="104">
        <v>200</v>
      </c>
      <c r="I43" s="73">
        <v>3</v>
      </c>
      <c r="J43" s="73">
        <v>300</v>
      </c>
      <c r="K43" s="6">
        <v>890</v>
      </c>
      <c r="L43" s="75">
        <f t="shared" si="3"/>
        <v>267000</v>
      </c>
      <c r="M43" s="75"/>
      <c r="N43" s="75" t="str">
        <f t="shared" si="4"/>
        <v/>
      </c>
      <c r="O43" s="204">
        <f t="shared" si="1"/>
        <v>890</v>
      </c>
      <c r="P43" s="199">
        <f t="shared" si="5"/>
        <v>267000</v>
      </c>
      <c r="Q43" s="6"/>
      <c r="R43" s="199" t="str">
        <f t="shared" si="6"/>
        <v/>
      </c>
      <c r="S43" s="199">
        <f t="shared" si="7"/>
        <v>267000</v>
      </c>
    </row>
    <row r="44" spans="1:19" x14ac:dyDescent="0.25">
      <c r="A44" s="197">
        <f t="shared" si="0"/>
        <v>40</v>
      </c>
      <c r="B44" s="76">
        <f t="shared" si="2"/>
        <v>14.89</v>
      </c>
      <c r="C44" s="77">
        <f>IF(G44&lt;&gt;"",IFERROR(ROUND(VLOOKUP(G44,ProductList!J:AO,32,FALSE),0),""),"")</f>
        <v>3604</v>
      </c>
      <c r="D44" s="73">
        <f>IF(E44&lt;&gt;"",IF(D43&lt;&gt;"",D43,#REF!)+1,"")</f>
        <v>40</v>
      </c>
      <c r="E44" s="73" t="str">
        <v>48194090</v>
      </c>
      <c r="F44" s="73">
        <v>3133.5</v>
      </c>
      <c r="G44" s="122" t="str">
        <v xml:space="preserve">GIFT BAGS </v>
      </c>
      <c r="H44" s="104">
        <v>9500</v>
      </c>
      <c r="I44" s="73">
        <v>1</v>
      </c>
      <c r="J44" s="73">
        <v>1</v>
      </c>
      <c r="K44" s="6">
        <v>3600</v>
      </c>
      <c r="L44" s="75">
        <f t="shared" si="3"/>
        <v>3600</v>
      </c>
      <c r="M44" s="75"/>
      <c r="N44" s="75" t="str">
        <f t="shared" si="4"/>
        <v/>
      </c>
      <c r="O44" s="204">
        <f t="shared" si="1"/>
        <v>3600</v>
      </c>
      <c r="P44" s="199">
        <f t="shared" si="5"/>
        <v>3600</v>
      </c>
      <c r="Q44" s="4"/>
      <c r="R44" s="199" t="str">
        <f t="shared" si="6"/>
        <v/>
      </c>
      <c r="S44" s="199">
        <f t="shared" si="7"/>
        <v>3600</v>
      </c>
    </row>
    <row r="45" spans="1:19" x14ac:dyDescent="0.25">
      <c r="A45" s="197">
        <f t="shared" si="0"/>
        <v>41</v>
      </c>
      <c r="B45" s="76">
        <f t="shared" si="2"/>
        <v>15.16</v>
      </c>
      <c r="C45" s="77">
        <f>IF(G45&lt;&gt;"",IFERROR(ROUND(VLOOKUP(G45,ProductList!J:AO,32,FALSE),0),""),"")</f>
        <v>430</v>
      </c>
      <c r="D45" s="73">
        <f>IF(E45&lt;&gt;"",IF(D44&lt;&gt;"",D44,#REF!)+1,"")</f>
        <v>41</v>
      </c>
      <c r="E45" s="73" t="str">
        <v>73239900</v>
      </c>
      <c r="F45" s="73">
        <v>186689</v>
      </c>
      <c r="G45" s="122" t="str">
        <v>PLATES</v>
      </c>
      <c r="H45" s="104">
        <v>104</v>
      </c>
      <c r="I45" s="73">
        <v>2</v>
      </c>
      <c r="J45" s="73">
        <v>500</v>
      </c>
      <c r="K45" s="6">
        <v>430</v>
      </c>
      <c r="L45" s="75">
        <f t="shared" si="3"/>
        <v>215000</v>
      </c>
      <c r="M45" s="75"/>
      <c r="N45" s="75" t="str">
        <f t="shared" si="4"/>
        <v/>
      </c>
      <c r="O45" s="204">
        <f t="shared" si="1"/>
        <v>430</v>
      </c>
      <c r="P45" s="199">
        <f t="shared" si="5"/>
        <v>215000</v>
      </c>
      <c r="Q45" s="4"/>
      <c r="R45" s="199" t="str">
        <f t="shared" si="6"/>
        <v/>
      </c>
      <c r="S45" s="199">
        <f t="shared" si="7"/>
        <v>215000</v>
      </c>
    </row>
    <row r="46" spans="1:19" x14ac:dyDescent="0.25">
      <c r="A46" s="197">
        <f t="shared" si="0"/>
        <v>42</v>
      </c>
      <c r="B46" s="76">
        <f t="shared" si="2"/>
        <v>16.66</v>
      </c>
      <c r="C46" s="77">
        <f>IF(G46&lt;&gt;"",IFERROR(ROUND(VLOOKUP(G46,ProductList!J:AO,32,FALSE),0),""),"")</f>
        <v>473</v>
      </c>
      <c r="D46" s="73">
        <f>IF(E46&lt;&gt;"",IF(D45&lt;&gt;"",D45,#REF!)+1,"")</f>
        <v>42</v>
      </c>
      <c r="E46" s="73" t="str">
        <v>21069099</v>
      </c>
      <c r="F46" s="73">
        <v>39499</v>
      </c>
      <c r="G46" s="122" t="str">
        <v>CORNFLAKES MIXTURE STANDY POUCH 200 GM</v>
      </c>
      <c r="H46" s="104">
        <v>200</v>
      </c>
      <c r="I46" s="73">
        <v>4</v>
      </c>
      <c r="J46" s="73">
        <v>96</v>
      </c>
      <c r="K46" s="6">
        <v>480</v>
      </c>
      <c r="L46" s="75">
        <f t="shared" si="3"/>
        <v>46080</v>
      </c>
      <c r="M46" s="75"/>
      <c r="N46" s="75" t="str">
        <f t="shared" si="4"/>
        <v/>
      </c>
      <c r="O46" s="204">
        <f t="shared" si="1"/>
        <v>480</v>
      </c>
      <c r="P46" s="199">
        <f t="shared" si="5"/>
        <v>46080</v>
      </c>
      <c r="Q46" s="4"/>
      <c r="R46" s="199" t="str">
        <f t="shared" si="6"/>
        <v/>
      </c>
      <c r="S46" s="199">
        <f t="shared" si="7"/>
        <v>46080</v>
      </c>
    </row>
    <row r="47" spans="1:19" x14ac:dyDescent="0.25">
      <c r="A47" s="197">
        <f t="shared" si="0"/>
        <v>43</v>
      </c>
      <c r="B47" s="76">
        <f t="shared" si="2"/>
        <v>15.32</v>
      </c>
      <c r="C47" s="77">
        <f>IF(G47&lt;&gt;"",IFERROR(ROUND(VLOOKUP(G47,ProductList!J:AO,32,FALSE),0),""),"")</f>
        <v>389</v>
      </c>
      <c r="D47" s="73">
        <f>IF(E47&lt;&gt;"",IF(D46&lt;&gt;"",D46,#REF!)+1,"")</f>
        <v>43</v>
      </c>
      <c r="E47" s="73" t="str">
        <v>21069099</v>
      </c>
      <c r="F47" s="73">
        <v>101453</v>
      </c>
      <c r="G47" s="122" t="str">
        <v xml:space="preserve">BHUJIA SEV 200 GM </v>
      </c>
      <c r="H47" s="104">
        <v>200</v>
      </c>
      <c r="I47" s="73">
        <v>5</v>
      </c>
      <c r="J47" s="73">
        <v>300</v>
      </c>
      <c r="K47" s="6">
        <v>390</v>
      </c>
      <c r="L47" s="75">
        <f t="shared" si="3"/>
        <v>117000</v>
      </c>
      <c r="M47" s="75"/>
      <c r="N47" s="75" t="str">
        <f t="shared" si="4"/>
        <v/>
      </c>
      <c r="O47" s="204">
        <f t="shared" si="1"/>
        <v>390</v>
      </c>
      <c r="P47" s="199">
        <f t="shared" si="5"/>
        <v>117000</v>
      </c>
      <c r="Q47" s="6"/>
      <c r="R47" s="199" t="str">
        <f t="shared" si="6"/>
        <v/>
      </c>
      <c r="S47" s="199">
        <f t="shared" si="7"/>
        <v>117000</v>
      </c>
    </row>
    <row r="48" spans="1:19" x14ac:dyDescent="0.25">
      <c r="A48" s="197">
        <f t="shared" si="0"/>
        <v>44</v>
      </c>
      <c r="B48" s="76">
        <f t="shared" si="2"/>
        <v>15.14</v>
      </c>
      <c r="C48" s="77">
        <f>IF(G48&lt;&gt;"",IFERROR(ROUND(VLOOKUP(G48,ProductList!J:AO,32,FALSE),0),""),"")</f>
        <v>480</v>
      </c>
      <c r="D48" s="73">
        <f>IF(E48&lt;&gt;"",IF(D47&lt;&gt;"",D47,#REF!)+1,"")</f>
        <v>44</v>
      </c>
      <c r="E48" s="73" t="str">
        <v>21069099</v>
      </c>
      <c r="F48" s="73">
        <v>100048</v>
      </c>
      <c r="G48" s="122" t="str">
        <v xml:space="preserve">BHELPURI 270 GM </v>
      </c>
      <c r="H48" s="104">
        <v>270</v>
      </c>
      <c r="I48" s="73">
        <v>5</v>
      </c>
      <c r="J48" s="73">
        <v>240</v>
      </c>
      <c r="K48" s="6">
        <v>480</v>
      </c>
      <c r="L48" s="75">
        <f t="shared" si="3"/>
        <v>115200</v>
      </c>
      <c r="M48" s="75"/>
      <c r="N48" s="75" t="str">
        <f t="shared" si="4"/>
        <v/>
      </c>
      <c r="O48" s="204">
        <f t="shared" si="1"/>
        <v>480</v>
      </c>
      <c r="P48" s="199">
        <f t="shared" si="5"/>
        <v>115200</v>
      </c>
      <c r="Q48" s="6"/>
      <c r="R48" s="199" t="str">
        <f t="shared" si="6"/>
        <v/>
      </c>
      <c r="S48" s="199">
        <f t="shared" si="7"/>
        <v>115200</v>
      </c>
    </row>
    <row r="49" spans="1:19" x14ac:dyDescent="0.25">
      <c r="A49" s="197">
        <f t="shared" si="0"/>
        <v>45</v>
      </c>
      <c r="B49" s="76">
        <f t="shared" si="2"/>
        <v>15.29</v>
      </c>
      <c r="C49" s="77">
        <f>IF(G49&lt;&gt;"",IFERROR(ROUND(VLOOKUP(G49,ProductList!J:AO,32,FALSE),0),""),"")</f>
        <v>369</v>
      </c>
      <c r="D49" s="73">
        <f>IF(E49&lt;&gt;"",IF(D48&lt;&gt;"",D48,#REF!)+1,"")</f>
        <v>45</v>
      </c>
      <c r="E49" s="73" t="str">
        <v>21069099</v>
      </c>
      <c r="F49" s="73">
        <v>77024</v>
      </c>
      <c r="G49" s="122" t="str">
        <v xml:space="preserve">KHARI BOONDI 200 GM </v>
      </c>
      <c r="H49" s="104">
        <v>200</v>
      </c>
      <c r="I49" s="73">
        <v>10</v>
      </c>
      <c r="J49" s="73">
        <v>240</v>
      </c>
      <c r="K49" s="6">
        <v>370</v>
      </c>
      <c r="L49" s="75">
        <f t="shared" si="3"/>
        <v>88800</v>
      </c>
      <c r="M49" s="75"/>
      <c r="N49" s="75" t="str">
        <f t="shared" si="4"/>
        <v/>
      </c>
      <c r="O49" s="204">
        <f t="shared" si="1"/>
        <v>370</v>
      </c>
      <c r="P49" s="199">
        <f t="shared" si="5"/>
        <v>88800</v>
      </c>
      <c r="Q49" s="6"/>
      <c r="R49" s="199" t="str">
        <f t="shared" si="6"/>
        <v/>
      </c>
      <c r="S49" s="199">
        <f t="shared" si="7"/>
        <v>88800</v>
      </c>
    </row>
    <row r="50" spans="1:19" x14ac:dyDescent="0.25">
      <c r="A50" s="197">
        <f t="shared" si="0"/>
        <v>46</v>
      </c>
      <c r="B50" s="76">
        <f t="shared" si="2"/>
        <v>15.32</v>
      </c>
      <c r="C50" s="77">
        <f>IF(G50&lt;&gt;"",IFERROR(ROUND(VLOOKUP(G50,ProductList!J:AO,32,FALSE),0),""),"")</f>
        <v>389</v>
      </c>
      <c r="D50" s="73">
        <f>IF(E50&lt;&gt;"",IF(D49&lt;&gt;"",D49,#REF!)+1,"")</f>
        <v>46</v>
      </c>
      <c r="E50" s="73" t="str">
        <v>21069099</v>
      </c>
      <c r="F50" s="73">
        <v>40581</v>
      </c>
      <c r="G50" s="122" t="str">
        <v xml:space="preserve">NAVRATAN MIX 200 GM </v>
      </c>
      <c r="H50" s="104">
        <v>200</v>
      </c>
      <c r="I50" s="73">
        <v>5</v>
      </c>
      <c r="J50" s="73">
        <v>120</v>
      </c>
      <c r="K50" s="6">
        <v>390</v>
      </c>
      <c r="L50" s="75">
        <f t="shared" si="3"/>
        <v>46800</v>
      </c>
      <c r="M50" s="75"/>
      <c r="N50" s="75" t="str">
        <f t="shared" si="4"/>
        <v/>
      </c>
      <c r="O50" s="204">
        <f t="shared" si="1"/>
        <v>390</v>
      </c>
      <c r="P50" s="199">
        <f t="shared" si="5"/>
        <v>46800</v>
      </c>
      <c r="Q50" s="4"/>
      <c r="R50" s="199" t="str">
        <f t="shared" si="6"/>
        <v/>
      </c>
      <c r="S50" s="199">
        <f t="shared" si="7"/>
        <v>46800</v>
      </c>
    </row>
    <row r="51" spans="1:19" x14ac:dyDescent="0.25">
      <c r="A51" s="197">
        <f t="shared" si="0"/>
        <v>47</v>
      </c>
      <c r="B51" s="76">
        <f t="shared" si="2"/>
        <v>15.32</v>
      </c>
      <c r="C51" s="77">
        <f>IF(G51&lt;&gt;"",IFERROR(ROUND(VLOOKUP(G51,ProductList!J:AO,32,FALSE),0),""),"")</f>
        <v>389</v>
      </c>
      <c r="D51" s="73">
        <f>IF(E51&lt;&gt;"",IF(D50&lt;&gt;"",D50,#REF!)+1,"")</f>
        <v>47</v>
      </c>
      <c r="E51" s="73" t="str">
        <v>21069099</v>
      </c>
      <c r="F51" s="73">
        <v>101453</v>
      </c>
      <c r="G51" s="122" t="str">
        <v xml:space="preserve">ALL IN ONE 200 GM </v>
      </c>
      <c r="H51" s="104">
        <v>200</v>
      </c>
      <c r="I51" s="73">
        <v>5</v>
      </c>
      <c r="J51" s="73">
        <v>300</v>
      </c>
      <c r="K51" s="6">
        <v>390</v>
      </c>
      <c r="L51" s="75">
        <f t="shared" si="3"/>
        <v>117000</v>
      </c>
      <c r="M51" s="75"/>
      <c r="N51" s="75" t="str">
        <f t="shared" si="4"/>
        <v/>
      </c>
      <c r="O51" s="204">
        <f t="shared" si="1"/>
        <v>390</v>
      </c>
      <c r="P51" s="199">
        <f t="shared" si="5"/>
        <v>117000</v>
      </c>
      <c r="Q51" s="6"/>
      <c r="R51" s="199" t="str">
        <f t="shared" si="6"/>
        <v/>
      </c>
      <c r="S51" s="199">
        <f t="shared" si="7"/>
        <v>117000</v>
      </c>
    </row>
    <row r="52" spans="1:19" x14ac:dyDescent="0.25">
      <c r="A52" s="197">
        <f t="shared" si="0"/>
        <v>48</v>
      </c>
      <c r="B52" s="76">
        <f t="shared" si="2"/>
        <v>15.29</v>
      </c>
      <c r="C52" s="77">
        <f>IF(G52&lt;&gt;"",IFERROR(ROUND(VLOOKUP(G52,ProductList!J:AO,32,FALSE),0),""),"")</f>
        <v>369</v>
      </c>
      <c r="D52" s="73">
        <f>IF(E52&lt;&gt;"",IF(D51&lt;&gt;"",D51,#REF!)+1,"")</f>
        <v>48</v>
      </c>
      <c r="E52" s="73" t="str">
        <v>21069099</v>
      </c>
      <c r="F52" s="73">
        <v>48138</v>
      </c>
      <c r="G52" s="122" t="str">
        <v xml:space="preserve">ALOO BHUJIA 200GM </v>
      </c>
      <c r="H52" s="104">
        <v>200</v>
      </c>
      <c r="I52" s="73">
        <v>3</v>
      </c>
      <c r="J52" s="73">
        <v>150</v>
      </c>
      <c r="K52" s="6">
        <v>370</v>
      </c>
      <c r="L52" s="75">
        <f t="shared" si="3"/>
        <v>55500</v>
      </c>
      <c r="M52" s="75"/>
      <c r="N52" s="75" t="str">
        <f t="shared" si="4"/>
        <v/>
      </c>
      <c r="O52" s="204">
        <f t="shared" si="1"/>
        <v>370</v>
      </c>
      <c r="P52" s="199">
        <f t="shared" si="5"/>
        <v>55500</v>
      </c>
      <c r="Q52" s="6"/>
      <c r="R52" s="199" t="str">
        <f t="shared" si="6"/>
        <v/>
      </c>
      <c r="S52" s="199">
        <f t="shared" si="7"/>
        <v>55500</v>
      </c>
    </row>
    <row r="53" spans="1:19" x14ac:dyDescent="0.25">
      <c r="A53" s="197">
        <f t="shared" si="0"/>
        <v>49</v>
      </c>
      <c r="B53" s="76">
        <f t="shared" si="2"/>
        <v>16.920000000000002</v>
      </c>
      <c r="C53" s="77">
        <f>IF(G53&lt;&gt;"",IFERROR(ROUND(VLOOKUP(G53,ProductList!J:AO,32,FALSE),0),""),"")</f>
        <v>344</v>
      </c>
      <c r="D53" s="73">
        <f>IF(E53&lt;&gt;"",IF(D52&lt;&gt;"",D52,#REF!)+1,"")</f>
        <v>49</v>
      </c>
      <c r="E53" s="73" t="str">
        <v>21069099</v>
      </c>
      <c r="F53" s="73">
        <v>44904</v>
      </c>
      <c r="G53" s="122" t="str">
        <v xml:space="preserve">KHATTA MEETHA 200 GM </v>
      </c>
      <c r="H53" s="104">
        <v>200</v>
      </c>
      <c r="I53" s="73">
        <v>3</v>
      </c>
      <c r="J53" s="73">
        <v>150</v>
      </c>
      <c r="K53" s="6">
        <v>350</v>
      </c>
      <c r="L53" s="75">
        <f t="shared" si="3"/>
        <v>52500</v>
      </c>
      <c r="M53" s="75"/>
      <c r="N53" s="75" t="str">
        <f t="shared" si="4"/>
        <v/>
      </c>
      <c r="O53" s="204">
        <f t="shared" si="1"/>
        <v>350</v>
      </c>
      <c r="P53" s="199">
        <f t="shared" si="5"/>
        <v>52500</v>
      </c>
      <c r="Q53" s="6"/>
      <c r="R53" s="199" t="str">
        <f t="shared" si="6"/>
        <v/>
      </c>
      <c r="S53" s="199">
        <f t="shared" si="7"/>
        <v>52500</v>
      </c>
    </row>
    <row r="54" spans="1:19" x14ac:dyDescent="0.25">
      <c r="A54" s="197">
        <f t="shared" si="0"/>
        <v>50</v>
      </c>
      <c r="B54" s="76">
        <f t="shared" si="2"/>
        <v>15.29</v>
      </c>
      <c r="C54" s="77">
        <f>IF(G54&lt;&gt;"",IFERROR(ROUND(VLOOKUP(G54,ProductList!J:AO,32,FALSE),0),""),"")</f>
        <v>369</v>
      </c>
      <c r="D54" s="73">
        <f>IF(E54&lt;&gt;"",IF(D53&lt;&gt;"",D53,#REF!)+1,"")</f>
        <v>50</v>
      </c>
      <c r="E54" s="73" t="str">
        <v>21069099</v>
      </c>
      <c r="F54" s="73">
        <v>77024</v>
      </c>
      <c r="G54" s="122" t="str">
        <v xml:space="preserve">SALTED PEANUTS 200 GM </v>
      </c>
      <c r="H54" s="104">
        <v>200</v>
      </c>
      <c r="I54" s="73">
        <v>10</v>
      </c>
      <c r="J54" s="73">
        <v>240</v>
      </c>
      <c r="K54" s="6">
        <v>370</v>
      </c>
      <c r="L54" s="75">
        <f t="shared" si="3"/>
        <v>88800</v>
      </c>
      <c r="M54" s="75"/>
      <c r="N54" s="75" t="str">
        <f t="shared" si="4"/>
        <v/>
      </c>
      <c r="O54" s="204">
        <f t="shared" si="1"/>
        <v>370</v>
      </c>
      <c r="P54" s="199">
        <f t="shared" si="5"/>
        <v>88800</v>
      </c>
      <c r="Q54" s="4"/>
      <c r="R54" s="199" t="str">
        <f t="shared" si="6"/>
        <v/>
      </c>
      <c r="S54" s="199">
        <f t="shared" si="7"/>
        <v>88800</v>
      </c>
    </row>
    <row r="55" spans="1:19" x14ac:dyDescent="0.25">
      <c r="A55" s="197">
        <f t="shared" si="0"/>
        <v>51</v>
      </c>
      <c r="B55" s="76">
        <f t="shared" si="2"/>
        <v>16.899999999999999</v>
      </c>
      <c r="C55" s="77">
        <f>IF(G55&lt;&gt;"",IFERROR(ROUND(VLOOKUP(G55,ProductList!J:AO,32,FALSE),0),""),"")</f>
        <v>345</v>
      </c>
      <c r="D55" s="73">
        <f>IF(E55&lt;&gt;"",IF(D54&lt;&gt;"",D54,#REF!)+1,"")</f>
        <v>51</v>
      </c>
      <c r="E55" s="73" t="str">
        <v>21069099</v>
      </c>
      <c r="F55" s="73">
        <v>21557</v>
      </c>
      <c r="G55" s="122" t="str">
        <v xml:space="preserve">DAL BIJI 200 GM </v>
      </c>
      <c r="H55" s="104">
        <v>200</v>
      </c>
      <c r="I55" s="73">
        <v>3</v>
      </c>
      <c r="J55" s="73">
        <v>72</v>
      </c>
      <c r="K55" s="6">
        <v>350</v>
      </c>
      <c r="L55" s="75">
        <f t="shared" si="3"/>
        <v>25200</v>
      </c>
      <c r="M55" s="75"/>
      <c r="N55" s="75" t="str">
        <f t="shared" si="4"/>
        <v/>
      </c>
      <c r="O55" s="204">
        <f t="shared" si="1"/>
        <v>350</v>
      </c>
      <c r="P55" s="199">
        <f t="shared" si="5"/>
        <v>25200</v>
      </c>
      <c r="Q55" s="4"/>
      <c r="R55" s="199" t="str">
        <f t="shared" si="6"/>
        <v/>
      </c>
      <c r="S55" s="199">
        <f t="shared" si="7"/>
        <v>25200</v>
      </c>
    </row>
    <row r="56" spans="1:19" x14ac:dyDescent="0.25">
      <c r="A56" s="197">
        <f t="shared" si="0"/>
        <v>52</v>
      </c>
      <c r="B56" s="76">
        <f t="shared" si="2"/>
        <v>16.91</v>
      </c>
      <c r="C56" s="77">
        <f>IF(G56&lt;&gt;"",IFERROR(ROUND(VLOOKUP(G56,ProductList!J:AO,32,FALSE),0),""),"")</f>
        <v>345</v>
      </c>
      <c r="D56" s="73">
        <f>IF(E56&lt;&gt;"",IF(D55&lt;&gt;"",D55,#REF!)+1,"")</f>
        <v>52</v>
      </c>
      <c r="E56" s="73" t="str">
        <v>21069099</v>
      </c>
      <c r="F56" s="73">
        <v>14370</v>
      </c>
      <c r="G56" s="122" t="str">
        <v xml:space="preserve">GOLDEN MIXTURE 200 GM </v>
      </c>
      <c r="H56" s="104">
        <v>200</v>
      </c>
      <c r="I56" s="73">
        <v>2</v>
      </c>
      <c r="J56" s="73">
        <v>48</v>
      </c>
      <c r="K56" s="6">
        <v>350</v>
      </c>
      <c r="L56" s="75">
        <f t="shared" si="3"/>
        <v>16800</v>
      </c>
      <c r="M56" s="75"/>
      <c r="N56" s="75" t="str">
        <f t="shared" si="4"/>
        <v/>
      </c>
      <c r="O56" s="204">
        <f t="shared" si="1"/>
        <v>350</v>
      </c>
      <c r="P56" s="199">
        <f t="shared" si="5"/>
        <v>16800</v>
      </c>
      <c r="Q56" s="4"/>
      <c r="R56" s="199" t="str">
        <f t="shared" si="6"/>
        <v/>
      </c>
      <c r="S56" s="199">
        <f t="shared" si="7"/>
        <v>16800</v>
      </c>
    </row>
    <row r="57" spans="1:19" x14ac:dyDescent="0.25">
      <c r="A57" s="197">
        <f t="shared" si="0"/>
        <v>53</v>
      </c>
      <c r="B57" s="76">
        <f t="shared" si="2"/>
        <v>18.170000000000002</v>
      </c>
      <c r="C57" s="77">
        <f>IF(G57&lt;&gt;"",IFERROR(ROUND(VLOOKUP(G57,ProductList!J:AO,32,FALSE),0),""),"")</f>
        <v>409</v>
      </c>
      <c r="D57" s="73">
        <f>IF(E57&lt;&gt;"",IF(D56&lt;&gt;"",D56,#REF!)+1,"")</f>
        <v>53</v>
      </c>
      <c r="E57" s="73" t="str">
        <v>21069099</v>
      </c>
      <c r="F57" s="73">
        <v>17060</v>
      </c>
      <c r="G57" s="122" t="str">
        <v xml:space="preserve">MURUKKU (CHAKOLI) 200 GM </v>
      </c>
      <c r="H57" s="104">
        <v>200</v>
      </c>
      <c r="I57" s="73">
        <v>2</v>
      </c>
      <c r="J57" s="73">
        <v>48</v>
      </c>
      <c r="K57" s="6">
        <v>420</v>
      </c>
      <c r="L57" s="75">
        <f t="shared" si="3"/>
        <v>20160</v>
      </c>
      <c r="M57" s="75"/>
      <c r="N57" s="75" t="str">
        <f t="shared" si="4"/>
        <v/>
      </c>
      <c r="O57" s="204">
        <f t="shared" si="1"/>
        <v>420</v>
      </c>
      <c r="P57" s="199">
        <f t="shared" si="5"/>
        <v>20160</v>
      </c>
      <c r="Q57" s="4"/>
      <c r="R57" s="199" t="str">
        <f t="shared" si="6"/>
        <v/>
      </c>
      <c r="S57" s="199">
        <f t="shared" si="7"/>
        <v>20160</v>
      </c>
    </row>
    <row r="58" spans="1:19" x14ac:dyDescent="0.25">
      <c r="A58" s="197">
        <f t="shared" si="0"/>
        <v>54</v>
      </c>
      <c r="B58" s="76">
        <f t="shared" si="2"/>
        <v>15.29</v>
      </c>
      <c r="C58" s="77">
        <f>IF(G58&lt;&gt;"",IFERROR(ROUND(VLOOKUP(G58,ProductList!J:AO,32,FALSE),0),""),"")</f>
        <v>369</v>
      </c>
      <c r="D58" s="73">
        <f>IF(E58&lt;&gt;"",IF(D57&lt;&gt;"",D57,#REF!)+1,"")</f>
        <v>54</v>
      </c>
      <c r="E58" s="73" t="str">
        <v>21069099</v>
      </c>
      <c r="F58" s="73">
        <v>23106</v>
      </c>
      <c r="G58" s="122" t="str">
        <v xml:space="preserve">PUNJABI TADKA 200 GM </v>
      </c>
      <c r="H58" s="104">
        <v>200</v>
      </c>
      <c r="I58" s="73">
        <v>3</v>
      </c>
      <c r="J58" s="73">
        <v>72</v>
      </c>
      <c r="K58" s="6">
        <v>370</v>
      </c>
      <c r="L58" s="75">
        <f t="shared" si="3"/>
        <v>26640</v>
      </c>
      <c r="M58" s="75"/>
      <c r="N58" s="75" t="str">
        <f t="shared" si="4"/>
        <v/>
      </c>
      <c r="O58" s="204">
        <f t="shared" si="1"/>
        <v>370</v>
      </c>
      <c r="P58" s="199">
        <f t="shared" si="5"/>
        <v>26640</v>
      </c>
      <c r="Q58" s="4"/>
      <c r="R58" s="199" t="str">
        <f t="shared" si="6"/>
        <v/>
      </c>
      <c r="S58" s="199">
        <f t="shared" si="7"/>
        <v>26640</v>
      </c>
    </row>
    <row r="59" spans="1:19" x14ac:dyDescent="0.25">
      <c r="A59" s="197">
        <f t="shared" si="0"/>
        <v>55</v>
      </c>
      <c r="B59" s="76">
        <f t="shared" si="2"/>
        <v>16.91</v>
      </c>
      <c r="C59" s="77">
        <f>IF(G59&lt;&gt;"",IFERROR(ROUND(VLOOKUP(G59,ProductList!J:AO,32,FALSE),0),""),"")</f>
        <v>344</v>
      </c>
      <c r="D59" s="73">
        <f>IF(E59&lt;&gt;"",IF(D58&lt;&gt;"",D58,#REF!)+1,"")</f>
        <v>55</v>
      </c>
      <c r="E59" s="73" t="str">
        <v>21069099</v>
      </c>
      <c r="F59" s="73">
        <v>35925</v>
      </c>
      <c r="G59" s="122" t="str">
        <v xml:space="preserve">RATLAMI SEV 200 GM </v>
      </c>
      <c r="H59" s="104">
        <v>200</v>
      </c>
      <c r="I59" s="73">
        <v>5</v>
      </c>
      <c r="J59" s="73">
        <v>120</v>
      </c>
      <c r="K59" s="6">
        <v>350</v>
      </c>
      <c r="L59" s="75">
        <f t="shared" si="3"/>
        <v>42000</v>
      </c>
      <c r="M59" s="75"/>
      <c r="N59" s="75" t="str">
        <f t="shared" si="4"/>
        <v/>
      </c>
      <c r="O59" s="204">
        <f t="shared" si="1"/>
        <v>350</v>
      </c>
      <c r="P59" s="199">
        <f t="shared" si="5"/>
        <v>42000</v>
      </c>
      <c r="Q59" s="4"/>
      <c r="R59" s="199" t="str">
        <f t="shared" si="6"/>
        <v/>
      </c>
      <c r="S59" s="199">
        <f t="shared" si="7"/>
        <v>42000</v>
      </c>
    </row>
    <row r="60" spans="1:19" x14ac:dyDescent="0.25">
      <c r="A60" s="197">
        <f t="shared" si="0"/>
        <v>56</v>
      </c>
      <c r="B60" s="76">
        <f t="shared" si="2"/>
        <v>16.98</v>
      </c>
      <c r="C60" s="77">
        <f>IF(G60&lt;&gt;"",IFERROR(ROUND(VLOOKUP(G60,ProductList!J:AO,32,FALSE),0),""),"")</f>
        <v>324</v>
      </c>
      <c r="D60" s="73">
        <f>IF(E60&lt;&gt;"",IF(D59&lt;&gt;"",D59,#REF!)+1,"")</f>
        <v>56</v>
      </c>
      <c r="E60" s="73" t="str">
        <v>21069099</v>
      </c>
      <c r="F60" s="73">
        <v>13541</v>
      </c>
      <c r="G60" s="122" t="str">
        <v xml:space="preserve">PAPAD CHAVANU 200 GM </v>
      </c>
      <c r="H60" s="104">
        <v>200</v>
      </c>
      <c r="I60" s="73">
        <v>2</v>
      </c>
      <c r="J60" s="73">
        <v>48</v>
      </c>
      <c r="K60" s="6">
        <v>330</v>
      </c>
      <c r="L60" s="75">
        <f t="shared" si="3"/>
        <v>15840</v>
      </c>
      <c r="M60" s="75"/>
      <c r="N60" s="75" t="str">
        <f t="shared" si="4"/>
        <v/>
      </c>
      <c r="O60" s="204">
        <f t="shared" si="1"/>
        <v>330</v>
      </c>
      <c r="P60" s="199">
        <f t="shared" si="5"/>
        <v>15840</v>
      </c>
      <c r="Q60" s="4"/>
      <c r="R60" s="199" t="str">
        <f t="shared" si="6"/>
        <v/>
      </c>
      <c r="S60" s="199">
        <f t="shared" si="7"/>
        <v>15840</v>
      </c>
    </row>
    <row r="61" spans="1:19" x14ac:dyDescent="0.25">
      <c r="A61" s="197">
        <f t="shared" si="0"/>
        <v>57</v>
      </c>
      <c r="B61" s="76">
        <f t="shared" si="2"/>
        <v>15.48</v>
      </c>
      <c r="C61" s="77">
        <f>IF(G61&lt;&gt;"",IFERROR(ROUND(VLOOKUP(G61,ProductList!J:AO,32,FALSE),0),""),"")</f>
        <v>518</v>
      </c>
      <c r="D61" s="73">
        <f>IF(E61&lt;&gt;"",IF(D60&lt;&gt;"",D60,#REF!)+1,"")</f>
        <v>57</v>
      </c>
      <c r="E61" s="73" t="str">
        <v>21069099</v>
      </c>
      <c r="F61" s="73">
        <v>54033</v>
      </c>
      <c r="G61" s="122" t="str">
        <v xml:space="preserve">PANCHRATAN MIXTURE 200 GM </v>
      </c>
      <c r="H61" s="104">
        <v>200</v>
      </c>
      <c r="I61" s="73">
        <v>2</v>
      </c>
      <c r="J61" s="73">
        <v>120</v>
      </c>
      <c r="K61" s="6">
        <v>520</v>
      </c>
      <c r="L61" s="75">
        <f t="shared" si="3"/>
        <v>62400</v>
      </c>
      <c r="M61" s="75"/>
      <c r="N61" s="75" t="str">
        <f t="shared" si="4"/>
        <v/>
      </c>
      <c r="O61" s="204">
        <f t="shared" si="1"/>
        <v>520</v>
      </c>
      <c r="P61" s="199">
        <f t="shared" si="5"/>
        <v>62400</v>
      </c>
      <c r="Q61" s="4"/>
      <c r="R61" s="199" t="str">
        <f t="shared" si="6"/>
        <v/>
      </c>
      <c r="S61" s="199">
        <f t="shared" si="7"/>
        <v>62400</v>
      </c>
    </row>
    <row r="62" spans="1:19" x14ac:dyDescent="0.25">
      <c r="A62" s="197">
        <f t="shared" si="0"/>
        <v>58</v>
      </c>
      <c r="B62" s="76">
        <f t="shared" si="2"/>
        <v>15.36</v>
      </c>
      <c r="C62" s="77">
        <f>IF(G62&lt;&gt;"",IFERROR(ROUND(VLOOKUP(G62,ProductList!J:AO,32,FALSE),0),""),"")</f>
        <v>409</v>
      </c>
      <c r="D62" s="73">
        <f>IF(E62&lt;&gt;"",IF(D61&lt;&gt;"",D61,#REF!)+1,"")</f>
        <v>58</v>
      </c>
      <c r="E62" s="73" t="str">
        <v>21069099</v>
      </c>
      <c r="F62" s="73">
        <v>7108</v>
      </c>
      <c r="G62" s="122" t="str">
        <v xml:space="preserve">MINI SAMOSA 200 GM </v>
      </c>
      <c r="H62" s="104">
        <v>200</v>
      </c>
      <c r="I62" s="73">
        <v>1</v>
      </c>
      <c r="J62" s="73">
        <v>20</v>
      </c>
      <c r="K62" s="6">
        <v>410</v>
      </c>
      <c r="L62" s="75">
        <f t="shared" si="3"/>
        <v>8200</v>
      </c>
      <c r="M62" s="75"/>
      <c r="N62" s="75" t="str">
        <f t="shared" si="4"/>
        <v/>
      </c>
      <c r="O62" s="204">
        <f t="shared" si="1"/>
        <v>410</v>
      </c>
      <c r="P62" s="199">
        <f t="shared" si="5"/>
        <v>8200</v>
      </c>
      <c r="Q62" s="4"/>
      <c r="R62" s="199" t="str">
        <f t="shared" si="6"/>
        <v/>
      </c>
      <c r="S62" s="199">
        <f t="shared" si="7"/>
        <v>8200</v>
      </c>
    </row>
    <row r="63" spans="1:19" x14ac:dyDescent="0.25">
      <c r="A63" s="197">
        <f t="shared" si="0"/>
        <v>59</v>
      </c>
      <c r="B63" s="76">
        <f t="shared" si="2"/>
        <v>15.36</v>
      </c>
      <c r="C63" s="77">
        <f>IF(G63&lt;&gt;"",IFERROR(ROUND(VLOOKUP(G63,ProductList!J:AO,32,FALSE),0),""),"")</f>
        <v>409</v>
      </c>
      <c r="D63" s="73">
        <f>IF(E63&lt;&gt;"",IF(D62&lt;&gt;"",D62,#REF!)+1,"")</f>
        <v>59</v>
      </c>
      <c r="E63" s="73" t="str">
        <v>21069099</v>
      </c>
      <c r="F63" s="73">
        <v>17060</v>
      </c>
      <c r="G63" s="122" t="str">
        <v xml:space="preserve">MINI BHAKARWADI 200 GM </v>
      </c>
      <c r="H63" s="104">
        <v>200</v>
      </c>
      <c r="I63" s="73">
        <v>2</v>
      </c>
      <c r="J63" s="73">
        <v>48</v>
      </c>
      <c r="K63" s="6">
        <v>410</v>
      </c>
      <c r="L63" s="75">
        <f t="shared" si="3"/>
        <v>19680</v>
      </c>
      <c r="M63" s="75"/>
      <c r="N63" s="75" t="str">
        <f t="shared" si="4"/>
        <v/>
      </c>
      <c r="O63" s="204">
        <f t="shared" si="1"/>
        <v>410</v>
      </c>
      <c r="P63" s="199">
        <f t="shared" si="5"/>
        <v>19680</v>
      </c>
      <c r="Q63" s="4"/>
      <c r="R63" s="199" t="str">
        <f t="shared" si="6"/>
        <v/>
      </c>
      <c r="S63" s="199">
        <f t="shared" si="7"/>
        <v>19680</v>
      </c>
    </row>
    <row r="64" spans="1:19" x14ac:dyDescent="0.25">
      <c r="A64" s="197">
        <f t="shared" si="0"/>
        <v>60</v>
      </c>
      <c r="B64" s="76">
        <f t="shared" si="2"/>
        <v>16.73</v>
      </c>
      <c r="C64" s="77">
        <f>IF(G64&lt;&gt;"",IFERROR(ROUND(VLOOKUP(G64,ProductList!J:AO,32,FALSE),0),""),"")</f>
        <v>434</v>
      </c>
      <c r="D64" s="73">
        <f>IF(E64&lt;&gt;"",IF(D63&lt;&gt;"",D63,#REF!)+1,"")</f>
        <v>60</v>
      </c>
      <c r="E64" s="73" t="str">
        <v>21069099</v>
      </c>
      <c r="F64" s="73">
        <v>7539</v>
      </c>
      <c r="G64" s="122" t="str">
        <v xml:space="preserve">GOL KACHAURI 200 GM </v>
      </c>
      <c r="H64" s="104">
        <v>200</v>
      </c>
      <c r="I64" s="73">
        <v>1</v>
      </c>
      <c r="J64" s="73">
        <v>20</v>
      </c>
      <c r="K64" s="6">
        <v>440</v>
      </c>
      <c r="L64" s="75">
        <f t="shared" si="3"/>
        <v>8800</v>
      </c>
      <c r="M64" s="75"/>
      <c r="N64" s="75" t="str">
        <f t="shared" si="4"/>
        <v/>
      </c>
      <c r="O64" s="204">
        <f t="shared" si="1"/>
        <v>440</v>
      </c>
      <c r="P64" s="199">
        <f t="shared" si="5"/>
        <v>8800</v>
      </c>
      <c r="Q64" s="4"/>
      <c r="R64" s="199" t="str">
        <f t="shared" si="6"/>
        <v/>
      </c>
      <c r="S64" s="199">
        <f t="shared" si="7"/>
        <v>8800</v>
      </c>
    </row>
    <row r="65" spans="1:19" x14ac:dyDescent="0.25">
      <c r="A65" s="197">
        <f t="shared" si="0"/>
        <v>61</v>
      </c>
      <c r="B65" s="76">
        <f t="shared" si="2"/>
        <v>16.96</v>
      </c>
      <c r="C65" s="77">
        <f>IF(G65&lt;&gt;"",IFERROR(ROUND(VLOOKUP(G65,ProductList!J:AO,32,FALSE),0),""),"")</f>
        <v>324</v>
      </c>
      <c r="D65" s="73">
        <f>IF(E65&lt;&gt;"",IF(D64&lt;&gt;"",D64,#REF!)+1,"")</f>
        <v>61</v>
      </c>
      <c r="E65" s="73" t="str">
        <v>21069099</v>
      </c>
      <c r="F65" s="73">
        <v>20315</v>
      </c>
      <c r="G65" s="122" t="str">
        <v xml:space="preserve">GATHIYA 200 GM </v>
      </c>
      <c r="H65" s="104">
        <v>200</v>
      </c>
      <c r="I65" s="73">
        <v>3</v>
      </c>
      <c r="J65" s="73">
        <v>72</v>
      </c>
      <c r="K65" s="6">
        <v>330</v>
      </c>
      <c r="L65" s="75">
        <f t="shared" si="3"/>
        <v>23760</v>
      </c>
      <c r="M65" s="75"/>
      <c r="N65" s="75" t="str">
        <f t="shared" si="4"/>
        <v/>
      </c>
      <c r="O65" s="204">
        <f t="shared" si="1"/>
        <v>330</v>
      </c>
      <c r="P65" s="199">
        <f t="shared" si="5"/>
        <v>23760</v>
      </c>
      <c r="Q65" s="4"/>
      <c r="R65" s="199" t="str">
        <f t="shared" si="6"/>
        <v/>
      </c>
      <c r="S65" s="199">
        <f t="shared" si="7"/>
        <v>23760</v>
      </c>
    </row>
    <row r="66" spans="1:19" x14ac:dyDescent="0.25">
      <c r="A66" s="197">
        <f t="shared" si="0"/>
        <v>62</v>
      </c>
      <c r="B66" s="76">
        <f t="shared" si="2"/>
        <v>16.41</v>
      </c>
      <c r="C66" s="77">
        <f>IF(G66&lt;&gt;"",IFERROR(ROUND(VLOOKUP(G66,ProductList!J:AO,32,FALSE),0),""),"")</f>
        <v>227</v>
      </c>
      <c r="D66" s="73">
        <f>IF(E66&lt;&gt;"",IF(D65&lt;&gt;"",D65,#REF!)+1,"")</f>
        <v>62</v>
      </c>
      <c r="E66" s="73" t="str">
        <v>21069099</v>
      </c>
      <c r="F66" s="73">
        <v>31612</v>
      </c>
      <c r="G66" s="122" t="str">
        <v xml:space="preserve">FINE SEV 150 GM </v>
      </c>
      <c r="H66" s="104">
        <v>150</v>
      </c>
      <c r="I66" s="73">
        <v>2</v>
      </c>
      <c r="J66" s="73">
        <v>160</v>
      </c>
      <c r="K66" s="6">
        <v>230</v>
      </c>
      <c r="L66" s="75">
        <f t="shared" si="3"/>
        <v>36800</v>
      </c>
      <c r="M66" s="75"/>
      <c r="N66" s="75" t="str">
        <f t="shared" si="4"/>
        <v/>
      </c>
      <c r="O66" s="204">
        <f t="shared" si="1"/>
        <v>230</v>
      </c>
      <c r="P66" s="199">
        <f t="shared" si="5"/>
        <v>36800</v>
      </c>
      <c r="Q66" s="4"/>
      <c r="R66" s="199" t="str">
        <f t="shared" si="6"/>
        <v/>
      </c>
      <c r="S66" s="199">
        <f t="shared" si="7"/>
        <v>36800</v>
      </c>
    </row>
    <row r="67" spans="1:19" x14ac:dyDescent="0.25">
      <c r="A67" s="197">
        <f t="shared" si="0"/>
        <v>63</v>
      </c>
      <c r="B67" s="76">
        <f t="shared" si="2"/>
        <v>16.97</v>
      </c>
      <c r="C67" s="77">
        <f>IF(G67&lt;&gt;"",IFERROR(ROUND(VLOOKUP(G67,ProductList!J:AO,32,FALSE),0),""),"")</f>
        <v>324</v>
      </c>
      <c r="D67" s="73">
        <f>IF(E67&lt;&gt;"",IF(D66&lt;&gt;"",D66,#REF!)+1,"")</f>
        <v>63</v>
      </c>
      <c r="E67" s="73" t="str">
        <v>21069099</v>
      </c>
      <c r="F67" s="73">
        <v>33855</v>
      </c>
      <c r="G67" s="122" t="str">
        <v xml:space="preserve">MIXTURE 200 GM </v>
      </c>
      <c r="H67" s="104">
        <v>200</v>
      </c>
      <c r="I67" s="73">
        <v>2</v>
      </c>
      <c r="J67" s="73">
        <v>120</v>
      </c>
      <c r="K67" s="6">
        <v>330</v>
      </c>
      <c r="L67" s="75">
        <f t="shared" si="3"/>
        <v>39600</v>
      </c>
      <c r="M67" s="75"/>
      <c r="N67" s="75" t="str">
        <f t="shared" si="4"/>
        <v/>
      </c>
      <c r="O67" s="204">
        <f t="shared" si="1"/>
        <v>330</v>
      </c>
      <c r="P67" s="199">
        <f t="shared" si="5"/>
        <v>39600</v>
      </c>
      <c r="Q67" s="4"/>
      <c r="R67" s="199" t="str">
        <f t="shared" si="6"/>
        <v/>
      </c>
      <c r="S67" s="199">
        <f t="shared" si="7"/>
        <v>39600</v>
      </c>
    </row>
    <row r="68" spans="1:19" x14ac:dyDescent="0.25">
      <c r="A68" s="197">
        <f t="shared" si="0"/>
        <v>64</v>
      </c>
      <c r="B68" s="76">
        <f t="shared" si="2"/>
        <v>16.98</v>
      </c>
      <c r="C68" s="77">
        <f>IF(G68&lt;&gt;"",IFERROR(ROUND(VLOOKUP(G68,ProductList!J:AO,32,FALSE),0),""),"")</f>
        <v>324</v>
      </c>
      <c r="D68" s="73">
        <f>IF(E68&lt;&gt;"",IF(D67&lt;&gt;"",D67,#REF!)+1,"")</f>
        <v>64</v>
      </c>
      <c r="E68" s="73" t="str">
        <v>21069099</v>
      </c>
      <c r="F68" s="73">
        <v>16926</v>
      </c>
      <c r="G68" s="122" t="str">
        <v xml:space="preserve">SOYA STICKS 200 GM </v>
      </c>
      <c r="H68" s="104">
        <v>200</v>
      </c>
      <c r="I68" s="73">
        <v>1</v>
      </c>
      <c r="J68" s="73">
        <v>60</v>
      </c>
      <c r="K68" s="6">
        <v>330</v>
      </c>
      <c r="L68" s="75">
        <f t="shared" si="3"/>
        <v>19800</v>
      </c>
      <c r="M68" s="75"/>
      <c r="N68" s="75" t="str">
        <f t="shared" si="4"/>
        <v/>
      </c>
      <c r="O68" s="204">
        <f t="shared" si="1"/>
        <v>330</v>
      </c>
      <c r="P68" s="199">
        <f t="shared" si="5"/>
        <v>19800</v>
      </c>
      <c r="Q68" s="4"/>
      <c r="R68" s="199" t="str">
        <f t="shared" si="6"/>
        <v/>
      </c>
      <c r="S68" s="199">
        <f t="shared" si="7"/>
        <v>19800</v>
      </c>
    </row>
    <row r="69" spans="1:19" x14ac:dyDescent="0.25">
      <c r="A69" s="197">
        <f t="shared" ref="A69:A132" si="8">IF(AND(E69&lt;&gt;""),IF(A68&lt;&gt;"",A68,0)+1,A68)</f>
        <v>65</v>
      </c>
      <c r="B69" s="76">
        <f t="shared" si="2"/>
        <v>20.51</v>
      </c>
      <c r="C69" s="77">
        <f>IF(G69&lt;&gt;"",IFERROR(ROUND(VLOOKUP(G69,ProductList!J:AO,32,FALSE),0),""),"")</f>
        <v>1623</v>
      </c>
      <c r="D69" s="73">
        <f>IF(E69&lt;&gt;"",IF(D68&lt;&gt;"",D68,#REF!)+1,"")</f>
        <v>65</v>
      </c>
      <c r="E69" s="73" t="str">
        <v>21069099</v>
      </c>
      <c r="F69" s="73">
        <v>253917</v>
      </c>
      <c r="G69" s="122" t="str">
        <v xml:space="preserve">RASGULLA 1KG </v>
      </c>
      <c r="H69" s="104">
        <v>1000</v>
      </c>
      <c r="I69" s="73">
        <v>10</v>
      </c>
      <c r="J69" s="73">
        <v>180</v>
      </c>
      <c r="K69" s="6">
        <v>1700</v>
      </c>
      <c r="L69" s="75">
        <f t="shared" si="3"/>
        <v>306000</v>
      </c>
      <c r="M69" s="75"/>
      <c r="N69" s="75" t="str">
        <f t="shared" si="4"/>
        <v/>
      </c>
      <c r="O69" s="204">
        <f t="shared" ref="O69:O76" si="9">IF(AND(K69&lt;&gt;"",M69&lt;&gt;""),K69-M69,IF(K69&lt;&gt;"",K69,""))</f>
        <v>1700</v>
      </c>
      <c r="P69" s="199">
        <f t="shared" si="5"/>
        <v>306000</v>
      </c>
      <c r="Q69" s="4"/>
      <c r="R69" s="199" t="str">
        <f t="shared" si="6"/>
        <v/>
      </c>
      <c r="S69" s="199">
        <f t="shared" si="7"/>
        <v>306000</v>
      </c>
    </row>
    <row r="70" spans="1:19" x14ac:dyDescent="0.25">
      <c r="A70" s="197">
        <f t="shared" si="8"/>
        <v>66</v>
      </c>
      <c r="B70" s="76">
        <f t="shared" ref="B70:B133" si="10">IF(AND(L70&lt;&gt;"",F70&lt;&gt;""),ROUND((((L70-F70)*100)/F70),2),"")</f>
        <v>16.72</v>
      </c>
      <c r="C70" s="77">
        <f>IF(G70&lt;&gt;"",IFERROR(ROUND(VLOOKUP(G70,ProductList!J:AO,32,FALSE),0),""),"")</f>
        <v>434</v>
      </c>
      <c r="D70" s="73">
        <f>IF(E70&lt;&gt;"",IF(D69&lt;&gt;"",D69,#REF!)+1,"")</f>
        <v>66</v>
      </c>
      <c r="E70" s="73" t="str">
        <v>21069099</v>
      </c>
      <c r="F70" s="73">
        <v>361891</v>
      </c>
      <c r="G70" s="122" t="str">
        <v>BIKANERI MED PAPAD(MM)200 GM</v>
      </c>
      <c r="H70" s="104">
        <v>200</v>
      </c>
      <c r="I70" s="73">
        <v>16</v>
      </c>
      <c r="J70" s="73">
        <v>960</v>
      </c>
      <c r="K70" s="435">
        <v>440</v>
      </c>
      <c r="L70" s="75">
        <f t="shared" ref="L70:L133" si="11">IF(AND(J70&lt;&gt;"",K70&lt;&gt;""),K70*J70,"")</f>
        <v>422400</v>
      </c>
      <c r="M70" s="75"/>
      <c r="N70" s="75" t="str">
        <f t="shared" ref="N70:N133" si="12">IF(AND(M70&lt;&gt;"",J70&lt;&gt;""),M70*J70,"")</f>
        <v/>
      </c>
      <c r="O70" s="204">
        <f t="shared" si="9"/>
        <v>440</v>
      </c>
      <c r="P70" s="199">
        <f t="shared" ref="P70:P76" si="13">IF(AND(O70&lt;&gt;"",J70&lt;&gt;""),O70*J70,"")</f>
        <v>422400</v>
      </c>
      <c r="Q70" s="4"/>
      <c r="R70" s="199" t="str">
        <f t="shared" ref="R70:R76" si="14">IF(AND(Q70&lt;&gt;"",O70&lt;&gt;""),Q70*O70,"")</f>
        <v/>
      </c>
      <c r="S70" s="199">
        <f t="shared" si="7"/>
        <v>422400</v>
      </c>
    </row>
    <row r="71" spans="1:19" x14ac:dyDescent="0.25">
      <c r="A71" s="197">
        <f t="shared" si="8"/>
        <v>66</v>
      </c>
      <c r="B71" s="76" t="str">
        <f t="shared" si="10"/>
        <v/>
      </c>
      <c r="C71" s="77" t="str">
        <f>IF(G71&lt;&gt;"",IFERROR(ROUND(VLOOKUP(G71,ProductList!J:AO,32,FALSE),0),""),"")</f>
        <v/>
      </c>
      <c r="D71" s="73" t="str">
        <f>IF(E71&lt;&gt;"",IF(D70&lt;&gt;"",D70,#REF!)+1,"")</f>
        <v/>
      </c>
      <c r="E71" s="73"/>
      <c r="F71" s="73"/>
      <c r="G71" s="122"/>
      <c r="H71" s="104"/>
      <c r="I71" s="73"/>
      <c r="J71" s="73"/>
      <c r="K71" s="202"/>
      <c r="L71" s="75" t="str">
        <f t="shared" si="11"/>
        <v/>
      </c>
      <c r="M71" s="75"/>
      <c r="N71" s="75" t="str">
        <f t="shared" si="12"/>
        <v/>
      </c>
      <c r="O71" s="204" t="str">
        <f t="shared" si="9"/>
        <v/>
      </c>
      <c r="P71" s="199" t="str">
        <f t="shared" si="13"/>
        <v/>
      </c>
      <c r="Q71" s="4"/>
      <c r="R71" s="199" t="str">
        <f t="shared" si="14"/>
        <v/>
      </c>
      <c r="S71" s="199" t="str">
        <f t="shared" si="7"/>
        <v/>
      </c>
    </row>
    <row r="72" spans="1:19" x14ac:dyDescent="0.25">
      <c r="A72" s="197">
        <f t="shared" si="8"/>
        <v>66</v>
      </c>
      <c r="B72" s="76" t="str">
        <f t="shared" si="10"/>
        <v/>
      </c>
      <c r="C72" s="77" t="str">
        <f>IF(G72&lt;&gt;"",IFERROR(ROUND(VLOOKUP(G72,ProductList!J:AO,32,FALSE),0),""),"")</f>
        <v/>
      </c>
      <c r="D72" s="73" t="str">
        <f>IF(E72&lt;&gt;"",IF(D71&lt;&gt;"",D71,#REF!)+1,"")</f>
        <v/>
      </c>
      <c r="E72" s="73"/>
      <c r="F72" s="73"/>
      <c r="G72" s="122"/>
      <c r="H72" s="104"/>
      <c r="I72" s="73"/>
      <c r="J72" s="73"/>
      <c r="K72" s="202"/>
      <c r="L72" s="75" t="str">
        <f t="shared" si="11"/>
        <v/>
      </c>
      <c r="M72" s="75"/>
      <c r="N72" s="75" t="str">
        <f t="shared" si="12"/>
        <v/>
      </c>
      <c r="O72" s="204" t="str">
        <f t="shared" si="9"/>
        <v/>
      </c>
      <c r="P72" s="199" t="str">
        <f t="shared" si="13"/>
        <v/>
      </c>
      <c r="Q72" s="4"/>
      <c r="R72" s="199" t="str">
        <f t="shared" si="14"/>
        <v/>
      </c>
      <c r="S72" s="199" t="str">
        <f t="shared" si="7"/>
        <v/>
      </c>
    </row>
    <row r="73" spans="1:19" x14ac:dyDescent="0.25">
      <c r="A73" s="197">
        <f t="shared" si="8"/>
        <v>66</v>
      </c>
      <c r="B73" s="76" t="str">
        <f t="shared" si="10"/>
        <v/>
      </c>
      <c r="C73" s="77" t="str">
        <f>IF(G73&lt;&gt;"",IFERROR(ROUND(VLOOKUP(G73,ProductList!J:AO,32,FALSE),0),""),"")</f>
        <v/>
      </c>
      <c r="D73" s="73" t="str">
        <f>IF(E73&lt;&gt;"",IF(D72&lt;&gt;"",D72,#REF!)+1,"")</f>
        <v/>
      </c>
      <c r="E73" s="73"/>
      <c r="F73" s="73"/>
      <c r="G73" s="122"/>
      <c r="H73" s="104"/>
      <c r="I73" s="73"/>
      <c r="J73" s="73"/>
      <c r="K73" s="202"/>
      <c r="L73" s="75" t="str">
        <f t="shared" si="11"/>
        <v/>
      </c>
      <c r="M73" s="75"/>
      <c r="N73" s="75" t="str">
        <f t="shared" si="12"/>
        <v/>
      </c>
      <c r="O73" s="204" t="str">
        <f t="shared" si="9"/>
        <v/>
      </c>
      <c r="P73" s="199" t="str">
        <f t="shared" si="13"/>
        <v/>
      </c>
      <c r="Q73" s="4"/>
      <c r="R73" s="199" t="str">
        <f t="shared" si="14"/>
        <v/>
      </c>
      <c r="S73" s="199" t="str">
        <f t="shared" si="7"/>
        <v/>
      </c>
    </row>
    <row r="74" spans="1:19" x14ac:dyDescent="0.25">
      <c r="A74" s="197">
        <f t="shared" si="8"/>
        <v>66</v>
      </c>
      <c r="B74" s="76" t="str">
        <f t="shared" si="10"/>
        <v/>
      </c>
      <c r="C74" s="77" t="str">
        <f>IF(G74&lt;&gt;"",IFERROR(ROUND(VLOOKUP(G74,ProductList!J:AO,32,FALSE),0),""),"")</f>
        <v/>
      </c>
      <c r="D74" s="73" t="str">
        <f>IF(E74&lt;&gt;"",IF(D73&lt;&gt;"",D73,#REF!)+1,"")</f>
        <v/>
      </c>
      <c r="E74" s="73"/>
      <c r="F74" s="73"/>
      <c r="G74" s="122"/>
      <c r="H74" s="104"/>
      <c r="I74" s="73"/>
      <c r="J74" s="73"/>
      <c r="K74" s="202"/>
      <c r="L74" s="75" t="str">
        <f t="shared" si="11"/>
        <v/>
      </c>
      <c r="M74" s="75"/>
      <c r="N74" s="75" t="str">
        <f t="shared" si="12"/>
        <v/>
      </c>
      <c r="O74" s="204" t="str">
        <f t="shared" si="9"/>
        <v/>
      </c>
      <c r="P74" s="199" t="str">
        <f t="shared" si="13"/>
        <v/>
      </c>
      <c r="Q74" s="6"/>
      <c r="R74" s="199" t="str">
        <f t="shared" si="14"/>
        <v/>
      </c>
      <c r="S74" s="199" t="str">
        <f>IF(R74&lt;&gt;"",P74-R74,P74)</f>
        <v/>
      </c>
    </row>
    <row r="75" spans="1:19" x14ac:dyDescent="0.25">
      <c r="A75" s="197">
        <f t="shared" si="8"/>
        <v>66</v>
      </c>
      <c r="B75" s="76" t="str">
        <f t="shared" si="10"/>
        <v/>
      </c>
      <c r="C75" s="77" t="str">
        <f>IF(G75&lt;&gt;"",IFERROR(ROUND(VLOOKUP(G75,ProductList!J:AO,32,FALSE),0),""),"")</f>
        <v/>
      </c>
      <c r="D75" s="73" t="str">
        <f>IF(E75&lt;&gt;"",IF(D74&lt;&gt;"",D74,#REF!)+1,"")</f>
        <v/>
      </c>
      <c r="E75" s="73"/>
      <c r="F75" s="73"/>
      <c r="G75" s="122"/>
      <c r="H75" s="104"/>
      <c r="I75" s="73"/>
      <c r="J75" s="73"/>
      <c r="K75" s="202"/>
      <c r="L75" s="75" t="str">
        <f t="shared" si="11"/>
        <v/>
      </c>
      <c r="M75" s="75"/>
      <c r="N75" s="75" t="str">
        <f t="shared" si="12"/>
        <v/>
      </c>
      <c r="O75" s="204" t="str">
        <f t="shared" si="9"/>
        <v/>
      </c>
      <c r="P75" s="199" t="str">
        <f t="shared" si="13"/>
        <v/>
      </c>
      <c r="Q75" s="6"/>
      <c r="R75" s="199" t="str">
        <f t="shared" si="14"/>
        <v/>
      </c>
      <c r="S75" s="199" t="str">
        <f>IF(R75&lt;&gt;"",P75-R75,P75)</f>
        <v/>
      </c>
    </row>
    <row r="76" spans="1:19" x14ac:dyDescent="0.25">
      <c r="A76" s="197">
        <f t="shared" si="8"/>
        <v>66</v>
      </c>
      <c r="B76" s="76" t="str">
        <f t="shared" si="10"/>
        <v/>
      </c>
      <c r="C76" s="77" t="str">
        <f>IF(G76&lt;&gt;"",IFERROR(ROUND(VLOOKUP(G76,ProductList!J:AO,32,FALSE),0),""),"")</f>
        <v/>
      </c>
      <c r="D76" s="73" t="str">
        <f>IF(E76&lt;&gt;"",IF(D75&lt;&gt;"",D75,#REF!)+1,"")</f>
        <v/>
      </c>
      <c r="E76" s="73"/>
      <c r="F76" s="73"/>
      <c r="G76" s="122"/>
      <c r="H76" s="104"/>
      <c r="I76" s="73"/>
      <c r="J76" s="73"/>
      <c r="K76" s="202"/>
      <c r="L76" s="75" t="str">
        <f t="shared" si="11"/>
        <v/>
      </c>
      <c r="M76" s="75"/>
      <c r="N76" s="75" t="str">
        <f t="shared" si="12"/>
        <v/>
      </c>
      <c r="O76" s="204" t="str">
        <f t="shared" si="9"/>
        <v/>
      </c>
      <c r="P76" s="199" t="str">
        <f t="shared" si="13"/>
        <v/>
      </c>
      <c r="Q76" s="6"/>
      <c r="R76" s="199" t="str">
        <f t="shared" si="14"/>
        <v/>
      </c>
      <c r="S76" s="199" t="str">
        <f>IF(R76&lt;&gt;"",P76-R76,P76)</f>
        <v/>
      </c>
    </row>
    <row r="77" spans="1:19" x14ac:dyDescent="0.25">
      <c r="A77" s="197">
        <f t="shared" si="8"/>
        <v>66</v>
      </c>
      <c r="B77" s="76" t="str">
        <f t="shared" si="10"/>
        <v/>
      </c>
      <c r="C77" s="77" t="str">
        <f>IF(G77&lt;&gt;"",IFERROR(ROUND(VLOOKUP(G77,ProductList!J:AO,32,FALSE),0),""),"")</f>
        <v/>
      </c>
      <c r="D77" s="73" t="str">
        <f>IF(E77&lt;&gt;"",IF(D76&lt;&gt;"",D76,#REF!)+1,"")</f>
        <v/>
      </c>
      <c r="E77" s="73"/>
      <c r="F77" s="73"/>
      <c r="G77" s="122"/>
      <c r="H77" s="104"/>
      <c r="I77" s="73"/>
      <c r="J77" s="73"/>
      <c r="K77" s="202"/>
      <c r="L77" s="75" t="str">
        <f t="shared" si="11"/>
        <v/>
      </c>
      <c r="M77" s="75"/>
      <c r="N77" s="75" t="str">
        <f t="shared" si="12"/>
        <v/>
      </c>
      <c r="O77" s="204" t="str">
        <f>IF(AND(K77&lt;&gt;"",M77&lt;&gt;""),K77-M77,IF(K77&lt;&gt;"",K77,""))</f>
        <v/>
      </c>
      <c r="P77" s="8"/>
      <c r="Q77" s="8"/>
      <c r="R77" s="8"/>
      <c r="S77" s="8"/>
    </row>
    <row r="78" spans="1:19" x14ac:dyDescent="0.25">
      <c r="A78" s="197">
        <f t="shared" si="8"/>
        <v>66</v>
      </c>
      <c r="B78" s="76" t="str">
        <f t="shared" si="10"/>
        <v/>
      </c>
      <c r="C78" s="77" t="str">
        <f>IF(G78&lt;&gt;"",IFERROR(ROUND(VLOOKUP(G78,ProductList!J:AO,32,FALSE),0),""),"")</f>
        <v/>
      </c>
      <c r="D78" s="73" t="str">
        <f>IF(E78&lt;&gt;"",IF(D77&lt;&gt;"",D77,#REF!)+1,"")</f>
        <v/>
      </c>
      <c r="E78" s="73"/>
      <c r="F78" s="73"/>
      <c r="G78" s="122"/>
      <c r="H78" s="104"/>
      <c r="I78" s="73"/>
      <c r="J78" s="73"/>
      <c r="K78" s="202"/>
      <c r="L78" s="75" t="str">
        <f t="shared" si="11"/>
        <v/>
      </c>
      <c r="M78" s="75"/>
      <c r="N78" s="75" t="str">
        <f t="shared" si="12"/>
        <v/>
      </c>
      <c r="O78" s="204" t="str">
        <f t="shared" ref="O78:O141" si="15">IF(AND(K78&lt;&gt;"",M78&lt;&gt;""),K78-M78,IF(K78&lt;&gt;"",K78,""))</f>
        <v/>
      </c>
      <c r="P78" s="8"/>
      <c r="Q78" s="8"/>
      <c r="R78" s="8"/>
      <c r="S78" s="8"/>
    </row>
    <row r="79" spans="1:19" x14ac:dyDescent="0.25">
      <c r="A79" s="197">
        <f t="shared" si="8"/>
        <v>66</v>
      </c>
      <c r="B79" s="76" t="str">
        <f t="shared" si="10"/>
        <v/>
      </c>
      <c r="C79" s="77" t="str">
        <f>IF(G79&lt;&gt;"",IFERROR(ROUND(VLOOKUP(G79,ProductList!J:AO,32,FALSE),0),""),"")</f>
        <v/>
      </c>
      <c r="D79" s="73" t="str">
        <f>IF(E79&lt;&gt;"",IF(D78&lt;&gt;"",D78,#REF!)+1,"")</f>
        <v/>
      </c>
      <c r="E79" s="73"/>
      <c r="F79" s="73"/>
      <c r="G79" s="122"/>
      <c r="H79" s="104"/>
      <c r="I79" s="73"/>
      <c r="J79" s="73"/>
      <c r="K79" s="202"/>
      <c r="L79" s="75" t="str">
        <f t="shared" si="11"/>
        <v/>
      </c>
      <c r="M79" s="75"/>
      <c r="N79" s="75" t="str">
        <f t="shared" si="12"/>
        <v/>
      </c>
      <c r="O79" s="204" t="str">
        <f t="shared" si="15"/>
        <v/>
      </c>
      <c r="P79" s="8"/>
      <c r="Q79" s="8"/>
      <c r="R79" s="8"/>
      <c r="S79" s="8"/>
    </row>
    <row r="80" spans="1:19" x14ac:dyDescent="0.25">
      <c r="A80" s="197">
        <f t="shared" si="8"/>
        <v>66</v>
      </c>
      <c r="B80" s="76" t="str">
        <f t="shared" si="10"/>
        <v/>
      </c>
      <c r="C80" s="77" t="str">
        <f>IF(G80&lt;&gt;"",IFERROR(ROUND(VLOOKUP(G80,ProductList!J:AO,32,FALSE),0),""),"")</f>
        <v/>
      </c>
      <c r="D80" s="73" t="str">
        <f>IF(E80&lt;&gt;"",IF(D79&lt;&gt;"",D79,#REF!)+1,"")</f>
        <v/>
      </c>
      <c r="E80" s="73"/>
      <c r="F80" s="73"/>
      <c r="G80" s="122"/>
      <c r="H80" s="104"/>
      <c r="I80" s="73"/>
      <c r="J80" s="73"/>
      <c r="K80" s="202"/>
      <c r="L80" s="75" t="str">
        <f t="shared" si="11"/>
        <v/>
      </c>
      <c r="M80" s="75"/>
      <c r="N80" s="75" t="str">
        <f t="shared" si="12"/>
        <v/>
      </c>
      <c r="O80" s="204" t="str">
        <f t="shared" si="15"/>
        <v/>
      </c>
      <c r="P80" s="8"/>
      <c r="Q80" s="8"/>
      <c r="R80" s="8"/>
      <c r="S80" s="8"/>
    </row>
    <row r="81" spans="1:19" x14ac:dyDescent="0.25">
      <c r="A81" s="197">
        <f t="shared" si="8"/>
        <v>66</v>
      </c>
      <c r="B81" s="76" t="str">
        <f t="shared" si="10"/>
        <v/>
      </c>
      <c r="C81" s="77" t="str">
        <f>IF(G81&lt;&gt;"",IFERROR(ROUND(VLOOKUP(G81,ProductList!J:AO,32,FALSE),0),""),"")</f>
        <v/>
      </c>
      <c r="D81" s="73" t="str">
        <f>IF(E81&lt;&gt;"",IF(D80&lt;&gt;"",D80,#REF!)+1,"")</f>
        <v/>
      </c>
      <c r="E81" s="73"/>
      <c r="F81" s="73"/>
      <c r="G81" s="122"/>
      <c r="H81" s="104"/>
      <c r="I81" s="73"/>
      <c r="J81" s="73"/>
      <c r="K81" s="202"/>
      <c r="L81" s="75" t="str">
        <f t="shared" si="11"/>
        <v/>
      </c>
      <c r="M81" s="75"/>
      <c r="N81" s="75" t="str">
        <f t="shared" si="12"/>
        <v/>
      </c>
      <c r="O81" s="204" t="str">
        <f t="shared" si="15"/>
        <v/>
      </c>
      <c r="P81" s="8"/>
      <c r="Q81" s="8"/>
      <c r="R81" s="8"/>
      <c r="S81" s="8"/>
    </row>
    <row r="82" spans="1:19" x14ac:dyDescent="0.25">
      <c r="A82" s="197">
        <f t="shared" si="8"/>
        <v>66</v>
      </c>
      <c r="B82" s="76" t="str">
        <f t="shared" si="10"/>
        <v/>
      </c>
      <c r="C82" s="77" t="str">
        <f>IF(G82&lt;&gt;"",IFERROR(ROUND(VLOOKUP(G82,ProductList!J:AO,32,FALSE),0),""),"")</f>
        <v/>
      </c>
      <c r="D82" s="73" t="str">
        <f>IF(E82&lt;&gt;"",IF(D81&lt;&gt;"",D81,#REF!)+1,"")</f>
        <v/>
      </c>
      <c r="E82" s="73"/>
      <c r="F82" s="73"/>
      <c r="G82" s="122"/>
      <c r="H82" s="104"/>
      <c r="I82" s="73"/>
      <c r="J82" s="73"/>
      <c r="K82" s="202"/>
      <c r="L82" s="75" t="str">
        <f t="shared" si="11"/>
        <v/>
      </c>
      <c r="M82" s="75"/>
      <c r="N82" s="75" t="str">
        <f t="shared" si="12"/>
        <v/>
      </c>
      <c r="O82" s="204" t="str">
        <f t="shared" si="15"/>
        <v/>
      </c>
      <c r="P82" s="8"/>
      <c r="Q82" s="8"/>
      <c r="R82" s="8"/>
      <c r="S82" s="8"/>
    </row>
    <row r="83" spans="1:19" x14ac:dyDescent="0.25">
      <c r="A83" s="197">
        <f t="shared" si="8"/>
        <v>66</v>
      </c>
      <c r="B83" s="76" t="str">
        <f t="shared" si="10"/>
        <v/>
      </c>
      <c r="C83" s="77" t="str">
        <f>IF(G83&lt;&gt;"",IFERROR(ROUND(VLOOKUP(G83,ProductList!J:AO,32,FALSE),0),""),"")</f>
        <v/>
      </c>
      <c r="D83" s="73" t="str">
        <f>IF(E83&lt;&gt;"",IF(D82&lt;&gt;"",D82,#REF!)+1,"")</f>
        <v/>
      </c>
      <c r="E83" s="73"/>
      <c r="F83" s="73"/>
      <c r="G83" s="122"/>
      <c r="H83" s="104"/>
      <c r="I83" s="73"/>
      <c r="J83" s="73"/>
      <c r="K83" s="202"/>
      <c r="L83" s="75" t="str">
        <f t="shared" si="11"/>
        <v/>
      </c>
      <c r="M83" s="75"/>
      <c r="N83" s="75" t="str">
        <f t="shared" si="12"/>
        <v/>
      </c>
      <c r="O83" s="204" t="str">
        <f t="shared" si="15"/>
        <v/>
      </c>
      <c r="P83" s="8"/>
      <c r="Q83" s="8"/>
      <c r="R83" s="8"/>
      <c r="S83" s="8"/>
    </row>
    <row r="84" spans="1:19" x14ac:dyDescent="0.25">
      <c r="A84" s="197">
        <f t="shared" si="8"/>
        <v>66</v>
      </c>
      <c r="B84" s="76" t="str">
        <f t="shared" si="10"/>
        <v/>
      </c>
      <c r="C84" s="77" t="str">
        <f>IF(G84&lt;&gt;"",IFERROR(ROUND(VLOOKUP(G84,ProductList!J:AO,32,FALSE),0),""),"")</f>
        <v/>
      </c>
      <c r="D84" s="73" t="str">
        <f>IF(E84&lt;&gt;"",IF(D83&lt;&gt;"",D83,#REF!)+1,"")</f>
        <v/>
      </c>
      <c r="E84" s="73"/>
      <c r="F84" s="73"/>
      <c r="G84" s="122"/>
      <c r="H84" s="104"/>
      <c r="I84" s="73"/>
      <c r="J84" s="73"/>
      <c r="K84" s="202"/>
      <c r="L84" s="75" t="str">
        <f t="shared" si="11"/>
        <v/>
      </c>
      <c r="M84" s="75"/>
      <c r="N84" s="75" t="str">
        <f t="shared" si="12"/>
        <v/>
      </c>
      <c r="O84" s="204" t="str">
        <f t="shared" si="15"/>
        <v/>
      </c>
      <c r="P84" s="8"/>
      <c r="Q84" s="8"/>
      <c r="R84" s="8"/>
      <c r="S84" s="8"/>
    </row>
    <row r="85" spans="1:19" x14ac:dyDescent="0.25">
      <c r="A85" s="197">
        <f t="shared" si="8"/>
        <v>66</v>
      </c>
      <c r="B85" s="76" t="str">
        <f t="shared" si="10"/>
        <v/>
      </c>
      <c r="C85" s="77" t="str">
        <f>IF(G85&lt;&gt;"",IFERROR(ROUND(VLOOKUP(G85,ProductList!J:AO,32,FALSE),0),""),"")</f>
        <v/>
      </c>
      <c r="D85" s="73" t="str">
        <f>IF(E85&lt;&gt;"",IF(D84&lt;&gt;"",D84,#REF!)+1,"")</f>
        <v/>
      </c>
      <c r="E85" s="73"/>
      <c r="F85" s="73"/>
      <c r="G85" s="122"/>
      <c r="H85" s="104"/>
      <c r="I85" s="73"/>
      <c r="J85" s="73"/>
      <c r="K85" s="202"/>
      <c r="L85" s="75" t="str">
        <f t="shared" si="11"/>
        <v/>
      </c>
      <c r="M85" s="75"/>
      <c r="N85" s="75" t="str">
        <f t="shared" si="12"/>
        <v/>
      </c>
      <c r="O85" s="204" t="str">
        <f t="shared" si="15"/>
        <v/>
      </c>
      <c r="P85" s="8"/>
      <c r="Q85" s="8"/>
      <c r="R85" s="8"/>
      <c r="S85" s="8"/>
    </row>
    <row r="86" spans="1:19" x14ac:dyDescent="0.25">
      <c r="A86" s="197">
        <f t="shared" si="8"/>
        <v>66</v>
      </c>
      <c r="B86" s="76" t="str">
        <f t="shared" si="10"/>
        <v/>
      </c>
      <c r="C86" s="77" t="str">
        <f>IF(G86&lt;&gt;"",IFERROR(ROUND(VLOOKUP(G86,ProductList!J:AO,32,FALSE),0),""),"")</f>
        <v/>
      </c>
      <c r="D86" s="73" t="str">
        <f>IF(E86&lt;&gt;"",IF(D85&lt;&gt;"",D85,#REF!)+1,"")</f>
        <v/>
      </c>
      <c r="E86" s="73"/>
      <c r="F86" s="73"/>
      <c r="G86" s="122"/>
      <c r="H86" s="104"/>
      <c r="I86" s="73"/>
      <c r="J86" s="73"/>
      <c r="K86" s="202"/>
      <c r="L86" s="75" t="str">
        <f t="shared" si="11"/>
        <v/>
      </c>
      <c r="M86" s="75"/>
      <c r="N86" s="75" t="str">
        <f t="shared" si="12"/>
        <v/>
      </c>
      <c r="O86" s="204" t="str">
        <f t="shared" si="15"/>
        <v/>
      </c>
      <c r="P86" s="8"/>
      <c r="Q86" s="8"/>
      <c r="R86" s="8"/>
      <c r="S86" s="8"/>
    </row>
    <row r="87" spans="1:19" x14ac:dyDescent="0.25">
      <c r="A87" s="197">
        <f t="shared" si="8"/>
        <v>66</v>
      </c>
      <c r="B87" s="76" t="str">
        <f t="shared" si="10"/>
        <v/>
      </c>
      <c r="C87" s="77" t="str">
        <f>IF(G87&lt;&gt;"",IFERROR(ROUND(VLOOKUP(G87,ProductList!J:AO,32,FALSE),0),""),"")</f>
        <v/>
      </c>
      <c r="D87" s="73" t="str">
        <f>IF(E87&lt;&gt;"",IF(D86&lt;&gt;"",D86,#REF!)+1,"")</f>
        <v/>
      </c>
      <c r="E87" s="73"/>
      <c r="F87" s="73"/>
      <c r="G87" s="122"/>
      <c r="H87" s="104"/>
      <c r="I87" s="73"/>
      <c r="J87" s="73"/>
      <c r="K87" s="202"/>
      <c r="L87" s="75" t="str">
        <f t="shared" si="11"/>
        <v/>
      </c>
      <c r="M87" s="75"/>
      <c r="N87" s="75" t="str">
        <f t="shared" si="12"/>
        <v/>
      </c>
      <c r="O87" s="204" t="str">
        <f t="shared" si="15"/>
        <v/>
      </c>
      <c r="P87" s="8"/>
      <c r="Q87" s="8"/>
      <c r="R87" s="8"/>
      <c r="S87" s="8"/>
    </row>
    <row r="88" spans="1:19" x14ac:dyDescent="0.25">
      <c r="A88" s="197">
        <f t="shared" si="8"/>
        <v>66</v>
      </c>
      <c r="B88" s="76" t="str">
        <f t="shared" si="10"/>
        <v/>
      </c>
      <c r="C88" s="77" t="str">
        <f>IF(G88&lt;&gt;"",IFERROR(ROUND(VLOOKUP(G88,ProductList!J:AO,32,FALSE),0),""),"")</f>
        <v/>
      </c>
      <c r="D88" s="73" t="str">
        <f>IF(E88&lt;&gt;"",IF(D87&lt;&gt;"",D87,#REF!)+1,"")</f>
        <v/>
      </c>
      <c r="E88" s="73"/>
      <c r="F88" s="73"/>
      <c r="G88" s="122"/>
      <c r="H88" s="104"/>
      <c r="I88" s="73"/>
      <c r="J88" s="73"/>
      <c r="K88" s="202"/>
      <c r="L88" s="75" t="str">
        <f t="shared" si="11"/>
        <v/>
      </c>
      <c r="M88" s="75"/>
      <c r="N88" s="75" t="str">
        <f t="shared" si="12"/>
        <v/>
      </c>
      <c r="O88" s="204" t="str">
        <f t="shared" si="15"/>
        <v/>
      </c>
      <c r="P88" s="8"/>
      <c r="Q88" s="8"/>
      <c r="R88" s="8"/>
      <c r="S88" s="8"/>
    </row>
    <row r="89" spans="1:19" x14ac:dyDescent="0.25">
      <c r="A89" s="197">
        <f t="shared" si="8"/>
        <v>66</v>
      </c>
      <c r="B89" s="76" t="str">
        <f t="shared" si="10"/>
        <v/>
      </c>
      <c r="C89" s="77" t="str">
        <f>IF(G89&lt;&gt;"",IFERROR(ROUND(VLOOKUP(G89,ProductList!J:AO,32,FALSE),0),""),"")</f>
        <v/>
      </c>
      <c r="D89" s="73" t="str">
        <f>IF(E89&lt;&gt;"",IF(D88&lt;&gt;"",D88,#REF!)+1,"")</f>
        <v/>
      </c>
      <c r="E89" s="73"/>
      <c r="F89" s="73"/>
      <c r="G89" s="122"/>
      <c r="H89" s="104"/>
      <c r="I89" s="73"/>
      <c r="J89" s="73"/>
      <c r="K89" s="202"/>
      <c r="L89" s="75" t="str">
        <f t="shared" si="11"/>
        <v/>
      </c>
      <c r="M89" s="75"/>
      <c r="N89" s="75" t="str">
        <f t="shared" si="12"/>
        <v/>
      </c>
      <c r="O89" s="204" t="str">
        <f t="shared" si="15"/>
        <v/>
      </c>
      <c r="P89" s="8"/>
      <c r="Q89" s="8"/>
      <c r="R89" s="8"/>
      <c r="S89" s="8"/>
    </row>
    <row r="90" spans="1:19" x14ac:dyDescent="0.25">
      <c r="A90" s="197">
        <f t="shared" si="8"/>
        <v>66</v>
      </c>
      <c r="B90" s="76" t="str">
        <f t="shared" si="10"/>
        <v/>
      </c>
      <c r="C90" s="77" t="str">
        <f>IF(G90&lt;&gt;"",IFERROR(ROUND(VLOOKUP(G90,ProductList!J:AO,32,FALSE),0),""),"")</f>
        <v/>
      </c>
      <c r="D90" s="73" t="str">
        <f>IF(E90&lt;&gt;"",IF(D89&lt;&gt;"",D89,#REF!)+1,"")</f>
        <v/>
      </c>
      <c r="E90" s="73"/>
      <c r="F90" s="73"/>
      <c r="G90" s="122"/>
      <c r="H90" s="104"/>
      <c r="I90" s="73"/>
      <c r="J90" s="73"/>
      <c r="K90" s="202"/>
      <c r="L90" s="75" t="str">
        <f t="shared" si="11"/>
        <v/>
      </c>
      <c r="M90" s="75"/>
      <c r="N90" s="75" t="str">
        <f t="shared" si="12"/>
        <v/>
      </c>
      <c r="O90" s="204" t="str">
        <f t="shared" si="15"/>
        <v/>
      </c>
      <c r="P90" s="8"/>
      <c r="Q90" s="8"/>
      <c r="R90" s="8"/>
      <c r="S90" s="8"/>
    </row>
    <row r="91" spans="1:19" x14ac:dyDescent="0.25">
      <c r="A91" s="197">
        <f t="shared" si="8"/>
        <v>66</v>
      </c>
      <c r="B91" s="76" t="str">
        <f t="shared" si="10"/>
        <v/>
      </c>
      <c r="C91" s="77" t="str">
        <f>IF(G91&lt;&gt;"",IFERROR(ROUND(VLOOKUP(G91,ProductList!J:AO,32,FALSE),0),""),"")</f>
        <v/>
      </c>
      <c r="D91" s="73" t="str">
        <f>IF(E91&lt;&gt;"",IF(D90&lt;&gt;"",D90,#REF!)+1,"")</f>
        <v/>
      </c>
      <c r="E91" s="73"/>
      <c r="F91" s="73"/>
      <c r="G91" s="122"/>
      <c r="H91" s="104"/>
      <c r="I91" s="73"/>
      <c r="J91" s="73"/>
      <c r="K91" s="202"/>
      <c r="L91" s="75" t="str">
        <f t="shared" si="11"/>
        <v/>
      </c>
      <c r="M91" s="75"/>
      <c r="N91" s="75" t="str">
        <f t="shared" si="12"/>
        <v/>
      </c>
      <c r="O91" s="204" t="str">
        <f t="shared" si="15"/>
        <v/>
      </c>
      <c r="P91" s="8"/>
      <c r="Q91" s="8"/>
      <c r="R91" s="8"/>
      <c r="S91" s="8"/>
    </row>
    <row r="92" spans="1:19" x14ac:dyDescent="0.25">
      <c r="A92" s="197">
        <f t="shared" si="8"/>
        <v>66</v>
      </c>
      <c r="B92" s="76" t="str">
        <f t="shared" si="10"/>
        <v/>
      </c>
      <c r="C92" s="77" t="str">
        <f>IF(G92&lt;&gt;"",IFERROR(ROUND(VLOOKUP(G92,ProductList!J:AO,32,FALSE),0),""),"")</f>
        <v/>
      </c>
      <c r="D92" s="73" t="str">
        <f>IF(E92&lt;&gt;"",IF(D91&lt;&gt;"",D91,#REF!)+1,"")</f>
        <v/>
      </c>
      <c r="E92" s="73"/>
      <c r="F92" s="73"/>
      <c r="G92" s="122"/>
      <c r="H92" s="104"/>
      <c r="I92" s="73"/>
      <c r="J92" s="73"/>
      <c r="K92" s="202"/>
      <c r="L92" s="75" t="str">
        <f t="shared" si="11"/>
        <v/>
      </c>
      <c r="M92" s="75"/>
      <c r="N92" s="75" t="str">
        <f t="shared" si="12"/>
        <v/>
      </c>
      <c r="O92" s="204" t="str">
        <f t="shared" si="15"/>
        <v/>
      </c>
      <c r="P92" s="8"/>
      <c r="Q92" s="8"/>
      <c r="R92" s="8"/>
      <c r="S92" s="8"/>
    </row>
    <row r="93" spans="1:19" x14ac:dyDescent="0.25">
      <c r="A93" s="197">
        <f t="shared" si="8"/>
        <v>66</v>
      </c>
      <c r="B93" s="76" t="str">
        <f t="shared" si="10"/>
        <v/>
      </c>
      <c r="C93" s="77" t="str">
        <f>IF(G93&lt;&gt;"",IFERROR(ROUND(VLOOKUP(G93,ProductList!J:AO,32,FALSE),0),""),"")</f>
        <v/>
      </c>
      <c r="D93" s="73" t="str">
        <f>IF(E93&lt;&gt;"",IF(D92&lt;&gt;"",D92,#REF!)+1,"")</f>
        <v/>
      </c>
      <c r="E93" s="73"/>
      <c r="F93" s="73"/>
      <c r="G93" s="122"/>
      <c r="H93" s="104"/>
      <c r="I93" s="73"/>
      <c r="J93" s="73"/>
      <c r="K93" s="202"/>
      <c r="L93" s="75" t="str">
        <f t="shared" si="11"/>
        <v/>
      </c>
      <c r="M93" s="75"/>
      <c r="N93" s="75" t="str">
        <f t="shared" si="12"/>
        <v/>
      </c>
      <c r="O93" s="204" t="str">
        <f t="shared" si="15"/>
        <v/>
      </c>
      <c r="P93" s="8"/>
      <c r="Q93" s="8"/>
      <c r="R93" s="8"/>
      <c r="S93" s="8"/>
    </row>
    <row r="94" spans="1:19" x14ac:dyDescent="0.25">
      <c r="A94" s="197">
        <f t="shared" si="8"/>
        <v>66</v>
      </c>
      <c r="B94" s="76" t="str">
        <f t="shared" si="10"/>
        <v/>
      </c>
      <c r="C94" s="77" t="str">
        <f>IF(G94&lt;&gt;"",IFERROR(ROUND(VLOOKUP(G94,ProductList!J:AO,32,FALSE),0),""),"")</f>
        <v/>
      </c>
      <c r="D94" s="73" t="str">
        <f>IF(E94&lt;&gt;"",IF(D93&lt;&gt;"",D93,#REF!)+1,"")</f>
        <v/>
      </c>
      <c r="E94" s="73"/>
      <c r="F94" s="73"/>
      <c r="G94" s="122"/>
      <c r="H94" s="104"/>
      <c r="I94" s="73"/>
      <c r="J94" s="73"/>
      <c r="K94" s="202"/>
      <c r="L94" s="75" t="str">
        <f t="shared" si="11"/>
        <v/>
      </c>
      <c r="M94" s="75"/>
      <c r="N94" s="75" t="str">
        <f t="shared" si="12"/>
        <v/>
      </c>
      <c r="O94" s="204" t="str">
        <f t="shared" si="15"/>
        <v/>
      </c>
      <c r="P94" s="8"/>
      <c r="Q94" s="8"/>
      <c r="R94" s="8"/>
      <c r="S94" s="8"/>
    </row>
    <row r="95" spans="1:19" x14ac:dyDescent="0.25">
      <c r="A95" s="197">
        <f t="shared" si="8"/>
        <v>66</v>
      </c>
      <c r="B95" s="76" t="str">
        <f t="shared" si="10"/>
        <v/>
      </c>
      <c r="C95" s="77" t="str">
        <f>IF(G95&lt;&gt;"",IFERROR(ROUND(VLOOKUP(G95,ProductList!J:AO,32,FALSE),0),""),"")</f>
        <v/>
      </c>
      <c r="D95" s="73" t="str">
        <f>IF(E95&lt;&gt;"",IF(D94&lt;&gt;"",D94,#REF!)+1,"")</f>
        <v/>
      </c>
      <c r="E95" s="73"/>
      <c r="F95" s="73"/>
      <c r="G95" s="122"/>
      <c r="H95" s="104"/>
      <c r="I95" s="73"/>
      <c r="J95" s="73"/>
      <c r="K95" s="202"/>
      <c r="L95" s="75" t="str">
        <f t="shared" si="11"/>
        <v/>
      </c>
      <c r="M95" s="75"/>
      <c r="N95" s="75" t="str">
        <f t="shared" si="12"/>
        <v/>
      </c>
      <c r="O95" s="204" t="str">
        <f t="shared" si="15"/>
        <v/>
      </c>
      <c r="P95" s="8"/>
      <c r="Q95" s="8"/>
      <c r="R95" s="8"/>
      <c r="S95" s="8"/>
    </row>
    <row r="96" spans="1:19" x14ac:dyDescent="0.25">
      <c r="A96" s="197">
        <f t="shared" si="8"/>
        <v>66</v>
      </c>
      <c r="B96" s="76" t="str">
        <f t="shared" si="10"/>
        <v/>
      </c>
      <c r="C96" s="77" t="str">
        <f>IF(G96&lt;&gt;"",IFERROR(ROUND(VLOOKUP(G96,ProductList!J:AO,32,FALSE),0),""),"")</f>
        <v/>
      </c>
      <c r="D96" s="73" t="str">
        <f>IF(E96&lt;&gt;"",IF(D95&lt;&gt;"",D95,#REF!)+1,"")</f>
        <v/>
      </c>
      <c r="E96" s="73"/>
      <c r="F96" s="73"/>
      <c r="G96" s="122"/>
      <c r="H96" s="104"/>
      <c r="I96" s="73"/>
      <c r="J96" s="73"/>
      <c r="K96" s="202"/>
      <c r="L96" s="75" t="str">
        <f t="shared" si="11"/>
        <v/>
      </c>
      <c r="M96" s="75"/>
      <c r="N96" s="75" t="str">
        <f t="shared" si="12"/>
        <v/>
      </c>
      <c r="O96" s="204" t="str">
        <f t="shared" si="15"/>
        <v/>
      </c>
      <c r="P96" s="8"/>
      <c r="Q96" s="8"/>
      <c r="R96" s="8"/>
      <c r="S96" s="8"/>
    </row>
    <row r="97" spans="1:19" x14ac:dyDescent="0.25">
      <c r="A97" s="197">
        <f t="shared" si="8"/>
        <v>66</v>
      </c>
      <c r="B97" s="76" t="str">
        <f t="shared" si="10"/>
        <v/>
      </c>
      <c r="C97" s="77" t="str">
        <f>IF(G97&lt;&gt;"",IFERROR(ROUND(VLOOKUP(G97,ProductList!J:AO,32,FALSE),0),""),"")</f>
        <v/>
      </c>
      <c r="D97" s="73" t="str">
        <f>IF(E97&lt;&gt;"",IF(D96&lt;&gt;"",D96,#REF!)+1,"")</f>
        <v/>
      </c>
      <c r="E97" s="73"/>
      <c r="F97" s="73"/>
      <c r="G97" s="122"/>
      <c r="H97" s="104"/>
      <c r="I97" s="73"/>
      <c r="J97" s="73"/>
      <c r="K97" s="202"/>
      <c r="L97" s="75" t="str">
        <f t="shared" si="11"/>
        <v/>
      </c>
      <c r="M97" s="75"/>
      <c r="N97" s="75" t="str">
        <f t="shared" si="12"/>
        <v/>
      </c>
      <c r="O97" s="204" t="str">
        <f t="shared" si="15"/>
        <v/>
      </c>
      <c r="P97" s="8"/>
      <c r="Q97" s="8"/>
      <c r="R97" s="8"/>
      <c r="S97" s="8"/>
    </row>
    <row r="98" spans="1:19" x14ac:dyDescent="0.25">
      <c r="A98" s="197">
        <f t="shared" si="8"/>
        <v>66</v>
      </c>
      <c r="B98" s="76" t="str">
        <f t="shared" si="10"/>
        <v/>
      </c>
      <c r="C98" s="77" t="str">
        <f>IF(G98&lt;&gt;"",IFERROR(ROUND(VLOOKUP(G98,ProductList!J:AO,32,FALSE),0),""),"")</f>
        <v/>
      </c>
      <c r="D98" s="73" t="str">
        <f>IF(E98&lt;&gt;"",IF(D97&lt;&gt;"",D97,#REF!)+1,"")</f>
        <v/>
      </c>
      <c r="E98" s="73"/>
      <c r="F98" s="73"/>
      <c r="G98" s="122"/>
      <c r="H98" s="104"/>
      <c r="I98" s="73"/>
      <c r="J98" s="73"/>
      <c r="K98" s="202"/>
      <c r="L98" s="75" t="str">
        <f t="shared" si="11"/>
        <v/>
      </c>
      <c r="M98" s="75"/>
      <c r="N98" s="75" t="str">
        <f t="shared" si="12"/>
        <v/>
      </c>
      <c r="O98" s="204" t="str">
        <f t="shared" si="15"/>
        <v/>
      </c>
      <c r="P98" s="8"/>
      <c r="Q98" s="8"/>
      <c r="R98" s="8"/>
      <c r="S98" s="8"/>
    </row>
    <row r="99" spans="1:19" x14ac:dyDescent="0.25">
      <c r="A99" s="197">
        <f t="shared" si="8"/>
        <v>66</v>
      </c>
      <c r="B99" s="76" t="str">
        <f t="shared" si="10"/>
        <v/>
      </c>
      <c r="C99" s="77" t="str">
        <f>IF(G99&lt;&gt;"",IFERROR(ROUND(VLOOKUP(G99,ProductList!J:AO,32,FALSE),0),""),"")</f>
        <v/>
      </c>
      <c r="D99" s="73" t="str">
        <f>IF(E99&lt;&gt;"",IF(D98&lt;&gt;"",D98,#REF!)+1,"")</f>
        <v/>
      </c>
      <c r="E99" s="73"/>
      <c r="F99" s="73"/>
      <c r="G99" s="122"/>
      <c r="H99" s="104"/>
      <c r="I99" s="73"/>
      <c r="J99" s="73"/>
      <c r="K99" s="202"/>
      <c r="L99" s="75" t="str">
        <f t="shared" si="11"/>
        <v/>
      </c>
      <c r="M99" s="75"/>
      <c r="N99" s="75" t="str">
        <f t="shared" si="12"/>
        <v/>
      </c>
      <c r="O99" s="204" t="str">
        <f t="shared" si="15"/>
        <v/>
      </c>
      <c r="P99" s="8"/>
      <c r="Q99" s="8"/>
      <c r="R99" s="8"/>
      <c r="S99" s="8"/>
    </row>
    <row r="100" spans="1:19" x14ac:dyDescent="0.25">
      <c r="A100" s="197">
        <f t="shared" si="8"/>
        <v>66</v>
      </c>
      <c r="B100" s="76" t="str">
        <f t="shared" si="10"/>
        <v/>
      </c>
      <c r="C100" s="77" t="str">
        <f>IF(G100&lt;&gt;"",IFERROR(ROUND(VLOOKUP(G100,ProductList!J:AO,32,FALSE),0),""),"")</f>
        <v/>
      </c>
      <c r="D100" s="73" t="str">
        <f>IF(E100&lt;&gt;"",IF(D99&lt;&gt;"",D99,#REF!)+1,"")</f>
        <v/>
      </c>
      <c r="E100" s="73"/>
      <c r="F100" s="73"/>
      <c r="G100" s="122"/>
      <c r="H100" s="104"/>
      <c r="I100" s="73"/>
      <c r="J100" s="73"/>
      <c r="K100" s="202"/>
      <c r="L100" s="75" t="str">
        <f t="shared" si="11"/>
        <v/>
      </c>
      <c r="M100" s="75"/>
      <c r="N100" s="75" t="str">
        <f t="shared" si="12"/>
        <v/>
      </c>
      <c r="O100" s="204" t="str">
        <f t="shared" si="15"/>
        <v/>
      </c>
      <c r="P100" s="8"/>
      <c r="Q100" s="8"/>
      <c r="R100" s="8"/>
      <c r="S100" s="8"/>
    </row>
    <row r="101" spans="1:19" x14ac:dyDescent="0.25">
      <c r="A101" s="197">
        <f t="shared" si="8"/>
        <v>66</v>
      </c>
      <c r="B101" s="76" t="str">
        <f t="shared" si="10"/>
        <v/>
      </c>
      <c r="C101" s="77" t="str">
        <f>IF(G101&lt;&gt;"",IFERROR(ROUND(VLOOKUP(G101,ProductList!J:AO,32,FALSE),0),""),"")</f>
        <v/>
      </c>
      <c r="D101" s="73" t="str">
        <f>IF(E101&lt;&gt;"",IF(D100&lt;&gt;"",D100,#REF!)+1,"")</f>
        <v/>
      </c>
      <c r="E101" s="73"/>
      <c r="F101" s="73"/>
      <c r="G101" s="122"/>
      <c r="H101" s="104"/>
      <c r="I101" s="73"/>
      <c r="J101" s="73"/>
      <c r="K101" s="202"/>
      <c r="L101" s="75" t="str">
        <f t="shared" si="11"/>
        <v/>
      </c>
      <c r="M101" s="75"/>
      <c r="N101" s="75" t="str">
        <f t="shared" si="12"/>
        <v/>
      </c>
      <c r="O101" s="204" t="str">
        <f t="shared" si="15"/>
        <v/>
      </c>
      <c r="P101" s="8"/>
      <c r="Q101" s="8"/>
      <c r="R101" s="8"/>
      <c r="S101" s="8"/>
    </row>
    <row r="102" spans="1:19" x14ac:dyDescent="0.25">
      <c r="A102" s="197">
        <f t="shared" si="8"/>
        <v>66</v>
      </c>
      <c r="B102" s="76" t="str">
        <f t="shared" si="10"/>
        <v/>
      </c>
      <c r="C102" s="77" t="str">
        <f>IF(G102&lt;&gt;"",IFERROR(ROUND(VLOOKUP(G102,ProductList!J:AO,32,FALSE),0),""),"")</f>
        <v/>
      </c>
      <c r="D102" s="73" t="str">
        <f>IF(E102&lt;&gt;"",IF(D101&lt;&gt;"",D101,#REF!)+1,"")</f>
        <v/>
      </c>
      <c r="E102" s="73"/>
      <c r="F102" s="73"/>
      <c r="G102" s="122"/>
      <c r="H102" s="104"/>
      <c r="I102" s="73"/>
      <c r="J102" s="73"/>
      <c r="K102" s="202"/>
      <c r="L102" s="75" t="str">
        <f t="shared" si="11"/>
        <v/>
      </c>
      <c r="M102" s="75"/>
      <c r="N102" s="75" t="str">
        <f t="shared" si="12"/>
        <v/>
      </c>
      <c r="O102" s="204" t="str">
        <f t="shared" si="15"/>
        <v/>
      </c>
      <c r="P102" s="8"/>
      <c r="Q102" s="8"/>
      <c r="R102" s="8"/>
      <c r="S102" s="8"/>
    </row>
    <row r="103" spans="1:19" x14ac:dyDescent="0.25">
      <c r="A103" s="197">
        <f t="shared" si="8"/>
        <v>66</v>
      </c>
      <c r="B103" s="76" t="str">
        <f t="shared" si="10"/>
        <v/>
      </c>
      <c r="C103" s="77" t="str">
        <f>IF(G103&lt;&gt;"",IFERROR(ROUND(VLOOKUP(G103,ProductList!J:AO,32,FALSE),0),""),"")</f>
        <v/>
      </c>
      <c r="D103" s="73" t="str">
        <f>IF(E103&lt;&gt;"",IF(D102&lt;&gt;"",D102,#REF!)+1,"")</f>
        <v/>
      </c>
      <c r="E103" s="73"/>
      <c r="F103" s="73"/>
      <c r="G103" s="122"/>
      <c r="H103" s="104"/>
      <c r="I103" s="73"/>
      <c r="J103" s="73"/>
      <c r="K103" s="202"/>
      <c r="L103" s="75" t="str">
        <f t="shared" si="11"/>
        <v/>
      </c>
      <c r="M103" s="75"/>
      <c r="N103" s="75" t="str">
        <f t="shared" si="12"/>
        <v/>
      </c>
      <c r="O103" s="204" t="str">
        <f t="shared" si="15"/>
        <v/>
      </c>
      <c r="P103" s="8"/>
      <c r="Q103" s="8"/>
      <c r="R103" s="8"/>
      <c r="S103" s="8"/>
    </row>
    <row r="104" spans="1:19" x14ac:dyDescent="0.25">
      <c r="A104" s="197">
        <f t="shared" si="8"/>
        <v>66</v>
      </c>
      <c r="B104" s="76" t="str">
        <f t="shared" si="10"/>
        <v/>
      </c>
      <c r="C104" s="77" t="str">
        <f>IF(G104&lt;&gt;"",IFERROR(ROUND(VLOOKUP(G104,ProductList!J:AO,32,FALSE),0),""),"")</f>
        <v/>
      </c>
      <c r="D104" s="73" t="str">
        <f>IF(E104&lt;&gt;"",IF(D103&lt;&gt;"",D103,#REF!)+1,"")</f>
        <v/>
      </c>
      <c r="E104" s="73"/>
      <c r="F104" s="73"/>
      <c r="G104" s="122"/>
      <c r="H104" s="104"/>
      <c r="I104" s="73"/>
      <c r="J104" s="73"/>
      <c r="K104" s="202"/>
      <c r="L104" s="75" t="str">
        <f t="shared" si="11"/>
        <v/>
      </c>
      <c r="M104" s="75"/>
      <c r="N104" s="75" t="str">
        <f t="shared" si="12"/>
        <v/>
      </c>
      <c r="O104" s="204" t="str">
        <f t="shared" si="15"/>
        <v/>
      </c>
      <c r="P104" s="8"/>
      <c r="Q104" s="8"/>
      <c r="R104" s="8"/>
      <c r="S104" s="8"/>
    </row>
    <row r="105" spans="1:19" x14ac:dyDescent="0.25">
      <c r="A105" s="197">
        <f t="shared" si="8"/>
        <v>66</v>
      </c>
      <c r="B105" s="76" t="str">
        <f t="shared" si="10"/>
        <v/>
      </c>
      <c r="C105" s="77" t="str">
        <f>IF(G105&lt;&gt;"",IFERROR(ROUND(VLOOKUP(G105,ProductList!J:AO,32,FALSE),0),""),"")</f>
        <v/>
      </c>
      <c r="D105" s="73" t="str">
        <f>IF(E105&lt;&gt;"",IF(D104&lt;&gt;"",D104,#REF!)+1,"")</f>
        <v/>
      </c>
      <c r="E105" s="73"/>
      <c r="F105" s="73"/>
      <c r="G105" s="122"/>
      <c r="H105" s="104"/>
      <c r="I105" s="73"/>
      <c r="J105" s="73"/>
      <c r="K105" s="202"/>
      <c r="L105" s="75" t="str">
        <f t="shared" si="11"/>
        <v/>
      </c>
      <c r="M105" s="75"/>
      <c r="N105" s="75" t="str">
        <f t="shared" si="12"/>
        <v/>
      </c>
      <c r="O105" s="204" t="str">
        <f t="shared" si="15"/>
        <v/>
      </c>
      <c r="P105" s="8"/>
      <c r="Q105" s="8"/>
      <c r="R105" s="8"/>
      <c r="S105" s="8"/>
    </row>
    <row r="106" spans="1:19" x14ac:dyDescent="0.25">
      <c r="A106" s="197">
        <f t="shared" si="8"/>
        <v>66</v>
      </c>
      <c r="B106" s="76" t="str">
        <f t="shared" si="10"/>
        <v/>
      </c>
      <c r="C106" s="77" t="str">
        <f>IF(G106&lt;&gt;"",IFERROR(ROUND(VLOOKUP(G106,ProductList!J:AO,32,FALSE),0),""),"")</f>
        <v/>
      </c>
      <c r="D106" s="73" t="str">
        <f>IF(E106&lt;&gt;"",IF(D105&lt;&gt;"",D105,#REF!)+1,"")</f>
        <v/>
      </c>
      <c r="E106" s="73"/>
      <c r="F106" s="73"/>
      <c r="G106" s="122"/>
      <c r="H106" s="104"/>
      <c r="I106" s="73"/>
      <c r="J106" s="73"/>
      <c r="K106" s="202"/>
      <c r="L106" s="75" t="str">
        <f t="shared" si="11"/>
        <v/>
      </c>
      <c r="M106" s="75"/>
      <c r="N106" s="75" t="str">
        <f t="shared" si="12"/>
        <v/>
      </c>
      <c r="O106" s="204" t="str">
        <f t="shared" si="15"/>
        <v/>
      </c>
      <c r="P106" s="8"/>
      <c r="Q106" s="8"/>
      <c r="R106" s="8"/>
      <c r="S106" s="8"/>
    </row>
    <row r="107" spans="1:19" x14ac:dyDescent="0.25">
      <c r="A107" s="197">
        <f t="shared" si="8"/>
        <v>66</v>
      </c>
      <c r="B107" s="76" t="str">
        <f t="shared" si="10"/>
        <v/>
      </c>
      <c r="C107" s="77" t="str">
        <f>IF(G107&lt;&gt;"",IFERROR(ROUND(VLOOKUP(G107,ProductList!J:AO,32,FALSE),0),""),"")</f>
        <v/>
      </c>
      <c r="D107" s="73" t="str">
        <f>IF(E107&lt;&gt;"",IF(D106&lt;&gt;"",D106,#REF!)+1,"")</f>
        <v/>
      </c>
      <c r="E107" s="73"/>
      <c r="F107" s="73"/>
      <c r="G107" s="122"/>
      <c r="H107" s="104"/>
      <c r="I107" s="73"/>
      <c r="J107" s="73"/>
      <c r="K107" s="202"/>
      <c r="L107" s="75" t="str">
        <f t="shared" si="11"/>
        <v/>
      </c>
      <c r="M107" s="75"/>
      <c r="N107" s="75" t="str">
        <f t="shared" si="12"/>
        <v/>
      </c>
      <c r="O107" s="204" t="str">
        <f t="shared" si="15"/>
        <v/>
      </c>
      <c r="P107" s="8"/>
      <c r="Q107" s="8"/>
      <c r="R107" s="8"/>
      <c r="S107" s="8"/>
    </row>
    <row r="108" spans="1:19" x14ac:dyDescent="0.25">
      <c r="A108" s="197">
        <f t="shared" si="8"/>
        <v>66</v>
      </c>
      <c r="B108" s="76" t="str">
        <f t="shared" si="10"/>
        <v/>
      </c>
      <c r="C108" s="77" t="str">
        <f>IF(G108&lt;&gt;"",IFERROR(ROUND(VLOOKUP(G108,ProductList!J:AO,32,FALSE),0),""),"")</f>
        <v/>
      </c>
      <c r="D108" s="73" t="str">
        <f>IF(E108&lt;&gt;"",IF(D107&lt;&gt;"",D107,#REF!)+1,"")</f>
        <v/>
      </c>
      <c r="E108" s="73"/>
      <c r="F108" s="73"/>
      <c r="G108" s="122"/>
      <c r="H108" s="104"/>
      <c r="I108" s="73"/>
      <c r="J108" s="73"/>
      <c r="K108" s="202"/>
      <c r="L108" s="75" t="str">
        <f t="shared" si="11"/>
        <v/>
      </c>
      <c r="M108" s="75"/>
      <c r="N108" s="75" t="str">
        <f t="shared" si="12"/>
        <v/>
      </c>
      <c r="O108" s="204" t="str">
        <f t="shared" si="15"/>
        <v/>
      </c>
      <c r="P108" s="8"/>
      <c r="Q108" s="8"/>
      <c r="R108" s="8"/>
      <c r="S108" s="8"/>
    </row>
    <row r="109" spans="1:19" x14ac:dyDescent="0.25">
      <c r="A109" s="197">
        <f t="shared" si="8"/>
        <v>66</v>
      </c>
      <c r="B109" s="76" t="str">
        <f t="shared" si="10"/>
        <v/>
      </c>
      <c r="C109" s="77" t="str">
        <f>IF(G109&lt;&gt;"",IFERROR(ROUND(VLOOKUP(G109,ProductList!J:AO,32,FALSE),0),""),"")</f>
        <v/>
      </c>
      <c r="D109" s="73" t="str">
        <f>IF(E109&lt;&gt;"",IF(D108&lt;&gt;"",D108,#REF!)+1,"")</f>
        <v/>
      </c>
      <c r="E109" s="73"/>
      <c r="F109" s="73"/>
      <c r="G109" s="122"/>
      <c r="H109" s="104"/>
      <c r="I109" s="73"/>
      <c r="J109" s="73"/>
      <c r="K109" s="202"/>
      <c r="L109" s="75" t="str">
        <f t="shared" si="11"/>
        <v/>
      </c>
      <c r="M109" s="75"/>
      <c r="N109" s="75" t="str">
        <f t="shared" si="12"/>
        <v/>
      </c>
      <c r="O109" s="204" t="str">
        <f t="shared" si="15"/>
        <v/>
      </c>
      <c r="P109" s="8"/>
      <c r="Q109" s="8"/>
      <c r="R109" s="8"/>
      <c r="S109" s="8"/>
    </row>
    <row r="110" spans="1:19" x14ac:dyDescent="0.25">
      <c r="A110" s="197">
        <f t="shared" si="8"/>
        <v>66</v>
      </c>
      <c r="B110" s="76" t="str">
        <f t="shared" si="10"/>
        <v/>
      </c>
      <c r="C110" s="77" t="str">
        <f>IF(G110&lt;&gt;"",IFERROR(ROUND(VLOOKUP(G110,ProductList!J:AO,32,FALSE),0),""),"")</f>
        <v/>
      </c>
      <c r="D110" s="73" t="str">
        <f>IF(E110&lt;&gt;"",IF(D109&lt;&gt;"",D109,#REF!)+1,"")</f>
        <v/>
      </c>
      <c r="E110" s="73"/>
      <c r="F110" s="73"/>
      <c r="G110" s="122"/>
      <c r="H110" s="104"/>
      <c r="I110" s="73"/>
      <c r="J110" s="73"/>
      <c r="K110" s="202"/>
      <c r="L110" s="75" t="str">
        <f t="shared" si="11"/>
        <v/>
      </c>
      <c r="M110" s="75"/>
      <c r="N110" s="75" t="str">
        <f t="shared" si="12"/>
        <v/>
      </c>
      <c r="O110" s="204" t="str">
        <f t="shared" si="15"/>
        <v/>
      </c>
      <c r="P110" s="8"/>
      <c r="Q110" s="8"/>
      <c r="R110" s="8"/>
      <c r="S110" s="8"/>
    </row>
    <row r="111" spans="1:19" x14ac:dyDescent="0.25">
      <c r="A111" s="197">
        <f t="shared" si="8"/>
        <v>66</v>
      </c>
      <c r="B111" s="76" t="str">
        <f t="shared" si="10"/>
        <v/>
      </c>
      <c r="C111" s="77" t="str">
        <f>IF(G111&lt;&gt;"",IFERROR(ROUND(VLOOKUP(G111,ProductList!J:AO,32,FALSE),0),""),"")</f>
        <v/>
      </c>
      <c r="D111" s="73" t="str">
        <f>IF(E111&lt;&gt;"",IF(D110&lt;&gt;"",D110,#REF!)+1,"")</f>
        <v/>
      </c>
      <c r="E111" s="73"/>
      <c r="F111" s="73"/>
      <c r="G111" s="122"/>
      <c r="H111" s="104"/>
      <c r="I111" s="73"/>
      <c r="J111" s="73"/>
      <c r="K111" s="202"/>
      <c r="L111" s="75" t="str">
        <f t="shared" si="11"/>
        <v/>
      </c>
      <c r="M111" s="75"/>
      <c r="N111" s="75" t="str">
        <f t="shared" si="12"/>
        <v/>
      </c>
      <c r="O111" s="204" t="str">
        <f t="shared" si="15"/>
        <v/>
      </c>
      <c r="P111" s="8"/>
      <c r="Q111" s="8"/>
      <c r="R111" s="8"/>
      <c r="S111" s="8"/>
    </row>
    <row r="112" spans="1:19" x14ac:dyDescent="0.25">
      <c r="A112" s="197">
        <f t="shared" si="8"/>
        <v>66</v>
      </c>
      <c r="B112" s="76" t="str">
        <f t="shared" si="10"/>
        <v/>
      </c>
      <c r="C112" s="77" t="str">
        <f>IF(G112&lt;&gt;"",IFERROR(ROUND(VLOOKUP(G112,ProductList!J:AO,32,FALSE),0),""),"")</f>
        <v/>
      </c>
      <c r="D112" s="73" t="str">
        <f>IF(E112&lt;&gt;"",IF(D111&lt;&gt;"",D111,#REF!)+1,"")</f>
        <v/>
      </c>
      <c r="E112" s="73"/>
      <c r="F112" s="73"/>
      <c r="G112" s="122"/>
      <c r="H112" s="104"/>
      <c r="I112" s="73"/>
      <c r="J112" s="73"/>
      <c r="K112" s="202"/>
      <c r="L112" s="75" t="str">
        <f t="shared" si="11"/>
        <v/>
      </c>
      <c r="M112" s="75"/>
      <c r="N112" s="75" t="str">
        <f t="shared" si="12"/>
        <v/>
      </c>
      <c r="O112" s="204" t="str">
        <f t="shared" si="15"/>
        <v/>
      </c>
      <c r="P112" s="8"/>
      <c r="Q112" s="8"/>
      <c r="R112" s="8"/>
      <c r="S112" s="8"/>
    </row>
    <row r="113" spans="1:19" x14ac:dyDescent="0.25">
      <c r="A113" s="197">
        <f t="shared" si="8"/>
        <v>66</v>
      </c>
      <c r="B113" s="76" t="str">
        <f t="shared" si="10"/>
        <v/>
      </c>
      <c r="C113" s="77" t="str">
        <f>IF(G113&lt;&gt;"",IFERROR(ROUND(VLOOKUP(G113,ProductList!J:AO,32,FALSE),0),""),"")</f>
        <v/>
      </c>
      <c r="D113" s="73" t="str">
        <f>IF(E113&lt;&gt;"",IF(D112&lt;&gt;"",D112,#REF!)+1,"")</f>
        <v/>
      </c>
      <c r="E113" s="73"/>
      <c r="F113" s="73"/>
      <c r="G113" s="122"/>
      <c r="H113" s="104"/>
      <c r="I113" s="73"/>
      <c r="J113" s="73"/>
      <c r="K113" s="202"/>
      <c r="L113" s="75" t="str">
        <f t="shared" si="11"/>
        <v/>
      </c>
      <c r="M113" s="75"/>
      <c r="N113" s="75" t="str">
        <f t="shared" si="12"/>
        <v/>
      </c>
      <c r="O113" s="204" t="str">
        <f t="shared" si="15"/>
        <v/>
      </c>
      <c r="P113" s="8"/>
      <c r="Q113" s="8"/>
      <c r="R113" s="8"/>
      <c r="S113" s="8"/>
    </row>
    <row r="114" spans="1:19" x14ac:dyDescent="0.25">
      <c r="A114" s="197">
        <f t="shared" si="8"/>
        <v>66</v>
      </c>
      <c r="B114" s="76" t="str">
        <f t="shared" si="10"/>
        <v/>
      </c>
      <c r="C114" s="77" t="str">
        <f>IF(G114&lt;&gt;"",IFERROR(ROUND(VLOOKUP(G114,ProductList!J:AO,32,FALSE),0),""),"")</f>
        <v/>
      </c>
      <c r="D114" s="73" t="str">
        <f>IF(E114&lt;&gt;"",IF(D113&lt;&gt;"",D113,#REF!)+1,"")</f>
        <v/>
      </c>
      <c r="E114" s="73"/>
      <c r="F114" s="73"/>
      <c r="G114" s="122"/>
      <c r="H114" s="104"/>
      <c r="I114" s="73"/>
      <c r="J114" s="73"/>
      <c r="K114" s="202"/>
      <c r="L114" s="75" t="str">
        <f t="shared" si="11"/>
        <v/>
      </c>
      <c r="M114" s="75"/>
      <c r="N114" s="75" t="str">
        <f t="shared" si="12"/>
        <v/>
      </c>
      <c r="O114" s="204" t="str">
        <f t="shared" si="15"/>
        <v/>
      </c>
      <c r="P114" s="8"/>
      <c r="Q114" s="8"/>
      <c r="R114" s="8"/>
      <c r="S114" s="8"/>
    </row>
    <row r="115" spans="1:19" x14ac:dyDescent="0.25">
      <c r="A115" s="197">
        <f t="shared" si="8"/>
        <v>66</v>
      </c>
      <c r="B115" s="76" t="str">
        <f t="shared" si="10"/>
        <v/>
      </c>
      <c r="C115" s="77" t="str">
        <f>IF(G115&lt;&gt;"",IFERROR(ROUND(VLOOKUP(G115,ProductList!J:AO,32,FALSE),0),""),"")</f>
        <v/>
      </c>
      <c r="D115" s="73" t="str">
        <f>IF(E115&lt;&gt;"",IF(D114&lt;&gt;"",D114,#REF!)+1,"")</f>
        <v/>
      </c>
      <c r="E115" s="73"/>
      <c r="F115" s="73"/>
      <c r="G115" s="122"/>
      <c r="H115" s="104"/>
      <c r="I115" s="73"/>
      <c r="J115" s="73"/>
      <c r="K115" s="202"/>
      <c r="L115" s="75" t="str">
        <f t="shared" si="11"/>
        <v/>
      </c>
      <c r="M115" s="75"/>
      <c r="N115" s="75" t="str">
        <f t="shared" si="12"/>
        <v/>
      </c>
      <c r="O115" s="204" t="str">
        <f t="shared" si="15"/>
        <v/>
      </c>
      <c r="P115" s="8"/>
      <c r="Q115" s="8"/>
      <c r="R115" s="8"/>
      <c r="S115" s="8"/>
    </row>
    <row r="116" spans="1:19" x14ac:dyDescent="0.25">
      <c r="A116" s="197">
        <f t="shared" si="8"/>
        <v>66</v>
      </c>
      <c r="B116" s="76" t="str">
        <f t="shared" si="10"/>
        <v/>
      </c>
      <c r="C116" s="77" t="str">
        <f>IF(G116&lt;&gt;"",IFERROR(ROUND(VLOOKUP(G116,ProductList!J:AO,32,FALSE),0),""),"")</f>
        <v/>
      </c>
      <c r="D116" s="73" t="str">
        <f>IF(E116&lt;&gt;"",IF(D115&lt;&gt;"",D115,#REF!)+1,"")</f>
        <v/>
      </c>
      <c r="E116" s="73"/>
      <c r="F116" s="73"/>
      <c r="G116" s="122"/>
      <c r="H116" s="104"/>
      <c r="I116" s="73"/>
      <c r="J116" s="73"/>
      <c r="K116" s="202"/>
      <c r="L116" s="75" t="str">
        <f t="shared" si="11"/>
        <v/>
      </c>
      <c r="M116" s="75"/>
      <c r="N116" s="75" t="str">
        <f t="shared" si="12"/>
        <v/>
      </c>
      <c r="O116" s="204" t="str">
        <f t="shared" si="15"/>
        <v/>
      </c>
      <c r="P116" s="8"/>
      <c r="Q116" s="8"/>
      <c r="R116" s="8"/>
      <c r="S116" s="8"/>
    </row>
    <row r="117" spans="1:19" x14ac:dyDescent="0.25">
      <c r="A117" s="197">
        <f t="shared" si="8"/>
        <v>66</v>
      </c>
      <c r="B117" s="76" t="str">
        <f t="shared" si="10"/>
        <v/>
      </c>
      <c r="C117" s="77" t="str">
        <f>IF(G117&lt;&gt;"",IFERROR(ROUND(VLOOKUP(G117,ProductList!J:AO,32,FALSE),0),""),"")</f>
        <v/>
      </c>
      <c r="D117" s="73" t="str">
        <f>IF(E117&lt;&gt;"",IF(D116&lt;&gt;"",D116,#REF!)+1,"")</f>
        <v/>
      </c>
      <c r="E117" s="73"/>
      <c r="F117" s="73"/>
      <c r="G117" s="122"/>
      <c r="H117" s="104"/>
      <c r="I117" s="73"/>
      <c r="J117" s="73"/>
      <c r="K117" s="202"/>
      <c r="L117" s="75" t="str">
        <f t="shared" si="11"/>
        <v/>
      </c>
      <c r="M117" s="75"/>
      <c r="N117" s="75" t="str">
        <f t="shared" si="12"/>
        <v/>
      </c>
      <c r="O117" s="204" t="str">
        <f t="shared" si="15"/>
        <v/>
      </c>
      <c r="P117" s="8"/>
      <c r="Q117" s="8"/>
      <c r="R117" s="8"/>
      <c r="S117" s="8"/>
    </row>
    <row r="118" spans="1:19" x14ac:dyDescent="0.25">
      <c r="A118" s="197">
        <f t="shared" si="8"/>
        <v>66</v>
      </c>
      <c r="B118" s="76" t="str">
        <f t="shared" si="10"/>
        <v/>
      </c>
      <c r="C118" s="77" t="str">
        <f>IF(G118&lt;&gt;"",IFERROR(ROUND(VLOOKUP(G118,ProductList!J:AO,32,FALSE),0),""),"")</f>
        <v/>
      </c>
      <c r="D118" s="73" t="str">
        <f>IF(E118&lt;&gt;"",IF(D117&lt;&gt;"",D117,#REF!)+1,"")</f>
        <v/>
      </c>
      <c r="E118" s="73"/>
      <c r="F118" s="73"/>
      <c r="G118" s="122"/>
      <c r="H118" s="104"/>
      <c r="I118" s="73"/>
      <c r="J118" s="73"/>
      <c r="K118" s="202"/>
      <c r="L118" s="75" t="str">
        <f t="shared" si="11"/>
        <v/>
      </c>
      <c r="M118" s="75"/>
      <c r="N118" s="75" t="str">
        <f t="shared" si="12"/>
        <v/>
      </c>
      <c r="O118" s="204" t="str">
        <f t="shared" si="15"/>
        <v/>
      </c>
      <c r="P118" s="8"/>
      <c r="Q118" s="8"/>
      <c r="R118" s="8"/>
      <c r="S118" s="8"/>
    </row>
    <row r="119" spans="1:19" x14ac:dyDescent="0.25">
      <c r="A119" s="197">
        <f t="shared" si="8"/>
        <v>66</v>
      </c>
      <c r="B119" s="76" t="str">
        <f t="shared" si="10"/>
        <v/>
      </c>
      <c r="C119" s="77" t="str">
        <f>IF(G119&lt;&gt;"",IFERROR(ROUND(VLOOKUP(G119,ProductList!J:AO,32,FALSE),0),""),"")</f>
        <v/>
      </c>
      <c r="D119" s="73" t="str">
        <f>IF(E119&lt;&gt;"",IF(D118&lt;&gt;"",D118,#REF!)+1,"")</f>
        <v/>
      </c>
      <c r="E119" s="73"/>
      <c r="F119" s="73"/>
      <c r="G119" s="122"/>
      <c r="H119" s="104"/>
      <c r="I119" s="73"/>
      <c r="J119" s="73"/>
      <c r="K119" s="202"/>
      <c r="L119" s="75" t="str">
        <f t="shared" si="11"/>
        <v/>
      </c>
      <c r="M119" s="75"/>
      <c r="N119" s="75" t="str">
        <f t="shared" si="12"/>
        <v/>
      </c>
      <c r="O119" s="204" t="str">
        <f t="shared" si="15"/>
        <v/>
      </c>
      <c r="P119" s="8"/>
      <c r="Q119" s="8"/>
      <c r="R119" s="8"/>
      <c r="S119" s="8"/>
    </row>
    <row r="120" spans="1:19" x14ac:dyDescent="0.25">
      <c r="A120" s="197">
        <f t="shared" si="8"/>
        <v>66</v>
      </c>
      <c r="B120" s="76" t="str">
        <f t="shared" si="10"/>
        <v/>
      </c>
      <c r="C120" s="77" t="str">
        <f>IF(G120&lt;&gt;"",IFERROR(ROUND(VLOOKUP(G120,ProductList!J:AO,32,FALSE),0),""),"")</f>
        <v/>
      </c>
      <c r="D120" s="73" t="str">
        <f>IF(E120&lt;&gt;"",IF(D119&lt;&gt;"",D119,#REF!)+1,"")</f>
        <v/>
      </c>
      <c r="E120" s="73"/>
      <c r="F120" s="73"/>
      <c r="G120" s="122"/>
      <c r="H120" s="104"/>
      <c r="I120" s="73"/>
      <c r="J120" s="73"/>
      <c r="K120" s="202"/>
      <c r="L120" s="75" t="str">
        <f t="shared" si="11"/>
        <v/>
      </c>
      <c r="M120" s="75"/>
      <c r="N120" s="75" t="str">
        <f t="shared" si="12"/>
        <v/>
      </c>
      <c r="O120" s="204" t="str">
        <f t="shared" si="15"/>
        <v/>
      </c>
      <c r="P120" s="8"/>
      <c r="Q120" s="8"/>
      <c r="R120" s="8"/>
      <c r="S120" s="8"/>
    </row>
    <row r="121" spans="1:19" x14ac:dyDescent="0.25">
      <c r="A121" s="197">
        <f t="shared" si="8"/>
        <v>66</v>
      </c>
      <c r="B121" s="76" t="str">
        <f t="shared" si="10"/>
        <v/>
      </c>
      <c r="C121" s="77" t="str">
        <f>IF(G121&lt;&gt;"",IFERROR(ROUND(VLOOKUP(G121,ProductList!J:AO,32,FALSE),0),""),"")</f>
        <v/>
      </c>
      <c r="D121" s="73" t="str">
        <f>IF(E121&lt;&gt;"",IF(D120&lt;&gt;"",D120,#REF!)+1,"")</f>
        <v/>
      </c>
      <c r="E121" s="73"/>
      <c r="F121" s="73"/>
      <c r="G121" s="122"/>
      <c r="H121" s="104"/>
      <c r="I121" s="73"/>
      <c r="J121" s="73"/>
      <c r="K121" s="202"/>
      <c r="L121" s="75" t="str">
        <f t="shared" si="11"/>
        <v/>
      </c>
      <c r="M121" s="75"/>
      <c r="N121" s="75" t="str">
        <f t="shared" si="12"/>
        <v/>
      </c>
      <c r="O121" s="204" t="str">
        <f t="shared" si="15"/>
        <v/>
      </c>
      <c r="P121" s="8"/>
      <c r="Q121" s="8"/>
      <c r="R121" s="8"/>
      <c r="S121" s="8"/>
    </row>
    <row r="122" spans="1:19" x14ac:dyDescent="0.25">
      <c r="A122" s="197">
        <f t="shared" si="8"/>
        <v>66</v>
      </c>
      <c r="B122" s="76" t="str">
        <f t="shared" si="10"/>
        <v/>
      </c>
      <c r="C122" s="77" t="str">
        <f>IF(G122&lt;&gt;"",IFERROR(ROUND(VLOOKUP(G122,ProductList!J:AO,32,FALSE),0),""),"")</f>
        <v/>
      </c>
      <c r="D122" s="73" t="str">
        <f>IF(E122&lt;&gt;"",IF(D121&lt;&gt;"",D121,#REF!)+1,"")</f>
        <v/>
      </c>
      <c r="E122" s="73"/>
      <c r="F122" s="73"/>
      <c r="G122" s="122"/>
      <c r="H122" s="104"/>
      <c r="I122" s="73"/>
      <c r="J122" s="73"/>
      <c r="K122" s="202"/>
      <c r="L122" s="75" t="str">
        <f t="shared" si="11"/>
        <v/>
      </c>
      <c r="M122" s="75"/>
      <c r="N122" s="75" t="str">
        <f t="shared" si="12"/>
        <v/>
      </c>
      <c r="O122" s="204" t="str">
        <f t="shared" si="15"/>
        <v/>
      </c>
      <c r="P122" s="8"/>
      <c r="Q122" s="8"/>
      <c r="R122" s="8"/>
      <c r="S122" s="8"/>
    </row>
    <row r="123" spans="1:19" x14ac:dyDescent="0.25">
      <c r="A123" s="197">
        <f t="shared" si="8"/>
        <v>66</v>
      </c>
      <c r="B123" s="76" t="str">
        <f t="shared" si="10"/>
        <v/>
      </c>
      <c r="C123" s="77" t="str">
        <f>IF(G123&lt;&gt;"",IFERROR(ROUND(VLOOKUP(G123,ProductList!J:AO,32,FALSE),0),""),"")</f>
        <v/>
      </c>
      <c r="D123" s="73" t="str">
        <f>IF(E123&lt;&gt;"",IF(D122&lt;&gt;"",D122,#REF!)+1,"")</f>
        <v/>
      </c>
      <c r="E123" s="73"/>
      <c r="F123" s="73"/>
      <c r="G123" s="122"/>
      <c r="H123" s="104"/>
      <c r="I123" s="73"/>
      <c r="J123" s="73"/>
      <c r="K123" s="202"/>
      <c r="L123" s="75" t="str">
        <f t="shared" si="11"/>
        <v/>
      </c>
      <c r="M123" s="75"/>
      <c r="N123" s="75" t="str">
        <f t="shared" si="12"/>
        <v/>
      </c>
      <c r="O123" s="204" t="str">
        <f t="shared" si="15"/>
        <v/>
      </c>
      <c r="P123" s="8"/>
      <c r="Q123" s="8"/>
      <c r="R123" s="8"/>
      <c r="S123" s="8"/>
    </row>
    <row r="124" spans="1:19" x14ac:dyDescent="0.25">
      <c r="A124" s="197">
        <f t="shared" si="8"/>
        <v>66</v>
      </c>
      <c r="B124" s="76" t="str">
        <f t="shared" si="10"/>
        <v/>
      </c>
      <c r="C124" s="77" t="str">
        <f>IF(G124&lt;&gt;"",IFERROR(ROUND(VLOOKUP(G124,ProductList!J:AO,32,FALSE),0),""),"")</f>
        <v/>
      </c>
      <c r="D124" s="73" t="str">
        <f>IF(E124&lt;&gt;"",IF(D123&lt;&gt;"",D123,#REF!)+1,"")</f>
        <v/>
      </c>
      <c r="E124" s="73"/>
      <c r="F124" s="73"/>
      <c r="G124" s="122"/>
      <c r="H124" s="104"/>
      <c r="I124" s="73"/>
      <c r="J124" s="73"/>
      <c r="K124" s="202"/>
      <c r="L124" s="75" t="str">
        <f t="shared" si="11"/>
        <v/>
      </c>
      <c r="M124" s="75"/>
      <c r="N124" s="75" t="str">
        <f t="shared" si="12"/>
        <v/>
      </c>
      <c r="O124" s="204" t="str">
        <f t="shared" si="15"/>
        <v/>
      </c>
      <c r="P124" s="8"/>
      <c r="Q124" s="8"/>
      <c r="R124" s="8"/>
      <c r="S124" s="8"/>
    </row>
    <row r="125" spans="1:19" x14ac:dyDescent="0.25">
      <c r="A125" s="197">
        <f t="shared" si="8"/>
        <v>66</v>
      </c>
      <c r="B125" s="76" t="str">
        <f t="shared" si="10"/>
        <v/>
      </c>
      <c r="C125" s="77" t="str">
        <f>IF(G125&lt;&gt;"",IFERROR(ROUND(VLOOKUP(G125,ProductList!J:AO,32,FALSE),0),""),"")</f>
        <v/>
      </c>
      <c r="D125" s="73" t="str">
        <f>IF(E125&lt;&gt;"",IF(D124&lt;&gt;"",D124,#REF!)+1,"")</f>
        <v/>
      </c>
      <c r="E125" s="73"/>
      <c r="F125" s="73"/>
      <c r="G125" s="122"/>
      <c r="H125" s="104"/>
      <c r="I125" s="73"/>
      <c r="J125" s="73"/>
      <c r="K125" s="202"/>
      <c r="L125" s="75" t="str">
        <f t="shared" si="11"/>
        <v/>
      </c>
      <c r="M125" s="75"/>
      <c r="N125" s="75" t="str">
        <f t="shared" si="12"/>
        <v/>
      </c>
      <c r="O125" s="204" t="str">
        <f t="shared" si="15"/>
        <v/>
      </c>
      <c r="P125" s="8"/>
      <c r="Q125" s="8"/>
      <c r="R125" s="8"/>
      <c r="S125" s="8"/>
    </row>
    <row r="126" spans="1:19" x14ac:dyDescent="0.25">
      <c r="A126" s="197">
        <f t="shared" si="8"/>
        <v>66</v>
      </c>
      <c r="B126" s="76" t="str">
        <f t="shared" si="10"/>
        <v/>
      </c>
      <c r="C126" s="77" t="str">
        <f>IF(G126&lt;&gt;"",IFERROR(ROUND(VLOOKUP(G126,ProductList!J:AO,32,FALSE),0),""),"")</f>
        <v/>
      </c>
      <c r="D126" s="73" t="str">
        <f>IF(E126&lt;&gt;"",IF(D125&lt;&gt;"",D125,#REF!)+1,"")</f>
        <v/>
      </c>
      <c r="E126" s="73"/>
      <c r="F126" s="73"/>
      <c r="G126" s="122"/>
      <c r="H126" s="104"/>
      <c r="I126" s="73"/>
      <c r="J126" s="73"/>
      <c r="K126" s="202"/>
      <c r="L126" s="75" t="str">
        <f t="shared" si="11"/>
        <v/>
      </c>
      <c r="M126" s="75"/>
      <c r="N126" s="75" t="str">
        <f t="shared" si="12"/>
        <v/>
      </c>
      <c r="O126" s="204" t="str">
        <f t="shared" si="15"/>
        <v/>
      </c>
      <c r="P126" s="8"/>
      <c r="Q126" s="8"/>
      <c r="R126" s="8"/>
      <c r="S126" s="8"/>
    </row>
    <row r="127" spans="1:19" x14ac:dyDescent="0.25">
      <c r="A127" s="197">
        <f t="shared" si="8"/>
        <v>66</v>
      </c>
      <c r="B127" s="76" t="str">
        <f t="shared" si="10"/>
        <v/>
      </c>
      <c r="C127" s="77" t="str">
        <f>IF(G127&lt;&gt;"",IFERROR(ROUND(VLOOKUP(G127,ProductList!J:AO,32,FALSE),0),""),"")</f>
        <v/>
      </c>
      <c r="D127" s="73" t="str">
        <f>IF(E127&lt;&gt;"",IF(D126&lt;&gt;"",D126,#REF!)+1,"")</f>
        <v/>
      </c>
      <c r="E127" s="73"/>
      <c r="F127" s="73"/>
      <c r="G127" s="122"/>
      <c r="H127" s="104"/>
      <c r="I127" s="73"/>
      <c r="J127" s="73"/>
      <c r="K127" s="202"/>
      <c r="L127" s="75" t="str">
        <f t="shared" si="11"/>
        <v/>
      </c>
      <c r="M127" s="75"/>
      <c r="N127" s="75" t="str">
        <f t="shared" si="12"/>
        <v/>
      </c>
      <c r="O127" s="204" t="str">
        <f t="shared" si="15"/>
        <v/>
      </c>
      <c r="P127" s="8"/>
      <c r="Q127" s="8"/>
      <c r="R127" s="8"/>
      <c r="S127" s="8"/>
    </row>
    <row r="128" spans="1:19" x14ac:dyDescent="0.25">
      <c r="A128" s="197">
        <f t="shared" si="8"/>
        <v>66</v>
      </c>
      <c r="B128" s="76" t="str">
        <f t="shared" si="10"/>
        <v/>
      </c>
      <c r="C128" s="77" t="str">
        <f>IF(G128&lt;&gt;"",IFERROR(ROUND(VLOOKUP(G128,ProductList!J:AO,32,FALSE),0),""),"")</f>
        <v/>
      </c>
      <c r="D128" s="73" t="str">
        <f>IF(E128&lt;&gt;"",IF(D127&lt;&gt;"",D127,#REF!)+1,"")</f>
        <v/>
      </c>
      <c r="E128" s="73"/>
      <c r="F128" s="73"/>
      <c r="G128" s="122"/>
      <c r="H128" s="104"/>
      <c r="I128" s="73"/>
      <c r="J128" s="73"/>
      <c r="K128" s="202"/>
      <c r="L128" s="75" t="str">
        <f t="shared" si="11"/>
        <v/>
      </c>
      <c r="M128" s="75"/>
      <c r="N128" s="75" t="str">
        <f t="shared" si="12"/>
        <v/>
      </c>
      <c r="O128" s="204" t="str">
        <f t="shared" si="15"/>
        <v/>
      </c>
      <c r="P128" s="8"/>
      <c r="Q128" s="8"/>
      <c r="R128" s="8"/>
      <c r="S128" s="8"/>
    </row>
    <row r="129" spans="1:19" x14ac:dyDescent="0.25">
      <c r="A129" s="197">
        <f t="shared" si="8"/>
        <v>66</v>
      </c>
      <c r="B129" s="76" t="str">
        <f t="shared" si="10"/>
        <v/>
      </c>
      <c r="C129" s="77" t="str">
        <f>IF(G129&lt;&gt;"",IFERROR(ROUND(VLOOKUP(G129,ProductList!J:AO,32,FALSE),0),""),"")</f>
        <v/>
      </c>
      <c r="D129" s="73" t="str">
        <f>IF(E129&lt;&gt;"",IF(D128&lt;&gt;"",D128,#REF!)+1,"")</f>
        <v/>
      </c>
      <c r="E129" s="73"/>
      <c r="F129" s="73"/>
      <c r="G129" s="122"/>
      <c r="H129" s="104"/>
      <c r="I129" s="73"/>
      <c r="J129" s="73"/>
      <c r="K129" s="202"/>
      <c r="L129" s="75" t="str">
        <f t="shared" si="11"/>
        <v/>
      </c>
      <c r="M129" s="75"/>
      <c r="N129" s="75" t="str">
        <f t="shared" si="12"/>
        <v/>
      </c>
      <c r="O129" s="204" t="str">
        <f t="shared" si="15"/>
        <v/>
      </c>
      <c r="P129" s="8"/>
      <c r="Q129" s="8"/>
      <c r="R129" s="8"/>
      <c r="S129" s="8"/>
    </row>
    <row r="130" spans="1:19" x14ac:dyDescent="0.25">
      <c r="A130" s="197">
        <f t="shared" si="8"/>
        <v>66</v>
      </c>
      <c r="B130" s="76" t="str">
        <f t="shared" si="10"/>
        <v/>
      </c>
      <c r="C130" s="77" t="str">
        <f>IF(G130&lt;&gt;"",IFERROR(ROUND(VLOOKUP(G130,ProductList!J:AO,32,FALSE),0),""),"")</f>
        <v/>
      </c>
      <c r="D130" s="73" t="str">
        <f>IF(E130&lt;&gt;"",IF(D129&lt;&gt;"",D129,#REF!)+1,"")</f>
        <v/>
      </c>
      <c r="E130" s="73"/>
      <c r="F130" s="73"/>
      <c r="G130" s="122"/>
      <c r="H130" s="104"/>
      <c r="I130" s="73"/>
      <c r="J130" s="73"/>
      <c r="K130" s="202"/>
      <c r="L130" s="75" t="str">
        <f t="shared" si="11"/>
        <v/>
      </c>
      <c r="M130" s="75"/>
      <c r="N130" s="75" t="str">
        <f t="shared" si="12"/>
        <v/>
      </c>
      <c r="O130" s="204" t="str">
        <f t="shared" si="15"/>
        <v/>
      </c>
      <c r="P130" s="8"/>
      <c r="Q130" s="8"/>
      <c r="R130" s="8"/>
      <c r="S130" s="8"/>
    </row>
    <row r="131" spans="1:19" x14ac:dyDescent="0.25">
      <c r="A131" s="197">
        <f t="shared" si="8"/>
        <v>66</v>
      </c>
      <c r="B131" s="76" t="str">
        <f t="shared" si="10"/>
        <v/>
      </c>
      <c r="C131" s="77" t="str">
        <f>IF(G131&lt;&gt;"",IFERROR(ROUND(VLOOKUP(G131,ProductList!J:AO,32,FALSE),0),""),"")</f>
        <v/>
      </c>
      <c r="D131" s="73" t="str">
        <f>IF(E131&lt;&gt;"",IF(D130&lt;&gt;"",D130,#REF!)+1,"")</f>
        <v/>
      </c>
      <c r="E131" s="73"/>
      <c r="F131" s="73"/>
      <c r="G131" s="122"/>
      <c r="H131" s="104"/>
      <c r="I131" s="73"/>
      <c r="J131" s="73"/>
      <c r="K131" s="202"/>
      <c r="L131" s="75" t="str">
        <f t="shared" si="11"/>
        <v/>
      </c>
      <c r="M131" s="75"/>
      <c r="N131" s="75" t="str">
        <f t="shared" si="12"/>
        <v/>
      </c>
      <c r="O131" s="204" t="str">
        <f t="shared" si="15"/>
        <v/>
      </c>
      <c r="P131" s="8"/>
      <c r="Q131" s="8"/>
      <c r="R131" s="8"/>
      <c r="S131" s="8"/>
    </row>
    <row r="132" spans="1:19" x14ac:dyDescent="0.25">
      <c r="A132" s="197">
        <f t="shared" si="8"/>
        <v>66</v>
      </c>
      <c r="B132" s="76" t="str">
        <f t="shared" si="10"/>
        <v/>
      </c>
      <c r="C132" s="77" t="str">
        <f>IF(G132&lt;&gt;"",IFERROR(ROUND(VLOOKUP(G132,ProductList!J:AO,32,FALSE),0),""),"")</f>
        <v/>
      </c>
      <c r="D132" s="73" t="str">
        <f>IF(E132&lt;&gt;"",IF(D131&lt;&gt;"",D131,#REF!)+1,"")</f>
        <v/>
      </c>
      <c r="E132" s="73"/>
      <c r="F132" s="73"/>
      <c r="G132" s="122"/>
      <c r="H132" s="104"/>
      <c r="I132" s="73"/>
      <c r="J132" s="73"/>
      <c r="K132" s="202"/>
      <c r="L132" s="75" t="str">
        <f t="shared" si="11"/>
        <v/>
      </c>
      <c r="M132" s="75"/>
      <c r="N132" s="75" t="str">
        <f t="shared" si="12"/>
        <v/>
      </c>
      <c r="O132" s="204" t="str">
        <f t="shared" si="15"/>
        <v/>
      </c>
      <c r="P132" s="8"/>
      <c r="Q132" s="8"/>
      <c r="R132" s="8"/>
      <c r="S132" s="8"/>
    </row>
    <row r="133" spans="1:19" x14ac:dyDescent="0.25">
      <c r="A133" s="197">
        <f t="shared" ref="A133:A196" si="16">IF(AND(E133&lt;&gt;""),IF(A132&lt;&gt;"",A132,0)+1,A132)</f>
        <v>66</v>
      </c>
      <c r="B133" s="76" t="str">
        <f t="shared" si="10"/>
        <v/>
      </c>
      <c r="C133" s="77" t="str">
        <f>IF(G133&lt;&gt;"",IFERROR(ROUND(VLOOKUP(G133,ProductList!J:AO,32,FALSE),0),""),"")</f>
        <v/>
      </c>
      <c r="D133" s="73" t="str">
        <f>IF(E133&lt;&gt;"",IF(D132&lt;&gt;"",D132,#REF!)+1,"")</f>
        <v/>
      </c>
      <c r="E133" s="73"/>
      <c r="F133" s="73"/>
      <c r="G133" s="122"/>
      <c r="H133" s="104"/>
      <c r="I133" s="73"/>
      <c r="J133" s="73"/>
      <c r="K133" s="202"/>
      <c r="L133" s="75" t="str">
        <f t="shared" si="11"/>
        <v/>
      </c>
      <c r="M133" s="75"/>
      <c r="N133" s="75" t="str">
        <f t="shared" si="12"/>
        <v/>
      </c>
      <c r="O133" s="204" t="str">
        <f t="shared" si="15"/>
        <v/>
      </c>
      <c r="P133" s="8"/>
      <c r="Q133" s="8"/>
      <c r="R133" s="8"/>
      <c r="S133" s="8"/>
    </row>
    <row r="134" spans="1:19" x14ac:dyDescent="0.25">
      <c r="A134" s="197">
        <f t="shared" si="16"/>
        <v>66</v>
      </c>
      <c r="B134" s="76" t="str">
        <f t="shared" ref="B134:B197" si="17">IF(AND(L134&lt;&gt;"",F134&lt;&gt;""),ROUND((((L134-F134)*100)/F134),2),"")</f>
        <v/>
      </c>
      <c r="C134" s="77" t="str">
        <f>IF(G134&lt;&gt;"",IFERROR(ROUND(VLOOKUP(G134,ProductList!J:AO,32,FALSE),0),""),"")</f>
        <v/>
      </c>
      <c r="D134" s="73" t="str">
        <f>IF(E134&lt;&gt;"",IF(D133&lt;&gt;"",D133,#REF!)+1,"")</f>
        <v/>
      </c>
      <c r="E134" s="73"/>
      <c r="F134" s="73"/>
      <c r="G134" s="122"/>
      <c r="H134" s="104"/>
      <c r="I134" s="73"/>
      <c r="J134" s="73"/>
      <c r="K134" s="202"/>
      <c r="L134" s="75" t="str">
        <f t="shared" ref="L134:L197" si="18">IF(AND(J134&lt;&gt;"",K134&lt;&gt;""),K134*J134,"")</f>
        <v/>
      </c>
      <c r="M134" s="75"/>
      <c r="N134" s="75" t="str">
        <f t="shared" ref="N134:N197" si="19">IF(AND(M134&lt;&gt;"",J134&lt;&gt;""),M134*J134,"")</f>
        <v/>
      </c>
      <c r="O134" s="204" t="str">
        <f t="shared" si="15"/>
        <v/>
      </c>
      <c r="P134" s="8"/>
      <c r="Q134" s="8"/>
      <c r="R134" s="8"/>
      <c r="S134" s="8"/>
    </row>
    <row r="135" spans="1:19" x14ac:dyDescent="0.25">
      <c r="A135" s="197">
        <f t="shared" si="16"/>
        <v>66</v>
      </c>
      <c r="B135" s="76" t="str">
        <f t="shared" si="17"/>
        <v/>
      </c>
      <c r="C135" s="77" t="str">
        <f>IF(G135&lt;&gt;"",IFERROR(ROUND(VLOOKUP(G135,ProductList!J:AO,32,FALSE),0),""),"")</f>
        <v/>
      </c>
      <c r="D135" s="73" t="str">
        <f>IF(E135&lt;&gt;"",IF(D134&lt;&gt;"",D134,#REF!)+1,"")</f>
        <v/>
      </c>
      <c r="E135" s="73"/>
      <c r="F135" s="73"/>
      <c r="G135" s="122"/>
      <c r="H135" s="104"/>
      <c r="I135" s="73"/>
      <c r="J135" s="73"/>
      <c r="K135" s="202"/>
      <c r="L135" s="75" t="str">
        <f t="shared" si="18"/>
        <v/>
      </c>
      <c r="M135" s="75"/>
      <c r="N135" s="75" t="str">
        <f t="shared" si="19"/>
        <v/>
      </c>
      <c r="O135" s="204" t="str">
        <f t="shared" si="15"/>
        <v/>
      </c>
      <c r="P135" s="8"/>
      <c r="Q135" s="8"/>
      <c r="R135" s="8"/>
      <c r="S135" s="8"/>
    </row>
    <row r="136" spans="1:19" x14ac:dyDescent="0.25">
      <c r="A136" s="197">
        <f t="shared" si="16"/>
        <v>66</v>
      </c>
      <c r="B136" s="76" t="str">
        <f t="shared" si="17"/>
        <v/>
      </c>
      <c r="C136" s="77" t="str">
        <f>IF(G136&lt;&gt;"",IFERROR(ROUND(VLOOKUP(G136,ProductList!J:AO,32,FALSE),0),""),"")</f>
        <v/>
      </c>
      <c r="D136" s="73" t="str">
        <f>IF(E136&lt;&gt;"",IF(D135&lt;&gt;"",D135,#REF!)+1,"")</f>
        <v/>
      </c>
      <c r="E136" s="73"/>
      <c r="F136" s="73"/>
      <c r="G136" s="122"/>
      <c r="H136" s="104"/>
      <c r="I136" s="73"/>
      <c r="J136" s="73"/>
      <c r="K136" s="202"/>
      <c r="L136" s="75" t="str">
        <f t="shared" si="18"/>
        <v/>
      </c>
      <c r="M136" s="75"/>
      <c r="N136" s="75" t="str">
        <f t="shared" si="19"/>
        <v/>
      </c>
      <c r="O136" s="204" t="str">
        <f t="shared" si="15"/>
        <v/>
      </c>
      <c r="P136" s="8"/>
      <c r="Q136" s="8"/>
      <c r="R136" s="8"/>
      <c r="S136" s="8"/>
    </row>
    <row r="137" spans="1:19" x14ac:dyDescent="0.25">
      <c r="A137" s="197">
        <f t="shared" si="16"/>
        <v>66</v>
      </c>
      <c r="B137" s="76" t="str">
        <f t="shared" si="17"/>
        <v/>
      </c>
      <c r="C137" s="77" t="str">
        <f>IF(G137&lt;&gt;"",IFERROR(ROUND(VLOOKUP(G137,ProductList!J:AO,32,FALSE),0),""),"")</f>
        <v/>
      </c>
      <c r="D137" s="73" t="str">
        <f>IF(E137&lt;&gt;"",IF(D136&lt;&gt;"",D136,#REF!)+1,"")</f>
        <v/>
      </c>
      <c r="E137" s="73"/>
      <c r="F137" s="73"/>
      <c r="G137" s="122"/>
      <c r="H137" s="104"/>
      <c r="I137" s="73"/>
      <c r="J137" s="73"/>
      <c r="K137" s="202"/>
      <c r="L137" s="75" t="str">
        <f t="shared" si="18"/>
        <v/>
      </c>
      <c r="M137" s="75"/>
      <c r="N137" s="75" t="str">
        <f t="shared" si="19"/>
        <v/>
      </c>
      <c r="O137" s="204" t="str">
        <f t="shared" si="15"/>
        <v/>
      </c>
      <c r="P137" s="8"/>
      <c r="Q137" s="8"/>
      <c r="R137" s="8"/>
      <c r="S137" s="8"/>
    </row>
    <row r="138" spans="1:19" x14ac:dyDescent="0.25">
      <c r="A138" s="197">
        <f t="shared" si="16"/>
        <v>66</v>
      </c>
      <c r="B138" s="76" t="str">
        <f t="shared" si="17"/>
        <v/>
      </c>
      <c r="C138" s="77" t="str">
        <f>IF(G138&lt;&gt;"",IFERROR(ROUND(VLOOKUP(G138,ProductList!J:AO,32,FALSE),0),""),"")</f>
        <v/>
      </c>
      <c r="D138" s="73" t="str">
        <f>IF(E138&lt;&gt;"",IF(D137&lt;&gt;"",D137,#REF!)+1,"")</f>
        <v/>
      </c>
      <c r="E138" s="73"/>
      <c r="F138" s="73"/>
      <c r="G138" s="122"/>
      <c r="H138" s="104"/>
      <c r="I138" s="73"/>
      <c r="J138" s="73"/>
      <c r="K138" s="202"/>
      <c r="L138" s="75" t="str">
        <f t="shared" si="18"/>
        <v/>
      </c>
      <c r="M138" s="75"/>
      <c r="N138" s="75" t="str">
        <f t="shared" si="19"/>
        <v/>
      </c>
      <c r="O138" s="204" t="str">
        <f t="shared" si="15"/>
        <v/>
      </c>
      <c r="P138" s="8"/>
      <c r="Q138" s="8"/>
      <c r="R138" s="8"/>
      <c r="S138" s="8"/>
    </row>
    <row r="139" spans="1:19" x14ac:dyDescent="0.25">
      <c r="A139" s="197">
        <f t="shared" si="16"/>
        <v>66</v>
      </c>
      <c r="B139" s="76" t="str">
        <f t="shared" si="17"/>
        <v/>
      </c>
      <c r="C139" s="77" t="str">
        <f>IF(G139&lt;&gt;"",IFERROR(ROUND(VLOOKUP(G139,ProductList!J:AO,32,FALSE),0),""),"")</f>
        <v/>
      </c>
      <c r="D139" s="73" t="str">
        <f>IF(E139&lt;&gt;"",IF(D138&lt;&gt;"",D138,#REF!)+1,"")</f>
        <v/>
      </c>
      <c r="E139" s="73"/>
      <c r="F139" s="73"/>
      <c r="G139" s="122"/>
      <c r="H139" s="104"/>
      <c r="I139" s="73"/>
      <c r="J139" s="73"/>
      <c r="K139" s="202"/>
      <c r="L139" s="75" t="str">
        <f t="shared" si="18"/>
        <v/>
      </c>
      <c r="M139" s="75"/>
      <c r="N139" s="75" t="str">
        <f t="shared" si="19"/>
        <v/>
      </c>
      <c r="O139" s="204" t="str">
        <f t="shared" si="15"/>
        <v/>
      </c>
      <c r="P139" s="8"/>
      <c r="Q139" s="8"/>
      <c r="R139" s="8"/>
      <c r="S139" s="8"/>
    </row>
    <row r="140" spans="1:19" x14ac:dyDescent="0.25">
      <c r="A140" s="197">
        <f t="shared" si="16"/>
        <v>66</v>
      </c>
      <c r="B140" s="76" t="str">
        <f t="shared" si="17"/>
        <v/>
      </c>
      <c r="C140" s="77" t="str">
        <f>IF(G140&lt;&gt;"",IFERROR(ROUND(VLOOKUP(G140,ProductList!J:AO,32,FALSE),0),""),"")</f>
        <v/>
      </c>
      <c r="D140" s="73" t="str">
        <f>IF(E140&lt;&gt;"",IF(D139&lt;&gt;"",D139,#REF!)+1,"")</f>
        <v/>
      </c>
      <c r="E140" s="73"/>
      <c r="F140" s="73"/>
      <c r="G140" s="122"/>
      <c r="H140" s="104"/>
      <c r="I140" s="73"/>
      <c r="J140" s="73"/>
      <c r="K140" s="202"/>
      <c r="L140" s="75" t="str">
        <f t="shared" si="18"/>
        <v/>
      </c>
      <c r="M140" s="75"/>
      <c r="N140" s="75" t="str">
        <f t="shared" si="19"/>
        <v/>
      </c>
      <c r="O140" s="204" t="str">
        <f t="shared" si="15"/>
        <v/>
      </c>
      <c r="P140" s="8"/>
      <c r="Q140" s="8"/>
      <c r="R140" s="8"/>
      <c r="S140" s="8"/>
    </row>
    <row r="141" spans="1:19" x14ac:dyDescent="0.25">
      <c r="A141" s="197">
        <f t="shared" si="16"/>
        <v>66</v>
      </c>
      <c r="B141" s="76" t="str">
        <f t="shared" si="17"/>
        <v/>
      </c>
      <c r="C141" s="77" t="str">
        <f>IF(G141&lt;&gt;"",IFERROR(ROUND(VLOOKUP(G141,ProductList!J:AO,32,FALSE),0),""),"")</f>
        <v/>
      </c>
      <c r="D141" s="73" t="str">
        <f>IF(E141&lt;&gt;"",IF(D140&lt;&gt;"",D140,#REF!)+1,"")</f>
        <v/>
      </c>
      <c r="E141" s="73"/>
      <c r="F141" s="73"/>
      <c r="G141" s="122"/>
      <c r="H141" s="104"/>
      <c r="I141" s="73"/>
      <c r="J141" s="73"/>
      <c r="K141" s="202"/>
      <c r="L141" s="75" t="str">
        <f t="shared" si="18"/>
        <v/>
      </c>
      <c r="M141" s="75"/>
      <c r="N141" s="75" t="str">
        <f t="shared" si="19"/>
        <v/>
      </c>
      <c r="O141" s="204" t="str">
        <f t="shared" si="15"/>
        <v/>
      </c>
      <c r="P141" s="8"/>
      <c r="Q141" s="8"/>
      <c r="R141" s="8"/>
      <c r="S141" s="8"/>
    </row>
    <row r="142" spans="1:19" x14ac:dyDescent="0.25">
      <c r="A142" s="197">
        <f t="shared" si="16"/>
        <v>66</v>
      </c>
      <c r="B142" s="76" t="str">
        <f t="shared" si="17"/>
        <v/>
      </c>
      <c r="C142" s="77" t="str">
        <f>IF(G142&lt;&gt;"",IFERROR(ROUND(VLOOKUP(G142,ProductList!J:AO,32,FALSE),0),""),"")</f>
        <v/>
      </c>
      <c r="D142" s="73" t="str">
        <f>IF(E142&lt;&gt;"",IF(D141&lt;&gt;"",D141,#REF!)+1,"")</f>
        <v/>
      </c>
      <c r="E142" s="73"/>
      <c r="F142" s="73"/>
      <c r="G142" s="122"/>
      <c r="H142" s="104"/>
      <c r="I142" s="73"/>
      <c r="J142" s="73"/>
      <c r="K142" s="202"/>
      <c r="L142" s="75" t="str">
        <f t="shared" si="18"/>
        <v/>
      </c>
      <c r="M142" s="75"/>
      <c r="N142" s="75" t="str">
        <f t="shared" si="19"/>
        <v/>
      </c>
      <c r="O142" s="204" t="str">
        <f t="shared" ref="O142:O205" si="20">IF(AND(K142&lt;&gt;"",M142&lt;&gt;""),K142-M142,IF(K142&lt;&gt;"",K142,""))</f>
        <v/>
      </c>
      <c r="P142" s="8"/>
      <c r="Q142" s="8"/>
      <c r="R142" s="8"/>
      <c r="S142" s="8"/>
    </row>
    <row r="143" spans="1:19" x14ac:dyDescent="0.25">
      <c r="A143" s="197">
        <f t="shared" si="16"/>
        <v>66</v>
      </c>
      <c r="B143" s="76" t="str">
        <f t="shared" si="17"/>
        <v/>
      </c>
      <c r="C143" s="77" t="str">
        <f>IF(G143&lt;&gt;"",IFERROR(ROUND(VLOOKUP(G143,ProductList!J:AO,32,FALSE),0),""),"")</f>
        <v/>
      </c>
      <c r="D143" s="73" t="str">
        <f>IF(E143&lt;&gt;"",IF(D142&lt;&gt;"",D142,#REF!)+1,"")</f>
        <v/>
      </c>
      <c r="E143" s="73"/>
      <c r="F143" s="73"/>
      <c r="G143" s="122"/>
      <c r="H143" s="104"/>
      <c r="I143" s="73"/>
      <c r="J143" s="73"/>
      <c r="K143" s="202"/>
      <c r="L143" s="75" t="str">
        <f t="shared" si="18"/>
        <v/>
      </c>
      <c r="M143" s="75"/>
      <c r="N143" s="75" t="str">
        <f t="shared" si="19"/>
        <v/>
      </c>
      <c r="O143" s="204" t="str">
        <f t="shared" si="20"/>
        <v/>
      </c>
      <c r="P143" s="8"/>
      <c r="Q143" s="8"/>
      <c r="R143" s="8"/>
      <c r="S143" s="8"/>
    </row>
    <row r="144" spans="1:19" x14ac:dyDescent="0.25">
      <c r="A144" s="197">
        <f t="shared" si="16"/>
        <v>66</v>
      </c>
      <c r="B144" s="76" t="str">
        <f t="shared" si="17"/>
        <v/>
      </c>
      <c r="C144" s="77" t="str">
        <f>IF(G144&lt;&gt;"",IFERROR(ROUND(VLOOKUP(G144,ProductList!J:AO,32,FALSE),0),""),"")</f>
        <v/>
      </c>
      <c r="D144" s="73" t="str">
        <f>IF(E144&lt;&gt;"",IF(D143&lt;&gt;"",D143,#REF!)+1,"")</f>
        <v/>
      </c>
      <c r="E144" s="73"/>
      <c r="F144" s="73"/>
      <c r="G144" s="122"/>
      <c r="H144" s="104"/>
      <c r="I144" s="73"/>
      <c r="J144" s="73"/>
      <c r="K144" s="202"/>
      <c r="L144" s="75" t="str">
        <f t="shared" si="18"/>
        <v/>
      </c>
      <c r="M144" s="75"/>
      <c r="N144" s="75" t="str">
        <f t="shared" si="19"/>
        <v/>
      </c>
      <c r="O144" s="204" t="str">
        <f t="shared" si="20"/>
        <v/>
      </c>
      <c r="P144" s="8"/>
      <c r="Q144" s="8"/>
      <c r="R144" s="8"/>
      <c r="S144" s="8"/>
    </row>
    <row r="145" spans="1:19" x14ac:dyDescent="0.25">
      <c r="A145" s="197">
        <f t="shared" si="16"/>
        <v>66</v>
      </c>
      <c r="B145" s="76" t="str">
        <f t="shared" si="17"/>
        <v/>
      </c>
      <c r="C145" s="77" t="str">
        <f>IF(G145&lt;&gt;"",IFERROR(ROUND(VLOOKUP(G145,ProductList!J:AO,32,FALSE),0),""),"")</f>
        <v/>
      </c>
      <c r="D145" s="73" t="str">
        <f>IF(E145&lt;&gt;"",IF(D144&lt;&gt;"",D144,#REF!)+1,"")</f>
        <v/>
      </c>
      <c r="E145" s="73"/>
      <c r="F145" s="73"/>
      <c r="G145" s="122"/>
      <c r="H145" s="104"/>
      <c r="I145" s="73"/>
      <c r="J145" s="73"/>
      <c r="K145" s="202"/>
      <c r="L145" s="75" t="str">
        <f t="shared" si="18"/>
        <v/>
      </c>
      <c r="M145" s="75"/>
      <c r="N145" s="75" t="str">
        <f t="shared" si="19"/>
        <v/>
      </c>
      <c r="O145" s="204" t="str">
        <f t="shared" si="20"/>
        <v/>
      </c>
      <c r="P145" s="8"/>
      <c r="Q145" s="8"/>
      <c r="R145" s="8"/>
      <c r="S145" s="8"/>
    </row>
    <row r="146" spans="1:19" x14ac:dyDescent="0.25">
      <c r="A146" s="197">
        <f t="shared" si="16"/>
        <v>66</v>
      </c>
      <c r="B146" s="76" t="str">
        <f t="shared" si="17"/>
        <v/>
      </c>
      <c r="C146" s="77" t="str">
        <f>IF(G146&lt;&gt;"",IFERROR(ROUND(VLOOKUP(G146,ProductList!J:AO,32,FALSE),0),""),"")</f>
        <v/>
      </c>
      <c r="D146" s="73" t="str">
        <f>IF(E146&lt;&gt;"",IF(D145&lt;&gt;"",D145,#REF!)+1,"")</f>
        <v/>
      </c>
      <c r="E146" s="73"/>
      <c r="F146" s="73"/>
      <c r="G146" s="122"/>
      <c r="H146" s="104"/>
      <c r="I146" s="73"/>
      <c r="J146" s="73"/>
      <c r="K146" s="202"/>
      <c r="L146" s="75" t="str">
        <f t="shared" si="18"/>
        <v/>
      </c>
      <c r="M146" s="75"/>
      <c r="N146" s="75" t="str">
        <f t="shared" si="19"/>
        <v/>
      </c>
      <c r="O146" s="204" t="str">
        <f t="shared" si="20"/>
        <v/>
      </c>
      <c r="P146" s="8"/>
      <c r="Q146" s="8"/>
      <c r="R146" s="8"/>
      <c r="S146" s="8"/>
    </row>
    <row r="147" spans="1:19" x14ac:dyDescent="0.25">
      <c r="A147" s="197">
        <f t="shared" si="16"/>
        <v>66</v>
      </c>
      <c r="B147" s="76" t="str">
        <f t="shared" si="17"/>
        <v/>
      </c>
      <c r="C147" s="77" t="str">
        <f>IF(G147&lt;&gt;"",IFERROR(ROUND(VLOOKUP(G147,ProductList!J:AO,32,FALSE),0),""),"")</f>
        <v/>
      </c>
      <c r="D147" s="73" t="str">
        <f>IF(E147&lt;&gt;"",IF(D146&lt;&gt;"",D146,#REF!)+1,"")</f>
        <v/>
      </c>
      <c r="E147" s="73"/>
      <c r="F147" s="73"/>
      <c r="G147" s="122"/>
      <c r="H147" s="104"/>
      <c r="I147" s="73"/>
      <c r="J147" s="73"/>
      <c r="K147" s="202"/>
      <c r="L147" s="75" t="str">
        <f t="shared" si="18"/>
        <v/>
      </c>
      <c r="M147" s="75"/>
      <c r="N147" s="75" t="str">
        <f t="shared" si="19"/>
        <v/>
      </c>
      <c r="O147" s="204" t="str">
        <f t="shared" si="20"/>
        <v/>
      </c>
      <c r="P147" s="8"/>
      <c r="Q147" s="8"/>
      <c r="R147" s="8"/>
      <c r="S147" s="8"/>
    </row>
    <row r="148" spans="1:19" x14ac:dyDescent="0.25">
      <c r="A148" s="197">
        <f t="shared" si="16"/>
        <v>66</v>
      </c>
      <c r="B148" s="76" t="str">
        <f t="shared" si="17"/>
        <v/>
      </c>
      <c r="C148" s="77" t="str">
        <f>IF(G148&lt;&gt;"",IFERROR(ROUND(VLOOKUP(G148,ProductList!J:AO,32,FALSE),0),""),"")</f>
        <v/>
      </c>
      <c r="D148" s="73" t="str">
        <f>IF(E148&lt;&gt;"",IF(D147&lt;&gt;"",D147,#REF!)+1,"")</f>
        <v/>
      </c>
      <c r="E148" s="73"/>
      <c r="F148" s="73"/>
      <c r="G148" s="122"/>
      <c r="H148" s="104"/>
      <c r="I148" s="73"/>
      <c r="J148" s="73"/>
      <c r="K148" s="202"/>
      <c r="L148" s="75" t="str">
        <f t="shared" si="18"/>
        <v/>
      </c>
      <c r="M148" s="75"/>
      <c r="N148" s="75" t="str">
        <f t="shared" si="19"/>
        <v/>
      </c>
      <c r="O148" s="204" t="str">
        <f t="shared" si="20"/>
        <v/>
      </c>
      <c r="P148" s="8"/>
      <c r="Q148" s="8"/>
      <c r="R148" s="8"/>
      <c r="S148" s="8"/>
    </row>
    <row r="149" spans="1:19" x14ac:dyDescent="0.25">
      <c r="A149" s="197">
        <f t="shared" si="16"/>
        <v>66</v>
      </c>
      <c r="B149" s="76" t="str">
        <f t="shared" si="17"/>
        <v/>
      </c>
      <c r="C149" s="77" t="str">
        <f>IF(G149&lt;&gt;"",IFERROR(ROUND(VLOOKUP(G149,ProductList!J:AO,32,FALSE),0),""),"")</f>
        <v/>
      </c>
      <c r="D149" s="73" t="str">
        <f>IF(E149&lt;&gt;"",IF(D148&lt;&gt;"",D148,#REF!)+1,"")</f>
        <v/>
      </c>
      <c r="E149" s="73"/>
      <c r="F149" s="73"/>
      <c r="G149" s="122"/>
      <c r="H149" s="104"/>
      <c r="I149" s="73"/>
      <c r="J149" s="73"/>
      <c r="K149" s="202"/>
      <c r="L149" s="75" t="str">
        <f t="shared" si="18"/>
        <v/>
      </c>
      <c r="M149" s="75"/>
      <c r="N149" s="75" t="str">
        <f t="shared" si="19"/>
        <v/>
      </c>
      <c r="O149" s="204" t="str">
        <f t="shared" si="20"/>
        <v/>
      </c>
      <c r="P149" s="8"/>
      <c r="Q149" s="8"/>
      <c r="R149" s="8"/>
      <c r="S149" s="8"/>
    </row>
    <row r="150" spans="1:19" x14ac:dyDescent="0.25">
      <c r="A150" s="197">
        <f t="shared" si="16"/>
        <v>66</v>
      </c>
      <c r="B150" s="76" t="str">
        <f t="shared" si="17"/>
        <v/>
      </c>
      <c r="C150" s="77" t="str">
        <f>IF(G150&lt;&gt;"",IFERROR(ROUND(VLOOKUP(G150,ProductList!J:AO,32,FALSE),0),""),"")</f>
        <v/>
      </c>
      <c r="D150" s="73" t="str">
        <f>IF(E150&lt;&gt;"",IF(D149&lt;&gt;"",D149,#REF!)+1,"")</f>
        <v/>
      </c>
      <c r="E150" s="73"/>
      <c r="F150" s="73"/>
      <c r="G150" s="122"/>
      <c r="H150" s="104"/>
      <c r="I150" s="73"/>
      <c r="J150" s="73"/>
      <c r="K150" s="202"/>
      <c r="L150" s="75" t="str">
        <f t="shared" si="18"/>
        <v/>
      </c>
      <c r="M150" s="75"/>
      <c r="N150" s="75" t="str">
        <f t="shared" si="19"/>
        <v/>
      </c>
      <c r="O150" s="204" t="str">
        <f t="shared" si="20"/>
        <v/>
      </c>
      <c r="P150" s="8"/>
      <c r="Q150" s="8"/>
      <c r="R150" s="8"/>
      <c r="S150" s="8"/>
    </row>
    <row r="151" spans="1:19" x14ac:dyDescent="0.25">
      <c r="A151" s="197">
        <f t="shared" si="16"/>
        <v>66</v>
      </c>
      <c r="B151" s="76" t="str">
        <f t="shared" si="17"/>
        <v/>
      </c>
      <c r="C151" s="77" t="str">
        <f>IF(G151&lt;&gt;"",IFERROR(ROUND(VLOOKUP(G151,ProductList!J:AO,32,FALSE),0),""),"")</f>
        <v/>
      </c>
      <c r="D151" s="73" t="str">
        <f>IF(E151&lt;&gt;"",IF(D150&lt;&gt;"",D150,#REF!)+1,"")</f>
        <v/>
      </c>
      <c r="E151" s="73"/>
      <c r="F151" s="73"/>
      <c r="G151" s="122"/>
      <c r="H151" s="104"/>
      <c r="I151" s="73"/>
      <c r="J151" s="73"/>
      <c r="K151" s="202"/>
      <c r="L151" s="75" t="str">
        <f t="shared" si="18"/>
        <v/>
      </c>
      <c r="M151" s="75"/>
      <c r="N151" s="75" t="str">
        <f t="shared" si="19"/>
        <v/>
      </c>
      <c r="O151" s="204" t="str">
        <f t="shared" si="20"/>
        <v/>
      </c>
      <c r="P151" s="8"/>
      <c r="Q151" s="8"/>
      <c r="R151" s="8"/>
      <c r="S151" s="8"/>
    </row>
    <row r="152" spans="1:19" x14ac:dyDescent="0.25">
      <c r="A152" s="197">
        <f t="shared" si="16"/>
        <v>66</v>
      </c>
      <c r="B152" s="76" t="str">
        <f t="shared" si="17"/>
        <v/>
      </c>
      <c r="C152" s="77" t="str">
        <f>IF(G152&lt;&gt;"",IFERROR(ROUND(VLOOKUP(G152,ProductList!J:AO,32,FALSE),0),""),"")</f>
        <v/>
      </c>
      <c r="D152" s="73" t="str">
        <f>IF(E152&lt;&gt;"",IF(D151&lt;&gt;"",D151,#REF!)+1,"")</f>
        <v/>
      </c>
      <c r="E152" s="73"/>
      <c r="F152" s="73"/>
      <c r="G152" s="122"/>
      <c r="H152" s="104"/>
      <c r="I152" s="73"/>
      <c r="J152" s="73"/>
      <c r="K152" s="202"/>
      <c r="L152" s="75" t="str">
        <f t="shared" si="18"/>
        <v/>
      </c>
      <c r="M152" s="75"/>
      <c r="N152" s="75" t="str">
        <f t="shared" si="19"/>
        <v/>
      </c>
      <c r="O152" s="204" t="str">
        <f t="shared" si="20"/>
        <v/>
      </c>
      <c r="P152" s="8"/>
      <c r="Q152" s="8"/>
      <c r="R152" s="8"/>
      <c r="S152" s="8"/>
    </row>
    <row r="153" spans="1:19" x14ac:dyDescent="0.25">
      <c r="A153" s="197">
        <f t="shared" si="16"/>
        <v>66</v>
      </c>
      <c r="B153" s="76" t="str">
        <f t="shared" si="17"/>
        <v/>
      </c>
      <c r="C153" s="77" t="str">
        <f>IF(G153&lt;&gt;"",IFERROR(ROUND(VLOOKUP(G153,ProductList!J:AO,32,FALSE),0),""),"")</f>
        <v/>
      </c>
      <c r="D153" s="73" t="str">
        <f>IF(E153&lt;&gt;"",IF(D152&lt;&gt;"",D152,#REF!)+1,"")</f>
        <v/>
      </c>
      <c r="E153" s="73"/>
      <c r="F153" s="73"/>
      <c r="G153" s="122"/>
      <c r="H153" s="104"/>
      <c r="I153" s="73"/>
      <c r="J153" s="73"/>
      <c r="K153" s="202"/>
      <c r="L153" s="75" t="str">
        <f t="shared" si="18"/>
        <v/>
      </c>
      <c r="M153" s="75"/>
      <c r="N153" s="75" t="str">
        <f t="shared" si="19"/>
        <v/>
      </c>
      <c r="O153" s="204" t="str">
        <f t="shared" si="20"/>
        <v/>
      </c>
      <c r="P153" s="8"/>
      <c r="Q153" s="8"/>
      <c r="R153" s="8"/>
      <c r="S153" s="8"/>
    </row>
    <row r="154" spans="1:19" x14ac:dyDescent="0.25">
      <c r="A154" s="197">
        <f t="shared" si="16"/>
        <v>66</v>
      </c>
      <c r="B154" s="76" t="str">
        <f t="shared" si="17"/>
        <v/>
      </c>
      <c r="C154" s="77" t="str">
        <f>IF(G154&lt;&gt;"",IFERROR(ROUND(VLOOKUP(G154,ProductList!J:AO,32,FALSE),0),""),"")</f>
        <v/>
      </c>
      <c r="D154" s="73" t="str">
        <f>IF(E154&lt;&gt;"",IF(D153&lt;&gt;"",D153,#REF!)+1,"")</f>
        <v/>
      </c>
      <c r="E154" s="73"/>
      <c r="F154" s="73"/>
      <c r="G154" s="122"/>
      <c r="H154" s="104"/>
      <c r="I154" s="73"/>
      <c r="J154" s="73"/>
      <c r="K154" s="202"/>
      <c r="L154" s="75" t="str">
        <f t="shared" si="18"/>
        <v/>
      </c>
      <c r="M154" s="75"/>
      <c r="N154" s="75" t="str">
        <f t="shared" si="19"/>
        <v/>
      </c>
      <c r="O154" s="204" t="str">
        <f t="shared" si="20"/>
        <v/>
      </c>
      <c r="P154" s="8"/>
      <c r="Q154" s="8"/>
      <c r="R154" s="8"/>
      <c r="S154" s="8"/>
    </row>
    <row r="155" spans="1:19" x14ac:dyDescent="0.25">
      <c r="A155" s="197">
        <f t="shared" si="16"/>
        <v>66</v>
      </c>
      <c r="B155" s="76" t="str">
        <f t="shared" si="17"/>
        <v/>
      </c>
      <c r="C155" s="77" t="str">
        <f>IF(G155&lt;&gt;"",IFERROR(ROUND(VLOOKUP(G155,ProductList!J:AO,32,FALSE),0),""),"")</f>
        <v/>
      </c>
      <c r="D155" s="73" t="str">
        <f>IF(E155&lt;&gt;"",IF(D154&lt;&gt;"",D154,#REF!)+1,"")</f>
        <v/>
      </c>
      <c r="E155" s="73"/>
      <c r="F155" s="73"/>
      <c r="G155" s="122"/>
      <c r="H155" s="104"/>
      <c r="I155" s="73"/>
      <c r="J155" s="73"/>
      <c r="K155" s="202"/>
      <c r="L155" s="75" t="str">
        <f t="shared" si="18"/>
        <v/>
      </c>
      <c r="M155" s="75"/>
      <c r="N155" s="75" t="str">
        <f t="shared" si="19"/>
        <v/>
      </c>
      <c r="O155" s="204" t="str">
        <f t="shared" si="20"/>
        <v/>
      </c>
      <c r="P155" s="8"/>
      <c r="Q155" s="8"/>
      <c r="R155" s="8"/>
      <c r="S155" s="8"/>
    </row>
    <row r="156" spans="1:19" x14ac:dyDescent="0.25">
      <c r="A156" s="197">
        <f t="shared" si="16"/>
        <v>66</v>
      </c>
      <c r="B156" s="76" t="str">
        <f t="shared" si="17"/>
        <v/>
      </c>
      <c r="C156" s="77" t="str">
        <f>IF(G156&lt;&gt;"",IFERROR(ROUND(VLOOKUP(G156,ProductList!J:AO,32,FALSE),0),""),"")</f>
        <v/>
      </c>
      <c r="D156" s="73" t="str">
        <f>IF(E156&lt;&gt;"",IF(D155&lt;&gt;"",D155,#REF!)+1,"")</f>
        <v/>
      </c>
      <c r="E156" s="73"/>
      <c r="F156" s="73"/>
      <c r="G156" s="122"/>
      <c r="H156" s="104"/>
      <c r="I156" s="73"/>
      <c r="J156" s="73"/>
      <c r="K156" s="202"/>
      <c r="L156" s="75" t="str">
        <f t="shared" si="18"/>
        <v/>
      </c>
      <c r="M156" s="75"/>
      <c r="N156" s="75" t="str">
        <f t="shared" si="19"/>
        <v/>
      </c>
      <c r="O156" s="204" t="str">
        <f t="shared" si="20"/>
        <v/>
      </c>
      <c r="P156" s="8"/>
      <c r="Q156" s="8"/>
      <c r="R156" s="8"/>
      <c r="S156" s="8"/>
    </row>
    <row r="157" spans="1:19" x14ac:dyDescent="0.25">
      <c r="A157" s="197">
        <f t="shared" si="16"/>
        <v>66</v>
      </c>
      <c r="B157" s="76" t="str">
        <f t="shared" si="17"/>
        <v/>
      </c>
      <c r="C157" s="77" t="str">
        <f>IF(G157&lt;&gt;"",IFERROR(ROUND(VLOOKUP(G157,ProductList!J:AO,32,FALSE),0),""),"")</f>
        <v/>
      </c>
      <c r="D157" s="73" t="str">
        <f>IF(E157&lt;&gt;"",IF(D156&lt;&gt;"",D156,#REF!)+1,"")</f>
        <v/>
      </c>
      <c r="E157" s="73"/>
      <c r="F157" s="73"/>
      <c r="G157" s="122"/>
      <c r="H157" s="104"/>
      <c r="I157" s="73"/>
      <c r="J157" s="73"/>
      <c r="K157" s="202"/>
      <c r="L157" s="75" t="str">
        <f t="shared" si="18"/>
        <v/>
      </c>
      <c r="M157" s="75"/>
      <c r="N157" s="75" t="str">
        <f t="shared" si="19"/>
        <v/>
      </c>
      <c r="O157" s="204" t="str">
        <f t="shared" si="20"/>
        <v/>
      </c>
      <c r="P157" s="8"/>
      <c r="Q157" s="8"/>
      <c r="R157" s="8"/>
      <c r="S157" s="8"/>
    </row>
    <row r="158" spans="1:19" x14ac:dyDescent="0.25">
      <c r="A158" s="197">
        <f t="shared" si="16"/>
        <v>66</v>
      </c>
      <c r="B158" s="76" t="str">
        <f t="shared" si="17"/>
        <v/>
      </c>
      <c r="C158" s="77" t="str">
        <f>IF(G158&lt;&gt;"",IFERROR(ROUND(VLOOKUP(G158,ProductList!J:AO,32,FALSE),0),""),"")</f>
        <v/>
      </c>
      <c r="D158" s="73" t="str">
        <f>IF(E158&lt;&gt;"",IF(D157&lt;&gt;"",D157,#REF!)+1,"")</f>
        <v/>
      </c>
      <c r="E158" s="73"/>
      <c r="F158" s="73"/>
      <c r="G158" s="122"/>
      <c r="H158" s="104"/>
      <c r="I158" s="73"/>
      <c r="J158" s="73"/>
      <c r="K158" s="202"/>
      <c r="L158" s="75" t="str">
        <f t="shared" si="18"/>
        <v/>
      </c>
      <c r="M158" s="75"/>
      <c r="N158" s="75" t="str">
        <f t="shared" si="19"/>
        <v/>
      </c>
      <c r="O158" s="204" t="str">
        <f t="shared" si="20"/>
        <v/>
      </c>
      <c r="P158" s="8"/>
      <c r="Q158" s="8"/>
      <c r="R158" s="8"/>
      <c r="S158" s="8"/>
    </row>
    <row r="159" spans="1:19" x14ac:dyDescent="0.25">
      <c r="A159" s="197">
        <f t="shared" si="16"/>
        <v>66</v>
      </c>
      <c r="B159" s="76" t="str">
        <f t="shared" si="17"/>
        <v/>
      </c>
      <c r="C159" s="77" t="str">
        <f>IF(G159&lt;&gt;"",IFERROR(ROUND(VLOOKUP(G159,ProductList!J:AO,32,FALSE),0),""),"")</f>
        <v/>
      </c>
      <c r="D159" s="73" t="str">
        <f>IF(E159&lt;&gt;"",IF(D158&lt;&gt;"",D158,#REF!)+1,"")</f>
        <v/>
      </c>
      <c r="E159" s="73"/>
      <c r="F159" s="73"/>
      <c r="G159" s="122"/>
      <c r="H159" s="104"/>
      <c r="I159" s="73"/>
      <c r="J159" s="73"/>
      <c r="K159" s="202"/>
      <c r="L159" s="75" t="str">
        <f t="shared" si="18"/>
        <v/>
      </c>
      <c r="M159" s="75"/>
      <c r="N159" s="75" t="str">
        <f t="shared" si="19"/>
        <v/>
      </c>
      <c r="O159" s="204" t="str">
        <f t="shared" si="20"/>
        <v/>
      </c>
      <c r="P159" s="8"/>
      <c r="Q159" s="8"/>
      <c r="R159" s="8"/>
      <c r="S159" s="8"/>
    </row>
    <row r="160" spans="1:19" x14ac:dyDescent="0.25">
      <c r="A160" s="197">
        <f t="shared" si="16"/>
        <v>66</v>
      </c>
      <c r="B160" s="76" t="str">
        <f t="shared" si="17"/>
        <v/>
      </c>
      <c r="C160" s="77" t="str">
        <f>IF(G160&lt;&gt;"",IFERROR(ROUND(VLOOKUP(G160,ProductList!J:AO,32,FALSE),0),""),"")</f>
        <v/>
      </c>
      <c r="D160" s="73" t="str">
        <f>IF(E160&lt;&gt;"",IF(D159&lt;&gt;"",D159,#REF!)+1,"")</f>
        <v/>
      </c>
      <c r="E160" s="73"/>
      <c r="F160" s="73"/>
      <c r="G160" s="122"/>
      <c r="H160" s="104"/>
      <c r="I160" s="73"/>
      <c r="J160" s="73"/>
      <c r="K160" s="202"/>
      <c r="L160" s="75" t="str">
        <f t="shared" si="18"/>
        <v/>
      </c>
      <c r="M160" s="75"/>
      <c r="N160" s="75" t="str">
        <f t="shared" si="19"/>
        <v/>
      </c>
      <c r="O160" s="204" t="str">
        <f t="shared" si="20"/>
        <v/>
      </c>
      <c r="P160" s="8"/>
      <c r="Q160" s="8"/>
      <c r="R160" s="8"/>
      <c r="S160" s="8"/>
    </row>
    <row r="161" spans="1:19" x14ac:dyDescent="0.25">
      <c r="A161" s="197">
        <f t="shared" si="16"/>
        <v>66</v>
      </c>
      <c r="B161" s="76" t="str">
        <f t="shared" si="17"/>
        <v/>
      </c>
      <c r="C161" s="77" t="str">
        <f>IF(G161&lt;&gt;"",IFERROR(ROUND(VLOOKUP(G161,ProductList!J:AO,32,FALSE),0),""),"")</f>
        <v/>
      </c>
      <c r="D161" s="73" t="str">
        <f>IF(E161&lt;&gt;"",IF(D160&lt;&gt;"",D160,#REF!)+1,"")</f>
        <v/>
      </c>
      <c r="E161" s="73"/>
      <c r="F161" s="73"/>
      <c r="G161" s="122"/>
      <c r="H161" s="104"/>
      <c r="I161" s="73"/>
      <c r="J161" s="73"/>
      <c r="K161" s="202"/>
      <c r="L161" s="75" t="str">
        <f t="shared" si="18"/>
        <v/>
      </c>
      <c r="M161" s="75"/>
      <c r="N161" s="75" t="str">
        <f t="shared" si="19"/>
        <v/>
      </c>
      <c r="O161" s="204" t="str">
        <f t="shared" si="20"/>
        <v/>
      </c>
      <c r="P161" s="8"/>
      <c r="Q161" s="8"/>
      <c r="R161" s="8"/>
      <c r="S161" s="8"/>
    </row>
    <row r="162" spans="1:19" x14ac:dyDescent="0.25">
      <c r="A162" s="197">
        <f t="shared" si="16"/>
        <v>66</v>
      </c>
      <c r="B162" s="76" t="str">
        <f t="shared" si="17"/>
        <v/>
      </c>
      <c r="C162" s="77" t="str">
        <f>IF(G162&lt;&gt;"",IFERROR(ROUND(VLOOKUP(G162,ProductList!J:AO,32,FALSE),0),""),"")</f>
        <v/>
      </c>
      <c r="D162" s="73" t="str">
        <f>IF(E162&lt;&gt;"",IF(D161&lt;&gt;"",D161,#REF!)+1,"")</f>
        <v/>
      </c>
      <c r="E162" s="73"/>
      <c r="F162" s="73"/>
      <c r="G162" s="122"/>
      <c r="H162" s="104"/>
      <c r="I162" s="73"/>
      <c r="J162" s="73"/>
      <c r="K162" s="202"/>
      <c r="L162" s="75" t="str">
        <f t="shared" si="18"/>
        <v/>
      </c>
      <c r="M162" s="75"/>
      <c r="N162" s="75" t="str">
        <f t="shared" si="19"/>
        <v/>
      </c>
      <c r="O162" s="204" t="str">
        <f t="shared" si="20"/>
        <v/>
      </c>
      <c r="P162" s="8"/>
      <c r="Q162" s="8"/>
      <c r="R162" s="8"/>
      <c r="S162" s="8"/>
    </row>
    <row r="163" spans="1:19" x14ac:dyDescent="0.25">
      <c r="A163" s="197">
        <f t="shared" si="16"/>
        <v>66</v>
      </c>
      <c r="B163" s="76" t="str">
        <f t="shared" si="17"/>
        <v/>
      </c>
      <c r="C163" s="77" t="str">
        <f>IF(G163&lt;&gt;"",IFERROR(ROUND(VLOOKUP(G163,ProductList!J:AO,32,FALSE),0),""),"")</f>
        <v/>
      </c>
      <c r="D163" s="73" t="str">
        <f>IF(E163&lt;&gt;"",IF(D162&lt;&gt;"",D162,#REF!)+1,"")</f>
        <v/>
      </c>
      <c r="E163" s="73"/>
      <c r="F163" s="73"/>
      <c r="G163" s="122"/>
      <c r="H163" s="104"/>
      <c r="I163" s="73"/>
      <c r="J163" s="73"/>
      <c r="K163" s="202"/>
      <c r="L163" s="75" t="str">
        <f t="shared" si="18"/>
        <v/>
      </c>
      <c r="M163" s="75"/>
      <c r="N163" s="75" t="str">
        <f t="shared" si="19"/>
        <v/>
      </c>
      <c r="O163" s="204" t="str">
        <f t="shared" si="20"/>
        <v/>
      </c>
      <c r="P163" s="8"/>
      <c r="Q163" s="8"/>
      <c r="R163" s="8"/>
      <c r="S163" s="8"/>
    </row>
    <row r="164" spans="1:19" x14ac:dyDescent="0.25">
      <c r="A164" s="197">
        <f t="shared" si="16"/>
        <v>66</v>
      </c>
      <c r="B164" s="76" t="str">
        <f t="shared" si="17"/>
        <v/>
      </c>
      <c r="C164" s="77" t="str">
        <f>IF(G164&lt;&gt;"",IFERROR(ROUND(VLOOKUP(G164,ProductList!J:AO,32,FALSE),0),""),"")</f>
        <v/>
      </c>
      <c r="D164" s="73" t="str">
        <f>IF(E164&lt;&gt;"",IF(D163&lt;&gt;"",D163,#REF!)+1,"")</f>
        <v/>
      </c>
      <c r="E164" s="73"/>
      <c r="F164" s="73"/>
      <c r="G164" s="122"/>
      <c r="H164" s="104"/>
      <c r="I164" s="73"/>
      <c r="J164" s="73"/>
      <c r="K164" s="202"/>
      <c r="L164" s="75" t="str">
        <f t="shared" si="18"/>
        <v/>
      </c>
      <c r="M164" s="75"/>
      <c r="N164" s="75" t="str">
        <f t="shared" si="19"/>
        <v/>
      </c>
      <c r="O164" s="204" t="str">
        <f t="shared" si="20"/>
        <v/>
      </c>
      <c r="P164" s="8"/>
      <c r="Q164" s="8"/>
      <c r="R164" s="8"/>
      <c r="S164" s="8"/>
    </row>
    <row r="165" spans="1:19" x14ac:dyDescent="0.25">
      <c r="A165" s="197">
        <f t="shared" si="16"/>
        <v>66</v>
      </c>
      <c r="B165" s="76" t="str">
        <f t="shared" si="17"/>
        <v/>
      </c>
      <c r="C165" s="77" t="str">
        <f>IF(G165&lt;&gt;"",IFERROR(ROUND(VLOOKUP(G165,ProductList!J:AO,32,FALSE),0),""),"")</f>
        <v/>
      </c>
      <c r="D165" s="73" t="str">
        <f>IF(E165&lt;&gt;"",IF(D164&lt;&gt;"",D164,#REF!)+1,"")</f>
        <v/>
      </c>
      <c r="E165" s="73"/>
      <c r="F165" s="73"/>
      <c r="G165" s="122"/>
      <c r="H165" s="104"/>
      <c r="I165" s="73"/>
      <c r="J165" s="73"/>
      <c r="K165" s="202"/>
      <c r="L165" s="75" t="str">
        <f t="shared" si="18"/>
        <v/>
      </c>
      <c r="M165" s="75"/>
      <c r="N165" s="75" t="str">
        <f t="shared" si="19"/>
        <v/>
      </c>
      <c r="O165" s="204" t="str">
        <f t="shared" si="20"/>
        <v/>
      </c>
      <c r="P165" s="8"/>
      <c r="Q165" s="8"/>
      <c r="R165" s="8"/>
      <c r="S165" s="8"/>
    </row>
    <row r="166" spans="1:19" x14ac:dyDescent="0.25">
      <c r="A166" s="197">
        <f t="shared" si="16"/>
        <v>66</v>
      </c>
      <c r="B166" s="76" t="str">
        <f t="shared" si="17"/>
        <v/>
      </c>
      <c r="C166" s="77" t="str">
        <f>IF(G166&lt;&gt;"",IFERROR(ROUND(VLOOKUP(G166,ProductList!J:AO,32,FALSE),0),""),"")</f>
        <v/>
      </c>
      <c r="D166" s="73" t="str">
        <f>IF(E166&lt;&gt;"",IF(D165&lt;&gt;"",D165,#REF!)+1,"")</f>
        <v/>
      </c>
      <c r="E166" s="73"/>
      <c r="F166" s="73"/>
      <c r="G166" s="122"/>
      <c r="H166" s="104"/>
      <c r="I166" s="73"/>
      <c r="J166" s="73"/>
      <c r="K166" s="202"/>
      <c r="L166" s="75" t="str">
        <f t="shared" si="18"/>
        <v/>
      </c>
      <c r="M166" s="75"/>
      <c r="N166" s="75" t="str">
        <f t="shared" si="19"/>
        <v/>
      </c>
      <c r="O166" s="204" t="str">
        <f t="shared" si="20"/>
        <v/>
      </c>
      <c r="P166" s="8"/>
      <c r="Q166" s="8"/>
      <c r="R166" s="8"/>
      <c r="S166" s="8"/>
    </row>
    <row r="167" spans="1:19" x14ac:dyDescent="0.25">
      <c r="A167" s="197">
        <f t="shared" si="16"/>
        <v>66</v>
      </c>
      <c r="B167" s="76" t="str">
        <f t="shared" si="17"/>
        <v/>
      </c>
      <c r="C167" s="77" t="str">
        <f>IF(G167&lt;&gt;"",IFERROR(ROUND(VLOOKUP(G167,ProductList!J:AO,32,FALSE),0),""),"")</f>
        <v/>
      </c>
      <c r="D167" s="73" t="str">
        <f>IF(E167&lt;&gt;"",IF(D166&lt;&gt;"",D166,#REF!)+1,"")</f>
        <v/>
      </c>
      <c r="E167" s="73"/>
      <c r="F167" s="73"/>
      <c r="G167" s="122"/>
      <c r="H167" s="104"/>
      <c r="I167" s="73"/>
      <c r="J167" s="73"/>
      <c r="K167" s="202"/>
      <c r="L167" s="75" t="str">
        <f t="shared" si="18"/>
        <v/>
      </c>
      <c r="M167" s="75"/>
      <c r="N167" s="75" t="str">
        <f t="shared" si="19"/>
        <v/>
      </c>
      <c r="O167" s="204" t="str">
        <f t="shared" si="20"/>
        <v/>
      </c>
      <c r="P167" s="8"/>
      <c r="Q167" s="8"/>
      <c r="R167" s="8"/>
      <c r="S167" s="8"/>
    </row>
    <row r="168" spans="1:19" x14ac:dyDescent="0.25">
      <c r="A168" s="197">
        <f t="shared" si="16"/>
        <v>66</v>
      </c>
      <c r="B168" s="76" t="str">
        <f t="shared" si="17"/>
        <v/>
      </c>
      <c r="C168" s="77" t="str">
        <f>IF(G168&lt;&gt;"",IFERROR(ROUND(VLOOKUP(G168,ProductList!J:AO,32,FALSE),0),""),"")</f>
        <v/>
      </c>
      <c r="D168" s="73" t="str">
        <f>IF(E168&lt;&gt;"",IF(D167&lt;&gt;"",D167,#REF!)+1,"")</f>
        <v/>
      </c>
      <c r="E168" s="73"/>
      <c r="F168" s="73"/>
      <c r="G168" s="122"/>
      <c r="H168" s="104"/>
      <c r="I168" s="73"/>
      <c r="J168" s="73"/>
      <c r="K168" s="202"/>
      <c r="L168" s="75" t="str">
        <f t="shared" si="18"/>
        <v/>
      </c>
      <c r="M168" s="75"/>
      <c r="N168" s="75" t="str">
        <f t="shared" si="19"/>
        <v/>
      </c>
      <c r="O168" s="204" t="str">
        <f t="shared" si="20"/>
        <v/>
      </c>
      <c r="P168" s="8"/>
      <c r="Q168" s="8"/>
      <c r="R168" s="8"/>
      <c r="S168" s="8"/>
    </row>
    <row r="169" spans="1:19" x14ac:dyDescent="0.25">
      <c r="A169" s="197">
        <f t="shared" si="16"/>
        <v>66</v>
      </c>
      <c r="B169" s="76" t="str">
        <f t="shared" si="17"/>
        <v/>
      </c>
      <c r="C169" s="77" t="str">
        <f>IF(G169&lt;&gt;"",IFERROR(ROUND(VLOOKUP(G169,ProductList!J:AO,32,FALSE),0),""),"")</f>
        <v/>
      </c>
      <c r="D169" s="73" t="str">
        <f>IF(E169&lt;&gt;"",IF(D168&lt;&gt;"",D168,#REF!)+1,"")</f>
        <v/>
      </c>
      <c r="E169" s="73"/>
      <c r="F169" s="73"/>
      <c r="G169" s="122"/>
      <c r="H169" s="104"/>
      <c r="I169" s="73"/>
      <c r="J169" s="73"/>
      <c r="K169" s="202"/>
      <c r="L169" s="75" t="str">
        <f t="shared" si="18"/>
        <v/>
      </c>
      <c r="M169" s="75"/>
      <c r="N169" s="75" t="str">
        <f t="shared" si="19"/>
        <v/>
      </c>
      <c r="O169" s="204" t="str">
        <f t="shared" si="20"/>
        <v/>
      </c>
      <c r="P169" s="8"/>
      <c r="Q169" s="8"/>
      <c r="R169" s="8"/>
      <c r="S169" s="8"/>
    </row>
    <row r="170" spans="1:19" x14ac:dyDescent="0.25">
      <c r="A170" s="197">
        <f t="shared" si="16"/>
        <v>66</v>
      </c>
      <c r="B170" s="76" t="str">
        <f t="shared" si="17"/>
        <v/>
      </c>
      <c r="C170" s="77" t="str">
        <f>IF(G170&lt;&gt;"",IFERROR(ROUND(VLOOKUP(G170,ProductList!J:AO,32,FALSE),0),""),"")</f>
        <v/>
      </c>
      <c r="D170" s="73" t="str">
        <f>IF(E170&lt;&gt;"",IF(D169&lt;&gt;"",D169,#REF!)+1,"")</f>
        <v/>
      </c>
      <c r="E170" s="73"/>
      <c r="F170" s="73"/>
      <c r="G170" s="122"/>
      <c r="H170" s="104"/>
      <c r="I170" s="73"/>
      <c r="J170" s="73"/>
      <c r="K170" s="202"/>
      <c r="L170" s="75" t="str">
        <f t="shared" si="18"/>
        <v/>
      </c>
      <c r="M170" s="75"/>
      <c r="N170" s="75" t="str">
        <f t="shared" si="19"/>
        <v/>
      </c>
      <c r="O170" s="204" t="str">
        <f t="shared" si="20"/>
        <v/>
      </c>
      <c r="P170" s="8"/>
      <c r="Q170" s="8"/>
      <c r="R170" s="8"/>
      <c r="S170" s="8"/>
    </row>
    <row r="171" spans="1:19" x14ac:dyDescent="0.25">
      <c r="A171" s="197">
        <f t="shared" si="16"/>
        <v>66</v>
      </c>
      <c r="B171" s="76" t="str">
        <f t="shared" si="17"/>
        <v/>
      </c>
      <c r="C171" s="77" t="str">
        <f>IF(G171&lt;&gt;"",IFERROR(ROUND(VLOOKUP(G171,ProductList!J:AO,32,FALSE),0),""),"")</f>
        <v/>
      </c>
      <c r="D171" s="73" t="str">
        <f>IF(E171&lt;&gt;"",IF(D170&lt;&gt;"",D170,#REF!)+1,"")</f>
        <v/>
      </c>
      <c r="E171" s="73"/>
      <c r="F171" s="73"/>
      <c r="G171" s="122"/>
      <c r="H171" s="104"/>
      <c r="I171" s="73"/>
      <c r="J171" s="73"/>
      <c r="K171" s="202"/>
      <c r="L171" s="75" t="str">
        <f t="shared" si="18"/>
        <v/>
      </c>
      <c r="M171" s="75"/>
      <c r="N171" s="75" t="str">
        <f t="shared" si="19"/>
        <v/>
      </c>
      <c r="O171" s="204" t="str">
        <f t="shared" si="20"/>
        <v/>
      </c>
      <c r="P171" s="8"/>
      <c r="Q171" s="8"/>
      <c r="R171" s="8"/>
      <c r="S171" s="8"/>
    </row>
    <row r="172" spans="1:19" x14ac:dyDescent="0.25">
      <c r="A172" s="197">
        <f t="shared" si="16"/>
        <v>66</v>
      </c>
      <c r="B172" s="76" t="str">
        <f t="shared" si="17"/>
        <v/>
      </c>
      <c r="C172" s="77" t="str">
        <f>IF(G172&lt;&gt;"",IFERROR(ROUND(VLOOKUP(G172,ProductList!J:AO,32,FALSE),0),""),"")</f>
        <v/>
      </c>
      <c r="D172" s="73" t="str">
        <f>IF(E172&lt;&gt;"",IF(D171&lt;&gt;"",D171,#REF!)+1,"")</f>
        <v/>
      </c>
      <c r="E172" s="73"/>
      <c r="F172" s="73"/>
      <c r="G172" s="122"/>
      <c r="H172" s="104"/>
      <c r="I172" s="73"/>
      <c r="J172" s="73"/>
      <c r="K172" s="202"/>
      <c r="L172" s="75" t="str">
        <f t="shared" si="18"/>
        <v/>
      </c>
      <c r="M172" s="75"/>
      <c r="N172" s="75" t="str">
        <f t="shared" si="19"/>
        <v/>
      </c>
      <c r="O172" s="204" t="str">
        <f t="shared" si="20"/>
        <v/>
      </c>
      <c r="P172" s="8"/>
      <c r="Q172" s="8"/>
      <c r="R172" s="8"/>
      <c r="S172" s="8"/>
    </row>
    <row r="173" spans="1:19" x14ac:dyDescent="0.25">
      <c r="A173" s="197">
        <f t="shared" si="16"/>
        <v>66</v>
      </c>
      <c r="B173" s="76" t="str">
        <f t="shared" si="17"/>
        <v/>
      </c>
      <c r="C173" s="77" t="str">
        <f>IF(G173&lt;&gt;"",IFERROR(ROUND(VLOOKUP(G173,ProductList!J:AO,32,FALSE),0),""),"")</f>
        <v/>
      </c>
      <c r="D173" s="73" t="str">
        <f>IF(E173&lt;&gt;"",IF(D172&lt;&gt;"",D172,#REF!)+1,"")</f>
        <v/>
      </c>
      <c r="E173" s="73"/>
      <c r="F173" s="73"/>
      <c r="G173" s="122"/>
      <c r="H173" s="104"/>
      <c r="I173" s="73"/>
      <c r="J173" s="73"/>
      <c r="K173" s="202"/>
      <c r="L173" s="75" t="str">
        <f t="shared" si="18"/>
        <v/>
      </c>
      <c r="M173" s="75"/>
      <c r="N173" s="75" t="str">
        <f t="shared" si="19"/>
        <v/>
      </c>
      <c r="O173" s="204" t="str">
        <f t="shared" si="20"/>
        <v/>
      </c>
      <c r="P173" s="8"/>
      <c r="Q173" s="8"/>
      <c r="R173" s="8"/>
      <c r="S173" s="8"/>
    </row>
    <row r="174" spans="1:19" x14ac:dyDescent="0.25">
      <c r="A174" s="197">
        <f t="shared" si="16"/>
        <v>66</v>
      </c>
      <c r="B174" s="76" t="str">
        <f t="shared" si="17"/>
        <v/>
      </c>
      <c r="C174" s="77" t="str">
        <f>IF(G174&lt;&gt;"",IFERROR(ROUND(VLOOKUP(G174,ProductList!J:AO,32,FALSE),0),""),"")</f>
        <v/>
      </c>
      <c r="D174" s="73" t="str">
        <f>IF(E174&lt;&gt;"",IF(D173&lt;&gt;"",D173,#REF!)+1,"")</f>
        <v/>
      </c>
      <c r="E174" s="73"/>
      <c r="F174" s="73"/>
      <c r="G174" s="122"/>
      <c r="H174" s="104"/>
      <c r="I174" s="73"/>
      <c r="J174" s="73"/>
      <c r="K174" s="202"/>
      <c r="L174" s="75" t="str">
        <f t="shared" si="18"/>
        <v/>
      </c>
      <c r="M174" s="75"/>
      <c r="N174" s="75" t="str">
        <f t="shared" si="19"/>
        <v/>
      </c>
      <c r="O174" s="204" t="str">
        <f t="shared" si="20"/>
        <v/>
      </c>
      <c r="P174" s="8"/>
      <c r="Q174" s="8"/>
      <c r="R174" s="8"/>
      <c r="S174" s="8"/>
    </row>
    <row r="175" spans="1:19" x14ac:dyDescent="0.25">
      <c r="A175" s="197">
        <f t="shared" si="16"/>
        <v>66</v>
      </c>
      <c r="B175" s="76" t="str">
        <f t="shared" si="17"/>
        <v/>
      </c>
      <c r="C175" s="77" t="str">
        <f>IF(G175&lt;&gt;"",IFERROR(ROUND(VLOOKUP(G175,ProductList!J:AO,32,FALSE),0),""),"")</f>
        <v/>
      </c>
      <c r="D175" s="73" t="str">
        <f>IF(E175&lt;&gt;"",IF(D174&lt;&gt;"",D174,#REF!)+1,"")</f>
        <v/>
      </c>
      <c r="E175" s="73"/>
      <c r="F175" s="73"/>
      <c r="G175" s="122"/>
      <c r="H175" s="104"/>
      <c r="I175" s="73"/>
      <c r="J175" s="73"/>
      <c r="K175" s="202"/>
      <c r="L175" s="75" t="str">
        <f t="shared" si="18"/>
        <v/>
      </c>
      <c r="M175" s="75"/>
      <c r="N175" s="75" t="str">
        <f t="shared" si="19"/>
        <v/>
      </c>
      <c r="O175" s="204" t="str">
        <f t="shared" si="20"/>
        <v/>
      </c>
      <c r="P175" s="8"/>
      <c r="Q175" s="8"/>
      <c r="R175" s="8"/>
      <c r="S175" s="8"/>
    </row>
    <row r="176" spans="1:19" x14ac:dyDescent="0.25">
      <c r="A176" s="197">
        <f t="shared" si="16"/>
        <v>66</v>
      </c>
      <c r="B176" s="76" t="str">
        <f t="shared" si="17"/>
        <v/>
      </c>
      <c r="C176" s="77" t="str">
        <f>IF(G176&lt;&gt;"",IFERROR(ROUND(VLOOKUP(G176,ProductList!J:AO,32,FALSE),0),""),"")</f>
        <v/>
      </c>
      <c r="D176" s="73" t="str">
        <f>IF(E176&lt;&gt;"",IF(D175&lt;&gt;"",D175,#REF!)+1,"")</f>
        <v/>
      </c>
      <c r="E176" s="73"/>
      <c r="F176" s="73"/>
      <c r="G176" s="122"/>
      <c r="H176" s="104"/>
      <c r="I176" s="73"/>
      <c r="J176" s="73"/>
      <c r="K176" s="202"/>
      <c r="L176" s="75" t="str">
        <f t="shared" si="18"/>
        <v/>
      </c>
      <c r="M176" s="75"/>
      <c r="N176" s="75" t="str">
        <f t="shared" si="19"/>
        <v/>
      </c>
      <c r="O176" s="204" t="str">
        <f t="shared" si="20"/>
        <v/>
      </c>
      <c r="P176" s="8"/>
      <c r="Q176" s="8"/>
      <c r="R176" s="8"/>
      <c r="S176" s="8"/>
    </row>
    <row r="177" spans="1:19" x14ac:dyDescent="0.25">
      <c r="A177" s="197">
        <f t="shared" si="16"/>
        <v>66</v>
      </c>
      <c r="B177" s="76" t="str">
        <f t="shared" si="17"/>
        <v/>
      </c>
      <c r="C177" s="77" t="str">
        <f>IF(G177&lt;&gt;"",IFERROR(ROUND(VLOOKUP(G177,ProductList!J:AO,32,FALSE),0),""),"")</f>
        <v/>
      </c>
      <c r="D177" s="73" t="str">
        <f>IF(E177&lt;&gt;"",IF(D176&lt;&gt;"",D176,#REF!)+1,"")</f>
        <v/>
      </c>
      <c r="E177" s="73"/>
      <c r="F177" s="73"/>
      <c r="G177" s="122"/>
      <c r="H177" s="104"/>
      <c r="I177" s="73"/>
      <c r="J177" s="73"/>
      <c r="K177" s="202"/>
      <c r="L177" s="75" t="str">
        <f t="shared" si="18"/>
        <v/>
      </c>
      <c r="M177" s="75"/>
      <c r="N177" s="75" t="str">
        <f t="shared" si="19"/>
        <v/>
      </c>
      <c r="O177" s="204" t="str">
        <f t="shared" si="20"/>
        <v/>
      </c>
      <c r="P177" s="8"/>
      <c r="Q177" s="8"/>
      <c r="R177" s="8"/>
      <c r="S177" s="8"/>
    </row>
    <row r="178" spans="1:19" x14ac:dyDescent="0.25">
      <c r="A178" s="197">
        <f t="shared" si="16"/>
        <v>66</v>
      </c>
      <c r="B178" s="76" t="str">
        <f t="shared" si="17"/>
        <v/>
      </c>
      <c r="C178" s="77" t="str">
        <f>IF(G178&lt;&gt;"",IFERROR(ROUND(VLOOKUP(G178,ProductList!J:AO,32,FALSE),0),""),"")</f>
        <v/>
      </c>
      <c r="D178" s="73" t="str">
        <f>IF(E178&lt;&gt;"",IF(D177&lt;&gt;"",D177,#REF!)+1,"")</f>
        <v/>
      </c>
      <c r="E178" s="73"/>
      <c r="F178" s="73"/>
      <c r="G178" s="122"/>
      <c r="H178" s="104"/>
      <c r="I178" s="73"/>
      <c r="J178" s="73"/>
      <c r="K178" s="202"/>
      <c r="L178" s="75" t="str">
        <f t="shared" si="18"/>
        <v/>
      </c>
      <c r="M178" s="75"/>
      <c r="N178" s="75" t="str">
        <f t="shared" si="19"/>
        <v/>
      </c>
      <c r="O178" s="204" t="str">
        <f t="shared" si="20"/>
        <v/>
      </c>
      <c r="P178" s="8"/>
      <c r="Q178" s="8"/>
      <c r="R178" s="8"/>
      <c r="S178" s="8"/>
    </row>
    <row r="179" spans="1:19" x14ac:dyDescent="0.25">
      <c r="A179" s="197">
        <f t="shared" si="16"/>
        <v>66</v>
      </c>
      <c r="B179" s="76" t="str">
        <f t="shared" si="17"/>
        <v/>
      </c>
      <c r="C179" s="77" t="str">
        <f>IF(G179&lt;&gt;"",IFERROR(ROUND(VLOOKUP(G179,ProductList!J:AO,32,FALSE),0),""),"")</f>
        <v/>
      </c>
      <c r="D179" s="73" t="str">
        <f>IF(E179&lt;&gt;"",IF(D178&lt;&gt;"",D178,#REF!)+1,"")</f>
        <v/>
      </c>
      <c r="E179" s="73"/>
      <c r="F179" s="73"/>
      <c r="G179" s="122"/>
      <c r="H179" s="104"/>
      <c r="I179" s="73"/>
      <c r="J179" s="73"/>
      <c r="K179" s="202"/>
      <c r="L179" s="75" t="str">
        <f t="shared" si="18"/>
        <v/>
      </c>
      <c r="M179" s="75"/>
      <c r="N179" s="75" t="str">
        <f t="shared" si="19"/>
        <v/>
      </c>
      <c r="O179" s="204" t="str">
        <f t="shared" si="20"/>
        <v/>
      </c>
      <c r="P179" s="8"/>
      <c r="Q179" s="8"/>
      <c r="R179" s="8"/>
      <c r="S179" s="8"/>
    </row>
    <row r="180" spans="1:19" x14ac:dyDescent="0.25">
      <c r="A180" s="197">
        <f t="shared" si="16"/>
        <v>66</v>
      </c>
      <c r="B180" s="76" t="str">
        <f t="shared" si="17"/>
        <v/>
      </c>
      <c r="C180" s="77" t="str">
        <f>IF(G180&lt;&gt;"",IFERROR(ROUND(VLOOKUP(G180,ProductList!J:AO,32,FALSE),0),""),"")</f>
        <v/>
      </c>
      <c r="D180" s="73" t="str">
        <f>IF(E180&lt;&gt;"",IF(D179&lt;&gt;"",D179,#REF!)+1,"")</f>
        <v/>
      </c>
      <c r="E180" s="73"/>
      <c r="F180" s="73"/>
      <c r="G180" s="122"/>
      <c r="H180" s="104"/>
      <c r="I180" s="73"/>
      <c r="J180" s="73"/>
      <c r="K180" s="202"/>
      <c r="L180" s="75" t="str">
        <f t="shared" si="18"/>
        <v/>
      </c>
      <c r="M180" s="75"/>
      <c r="N180" s="75" t="str">
        <f t="shared" si="19"/>
        <v/>
      </c>
      <c r="O180" s="204" t="str">
        <f t="shared" si="20"/>
        <v/>
      </c>
      <c r="P180" s="8"/>
      <c r="Q180" s="8"/>
      <c r="R180" s="8"/>
      <c r="S180" s="8"/>
    </row>
    <row r="181" spans="1:19" x14ac:dyDescent="0.25">
      <c r="A181" s="197">
        <f t="shared" si="16"/>
        <v>66</v>
      </c>
      <c r="B181" s="76" t="str">
        <f t="shared" si="17"/>
        <v/>
      </c>
      <c r="C181" s="77" t="str">
        <f>IF(G181&lt;&gt;"",IFERROR(ROUND(VLOOKUP(G181,ProductList!J:AO,32,FALSE),0),""),"")</f>
        <v/>
      </c>
      <c r="D181" s="73" t="str">
        <f>IF(E181&lt;&gt;"",IF(D180&lt;&gt;"",D180,#REF!)+1,"")</f>
        <v/>
      </c>
      <c r="E181" s="73"/>
      <c r="F181" s="73"/>
      <c r="G181" s="122"/>
      <c r="H181" s="104"/>
      <c r="I181" s="73"/>
      <c r="J181" s="73"/>
      <c r="K181" s="202"/>
      <c r="L181" s="75" t="str">
        <f t="shared" si="18"/>
        <v/>
      </c>
      <c r="M181" s="75"/>
      <c r="N181" s="75" t="str">
        <f t="shared" si="19"/>
        <v/>
      </c>
      <c r="O181" s="204" t="str">
        <f t="shared" si="20"/>
        <v/>
      </c>
      <c r="P181" s="8"/>
      <c r="Q181" s="8"/>
      <c r="R181" s="8"/>
      <c r="S181" s="8"/>
    </row>
    <row r="182" spans="1:19" x14ac:dyDescent="0.25">
      <c r="A182" s="197">
        <f t="shared" si="16"/>
        <v>66</v>
      </c>
      <c r="B182" s="76" t="str">
        <f t="shared" si="17"/>
        <v/>
      </c>
      <c r="C182" s="77" t="str">
        <f>IF(G182&lt;&gt;"",IFERROR(ROUND(VLOOKUP(G182,ProductList!J:AO,32,FALSE),0),""),"")</f>
        <v/>
      </c>
      <c r="D182" s="73" t="str">
        <f>IF(E182&lt;&gt;"",IF(D181&lt;&gt;"",D181,#REF!)+1,"")</f>
        <v/>
      </c>
      <c r="E182" s="73"/>
      <c r="F182" s="73"/>
      <c r="G182" s="122"/>
      <c r="H182" s="104"/>
      <c r="I182" s="73"/>
      <c r="J182" s="73"/>
      <c r="K182" s="202"/>
      <c r="L182" s="75" t="str">
        <f t="shared" si="18"/>
        <v/>
      </c>
      <c r="M182" s="75"/>
      <c r="N182" s="75" t="str">
        <f t="shared" si="19"/>
        <v/>
      </c>
      <c r="O182" s="204" t="str">
        <f t="shared" si="20"/>
        <v/>
      </c>
      <c r="P182" s="8"/>
      <c r="Q182" s="8"/>
      <c r="R182" s="8"/>
      <c r="S182" s="8"/>
    </row>
    <row r="183" spans="1:19" x14ac:dyDescent="0.25">
      <c r="A183" s="197">
        <f t="shared" si="16"/>
        <v>66</v>
      </c>
      <c r="B183" s="76" t="str">
        <f t="shared" si="17"/>
        <v/>
      </c>
      <c r="C183" s="77" t="str">
        <f>IF(G183&lt;&gt;"",IFERROR(ROUND(VLOOKUP(G183,ProductList!J:AO,32,FALSE),0),""),"")</f>
        <v/>
      </c>
      <c r="D183" s="73" t="str">
        <f>IF(E183&lt;&gt;"",IF(D182&lt;&gt;"",D182,#REF!)+1,"")</f>
        <v/>
      </c>
      <c r="E183" s="73"/>
      <c r="F183" s="73"/>
      <c r="G183" s="122"/>
      <c r="H183" s="104"/>
      <c r="I183" s="73"/>
      <c r="J183" s="73"/>
      <c r="K183" s="202"/>
      <c r="L183" s="75" t="str">
        <f t="shared" si="18"/>
        <v/>
      </c>
      <c r="M183" s="75"/>
      <c r="N183" s="75" t="str">
        <f t="shared" si="19"/>
        <v/>
      </c>
      <c r="O183" s="204" t="str">
        <f t="shared" si="20"/>
        <v/>
      </c>
      <c r="P183" s="8"/>
      <c r="Q183" s="8"/>
      <c r="R183" s="8"/>
      <c r="S183" s="8"/>
    </row>
    <row r="184" spans="1:19" x14ac:dyDescent="0.25">
      <c r="A184" s="197">
        <f t="shared" si="16"/>
        <v>66</v>
      </c>
      <c r="B184" s="76" t="str">
        <f t="shared" si="17"/>
        <v/>
      </c>
      <c r="C184" s="77" t="str">
        <f>IF(G184&lt;&gt;"",IFERROR(ROUND(VLOOKUP(G184,ProductList!J:AO,32,FALSE),0),""),"")</f>
        <v/>
      </c>
      <c r="D184" s="73" t="str">
        <f>IF(E184&lt;&gt;"",IF(D183&lt;&gt;"",D183,#REF!)+1,"")</f>
        <v/>
      </c>
      <c r="E184" s="73"/>
      <c r="F184" s="73"/>
      <c r="G184" s="122"/>
      <c r="H184" s="104"/>
      <c r="I184" s="73"/>
      <c r="J184" s="73"/>
      <c r="K184" s="202"/>
      <c r="L184" s="75" t="str">
        <f t="shared" si="18"/>
        <v/>
      </c>
      <c r="M184" s="75"/>
      <c r="N184" s="75" t="str">
        <f t="shared" si="19"/>
        <v/>
      </c>
      <c r="O184" s="204" t="str">
        <f t="shared" si="20"/>
        <v/>
      </c>
      <c r="P184" s="8"/>
      <c r="Q184" s="8"/>
      <c r="R184" s="8"/>
      <c r="S184" s="8"/>
    </row>
    <row r="185" spans="1:19" x14ac:dyDescent="0.25">
      <c r="A185" s="197">
        <f t="shared" si="16"/>
        <v>66</v>
      </c>
      <c r="B185" s="76" t="str">
        <f t="shared" si="17"/>
        <v/>
      </c>
      <c r="C185" s="77" t="str">
        <f>IF(G185&lt;&gt;"",IFERROR(ROUND(VLOOKUP(G185,ProductList!J:AO,32,FALSE),0),""),"")</f>
        <v/>
      </c>
      <c r="D185" s="73" t="str">
        <f>IF(E185&lt;&gt;"",IF(D184&lt;&gt;"",D184,#REF!)+1,"")</f>
        <v/>
      </c>
      <c r="E185" s="73"/>
      <c r="F185" s="73"/>
      <c r="G185" s="122"/>
      <c r="H185" s="104"/>
      <c r="I185" s="73"/>
      <c r="J185" s="73"/>
      <c r="K185" s="202"/>
      <c r="L185" s="75" t="str">
        <f t="shared" si="18"/>
        <v/>
      </c>
      <c r="M185" s="75"/>
      <c r="N185" s="75" t="str">
        <f t="shared" si="19"/>
        <v/>
      </c>
      <c r="O185" s="204" t="str">
        <f t="shared" si="20"/>
        <v/>
      </c>
      <c r="P185" s="8"/>
      <c r="Q185" s="8"/>
      <c r="R185" s="8"/>
      <c r="S185" s="8"/>
    </row>
    <row r="186" spans="1:19" x14ac:dyDescent="0.25">
      <c r="A186" s="197">
        <f t="shared" si="16"/>
        <v>66</v>
      </c>
      <c r="B186" s="76" t="str">
        <f t="shared" si="17"/>
        <v/>
      </c>
      <c r="C186" s="77" t="str">
        <f>IF(G186&lt;&gt;"",IFERROR(ROUND(VLOOKUP(G186,ProductList!J:AO,32,FALSE),0),""),"")</f>
        <v/>
      </c>
      <c r="D186" s="73" t="str">
        <f>IF(E186&lt;&gt;"",IF(D185&lt;&gt;"",D185,#REF!)+1,"")</f>
        <v/>
      </c>
      <c r="E186" s="73"/>
      <c r="F186" s="73"/>
      <c r="G186" s="122"/>
      <c r="H186" s="104"/>
      <c r="I186" s="73"/>
      <c r="J186" s="73"/>
      <c r="K186" s="202"/>
      <c r="L186" s="75" t="str">
        <f t="shared" si="18"/>
        <v/>
      </c>
      <c r="M186" s="75"/>
      <c r="N186" s="75" t="str">
        <f t="shared" si="19"/>
        <v/>
      </c>
      <c r="O186" s="204" t="str">
        <f t="shared" si="20"/>
        <v/>
      </c>
      <c r="P186" s="8"/>
      <c r="Q186" s="8"/>
      <c r="R186" s="8"/>
      <c r="S186" s="8"/>
    </row>
    <row r="187" spans="1:19" x14ac:dyDescent="0.25">
      <c r="A187" s="197">
        <f t="shared" si="16"/>
        <v>66</v>
      </c>
      <c r="B187" s="76" t="str">
        <f t="shared" si="17"/>
        <v/>
      </c>
      <c r="C187" s="77" t="str">
        <f>IF(G187&lt;&gt;"",IFERROR(ROUND(VLOOKUP(G187,ProductList!J:AO,32,FALSE),0),""),"")</f>
        <v/>
      </c>
      <c r="D187" s="73" t="str">
        <f>IF(E187&lt;&gt;"",IF(D186&lt;&gt;"",D186,#REF!)+1,"")</f>
        <v/>
      </c>
      <c r="E187" s="73"/>
      <c r="F187" s="73"/>
      <c r="G187" s="122"/>
      <c r="H187" s="104"/>
      <c r="I187" s="73"/>
      <c r="J187" s="73"/>
      <c r="K187" s="202"/>
      <c r="L187" s="75" t="str">
        <f t="shared" si="18"/>
        <v/>
      </c>
      <c r="M187" s="75"/>
      <c r="N187" s="75" t="str">
        <f t="shared" si="19"/>
        <v/>
      </c>
      <c r="O187" s="204" t="str">
        <f t="shared" si="20"/>
        <v/>
      </c>
      <c r="P187" s="8"/>
      <c r="Q187" s="8"/>
      <c r="R187" s="8"/>
      <c r="S187" s="8"/>
    </row>
    <row r="188" spans="1:19" x14ac:dyDescent="0.25">
      <c r="A188" s="197">
        <f t="shared" si="16"/>
        <v>66</v>
      </c>
      <c r="B188" s="76" t="str">
        <f t="shared" si="17"/>
        <v/>
      </c>
      <c r="C188" s="77" t="str">
        <f>IF(G188&lt;&gt;"",IFERROR(ROUND(VLOOKUP(G188,ProductList!J:AO,32,FALSE),0),""),"")</f>
        <v/>
      </c>
      <c r="D188" s="73" t="str">
        <f>IF(E188&lt;&gt;"",IF(D187&lt;&gt;"",D187,#REF!)+1,"")</f>
        <v/>
      </c>
      <c r="E188" s="73"/>
      <c r="F188" s="73"/>
      <c r="G188" s="122"/>
      <c r="H188" s="104"/>
      <c r="I188" s="73"/>
      <c r="J188" s="73"/>
      <c r="K188" s="202"/>
      <c r="L188" s="75" t="str">
        <f t="shared" si="18"/>
        <v/>
      </c>
      <c r="M188" s="75"/>
      <c r="N188" s="75" t="str">
        <f t="shared" si="19"/>
        <v/>
      </c>
      <c r="O188" s="204" t="str">
        <f t="shared" si="20"/>
        <v/>
      </c>
      <c r="P188" s="8"/>
      <c r="Q188" s="8"/>
      <c r="R188" s="8"/>
      <c r="S188" s="8"/>
    </row>
    <row r="189" spans="1:19" x14ac:dyDescent="0.25">
      <c r="A189" s="197">
        <f t="shared" si="16"/>
        <v>66</v>
      </c>
      <c r="B189" s="76" t="str">
        <f t="shared" si="17"/>
        <v/>
      </c>
      <c r="C189" s="77" t="str">
        <f>IF(G189&lt;&gt;"",IFERROR(ROUND(VLOOKUP(G189,ProductList!J:AO,32,FALSE),0),""),"")</f>
        <v/>
      </c>
      <c r="D189" s="73" t="str">
        <f>IF(E189&lt;&gt;"",IF(D188&lt;&gt;"",D188,#REF!)+1,"")</f>
        <v/>
      </c>
      <c r="E189" s="73"/>
      <c r="F189" s="73"/>
      <c r="G189" s="122"/>
      <c r="H189" s="104"/>
      <c r="I189" s="73"/>
      <c r="J189" s="73"/>
      <c r="K189" s="202"/>
      <c r="L189" s="75" t="str">
        <f t="shared" si="18"/>
        <v/>
      </c>
      <c r="M189" s="75"/>
      <c r="N189" s="75" t="str">
        <f t="shared" si="19"/>
        <v/>
      </c>
      <c r="O189" s="204" t="str">
        <f t="shared" si="20"/>
        <v/>
      </c>
      <c r="P189" s="8"/>
      <c r="Q189" s="8"/>
      <c r="R189" s="8"/>
      <c r="S189" s="8"/>
    </row>
    <row r="190" spans="1:19" x14ac:dyDescent="0.25">
      <c r="A190" s="197">
        <f t="shared" si="16"/>
        <v>66</v>
      </c>
      <c r="B190" s="76" t="str">
        <f t="shared" si="17"/>
        <v/>
      </c>
      <c r="C190" s="77" t="str">
        <f>IF(G190&lt;&gt;"",IFERROR(ROUND(VLOOKUP(G190,ProductList!J:AO,32,FALSE),0),""),"")</f>
        <v/>
      </c>
      <c r="D190" s="73" t="str">
        <f>IF(E190&lt;&gt;"",IF(D189&lt;&gt;"",D189,#REF!)+1,"")</f>
        <v/>
      </c>
      <c r="E190" s="73"/>
      <c r="F190" s="73"/>
      <c r="G190" s="122"/>
      <c r="H190" s="104"/>
      <c r="I190" s="73"/>
      <c r="J190" s="73"/>
      <c r="K190" s="202"/>
      <c r="L190" s="75" t="str">
        <f t="shared" si="18"/>
        <v/>
      </c>
      <c r="M190" s="75"/>
      <c r="N190" s="75" t="str">
        <f t="shared" si="19"/>
        <v/>
      </c>
      <c r="O190" s="204" t="str">
        <f t="shared" si="20"/>
        <v/>
      </c>
      <c r="P190" s="8"/>
      <c r="Q190" s="8"/>
      <c r="R190" s="8"/>
      <c r="S190" s="8"/>
    </row>
    <row r="191" spans="1:19" x14ac:dyDescent="0.25">
      <c r="A191" s="197">
        <f t="shared" si="16"/>
        <v>66</v>
      </c>
      <c r="B191" s="76" t="str">
        <f t="shared" si="17"/>
        <v/>
      </c>
      <c r="C191" s="77" t="str">
        <f>IF(G191&lt;&gt;"",IFERROR(ROUND(VLOOKUP(G191,ProductList!J:AO,32,FALSE),0),""),"")</f>
        <v/>
      </c>
      <c r="D191" s="73" t="str">
        <f>IF(E191&lt;&gt;"",IF(D190&lt;&gt;"",D190,#REF!)+1,"")</f>
        <v/>
      </c>
      <c r="E191" s="73"/>
      <c r="F191" s="73"/>
      <c r="G191" s="122"/>
      <c r="H191" s="104"/>
      <c r="I191" s="73"/>
      <c r="J191" s="73"/>
      <c r="K191" s="202"/>
      <c r="L191" s="75" t="str">
        <f t="shared" si="18"/>
        <v/>
      </c>
      <c r="M191" s="75"/>
      <c r="N191" s="75" t="str">
        <f t="shared" si="19"/>
        <v/>
      </c>
      <c r="O191" s="204" t="str">
        <f t="shared" si="20"/>
        <v/>
      </c>
      <c r="P191" s="8"/>
      <c r="Q191" s="8"/>
      <c r="R191" s="8"/>
      <c r="S191" s="8"/>
    </row>
    <row r="192" spans="1:19" x14ac:dyDescent="0.25">
      <c r="A192" s="197">
        <f t="shared" si="16"/>
        <v>66</v>
      </c>
      <c r="B192" s="76" t="str">
        <f t="shared" si="17"/>
        <v/>
      </c>
      <c r="C192" s="77" t="str">
        <f>IF(G192&lt;&gt;"",IFERROR(ROUND(VLOOKUP(G192,ProductList!J:AO,32,FALSE),0),""),"")</f>
        <v/>
      </c>
      <c r="D192" s="73" t="str">
        <f>IF(E192&lt;&gt;"",IF(D191&lt;&gt;"",D191,#REF!)+1,"")</f>
        <v/>
      </c>
      <c r="E192" s="73"/>
      <c r="F192" s="73"/>
      <c r="G192" s="122"/>
      <c r="H192" s="104"/>
      <c r="I192" s="73"/>
      <c r="J192" s="73"/>
      <c r="K192" s="202"/>
      <c r="L192" s="75" t="str">
        <f t="shared" si="18"/>
        <v/>
      </c>
      <c r="M192" s="75"/>
      <c r="N192" s="75" t="str">
        <f t="shared" si="19"/>
        <v/>
      </c>
      <c r="O192" s="204" t="str">
        <f t="shared" si="20"/>
        <v/>
      </c>
      <c r="P192" s="8"/>
      <c r="Q192" s="8"/>
      <c r="R192" s="8"/>
      <c r="S192" s="8"/>
    </row>
    <row r="193" spans="1:19" x14ac:dyDescent="0.25">
      <c r="A193" s="197">
        <f t="shared" si="16"/>
        <v>66</v>
      </c>
      <c r="B193" s="76" t="str">
        <f t="shared" si="17"/>
        <v/>
      </c>
      <c r="C193" s="77" t="str">
        <f>IF(G193&lt;&gt;"",IFERROR(ROUND(VLOOKUP(G193,ProductList!J:AO,32,FALSE),0),""),"")</f>
        <v/>
      </c>
      <c r="D193" s="73" t="str">
        <f>IF(E193&lt;&gt;"",IF(D192&lt;&gt;"",D192,#REF!)+1,"")</f>
        <v/>
      </c>
      <c r="E193" s="73"/>
      <c r="F193" s="73"/>
      <c r="G193" s="122"/>
      <c r="H193" s="104"/>
      <c r="I193" s="73"/>
      <c r="J193" s="73"/>
      <c r="K193" s="202"/>
      <c r="L193" s="75" t="str">
        <f t="shared" si="18"/>
        <v/>
      </c>
      <c r="M193" s="75"/>
      <c r="N193" s="75" t="str">
        <f t="shared" si="19"/>
        <v/>
      </c>
      <c r="O193" s="204" t="str">
        <f t="shared" si="20"/>
        <v/>
      </c>
      <c r="P193" s="8"/>
      <c r="Q193" s="8"/>
      <c r="R193" s="8"/>
      <c r="S193" s="8"/>
    </row>
    <row r="194" spans="1:19" x14ac:dyDescent="0.25">
      <c r="A194" s="197">
        <f t="shared" si="16"/>
        <v>66</v>
      </c>
      <c r="B194" s="76" t="str">
        <f t="shared" si="17"/>
        <v/>
      </c>
      <c r="C194" s="77" t="str">
        <f>IF(G194&lt;&gt;"",IFERROR(ROUND(VLOOKUP(G194,ProductList!J:AO,32,FALSE),0),""),"")</f>
        <v/>
      </c>
      <c r="D194" s="73" t="str">
        <f>IF(E194&lt;&gt;"",IF(D193&lt;&gt;"",D193,#REF!)+1,"")</f>
        <v/>
      </c>
      <c r="E194" s="73"/>
      <c r="F194" s="73"/>
      <c r="G194" s="122"/>
      <c r="H194" s="104"/>
      <c r="I194" s="73"/>
      <c r="J194" s="73"/>
      <c r="K194" s="202"/>
      <c r="L194" s="75" t="str">
        <f t="shared" si="18"/>
        <v/>
      </c>
      <c r="M194" s="75"/>
      <c r="N194" s="75" t="str">
        <f t="shared" si="19"/>
        <v/>
      </c>
      <c r="O194" s="204" t="str">
        <f t="shared" si="20"/>
        <v/>
      </c>
      <c r="P194" s="8"/>
      <c r="Q194" s="8"/>
      <c r="R194" s="8"/>
      <c r="S194" s="8"/>
    </row>
    <row r="195" spans="1:19" x14ac:dyDescent="0.25">
      <c r="A195" s="197">
        <f t="shared" si="16"/>
        <v>66</v>
      </c>
      <c r="B195" s="76" t="str">
        <f t="shared" si="17"/>
        <v/>
      </c>
      <c r="C195" s="77" t="str">
        <f>IF(G195&lt;&gt;"",IFERROR(ROUND(VLOOKUP(G195,ProductList!J:AO,32,FALSE),0),""),"")</f>
        <v/>
      </c>
      <c r="D195" s="73" t="str">
        <f>IF(E195&lt;&gt;"",IF(D194&lt;&gt;"",D194,#REF!)+1,"")</f>
        <v/>
      </c>
      <c r="E195" s="73"/>
      <c r="F195" s="73"/>
      <c r="G195" s="122"/>
      <c r="H195" s="104"/>
      <c r="I195" s="73"/>
      <c r="J195" s="73"/>
      <c r="K195" s="202"/>
      <c r="L195" s="75" t="str">
        <f t="shared" si="18"/>
        <v/>
      </c>
      <c r="M195" s="75"/>
      <c r="N195" s="75" t="str">
        <f t="shared" si="19"/>
        <v/>
      </c>
      <c r="O195" s="204" t="str">
        <f t="shared" si="20"/>
        <v/>
      </c>
      <c r="P195" s="8"/>
      <c r="Q195" s="8"/>
      <c r="R195" s="8"/>
      <c r="S195" s="8"/>
    </row>
    <row r="196" spans="1:19" x14ac:dyDescent="0.25">
      <c r="A196" s="197">
        <f t="shared" si="16"/>
        <v>66</v>
      </c>
      <c r="B196" s="76" t="str">
        <f t="shared" si="17"/>
        <v/>
      </c>
      <c r="C196" s="77" t="str">
        <f>IF(G196&lt;&gt;"",IFERROR(ROUND(VLOOKUP(G196,ProductList!J:AO,32,FALSE),0),""),"")</f>
        <v/>
      </c>
      <c r="D196" s="73" t="str">
        <f>IF(E196&lt;&gt;"",IF(D195&lt;&gt;"",D195,#REF!)+1,"")</f>
        <v/>
      </c>
      <c r="E196" s="73"/>
      <c r="F196" s="73"/>
      <c r="G196" s="122"/>
      <c r="H196" s="104"/>
      <c r="I196" s="73"/>
      <c r="J196" s="73"/>
      <c r="K196" s="202"/>
      <c r="L196" s="75" t="str">
        <f t="shared" si="18"/>
        <v/>
      </c>
      <c r="M196" s="75"/>
      <c r="N196" s="75" t="str">
        <f t="shared" si="19"/>
        <v/>
      </c>
      <c r="O196" s="204" t="str">
        <f t="shared" si="20"/>
        <v/>
      </c>
      <c r="P196" s="8"/>
      <c r="Q196" s="8"/>
      <c r="R196" s="8"/>
      <c r="S196" s="8"/>
    </row>
    <row r="197" spans="1:19" x14ac:dyDescent="0.25">
      <c r="A197" s="197">
        <f t="shared" ref="A197:A260" si="21">IF(AND(E197&lt;&gt;""),IF(A196&lt;&gt;"",A196,0)+1,A196)</f>
        <v>66</v>
      </c>
      <c r="B197" s="76" t="str">
        <f t="shared" si="17"/>
        <v/>
      </c>
      <c r="C197" s="77" t="str">
        <f>IF(G197&lt;&gt;"",IFERROR(ROUND(VLOOKUP(G197,ProductList!J:AO,32,FALSE),0),""),"")</f>
        <v/>
      </c>
      <c r="D197" s="73" t="str">
        <f>IF(E197&lt;&gt;"",IF(D196&lt;&gt;"",D196,#REF!)+1,"")</f>
        <v/>
      </c>
      <c r="E197" s="73"/>
      <c r="F197" s="73"/>
      <c r="G197" s="122"/>
      <c r="H197" s="104"/>
      <c r="I197" s="73"/>
      <c r="J197" s="73"/>
      <c r="K197" s="202"/>
      <c r="L197" s="75" t="str">
        <f t="shared" si="18"/>
        <v/>
      </c>
      <c r="M197" s="75"/>
      <c r="N197" s="75" t="str">
        <f t="shared" si="19"/>
        <v/>
      </c>
      <c r="O197" s="204" t="str">
        <f t="shared" si="20"/>
        <v/>
      </c>
      <c r="P197" s="8"/>
      <c r="Q197" s="8"/>
      <c r="R197" s="8"/>
      <c r="S197" s="8"/>
    </row>
    <row r="198" spans="1:19" x14ac:dyDescent="0.25">
      <c r="A198" s="197">
        <f t="shared" si="21"/>
        <v>66</v>
      </c>
      <c r="B198" s="76" t="str">
        <f t="shared" ref="B198:B261" si="22">IF(AND(L198&lt;&gt;"",F198&lt;&gt;""),ROUND((((L198-F198)*100)/F198),2),"")</f>
        <v/>
      </c>
      <c r="C198" s="77" t="str">
        <f>IF(G198&lt;&gt;"",IFERROR(ROUND(VLOOKUP(G198,ProductList!J:AO,32,FALSE),0),""),"")</f>
        <v/>
      </c>
      <c r="D198" s="73" t="str">
        <f>IF(E198&lt;&gt;"",IF(D197&lt;&gt;"",D197,#REF!)+1,"")</f>
        <v/>
      </c>
      <c r="E198" s="73"/>
      <c r="F198" s="73"/>
      <c r="G198" s="122"/>
      <c r="H198" s="104"/>
      <c r="I198" s="73"/>
      <c r="J198" s="73"/>
      <c r="K198" s="202"/>
      <c r="L198" s="75" t="str">
        <f t="shared" ref="L198:L261" si="23">IF(AND(J198&lt;&gt;"",K198&lt;&gt;""),K198*J198,"")</f>
        <v/>
      </c>
      <c r="M198" s="75"/>
      <c r="N198" s="75" t="str">
        <f t="shared" ref="N198:N261" si="24">IF(AND(M198&lt;&gt;"",J198&lt;&gt;""),M198*J198,"")</f>
        <v/>
      </c>
      <c r="O198" s="204" t="str">
        <f t="shared" si="20"/>
        <v/>
      </c>
      <c r="P198" s="8"/>
      <c r="Q198" s="8"/>
      <c r="R198" s="8"/>
      <c r="S198" s="8"/>
    </row>
    <row r="199" spans="1:19" x14ac:dyDescent="0.25">
      <c r="A199" s="197">
        <f t="shared" si="21"/>
        <v>66</v>
      </c>
      <c r="B199" s="76" t="str">
        <f t="shared" si="22"/>
        <v/>
      </c>
      <c r="C199" s="77" t="str">
        <f>IF(G199&lt;&gt;"",IFERROR(ROUND(VLOOKUP(G199,ProductList!J:AO,32,FALSE),0),""),"")</f>
        <v/>
      </c>
      <c r="D199" s="73" t="str">
        <f>IF(E199&lt;&gt;"",IF(D198&lt;&gt;"",D198,#REF!)+1,"")</f>
        <v/>
      </c>
      <c r="E199" s="73"/>
      <c r="F199" s="73"/>
      <c r="G199" s="122"/>
      <c r="H199" s="104"/>
      <c r="I199" s="73"/>
      <c r="J199" s="73"/>
      <c r="K199" s="202"/>
      <c r="L199" s="75" t="str">
        <f t="shared" si="23"/>
        <v/>
      </c>
      <c r="M199" s="75"/>
      <c r="N199" s="75" t="str">
        <f t="shared" si="24"/>
        <v/>
      </c>
      <c r="O199" s="204" t="str">
        <f t="shared" si="20"/>
        <v/>
      </c>
      <c r="P199" s="8"/>
      <c r="Q199" s="8"/>
      <c r="R199" s="8"/>
      <c r="S199" s="8"/>
    </row>
    <row r="200" spans="1:19" x14ac:dyDescent="0.25">
      <c r="A200" s="197">
        <f t="shared" si="21"/>
        <v>66</v>
      </c>
      <c r="B200" s="76" t="str">
        <f t="shared" si="22"/>
        <v/>
      </c>
      <c r="C200" s="77" t="str">
        <f>IF(G200&lt;&gt;"",IFERROR(ROUND(VLOOKUP(G200,ProductList!J:AO,32,FALSE),0),""),"")</f>
        <v/>
      </c>
      <c r="D200" s="73" t="str">
        <f>IF(E200&lt;&gt;"",IF(D199&lt;&gt;"",D199,#REF!)+1,"")</f>
        <v/>
      </c>
      <c r="E200" s="73"/>
      <c r="F200" s="73"/>
      <c r="G200" s="122"/>
      <c r="H200" s="104"/>
      <c r="I200" s="73"/>
      <c r="J200" s="73"/>
      <c r="K200" s="202"/>
      <c r="L200" s="75" t="str">
        <f t="shared" si="23"/>
        <v/>
      </c>
      <c r="M200" s="75"/>
      <c r="N200" s="75" t="str">
        <f t="shared" si="24"/>
        <v/>
      </c>
      <c r="O200" s="204" t="str">
        <f t="shared" si="20"/>
        <v/>
      </c>
      <c r="P200" s="8"/>
      <c r="Q200" s="8"/>
      <c r="R200" s="8"/>
      <c r="S200" s="8"/>
    </row>
    <row r="201" spans="1:19" x14ac:dyDescent="0.25">
      <c r="A201" s="197">
        <f t="shared" si="21"/>
        <v>66</v>
      </c>
      <c r="B201" s="76" t="str">
        <f t="shared" si="22"/>
        <v/>
      </c>
      <c r="C201" s="77" t="str">
        <f>IF(G201&lt;&gt;"",IFERROR(ROUND(VLOOKUP(G201,ProductList!J:AO,32,FALSE),0),""),"")</f>
        <v/>
      </c>
      <c r="D201" s="73" t="str">
        <f>IF(E201&lt;&gt;"",IF(D200&lt;&gt;"",D200,#REF!)+1,"")</f>
        <v/>
      </c>
      <c r="E201" s="73"/>
      <c r="F201" s="73"/>
      <c r="G201" s="122"/>
      <c r="H201" s="104"/>
      <c r="I201" s="73"/>
      <c r="J201" s="73"/>
      <c r="K201" s="202"/>
      <c r="L201" s="75" t="str">
        <f t="shared" si="23"/>
        <v/>
      </c>
      <c r="M201" s="75"/>
      <c r="N201" s="75" t="str">
        <f t="shared" si="24"/>
        <v/>
      </c>
      <c r="O201" s="204" t="str">
        <f t="shared" si="20"/>
        <v/>
      </c>
      <c r="P201" s="8"/>
      <c r="Q201" s="8"/>
      <c r="R201" s="8"/>
      <c r="S201" s="8"/>
    </row>
    <row r="202" spans="1:19" x14ac:dyDescent="0.25">
      <c r="A202" s="197">
        <f t="shared" si="21"/>
        <v>66</v>
      </c>
      <c r="B202" s="76" t="str">
        <f t="shared" si="22"/>
        <v/>
      </c>
      <c r="C202" s="77" t="str">
        <f>IF(G202&lt;&gt;"",IFERROR(ROUND(VLOOKUP(G202,ProductList!J:AO,32,FALSE),0),""),"")</f>
        <v/>
      </c>
      <c r="D202" s="73" t="str">
        <f>IF(E202&lt;&gt;"",IF(D201&lt;&gt;"",D201,#REF!)+1,"")</f>
        <v/>
      </c>
      <c r="E202" s="73"/>
      <c r="F202" s="73"/>
      <c r="G202" s="122"/>
      <c r="H202" s="104"/>
      <c r="I202" s="73"/>
      <c r="J202" s="73"/>
      <c r="K202" s="202"/>
      <c r="L202" s="75" t="str">
        <f t="shared" si="23"/>
        <v/>
      </c>
      <c r="M202" s="75"/>
      <c r="N202" s="75" t="str">
        <f t="shared" si="24"/>
        <v/>
      </c>
      <c r="O202" s="204" t="str">
        <f t="shared" si="20"/>
        <v/>
      </c>
      <c r="P202" s="8"/>
      <c r="Q202" s="8"/>
      <c r="R202" s="8"/>
      <c r="S202" s="8"/>
    </row>
    <row r="203" spans="1:19" x14ac:dyDescent="0.25">
      <c r="A203" s="197">
        <f t="shared" si="21"/>
        <v>66</v>
      </c>
      <c r="B203" s="76" t="str">
        <f t="shared" si="22"/>
        <v/>
      </c>
      <c r="C203" s="77" t="str">
        <f>IF(G203&lt;&gt;"",IFERROR(ROUND(VLOOKUP(G203,ProductList!J:AO,32,FALSE),0),""),"")</f>
        <v/>
      </c>
      <c r="D203" s="73" t="str">
        <f>IF(E203&lt;&gt;"",IF(D202&lt;&gt;"",D202,#REF!)+1,"")</f>
        <v/>
      </c>
      <c r="E203" s="73"/>
      <c r="F203" s="73"/>
      <c r="G203" s="122"/>
      <c r="H203" s="104"/>
      <c r="I203" s="73"/>
      <c r="J203" s="73"/>
      <c r="K203" s="202"/>
      <c r="L203" s="75" t="str">
        <f t="shared" si="23"/>
        <v/>
      </c>
      <c r="M203" s="75"/>
      <c r="N203" s="75" t="str">
        <f t="shared" si="24"/>
        <v/>
      </c>
      <c r="O203" s="204" t="str">
        <f t="shared" si="20"/>
        <v/>
      </c>
      <c r="P203" s="8"/>
      <c r="Q203" s="8"/>
      <c r="R203" s="8"/>
      <c r="S203" s="8"/>
    </row>
    <row r="204" spans="1:19" x14ac:dyDescent="0.25">
      <c r="A204" s="197">
        <f t="shared" si="21"/>
        <v>66</v>
      </c>
      <c r="B204" s="76" t="str">
        <f t="shared" si="22"/>
        <v/>
      </c>
      <c r="C204" s="77" t="str">
        <f>IF(G204&lt;&gt;"",IFERROR(ROUND(VLOOKUP(G204,ProductList!J:AO,32,FALSE),0),""),"")</f>
        <v/>
      </c>
      <c r="D204" s="73" t="str">
        <f>IF(E204&lt;&gt;"",IF(D203&lt;&gt;"",D203,#REF!)+1,"")</f>
        <v/>
      </c>
      <c r="E204" s="73"/>
      <c r="F204" s="73"/>
      <c r="G204" s="122"/>
      <c r="H204" s="104"/>
      <c r="I204" s="73"/>
      <c r="J204" s="73"/>
      <c r="K204" s="202"/>
      <c r="L204" s="75" t="str">
        <f t="shared" si="23"/>
        <v/>
      </c>
      <c r="M204" s="75"/>
      <c r="N204" s="75" t="str">
        <f t="shared" si="24"/>
        <v/>
      </c>
      <c r="O204" s="204" t="str">
        <f t="shared" si="20"/>
        <v/>
      </c>
      <c r="P204" s="8"/>
      <c r="Q204" s="8"/>
      <c r="R204" s="8"/>
      <c r="S204" s="8"/>
    </row>
    <row r="205" spans="1:19" x14ac:dyDescent="0.25">
      <c r="A205" s="197">
        <f t="shared" si="21"/>
        <v>66</v>
      </c>
      <c r="B205" s="76" t="str">
        <f t="shared" si="22"/>
        <v/>
      </c>
      <c r="C205" s="77" t="str">
        <f>IF(G205&lt;&gt;"",IFERROR(ROUND(VLOOKUP(G205,ProductList!J:AO,32,FALSE),0),""),"")</f>
        <v/>
      </c>
      <c r="D205" s="73" t="str">
        <f>IF(E205&lt;&gt;"",IF(D204&lt;&gt;"",D204,#REF!)+1,"")</f>
        <v/>
      </c>
      <c r="E205" s="73"/>
      <c r="F205" s="73"/>
      <c r="G205" s="122"/>
      <c r="H205" s="104"/>
      <c r="I205" s="73"/>
      <c r="J205" s="73"/>
      <c r="K205" s="202"/>
      <c r="L205" s="75" t="str">
        <f t="shared" si="23"/>
        <v/>
      </c>
      <c r="M205" s="75"/>
      <c r="N205" s="75" t="str">
        <f t="shared" si="24"/>
        <v/>
      </c>
      <c r="O205" s="204" t="str">
        <f t="shared" si="20"/>
        <v/>
      </c>
      <c r="P205" s="8"/>
      <c r="Q205" s="8"/>
      <c r="R205" s="8"/>
      <c r="S205" s="8"/>
    </row>
    <row r="206" spans="1:19" x14ac:dyDescent="0.25">
      <c r="A206" s="197">
        <f t="shared" si="21"/>
        <v>66</v>
      </c>
      <c r="B206" s="76" t="str">
        <f t="shared" si="22"/>
        <v/>
      </c>
      <c r="C206" s="77" t="str">
        <f>IF(G206&lt;&gt;"",IFERROR(ROUND(VLOOKUP(G206,ProductList!J:AO,32,FALSE),0),""),"")</f>
        <v/>
      </c>
      <c r="D206" s="73" t="str">
        <f>IF(E206&lt;&gt;"",IF(D205&lt;&gt;"",D205,#REF!)+1,"")</f>
        <v/>
      </c>
      <c r="E206" s="73"/>
      <c r="F206" s="73"/>
      <c r="G206" s="122"/>
      <c r="H206" s="104"/>
      <c r="I206" s="73"/>
      <c r="J206" s="73"/>
      <c r="K206" s="202"/>
      <c r="L206" s="75" t="str">
        <f t="shared" si="23"/>
        <v/>
      </c>
      <c r="M206" s="75"/>
      <c r="N206" s="75" t="str">
        <f t="shared" si="24"/>
        <v/>
      </c>
      <c r="O206" s="204" t="str">
        <f t="shared" ref="O206:O269" si="25">IF(AND(K206&lt;&gt;"",M206&lt;&gt;""),K206-M206,IF(K206&lt;&gt;"",K206,""))</f>
        <v/>
      </c>
      <c r="P206" s="8"/>
      <c r="Q206" s="8"/>
      <c r="R206" s="8"/>
      <c r="S206" s="8"/>
    </row>
    <row r="207" spans="1:19" x14ac:dyDescent="0.25">
      <c r="A207" s="197">
        <f t="shared" si="21"/>
        <v>66</v>
      </c>
      <c r="B207" s="76" t="str">
        <f t="shared" si="22"/>
        <v/>
      </c>
      <c r="C207" s="77" t="str">
        <f>IF(G207&lt;&gt;"",IFERROR(ROUND(VLOOKUP(G207,ProductList!J:AO,32,FALSE),0),""),"")</f>
        <v/>
      </c>
      <c r="D207" s="73" t="str">
        <f>IF(E207&lt;&gt;"",IF(D206&lt;&gt;"",D206,#REF!)+1,"")</f>
        <v/>
      </c>
      <c r="E207" s="73"/>
      <c r="F207" s="73"/>
      <c r="G207" s="122"/>
      <c r="H207" s="104"/>
      <c r="I207" s="73"/>
      <c r="J207" s="73"/>
      <c r="K207" s="202"/>
      <c r="L207" s="75" t="str">
        <f t="shared" si="23"/>
        <v/>
      </c>
      <c r="M207" s="75"/>
      <c r="N207" s="75" t="str">
        <f t="shared" si="24"/>
        <v/>
      </c>
      <c r="O207" s="204" t="str">
        <f t="shared" si="25"/>
        <v/>
      </c>
      <c r="P207" s="8"/>
      <c r="Q207" s="8"/>
      <c r="R207" s="8"/>
      <c r="S207" s="8"/>
    </row>
    <row r="208" spans="1:19" x14ac:dyDescent="0.25">
      <c r="A208" s="197">
        <f t="shared" si="21"/>
        <v>66</v>
      </c>
      <c r="B208" s="76" t="str">
        <f t="shared" si="22"/>
        <v/>
      </c>
      <c r="C208" s="77" t="str">
        <f>IF(G208&lt;&gt;"",IFERROR(ROUND(VLOOKUP(G208,ProductList!J:AO,32,FALSE),0),""),"")</f>
        <v/>
      </c>
      <c r="D208" s="73" t="str">
        <f>IF(E208&lt;&gt;"",IF(D207&lt;&gt;"",D207,#REF!)+1,"")</f>
        <v/>
      </c>
      <c r="E208" s="73"/>
      <c r="F208" s="73"/>
      <c r="G208" s="122"/>
      <c r="H208" s="104"/>
      <c r="I208" s="73"/>
      <c r="J208" s="73"/>
      <c r="K208" s="202"/>
      <c r="L208" s="75" t="str">
        <f t="shared" si="23"/>
        <v/>
      </c>
      <c r="M208" s="75"/>
      <c r="N208" s="75" t="str">
        <f t="shared" si="24"/>
        <v/>
      </c>
      <c r="O208" s="204" t="str">
        <f t="shared" si="25"/>
        <v/>
      </c>
      <c r="P208" s="8"/>
      <c r="Q208" s="8"/>
      <c r="R208" s="8"/>
      <c r="S208" s="8"/>
    </row>
    <row r="209" spans="1:19" x14ac:dyDescent="0.25">
      <c r="A209" s="197">
        <f t="shared" si="21"/>
        <v>66</v>
      </c>
      <c r="B209" s="76" t="str">
        <f t="shared" si="22"/>
        <v/>
      </c>
      <c r="C209" s="77" t="str">
        <f>IF(G209&lt;&gt;"",IFERROR(ROUND(VLOOKUP(G209,ProductList!J:AO,32,FALSE),0),""),"")</f>
        <v/>
      </c>
      <c r="D209" s="73" t="str">
        <f>IF(E209&lt;&gt;"",IF(D208&lt;&gt;"",D208,#REF!)+1,"")</f>
        <v/>
      </c>
      <c r="E209" s="73"/>
      <c r="F209" s="73"/>
      <c r="G209" s="122"/>
      <c r="H209" s="104"/>
      <c r="I209" s="73"/>
      <c r="J209" s="73"/>
      <c r="K209" s="202"/>
      <c r="L209" s="75" t="str">
        <f t="shared" si="23"/>
        <v/>
      </c>
      <c r="M209" s="75"/>
      <c r="N209" s="75" t="str">
        <f t="shared" si="24"/>
        <v/>
      </c>
      <c r="O209" s="204" t="str">
        <f t="shared" si="25"/>
        <v/>
      </c>
      <c r="P209" s="8"/>
      <c r="Q209" s="8"/>
      <c r="R209" s="8"/>
      <c r="S209" s="8"/>
    </row>
    <row r="210" spans="1:19" x14ac:dyDescent="0.25">
      <c r="A210" s="197">
        <f t="shared" si="21"/>
        <v>66</v>
      </c>
      <c r="B210" s="76" t="str">
        <f t="shared" si="22"/>
        <v/>
      </c>
      <c r="C210" s="77" t="str">
        <f>IF(G210&lt;&gt;"",IFERROR(ROUND(VLOOKUP(G210,ProductList!J:AO,32,FALSE),0),""),"")</f>
        <v/>
      </c>
      <c r="D210" s="73" t="str">
        <f>IF(E210&lt;&gt;"",IF(D209&lt;&gt;"",D209,#REF!)+1,"")</f>
        <v/>
      </c>
      <c r="E210" s="73"/>
      <c r="F210" s="73"/>
      <c r="G210" s="122"/>
      <c r="H210" s="104"/>
      <c r="I210" s="73"/>
      <c r="J210" s="73"/>
      <c r="K210" s="202"/>
      <c r="L210" s="75" t="str">
        <f t="shared" si="23"/>
        <v/>
      </c>
      <c r="M210" s="75"/>
      <c r="N210" s="75" t="str">
        <f t="shared" si="24"/>
        <v/>
      </c>
      <c r="O210" s="204" t="str">
        <f t="shared" si="25"/>
        <v/>
      </c>
      <c r="P210" s="8"/>
      <c r="Q210" s="8"/>
      <c r="R210" s="8"/>
      <c r="S210" s="8"/>
    </row>
    <row r="211" spans="1:19" x14ac:dyDescent="0.25">
      <c r="A211" s="197">
        <f t="shared" si="21"/>
        <v>66</v>
      </c>
      <c r="B211" s="76" t="str">
        <f t="shared" si="22"/>
        <v/>
      </c>
      <c r="C211" s="77" t="str">
        <f>IF(G211&lt;&gt;"",IFERROR(ROUND(VLOOKUP(G211,ProductList!J:AO,32,FALSE),0),""),"")</f>
        <v/>
      </c>
      <c r="D211" s="73" t="str">
        <f>IF(E211&lt;&gt;"",IF(D210&lt;&gt;"",D210,#REF!)+1,"")</f>
        <v/>
      </c>
      <c r="E211" s="73"/>
      <c r="F211" s="73"/>
      <c r="G211" s="122"/>
      <c r="H211" s="104"/>
      <c r="I211" s="73"/>
      <c r="J211" s="73"/>
      <c r="K211" s="202"/>
      <c r="L211" s="75" t="str">
        <f t="shared" si="23"/>
        <v/>
      </c>
      <c r="M211" s="75"/>
      <c r="N211" s="75" t="str">
        <f t="shared" si="24"/>
        <v/>
      </c>
      <c r="O211" s="204" t="str">
        <f t="shared" si="25"/>
        <v/>
      </c>
      <c r="P211" s="8"/>
      <c r="Q211" s="8"/>
      <c r="R211" s="8"/>
      <c r="S211" s="8"/>
    </row>
    <row r="212" spans="1:19" x14ac:dyDescent="0.25">
      <c r="A212" s="197">
        <f t="shared" si="21"/>
        <v>66</v>
      </c>
      <c r="B212" s="76" t="str">
        <f t="shared" si="22"/>
        <v/>
      </c>
      <c r="C212" s="77" t="str">
        <f>IF(G212&lt;&gt;"",IFERROR(ROUND(VLOOKUP(G212,ProductList!J:AO,32,FALSE),0),""),"")</f>
        <v/>
      </c>
      <c r="D212" s="73" t="str">
        <f>IF(E212&lt;&gt;"",IF(D211&lt;&gt;"",D211,#REF!)+1,"")</f>
        <v/>
      </c>
      <c r="E212" s="73"/>
      <c r="F212" s="73"/>
      <c r="G212" s="122"/>
      <c r="H212" s="104"/>
      <c r="I212" s="73"/>
      <c r="J212" s="73"/>
      <c r="K212" s="202"/>
      <c r="L212" s="75" t="str">
        <f t="shared" si="23"/>
        <v/>
      </c>
      <c r="M212" s="75"/>
      <c r="N212" s="75" t="str">
        <f t="shared" si="24"/>
        <v/>
      </c>
      <c r="O212" s="204" t="str">
        <f t="shared" si="25"/>
        <v/>
      </c>
      <c r="P212" s="8"/>
      <c r="Q212" s="8"/>
      <c r="R212" s="8"/>
      <c r="S212" s="8"/>
    </row>
    <row r="213" spans="1:19" x14ac:dyDescent="0.25">
      <c r="A213" s="197">
        <f t="shared" si="21"/>
        <v>66</v>
      </c>
      <c r="B213" s="76" t="str">
        <f t="shared" si="22"/>
        <v/>
      </c>
      <c r="C213" s="77" t="str">
        <f>IF(G213&lt;&gt;"",IFERROR(ROUND(VLOOKUP(G213,ProductList!J:AO,32,FALSE),0),""),"")</f>
        <v/>
      </c>
      <c r="D213" s="73" t="str">
        <f>IF(E213&lt;&gt;"",IF(D212&lt;&gt;"",D212,#REF!)+1,"")</f>
        <v/>
      </c>
      <c r="E213" s="73"/>
      <c r="F213" s="73"/>
      <c r="G213" s="122"/>
      <c r="H213" s="104"/>
      <c r="I213" s="73"/>
      <c r="J213" s="73"/>
      <c r="K213" s="202"/>
      <c r="L213" s="75" t="str">
        <f t="shared" si="23"/>
        <v/>
      </c>
      <c r="M213" s="75"/>
      <c r="N213" s="75" t="str">
        <f t="shared" si="24"/>
        <v/>
      </c>
      <c r="O213" s="204" t="str">
        <f t="shared" si="25"/>
        <v/>
      </c>
      <c r="P213" s="8"/>
      <c r="Q213" s="8"/>
      <c r="R213" s="8"/>
      <c r="S213" s="8"/>
    </row>
    <row r="214" spans="1:19" x14ac:dyDescent="0.25">
      <c r="A214" s="197">
        <f t="shared" si="21"/>
        <v>66</v>
      </c>
      <c r="B214" s="76" t="str">
        <f t="shared" si="22"/>
        <v/>
      </c>
      <c r="C214" s="77" t="str">
        <f>IF(G214&lt;&gt;"",IFERROR(ROUND(VLOOKUP(G214,ProductList!J:AO,32,FALSE),0),""),"")</f>
        <v/>
      </c>
      <c r="D214" s="73" t="str">
        <f>IF(E214&lt;&gt;"",IF(D213&lt;&gt;"",D213,#REF!)+1,"")</f>
        <v/>
      </c>
      <c r="E214" s="73"/>
      <c r="F214" s="73"/>
      <c r="G214" s="122"/>
      <c r="H214" s="104"/>
      <c r="I214" s="73"/>
      <c r="J214" s="73"/>
      <c r="K214" s="202"/>
      <c r="L214" s="75" t="str">
        <f t="shared" si="23"/>
        <v/>
      </c>
      <c r="M214" s="75"/>
      <c r="N214" s="75" t="str">
        <f t="shared" si="24"/>
        <v/>
      </c>
      <c r="O214" s="204" t="str">
        <f t="shared" si="25"/>
        <v/>
      </c>
      <c r="P214" s="8"/>
      <c r="Q214" s="8"/>
      <c r="R214" s="8"/>
      <c r="S214" s="8"/>
    </row>
    <row r="215" spans="1:19" x14ac:dyDescent="0.25">
      <c r="A215" s="197">
        <f t="shared" si="21"/>
        <v>66</v>
      </c>
      <c r="B215" s="76" t="str">
        <f t="shared" si="22"/>
        <v/>
      </c>
      <c r="C215" s="77" t="str">
        <f>IF(G215&lt;&gt;"",IFERROR(ROUND(VLOOKUP(G215,ProductList!J:AO,32,FALSE),0),""),"")</f>
        <v/>
      </c>
      <c r="D215" s="73" t="str">
        <f>IF(E215&lt;&gt;"",IF(D214&lt;&gt;"",D214,#REF!)+1,"")</f>
        <v/>
      </c>
      <c r="E215" s="73"/>
      <c r="F215" s="73"/>
      <c r="G215" s="122"/>
      <c r="H215" s="104"/>
      <c r="I215" s="73"/>
      <c r="J215" s="73"/>
      <c r="K215" s="202"/>
      <c r="L215" s="75" t="str">
        <f t="shared" si="23"/>
        <v/>
      </c>
      <c r="M215" s="75"/>
      <c r="N215" s="75" t="str">
        <f t="shared" si="24"/>
        <v/>
      </c>
      <c r="O215" s="204" t="str">
        <f t="shared" si="25"/>
        <v/>
      </c>
      <c r="P215" s="8"/>
      <c r="Q215" s="8"/>
      <c r="R215" s="8"/>
      <c r="S215" s="8"/>
    </row>
    <row r="216" spans="1:19" x14ac:dyDescent="0.25">
      <c r="A216" s="197">
        <f t="shared" si="21"/>
        <v>66</v>
      </c>
      <c r="B216" s="76" t="str">
        <f t="shared" si="22"/>
        <v/>
      </c>
      <c r="C216" s="77" t="str">
        <f>IF(G216&lt;&gt;"",IFERROR(ROUND(VLOOKUP(G216,ProductList!J:AO,32,FALSE),0),""),"")</f>
        <v/>
      </c>
      <c r="D216" s="73" t="str">
        <f>IF(E216&lt;&gt;"",IF(D215&lt;&gt;"",D215,#REF!)+1,"")</f>
        <v/>
      </c>
      <c r="E216" s="73"/>
      <c r="F216" s="73"/>
      <c r="G216" s="122"/>
      <c r="H216" s="104"/>
      <c r="I216" s="73"/>
      <c r="J216" s="73"/>
      <c r="K216" s="202"/>
      <c r="L216" s="75" t="str">
        <f t="shared" si="23"/>
        <v/>
      </c>
      <c r="M216" s="75"/>
      <c r="N216" s="75" t="str">
        <f t="shared" si="24"/>
        <v/>
      </c>
      <c r="O216" s="204" t="str">
        <f t="shared" si="25"/>
        <v/>
      </c>
      <c r="P216" s="8"/>
      <c r="Q216" s="8"/>
      <c r="R216" s="8"/>
      <c r="S216" s="8"/>
    </row>
    <row r="217" spans="1:19" x14ac:dyDescent="0.25">
      <c r="A217" s="197">
        <f t="shared" si="21"/>
        <v>66</v>
      </c>
      <c r="B217" s="76" t="str">
        <f t="shared" si="22"/>
        <v/>
      </c>
      <c r="C217" s="77" t="str">
        <f>IF(G217&lt;&gt;"",IFERROR(ROUND(VLOOKUP(G217,ProductList!J:AO,32,FALSE),0),""),"")</f>
        <v/>
      </c>
      <c r="D217" s="73" t="str">
        <f>IF(E217&lt;&gt;"",IF(D216&lt;&gt;"",D216,#REF!)+1,"")</f>
        <v/>
      </c>
      <c r="E217" s="73"/>
      <c r="F217" s="73"/>
      <c r="G217" s="122"/>
      <c r="H217" s="104"/>
      <c r="I217" s="73"/>
      <c r="J217" s="73"/>
      <c r="K217" s="202"/>
      <c r="L217" s="75" t="str">
        <f t="shared" si="23"/>
        <v/>
      </c>
      <c r="M217" s="75"/>
      <c r="N217" s="75" t="str">
        <f t="shared" si="24"/>
        <v/>
      </c>
      <c r="O217" s="204" t="str">
        <f t="shared" si="25"/>
        <v/>
      </c>
      <c r="P217" s="8"/>
      <c r="Q217" s="8"/>
      <c r="R217" s="8"/>
      <c r="S217" s="8"/>
    </row>
    <row r="218" spans="1:19" x14ac:dyDescent="0.25">
      <c r="A218" s="197">
        <f t="shared" si="21"/>
        <v>66</v>
      </c>
      <c r="B218" s="76" t="str">
        <f t="shared" si="22"/>
        <v/>
      </c>
      <c r="C218" s="77" t="str">
        <f>IF(G218&lt;&gt;"",IFERROR(ROUND(VLOOKUP(G218,ProductList!J:AO,32,FALSE),0),""),"")</f>
        <v/>
      </c>
      <c r="D218" s="73" t="str">
        <f>IF(E218&lt;&gt;"",IF(D217&lt;&gt;"",D217,#REF!)+1,"")</f>
        <v/>
      </c>
      <c r="E218" s="73"/>
      <c r="F218" s="73"/>
      <c r="G218" s="122"/>
      <c r="H218" s="104"/>
      <c r="I218" s="73"/>
      <c r="J218" s="73"/>
      <c r="K218" s="202"/>
      <c r="L218" s="75" t="str">
        <f t="shared" si="23"/>
        <v/>
      </c>
      <c r="M218" s="75"/>
      <c r="N218" s="75" t="str">
        <f t="shared" si="24"/>
        <v/>
      </c>
      <c r="O218" s="204" t="str">
        <f t="shared" si="25"/>
        <v/>
      </c>
      <c r="P218" s="8"/>
      <c r="Q218" s="8"/>
      <c r="R218" s="8"/>
      <c r="S218" s="8"/>
    </row>
    <row r="219" spans="1:19" x14ac:dyDescent="0.25">
      <c r="A219" s="197">
        <f t="shared" si="21"/>
        <v>66</v>
      </c>
      <c r="B219" s="76" t="str">
        <f t="shared" si="22"/>
        <v/>
      </c>
      <c r="C219" s="77" t="str">
        <f>IF(G219&lt;&gt;"",IFERROR(ROUND(VLOOKUP(G219,ProductList!J:AO,32,FALSE),0),""),"")</f>
        <v/>
      </c>
      <c r="D219" s="73" t="str">
        <f>IF(E219&lt;&gt;"",IF(D218&lt;&gt;"",D218,#REF!)+1,"")</f>
        <v/>
      </c>
      <c r="E219" s="73"/>
      <c r="F219" s="73"/>
      <c r="G219" s="122"/>
      <c r="H219" s="104"/>
      <c r="I219" s="73"/>
      <c r="J219" s="73"/>
      <c r="K219" s="202"/>
      <c r="L219" s="75" t="str">
        <f t="shared" si="23"/>
        <v/>
      </c>
      <c r="M219" s="75"/>
      <c r="N219" s="75" t="str">
        <f t="shared" si="24"/>
        <v/>
      </c>
      <c r="O219" s="204" t="str">
        <f t="shared" si="25"/>
        <v/>
      </c>
      <c r="P219" s="8"/>
      <c r="Q219" s="8"/>
      <c r="R219" s="8"/>
      <c r="S219" s="8"/>
    </row>
    <row r="220" spans="1:19" x14ac:dyDescent="0.25">
      <c r="A220" s="197">
        <f t="shared" si="21"/>
        <v>66</v>
      </c>
      <c r="B220" s="76" t="str">
        <f t="shared" si="22"/>
        <v/>
      </c>
      <c r="C220" s="77" t="str">
        <f>IF(G220&lt;&gt;"",IFERROR(ROUND(VLOOKUP(G220,ProductList!J:AO,32,FALSE),0),""),"")</f>
        <v/>
      </c>
      <c r="D220" s="73" t="str">
        <f>IF(E220&lt;&gt;"",IF(D219&lt;&gt;"",D219,#REF!)+1,"")</f>
        <v/>
      </c>
      <c r="E220" s="73"/>
      <c r="F220" s="73"/>
      <c r="G220" s="122"/>
      <c r="H220" s="104"/>
      <c r="I220" s="73"/>
      <c r="J220" s="73"/>
      <c r="K220" s="202"/>
      <c r="L220" s="75" t="str">
        <f t="shared" si="23"/>
        <v/>
      </c>
      <c r="M220" s="75"/>
      <c r="N220" s="75" t="str">
        <f t="shared" si="24"/>
        <v/>
      </c>
      <c r="O220" s="204" t="str">
        <f t="shared" si="25"/>
        <v/>
      </c>
      <c r="P220" s="8"/>
      <c r="Q220" s="8"/>
      <c r="R220" s="8"/>
      <c r="S220" s="8"/>
    </row>
    <row r="221" spans="1:19" x14ac:dyDescent="0.25">
      <c r="A221" s="197">
        <f t="shared" si="21"/>
        <v>66</v>
      </c>
      <c r="B221" s="76" t="str">
        <f t="shared" si="22"/>
        <v/>
      </c>
      <c r="C221" s="77" t="str">
        <f>IF(G221&lt;&gt;"",IFERROR(ROUND(VLOOKUP(G221,ProductList!J:AO,32,FALSE),0),""),"")</f>
        <v/>
      </c>
      <c r="D221" s="73" t="str">
        <f>IF(E221&lt;&gt;"",IF(D220&lt;&gt;"",D220,#REF!)+1,"")</f>
        <v/>
      </c>
      <c r="E221" s="73"/>
      <c r="F221" s="73"/>
      <c r="G221" s="122"/>
      <c r="H221" s="104"/>
      <c r="I221" s="73"/>
      <c r="J221" s="73"/>
      <c r="K221" s="202"/>
      <c r="L221" s="75" t="str">
        <f t="shared" si="23"/>
        <v/>
      </c>
      <c r="M221" s="75"/>
      <c r="N221" s="75" t="str">
        <f t="shared" si="24"/>
        <v/>
      </c>
      <c r="O221" s="204" t="str">
        <f t="shared" si="25"/>
        <v/>
      </c>
      <c r="P221" s="8"/>
      <c r="Q221" s="8"/>
      <c r="R221" s="8"/>
      <c r="S221" s="8"/>
    </row>
    <row r="222" spans="1:19" x14ac:dyDescent="0.25">
      <c r="A222" s="197">
        <f t="shared" si="21"/>
        <v>66</v>
      </c>
      <c r="B222" s="76" t="str">
        <f t="shared" si="22"/>
        <v/>
      </c>
      <c r="C222" s="77" t="str">
        <f>IF(G222&lt;&gt;"",IFERROR(ROUND(VLOOKUP(G222,ProductList!J:AO,32,FALSE),0),""),"")</f>
        <v/>
      </c>
      <c r="D222" s="73" t="str">
        <f>IF(E222&lt;&gt;"",IF(D221&lt;&gt;"",D221,#REF!)+1,"")</f>
        <v/>
      </c>
      <c r="E222" s="73"/>
      <c r="F222" s="73"/>
      <c r="G222" s="122"/>
      <c r="H222" s="104"/>
      <c r="I222" s="73"/>
      <c r="J222" s="73"/>
      <c r="K222" s="202"/>
      <c r="L222" s="75" t="str">
        <f t="shared" si="23"/>
        <v/>
      </c>
      <c r="M222" s="75"/>
      <c r="N222" s="75" t="str">
        <f t="shared" si="24"/>
        <v/>
      </c>
      <c r="O222" s="204" t="str">
        <f t="shared" si="25"/>
        <v/>
      </c>
      <c r="P222" s="8"/>
      <c r="Q222" s="8"/>
      <c r="R222" s="8"/>
      <c r="S222" s="8"/>
    </row>
    <row r="223" spans="1:19" x14ac:dyDescent="0.25">
      <c r="A223" s="197">
        <f t="shared" si="21"/>
        <v>66</v>
      </c>
      <c r="B223" s="76" t="str">
        <f t="shared" si="22"/>
        <v/>
      </c>
      <c r="C223" s="77" t="str">
        <f>IF(G223&lt;&gt;"",IFERROR(ROUND(VLOOKUP(G223,ProductList!J:AO,32,FALSE),0),""),"")</f>
        <v/>
      </c>
      <c r="D223" s="73" t="str">
        <f>IF(E223&lt;&gt;"",IF(D222&lt;&gt;"",D222,#REF!)+1,"")</f>
        <v/>
      </c>
      <c r="E223" s="73"/>
      <c r="F223" s="73"/>
      <c r="G223" s="122"/>
      <c r="H223" s="104"/>
      <c r="I223" s="73"/>
      <c r="J223" s="73"/>
      <c r="K223" s="202"/>
      <c r="L223" s="75" t="str">
        <f t="shared" si="23"/>
        <v/>
      </c>
      <c r="M223" s="75"/>
      <c r="N223" s="75" t="str">
        <f t="shared" si="24"/>
        <v/>
      </c>
      <c r="O223" s="204" t="str">
        <f t="shared" si="25"/>
        <v/>
      </c>
      <c r="P223" s="8"/>
      <c r="Q223" s="8"/>
      <c r="R223" s="8"/>
      <c r="S223" s="8"/>
    </row>
    <row r="224" spans="1:19" x14ac:dyDescent="0.25">
      <c r="A224" s="197">
        <f t="shared" si="21"/>
        <v>66</v>
      </c>
      <c r="B224" s="76" t="str">
        <f t="shared" si="22"/>
        <v/>
      </c>
      <c r="C224" s="77" t="str">
        <f>IF(G224&lt;&gt;"",IFERROR(ROUND(VLOOKUP(G224,ProductList!J:AO,32,FALSE),0),""),"")</f>
        <v/>
      </c>
      <c r="D224" s="73" t="str">
        <f>IF(E224&lt;&gt;"",IF(D223&lt;&gt;"",D223,#REF!)+1,"")</f>
        <v/>
      </c>
      <c r="E224" s="73"/>
      <c r="F224" s="73"/>
      <c r="G224" s="122"/>
      <c r="H224" s="104"/>
      <c r="I224" s="73"/>
      <c r="J224" s="73"/>
      <c r="K224" s="202"/>
      <c r="L224" s="75" t="str">
        <f t="shared" si="23"/>
        <v/>
      </c>
      <c r="M224" s="75"/>
      <c r="N224" s="75" t="str">
        <f t="shared" si="24"/>
        <v/>
      </c>
      <c r="O224" s="204" t="str">
        <f t="shared" si="25"/>
        <v/>
      </c>
      <c r="P224" s="8"/>
      <c r="Q224" s="8"/>
      <c r="R224" s="8"/>
      <c r="S224" s="8"/>
    </row>
    <row r="225" spans="1:19" x14ac:dyDescent="0.25">
      <c r="A225" s="197">
        <f t="shared" si="21"/>
        <v>66</v>
      </c>
      <c r="B225" s="76" t="str">
        <f t="shared" si="22"/>
        <v/>
      </c>
      <c r="C225" s="77" t="str">
        <f>IF(G225&lt;&gt;"",IFERROR(ROUND(VLOOKUP(G225,ProductList!J:AO,32,FALSE),0),""),"")</f>
        <v/>
      </c>
      <c r="D225" s="73" t="str">
        <f>IF(E225&lt;&gt;"",IF(D224&lt;&gt;"",D224,#REF!)+1,"")</f>
        <v/>
      </c>
      <c r="E225" s="73"/>
      <c r="F225" s="73"/>
      <c r="G225" s="122"/>
      <c r="H225" s="104"/>
      <c r="I225" s="73"/>
      <c r="J225" s="73"/>
      <c r="K225" s="202"/>
      <c r="L225" s="75" t="str">
        <f t="shared" si="23"/>
        <v/>
      </c>
      <c r="M225" s="75"/>
      <c r="N225" s="75" t="str">
        <f t="shared" si="24"/>
        <v/>
      </c>
      <c r="O225" s="204" t="str">
        <f t="shared" si="25"/>
        <v/>
      </c>
      <c r="P225" s="8"/>
      <c r="Q225" s="8"/>
      <c r="R225" s="8"/>
      <c r="S225" s="8"/>
    </row>
    <row r="226" spans="1:19" x14ac:dyDescent="0.25">
      <c r="A226" s="197">
        <f t="shared" si="21"/>
        <v>66</v>
      </c>
      <c r="B226" s="76" t="str">
        <f t="shared" si="22"/>
        <v/>
      </c>
      <c r="C226" s="77" t="str">
        <f>IF(G226&lt;&gt;"",IFERROR(ROUND(VLOOKUP(G226,ProductList!J:AO,32,FALSE),0),""),"")</f>
        <v/>
      </c>
      <c r="D226" s="73" t="str">
        <f>IF(E226&lt;&gt;"",IF(D225&lt;&gt;"",D225,#REF!)+1,"")</f>
        <v/>
      </c>
      <c r="E226" s="73"/>
      <c r="F226" s="73"/>
      <c r="G226" s="122"/>
      <c r="H226" s="104"/>
      <c r="I226" s="73"/>
      <c r="J226" s="73"/>
      <c r="K226" s="202"/>
      <c r="L226" s="75" t="str">
        <f t="shared" si="23"/>
        <v/>
      </c>
      <c r="M226" s="75"/>
      <c r="N226" s="75" t="str">
        <f t="shared" si="24"/>
        <v/>
      </c>
      <c r="O226" s="204" t="str">
        <f t="shared" si="25"/>
        <v/>
      </c>
      <c r="P226" s="8"/>
      <c r="Q226" s="8"/>
      <c r="R226" s="8"/>
      <c r="S226" s="8"/>
    </row>
    <row r="227" spans="1:19" x14ac:dyDescent="0.25">
      <c r="A227" s="197">
        <f t="shared" si="21"/>
        <v>66</v>
      </c>
      <c r="B227" s="76" t="str">
        <f t="shared" si="22"/>
        <v/>
      </c>
      <c r="C227" s="77" t="str">
        <f>IF(G227&lt;&gt;"",IFERROR(ROUND(VLOOKUP(G227,ProductList!J:AO,32,FALSE),0),""),"")</f>
        <v/>
      </c>
      <c r="D227" s="73" t="str">
        <f>IF(E227&lt;&gt;"",IF(D226&lt;&gt;"",D226,#REF!)+1,"")</f>
        <v/>
      </c>
      <c r="E227" s="73"/>
      <c r="F227" s="73"/>
      <c r="G227" s="122"/>
      <c r="H227" s="104"/>
      <c r="I227" s="73"/>
      <c r="J227" s="73"/>
      <c r="K227" s="202"/>
      <c r="L227" s="75" t="str">
        <f t="shared" si="23"/>
        <v/>
      </c>
      <c r="M227" s="75"/>
      <c r="N227" s="75" t="str">
        <f t="shared" si="24"/>
        <v/>
      </c>
      <c r="O227" s="204" t="str">
        <f t="shared" si="25"/>
        <v/>
      </c>
      <c r="P227" s="8"/>
      <c r="Q227" s="8"/>
      <c r="R227" s="8"/>
      <c r="S227" s="8"/>
    </row>
    <row r="228" spans="1:19" x14ac:dyDescent="0.25">
      <c r="A228" s="197">
        <f t="shared" si="21"/>
        <v>66</v>
      </c>
      <c r="B228" s="76" t="str">
        <f t="shared" si="22"/>
        <v/>
      </c>
      <c r="C228" s="77" t="str">
        <f>IF(G228&lt;&gt;"",IFERROR(ROUND(VLOOKUP(G228,ProductList!J:AO,32,FALSE),0),""),"")</f>
        <v/>
      </c>
      <c r="D228" s="73" t="str">
        <f>IF(E228&lt;&gt;"",IF(D227&lt;&gt;"",D227,#REF!)+1,"")</f>
        <v/>
      </c>
      <c r="E228" s="73"/>
      <c r="F228" s="73"/>
      <c r="G228" s="122"/>
      <c r="H228" s="104"/>
      <c r="I228" s="73"/>
      <c r="J228" s="73"/>
      <c r="K228" s="202"/>
      <c r="L228" s="75" t="str">
        <f t="shared" si="23"/>
        <v/>
      </c>
      <c r="M228" s="75"/>
      <c r="N228" s="75" t="str">
        <f t="shared" si="24"/>
        <v/>
      </c>
      <c r="O228" s="204" t="str">
        <f t="shared" si="25"/>
        <v/>
      </c>
      <c r="P228" s="8"/>
      <c r="Q228" s="8"/>
      <c r="R228" s="8"/>
      <c r="S228" s="8"/>
    </row>
    <row r="229" spans="1:19" x14ac:dyDescent="0.25">
      <c r="A229" s="197">
        <f t="shared" si="21"/>
        <v>66</v>
      </c>
      <c r="B229" s="76" t="str">
        <f t="shared" si="22"/>
        <v/>
      </c>
      <c r="C229" s="77" t="str">
        <f>IF(G229&lt;&gt;"",IFERROR(ROUND(VLOOKUP(G229,ProductList!J:AO,32,FALSE),0),""),"")</f>
        <v/>
      </c>
      <c r="D229" s="73" t="str">
        <f>IF(E229&lt;&gt;"",IF(D228&lt;&gt;"",D228,#REF!)+1,"")</f>
        <v/>
      </c>
      <c r="E229" s="73"/>
      <c r="F229" s="73"/>
      <c r="G229" s="122"/>
      <c r="H229" s="104"/>
      <c r="I229" s="73"/>
      <c r="J229" s="73"/>
      <c r="K229" s="202"/>
      <c r="L229" s="75" t="str">
        <f t="shared" si="23"/>
        <v/>
      </c>
      <c r="M229" s="75"/>
      <c r="N229" s="75" t="str">
        <f t="shared" si="24"/>
        <v/>
      </c>
      <c r="O229" s="204" t="str">
        <f t="shared" si="25"/>
        <v/>
      </c>
      <c r="P229" s="8"/>
      <c r="Q229" s="8"/>
      <c r="R229" s="8"/>
      <c r="S229" s="8"/>
    </row>
    <row r="230" spans="1:19" x14ac:dyDescent="0.25">
      <c r="A230" s="197">
        <f t="shared" si="21"/>
        <v>66</v>
      </c>
      <c r="B230" s="76" t="str">
        <f t="shared" si="22"/>
        <v/>
      </c>
      <c r="C230" s="77" t="str">
        <f>IF(G230&lt;&gt;"",IFERROR(ROUND(VLOOKUP(G230,ProductList!J:AO,32,FALSE),0),""),"")</f>
        <v/>
      </c>
      <c r="D230" s="73" t="str">
        <f>IF(E230&lt;&gt;"",IF(D229&lt;&gt;"",D229,#REF!)+1,"")</f>
        <v/>
      </c>
      <c r="E230" s="73"/>
      <c r="F230" s="73"/>
      <c r="G230" s="122"/>
      <c r="H230" s="104"/>
      <c r="I230" s="73"/>
      <c r="J230" s="73"/>
      <c r="K230" s="202"/>
      <c r="L230" s="75" t="str">
        <f t="shared" si="23"/>
        <v/>
      </c>
      <c r="M230" s="75"/>
      <c r="N230" s="75" t="str">
        <f t="shared" si="24"/>
        <v/>
      </c>
      <c r="O230" s="204" t="str">
        <f t="shared" si="25"/>
        <v/>
      </c>
      <c r="P230" s="8"/>
      <c r="Q230" s="8"/>
      <c r="R230" s="8"/>
      <c r="S230" s="8"/>
    </row>
    <row r="231" spans="1:19" x14ac:dyDescent="0.25">
      <c r="A231" s="197">
        <f t="shared" si="21"/>
        <v>66</v>
      </c>
      <c r="B231" s="76" t="str">
        <f t="shared" si="22"/>
        <v/>
      </c>
      <c r="C231" s="77" t="str">
        <f>IF(G231&lt;&gt;"",IFERROR(ROUND(VLOOKUP(G231,ProductList!J:AO,32,FALSE),0),""),"")</f>
        <v/>
      </c>
      <c r="D231" s="73" t="str">
        <f>IF(E231&lt;&gt;"",IF(D230&lt;&gt;"",D230,#REF!)+1,"")</f>
        <v/>
      </c>
      <c r="E231" s="73"/>
      <c r="F231" s="73"/>
      <c r="G231" s="122"/>
      <c r="H231" s="104"/>
      <c r="I231" s="73"/>
      <c r="J231" s="73"/>
      <c r="K231" s="202"/>
      <c r="L231" s="75" t="str">
        <f t="shared" si="23"/>
        <v/>
      </c>
      <c r="M231" s="75"/>
      <c r="N231" s="75" t="str">
        <f t="shared" si="24"/>
        <v/>
      </c>
      <c r="O231" s="204" t="str">
        <f t="shared" si="25"/>
        <v/>
      </c>
      <c r="P231" s="8"/>
      <c r="Q231" s="8"/>
      <c r="R231" s="8"/>
      <c r="S231" s="8"/>
    </row>
    <row r="232" spans="1:19" x14ac:dyDescent="0.25">
      <c r="A232" s="197">
        <f t="shared" si="21"/>
        <v>66</v>
      </c>
      <c r="B232" s="76" t="str">
        <f t="shared" si="22"/>
        <v/>
      </c>
      <c r="C232" s="77" t="str">
        <f>IF(G232&lt;&gt;"",IFERROR(ROUND(VLOOKUP(G232,ProductList!J:AO,32,FALSE),0),""),"")</f>
        <v/>
      </c>
      <c r="D232" s="73" t="str">
        <f>IF(E232&lt;&gt;"",IF(D231&lt;&gt;"",D231,#REF!)+1,"")</f>
        <v/>
      </c>
      <c r="E232" s="73"/>
      <c r="F232" s="73"/>
      <c r="G232" s="122"/>
      <c r="H232" s="104"/>
      <c r="I232" s="73"/>
      <c r="J232" s="73"/>
      <c r="K232" s="202"/>
      <c r="L232" s="75" t="str">
        <f t="shared" si="23"/>
        <v/>
      </c>
      <c r="M232" s="75"/>
      <c r="N232" s="75" t="str">
        <f t="shared" si="24"/>
        <v/>
      </c>
      <c r="O232" s="204" t="str">
        <f t="shared" si="25"/>
        <v/>
      </c>
      <c r="P232" s="8"/>
      <c r="Q232" s="8"/>
      <c r="R232" s="8"/>
      <c r="S232" s="8"/>
    </row>
    <row r="233" spans="1:19" x14ac:dyDescent="0.25">
      <c r="A233" s="197">
        <f t="shared" si="21"/>
        <v>66</v>
      </c>
      <c r="B233" s="76" t="str">
        <f t="shared" si="22"/>
        <v/>
      </c>
      <c r="C233" s="77" t="str">
        <f>IF(G233&lt;&gt;"",IFERROR(ROUND(VLOOKUP(G233,ProductList!J:AO,32,FALSE),0),""),"")</f>
        <v/>
      </c>
      <c r="D233" s="73" t="str">
        <f>IF(E233&lt;&gt;"",IF(D232&lt;&gt;"",D232,#REF!)+1,"")</f>
        <v/>
      </c>
      <c r="E233" s="73"/>
      <c r="F233" s="73"/>
      <c r="G233" s="122"/>
      <c r="H233" s="104"/>
      <c r="I233" s="73"/>
      <c r="J233" s="73"/>
      <c r="K233" s="202"/>
      <c r="L233" s="75" t="str">
        <f t="shared" si="23"/>
        <v/>
      </c>
      <c r="M233" s="75"/>
      <c r="N233" s="75" t="str">
        <f t="shared" si="24"/>
        <v/>
      </c>
      <c r="O233" s="204" t="str">
        <f t="shared" si="25"/>
        <v/>
      </c>
      <c r="P233" s="8"/>
      <c r="Q233" s="8"/>
      <c r="R233" s="8"/>
      <c r="S233" s="8"/>
    </row>
    <row r="234" spans="1:19" x14ac:dyDescent="0.25">
      <c r="A234" s="197">
        <f t="shared" si="21"/>
        <v>66</v>
      </c>
      <c r="B234" s="76" t="str">
        <f t="shared" si="22"/>
        <v/>
      </c>
      <c r="C234" s="77" t="str">
        <f>IF(G234&lt;&gt;"",IFERROR(ROUND(VLOOKUP(G234,ProductList!J:AO,32,FALSE),0),""),"")</f>
        <v/>
      </c>
      <c r="D234" s="73" t="str">
        <f>IF(E234&lt;&gt;"",IF(D233&lt;&gt;"",D233,#REF!)+1,"")</f>
        <v/>
      </c>
      <c r="E234" s="73"/>
      <c r="F234" s="73"/>
      <c r="G234" s="122"/>
      <c r="H234" s="104"/>
      <c r="I234" s="73"/>
      <c r="J234" s="73"/>
      <c r="K234" s="202"/>
      <c r="L234" s="75" t="str">
        <f t="shared" si="23"/>
        <v/>
      </c>
      <c r="M234" s="75"/>
      <c r="N234" s="75" t="str">
        <f t="shared" si="24"/>
        <v/>
      </c>
      <c r="O234" s="204" t="str">
        <f t="shared" si="25"/>
        <v/>
      </c>
      <c r="P234" s="8"/>
      <c r="Q234" s="8"/>
      <c r="R234" s="8"/>
      <c r="S234" s="8"/>
    </row>
    <row r="235" spans="1:19" x14ac:dyDescent="0.25">
      <c r="A235" s="197">
        <f t="shared" si="21"/>
        <v>66</v>
      </c>
      <c r="B235" s="76" t="str">
        <f t="shared" si="22"/>
        <v/>
      </c>
      <c r="C235" s="77" t="str">
        <f>IF(G235&lt;&gt;"",IFERROR(ROUND(VLOOKUP(G235,ProductList!J:AO,32,FALSE),0),""),"")</f>
        <v/>
      </c>
      <c r="D235" s="73" t="str">
        <f>IF(E235&lt;&gt;"",IF(D234&lt;&gt;"",D234,#REF!)+1,"")</f>
        <v/>
      </c>
      <c r="E235" s="73"/>
      <c r="F235" s="73"/>
      <c r="G235" s="122"/>
      <c r="H235" s="104"/>
      <c r="I235" s="73"/>
      <c r="J235" s="73"/>
      <c r="K235" s="202"/>
      <c r="L235" s="75" t="str">
        <f t="shared" si="23"/>
        <v/>
      </c>
      <c r="M235" s="75"/>
      <c r="N235" s="75" t="str">
        <f t="shared" si="24"/>
        <v/>
      </c>
      <c r="O235" s="204" t="str">
        <f t="shared" si="25"/>
        <v/>
      </c>
      <c r="P235" s="8"/>
      <c r="Q235" s="8"/>
      <c r="R235" s="8"/>
      <c r="S235" s="8"/>
    </row>
    <row r="236" spans="1:19" x14ac:dyDescent="0.25">
      <c r="A236" s="197">
        <f t="shared" si="21"/>
        <v>66</v>
      </c>
      <c r="B236" s="76" t="str">
        <f t="shared" si="22"/>
        <v/>
      </c>
      <c r="C236" s="77" t="str">
        <f>IF(G236&lt;&gt;"",IFERROR(ROUND(VLOOKUP(G236,ProductList!J:AO,32,FALSE),0),""),"")</f>
        <v/>
      </c>
      <c r="D236" s="73" t="str">
        <f>IF(E236&lt;&gt;"",IF(D235&lt;&gt;"",D235,#REF!)+1,"")</f>
        <v/>
      </c>
      <c r="E236" s="73"/>
      <c r="F236" s="73"/>
      <c r="G236" s="122"/>
      <c r="H236" s="104"/>
      <c r="I236" s="73"/>
      <c r="J236" s="73"/>
      <c r="K236" s="202"/>
      <c r="L236" s="75" t="str">
        <f t="shared" si="23"/>
        <v/>
      </c>
      <c r="M236" s="75"/>
      <c r="N236" s="75" t="str">
        <f t="shared" si="24"/>
        <v/>
      </c>
      <c r="O236" s="204" t="str">
        <f t="shared" si="25"/>
        <v/>
      </c>
      <c r="P236" s="8"/>
      <c r="Q236" s="8"/>
      <c r="R236" s="8"/>
      <c r="S236" s="8"/>
    </row>
    <row r="237" spans="1:19" x14ac:dyDescent="0.25">
      <c r="A237" s="197">
        <f t="shared" si="21"/>
        <v>66</v>
      </c>
      <c r="B237" s="76" t="str">
        <f t="shared" si="22"/>
        <v/>
      </c>
      <c r="C237" s="77" t="str">
        <f>IF(G237&lt;&gt;"",IFERROR(ROUND(VLOOKUP(G237,ProductList!J:AO,32,FALSE),0),""),"")</f>
        <v/>
      </c>
      <c r="D237" s="73" t="str">
        <f>IF(E237&lt;&gt;"",IF(D236&lt;&gt;"",D236,#REF!)+1,"")</f>
        <v/>
      </c>
      <c r="E237" s="73"/>
      <c r="F237" s="73"/>
      <c r="G237" s="122"/>
      <c r="H237" s="104"/>
      <c r="I237" s="73"/>
      <c r="J237" s="73"/>
      <c r="K237" s="202"/>
      <c r="L237" s="75" t="str">
        <f t="shared" si="23"/>
        <v/>
      </c>
      <c r="M237" s="75"/>
      <c r="N237" s="75" t="str">
        <f t="shared" si="24"/>
        <v/>
      </c>
      <c r="O237" s="204" t="str">
        <f t="shared" si="25"/>
        <v/>
      </c>
      <c r="P237" s="8"/>
      <c r="Q237" s="8"/>
      <c r="R237" s="8"/>
      <c r="S237" s="8"/>
    </row>
    <row r="238" spans="1:19" x14ac:dyDescent="0.25">
      <c r="A238" s="197">
        <f t="shared" si="21"/>
        <v>66</v>
      </c>
      <c r="B238" s="76" t="str">
        <f t="shared" si="22"/>
        <v/>
      </c>
      <c r="C238" s="77" t="str">
        <f>IF(G238&lt;&gt;"",IFERROR(ROUND(VLOOKUP(G238,ProductList!J:AO,32,FALSE),0),""),"")</f>
        <v/>
      </c>
      <c r="D238" s="73" t="str">
        <f>IF(E238&lt;&gt;"",IF(D237&lt;&gt;"",D237,#REF!)+1,"")</f>
        <v/>
      </c>
      <c r="E238" s="73"/>
      <c r="F238" s="73"/>
      <c r="G238" s="122"/>
      <c r="H238" s="104"/>
      <c r="I238" s="73"/>
      <c r="J238" s="73"/>
      <c r="K238" s="202"/>
      <c r="L238" s="75" t="str">
        <f t="shared" si="23"/>
        <v/>
      </c>
      <c r="M238" s="75"/>
      <c r="N238" s="75" t="str">
        <f t="shared" si="24"/>
        <v/>
      </c>
      <c r="O238" s="204" t="str">
        <f t="shared" si="25"/>
        <v/>
      </c>
      <c r="P238" s="8"/>
      <c r="Q238" s="8"/>
      <c r="R238" s="8"/>
      <c r="S238" s="8"/>
    </row>
    <row r="239" spans="1:19" x14ac:dyDescent="0.25">
      <c r="A239" s="197">
        <f t="shared" si="21"/>
        <v>66</v>
      </c>
      <c r="B239" s="76" t="str">
        <f t="shared" si="22"/>
        <v/>
      </c>
      <c r="C239" s="77" t="str">
        <f>IF(G239&lt;&gt;"",IFERROR(ROUND(VLOOKUP(G239,ProductList!J:AO,32,FALSE),0),""),"")</f>
        <v/>
      </c>
      <c r="D239" s="73" t="str">
        <f>IF(E239&lt;&gt;"",IF(D238&lt;&gt;"",D238,#REF!)+1,"")</f>
        <v/>
      </c>
      <c r="E239" s="73"/>
      <c r="F239" s="73"/>
      <c r="G239" s="122"/>
      <c r="H239" s="104"/>
      <c r="I239" s="73"/>
      <c r="J239" s="73"/>
      <c r="K239" s="202"/>
      <c r="L239" s="75" t="str">
        <f t="shared" si="23"/>
        <v/>
      </c>
      <c r="M239" s="75"/>
      <c r="N239" s="75" t="str">
        <f t="shared" si="24"/>
        <v/>
      </c>
      <c r="O239" s="204" t="str">
        <f t="shared" si="25"/>
        <v/>
      </c>
      <c r="P239" s="8"/>
      <c r="Q239" s="8"/>
      <c r="R239" s="8"/>
      <c r="S239" s="8"/>
    </row>
    <row r="240" spans="1:19" x14ac:dyDescent="0.25">
      <c r="A240" s="197">
        <f t="shared" si="21"/>
        <v>66</v>
      </c>
      <c r="B240" s="76" t="str">
        <f t="shared" si="22"/>
        <v/>
      </c>
      <c r="C240" s="77" t="str">
        <f>IF(G240&lt;&gt;"",IFERROR(ROUND(VLOOKUP(G240,ProductList!J:AO,32,FALSE),0),""),"")</f>
        <v/>
      </c>
      <c r="D240" s="73" t="str">
        <f>IF(E240&lt;&gt;"",IF(D239&lt;&gt;"",D239,#REF!)+1,"")</f>
        <v/>
      </c>
      <c r="E240" s="73"/>
      <c r="F240" s="73"/>
      <c r="G240" s="122"/>
      <c r="H240" s="104"/>
      <c r="I240" s="73"/>
      <c r="J240" s="73"/>
      <c r="K240" s="202"/>
      <c r="L240" s="75" t="str">
        <f t="shared" si="23"/>
        <v/>
      </c>
      <c r="M240" s="75"/>
      <c r="N240" s="75" t="str">
        <f t="shared" si="24"/>
        <v/>
      </c>
      <c r="O240" s="204" t="str">
        <f t="shared" si="25"/>
        <v/>
      </c>
      <c r="P240" s="8"/>
      <c r="Q240" s="8"/>
      <c r="R240" s="8"/>
      <c r="S240" s="8"/>
    </row>
    <row r="241" spans="1:19" x14ac:dyDescent="0.25">
      <c r="A241" s="197">
        <f t="shared" si="21"/>
        <v>66</v>
      </c>
      <c r="B241" s="76" t="str">
        <f t="shared" si="22"/>
        <v/>
      </c>
      <c r="C241" s="77" t="str">
        <f>IF(G241&lt;&gt;"",IFERROR(ROUND(VLOOKUP(G241,ProductList!J:AO,32,FALSE),0),""),"")</f>
        <v/>
      </c>
      <c r="D241" s="73" t="str">
        <f>IF(E241&lt;&gt;"",IF(D240&lt;&gt;"",D240,#REF!)+1,"")</f>
        <v/>
      </c>
      <c r="E241" s="73"/>
      <c r="F241" s="73"/>
      <c r="G241" s="122"/>
      <c r="H241" s="104"/>
      <c r="I241" s="73"/>
      <c r="J241" s="73"/>
      <c r="K241" s="202"/>
      <c r="L241" s="75" t="str">
        <f t="shared" si="23"/>
        <v/>
      </c>
      <c r="M241" s="75"/>
      <c r="N241" s="75" t="str">
        <f t="shared" si="24"/>
        <v/>
      </c>
      <c r="O241" s="204" t="str">
        <f t="shared" si="25"/>
        <v/>
      </c>
      <c r="P241" s="8"/>
      <c r="Q241" s="8"/>
      <c r="R241" s="8"/>
      <c r="S241" s="8"/>
    </row>
    <row r="242" spans="1:19" x14ac:dyDescent="0.25">
      <c r="A242" s="197">
        <f t="shared" si="21"/>
        <v>66</v>
      </c>
      <c r="B242" s="76" t="str">
        <f t="shared" si="22"/>
        <v/>
      </c>
      <c r="C242" s="77" t="str">
        <f>IF(G242&lt;&gt;"",IFERROR(ROUND(VLOOKUP(G242,ProductList!J:AO,32,FALSE),0),""),"")</f>
        <v/>
      </c>
      <c r="D242" s="73" t="str">
        <f>IF(E242&lt;&gt;"",IF(D241&lt;&gt;"",D241,#REF!)+1,"")</f>
        <v/>
      </c>
      <c r="E242" s="73"/>
      <c r="F242" s="73"/>
      <c r="G242" s="122"/>
      <c r="H242" s="104"/>
      <c r="I242" s="73"/>
      <c r="J242" s="73"/>
      <c r="K242" s="202"/>
      <c r="L242" s="75" t="str">
        <f t="shared" si="23"/>
        <v/>
      </c>
      <c r="M242" s="75"/>
      <c r="N242" s="75" t="str">
        <f t="shared" si="24"/>
        <v/>
      </c>
      <c r="O242" s="204" t="str">
        <f t="shared" si="25"/>
        <v/>
      </c>
      <c r="P242" s="8"/>
      <c r="Q242" s="8"/>
      <c r="R242" s="8"/>
      <c r="S242" s="8"/>
    </row>
    <row r="243" spans="1:19" x14ac:dyDescent="0.25">
      <c r="A243" s="197">
        <f t="shared" si="21"/>
        <v>66</v>
      </c>
      <c r="B243" s="76" t="str">
        <f t="shared" si="22"/>
        <v/>
      </c>
      <c r="C243" s="77" t="str">
        <f>IF(G243&lt;&gt;"",IFERROR(ROUND(VLOOKUP(G243,ProductList!J:AO,32,FALSE),0),""),"")</f>
        <v/>
      </c>
      <c r="D243" s="73" t="str">
        <f>IF(E243&lt;&gt;"",IF(D242&lt;&gt;"",D242,#REF!)+1,"")</f>
        <v/>
      </c>
      <c r="E243" s="73"/>
      <c r="F243" s="73"/>
      <c r="G243" s="122"/>
      <c r="H243" s="104"/>
      <c r="I243" s="73"/>
      <c r="J243" s="73"/>
      <c r="K243" s="202"/>
      <c r="L243" s="75" t="str">
        <f t="shared" si="23"/>
        <v/>
      </c>
      <c r="M243" s="75"/>
      <c r="N243" s="75" t="str">
        <f t="shared" si="24"/>
        <v/>
      </c>
      <c r="O243" s="204" t="str">
        <f t="shared" si="25"/>
        <v/>
      </c>
      <c r="P243" s="8"/>
      <c r="Q243" s="8"/>
      <c r="R243" s="8"/>
      <c r="S243" s="8"/>
    </row>
    <row r="244" spans="1:19" x14ac:dyDescent="0.25">
      <c r="A244" s="197">
        <f t="shared" si="21"/>
        <v>66</v>
      </c>
      <c r="B244" s="76" t="str">
        <f t="shared" si="22"/>
        <v/>
      </c>
      <c r="C244" s="77" t="str">
        <f>IF(G244&lt;&gt;"",IFERROR(ROUND(VLOOKUP(G244,ProductList!J:AO,32,FALSE),0),""),"")</f>
        <v/>
      </c>
      <c r="D244" s="73" t="str">
        <f>IF(E244&lt;&gt;"",IF(D243&lt;&gt;"",D243,#REF!)+1,"")</f>
        <v/>
      </c>
      <c r="E244" s="73"/>
      <c r="F244" s="73"/>
      <c r="G244" s="122"/>
      <c r="H244" s="104"/>
      <c r="I244" s="73"/>
      <c r="J244" s="73"/>
      <c r="K244" s="202"/>
      <c r="L244" s="75" t="str">
        <f t="shared" si="23"/>
        <v/>
      </c>
      <c r="M244" s="75"/>
      <c r="N244" s="75" t="str">
        <f t="shared" si="24"/>
        <v/>
      </c>
      <c r="O244" s="204" t="str">
        <f t="shared" si="25"/>
        <v/>
      </c>
      <c r="P244" s="8"/>
      <c r="Q244" s="8"/>
      <c r="R244" s="8"/>
      <c r="S244" s="8"/>
    </row>
    <row r="245" spans="1:19" x14ac:dyDescent="0.25">
      <c r="A245" s="197">
        <f t="shared" si="21"/>
        <v>66</v>
      </c>
      <c r="B245" s="76" t="str">
        <f t="shared" si="22"/>
        <v/>
      </c>
      <c r="C245" s="77" t="str">
        <f>IF(G245&lt;&gt;"",IFERROR(ROUND(VLOOKUP(G245,ProductList!J:AO,32,FALSE),0),""),"")</f>
        <v/>
      </c>
      <c r="D245" s="73" t="str">
        <f>IF(E245&lt;&gt;"",IF(D244&lt;&gt;"",D244,#REF!)+1,"")</f>
        <v/>
      </c>
      <c r="E245" s="73"/>
      <c r="F245" s="73"/>
      <c r="G245" s="122"/>
      <c r="H245" s="104"/>
      <c r="I245" s="73"/>
      <c r="J245" s="73"/>
      <c r="K245" s="202"/>
      <c r="L245" s="75" t="str">
        <f t="shared" si="23"/>
        <v/>
      </c>
      <c r="M245" s="75"/>
      <c r="N245" s="75" t="str">
        <f t="shared" si="24"/>
        <v/>
      </c>
      <c r="O245" s="204" t="str">
        <f t="shared" si="25"/>
        <v/>
      </c>
      <c r="P245" s="8"/>
      <c r="Q245" s="8"/>
      <c r="R245" s="8"/>
      <c r="S245" s="8"/>
    </row>
    <row r="246" spans="1:19" x14ac:dyDescent="0.25">
      <c r="A246" s="197">
        <f t="shared" si="21"/>
        <v>66</v>
      </c>
      <c r="B246" s="76" t="str">
        <f t="shared" si="22"/>
        <v/>
      </c>
      <c r="C246" s="77" t="str">
        <f>IF(G246&lt;&gt;"",IFERROR(ROUND(VLOOKUP(G246,ProductList!J:AO,32,FALSE),0),""),"")</f>
        <v/>
      </c>
      <c r="D246" s="73" t="str">
        <f>IF(E246&lt;&gt;"",IF(D245&lt;&gt;"",D245,#REF!)+1,"")</f>
        <v/>
      </c>
      <c r="E246" s="73"/>
      <c r="F246" s="73"/>
      <c r="G246" s="122"/>
      <c r="H246" s="104"/>
      <c r="I246" s="73"/>
      <c r="J246" s="73"/>
      <c r="K246" s="202"/>
      <c r="L246" s="75" t="str">
        <f t="shared" si="23"/>
        <v/>
      </c>
      <c r="M246" s="75"/>
      <c r="N246" s="75" t="str">
        <f t="shared" si="24"/>
        <v/>
      </c>
      <c r="O246" s="204" t="str">
        <f t="shared" si="25"/>
        <v/>
      </c>
      <c r="P246" s="8"/>
      <c r="Q246" s="8"/>
      <c r="R246" s="8"/>
      <c r="S246" s="8"/>
    </row>
    <row r="247" spans="1:19" x14ac:dyDescent="0.25">
      <c r="A247" s="197">
        <f t="shared" si="21"/>
        <v>66</v>
      </c>
      <c r="B247" s="76" t="str">
        <f t="shared" si="22"/>
        <v/>
      </c>
      <c r="C247" s="77" t="str">
        <f>IF(G247&lt;&gt;"",IFERROR(ROUND(VLOOKUP(G247,ProductList!J:AO,32,FALSE),0),""),"")</f>
        <v/>
      </c>
      <c r="D247" s="73" t="str">
        <f>IF(E247&lt;&gt;"",IF(D246&lt;&gt;"",D246,#REF!)+1,"")</f>
        <v/>
      </c>
      <c r="E247" s="73"/>
      <c r="F247" s="73"/>
      <c r="G247" s="122"/>
      <c r="H247" s="104"/>
      <c r="I247" s="73"/>
      <c r="J247" s="73"/>
      <c r="K247" s="202"/>
      <c r="L247" s="75" t="str">
        <f t="shared" si="23"/>
        <v/>
      </c>
      <c r="M247" s="75"/>
      <c r="N247" s="75" t="str">
        <f t="shared" si="24"/>
        <v/>
      </c>
      <c r="O247" s="204" t="str">
        <f t="shared" si="25"/>
        <v/>
      </c>
      <c r="P247" s="8"/>
      <c r="Q247" s="8"/>
      <c r="R247" s="8"/>
      <c r="S247" s="8"/>
    </row>
    <row r="248" spans="1:19" x14ac:dyDescent="0.25">
      <c r="A248" s="197">
        <f t="shared" si="21"/>
        <v>66</v>
      </c>
      <c r="B248" s="76" t="str">
        <f t="shared" si="22"/>
        <v/>
      </c>
      <c r="C248" s="77" t="str">
        <f>IF(G248&lt;&gt;"",IFERROR(ROUND(VLOOKUP(G248,ProductList!J:AO,32,FALSE),0),""),"")</f>
        <v/>
      </c>
      <c r="D248" s="73" t="str">
        <f>IF(E248&lt;&gt;"",IF(D247&lt;&gt;"",D247,#REF!)+1,"")</f>
        <v/>
      </c>
      <c r="E248" s="73"/>
      <c r="F248" s="73"/>
      <c r="G248" s="122"/>
      <c r="H248" s="104"/>
      <c r="I248" s="73"/>
      <c r="J248" s="73"/>
      <c r="K248" s="202"/>
      <c r="L248" s="75" t="str">
        <f t="shared" si="23"/>
        <v/>
      </c>
      <c r="M248" s="75"/>
      <c r="N248" s="75" t="str">
        <f t="shared" si="24"/>
        <v/>
      </c>
      <c r="O248" s="204" t="str">
        <f t="shared" si="25"/>
        <v/>
      </c>
      <c r="P248" s="8"/>
      <c r="Q248" s="8"/>
      <c r="R248" s="8"/>
      <c r="S248" s="8"/>
    </row>
    <row r="249" spans="1:19" x14ac:dyDescent="0.25">
      <c r="A249" s="197">
        <f t="shared" si="21"/>
        <v>66</v>
      </c>
      <c r="B249" s="76" t="str">
        <f t="shared" si="22"/>
        <v/>
      </c>
      <c r="C249" s="77" t="str">
        <f>IF(G249&lt;&gt;"",IFERROR(ROUND(VLOOKUP(G249,ProductList!J:AO,32,FALSE),0),""),"")</f>
        <v/>
      </c>
      <c r="D249" s="73" t="str">
        <f>IF(E249&lt;&gt;"",IF(D248&lt;&gt;"",D248,#REF!)+1,"")</f>
        <v/>
      </c>
      <c r="E249" s="73"/>
      <c r="F249" s="73"/>
      <c r="G249" s="122"/>
      <c r="H249" s="104"/>
      <c r="I249" s="73"/>
      <c r="J249" s="73"/>
      <c r="K249" s="202"/>
      <c r="L249" s="75" t="str">
        <f t="shared" si="23"/>
        <v/>
      </c>
      <c r="M249" s="75"/>
      <c r="N249" s="75" t="str">
        <f t="shared" si="24"/>
        <v/>
      </c>
      <c r="O249" s="204" t="str">
        <f t="shared" si="25"/>
        <v/>
      </c>
      <c r="P249" s="8"/>
      <c r="Q249" s="8"/>
      <c r="R249" s="8"/>
      <c r="S249" s="8"/>
    </row>
    <row r="250" spans="1:19" x14ac:dyDescent="0.25">
      <c r="A250" s="197">
        <f t="shared" si="21"/>
        <v>66</v>
      </c>
      <c r="B250" s="76" t="str">
        <f t="shared" si="22"/>
        <v/>
      </c>
      <c r="C250" s="77" t="str">
        <f>IF(G250&lt;&gt;"",IFERROR(ROUND(VLOOKUP(G250,ProductList!J:AO,32,FALSE),0),""),"")</f>
        <v/>
      </c>
      <c r="D250" s="73" t="str">
        <f>IF(E250&lt;&gt;"",IF(D249&lt;&gt;"",D249,#REF!)+1,"")</f>
        <v/>
      </c>
      <c r="E250" s="73"/>
      <c r="F250" s="73"/>
      <c r="G250" s="122"/>
      <c r="H250" s="104"/>
      <c r="I250" s="73"/>
      <c r="J250" s="73"/>
      <c r="K250" s="202"/>
      <c r="L250" s="75" t="str">
        <f t="shared" si="23"/>
        <v/>
      </c>
      <c r="M250" s="75"/>
      <c r="N250" s="75" t="str">
        <f t="shared" si="24"/>
        <v/>
      </c>
      <c r="O250" s="204" t="str">
        <f t="shared" si="25"/>
        <v/>
      </c>
      <c r="P250" s="8"/>
      <c r="Q250" s="8"/>
      <c r="R250" s="8"/>
      <c r="S250" s="8"/>
    </row>
    <row r="251" spans="1:19" x14ac:dyDescent="0.25">
      <c r="A251" s="197">
        <f t="shared" si="21"/>
        <v>66</v>
      </c>
      <c r="B251" s="76" t="str">
        <f t="shared" si="22"/>
        <v/>
      </c>
      <c r="C251" s="77" t="str">
        <f>IF(G251&lt;&gt;"",IFERROR(ROUND(VLOOKUP(G251,ProductList!J:AO,32,FALSE),0),""),"")</f>
        <v/>
      </c>
      <c r="D251" s="73" t="str">
        <f>IF(E251&lt;&gt;"",IF(D250&lt;&gt;"",D250,#REF!)+1,"")</f>
        <v/>
      </c>
      <c r="E251" s="73"/>
      <c r="F251" s="73"/>
      <c r="G251" s="122"/>
      <c r="H251" s="104"/>
      <c r="I251" s="73"/>
      <c r="J251" s="73"/>
      <c r="K251" s="202"/>
      <c r="L251" s="75" t="str">
        <f t="shared" si="23"/>
        <v/>
      </c>
      <c r="M251" s="75"/>
      <c r="N251" s="75" t="str">
        <f t="shared" si="24"/>
        <v/>
      </c>
      <c r="O251" s="204" t="str">
        <f t="shared" si="25"/>
        <v/>
      </c>
      <c r="P251" s="8"/>
      <c r="Q251" s="8"/>
      <c r="R251" s="8"/>
      <c r="S251" s="8"/>
    </row>
    <row r="252" spans="1:19" x14ac:dyDescent="0.25">
      <c r="A252" s="197">
        <f t="shared" si="21"/>
        <v>66</v>
      </c>
      <c r="B252" s="76" t="str">
        <f t="shared" si="22"/>
        <v/>
      </c>
      <c r="C252" s="77" t="str">
        <f>IF(G252&lt;&gt;"",IFERROR(ROUND(VLOOKUP(G252,ProductList!J:AO,32,FALSE),0),""),"")</f>
        <v/>
      </c>
      <c r="D252" s="73" t="str">
        <f>IF(E252&lt;&gt;"",IF(D251&lt;&gt;"",D251,#REF!)+1,"")</f>
        <v/>
      </c>
      <c r="E252" s="73"/>
      <c r="F252" s="73"/>
      <c r="G252" s="122"/>
      <c r="H252" s="104"/>
      <c r="I252" s="73"/>
      <c r="J252" s="73"/>
      <c r="K252" s="202"/>
      <c r="L252" s="75" t="str">
        <f t="shared" si="23"/>
        <v/>
      </c>
      <c r="M252" s="75"/>
      <c r="N252" s="75" t="str">
        <f t="shared" si="24"/>
        <v/>
      </c>
      <c r="O252" s="204" t="str">
        <f t="shared" si="25"/>
        <v/>
      </c>
      <c r="P252" s="8"/>
      <c r="Q252" s="8"/>
      <c r="R252" s="8"/>
      <c r="S252" s="8"/>
    </row>
    <row r="253" spans="1:19" x14ac:dyDescent="0.25">
      <c r="A253" s="197">
        <f t="shared" si="21"/>
        <v>66</v>
      </c>
      <c r="B253" s="76" t="str">
        <f t="shared" si="22"/>
        <v/>
      </c>
      <c r="C253" s="77" t="str">
        <f>IF(G253&lt;&gt;"",IFERROR(ROUND(VLOOKUP(G253,ProductList!J:AO,32,FALSE),0),""),"")</f>
        <v/>
      </c>
      <c r="D253" s="73" t="str">
        <f>IF(E253&lt;&gt;"",IF(D252&lt;&gt;"",D252,#REF!)+1,"")</f>
        <v/>
      </c>
      <c r="E253" s="73"/>
      <c r="F253" s="73"/>
      <c r="G253" s="122"/>
      <c r="H253" s="104"/>
      <c r="I253" s="73"/>
      <c r="J253" s="73"/>
      <c r="K253" s="202"/>
      <c r="L253" s="75" t="str">
        <f t="shared" si="23"/>
        <v/>
      </c>
      <c r="M253" s="75"/>
      <c r="N253" s="75" t="str">
        <f t="shared" si="24"/>
        <v/>
      </c>
      <c r="O253" s="204" t="str">
        <f t="shared" si="25"/>
        <v/>
      </c>
      <c r="P253" s="8"/>
      <c r="Q253" s="8"/>
      <c r="R253" s="8"/>
      <c r="S253" s="8"/>
    </row>
    <row r="254" spans="1:19" x14ac:dyDescent="0.25">
      <c r="A254" s="197">
        <f t="shared" si="21"/>
        <v>66</v>
      </c>
      <c r="B254" s="76" t="str">
        <f t="shared" si="22"/>
        <v/>
      </c>
      <c r="C254" s="77" t="str">
        <f>IF(G254&lt;&gt;"",IFERROR(ROUND(VLOOKUP(G254,ProductList!J:AO,32,FALSE),0),""),"")</f>
        <v/>
      </c>
      <c r="D254" s="73" t="str">
        <f>IF(E254&lt;&gt;"",IF(D253&lt;&gt;"",D253,#REF!)+1,"")</f>
        <v/>
      </c>
      <c r="E254" s="73"/>
      <c r="F254" s="73"/>
      <c r="G254" s="122"/>
      <c r="H254" s="104"/>
      <c r="I254" s="73"/>
      <c r="J254" s="73"/>
      <c r="K254" s="202"/>
      <c r="L254" s="75" t="str">
        <f t="shared" si="23"/>
        <v/>
      </c>
      <c r="M254" s="75"/>
      <c r="N254" s="75" t="str">
        <f t="shared" si="24"/>
        <v/>
      </c>
      <c r="O254" s="204" t="str">
        <f t="shared" si="25"/>
        <v/>
      </c>
      <c r="P254" s="8"/>
      <c r="Q254" s="8"/>
      <c r="R254" s="8"/>
      <c r="S254" s="8"/>
    </row>
    <row r="255" spans="1:19" x14ac:dyDescent="0.25">
      <c r="A255" s="197">
        <f t="shared" si="21"/>
        <v>66</v>
      </c>
      <c r="B255" s="76" t="str">
        <f t="shared" si="22"/>
        <v/>
      </c>
      <c r="C255" s="77" t="str">
        <f>IF(G255&lt;&gt;"",IFERROR(ROUND(VLOOKUP(G255,ProductList!J:AO,32,FALSE),0),""),"")</f>
        <v/>
      </c>
      <c r="D255" s="73" t="str">
        <f>IF(E255&lt;&gt;"",IF(D254&lt;&gt;"",D254,#REF!)+1,"")</f>
        <v/>
      </c>
      <c r="E255" s="73"/>
      <c r="F255" s="73"/>
      <c r="G255" s="122"/>
      <c r="H255" s="104"/>
      <c r="I255" s="73"/>
      <c r="J255" s="73"/>
      <c r="K255" s="202"/>
      <c r="L255" s="75" t="str">
        <f t="shared" si="23"/>
        <v/>
      </c>
      <c r="M255" s="75"/>
      <c r="N255" s="75" t="str">
        <f t="shared" si="24"/>
        <v/>
      </c>
      <c r="O255" s="204" t="str">
        <f t="shared" si="25"/>
        <v/>
      </c>
      <c r="P255" s="8"/>
      <c r="Q255" s="8"/>
      <c r="R255" s="8"/>
      <c r="S255" s="8"/>
    </row>
    <row r="256" spans="1:19" x14ac:dyDescent="0.25">
      <c r="A256" s="197">
        <f t="shared" si="21"/>
        <v>66</v>
      </c>
      <c r="B256" s="76" t="str">
        <f t="shared" si="22"/>
        <v/>
      </c>
      <c r="C256" s="77" t="str">
        <f>IF(G256&lt;&gt;"",IFERROR(ROUND(VLOOKUP(G256,ProductList!J:AO,32,FALSE),0),""),"")</f>
        <v/>
      </c>
      <c r="D256" s="73" t="str">
        <f>IF(E256&lt;&gt;"",IF(D255&lt;&gt;"",D255,#REF!)+1,"")</f>
        <v/>
      </c>
      <c r="E256" s="73"/>
      <c r="F256" s="73"/>
      <c r="G256" s="122"/>
      <c r="H256" s="104"/>
      <c r="I256" s="73"/>
      <c r="J256" s="73"/>
      <c r="K256" s="202"/>
      <c r="L256" s="75" t="str">
        <f t="shared" si="23"/>
        <v/>
      </c>
      <c r="M256" s="75"/>
      <c r="N256" s="75" t="str">
        <f t="shared" si="24"/>
        <v/>
      </c>
      <c r="O256" s="204" t="str">
        <f t="shared" si="25"/>
        <v/>
      </c>
      <c r="P256" s="8"/>
      <c r="Q256" s="8"/>
      <c r="R256" s="8"/>
      <c r="S256" s="8"/>
    </row>
    <row r="257" spans="1:19" x14ac:dyDescent="0.25">
      <c r="A257" s="197">
        <f t="shared" si="21"/>
        <v>66</v>
      </c>
      <c r="B257" s="76" t="str">
        <f t="shared" si="22"/>
        <v/>
      </c>
      <c r="C257" s="77" t="str">
        <f>IF(G257&lt;&gt;"",IFERROR(ROUND(VLOOKUP(G257,ProductList!J:AO,32,FALSE),0),""),"")</f>
        <v/>
      </c>
      <c r="D257" s="73" t="str">
        <f>IF(E257&lt;&gt;"",IF(D256&lt;&gt;"",D256,#REF!)+1,"")</f>
        <v/>
      </c>
      <c r="E257" s="73"/>
      <c r="F257" s="73"/>
      <c r="G257" s="122"/>
      <c r="H257" s="104"/>
      <c r="I257" s="73"/>
      <c r="J257" s="73"/>
      <c r="K257" s="202"/>
      <c r="L257" s="75" t="str">
        <f t="shared" si="23"/>
        <v/>
      </c>
      <c r="M257" s="75"/>
      <c r="N257" s="75" t="str">
        <f t="shared" si="24"/>
        <v/>
      </c>
      <c r="O257" s="204" t="str">
        <f t="shared" si="25"/>
        <v/>
      </c>
      <c r="P257" s="8"/>
      <c r="Q257" s="8"/>
      <c r="R257" s="8"/>
      <c r="S257" s="8"/>
    </row>
    <row r="258" spans="1:19" x14ac:dyDescent="0.25">
      <c r="A258" s="197">
        <f t="shared" si="21"/>
        <v>66</v>
      </c>
      <c r="B258" s="76" t="str">
        <f t="shared" si="22"/>
        <v/>
      </c>
      <c r="C258" s="77" t="str">
        <f>IF(G258&lt;&gt;"",IFERROR(ROUND(VLOOKUP(G258,ProductList!J:AO,32,FALSE),0),""),"")</f>
        <v/>
      </c>
      <c r="D258" s="73" t="str">
        <f>IF(E258&lt;&gt;"",IF(D257&lt;&gt;"",D257,#REF!)+1,"")</f>
        <v/>
      </c>
      <c r="E258" s="73"/>
      <c r="F258" s="73"/>
      <c r="G258" s="122"/>
      <c r="H258" s="104"/>
      <c r="I258" s="73"/>
      <c r="J258" s="73"/>
      <c r="K258" s="202"/>
      <c r="L258" s="75" t="str">
        <f t="shared" si="23"/>
        <v/>
      </c>
      <c r="M258" s="75"/>
      <c r="N258" s="75" t="str">
        <f t="shared" si="24"/>
        <v/>
      </c>
      <c r="O258" s="204" t="str">
        <f t="shared" si="25"/>
        <v/>
      </c>
      <c r="P258" s="8"/>
      <c r="Q258" s="8"/>
      <c r="R258" s="8"/>
      <c r="S258" s="8"/>
    </row>
    <row r="259" spans="1:19" x14ac:dyDescent="0.25">
      <c r="A259" s="197">
        <f t="shared" si="21"/>
        <v>66</v>
      </c>
      <c r="B259" s="76" t="str">
        <f t="shared" si="22"/>
        <v/>
      </c>
      <c r="C259" s="77" t="str">
        <f>IF(G259&lt;&gt;"",IFERROR(ROUND(VLOOKUP(G259,ProductList!J:AO,32,FALSE),0),""),"")</f>
        <v/>
      </c>
      <c r="D259" s="73" t="str">
        <f>IF(E259&lt;&gt;"",IF(D258&lt;&gt;"",D258,#REF!)+1,"")</f>
        <v/>
      </c>
      <c r="E259" s="73"/>
      <c r="F259" s="73"/>
      <c r="G259" s="122"/>
      <c r="H259" s="104"/>
      <c r="I259" s="73"/>
      <c r="J259" s="73"/>
      <c r="K259" s="202"/>
      <c r="L259" s="75" t="str">
        <f t="shared" si="23"/>
        <v/>
      </c>
      <c r="M259" s="75"/>
      <c r="N259" s="75" t="str">
        <f t="shared" si="24"/>
        <v/>
      </c>
      <c r="O259" s="204" t="str">
        <f t="shared" si="25"/>
        <v/>
      </c>
      <c r="P259" s="8"/>
      <c r="Q259" s="8"/>
      <c r="R259" s="8"/>
      <c r="S259" s="8"/>
    </row>
    <row r="260" spans="1:19" x14ac:dyDescent="0.25">
      <c r="A260" s="197">
        <f t="shared" si="21"/>
        <v>66</v>
      </c>
      <c r="B260" s="76" t="str">
        <f t="shared" si="22"/>
        <v/>
      </c>
      <c r="C260" s="77" t="str">
        <f>IF(G260&lt;&gt;"",IFERROR(ROUND(VLOOKUP(G260,ProductList!J:AO,32,FALSE),0),""),"")</f>
        <v/>
      </c>
      <c r="D260" s="73" t="str">
        <f>IF(E260&lt;&gt;"",IF(D259&lt;&gt;"",D259,#REF!)+1,"")</f>
        <v/>
      </c>
      <c r="E260" s="73"/>
      <c r="F260" s="73"/>
      <c r="G260" s="122"/>
      <c r="H260" s="104"/>
      <c r="I260" s="73"/>
      <c r="J260" s="73"/>
      <c r="K260" s="202"/>
      <c r="L260" s="75" t="str">
        <f t="shared" si="23"/>
        <v/>
      </c>
      <c r="M260" s="75"/>
      <c r="N260" s="75" t="str">
        <f t="shared" si="24"/>
        <v/>
      </c>
      <c r="O260" s="204" t="str">
        <f t="shared" si="25"/>
        <v/>
      </c>
      <c r="P260" s="8"/>
      <c r="Q260" s="8"/>
      <c r="R260" s="8"/>
      <c r="S260" s="8"/>
    </row>
    <row r="261" spans="1:19" x14ac:dyDescent="0.25">
      <c r="A261" s="197">
        <f t="shared" ref="A261:A324" si="26">IF(AND(E261&lt;&gt;""),IF(A260&lt;&gt;"",A260,0)+1,A260)</f>
        <v>66</v>
      </c>
      <c r="B261" s="76" t="str">
        <f t="shared" si="22"/>
        <v/>
      </c>
      <c r="C261" s="77" t="str">
        <f>IF(G261&lt;&gt;"",IFERROR(ROUND(VLOOKUP(G261,ProductList!J:AO,32,FALSE),0),""),"")</f>
        <v/>
      </c>
      <c r="D261" s="73" t="str">
        <f>IF(E261&lt;&gt;"",IF(D260&lt;&gt;"",D260,#REF!)+1,"")</f>
        <v/>
      </c>
      <c r="E261" s="73"/>
      <c r="F261" s="73"/>
      <c r="G261" s="122"/>
      <c r="H261" s="104"/>
      <c r="I261" s="73"/>
      <c r="J261" s="73"/>
      <c r="K261" s="202"/>
      <c r="L261" s="75" t="str">
        <f t="shared" si="23"/>
        <v/>
      </c>
      <c r="M261" s="75"/>
      <c r="N261" s="75" t="str">
        <f t="shared" si="24"/>
        <v/>
      </c>
      <c r="O261" s="204" t="str">
        <f t="shared" si="25"/>
        <v/>
      </c>
      <c r="P261" s="8"/>
      <c r="Q261" s="8"/>
      <c r="R261" s="8"/>
      <c r="S261" s="8"/>
    </row>
    <row r="262" spans="1:19" x14ac:dyDescent="0.25">
      <c r="A262" s="197">
        <f t="shared" si="26"/>
        <v>66</v>
      </c>
      <c r="B262" s="76" t="str">
        <f t="shared" ref="B262:B325" si="27">IF(AND(L262&lt;&gt;"",F262&lt;&gt;""),ROUND((((L262-F262)*100)/F262),2),"")</f>
        <v/>
      </c>
      <c r="C262" s="77" t="str">
        <f>IF(G262&lt;&gt;"",IFERROR(ROUND(VLOOKUP(G262,ProductList!J:AO,32,FALSE),0),""),"")</f>
        <v/>
      </c>
      <c r="D262" s="73" t="str">
        <f>IF(E262&lt;&gt;"",IF(D261&lt;&gt;"",D261,#REF!)+1,"")</f>
        <v/>
      </c>
      <c r="E262" s="73"/>
      <c r="F262" s="73"/>
      <c r="G262" s="122"/>
      <c r="H262" s="104"/>
      <c r="I262" s="73"/>
      <c r="J262" s="73"/>
      <c r="K262" s="202"/>
      <c r="L262" s="75" t="str">
        <f t="shared" ref="L262:L325" si="28">IF(AND(J262&lt;&gt;"",K262&lt;&gt;""),K262*J262,"")</f>
        <v/>
      </c>
      <c r="M262" s="75"/>
      <c r="N262" s="75" t="str">
        <f t="shared" ref="N262:N325" si="29">IF(AND(M262&lt;&gt;"",J262&lt;&gt;""),M262*J262,"")</f>
        <v/>
      </c>
      <c r="O262" s="204" t="str">
        <f t="shared" si="25"/>
        <v/>
      </c>
      <c r="P262" s="8"/>
      <c r="Q262" s="8"/>
      <c r="R262" s="8"/>
      <c r="S262" s="8"/>
    </row>
    <row r="263" spans="1:19" x14ac:dyDescent="0.25">
      <c r="A263" s="197">
        <f t="shared" si="26"/>
        <v>66</v>
      </c>
      <c r="B263" s="76" t="str">
        <f t="shared" si="27"/>
        <v/>
      </c>
      <c r="C263" s="77" t="str">
        <f>IF(G263&lt;&gt;"",IFERROR(ROUND(VLOOKUP(G263,ProductList!J:AO,32,FALSE),0),""),"")</f>
        <v/>
      </c>
      <c r="D263" s="73" t="str">
        <f>IF(E263&lt;&gt;"",IF(D262&lt;&gt;"",D262,#REF!)+1,"")</f>
        <v/>
      </c>
      <c r="E263" s="73"/>
      <c r="F263" s="73"/>
      <c r="G263" s="122"/>
      <c r="H263" s="104"/>
      <c r="I263" s="73"/>
      <c r="J263" s="73"/>
      <c r="K263" s="202"/>
      <c r="L263" s="75" t="str">
        <f t="shared" si="28"/>
        <v/>
      </c>
      <c r="M263" s="75"/>
      <c r="N263" s="75" t="str">
        <f t="shared" si="29"/>
        <v/>
      </c>
      <c r="O263" s="204" t="str">
        <f t="shared" si="25"/>
        <v/>
      </c>
      <c r="P263" s="8"/>
      <c r="Q263" s="8"/>
      <c r="R263" s="8"/>
      <c r="S263" s="8"/>
    </row>
    <row r="264" spans="1:19" x14ac:dyDescent="0.25">
      <c r="A264" s="197">
        <f t="shared" si="26"/>
        <v>66</v>
      </c>
      <c r="B264" s="76" t="str">
        <f t="shared" si="27"/>
        <v/>
      </c>
      <c r="C264" s="77" t="str">
        <f>IF(G264&lt;&gt;"",IFERROR(ROUND(VLOOKUP(G264,ProductList!J:AO,32,FALSE),0),""),"")</f>
        <v/>
      </c>
      <c r="D264" s="73" t="str">
        <f>IF(E264&lt;&gt;"",IF(D263&lt;&gt;"",D263,#REF!)+1,"")</f>
        <v/>
      </c>
      <c r="E264" s="73"/>
      <c r="F264" s="73"/>
      <c r="G264" s="122"/>
      <c r="H264" s="104"/>
      <c r="I264" s="73"/>
      <c r="J264" s="73"/>
      <c r="K264" s="202"/>
      <c r="L264" s="75" t="str">
        <f t="shared" si="28"/>
        <v/>
      </c>
      <c r="M264" s="75"/>
      <c r="N264" s="75" t="str">
        <f t="shared" si="29"/>
        <v/>
      </c>
      <c r="O264" s="204" t="str">
        <f t="shared" si="25"/>
        <v/>
      </c>
      <c r="P264" s="8"/>
      <c r="Q264" s="8"/>
      <c r="R264" s="8"/>
      <c r="S264" s="8"/>
    </row>
    <row r="265" spans="1:19" x14ac:dyDescent="0.25">
      <c r="A265" s="197">
        <f t="shared" si="26"/>
        <v>66</v>
      </c>
      <c r="B265" s="76" t="str">
        <f t="shared" si="27"/>
        <v/>
      </c>
      <c r="C265" s="77" t="str">
        <f>IF(G265&lt;&gt;"",IFERROR(ROUND(VLOOKUP(G265,ProductList!J:AO,32,FALSE),0),""),"")</f>
        <v/>
      </c>
      <c r="D265" s="73" t="str">
        <f>IF(E265&lt;&gt;"",IF(D264&lt;&gt;"",D264,#REF!)+1,"")</f>
        <v/>
      </c>
      <c r="E265" s="73"/>
      <c r="F265" s="73"/>
      <c r="G265" s="122"/>
      <c r="H265" s="104"/>
      <c r="I265" s="73"/>
      <c r="J265" s="73"/>
      <c r="K265" s="202"/>
      <c r="L265" s="75" t="str">
        <f t="shared" si="28"/>
        <v/>
      </c>
      <c r="M265" s="75"/>
      <c r="N265" s="75" t="str">
        <f t="shared" si="29"/>
        <v/>
      </c>
      <c r="O265" s="204" t="str">
        <f t="shared" si="25"/>
        <v/>
      </c>
      <c r="P265" s="8"/>
      <c r="Q265" s="8"/>
      <c r="R265" s="8"/>
      <c r="S265" s="8"/>
    </row>
    <row r="266" spans="1:19" x14ac:dyDescent="0.25">
      <c r="A266" s="197">
        <f t="shared" si="26"/>
        <v>66</v>
      </c>
      <c r="B266" s="76" t="str">
        <f t="shared" si="27"/>
        <v/>
      </c>
      <c r="C266" s="77" t="str">
        <f>IF(G266&lt;&gt;"",IFERROR(ROUND(VLOOKUP(G266,ProductList!J:AO,32,FALSE),0),""),"")</f>
        <v/>
      </c>
      <c r="D266" s="73" t="str">
        <f>IF(E266&lt;&gt;"",IF(D265&lt;&gt;"",D265,#REF!)+1,"")</f>
        <v/>
      </c>
      <c r="E266" s="73"/>
      <c r="F266" s="73"/>
      <c r="G266" s="122"/>
      <c r="H266" s="104"/>
      <c r="I266" s="73"/>
      <c r="J266" s="73"/>
      <c r="K266" s="202"/>
      <c r="L266" s="75" t="str">
        <f t="shared" si="28"/>
        <v/>
      </c>
      <c r="M266" s="75"/>
      <c r="N266" s="75" t="str">
        <f t="shared" si="29"/>
        <v/>
      </c>
      <c r="O266" s="204" t="str">
        <f t="shared" si="25"/>
        <v/>
      </c>
      <c r="P266" s="8"/>
      <c r="Q266" s="8"/>
      <c r="R266" s="8"/>
      <c r="S266" s="8"/>
    </row>
    <row r="267" spans="1:19" x14ac:dyDescent="0.25">
      <c r="A267" s="197">
        <f t="shared" si="26"/>
        <v>66</v>
      </c>
      <c r="B267" s="76" t="str">
        <f t="shared" si="27"/>
        <v/>
      </c>
      <c r="C267" s="77" t="str">
        <f>IF(G267&lt;&gt;"",IFERROR(ROUND(VLOOKUP(G267,ProductList!J:AO,32,FALSE),0),""),"")</f>
        <v/>
      </c>
      <c r="D267" s="73" t="str">
        <f>IF(E267&lt;&gt;"",IF(D266&lt;&gt;"",D266,#REF!)+1,"")</f>
        <v/>
      </c>
      <c r="E267" s="73"/>
      <c r="F267" s="73"/>
      <c r="G267" s="122"/>
      <c r="H267" s="104"/>
      <c r="I267" s="73"/>
      <c r="J267" s="73"/>
      <c r="K267" s="202"/>
      <c r="L267" s="75" t="str">
        <f t="shared" si="28"/>
        <v/>
      </c>
      <c r="M267" s="75"/>
      <c r="N267" s="75" t="str">
        <f t="shared" si="29"/>
        <v/>
      </c>
      <c r="O267" s="204" t="str">
        <f t="shared" si="25"/>
        <v/>
      </c>
      <c r="P267" s="8"/>
      <c r="Q267" s="8"/>
      <c r="R267" s="8"/>
      <c r="S267" s="8"/>
    </row>
    <row r="268" spans="1:19" x14ac:dyDescent="0.25">
      <c r="A268" s="197">
        <f t="shared" si="26"/>
        <v>66</v>
      </c>
      <c r="B268" s="76" t="str">
        <f t="shared" si="27"/>
        <v/>
      </c>
      <c r="C268" s="77" t="str">
        <f>IF(G268&lt;&gt;"",IFERROR(ROUND(VLOOKUP(G268,ProductList!J:AO,32,FALSE),0),""),"")</f>
        <v/>
      </c>
      <c r="D268" s="73" t="str">
        <f>IF(E268&lt;&gt;"",IF(D267&lt;&gt;"",D267,#REF!)+1,"")</f>
        <v/>
      </c>
      <c r="E268" s="73"/>
      <c r="F268" s="73"/>
      <c r="G268" s="122"/>
      <c r="H268" s="104"/>
      <c r="I268" s="73"/>
      <c r="J268" s="73"/>
      <c r="K268" s="202"/>
      <c r="L268" s="75" t="str">
        <f t="shared" si="28"/>
        <v/>
      </c>
      <c r="M268" s="75"/>
      <c r="N268" s="75" t="str">
        <f t="shared" si="29"/>
        <v/>
      </c>
      <c r="O268" s="204" t="str">
        <f t="shared" si="25"/>
        <v/>
      </c>
      <c r="P268" s="8"/>
      <c r="Q268" s="8"/>
      <c r="R268" s="8"/>
      <c r="S268" s="8"/>
    </row>
    <row r="269" spans="1:19" x14ac:dyDescent="0.25">
      <c r="A269" s="197">
        <f t="shared" si="26"/>
        <v>66</v>
      </c>
      <c r="B269" s="76" t="str">
        <f t="shared" si="27"/>
        <v/>
      </c>
      <c r="C269" s="77" t="str">
        <f>IF(G269&lt;&gt;"",IFERROR(ROUND(VLOOKUP(G269,ProductList!J:AO,32,FALSE),0),""),"")</f>
        <v/>
      </c>
      <c r="D269" s="73" t="str">
        <f>IF(E269&lt;&gt;"",IF(D268&lt;&gt;"",D268,#REF!)+1,"")</f>
        <v/>
      </c>
      <c r="E269" s="73"/>
      <c r="F269" s="73"/>
      <c r="G269" s="122"/>
      <c r="H269" s="104"/>
      <c r="I269" s="73"/>
      <c r="J269" s="73"/>
      <c r="K269" s="202"/>
      <c r="L269" s="75" t="str">
        <f t="shared" si="28"/>
        <v/>
      </c>
      <c r="M269" s="75"/>
      <c r="N269" s="75" t="str">
        <f t="shared" si="29"/>
        <v/>
      </c>
      <c r="O269" s="204" t="str">
        <f t="shared" si="25"/>
        <v/>
      </c>
      <c r="P269" s="8"/>
      <c r="Q269" s="8"/>
      <c r="R269" s="8"/>
      <c r="S269" s="8"/>
    </row>
    <row r="270" spans="1:19" x14ac:dyDescent="0.25">
      <c r="A270" s="197">
        <f t="shared" si="26"/>
        <v>66</v>
      </c>
      <c r="B270" s="76" t="str">
        <f t="shared" si="27"/>
        <v/>
      </c>
      <c r="C270" s="77" t="str">
        <f>IF(G270&lt;&gt;"",IFERROR(ROUND(VLOOKUP(G270,ProductList!J:AO,32,FALSE),0),""),"")</f>
        <v/>
      </c>
      <c r="D270" s="73" t="str">
        <f>IF(E270&lt;&gt;"",IF(D269&lt;&gt;"",D269,#REF!)+1,"")</f>
        <v/>
      </c>
      <c r="E270" s="73"/>
      <c r="F270" s="73"/>
      <c r="G270" s="122"/>
      <c r="H270" s="104"/>
      <c r="I270" s="73"/>
      <c r="J270" s="73"/>
      <c r="K270" s="202"/>
      <c r="L270" s="75" t="str">
        <f t="shared" si="28"/>
        <v/>
      </c>
      <c r="M270" s="75"/>
      <c r="N270" s="75" t="str">
        <f t="shared" si="29"/>
        <v/>
      </c>
      <c r="O270" s="204" t="str">
        <f t="shared" ref="O270:O333" si="30">IF(AND(K270&lt;&gt;"",M270&lt;&gt;""),K270-M270,IF(K270&lt;&gt;"",K270,""))</f>
        <v/>
      </c>
      <c r="P270" s="8"/>
      <c r="Q270" s="8"/>
      <c r="R270" s="8"/>
      <c r="S270" s="8"/>
    </row>
    <row r="271" spans="1:19" x14ac:dyDescent="0.25">
      <c r="A271" s="197">
        <f t="shared" si="26"/>
        <v>66</v>
      </c>
      <c r="B271" s="76" t="str">
        <f t="shared" si="27"/>
        <v/>
      </c>
      <c r="C271" s="77" t="str">
        <f>IF(G271&lt;&gt;"",IFERROR(ROUND(VLOOKUP(G271,ProductList!J:AO,32,FALSE),0),""),"")</f>
        <v/>
      </c>
      <c r="D271" s="73" t="str">
        <f>IF(E271&lt;&gt;"",IF(D270&lt;&gt;"",D270,#REF!)+1,"")</f>
        <v/>
      </c>
      <c r="E271" s="73"/>
      <c r="F271" s="73"/>
      <c r="G271" s="122"/>
      <c r="H271" s="104"/>
      <c r="I271" s="73"/>
      <c r="J271" s="73"/>
      <c r="K271" s="202"/>
      <c r="L271" s="75" t="str">
        <f t="shared" si="28"/>
        <v/>
      </c>
      <c r="M271" s="75"/>
      <c r="N271" s="75" t="str">
        <f t="shared" si="29"/>
        <v/>
      </c>
      <c r="O271" s="204" t="str">
        <f t="shared" si="30"/>
        <v/>
      </c>
      <c r="P271" s="8"/>
      <c r="Q271" s="8"/>
      <c r="R271" s="8"/>
      <c r="S271" s="8"/>
    </row>
    <row r="272" spans="1:19" x14ac:dyDescent="0.25">
      <c r="A272" s="197">
        <f t="shared" si="26"/>
        <v>66</v>
      </c>
      <c r="B272" s="76" t="str">
        <f t="shared" si="27"/>
        <v/>
      </c>
      <c r="C272" s="77" t="str">
        <f>IF(G272&lt;&gt;"",IFERROR(ROUND(VLOOKUP(G272,ProductList!J:AO,32,FALSE),0),""),"")</f>
        <v/>
      </c>
      <c r="D272" s="73" t="str">
        <f>IF(E272&lt;&gt;"",IF(D271&lt;&gt;"",D271,#REF!)+1,"")</f>
        <v/>
      </c>
      <c r="E272" s="73"/>
      <c r="F272" s="73"/>
      <c r="G272" s="122"/>
      <c r="H272" s="104"/>
      <c r="I272" s="73"/>
      <c r="J272" s="73"/>
      <c r="K272" s="202"/>
      <c r="L272" s="75" t="str">
        <f t="shared" si="28"/>
        <v/>
      </c>
      <c r="M272" s="75"/>
      <c r="N272" s="75" t="str">
        <f t="shared" si="29"/>
        <v/>
      </c>
      <c r="O272" s="204" t="str">
        <f t="shared" si="30"/>
        <v/>
      </c>
      <c r="P272" s="8"/>
      <c r="Q272" s="8"/>
      <c r="R272" s="8"/>
      <c r="S272" s="8"/>
    </row>
    <row r="273" spans="1:19" x14ac:dyDescent="0.25">
      <c r="A273" s="197">
        <f t="shared" si="26"/>
        <v>66</v>
      </c>
      <c r="B273" s="76" t="str">
        <f t="shared" si="27"/>
        <v/>
      </c>
      <c r="C273" s="77" t="str">
        <f>IF(G273&lt;&gt;"",IFERROR(ROUND(VLOOKUP(G273,ProductList!J:AO,32,FALSE),0),""),"")</f>
        <v/>
      </c>
      <c r="D273" s="73" t="str">
        <f>IF(E273&lt;&gt;"",IF(D272&lt;&gt;"",D272,#REF!)+1,"")</f>
        <v/>
      </c>
      <c r="E273" s="73"/>
      <c r="F273" s="73"/>
      <c r="G273" s="122"/>
      <c r="H273" s="104"/>
      <c r="I273" s="73"/>
      <c r="J273" s="73"/>
      <c r="K273" s="202"/>
      <c r="L273" s="75" t="str">
        <f t="shared" si="28"/>
        <v/>
      </c>
      <c r="M273" s="75"/>
      <c r="N273" s="75" t="str">
        <f t="shared" si="29"/>
        <v/>
      </c>
      <c r="O273" s="204" t="str">
        <f t="shared" si="30"/>
        <v/>
      </c>
      <c r="P273" s="8"/>
      <c r="Q273" s="8"/>
      <c r="R273" s="8"/>
      <c r="S273" s="8"/>
    </row>
    <row r="274" spans="1:19" x14ac:dyDescent="0.25">
      <c r="A274" s="197">
        <f t="shared" si="26"/>
        <v>66</v>
      </c>
      <c r="B274" s="76" t="str">
        <f t="shared" si="27"/>
        <v/>
      </c>
      <c r="C274" s="77" t="str">
        <f>IF(G274&lt;&gt;"",IFERROR(ROUND(VLOOKUP(G274,ProductList!J:AO,32,FALSE),0),""),"")</f>
        <v/>
      </c>
      <c r="D274" s="73" t="str">
        <f>IF(E274&lt;&gt;"",IF(D273&lt;&gt;"",D273,#REF!)+1,"")</f>
        <v/>
      </c>
      <c r="E274" s="73"/>
      <c r="F274" s="73"/>
      <c r="G274" s="122"/>
      <c r="H274" s="104"/>
      <c r="I274" s="73"/>
      <c r="J274" s="73"/>
      <c r="K274" s="202"/>
      <c r="L274" s="75" t="str">
        <f t="shared" si="28"/>
        <v/>
      </c>
      <c r="M274" s="75"/>
      <c r="N274" s="75" t="str">
        <f t="shared" si="29"/>
        <v/>
      </c>
      <c r="O274" s="204" t="str">
        <f t="shared" si="30"/>
        <v/>
      </c>
      <c r="P274" s="8"/>
      <c r="Q274" s="8"/>
      <c r="R274" s="8"/>
      <c r="S274" s="8"/>
    </row>
    <row r="275" spans="1:19" x14ac:dyDescent="0.25">
      <c r="A275" s="197">
        <f t="shared" si="26"/>
        <v>66</v>
      </c>
      <c r="B275" s="76" t="str">
        <f t="shared" si="27"/>
        <v/>
      </c>
      <c r="C275" s="77" t="str">
        <f>IF(G275&lt;&gt;"",IFERROR(ROUND(VLOOKUP(G275,ProductList!J:AO,32,FALSE),0),""),"")</f>
        <v/>
      </c>
      <c r="D275" s="73" t="str">
        <f>IF(E275&lt;&gt;"",IF(D274&lt;&gt;"",D274,#REF!)+1,"")</f>
        <v/>
      </c>
      <c r="E275" s="73"/>
      <c r="F275" s="73"/>
      <c r="G275" s="122"/>
      <c r="H275" s="104"/>
      <c r="I275" s="73"/>
      <c r="J275" s="73"/>
      <c r="K275" s="202"/>
      <c r="L275" s="75" t="str">
        <f t="shared" si="28"/>
        <v/>
      </c>
      <c r="M275" s="75"/>
      <c r="N275" s="75" t="str">
        <f t="shared" si="29"/>
        <v/>
      </c>
      <c r="O275" s="204" t="str">
        <f t="shared" si="30"/>
        <v/>
      </c>
      <c r="P275" s="8"/>
      <c r="Q275" s="8"/>
      <c r="R275" s="8"/>
      <c r="S275" s="8"/>
    </row>
    <row r="276" spans="1:19" x14ac:dyDescent="0.25">
      <c r="A276" s="197">
        <f t="shared" si="26"/>
        <v>66</v>
      </c>
      <c r="B276" s="76" t="str">
        <f t="shared" si="27"/>
        <v/>
      </c>
      <c r="C276" s="77" t="str">
        <f>IF(G276&lt;&gt;"",IFERROR(ROUND(VLOOKUP(G276,ProductList!J:AO,32,FALSE),0),""),"")</f>
        <v/>
      </c>
      <c r="D276" s="73" t="str">
        <f>IF(E276&lt;&gt;"",IF(D275&lt;&gt;"",D275,#REF!)+1,"")</f>
        <v/>
      </c>
      <c r="E276" s="73"/>
      <c r="F276" s="73"/>
      <c r="G276" s="122"/>
      <c r="H276" s="104"/>
      <c r="I276" s="73"/>
      <c r="J276" s="73"/>
      <c r="K276" s="202"/>
      <c r="L276" s="75" t="str">
        <f t="shared" si="28"/>
        <v/>
      </c>
      <c r="M276" s="75"/>
      <c r="N276" s="75" t="str">
        <f t="shared" si="29"/>
        <v/>
      </c>
      <c r="O276" s="204" t="str">
        <f t="shared" si="30"/>
        <v/>
      </c>
      <c r="P276" s="8"/>
      <c r="Q276" s="8"/>
      <c r="R276" s="8"/>
      <c r="S276" s="8"/>
    </row>
    <row r="277" spans="1:19" x14ac:dyDescent="0.25">
      <c r="A277" s="197">
        <f t="shared" si="26"/>
        <v>66</v>
      </c>
      <c r="B277" s="76" t="str">
        <f t="shared" si="27"/>
        <v/>
      </c>
      <c r="C277" s="77" t="str">
        <f>IF(G277&lt;&gt;"",IFERROR(ROUND(VLOOKUP(G277,ProductList!J:AO,32,FALSE),0),""),"")</f>
        <v/>
      </c>
      <c r="D277" s="73" t="str">
        <f>IF(E277&lt;&gt;"",IF(D276&lt;&gt;"",D276,#REF!)+1,"")</f>
        <v/>
      </c>
      <c r="E277" s="73"/>
      <c r="F277" s="73"/>
      <c r="G277" s="122"/>
      <c r="H277" s="104"/>
      <c r="I277" s="73"/>
      <c r="J277" s="73"/>
      <c r="K277" s="202"/>
      <c r="L277" s="75" t="str">
        <f t="shared" si="28"/>
        <v/>
      </c>
      <c r="M277" s="75"/>
      <c r="N277" s="75" t="str">
        <f t="shared" si="29"/>
        <v/>
      </c>
      <c r="O277" s="204" t="str">
        <f t="shared" si="30"/>
        <v/>
      </c>
      <c r="P277" s="8"/>
      <c r="Q277" s="8"/>
      <c r="R277" s="8"/>
      <c r="S277" s="8"/>
    </row>
    <row r="278" spans="1:19" x14ac:dyDescent="0.25">
      <c r="A278" s="197">
        <f t="shared" si="26"/>
        <v>66</v>
      </c>
      <c r="B278" s="76" t="str">
        <f t="shared" si="27"/>
        <v/>
      </c>
      <c r="C278" s="77" t="str">
        <f>IF(G278&lt;&gt;"",IFERROR(ROUND(VLOOKUP(G278,ProductList!J:AO,32,FALSE),0),""),"")</f>
        <v/>
      </c>
      <c r="D278" s="73" t="str">
        <f>IF(E278&lt;&gt;"",IF(D277&lt;&gt;"",D277,#REF!)+1,"")</f>
        <v/>
      </c>
      <c r="E278" s="73"/>
      <c r="F278" s="73"/>
      <c r="G278" s="122"/>
      <c r="H278" s="104"/>
      <c r="I278" s="73"/>
      <c r="J278" s="73"/>
      <c r="K278" s="202"/>
      <c r="L278" s="75" t="str">
        <f t="shared" si="28"/>
        <v/>
      </c>
      <c r="M278" s="75"/>
      <c r="N278" s="75" t="str">
        <f t="shared" si="29"/>
        <v/>
      </c>
      <c r="O278" s="204" t="str">
        <f t="shared" si="30"/>
        <v/>
      </c>
      <c r="P278" s="8"/>
      <c r="Q278" s="8"/>
      <c r="R278" s="8"/>
      <c r="S278" s="8"/>
    </row>
    <row r="279" spans="1:19" x14ac:dyDescent="0.25">
      <c r="A279" s="197">
        <f t="shared" si="26"/>
        <v>66</v>
      </c>
      <c r="B279" s="76" t="str">
        <f t="shared" si="27"/>
        <v/>
      </c>
      <c r="C279" s="77" t="str">
        <f>IF(G279&lt;&gt;"",IFERROR(ROUND(VLOOKUP(G279,ProductList!J:AO,32,FALSE),0),""),"")</f>
        <v/>
      </c>
      <c r="D279" s="73" t="str">
        <f>IF(E279&lt;&gt;"",IF(D278&lt;&gt;"",D278,#REF!)+1,"")</f>
        <v/>
      </c>
      <c r="E279" s="73"/>
      <c r="F279" s="73"/>
      <c r="G279" s="122"/>
      <c r="H279" s="104"/>
      <c r="I279" s="73"/>
      <c r="J279" s="73"/>
      <c r="K279" s="202"/>
      <c r="L279" s="75" t="str">
        <f t="shared" si="28"/>
        <v/>
      </c>
      <c r="M279" s="75"/>
      <c r="N279" s="75" t="str">
        <f t="shared" si="29"/>
        <v/>
      </c>
      <c r="O279" s="204" t="str">
        <f t="shared" si="30"/>
        <v/>
      </c>
      <c r="P279" s="8"/>
      <c r="Q279" s="8"/>
      <c r="R279" s="8"/>
      <c r="S279" s="8"/>
    </row>
    <row r="280" spans="1:19" x14ac:dyDescent="0.25">
      <c r="A280" s="197">
        <f t="shared" si="26"/>
        <v>66</v>
      </c>
      <c r="B280" s="76" t="str">
        <f t="shared" si="27"/>
        <v/>
      </c>
      <c r="C280" s="77" t="str">
        <f>IF(G280&lt;&gt;"",IFERROR(ROUND(VLOOKUP(G280,ProductList!J:AO,32,FALSE),0),""),"")</f>
        <v/>
      </c>
      <c r="D280" s="73" t="str">
        <f>IF(E280&lt;&gt;"",IF(D279&lt;&gt;"",D279,#REF!)+1,"")</f>
        <v/>
      </c>
      <c r="E280" s="73"/>
      <c r="F280" s="73"/>
      <c r="G280" s="122"/>
      <c r="H280" s="104"/>
      <c r="I280" s="73"/>
      <c r="J280" s="73"/>
      <c r="K280" s="202"/>
      <c r="L280" s="75" t="str">
        <f t="shared" si="28"/>
        <v/>
      </c>
      <c r="M280" s="75"/>
      <c r="N280" s="75" t="str">
        <f t="shared" si="29"/>
        <v/>
      </c>
      <c r="O280" s="204" t="str">
        <f t="shared" si="30"/>
        <v/>
      </c>
      <c r="P280" s="8"/>
      <c r="Q280" s="8"/>
      <c r="R280" s="8"/>
      <c r="S280" s="8"/>
    </row>
    <row r="281" spans="1:19" x14ac:dyDescent="0.25">
      <c r="A281" s="197">
        <f t="shared" si="26"/>
        <v>66</v>
      </c>
      <c r="B281" s="76" t="str">
        <f t="shared" si="27"/>
        <v/>
      </c>
      <c r="C281" s="77" t="str">
        <f>IF(G281&lt;&gt;"",IFERROR(ROUND(VLOOKUP(G281,ProductList!J:AO,32,FALSE),0),""),"")</f>
        <v/>
      </c>
      <c r="D281" s="73" t="str">
        <f>IF(E281&lt;&gt;"",IF(D280&lt;&gt;"",D280,#REF!)+1,"")</f>
        <v/>
      </c>
      <c r="E281" s="73"/>
      <c r="F281" s="73"/>
      <c r="G281" s="122"/>
      <c r="H281" s="104"/>
      <c r="I281" s="73"/>
      <c r="J281" s="73"/>
      <c r="K281" s="202"/>
      <c r="L281" s="75" t="str">
        <f t="shared" si="28"/>
        <v/>
      </c>
      <c r="M281" s="75"/>
      <c r="N281" s="75" t="str">
        <f t="shared" si="29"/>
        <v/>
      </c>
      <c r="O281" s="204" t="str">
        <f t="shared" si="30"/>
        <v/>
      </c>
      <c r="P281" s="8"/>
      <c r="Q281" s="8"/>
      <c r="R281" s="8"/>
      <c r="S281" s="8"/>
    </row>
    <row r="282" spans="1:19" x14ac:dyDescent="0.25">
      <c r="A282" s="197">
        <f t="shared" si="26"/>
        <v>66</v>
      </c>
      <c r="B282" s="76" t="str">
        <f t="shared" si="27"/>
        <v/>
      </c>
      <c r="C282" s="77" t="str">
        <f>IF(G282&lt;&gt;"",IFERROR(ROUND(VLOOKUP(G282,ProductList!J:AO,32,FALSE),0),""),"")</f>
        <v/>
      </c>
      <c r="D282" s="73" t="str">
        <f>IF(E282&lt;&gt;"",IF(D281&lt;&gt;"",D281,#REF!)+1,"")</f>
        <v/>
      </c>
      <c r="E282" s="73"/>
      <c r="F282" s="73"/>
      <c r="G282" s="122"/>
      <c r="H282" s="104"/>
      <c r="I282" s="73"/>
      <c r="J282" s="73"/>
      <c r="K282" s="202"/>
      <c r="L282" s="75" t="str">
        <f t="shared" si="28"/>
        <v/>
      </c>
      <c r="M282" s="75"/>
      <c r="N282" s="75" t="str">
        <f t="shared" si="29"/>
        <v/>
      </c>
      <c r="O282" s="204" t="str">
        <f t="shared" si="30"/>
        <v/>
      </c>
      <c r="P282" s="8"/>
      <c r="Q282" s="8"/>
      <c r="R282" s="8"/>
      <c r="S282" s="8"/>
    </row>
    <row r="283" spans="1:19" x14ac:dyDescent="0.25">
      <c r="A283" s="197">
        <f t="shared" si="26"/>
        <v>66</v>
      </c>
      <c r="B283" s="76" t="str">
        <f t="shared" si="27"/>
        <v/>
      </c>
      <c r="C283" s="77" t="str">
        <f>IF(G283&lt;&gt;"",IFERROR(ROUND(VLOOKUP(G283,ProductList!J:AO,32,FALSE),0),""),"")</f>
        <v/>
      </c>
      <c r="D283" s="73" t="str">
        <f>IF(E283&lt;&gt;"",IF(D282&lt;&gt;"",D282,#REF!)+1,"")</f>
        <v/>
      </c>
      <c r="E283" s="73"/>
      <c r="F283" s="73"/>
      <c r="G283" s="122"/>
      <c r="H283" s="104"/>
      <c r="I283" s="73"/>
      <c r="J283" s="73"/>
      <c r="K283" s="202"/>
      <c r="L283" s="75" t="str">
        <f t="shared" si="28"/>
        <v/>
      </c>
      <c r="M283" s="75"/>
      <c r="N283" s="75" t="str">
        <f t="shared" si="29"/>
        <v/>
      </c>
      <c r="O283" s="204" t="str">
        <f t="shared" si="30"/>
        <v/>
      </c>
      <c r="P283" s="8"/>
      <c r="Q283" s="8"/>
      <c r="R283" s="8"/>
      <c r="S283" s="8"/>
    </row>
    <row r="284" spans="1:19" x14ac:dyDescent="0.25">
      <c r="A284" s="197">
        <f t="shared" si="26"/>
        <v>66</v>
      </c>
      <c r="B284" s="76" t="str">
        <f t="shared" si="27"/>
        <v/>
      </c>
      <c r="C284" s="77" t="str">
        <f>IF(G284&lt;&gt;"",IFERROR(ROUND(VLOOKUP(G284,ProductList!J:AO,32,FALSE),0),""),"")</f>
        <v/>
      </c>
      <c r="D284" s="73" t="str">
        <f>IF(E284&lt;&gt;"",IF(D283&lt;&gt;"",D283,#REF!)+1,"")</f>
        <v/>
      </c>
      <c r="E284" s="73"/>
      <c r="F284" s="73"/>
      <c r="G284" s="122"/>
      <c r="H284" s="104"/>
      <c r="I284" s="73"/>
      <c r="J284" s="73"/>
      <c r="K284" s="202"/>
      <c r="L284" s="75" t="str">
        <f t="shared" si="28"/>
        <v/>
      </c>
      <c r="M284" s="75"/>
      <c r="N284" s="75" t="str">
        <f t="shared" si="29"/>
        <v/>
      </c>
      <c r="O284" s="204" t="str">
        <f t="shared" si="30"/>
        <v/>
      </c>
      <c r="P284" s="8"/>
      <c r="Q284" s="8"/>
      <c r="R284" s="8"/>
      <c r="S284" s="8"/>
    </row>
    <row r="285" spans="1:19" x14ac:dyDescent="0.25">
      <c r="A285" s="197">
        <f t="shared" si="26"/>
        <v>66</v>
      </c>
      <c r="B285" s="76" t="str">
        <f t="shared" si="27"/>
        <v/>
      </c>
      <c r="C285" s="77" t="str">
        <f>IF(G285&lt;&gt;"",IFERROR(ROUND(VLOOKUP(G285,ProductList!J:AO,32,FALSE),0),""),"")</f>
        <v/>
      </c>
      <c r="D285" s="73" t="str">
        <f>IF(E285&lt;&gt;"",IF(D284&lt;&gt;"",D284,#REF!)+1,"")</f>
        <v/>
      </c>
      <c r="E285" s="73"/>
      <c r="F285" s="73"/>
      <c r="G285" s="122"/>
      <c r="H285" s="104"/>
      <c r="I285" s="73"/>
      <c r="J285" s="73"/>
      <c r="K285" s="202"/>
      <c r="L285" s="75" t="str">
        <f t="shared" si="28"/>
        <v/>
      </c>
      <c r="M285" s="75"/>
      <c r="N285" s="75" t="str">
        <f t="shared" si="29"/>
        <v/>
      </c>
      <c r="O285" s="204" t="str">
        <f t="shared" si="30"/>
        <v/>
      </c>
      <c r="P285" s="8"/>
      <c r="Q285" s="8"/>
      <c r="R285" s="8"/>
      <c r="S285" s="8"/>
    </row>
    <row r="286" spans="1:19" x14ac:dyDescent="0.25">
      <c r="A286" s="197">
        <f t="shared" si="26"/>
        <v>66</v>
      </c>
      <c r="B286" s="76" t="str">
        <f t="shared" si="27"/>
        <v/>
      </c>
      <c r="C286" s="77" t="str">
        <f>IF(G286&lt;&gt;"",IFERROR(ROUND(VLOOKUP(G286,ProductList!J:AO,32,FALSE),0),""),"")</f>
        <v/>
      </c>
      <c r="D286" s="73" t="str">
        <f>IF(E286&lt;&gt;"",IF(D285&lt;&gt;"",D285,#REF!)+1,"")</f>
        <v/>
      </c>
      <c r="E286" s="73"/>
      <c r="F286" s="73"/>
      <c r="G286" s="122"/>
      <c r="H286" s="104"/>
      <c r="I286" s="73"/>
      <c r="J286" s="73"/>
      <c r="K286" s="202"/>
      <c r="L286" s="75" t="str">
        <f t="shared" si="28"/>
        <v/>
      </c>
      <c r="M286" s="75"/>
      <c r="N286" s="75" t="str">
        <f t="shared" si="29"/>
        <v/>
      </c>
      <c r="O286" s="204" t="str">
        <f t="shared" si="30"/>
        <v/>
      </c>
      <c r="P286" s="8"/>
      <c r="Q286" s="8"/>
      <c r="R286" s="8"/>
      <c r="S286" s="8"/>
    </row>
    <row r="287" spans="1:19" x14ac:dyDescent="0.25">
      <c r="A287" s="197">
        <f t="shared" si="26"/>
        <v>66</v>
      </c>
      <c r="B287" s="76" t="str">
        <f t="shared" si="27"/>
        <v/>
      </c>
      <c r="C287" s="77" t="str">
        <f>IF(G287&lt;&gt;"",IFERROR(ROUND(VLOOKUP(G287,ProductList!J:AO,32,FALSE),0),""),"")</f>
        <v/>
      </c>
      <c r="D287" s="73" t="str">
        <f>IF(E287&lt;&gt;"",IF(D286&lt;&gt;"",D286,#REF!)+1,"")</f>
        <v/>
      </c>
      <c r="E287" s="73"/>
      <c r="F287" s="73"/>
      <c r="G287" s="122"/>
      <c r="H287" s="104"/>
      <c r="I287" s="73"/>
      <c r="J287" s="73"/>
      <c r="K287" s="202"/>
      <c r="L287" s="75" t="str">
        <f t="shared" si="28"/>
        <v/>
      </c>
      <c r="M287" s="75"/>
      <c r="N287" s="75" t="str">
        <f t="shared" si="29"/>
        <v/>
      </c>
      <c r="O287" s="204" t="str">
        <f t="shared" si="30"/>
        <v/>
      </c>
      <c r="P287" s="8"/>
      <c r="Q287" s="8"/>
      <c r="R287" s="8"/>
      <c r="S287" s="8"/>
    </row>
    <row r="288" spans="1:19" x14ac:dyDescent="0.25">
      <c r="A288" s="197">
        <f t="shared" si="26"/>
        <v>66</v>
      </c>
      <c r="B288" s="76" t="str">
        <f t="shared" si="27"/>
        <v/>
      </c>
      <c r="C288" s="77" t="str">
        <f>IF(G288&lt;&gt;"",IFERROR(ROUND(VLOOKUP(G288,ProductList!J:AO,32,FALSE),0),""),"")</f>
        <v/>
      </c>
      <c r="D288" s="73" t="str">
        <f>IF(E288&lt;&gt;"",IF(D287&lt;&gt;"",D287,#REF!)+1,"")</f>
        <v/>
      </c>
      <c r="E288" s="73"/>
      <c r="F288" s="73"/>
      <c r="G288" s="122"/>
      <c r="H288" s="104"/>
      <c r="I288" s="73"/>
      <c r="J288" s="73"/>
      <c r="K288" s="202"/>
      <c r="L288" s="75" t="str">
        <f t="shared" si="28"/>
        <v/>
      </c>
      <c r="M288" s="75"/>
      <c r="N288" s="75" t="str">
        <f t="shared" si="29"/>
        <v/>
      </c>
      <c r="O288" s="204" t="str">
        <f t="shared" si="30"/>
        <v/>
      </c>
      <c r="P288" s="8"/>
      <c r="Q288" s="8"/>
      <c r="R288" s="8"/>
      <c r="S288" s="8"/>
    </row>
    <row r="289" spans="1:19" x14ac:dyDescent="0.25">
      <c r="A289" s="197">
        <f t="shared" si="26"/>
        <v>66</v>
      </c>
      <c r="B289" s="76" t="str">
        <f t="shared" si="27"/>
        <v/>
      </c>
      <c r="C289" s="77" t="str">
        <f>IF(G289&lt;&gt;"",IFERROR(ROUND(VLOOKUP(G289,ProductList!J:AO,32,FALSE),0),""),"")</f>
        <v/>
      </c>
      <c r="D289" s="73" t="str">
        <f>IF(E289&lt;&gt;"",IF(D288&lt;&gt;"",D288,#REF!)+1,"")</f>
        <v/>
      </c>
      <c r="E289" s="73"/>
      <c r="F289" s="73"/>
      <c r="G289" s="122"/>
      <c r="H289" s="104"/>
      <c r="I289" s="73"/>
      <c r="J289" s="73"/>
      <c r="K289" s="202"/>
      <c r="L289" s="75" t="str">
        <f t="shared" si="28"/>
        <v/>
      </c>
      <c r="M289" s="75"/>
      <c r="N289" s="75" t="str">
        <f t="shared" si="29"/>
        <v/>
      </c>
      <c r="O289" s="204" t="str">
        <f t="shared" si="30"/>
        <v/>
      </c>
      <c r="P289" s="8"/>
      <c r="Q289" s="8"/>
      <c r="R289" s="8"/>
      <c r="S289" s="8"/>
    </row>
    <row r="290" spans="1:19" x14ac:dyDescent="0.25">
      <c r="A290" s="197">
        <f t="shared" si="26"/>
        <v>66</v>
      </c>
      <c r="B290" s="76" t="str">
        <f t="shared" si="27"/>
        <v/>
      </c>
      <c r="C290" s="77" t="str">
        <f>IF(G290&lt;&gt;"",IFERROR(ROUND(VLOOKUP(G290,ProductList!J:AO,32,FALSE),0),""),"")</f>
        <v/>
      </c>
      <c r="D290" s="73" t="str">
        <f>IF(E290&lt;&gt;"",IF(D289&lt;&gt;"",D289,#REF!)+1,"")</f>
        <v/>
      </c>
      <c r="E290" s="73"/>
      <c r="F290" s="73"/>
      <c r="G290" s="122"/>
      <c r="H290" s="104"/>
      <c r="I290" s="73"/>
      <c r="J290" s="73"/>
      <c r="K290" s="202"/>
      <c r="L290" s="75" t="str">
        <f t="shared" si="28"/>
        <v/>
      </c>
      <c r="M290" s="75"/>
      <c r="N290" s="75" t="str">
        <f t="shared" si="29"/>
        <v/>
      </c>
      <c r="O290" s="204" t="str">
        <f t="shared" si="30"/>
        <v/>
      </c>
      <c r="P290" s="8"/>
      <c r="Q290" s="8"/>
      <c r="R290" s="8"/>
      <c r="S290" s="8"/>
    </row>
    <row r="291" spans="1:19" x14ac:dyDescent="0.25">
      <c r="A291" s="197">
        <f t="shared" si="26"/>
        <v>66</v>
      </c>
      <c r="B291" s="76" t="str">
        <f t="shared" si="27"/>
        <v/>
      </c>
      <c r="C291" s="77" t="str">
        <f>IF(G291&lt;&gt;"",IFERROR(ROUND(VLOOKUP(G291,ProductList!J:AO,32,FALSE),0),""),"")</f>
        <v/>
      </c>
      <c r="D291" s="73" t="str">
        <f>IF(E291&lt;&gt;"",IF(D290&lt;&gt;"",D290,#REF!)+1,"")</f>
        <v/>
      </c>
      <c r="E291" s="73"/>
      <c r="F291" s="73"/>
      <c r="G291" s="122"/>
      <c r="H291" s="104"/>
      <c r="I291" s="73"/>
      <c r="J291" s="73"/>
      <c r="K291" s="202"/>
      <c r="L291" s="75" t="str">
        <f t="shared" si="28"/>
        <v/>
      </c>
      <c r="M291" s="75"/>
      <c r="N291" s="75" t="str">
        <f t="shared" si="29"/>
        <v/>
      </c>
      <c r="O291" s="204" t="str">
        <f t="shared" si="30"/>
        <v/>
      </c>
      <c r="P291" s="8"/>
      <c r="Q291" s="8"/>
      <c r="R291" s="8"/>
      <c r="S291" s="8"/>
    </row>
    <row r="292" spans="1:19" x14ac:dyDescent="0.25">
      <c r="A292" s="197">
        <f t="shared" si="26"/>
        <v>66</v>
      </c>
      <c r="B292" s="76" t="str">
        <f t="shared" si="27"/>
        <v/>
      </c>
      <c r="C292" s="77" t="str">
        <f>IF(G292&lt;&gt;"",IFERROR(ROUND(VLOOKUP(G292,ProductList!J:AO,32,FALSE),0),""),"")</f>
        <v/>
      </c>
      <c r="D292" s="73" t="str">
        <f>IF(E292&lt;&gt;"",IF(D291&lt;&gt;"",D291,#REF!)+1,"")</f>
        <v/>
      </c>
      <c r="E292" s="73"/>
      <c r="F292" s="73"/>
      <c r="G292" s="122"/>
      <c r="H292" s="104"/>
      <c r="I292" s="73"/>
      <c r="J292" s="73"/>
      <c r="K292" s="202"/>
      <c r="L292" s="75" t="str">
        <f t="shared" si="28"/>
        <v/>
      </c>
      <c r="M292" s="75"/>
      <c r="N292" s="75" t="str">
        <f t="shared" si="29"/>
        <v/>
      </c>
      <c r="O292" s="204" t="str">
        <f t="shared" si="30"/>
        <v/>
      </c>
      <c r="P292" s="8"/>
      <c r="Q292" s="8"/>
      <c r="R292" s="8"/>
      <c r="S292" s="8"/>
    </row>
    <row r="293" spans="1:19" x14ac:dyDescent="0.25">
      <c r="A293" s="197">
        <f t="shared" si="26"/>
        <v>66</v>
      </c>
      <c r="B293" s="76" t="str">
        <f t="shared" si="27"/>
        <v/>
      </c>
      <c r="C293" s="77" t="str">
        <f>IF(G293&lt;&gt;"",IFERROR(ROUND(VLOOKUP(G293,ProductList!J:AO,32,FALSE),0),""),"")</f>
        <v/>
      </c>
      <c r="D293" s="73" t="str">
        <f>IF(E293&lt;&gt;"",IF(D292&lt;&gt;"",D292,#REF!)+1,"")</f>
        <v/>
      </c>
      <c r="E293" s="73"/>
      <c r="F293" s="73"/>
      <c r="G293" s="122"/>
      <c r="H293" s="104"/>
      <c r="I293" s="73"/>
      <c r="J293" s="73"/>
      <c r="K293" s="202"/>
      <c r="L293" s="75" t="str">
        <f t="shared" si="28"/>
        <v/>
      </c>
      <c r="M293" s="75"/>
      <c r="N293" s="75" t="str">
        <f t="shared" si="29"/>
        <v/>
      </c>
      <c r="O293" s="204" t="str">
        <f t="shared" si="30"/>
        <v/>
      </c>
      <c r="P293" s="8"/>
      <c r="Q293" s="8"/>
      <c r="R293" s="8"/>
      <c r="S293" s="8"/>
    </row>
    <row r="294" spans="1:19" x14ac:dyDescent="0.25">
      <c r="A294" s="197">
        <f t="shared" si="26"/>
        <v>66</v>
      </c>
      <c r="B294" s="76" t="str">
        <f t="shared" si="27"/>
        <v/>
      </c>
      <c r="C294" s="77" t="str">
        <f>IF(G294&lt;&gt;"",IFERROR(ROUND(VLOOKUP(G294,ProductList!J:AO,32,FALSE),0),""),"")</f>
        <v/>
      </c>
      <c r="D294" s="73" t="str">
        <f>IF(E294&lt;&gt;"",IF(D293&lt;&gt;"",D293,#REF!)+1,"")</f>
        <v/>
      </c>
      <c r="E294" s="73"/>
      <c r="F294" s="73"/>
      <c r="G294" s="122"/>
      <c r="H294" s="104"/>
      <c r="I294" s="73"/>
      <c r="J294" s="73"/>
      <c r="K294" s="202"/>
      <c r="L294" s="75" t="str">
        <f t="shared" si="28"/>
        <v/>
      </c>
      <c r="M294" s="75"/>
      <c r="N294" s="75" t="str">
        <f t="shared" si="29"/>
        <v/>
      </c>
      <c r="O294" s="204" t="str">
        <f t="shared" si="30"/>
        <v/>
      </c>
      <c r="P294" s="8"/>
      <c r="Q294" s="8"/>
      <c r="R294" s="8"/>
      <c r="S294" s="8"/>
    </row>
    <row r="295" spans="1:19" x14ac:dyDescent="0.25">
      <c r="A295" s="197">
        <f t="shared" si="26"/>
        <v>66</v>
      </c>
      <c r="B295" s="76" t="str">
        <f t="shared" si="27"/>
        <v/>
      </c>
      <c r="C295" s="77" t="str">
        <f>IF(G295&lt;&gt;"",IFERROR(ROUND(VLOOKUP(G295,ProductList!J:AO,32,FALSE),0),""),"")</f>
        <v/>
      </c>
      <c r="D295" s="73" t="str">
        <f>IF(E295&lt;&gt;"",IF(D294&lt;&gt;"",D294,#REF!)+1,"")</f>
        <v/>
      </c>
      <c r="E295" s="73"/>
      <c r="F295" s="73"/>
      <c r="G295" s="122"/>
      <c r="H295" s="104"/>
      <c r="I295" s="73"/>
      <c r="J295" s="73"/>
      <c r="K295" s="202"/>
      <c r="L295" s="75" t="str">
        <f t="shared" si="28"/>
        <v/>
      </c>
      <c r="M295" s="75"/>
      <c r="N295" s="75" t="str">
        <f t="shared" si="29"/>
        <v/>
      </c>
      <c r="O295" s="204" t="str">
        <f t="shared" si="30"/>
        <v/>
      </c>
      <c r="P295" s="8"/>
      <c r="Q295" s="8"/>
      <c r="R295" s="8"/>
      <c r="S295" s="8"/>
    </row>
    <row r="296" spans="1:19" x14ac:dyDescent="0.25">
      <c r="A296" s="197">
        <f t="shared" si="26"/>
        <v>66</v>
      </c>
      <c r="B296" s="76" t="str">
        <f t="shared" si="27"/>
        <v/>
      </c>
      <c r="C296" s="77" t="str">
        <f>IF(G296&lt;&gt;"",IFERROR(ROUND(VLOOKUP(G296,ProductList!J:AO,32,FALSE),0),""),"")</f>
        <v/>
      </c>
      <c r="D296" s="73" t="str">
        <f>IF(E296&lt;&gt;"",IF(D295&lt;&gt;"",D295,#REF!)+1,"")</f>
        <v/>
      </c>
      <c r="E296" s="73"/>
      <c r="F296" s="73"/>
      <c r="G296" s="122"/>
      <c r="H296" s="104"/>
      <c r="I296" s="73"/>
      <c r="J296" s="73"/>
      <c r="K296" s="202"/>
      <c r="L296" s="75" t="str">
        <f t="shared" si="28"/>
        <v/>
      </c>
      <c r="M296" s="75"/>
      <c r="N296" s="75" t="str">
        <f t="shared" si="29"/>
        <v/>
      </c>
      <c r="O296" s="204" t="str">
        <f t="shared" si="30"/>
        <v/>
      </c>
      <c r="P296" s="8"/>
      <c r="Q296" s="8"/>
      <c r="R296" s="8"/>
      <c r="S296" s="8"/>
    </row>
    <row r="297" spans="1:19" x14ac:dyDescent="0.25">
      <c r="A297" s="197">
        <f t="shared" si="26"/>
        <v>66</v>
      </c>
      <c r="B297" s="76" t="str">
        <f t="shared" si="27"/>
        <v/>
      </c>
      <c r="C297" s="77" t="str">
        <f>IF(G297&lt;&gt;"",IFERROR(ROUND(VLOOKUP(G297,ProductList!J:AO,32,FALSE),0),""),"")</f>
        <v/>
      </c>
      <c r="D297" s="73" t="str">
        <f>IF(E297&lt;&gt;"",IF(D296&lt;&gt;"",D296,#REF!)+1,"")</f>
        <v/>
      </c>
      <c r="E297" s="73"/>
      <c r="F297" s="73"/>
      <c r="G297" s="122"/>
      <c r="H297" s="104"/>
      <c r="I297" s="73"/>
      <c r="J297" s="73"/>
      <c r="K297" s="202"/>
      <c r="L297" s="75" t="str">
        <f t="shared" si="28"/>
        <v/>
      </c>
      <c r="M297" s="75"/>
      <c r="N297" s="75" t="str">
        <f t="shared" si="29"/>
        <v/>
      </c>
      <c r="O297" s="204" t="str">
        <f t="shared" si="30"/>
        <v/>
      </c>
      <c r="P297" s="8"/>
      <c r="Q297" s="8"/>
      <c r="R297" s="8"/>
      <c r="S297" s="8"/>
    </row>
    <row r="298" spans="1:19" x14ac:dyDescent="0.25">
      <c r="A298" s="197">
        <f t="shared" si="26"/>
        <v>66</v>
      </c>
      <c r="B298" s="76" t="str">
        <f t="shared" si="27"/>
        <v/>
      </c>
      <c r="C298" s="77" t="str">
        <f>IF(G298&lt;&gt;"",IFERROR(ROUND(VLOOKUP(G298,ProductList!J:AO,32,FALSE),0),""),"")</f>
        <v/>
      </c>
      <c r="D298" s="73" t="str">
        <f>IF(E298&lt;&gt;"",IF(D297&lt;&gt;"",D297,#REF!)+1,"")</f>
        <v/>
      </c>
      <c r="E298" s="73"/>
      <c r="F298" s="73"/>
      <c r="G298" s="122"/>
      <c r="H298" s="104"/>
      <c r="I298" s="73"/>
      <c r="J298" s="73"/>
      <c r="K298" s="202"/>
      <c r="L298" s="75" t="str">
        <f t="shared" si="28"/>
        <v/>
      </c>
      <c r="M298" s="75"/>
      <c r="N298" s="75" t="str">
        <f t="shared" si="29"/>
        <v/>
      </c>
      <c r="O298" s="204" t="str">
        <f t="shared" si="30"/>
        <v/>
      </c>
      <c r="P298" s="8"/>
      <c r="Q298" s="8"/>
      <c r="R298" s="8"/>
      <c r="S298" s="8"/>
    </row>
    <row r="299" spans="1:19" x14ac:dyDescent="0.25">
      <c r="A299" s="197">
        <f t="shared" si="26"/>
        <v>66</v>
      </c>
      <c r="B299" s="76" t="str">
        <f t="shared" si="27"/>
        <v/>
      </c>
      <c r="C299" s="77" t="str">
        <f>IF(G299&lt;&gt;"",IFERROR(ROUND(VLOOKUP(G299,ProductList!J:AO,32,FALSE),0),""),"")</f>
        <v/>
      </c>
      <c r="D299" s="73" t="str">
        <f>IF(E299&lt;&gt;"",IF(D298&lt;&gt;"",D298,#REF!)+1,"")</f>
        <v/>
      </c>
      <c r="E299" s="73"/>
      <c r="F299" s="73"/>
      <c r="G299" s="122"/>
      <c r="H299" s="104"/>
      <c r="I299" s="73"/>
      <c r="J299" s="73"/>
      <c r="K299" s="202"/>
      <c r="L299" s="75" t="str">
        <f t="shared" si="28"/>
        <v/>
      </c>
      <c r="M299" s="75"/>
      <c r="N299" s="75" t="str">
        <f t="shared" si="29"/>
        <v/>
      </c>
      <c r="O299" s="204" t="str">
        <f t="shared" si="30"/>
        <v/>
      </c>
      <c r="P299" s="8"/>
      <c r="Q299" s="8"/>
      <c r="R299" s="8"/>
      <c r="S299" s="8"/>
    </row>
    <row r="300" spans="1:19" x14ac:dyDescent="0.25">
      <c r="A300" s="197">
        <f t="shared" si="26"/>
        <v>66</v>
      </c>
      <c r="B300" s="76" t="str">
        <f t="shared" si="27"/>
        <v/>
      </c>
      <c r="C300" s="77" t="str">
        <f>IF(G300&lt;&gt;"",IFERROR(ROUND(VLOOKUP(G300,ProductList!J:AO,32,FALSE),0),""),"")</f>
        <v/>
      </c>
      <c r="D300" s="73" t="str">
        <f>IF(E300&lt;&gt;"",IF(D299&lt;&gt;"",D299,#REF!)+1,"")</f>
        <v/>
      </c>
      <c r="E300" s="73"/>
      <c r="F300" s="73"/>
      <c r="G300" s="122"/>
      <c r="H300" s="104"/>
      <c r="I300" s="73"/>
      <c r="J300" s="73"/>
      <c r="K300" s="202"/>
      <c r="L300" s="75" t="str">
        <f t="shared" si="28"/>
        <v/>
      </c>
      <c r="M300" s="75"/>
      <c r="N300" s="75" t="str">
        <f t="shared" si="29"/>
        <v/>
      </c>
      <c r="O300" s="204" t="str">
        <f t="shared" si="30"/>
        <v/>
      </c>
      <c r="P300" s="8"/>
      <c r="Q300" s="8"/>
      <c r="R300" s="8"/>
      <c r="S300" s="8"/>
    </row>
    <row r="301" spans="1:19" x14ac:dyDescent="0.25">
      <c r="A301" s="197">
        <f t="shared" si="26"/>
        <v>66</v>
      </c>
      <c r="B301" s="76" t="str">
        <f t="shared" si="27"/>
        <v/>
      </c>
      <c r="C301" s="77" t="str">
        <f>IF(G301&lt;&gt;"",IFERROR(ROUND(VLOOKUP(G301,ProductList!J:AO,32,FALSE),0),""),"")</f>
        <v/>
      </c>
      <c r="D301" s="73" t="str">
        <f>IF(E301&lt;&gt;"",IF(D300&lt;&gt;"",D300,#REF!)+1,"")</f>
        <v/>
      </c>
      <c r="E301" s="73"/>
      <c r="F301" s="73"/>
      <c r="G301" s="122"/>
      <c r="H301" s="104"/>
      <c r="I301" s="73"/>
      <c r="J301" s="73"/>
      <c r="K301" s="202"/>
      <c r="L301" s="75" t="str">
        <f t="shared" si="28"/>
        <v/>
      </c>
      <c r="M301" s="75"/>
      <c r="N301" s="75" t="str">
        <f t="shared" si="29"/>
        <v/>
      </c>
      <c r="O301" s="204" t="str">
        <f t="shared" si="30"/>
        <v/>
      </c>
      <c r="P301" s="8"/>
      <c r="Q301" s="8"/>
      <c r="R301" s="8"/>
      <c r="S301" s="8"/>
    </row>
    <row r="302" spans="1:19" x14ac:dyDescent="0.25">
      <c r="A302" s="197">
        <f t="shared" si="26"/>
        <v>66</v>
      </c>
      <c r="B302" s="76" t="str">
        <f t="shared" si="27"/>
        <v/>
      </c>
      <c r="C302" s="77" t="str">
        <f>IF(G302&lt;&gt;"",IFERROR(ROUND(VLOOKUP(G302,ProductList!J:AO,32,FALSE),0),""),"")</f>
        <v/>
      </c>
      <c r="D302" s="73" t="str">
        <f>IF(E302&lt;&gt;"",IF(D301&lt;&gt;"",D301,#REF!)+1,"")</f>
        <v/>
      </c>
      <c r="E302" s="73"/>
      <c r="F302" s="73"/>
      <c r="G302" s="122"/>
      <c r="H302" s="104"/>
      <c r="I302" s="73"/>
      <c r="J302" s="73"/>
      <c r="K302" s="202"/>
      <c r="L302" s="75" t="str">
        <f t="shared" si="28"/>
        <v/>
      </c>
      <c r="M302" s="75"/>
      <c r="N302" s="75" t="str">
        <f t="shared" si="29"/>
        <v/>
      </c>
      <c r="O302" s="204" t="str">
        <f t="shared" si="30"/>
        <v/>
      </c>
      <c r="P302" s="8"/>
      <c r="Q302" s="8"/>
      <c r="R302" s="8"/>
      <c r="S302" s="8"/>
    </row>
    <row r="303" spans="1:19" x14ac:dyDescent="0.25">
      <c r="A303" s="197">
        <f t="shared" si="26"/>
        <v>66</v>
      </c>
      <c r="B303" s="76" t="str">
        <f t="shared" si="27"/>
        <v/>
      </c>
      <c r="C303" s="77" t="str">
        <f>IF(G303&lt;&gt;"",IFERROR(ROUND(VLOOKUP(G303,ProductList!J:AO,32,FALSE),0),""),"")</f>
        <v/>
      </c>
      <c r="D303" s="73" t="str">
        <f>IF(E303&lt;&gt;"",IF(D302&lt;&gt;"",D302,#REF!)+1,"")</f>
        <v/>
      </c>
      <c r="E303" s="73"/>
      <c r="F303" s="73"/>
      <c r="G303" s="122"/>
      <c r="H303" s="104"/>
      <c r="I303" s="73"/>
      <c r="J303" s="73"/>
      <c r="K303" s="202"/>
      <c r="L303" s="75" t="str">
        <f t="shared" si="28"/>
        <v/>
      </c>
      <c r="M303" s="75"/>
      <c r="N303" s="75" t="str">
        <f t="shared" si="29"/>
        <v/>
      </c>
      <c r="O303" s="204" t="str">
        <f t="shared" si="30"/>
        <v/>
      </c>
      <c r="P303" s="8"/>
      <c r="Q303" s="8"/>
      <c r="R303" s="8"/>
      <c r="S303" s="8"/>
    </row>
    <row r="304" spans="1:19" x14ac:dyDescent="0.25">
      <c r="A304" s="197">
        <f t="shared" si="26"/>
        <v>66</v>
      </c>
      <c r="B304" s="76" t="str">
        <f t="shared" si="27"/>
        <v/>
      </c>
      <c r="C304" s="77" t="str">
        <f>IF(G304&lt;&gt;"",IFERROR(ROUND(VLOOKUP(G304,ProductList!J:AO,32,FALSE),0),""),"")</f>
        <v/>
      </c>
      <c r="D304" s="73" t="str">
        <f>IF(E304&lt;&gt;"",IF(D303&lt;&gt;"",D303,#REF!)+1,"")</f>
        <v/>
      </c>
      <c r="E304" s="73"/>
      <c r="F304" s="73"/>
      <c r="G304" s="122"/>
      <c r="H304" s="104"/>
      <c r="I304" s="73"/>
      <c r="J304" s="73"/>
      <c r="K304" s="202"/>
      <c r="L304" s="75" t="str">
        <f t="shared" si="28"/>
        <v/>
      </c>
      <c r="M304" s="75"/>
      <c r="N304" s="75" t="str">
        <f t="shared" si="29"/>
        <v/>
      </c>
      <c r="O304" s="204" t="str">
        <f t="shared" si="30"/>
        <v/>
      </c>
      <c r="P304" s="8"/>
      <c r="Q304" s="8"/>
      <c r="R304" s="8"/>
      <c r="S304" s="8"/>
    </row>
    <row r="305" spans="1:19" x14ac:dyDescent="0.25">
      <c r="A305" s="197">
        <f t="shared" si="26"/>
        <v>66</v>
      </c>
      <c r="B305" s="76" t="str">
        <f t="shared" si="27"/>
        <v/>
      </c>
      <c r="C305" s="77" t="str">
        <f>IF(G305&lt;&gt;"",IFERROR(ROUND(VLOOKUP(G305,ProductList!J:AO,32,FALSE),0),""),"")</f>
        <v/>
      </c>
      <c r="D305" s="73" t="str">
        <f>IF(E305&lt;&gt;"",IF(D304&lt;&gt;"",D304,#REF!)+1,"")</f>
        <v/>
      </c>
      <c r="E305" s="73"/>
      <c r="F305" s="73"/>
      <c r="G305" s="122"/>
      <c r="H305" s="104"/>
      <c r="I305" s="73"/>
      <c r="J305" s="73"/>
      <c r="K305" s="202"/>
      <c r="L305" s="75" t="str">
        <f t="shared" si="28"/>
        <v/>
      </c>
      <c r="M305" s="75"/>
      <c r="N305" s="75" t="str">
        <f t="shared" si="29"/>
        <v/>
      </c>
      <c r="O305" s="204" t="str">
        <f t="shared" si="30"/>
        <v/>
      </c>
      <c r="P305" s="8"/>
      <c r="Q305" s="8"/>
      <c r="R305" s="8"/>
      <c r="S305" s="8"/>
    </row>
    <row r="306" spans="1:19" x14ac:dyDescent="0.25">
      <c r="A306" s="197">
        <f t="shared" si="26"/>
        <v>66</v>
      </c>
      <c r="B306" s="76" t="str">
        <f t="shared" si="27"/>
        <v/>
      </c>
      <c r="C306" s="77" t="str">
        <f>IF(G306&lt;&gt;"",IFERROR(ROUND(VLOOKUP(G306,ProductList!J:AO,32,FALSE),0),""),"")</f>
        <v/>
      </c>
      <c r="D306" s="73" t="str">
        <f>IF(E306&lt;&gt;"",IF(D305&lt;&gt;"",D305,#REF!)+1,"")</f>
        <v/>
      </c>
      <c r="E306" s="73"/>
      <c r="F306" s="73"/>
      <c r="G306" s="122"/>
      <c r="H306" s="104"/>
      <c r="I306" s="73"/>
      <c r="J306" s="73"/>
      <c r="K306" s="202"/>
      <c r="L306" s="75" t="str">
        <f t="shared" si="28"/>
        <v/>
      </c>
      <c r="M306" s="75"/>
      <c r="N306" s="75" t="str">
        <f t="shared" si="29"/>
        <v/>
      </c>
      <c r="O306" s="204" t="str">
        <f t="shared" si="30"/>
        <v/>
      </c>
      <c r="P306" s="8"/>
      <c r="Q306" s="8"/>
      <c r="R306" s="8"/>
      <c r="S306" s="8"/>
    </row>
    <row r="307" spans="1:19" x14ac:dyDescent="0.25">
      <c r="A307" s="197">
        <f t="shared" si="26"/>
        <v>66</v>
      </c>
      <c r="B307" s="76" t="str">
        <f t="shared" si="27"/>
        <v/>
      </c>
      <c r="C307" s="77" t="str">
        <f>IF(G307&lt;&gt;"",IFERROR(ROUND(VLOOKUP(G307,ProductList!J:AO,32,FALSE),0),""),"")</f>
        <v/>
      </c>
      <c r="D307" s="73" t="str">
        <f>IF(E307&lt;&gt;"",IF(D306&lt;&gt;"",D306,#REF!)+1,"")</f>
        <v/>
      </c>
      <c r="E307" s="73"/>
      <c r="F307" s="73"/>
      <c r="G307" s="122"/>
      <c r="H307" s="104"/>
      <c r="I307" s="73"/>
      <c r="J307" s="73"/>
      <c r="K307" s="202"/>
      <c r="L307" s="75" t="str">
        <f t="shared" si="28"/>
        <v/>
      </c>
      <c r="M307" s="75"/>
      <c r="N307" s="75" t="str">
        <f t="shared" si="29"/>
        <v/>
      </c>
      <c r="O307" s="204" t="str">
        <f t="shared" si="30"/>
        <v/>
      </c>
      <c r="P307" s="8"/>
      <c r="Q307" s="8"/>
      <c r="R307" s="8"/>
      <c r="S307" s="8"/>
    </row>
    <row r="308" spans="1:19" x14ac:dyDescent="0.25">
      <c r="A308" s="197">
        <f t="shared" si="26"/>
        <v>66</v>
      </c>
      <c r="B308" s="76" t="str">
        <f t="shared" si="27"/>
        <v/>
      </c>
      <c r="C308" s="77" t="str">
        <f>IF(G308&lt;&gt;"",IFERROR(ROUND(VLOOKUP(G308,ProductList!J:AO,32,FALSE),0),""),"")</f>
        <v/>
      </c>
      <c r="D308" s="73" t="str">
        <f>IF(E308&lt;&gt;"",IF(D307&lt;&gt;"",D307,#REF!)+1,"")</f>
        <v/>
      </c>
      <c r="E308" s="73"/>
      <c r="F308" s="73"/>
      <c r="G308" s="122"/>
      <c r="H308" s="104"/>
      <c r="I308" s="73"/>
      <c r="J308" s="73"/>
      <c r="K308" s="202"/>
      <c r="L308" s="75" t="str">
        <f t="shared" si="28"/>
        <v/>
      </c>
      <c r="M308" s="75"/>
      <c r="N308" s="75" t="str">
        <f t="shared" si="29"/>
        <v/>
      </c>
      <c r="O308" s="204" t="str">
        <f t="shared" si="30"/>
        <v/>
      </c>
      <c r="P308" s="8"/>
      <c r="Q308" s="8"/>
      <c r="R308" s="8"/>
      <c r="S308" s="8"/>
    </row>
    <row r="309" spans="1:19" x14ac:dyDescent="0.25">
      <c r="A309" s="197">
        <f t="shared" si="26"/>
        <v>66</v>
      </c>
      <c r="B309" s="76" t="str">
        <f t="shared" si="27"/>
        <v/>
      </c>
      <c r="C309" s="77" t="str">
        <f>IF(G309&lt;&gt;"",IFERROR(ROUND(VLOOKUP(G309,ProductList!J:AO,32,FALSE),0),""),"")</f>
        <v/>
      </c>
      <c r="D309" s="73" t="str">
        <f>IF(E309&lt;&gt;"",IF(D308&lt;&gt;"",D308,#REF!)+1,"")</f>
        <v/>
      </c>
      <c r="E309" s="73"/>
      <c r="F309" s="73"/>
      <c r="G309" s="122"/>
      <c r="H309" s="104"/>
      <c r="I309" s="73"/>
      <c r="J309" s="73"/>
      <c r="K309" s="202"/>
      <c r="L309" s="75" t="str">
        <f t="shared" si="28"/>
        <v/>
      </c>
      <c r="M309" s="75"/>
      <c r="N309" s="75" t="str">
        <f t="shared" si="29"/>
        <v/>
      </c>
      <c r="O309" s="204" t="str">
        <f t="shared" si="30"/>
        <v/>
      </c>
      <c r="P309" s="8"/>
      <c r="Q309" s="8"/>
      <c r="R309" s="8"/>
      <c r="S309" s="8"/>
    </row>
    <row r="310" spans="1:19" x14ac:dyDescent="0.25">
      <c r="A310" s="197">
        <f t="shared" si="26"/>
        <v>66</v>
      </c>
      <c r="B310" s="76" t="str">
        <f t="shared" si="27"/>
        <v/>
      </c>
      <c r="C310" s="77" t="str">
        <f>IF(G310&lt;&gt;"",IFERROR(ROUND(VLOOKUP(G310,ProductList!J:AO,32,FALSE),0),""),"")</f>
        <v/>
      </c>
      <c r="D310" s="73" t="str">
        <f>IF(E310&lt;&gt;"",IF(D309&lt;&gt;"",D309,#REF!)+1,"")</f>
        <v/>
      </c>
      <c r="E310" s="73"/>
      <c r="F310" s="73"/>
      <c r="G310" s="122"/>
      <c r="H310" s="104"/>
      <c r="I310" s="73"/>
      <c r="J310" s="73"/>
      <c r="K310" s="202"/>
      <c r="L310" s="75" t="str">
        <f t="shared" si="28"/>
        <v/>
      </c>
      <c r="M310" s="75"/>
      <c r="N310" s="75" t="str">
        <f t="shared" si="29"/>
        <v/>
      </c>
      <c r="O310" s="204" t="str">
        <f t="shared" si="30"/>
        <v/>
      </c>
      <c r="P310" s="8"/>
      <c r="Q310" s="8"/>
      <c r="R310" s="8"/>
      <c r="S310" s="8"/>
    </row>
    <row r="311" spans="1:19" x14ac:dyDescent="0.25">
      <c r="A311" s="197">
        <f t="shared" si="26"/>
        <v>66</v>
      </c>
      <c r="B311" s="76" t="str">
        <f t="shared" si="27"/>
        <v/>
      </c>
      <c r="C311" s="77" t="str">
        <f>IF(G311&lt;&gt;"",IFERROR(ROUND(VLOOKUP(G311,ProductList!J:AO,32,FALSE),0),""),"")</f>
        <v/>
      </c>
      <c r="D311" s="73" t="str">
        <f>IF(E311&lt;&gt;"",IF(D310&lt;&gt;"",D310,#REF!)+1,"")</f>
        <v/>
      </c>
      <c r="E311" s="73"/>
      <c r="F311" s="73"/>
      <c r="G311" s="122"/>
      <c r="H311" s="104"/>
      <c r="I311" s="73"/>
      <c r="J311" s="73"/>
      <c r="K311" s="202"/>
      <c r="L311" s="75" t="str">
        <f t="shared" si="28"/>
        <v/>
      </c>
      <c r="M311" s="75"/>
      <c r="N311" s="75" t="str">
        <f t="shared" si="29"/>
        <v/>
      </c>
      <c r="O311" s="204" t="str">
        <f t="shared" si="30"/>
        <v/>
      </c>
      <c r="P311" s="8"/>
      <c r="Q311" s="8"/>
      <c r="R311" s="8"/>
      <c r="S311" s="8"/>
    </row>
    <row r="312" spans="1:19" x14ac:dyDescent="0.25">
      <c r="A312" s="197">
        <f t="shared" si="26"/>
        <v>66</v>
      </c>
      <c r="B312" s="76" t="str">
        <f t="shared" si="27"/>
        <v/>
      </c>
      <c r="C312" s="77" t="str">
        <f>IF(G312&lt;&gt;"",IFERROR(ROUND(VLOOKUP(G312,ProductList!J:AO,32,FALSE),0),""),"")</f>
        <v/>
      </c>
      <c r="D312" s="73" t="str">
        <f>IF(E312&lt;&gt;"",IF(D311&lt;&gt;"",D311,#REF!)+1,"")</f>
        <v/>
      </c>
      <c r="E312" s="73"/>
      <c r="F312" s="73"/>
      <c r="G312" s="122"/>
      <c r="H312" s="104"/>
      <c r="I312" s="73"/>
      <c r="J312" s="73"/>
      <c r="K312" s="202"/>
      <c r="L312" s="75" t="str">
        <f t="shared" si="28"/>
        <v/>
      </c>
      <c r="M312" s="75"/>
      <c r="N312" s="75" t="str">
        <f t="shared" si="29"/>
        <v/>
      </c>
      <c r="O312" s="204" t="str">
        <f t="shared" si="30"/>
        <v/>
      </c>
      <c r="P312" s="8"/>
      <c r="Q312" s="8"/>
      <c r="R312" s="8"/>
      <c r="S312" s="8"/>
    </row>
    <row r="313" spans="1:19" x14ac:dyDescent="0.25">
      <c r="A313" s="197">
        <f t="shared" si="26"/>
        <v>66</v>
      </c>
      <c r="B313" s="76" t="str">
        <f t="shared" si="27"/>
        <v/>
      </c>
      <c r="C313" s="77" t="str">
        <f>IF(G313&lt;&gt;"",IFERROR(ROUND(VLOOKUP(G313,ProductList!J:AO,32,FALSE),0),""),"")</f>
        <v/>
      </c>
      <c r="D313" s="73" t="str">
        <f>IF(E313&lt;&gt;"",IF(D312&lt;&gt;"",D312,#REF!)+1,"")</f>
        <v/>
      </c>
      <c r="E313" s="73"/>
      <c r="F313" s="73"/>
      <c r="G313" s="122"/>
      <c r="H313" s="104"/>
      <c r="I313" s="73"/>
      <c r="J313" s="73"/>
      <c r="K313" s="202"/>
      <c r="L313" s="75" t="str">
        <f t="shared" si="28"/>
        <v/>
      </c>
      <c r="M313" s="75"/>
      <c r="N313" s="75" t="str">
        <f t="shared" si="29"/>
        <v/>
      </c>
      <c r="O313" s="204" t="str">
        <f t="shared" si="30"/>
        <v/>
      </c>
      <c r="P313" s="8"/>
      <c r="Q313" s="8"/>
      <c r="R313" s="8"/>
      <c r="S313" s="8"/>
    </row>
    <row r="314" spans="1:19" x14ac:dyDescent="0.25">
      <c r="A314" s="197">
        <f t="shared" si="26"/>
        <v>66</v>
      </c>
      <c r="B314" s="76" t="str">
        <f t="shared" si="27"/>
        <v/>
      </c>
      <c r="C314" s="77" t="str">
        <f>IF(G314&lt;&gt;"",IFERROR(ROUND(VLOOKUP(G314,ProductList!J:AO,32,FALSE),0),""),"")</f>
        <v/>
      </c>
      <c r="D314" s="73" t="str">
        <f>IF(E314&lt;&gt;"",IF(D313&lt;&gt;"",D313,#REF!)+1,"")</f>
        <v/>
      </c>
      <c r="E314" s="73"/>
      <c r="F314" s="73"/>
      <c r="G314" s="122"/>
      <c r="H314" s="104"/>
      <c r="I314" s="73"/>
      <c r="J314" s="73"/>
      <c r="K314" s="202"/>
      <c r="L314" s="75" t="str">
        <f t="shared" si="28"/>
        <v/>
      </c>
      <c r="M314" s="75"/>
      <c r="N314" s="75" t="str">
        <f t="shared" si="29"/>
        <v/>
      </c>
      <c r="O314" s="204" t="str">
        <f t="shared" si="30"/>
        <v/>
      </c>
      <c r="P314" s="8"/>
      <c r="Q314" s="8"/>
      <c r="R314" s="8"/>
      <c r="S314" s="8"/>
    </row>
    <row r="315" spans="1:19" x14ac:dyDescent="0.25">
      <c r="A315" s="197">
        <f t="shared" si="26"/>
        <v>66</v>
      </c>
      <c r="B315" s="76" t="str">
        <f t="shared" si="27"/>
        <v/>
      </c>
      <c r="C315" s="77" t="str">
        <f>IF(G315&lt;&gt;"",IFERROR(ROUND(VLOOKUP(G315,ProductList!J:AO,32,FALSE),0),""),"")</f>
        <v/>
      </c>
      <c r="D315" s="73" t="str">
        <f>IF(E315&lt;&gt;"",IF(D314&lt;&gt;"",D314,#REF!)+1,"")</f>
        <v/>
      </c>
      <c r="E315" s="73"/>
      <c r="F315" s="73"/>
      <c r="G315" s="122"/>
      <c r="H315" s="104"/>
      <c r="I315" s="73"/>
      <c r="J315" s="73"/>
      <c r="K315" s="202"/>
      <c r="L315" s="75" t="str">
        <f t="shared" si="28"/>
        <v/>
      </c>
      <c r="M315" s="75"/>
      <c r="N315" s="75" t="str">
        <f t="shared" si="29"/>
        <v/>
      </c>
      <c r="O315" s="204" t="str">
        <f t="shared" si="30"/>
        <v/>
      </c>
      <c r="P315" s="8"/>
      <c r="Q315" s="8"/>
      <c r="R315" s="8"/>
      <c r="S315" s="8"/>
    </row>
    <row r="316" spans="1:19" x14ac:dyDescent="0.25">
      <c r="A316" s="197">
        <f t="shared" si="26"/>
        <v>66</v>
      </c>
      <c r="B316" s="76" t="str">
        <f t="shared" si="27"/>
        <v/>
      </c>
      <c r="C316" s="77" t="str">
        <f>IF(G316&lt;&gt;"",IFERROR(ROUND(VLOOKUP(G316,ProductList!J:AO,32,FALSE),0),""),"")</f>
        <v/>
      </c>
      <c r="D316" s="73" t="str">
        <f>IF(E316&lt;&gt;"",IF(D315&lt;&gt;"",D315,#REF!)+1,"")</f>
        <v/>
      </c>
      <c r="E316" s="73"/>
      <c r="F316" s="73"/>
      <c r="G316" s="122"/>
      <c r="H316" s="104"/>
      <c r="I316" s="73"/>
      <c r="J316" s="73"/>
      <c r="K316" s="202"/>
      <c r="L316" s="75" t="str">
        <f t="shared" si="28"/>
        <v/>
      </c>
      <c r="M316" s="75"/>
      <c r="N316" s="75" t="str">
        <f t="shared" si="29"/>
        <v/>
      </c>
      <c r="O316" s="204" t="str">
        <f t="shared" si="30"/>
        <v/>
      </c>
      <c r="P316" s="8"/>
      <c r="Q316" s="8"/>
      <c r="R316" s="8"/>
      <c r="S316" s="8"/>
    </row>
    <row r="317" spans="1:19" x14ac:dyDescent="0.25">
      <c r="A317" s="197">
        <f t="shared" si="26"/>
        <v>66</v>
      </c>
      <c r="B317" s="76" t="str">
        <f t="shared" si="27"/>
        <v/>
      </c>
      <c r="C317" s="77" t="str">
        <f>IF(G317&lt;&gt;"",IFERROR(ROUND(VLOOKUP(G317,ProductList!J:AO,32,FALSE),0),""),"")</f>
        <v/>
      </c>
      <c r="D317" s="73" t="str">
        <f>IF(E317&lt;&gt;"",IF(D316&lt;&gt;"",D316,#REF!)+1,"")</f>
        <v/>
      </c>
      <c r="E317" s="73"/>
      <c r="F317" s="73"/>
      <c r="G317" s="122"/>
      <c r="H317" s="104"/>
      <c r="I317" s="73"/>
      <c r="J317" s="73"/>
      <c r="K317" s="202"/>
      <c r="L317" s="75" t="str">
        <f t="shared" si="28"/>
        <v/>
      </c>
      <c r="M317" s="75"/>
      <c r="N317" s="75" t="str">
        <f t="shared" si="29"/>
        <v/>
      </c>
      <c r="O317" s="204" t="str">
        <f t="shared" si="30"/>
        <v/>
      </c>
      <c r="P317" s="8"/>
      <c r="Q317" s="8"/>
      <c r="R317" s="8"/>
      <c r="S317" s="8"/>
    </row>
    <row r="318" spans="1:19" x14ac:dyDescent="0.25">
      <c r="A318" s="197">
        <f t="shared" si="26"/>
        <v>66</v>
      </c>
      <c r="B318" s="76" t="str">
        <f t="shared" si="27"/>
        <v/>
      </c>
      <c r="C318" s="77" t="str">
        <f>IF(G318&lt;&gt;"",IFERROR(ROUND(VLOOKUP(G318,ProductList!J:AO,32,FALSE),0),""),"")</f>
        <v/>
      </c>
      <c r="D318" s="73" t="str">
        <f>IF(E318&lt;&gt;"",IF(D317&lt;&gt;"",D317,#REF!)+1,"")</f>
        <v/>
      </c>
      <c r="E318" s="73"/>
      <c r="F318" s="73"/>
      <c r="G318" s="122"/>
      <c r="H318" s="104"/>
      <c r="I318" s="73"/>
      <c r="J318" s="73"/>
      <c r="K318" s="202"/>
      <c r="L318" s="75" t="str">
        <f t="shared" si="28"/>
        <v/>
      </c>
      <c r="M318" s="75"/>
      <c r="N318" s="75" t="str">
        <f t="shared" si="29"/>
        <v/>
      </c>
      <c r="O318" s="204" t="str">
        <f t="shared" si="30"/>
        <v/>
      </c>
      <c r="P318" s="8"/>
      <c r="Q318" s="8"/>
      <c r="R318" s="8"/>
      <c r="S318" s="8"/>
    </row>
    <row r="319" spans="1:19" x14ac:dyDescent="0.25">
      <c r="A319" s="197">
        <f t="shared" si="26"/>
        <v>66</v>
      </c>
      <c r="B319" s="76" t="str">
        <f t="shared" si="27"/>
        <v/>
      </c>
      <c r="C319" s="77" t="str">
        <f>IF(G319&lt;&gt;"",IFERROR(ROUND(VLOOKUP(G319,ProductList!J:AO,32,FALSE),0),""),"")</f>
        <v/>
      </c>
      <c r="D319" s="73" t="str">
        <f>IF(E319&lt;&gt;"",IF(D318&lt;&gt;"",D318,#REF!)+1,"")</f>
        <v/>
      </c>
      <c r="E319" s="73"/>
      <c r="F319" s="73"/>
      <c r="G319" s="122"/>
      <c r="H319" s="104"/>
      <c r="I319" s="73"/>
      <c r="J319" s="73"/>
      <c r="K319" s="202"/>
      <c r="L319" s="75" t="str">
        <f t="shared" si="28"/>
        <v/>
      </c>
      <c r="M319" s="75"/>
      <c r="N319" s="75" t="str">
        <f t="shared" si="29"/>
        <v/>
      </c>
      <c r="O319" s="204" t="str">
        <f t="shared" si="30"/>
        <v/>
      </c>
      <c r="P319" s="8"/>
      <c r="Q319" s="8"/>
      <c r="R319" s="8"/>
      <c r="S319" s="8"/>
    </row>
    <row r="320" spans="1:19" x14ac:dyDescent="0.25">
      <c r="A320" s="197">
        <f t="shared" si="26"/>
        <v>66</v>
      </c>
      <c r="B320" s="76" t="str">
        <f t="shared" si="27"/>
        <v/>
      </c>
      <c r="C320" s="77" t="str">
        <f>IF(G320&lt;&gt;"",IFERROR(ROUND(VLOOKUP(G320,ProductList!J:AO,32,FALSE),0),""),"")</f>
        <v/>
      </c>
      <c r="D320" s="73" t="str">
        <f>IF(E320&lt;&gt;"",IF(D319&lt;&gt;"",D319,#REF!)+1,"")</f>
        <v/>
      </c>
      <c r="E320" s="73"/>
      <c r="F320" s="73"/>
      <c r="G320" s="122"/>
      <c r="H320" s="104"/>
      <c r="I320" s="73"/>
      <c r="J320" s="73"/>
      <c r="K320" s="202"/>
      <c r="L320" s="75" t="str">
        <f t="shared" si="28"/>
        <v/>
      </c>
      <c r="M320" s="75"/>
      <c r="N320" s="75" t="str">
        <f t="shared" si="29"/>
        <v/>
      </c>
      <c r="O320" s="204" t="str">
        <f t="shared" si="30"/>
        <v/>
      </c>
      <c r="P320" s="8"/>
      <c r="Q320" s="8"/>
      <c r="R320" s="8"/>
      <c r="S320" s="8"/>
    </row>
    <row r="321" spans="1:19" x14ac:dyDescent="0.25">
      <c r="A321" s="197">
        <f t="shared" si="26"/>
        <v>66</v>
      </c>
      <c r="B321" s="76" t="str">
        <f t="shared" si="27"/>
        <v/>
      </c>
      <c r="C321" s="77" t="str">
        <f>IF(G321&lt;&gt;"",IFERROR(ROUND(VLOOKUP(G321,ProductList!J:AO,32,FALSE),0),""),"")</f>
        <v/>
      </c>
      <c r="D321" s="73" t="str">
        <f>IF(E321&lt;&gt;"",IF(D320&lt;&gt;"",D320,#REF!)+1,"")</f>
        <v/>
      </c>
      <c r="E321" s="73"/>
      <c r="F321" s="73"/>
      <c r="G321" s="122"/>
      <c r="H321" s="104"/>
      <c r="I321" s="73"/>
      <c r="J321" s="73"/>
      <c r="K321" s="202"/>
      <c r="L321" s="75" t="str">
        <f t="shared" si="28"/>
        <v/>
      </c>
      <c r="M321" s="75"/>
      <c r="N321" s="75" t="str">
        <f t="shared" si="29"/>
        <v/>
      </c>
      <c r="O321" s="204" t="str">
        <f t="shared" si="30"/>
        <v/>
      </c>
      <c r="P321" s="8"/>
      <c r="Q321" s="8"/>
      <c r="R321" s="8"/>
      <c r="S321" s="8"/>
    </row>
    <row r="322" spans="1:19" x14ac:dyDescent="0.25">
      <c r="A322" s="197">
        <f t="shared" si="26"/>
        <v>66</v>
      </c>
      <c r="B322" s="76" t="str">
        <f t="shared" si="27"/>
        <v/>
      </c>
      <c r="C322" s="77" t="str">
        <f>IF(G322&lt;&gt;"",IFERROR(ROUND(VLOOKUP(G322,ProductList!J:AO,32,FALSE),0),""),"")</f>
        <v/>
      </c>
      <c r="D322" s="73" t="str">
        <f>IF(E322&lt;&gt;"",IF(D321&lt;&gt;"",D321,#REF!)+1,"")</f>
        <v/>
      </c>
      <c r="E322" s="73"/>
      <c r="F322" s="73"/>
      <c r="G322" s="122"/>
      <c r="H322" s="104"/>
      <c r="I322" s="73"/>
      <c r="J322" s="73"/>
      <c r="K322" s="202"/>
      <c r="L322" s="75" t="str">
        <f t="shared" si="28"/>
        <v/>
      </c>
      <c r="M322" s="75"/>
      <c r="N322" s="75" t="str">
        <f t="shared" si="29"/>
        <v/>
      </c>
      <c r="O322" s="204" t="str">
        <f t="shared" si="30"/>
        <v/>
      </c>
      <c r="P322" s="8"/>
      <c r="Q322" s="8"/>
      <c r="R322" s="8"/>
      <c r="S322" s="8"/>
    </row>
    <row r="323" spans="1:19" x14ac:dyDescent="0.25">
      <c r="A323" s="197">
        <f t="shared" si="26"/>
        <v>66</v>
      </c>
      <c r="B323" s="76" t="str">
        <f t="shared" si="27"/>
        <v/>
      </c>
      <c r="C323" s="77" t="str">
        <f>IF(G323&lt;&gt;"",IFERROR(ROUND(VLOOKUP(G323,ProductList!J:AO,32,FALSE),0),""),"")</f>
        <v/>
      </c>
      <c r="D323" s="73" t="str">
        <f>IF(E323&lt;&gt;"",IF(D322&lt;&gt;"",D322,#REF!)+1,"")</f>
        <v/>
      </c>
      <c r="E323" s="73"/>
      <c r="F323" s="73"/>
      <c r="G323" s="122"/>
      <c r="H323" s="104"/>
      <c r="I323" s="73"/>
      <c r="J323" s="73"/>
      <c r="K323" s="202"/>
      <c r="L323" s="75" t="str">
        <f t="shared" si="28"/>
        <v/>
      </c>
      <c r="M323" s="75"/>
      <c r="N323" s="75" t="str">
        <f t="shared" si="29"/>
        <v/>
      </c>
      <c r="O323" s="204" t="str">
        <f t="shared" si="30"/>
        <v/>
      </c>
      <c r="P323" s="8"/>
      <c r="Q323" s="8"/>
      <c r="R323" s="8"/>
      <c r="S323" s="8"/>
    </row>
    <row r="324" spans="1:19" x14ac:dyDescent="0.25">
      <c r="A324" s="197">
        <f t="shared" si="26"/>
        <v>66</v>
      </c>
      <c r="B324" s="76" t="str">
        <f t="shared" si="27"/>
        <v/>
      </c>
      <c r="C324" s="77" t="str">
        <f>IF(G324&lt;&gt;"",IFERROR(ROUND(VLOOKUP(G324,ProductList!J:AO,32,FALSE),0),""),"")</f>
        <v/>
      </c>
      <c r="D324" s="73" t="str">
        <f>IF(E324&lt;&gt;"",IF(D323&lt;&gt;"",D323,#REF!)+1,"")</f>
        <v/>
      </c>
      <c r="E324" s="73"/>
      <c r="F324" s="73"/>
      <c r="G324" s="122"/>
      <c r="H324" s="104"/>
      <c r="I324" s="73"/>
      <c r="J324" s="73"/>
      <c r="K324" s="202"/>
      <c r="L324" s="75" t="str">
        <f t="shared" si="28"/>
        <v/>
      </c>
      <c r="M324" s="75"/>
      <c r="N324" s="75" t="str">
        <f t="shared" si="29"/>
        <v/>
      </c>
      <c r="O324" s="204" t="str">
        <f t="shared" si="30"/>
        <v/>
      </c>
      <c r="P324" s="8"/>
      <c r="Q324" s="8"/>
      <c r="R324" s="8"/>
      <c r="S324" s="8"/>
    </row>
    <row r="325" spans="1:19" x14ac:dyDescent="0.25">
      <c r="A325" s="197">
        <f t="shared" ref="A325:A388" si="31">IF(AND(E325&lt;&gt;""),IF(A324&lt;&gt;"",A324,0)+1,A324)</f>
        <v>66</v>
      </c>
      <c r="B325" s="76" t="str">
        <f t="shared" si="27"/>
        <v/>
      </c>
      <c r="C325" s="77" t="str">
        <f>IF(G325&lt;&gt;"",IFERROR(ROUND(VLOOKUP(G325,ProductList!J:AO,32,FALSE),0),""),"")</f>
        <v/>
      </c>
      <c r="D325" s="73" t="str">
        <f>IF(E325&lt;&gt;"",IF(D324&lt;&gt;"",D324,#REF!)+1,"")</f>
        <v/>
      </c>
      <c r="E325" s="73"/>
      <c r="F325" s="73"/>
      <c r="G325" s="122"/>
      <c r="H325" s="104"/>
      <c r="I325" s="73"/>
      <c r="J325" s="73"/>
      <c r="K325" s="202"/>
      <c r="L325" s="75" t="str">
        <f t="shared" si="28"/>
        <v/>
      </c>
      <c r="M325" s="75"/>
      <c r="N325" s="75" t="str">
        <f t="shared" si="29"/>
        <v/>
      </c>
      <c r="O325" s="204" t="str">
        <f t="shared" si="30"/>
        <v/>
      </c>
      <c r="P325" s="8"/>
      <c r="Q325" s="8"/>
      <c r="R325" s="8"/>
      <c r="S325" s="8"/>
    </row>
    <row r="326" spans="1:19" x14ac:dyDescent="0.25">
      <c r="A326" s="197">
        <f t="shared" si="31"/>
        <v>66</v>
      </c>
      <c r="B326" s="76" t="str">
        <f t="shared" ref="B326:B389" si="32">IF(AND(L326&lt;&gt;"",F326&lt;&gt;""),ROUND((((L326-F326)*100)/F326),2),"")</f>
        <v/>
      </c>
      <c r="C326" s="77" t="str">
        <f>IF(G326&lt;&gt;"",IFERROR(ROUND(VLOOKUP(G326,ProductList!J:AO,32,FALSE),0),""),"")</f>
        <v/>
      </c>
      <c r="D326" s="73" t="str">
        <f>IF(E326&lt;&gt;"",IF(D325&lt;&gt;"",D325,#REF!)+1,"")</f>
        <v/>
      </c>
      <c r="E326" s="73"/>
      <c r="F326" s="73"/>
      <c r="G326" s="122"/>
      <c r="H326" s="104"/>
      <c r="I326" s="73"/>
      <c r="J326" s="73"/>
      <c r="K326" s="202"/>
      <c r="L326" s="75" t="str">
        <f t="shared" ref="L326:L389" si="33">IF(AND(J326&lt;&gt;"",K326&lt;&gt;""),K326*J326,"")</f>
        <v/>
      </c>
      <c r="M326" s="75"/>
      <c r="N326" s="75" t="str">
        <f t="shared" ref="N326:N389" si="34">IF(AND(M326&lt;&gt;"",J326&lt;&gt;""),M326*J326,"")</f>
        <v/>
      </c>
      <c r="O326" s="204" t="str">
        <f t="shared" si="30"/>
        <v/>
      </c>
      <c r="P326" s="8"/>
      <c r="Q326" s="8"/>
      <c r="R326" s="8"/>
      <c r="S326" s="8"/>
    </row>
    <row r="327" spans="1:19" x14ac:dyDescent="0.25">
      <c r="A327" s="197">
        <f t="shared" si="31"/>
        <v>66</v>
      </c>
      <c r="B327" s="76" t="str">
        <f t="shared" si="32"/>
        <v/>
      </c>
      <c r="C327" s="77" t="str">
        <f>IF(G327&lt;&gt;"",IFERROR(ROUND(VLOOKUP(G327,ProductList!J:AO,32,FALSE),0),""),"")</f>
        <v/>
      </c>
      <c r="D327" s="73" t="str">
        <f>IF(E327&lt;&gt;"",IF(D326&lt;&gt;"",D326,#REF!)+1,"")</f>
        <v/>
      </c>
      <c r="E327" s="73"/>
      <c r="F327" s="73"/>
      <c r="G327" s="122"/>
      <c r="H327" s="104"/>
      <c r="I327" s="73"/>
      <c r="J327" s="73"/>
      <c r="K327" s="202"/>
      <c r="L327" s="75" t="str">
        <f t="shared" si="33"/>
        <v/>
      </c>
      <c r="M327" s="75"/>
      <c r="N327" s="75" t="str">
        <f t="shared" si="34"/>
        <v/>
      </c>
      <c r="O327" s="204" t="str">
        <f t="shared" si="30"/>
        <v/>
      </c>
      <c r="P327" s="8"/>
      <c r="Q327" s="8"/>
      <c r="R327" s="8"/>
      <c r="S327" s="8"/>
    </row>
    <row r="328" spans="1:19" x14ac:dyDescent="0.25">
      <c r="A328" s="197">
        <f t="shared" si="31"/>
        <v>66</v>
      </c>
      <c r="B328" s="76" t="str">
        <f t="shared" si="32"/>
        <v/>
      </c>
      <c r="C328" s="77" t="str">
        <f>IF(G328&lt;&gt;"",IFERROR(ROUND(VLOOKUP(G328,ProductList!J:AO,32,FALSE),0),""),"")</f>
        <v/>
      </c>
      <c r="D328" s="73" t="str">
        <f>IF(E328&lt;&gt;"",IF(D327&lt;&gt;"",D327,#REF!)+1,"")</f>
        <v/>
      </c>
      <c r="E328" s="73"/>
      <c r="F328" s="73"/>
      <c r="G328" s="122"/>
      <c r="H328" s="104"/>
      <c r="I328" s="73"/>
      <c r="J328" s="73"/>
      <c r="K328" s="202"/>
      <c r="L328" s="75" t="str">
        <f t="shared" si="33"/>
        <v/>
      </c>
      <c r="M328" s="75"/>
      <c r="N328" s="75" t="str">
        <f t="shared" si="34"/>
        <v/>
      </c>
      <c r="O328" s="204" t="str">
        <f t="shared" si="30"/>
        <v/>
      </c>
      <c r="P328" s="8"/>
      <c r="Q328" s="8"/>
      <c r="R328" s="8"/>
      <c r="S328" s="8"/>
    </row>
    <row r="329" spans="1:19" x14ac:dyDescent="0.25">
      <c r="A329" s="197">
        <f t="shared" si="31"/>
        <v>66</v>
      </c>
      <c r="B329" s="76" t="str">
        <f t="shared" si="32"/>
        <v/>
      </c>
      <c r="C329" s="77" t="str">
        <f>IF(G329&lt;&gt;"",IFERROR(ROUND(VLOOKUP(G329,ProductList!J:AO,32,FALSE),0),""),"")</f>
        <v/>
      </c>
      <c r="D329" s="73" t="str">
        <f>IF(E329&lt;&gt;"",IF(D328&lt;&gt;"",D328,#REF!)+1,"")</f>
        <v/>
      </c>
      <c r="E329" s="73"/>
      <c r="F329" s="73"/>
      <c r="G329" s="122"/>
      <c r="H329" s="104"/>
      <c r="I329" s="73"/>
      <c r="J329" s="73"/>
      <c r="K329" s="202"/>
      <c r="L329" s="75" t="str">
        <f t="shared" si="33"/>
        <v/>
      </c>
      <c r="M329" s="75"/>
      <c r="N329" s="75" t="str">
        <f t="shared" si="34"/>
        <v/>
      </c>
      <c r="O329" s="204" t="str">
        <f t="shared" si="30"/>
        <v/>
      </c>
      <c r="P329" s="8"/>
      <c r="Q329" s="8"/>
      <c r="R329" s="8"/>
      <c r="S329" s="8"/>
    </row>
    <row r="330" spans="1:19" x14ac:dyDescent="0.25">
      <c r="A330" s="197">
        <f t="shared" si="31"/>
        <v>66</v>
      </c>
      <c r="B330" s="76" t="str">
        <f t="shared" si="32"/>
        <v/>
      </c>
      <c r="C330" s="77" t="str">
        <f>IF(G330&lt;&gt;"",IFERROR(ROUND(VLOOKUP(G330,ProductList!J:AO,32,FALSE),0),""),"")</f>
        <v/>
      </c>
      <c r="D330" s="73" t="str">
        <f>IF(E330&lt;&gt;"",IF(D329&lt;&gt;"",D329,#REF!)+1,"")</f>
        <v/>
      </c>
      <c r="E330" s="73"/>
      <c r="F330" s="73"/>
      <c r="G330" s="122"/>
      <c r="H330" s="104"/>
      <c r="I330" s="73"/>
      <c r="J330" s="73"/>
      <c r="K330" s="202"/>
      <c r="L330" s="75" t="str">
        <f t="shared" si="33"/>
        <v/>
      </c>
      <c r="M330" s="75"/>
      <c r="N330" s="75" t="str">
        <f t="shared" si="34"/>
        <v/>
      </c>
      <c r="O330" s="204" t="str">
        <f t="shared" si="30"/>
        <v/>
      </c>
      <c r="P330" s="8"/>
      <c r="Q330" s="8"/>
      <c r="R330" s="8"/>
      <c r="S330" s="8"/>
    </row>
    <row r="331" spans="1:19" x14ac:dyDescent="0.25">
      <c r="A331" s="197">
        <f t="shared" si="31"/>
        <v>66</v>
      </c>
      <c r="B331" s="76" t="str">
        <f t="shared" si="32"/>
        <v/>
      </c>
      <c r="C331" s="77" t="str">
        <f>IF(G331&lt;&gt;"",IFERROR(ROUND(VLOOKUP(G331,ProductList!J:AO,32,FALSE),0),""),"")</f>
        <v/>
      </c>
      <c r="D331" s="73" t="str">
        <f>IF(E331&lt;&gt;"",IF(D330&lt;&gt;"",D330,#REF!)+1,"")</f>
        <v/>
      </c>
      <c r="E331" s="73"/>
      <c r="F331" s="73"/>
      <c r="G331" s="122"/>
      <c r="H331" s="104"/>
      <c r="I331" s="73"/>
      <c r="J331" s="73"/>
      <c r="K331" s="202"/>
      <c r="L331" s="75" t="str">
        <f t="shared" si="33"/>
        <v/>
      </c>
      <c r="M331" s="75"/>
      <c r="N331" s="75" t="str">
        <f t="shared" si="34"/>
        <v/>
      </c>
      <c r="O331" s="204" t="str">
        <f t="shared" si="30"/>
        <v/>
      </c>
      <c r="P331" s="8"/>
      <c r="Q331" s="8"/>
      <c r="R331" s="8"/>
      <c r="S331" s="8"/>
    </row>
    <row r="332" spans="1:19" x14ac:dyDescent="0.25">
      <c r="A332" s="197">
        <f t="shared" si="31"/>
        <v>66</v>
      </c>
      <c r="B332" s="76" t="str">
        <f t="shared" si="32"/>
        <v/>
      </c>
      <c r="C332" s="77" t="str">
        <f>IF(G332&lt;&gt;"",IFERROR(ROUND(VLOOKUP(G332,ProductList!J:AO,32,FALSE),0),""),"")</f>
        <v/>
      </c>
      <c r="D332" s="73" t="str">
        <f>IF(E332&lt;&gt;"",IF(D331&lt;&gt;"",D331,#REF!)+1,"")</f>
        <v/>
      </c>
      <c r="E332" s="73"/>
      <c r="F332" s="73"/>
      <c r="G332" s="122"/>
      <c r="H332" s="104"/>
      <c r="I332" s="73"/>
      <c r="J332" s="73"/>
      <c r="K332" s="202"/>
      <c r="L332" s="75" t="str">
        <f t="shared" si="33"/>
        <v/>
      </c>
      <c r="M332" s="75"/>
      <c r="N332" s="75" t="str">
        <f t="shared" si="34"/>
        <v/>
      </c>
      <c r="O332" s="204" t="str">
        <f t="shared" si="30"/>
        <v/>
      </c>
      <c r="P332" s="8"/>
      <c r="Q332" s="8"/>
      <c r="R332" s="8"/>
      <c r="S332" s="8"/>
    </row>
    <row r="333" spans="1:19" x14ac:dyDescent="0.25">
      <c r="A333" s="197">
        <f t="shared" si="31"/>
        <v>66</v>
      </c>
      <c r="B333" s="76" t="str">
        <f t="shared" si="32"/>
        <v/>
      </c>
      <c r="C333" s="77" t="str">
        <f>IF(G333&lt;&gt;"",IFERROR(ROUND(VLOOKUP(G333,ProductList!J:AO,32,FALSE),0),""),"")</f>
        <v/>
      </c>
      <c r="D333" s="73" t="str">
        <f>IF(E333&lt;&gt;"",IF(D332&lt;&gt;"",D332,#REF!)+1,"")</f>
        <v/>
      </c>
      <c r="E333" s="73"/>
      <c r="F333" s="73"/>
      <c r="G333" s="122"/>
      <c r="H333" s="104"/>
      <c r="I333" s="73"/>
      <c r="J333" s="73"/>
      <c r="K333" s="202"/>
      <c r="L333" s="75" t="str">
        <f t="shared" si="33"/>
        <v/>
      </c>
      <c r="M333" s="75"/>
      <c r="N333" s="75" t="str">
        <f t="shared" si="34"/>
        <v/>
      </c>
      <c r="O333" s="204" t="str">
        <f t="shared" si="30"/>
        <v/>
      </c>
      <c r="P333" s="8"/>
      <c r="Q333" s="8"/>
      <c r="R333" s="8"/>
      <c r="S333" s="8"/>
    </row>
    <row r="334" spans="1:19" x14ac:dyDescent="0.25">
      <c r="A334" s="197">
        <f t="shared" si="31"/>
        <v>66</v>
      </c>
      <c r="B334" s="76" t="str">
        <f t="shared" si="32"/>
        <v/>
      </c>
      <c r="C334" s="77" t="str">
        <f>IF(G334&lt;&gt;"",IFERROR(ROUND(VLOOKUP(G334,ProductList!J:AO,32,FALSE),0),""),"")</f>
        <v/>
      </c>
      <c r="D334" s="73" t="str">
        <f>IF(E334&lt;&gt;"",IF(D333&lt;&gt;"",D333,#REF!)+1,"")</f>
        <v/>
      </c>
      <c r="E334" s="73"/>
      <c r="F334" s="73"/>
      <c r="G334" s="122"/>
      <c r="H334" s="104"/>
      <c r="I334" s="73"/>
      <c r="J334" s="73"/>
      <c r="K334" s="202"/>
      <c r="L334" s="75" t="str">
        <f t="shared" si="33"/>
        <v/>
      </c>
      <c r="M334" s="75"/>
      <c r="N334" s="75" t="str">
        <f t="shared" si="34"/>
        <v/>
      </c>
      <c r="O334" s="204" t="str">
        <f t="shared" ref="O334:O397" si="35">IF(AND(K334&lt;&gt;"",M334&lt;&gt;""),K334-M334,IF(K334&lt;&gt;"",K334,""))</f>
        <v/>
      </c>
      <c r="P334" s="8"/>
      <c r="Q334" s="8"/>
      <c r="R334" s="8"/>
      <c r="S334" s="8"/>
    </row>
    <row r="335" spans="1:19" x14ac:dyDescent="0.25">
      <c r="A335" s="197">
        <f t="shared" si="31"/>
        <v>66</v>
      </c>
      <c r="B335" s="76" t="str">
        <f t="shared" si="32"/>
        <v/>
      </c>
      <c r="C335" s="77" t="str">
        <f>IF(G335&lt;&gt;"",IFERROR(ROUND(VLOOKUP(G335,ProductList!J:AO,32,FALSE),0),""),"")</f>
        <v/>
      </c>
      <c r="D335" s="73" t="str">
        <f>IF(E335&lt;&gt;"",IF(D334&lt;&gt;"",D334,#REF!)+1,"")</f>
        <v/>
      </c>
      <c r="E335" s="73"/>
      <c r="F335" s="73"/>
      <c r="G335" s="122"/>
      <c r="H335" s="104"/>
      <c r="I335" s="73"/>
      <c r="J335" s="73"/>
      <c r="K335" s="202"/>
      <c r="L335" s="75" t="str">
        <f t="shared" si="33"/>
        <v/>
      </c>
      <c r="M335" s="75"/>
      <c r="N335" s="75" t="str">
        <f t="shared" si="34"/>
        <v/>
      </c>
      <c r="O335" s="204" t="str">
        <f t="shared" si="35"/>
        <v/>
      </c>
      <c r="P335" s="8"/>
      <c r="Q335" s="8"/>
      <c r="R335" s="8"/>
      <c r="S335" s="8"/>
    </row>
    <row r="336" spans="1:19" x14ac:dyDescent="0.25">
      <c r="A336" s="197">
        <f t="shared" si="31"/>
        <v>66</v>
      </c>
      <c r="B336" s="76" t="str">
        <f t="shared" si="32"/>
        <v/>
      </c>
      <c r="C336" s="77" t="str">
        <f>IF(G336&lt;&gt;"",IFERROR(ROUND(VLOOKUP(G336,ProductList!J:AO,32,FALSE),0),""),"")</f>
        <v/>
      </c>
      <c r="D336" s="73" t="str">
        <f>IF(E336&lt;&gt;"",IF(D335&lt;&gt;"",D335,#REF!)+1,"")</f>
        <v/>
      </c>
      <c r="E336" s="73"/>
      <c r="F336" s="73"/>
      <c r="G336" s="122"/>
      <c r="H336" s="104"/>
      <c r="I336" s="73"/>
      <c r="J336" s="73"/>
      <c r="K336" s="202"/>
      <c r="L336" s="75" t="str">
        <f t="shared" si="33"/>
        <v/>
      </c>
      <c r="M336" s="75"/>
      <c r="N336" s="75" t="str">
        <f t="shared" si="34"/>
        <v/>
      </c>
      <c r="O336" s="204" t="str">
        <f t="shared" si="35"/>
        <v/>
      </c>
      <c r="P336" s="8"/>
      <c r="Q336" s="8"/>
      <c r="R336" s="8"/>
      <c r="S336" s="8"/>
    </row>
    <row r="337" spans="1:19" x14ac:dyDescent="0.25">
      <c r="A337" s="197">
        <f t="shared" si="31"/>
        <v>66</v>
      </c>
      <c r="B337" s="76" t="str">
        <f t="shared" si="32"/>
        <v/>
      </c>
      <c r="C337" s="77" t="str">
        <f>IF(G337&lt;&gt;"",IFERROR(ROUND(VLOOKUP(G337,ProductList!J:AO,32,FALSE),0),""),"")</f>
        <v/>
      </c>
      <c r="D337" s="73" t="str">
        <f>IF(E337&lt;&gt;"",IF(D336&lt;&gt;"",D336,#REF!)+1,"")</f>
        <v/>
      </c>
      <c r="E337" s="73"/>
      <c r="F337" s="73"/>
      <c r="G337" s="122"/>
      <c r="H337" s="104"/>
      <c r="I337" s="73"/>
      <c r="J337" s="73"/>
      <c r="K337" s="202"/>
      <c r="L337" s="75" t="str">
        <f t="shared" si="33"/>
        <v/>
      </c>
      <c r="M337" s="75"/>
      <c r="N337" s="75" t="str">
        <f t="shared" si="34"/>
        <v/>
      </c>
      <c r="O337" s="204" t="str">
        <f t="shared" si="35"/>
        <v/>
      </c>
      <c r="P337" s="8"/>
      <c r="Q337" s="8"/>
      <c r="R337" s="8"/>
      <c r="S337" s="8"/>
    </row>
    <row r="338" spans="1:19" x14ac:dyDescent="0.25">
      <c r="A338" s="197">
        <f t="shared" si="31"/>
        <v>66</v>
      </c>
      <c r="B338" s="76" t="str">
        <f t="shared" si="32"/>
        <v/>
      </c>
      <c r="C338" s="77" t="str">
        <f>IF(G338&lt;&gt;"",IFERROR(ROUND(VLOOKUP(G338,ProductList!J:AO,32,FALSE),0),""),"")</f>
        <v/>
      </c>
      <c r="D338" s="73" t="str">
        <f>IF(E338&lt;&gt;"",IF(D337&lt;&gt;"",D337,#REF!)+1,"")</f>
        <v/>
      </c>
      <c r="E338" s="73"/>
      <c r="F338" s="73"/>
      <c r="G338" s="122"/>
      <c r="H338" s="104"/>
      <c r="I338" s="73"/>
      <c r="J338" s="73"/>
      <c r="K338" s="202"/>
      <c r="L338" s="75" t="str">
        <f t="shared" si="33"/>
        <v/>
      </c>
      <c r="M338" s="75"/>
      <c r="N338" s="75" t="str">
        <f t="shared" si="34"/>
        <v/>
      </c>
      <c r="O338" s="204" t="str">
        <f t="shared" si="35"/>
        <v/>
      </c>
      <c r="P338" s="8"/>
      <c r="Q338" s="8"/>
      <c r="R338" s="8"/>
      <c r="S338" s="8"/>
    </row>
    <row r="339" spans="1:19" x14ac:dyDescent="0.25">
      <c r="A339" s="197">
        <f t="shared" si="31"/>
        <v>66</v>
      </c>
      <c r="B339" s="76" t="str">
        <f t="shared" si="32"/>
        <v/>
      </c>
      <c r="C339" s="77" t="str">
        <f>IF(G339&lt;&gt;"",IFERROR(ROUND(VLOOKUP(G339,ProductList!J:AO,32,FALSE),0),""),"")</f>
        <v/>
      </c>
      <c r="D339" s="73" t="str">
        <f>IF(E339&lt;&gt;"",IF(D338&lt;&gt;"",D338,#REF!)+1,"")</f>
        <v/>
      </c>
      <c r="E339" s="73"/>
      <c r="F339" s="73"/>
      <c r="G339" s="122"/>
      <c r="H339" s="104"/>
      <c r="I339" s="73"/>
      <c r="J339" s="73"/>
      <c r="K339" s="202"/>
      <c r="L339" s="75" t="str">
        <f t="shared" si="33"/>
        <v/>
      </c>
      <c r="M339" s="75"/>
      <c r="N339" s="75" t="str">
        <f t="shared" si="34"/>
        <v/>
      </c>
      <c r="O339" s="204" t="str">
        <f t="shared" si="35"/>
        <v/>
      </c>
      <c r="P339" s="8"/>
      <c r="Q339" s="8"/>
      <c r="R339" s="8"/>
      <c r="S339" s="8"/>
    </row>
    <row r="340" spans="1:19" x14ac:dyDescent="0.25">
      <c r="A340" s="197">
        <f t="shared" si="31"/>
        <v>66</v>
      </c>
      <c r="B340" s="76" t="str">
        <f t="shared" si="32"/>
        <v/>
      </c>
      <c r="C340" s="77" t="str">
        <f>IF(G340&lt;&gt;"",IFERROR(ROUND(VLOOKUP(G340,ProductList!J:AO,32,FALSE),0),""),"")</f>
        <v/>
      </c>
      <c r="D340" s="73" t="str">
        <f>IF(E340&lt;&gt;"",IF(D339&lt;&gt;"",D339,#REF!)+1,"")</f>
        <v/>
      </c>
      <c r="E340" s="73"/>
      <c r="F340" s="73"/>
      <c r="G340" s="122"/>
      <c r="H340" s="104"/>
      <c r="I340" s="73"/>
      <c r="J340" s="73"/>
      <c r="K340" s="202"/>
      <c r="L340" s="75" t="str">
        <f t="shared" si="33"/>
        <v/>
      </c>
      <c r="M340" s="75"/>
      <c r="N340" s="75" t="str">
        <f t="shared" si="34"/>
        <v/>
      </c>
      <c r="O340" s="204" t="str">
        <f t="shared" si="35"/>
        <v/>
      </c>
      <c r="P340" s="8"/>
      <c r="Q340" s="8"/>
      <c r="R340" s="8"/>
      <c r="S340" s="8"/>
    </row>
    <row r="341" spans="1:19" x14ac:dyDescent="0.25">
      <c r="A341" s="197">
        <f t="shared" si="31"/>
        <v>66</v>
      </c>
      <c r="B341" s="76" t="str">
        <f t="shared" si="32"/>
        <v/>
      </c>
      <c r="C341" s="77" t="str">
        <f>IF(G341&lt;&gt;"",IFERROR(ROUND(VLOOKUP(G341,ProductList!J:AO,32,FALSE),0),""),"")</f>
        <v/>
      </c>
      <c r="D341" s="73" t="str">
        <f>IF(E341&lt;&gt;"",IF(D340&lt;&gt;"",D340,#REF!)+1,"")</f>
        <v/>
      </c>
      <c r="E341" s="73"/>
      <c r="F341" s="73"/>
      <c r="G341" s="122"/>
      <c r="H341" s="104"/>
      <c r="I341" s="73"/>
      <c r="J341" s="73"/>
      <c r="K341" s="202"/>
      <c r="L341" s="75" t="str">
        <f t="shared" si="33"/>
        <v/>
      </c>
      <c r="M341" s="75"/>
      <c r="N341" s="75" t="str">
        <f t="shared" si="34"/>
        <v/>
      </c>
      <c r="O341" s="204" t="str">
        <f t="shared" si="35"/>
        <v/>
      </c>
      <c r="P341" s="8"/>
      <c r="Q341" s="8"/>
      <c r="R341" s="8"/>
      <c r="S341" s="8"/>
    </row>
    <row r="342" spans="1:19" x14ac:dyDescent="0.25">
      <c r="A342" s="197">
        <f t="shared" si="31"/>
        <v>66</v>
      </c>
      <c r="B342" s="76" t="str">
        <f t="shared" si="32"/>
        <v/>
      </c>
      <c r="C342" s="77" t="str">
        <f>IF(G342&lt;&gt;"",IFERROR(ROUND(VLOOKUP(G342,ProductList!J:AO,32,FALSE),0),""),"")</f>
        <v/>
      </c>
      <c r="D342" s="73" t="str">
        <f>IF(E342&lt;&gt;"",IF(D341&lt;&gt;"",D341,#REF!)+1,"")</f>
        <v/>
      </c>
      <c r="E342" s="73"/>
      <c r="F342" s="73"/>
      <c r="G342" s="122"/>
      <c r="H342" s="104"/>
      <c r="I342" s="73"/>
      <c r="J342" s="73"/>
      <c r="K342" s="202"/>
      <c r="L342" s="75" t="str">
        <f t="shared" si="33"/>
        <v/>
      </c>
      <c r="M342" s="75"/>
      <c r="N342" s="75" t="str">
        <f t="shared" si="34"/>
        <v/>
      </c>
      <c r="O342" s="204" t="str">
        <f t="shared" si="35"/>
        <v/>
      </c>
      <c r="P342" s="8"/>
      <c r="Q342" s="8"/>
      <c r="R342" s="8"/>
      <c r="S342" s="8"/>
    </row>
    <row r="343" spans="1:19" x14ac:dyDescent="0.25">
      <c r="A343" s="197">
        <f t="shared" si="31"/>
        <v>66</v>
      </c>
      <c r="B343" s="76" t="str">
        <f t="shared" si="32"/>
        <v/>
      </c>
      <c r="C343" s="77" t="str">
        <f>IF(G343&lt;&gt;"",IFERROR(ROUND(VLOOKUP(G343,ProductList!J:AO,32,FALSE),0),""),"")</f>
        <v/>
      </c>
      <c r="D343" s="73" t="str">
        <f>IF(E343&lt;&gt;"",IF(D342&lt;&gt;"",D342,#REF!)+1,"")</f>
        <v/>
      </c>
      <c r="E343" s="73"/>
      <c r="F343" s="73"/>
      <c r="G343" s="122"/>
      <c r="H343" s="104"/>
      <c r="I343" s="73"/>
      <c r="J343" s="73"/>
      <c r="K343" s="202"/>
      <c r="L343" s="75" t="str">
        <f t="shared" si="33"/>
        <v/>
      </c>
      <c r="M343" s="75"/>
      <c r="N343" s="75" t="str">
        <f t="shared" si="34"/>
        <v/>
      </c>
      <c r="O343" s="204" t="str">
        <f t="shared" si="35"/>
        <v/>
      </c>
      <c r="P343" s="8"/>
      <c r="Q343" s="8"/>
      <c r="R343" s="8"/>
      <c r="S343" s="8"/>
    </row>
    <row r="344" spans="1:19" x14ac:dyDescent="0.25">
      <c r="A344" s="197">
        <f t="shared" si="31"/>
        <v>66</v>
      </c>
      <c r="B344" s="76" t="str">
        <f t="shared" si="32"/>
        <v/>
      </c>
      <c r="C344" s="77" t="str">
        <f>IF(G344&lt;&gt;"",IFERROR(ROUND(VLOOKUP(G344,ProductList!J:AO,32,FALSE),0),""),"")</f>
        <v/>
      </c>
      <c r="D344" s="73" t="str">
        <f>IF(E344&lt;&gt;"",IF(D343&lt;&gt;"",D343,#REF!)+1,"")</f>
        <v/>
      </c>
      <c r="E344" s="73"/>
      <c r="F344" s="73"/>
      <c r="G344" s="122"/>
      <c r="H344" s="104"/>
      <c r="I344" s="73"/>
      <c r="J344" s="73"/>
      <c r="K344" s="202"/>
      <c r="L344" s="75" t="str">
        <f t="shared" si="33"/>
        <v/>
      </c>
      <c r="M344" s="75"/>
      <c r="N344" s="75" t="str">
        <f t="shared" si="34"/>
        <v/>
      </c>
      <c r="O344" s="204" t="str">
        <f t="shared" si="35"/>
        <v/>
      </c>
      <c r="P344" s="8"/>
      <c r="Q344" s="8"/>
      <c r="R344" s="8"/>
      <c r="S344" s="8"/>
    </row>
    <row r="345" spans="1:19" x14ac:dyDescent="0.25">
      <c r="A345" s="197">
        <f t="shared" si="31"/>
        <v>66</v>
      </c>
      <c r="B345" s="76" t="str">
        <f t="shared" si="32"/>
        <v/>
      </c>
      <c r="C345" s="77" t="str">
        <f>IF(G345&lt;&gt;"",IFERROR(ROUND(VLOOKUP(G345,ProductList!J:AO,32,FALSE),0),""),"")</f>
        <v/>
      </c>
      <c r="D345" s="73" t="str">
        <f>IF(E345&lt;&gt;"",IF(D344&lt;&gt;"",D344,#REF!)+1,"")</f>
        <v/>
      </c>
      <c r="E345" s="73"/>
      <c r="F345" s="73"/>
      <c r="G345" s="122"/>
      <c r="H345" s="104"/>
      <c r="I345" s="73"/>
      <c r="J345" s="73"/>
      <c r="K345" s="202"/>
      <c r="L345" s="75" t="str">
        <f t="shared" si="33"/>
        <v/>
      </c>
      <c r="M345" s="75"/>
      <c r="N345" s="75" t="str">
        <f t="shared" si="34"/>
        <v/>
      </c>
      <c r="O345" s="204" t="str">
        <f t="shared" si="35"/>
        <v/>
      </c>
      <c r="P345" s="8"/>
      <c r="Q345" s="8"/>
      <c r="R345" s="8"/>
      <c r="S345" s="8"/>
    </row>
    <row r="346" spans="1:19" x14ac:dyDescent="0.25">
      <c r="A346" s="197">
        <f t="shared" si="31"/>
        <v>66</v>
      </c>
      <c r="B346" s="76" t="str">
        <f t="shared" si="32"/>
        <v/>
      </c>
      <c r="C346" s="77" t="str">
        <f>IF(G346&lt;&gt;"",IFERROR(ROUND(VLOOKUP(G346,ProductList!J:AO,32,FALSE),0),""),"")</f>
        <v/>
      </c>
      <c r="D346" s="73" t="str">
        <f>IF(E346&lt;&gt;"",IF(D345&lt;&gt;"",D345,#REF!)+1,"")</f>
        <v/>
      </c>
      <c r="E346" s="73"/>
      <c r="F346" s="73"/>
      <c r="G346" s="122"/>
      <c r="H346" s="104"/>
      <c r="I346" s="73"/>
      <c r="J346" s="73"/>
      <c r="K346" s="202"/>
      <c r="L346" s="75" t="str">
        <f t="shared" si="33"/>
        <v/>
      </c>
      <c r="M346" s="75"/>
      <c r="N346" s="75" t="str">
        <f t="shared" si="34"/>
        <v/>
      </c>
      <c r="O346" s="204" t="str">
        <f t="shared" si="35"/>
        <v/>
      </c>
      <c r="P346" s="8"/>
      <c r="Q346" s="8"/>
      <c r="R346" s="8"/>
      <c r="S346" s="8"/>
    </row>
    <row r="347" spans="1:19" x14ac:dyDescent="0.25">
      <c r="A347" s="197">
        <f t="shared" si="31"/>
        <v>66</v>
      </c>
      <c r="B347" s="76" t="str">
        <f t="shared" si="32"/>
        <v/>
      </c>
      <c r="C347" s="77" t="str">
        <f>IF(G347&lt;&gt;"",IFERROR(ROUND(VLOOKUP(G347,ProductList!J:AO,32,FALSE),0),""),"")</f>
        <v/>
      </c>
      <c r="D347" s="73" t="str">
        <f>IF(E347&lt;&gt;"",IF(D346&lt;&gt;"",D346,#REF!)+1,"")</f>
        <v/>
      </c>
      <c r="E347" s="73"/>
      <c r="F347" s="73"/>
      <c r="G347" s="122"/>
      <c r="H347" s="104"/>
      <c r="I347" s="73"/>
      <c r="J347" s="73"/>
      <c r="K347" s="202"/>
      <c r="L347" s="75" t="str">
        <f t="shared" si="33"/>
        <v/>
      </c>
      <c r="M347" s="75"/>
      <c r="N347" s="75" t="str">
        <f t="shared" si="34"/>
        <v/>
      </c>
      <c r="O347" s="204" t="str">
        <f t="shared" si="35"/>
        <v/>
      </c>
      <c r="P347" s="8"/>
      <c r="Q347" s="8"/>
      <c r="R347" s="8"/>
      <c r="S347" s="8"/>
    </row>
    <row r="348" spans="1:19" x14ac:dyDescent="0.25">
      <c r="A348" s="197">
        <f t="shared" si="31"/>
        <v>66</v>
      </c>
      <c r="B348" s="76" t="str">
        <f t="shared" si="32"/>
        <v/>
      </c>
      <c r="C348" s="77" t="str">
        <f>IF(G348&lt;&gt;"",IFERROR(ROUND(VLOOKUP(G348,ProductList!J:AO,32,FALSE),0),""),"")</f>
        <v/>
      </c>
      <c r="D348" s="73" t="str">
        <f>IF(E348&lt;&gt;"",IF(D347&lt;&gt;"",D347,#REF!)+1,"")</f>
        <v/>
      </c>
      <c r="E348" s="73"/>
      <c r="F348" s="73"/>
      <c r="G348" s="122"/>
      <c r="H348" s="104"/>
      <c r="I348" s="73"/>
      <c r="J348" s="73"/>
      <c r="K348" s="202"/>
      <c r="L348" s="75" t="str">
        <f t="shared" si="33"/>
        <v/>
      </c>
      <c r="M348" s="75"/>
      <c r="N348" s="75" t="str">
        <f t="shared" si="34"/>
        <v/>
      </c>
      <c r="O348" s="204" t="str">
        <f t="shared" si="35"/>
        <v/>
      </c>
      <c r="P348" s="8"/>
      <c r="Q348" s="8"/>
      <c r="R348" s="8"/>
      <c r="S348" s="8"/>
    </row>
    <row r="349" spans="1:19" x14ac:dyDescent="0.25">
      <c r="A349" s="197">
        <f t="shared" si="31"/>
        <v>66</v>
      </c>
      <c r="B349" s="76" t="str">
        <f t="shared" si="32"/>
        <v/>
      </c>
      <c r="C349" s="77" t="str">
        <f>IF(G349&lt;&gt;"",IFERROR(ROUND(VLOOKUP(G349,ProductList!J:AO,32,FALSE),0),""),"")</f>
        <v/>
      </c>
      <c r="D349" s="73" t="str">
        <f>IF(E349&lt;&gt;"",IF(D348&lt;&gt;"",D348,#REF!)+1,"")</f>
        <v/>
      </c>
      <c r="E349" s="73"/>
      <c r="F349" s="73"/>
      <c r="G349" s="122"/>
      <c r="H349" s="104"/>
      <c r="I349" s="73"/>
      <c r="J349" s="73"/>
      <c r="K349" s="202"/>
      <c r="L349" s="75" t="str">
        <f t="shared" si="33"/>
        <v/>
      </c>
      <c r="M349" s="75"/>
      <c r="N349" s="75" t="str">
        <f t="shared" si="34"/>
        <v/>
      </c>
      <c r="O349" s="204" t="str">
        <f t="shared" si="35"/>
        <v/>
      </c>
      <c r="P349" s="8"/>
      <c r="Q349" s="8"/>
      <c r="R349" s="8"/>
      <c r="S349" s="8"/>
    </row>
    <row r="350" spans="1:19" x14ac:dyDescent="0.25">
      <c r="A350" s="197">
        <f t="shared" si="31"/>
        <v>66</v>
      </c>
      <c r="B350" s="76" t="str">
        <f t="shared" si="32"/>
        <v/>
      </c>
      <c r="C350" s="77" t="str">
        <f>IF(G350&lt;&gt;"",IFERROR(ROUND(VLOOKUP(G350,ProductList!J:AO,32,FALSE),0),""),"")</f>
        <v/>
      </c>
      <c r="D350" s="73" t="str">
        <f>IF(E350&lt;&gt;"",IF(D349&lt;&gt;"",D349,#REF!)+1,"")</f>
        <v/>
      </c>
      <c r="E350" s="73"/>
      <c r="F350" s="73"/>
      <c r="G350" s="122"/>
      <c r="H350" s="104"/>
      <c r="I350" s="73"/>
      <c r="J350" s="73"/>
      <c r="K350" s="202"/>
      <c r="L350" s="75" t="str">
        <f t="shared" si="33"/>
        <v/>
      </c>
      <c r="M350" s="75"/>
      <c r="N350" s="75" t="str">
        <f t="shared" si="34"/>
        <v/>
      </c>
      <c r="O350" s="204" t="str">
        <f t="shared" si="35"/>
        <v/>
      </c>
      <c r="P350" s="8"/>
      <c r="Q350" s="8"/>
      <c r="R350" s="8"/>
      <c r="S350" s="8"/>
    </row>
    <row r="351" spans="1:19" x14ac:dyDescent="0.25">
      <c r="A351" s="197">
        <f t="shared" si="31"/>
        <v>66</v>
      </c>
      <c r="B351" s="76" t="str">
        <f t="shared" si="32"/>
        <v/>
      </c>
      <c r="C351" s="77" t="str">
        <f>IF(G351&lt;&gt;"",IFERROR(ROUND(VLOOKUP(G351,ProductList!J:AO,32,FALSE),0),""),"")</f>
        <v/>
      </c>
      <c r="D351" s="73" t="str">
        <f>IF(E351&lt;&gt;"",IF(D350&lt;&gt;"",D350,#REF!)+1,"")</f>
        <v/>
      </c>
      <c r="E351" s="73"/>
      <c r="F351" s="73"/>
      <c r="G351" s="122"/>
      <c r="H351" s="104"/>
      <c r="I351" s="73"/>
      <c r="J351" s="73"/>
      <c r="K351" s="202"/>
      <c r="L351" s="75" t="str">
        <f t="shared" si="33"/>
        <v/>
      </c>
      <c r="M351" s="75"/>
      <c r="N351" s="75" t="str">
        <f t="shared" si="34"/>
        <v/>
      </c>
      <c r="O351" s="204" t="str">
        <f t="shared" si="35"/>
        <v/>
      </c>
      <c r="P351" s="8"/>
      <c r="Q351" s="8"/>
      <c r="R351" s="8"/>
      <c r="S351" s="8"/>
    </row>
    <row r="352" spans="1:19" x14ac:dyDescent="0.25">
      <c r="A352" s="197">
        <f t="shared" si="31"/>
        <v>66</v>
      </c>
      <c r="B352" s="76" t="str">
        <f t="shared" si="32"/>
        <v/>
      </c>
      <c r="C352" s="77" t="str">
        <f>IF(G352&lt;&gt;"",IFERROR(ROUND(VLOOKUP(G352,ProductList!J:AO,32,FALSE),0),""),"")</f>
        <v/>
      </c>
      <c r="D352" s="73" t="str">
        <f>IF(E352&lt;&gt;"",IF(D351&lt;&gt;"",D351,#REF!)+1,"")</f>
        <v/>
      </c>
      <c r="E352" s="73"/>
      <c r="F352" s="73"/>
      <c r="G352" s="122"/>
      <c r="H352" s="104"/>
      <c r="I352" s="73"/>
      <c r="J352" s="73"/>
      <c r="K352" s="202"/>
      <c r="L352" s="75" t="str">
        <f t="shared" si="33"/>
        <v/>
      </c>
      <c r="M352" s="75"/>
      <c r="N352" s="75" t="str">
        <f t="shared" si="34"/>
        <v/>
      </c>
      <c r="O352" s="204" t="str">
        <f t="shared" si="35"/>
        <v/>
      </c>
      <c r="P352" s="8"/>
      <c r="Q352" s="8"/>
      <c r="R352" s="8"/>
      <c r="S352" s="8"/>
    </row>
    <row r="353" spans="1:19" x14ac:dyDescent="0.25">
      <c r="A353" s="197">
        <f t="shared" si="31"/>
        <v>66</v>
      </c>
      <c r="B353" s="76" t="str">
        <f t="shared" si="32"/>
        <v/>
      </c>
      <c r="C353" s="77" t="str">
        <f>IF(G353&lt;&gt;"",IFERROR(ROUND(VLOOKUP(G353,ProductList!J:AO,32,FALSE),0),""),"")</f>
        <v/>
      </c>
      <c r="D353" s="73" t="str">
        <f>IF(E353&lt;&gt;"",IF(D352&lt;&gt;"",D352,#REF!)+1,"")</f>
        <v/>
      </c>
      <c r="E353" s="73"/>
      <c r="F353" s="73"/>
      <c r="G353" s="122"/>
      <c r="H353" s="104"/>
      <c r="I353" s="73"/>
      <c r="J353" s="73"/>
      <c r="K353" s="202"/>
      <c r="L353" s="75" t="str">
        <f t="shared" si="33"/>
        <v/>
      </c>
      <c r="M353" s="75"/>
      <c r="N353" s="75" t="str">
        <f t="shared" si="34"/>
        <v/>
      </c>
      <c r="O353" s="204" t="str">
        <f t="shared" si="35"/>
        <v/>
      </c>
      <c r="P353" s="8"/>
      <c r="Q353" s="8"/>
      <c r="R353" s="8"/>
      <c r="S353" s="8"/>
    </row>
    <row r="354" spans="1:19" x14ac:dyDescent="0.25">
      <c r="A354" s="197">
        <f t="shared" si="31"/>
        <v>66</v>
      </c>
      <c r="B354" s="76" t="str">
        <f t="shared" si="32"/>
        <v/>
      </c>
      <c r="C354" s="77" t="str">
        <f>IF(G354&lt;&gt;"",IFERROR(ROUND(VLOOKUP(G354,ProductList!J:AO,32,FALSE),0),""),"")</f>
        <v/>
      </c>
      <c r="D354" s="73" t="str">
        <f>IF(E354&lt;&gt;"",IF(D353&lt;&gt;"",D353,#REF!)+1,"")</f>
        <v/>
      </c>
      <c r="E354" s="73"/>
      <c r="F354" s="73"/>
      <c r="G354" s="122"/>
      <c r="H354" s="104"/>
      <c r="I354" s="73"/>
      <c r="J354" s="73"/>
      <c r="K354" s="202"/>
      <c r="L354" s="75" t="str">
        <f t="shared" si="33"/>
        <v/>
      </c>
      <c r="M354" s="75"/>
      <c r="N354" s="75" t="str">
        <f t="shared" si="34"/>
        <v/>
      </c>
      <c r="O354" s="204" t="str">
        <f t="shared" si="35"/>
        <v/>
      </c>
      <c r="P354" s="8"/>
      <c r="Q354" s="8"/>
      <c r="R354" s="8"/>
      <c r="S354" s="8"/>
    </row>
    <row r="355" spans="1:19" x14ac:dyDescent="0.25">
      <c r="A355" s="197">
        <f t="shared" si="31"/>
        <v>66</v>
      </c>
      <c r="B355" s="76" t="str">
        <f t="shared" si="32"/>
        <v/>
      </c>
      <c r="C355" s="77" t="str">
        <f>IF(G355&lt;&gt;"",IFERROR(ROUND(VLOOKUP(G355,ProductList!J:AO,32,FALSE),0),""),"")</f>
        <v/>
      </c>
      <c r="D355" s="73" t="str">
        <f>IF(E355&lt;&gt;"",IF(D354&lt;&gt;"",D354,#REF!)+1,"")</f>
        <v/>
      </c>
      <c r="E355" s="73"/>
      <c r="F355" s="73"/>
      <c r="G355" s="122"/>
      <c r="H355" s="104"/>
      <c r="I355" s="73"/>
      <c r="J355" s="73"/>
      <c r="K355" s="202"/>
      <c r="L355" s="75" t="str">
        <f t="shared" si="33"/>
        <v/>
      </c>
      <c r="M355" s="75"/>
      <c r="N355" s="75" t="str">
        <f t="shared" si="34"/>
        <v/>
      </c>
      <c r="O355" s="204" t="str">
        <f t="shared" si="35"/>
        <v/>
      </c>
      <c r="P355" s="8"/>
      <c r="Q355" s="8"/>
      <c r="R355" s="8"/>
      <c r="S355" s="8"/>
    </row>
    <row r="356" spans="1:19" x14ac:dyDescent="0.25">
      <c r="A356" s="197">
        <f t="shared" si="31"/>
        <v>66</v>
      </c>
      <c r="B356" s="76" t="str">
        <f t="shared" si="32"/>
        <v/>
      </c>
      <c r="C356" s="77" t="str">
        <f>IF(G356&lt;&gt;"",IFERROR(ROUND(VLOOKUP(G356,ProductList!J:AO,32,FALSE),0),""),"")</f>
        <v/>
      </c>
      <c r="D356" s="73" t="str">
        <f>IF(E356&lt;&gt;"",IF(D355&lt;&gt;"",D355,#REF!)+1,"")</f>
        <v/>
      </c>
      <c r="E356" s="73"/>
      <c r="F356" s="73"/>
      <c r="G356" s="122"/>
      <c r="H356" s="104"/>
      <c r="I356" s="73"/>
      <c r="J356" s="73"/>
      <c r="K356" s="202"/>
      <c r="L356" s="75" t="str">
        <f t="shared" si="33"/>
        <v/>
      </c>
      <c r="M356" s="75"/>
      <c r="N356" s="75" t="str">
        <f t="shared" si="34"/>
        <v/>
      </c>
      <c r="O356" s="204" t="str">
        <f t="shared" si="35"/>
        <v/>
      </c>
      <c r="P356" s="8"/>
      <c r="Q356" s="8"/>
      <c r="R356" s="8"/>
      <c r="S356" s="8"/>
    </row>
    <row r="357" spans="1:19" x14ac:dyDescent="0.25">
      <c r="A357" s="197">
        <f t="shared" si="31"/>
        <v>66</v>
      </c>
      <c r="B357" s="76" t="str">
        <f t="shared" si="32"/>
        <v/>
      </c>
      <c r="C357" s="77" t="str">
        <f>IF(G357&lt;&gt;"",IFERROR(ROUND(VLOOKUP(G357,ProductList!J:AO,32,FALSE),0),""),"")</f>
        <v/>
      </c>
      <c r="D357" s="73" t="str">
        <f>IF(E357&lt;&gt;"",IF(D356&lt;&gt;"",D356,#REF!)+1,"")</f>
        <v/>
      </c>
      <c r="E357" s="73"/>
      <c r="F357" s="73"/>
      <c r="G357" s="122"/>
      <c r="H357" s="104"/>
      <c r="I357" s="73"/>
      <c r="J357" s="73"/>
      <c r="K357" s="202"/>
      <c r="L357" s="75" t="str">
        <f t="shared" si="33"/>
        <v/>
      </c>
      <c r="M357" s="75"/>
      <c r="N357" s="75" t="str">
        <f t="shared" si="34"/>
        <v/>
      </c>
      <c r="O357" s="204" t="str">
        <f t="shared" si="35"/>
        <v/>
      </c>
      <c r="P357" s="8"/>
      <c r="Q357" s="8"/>
      <c r="R357" s="8"/>
      <c r="S357" s="8"/>
    </row>
    <row r="358" spans="1:19" x14ac:dyDescent="0.25">
      <c r="A358" s="197">
        <f t="shared" si="31"/>
        <v>66</v>
      </c>
      <c r="B358" s="76" t="str">
        <f t="shared" si="32"/>
        <v/>
      </c>
      <c r="C358" s="77" t="str">
        <f>IF(G358&lt;&gt;"",IFERROR(ROUND(VLOOKUP(G358,ProductList!J:AO,32,FALSE),0),""),"")</f>
        <v/>
      </c>
      <c r="D358" s="73" t="str">
        <f>IF(E358&lt;&gt;"",IF(D357&lt;&gt;"",D357,#REF!)+1,"")</f>
        <v/>
      </c>
      <c r="E358" s="73"/>
      <c r="F358" s="73"/>
      <c r="G358" s="122"/>
      <c r="H358" s="104"/>
      <c r="I358" s="73"/>
      <c r="J358" s="73"/>
      <c r="K358" s="202"/>
      <c r="L358" s="75" t="str">
        <f t="shared" si="33"/>
        <v/>
      </c>
      <c r="M358" s="75"/>
      <c r="N358" s="75" t="str">
        <f t="shared" si="34"/>
        <v/>
      </c>
      <c r="O358" s="204" t="str">
        <f t="shared" si="35"/>
        <v/>
      </c>
      <c r="P358" s="8"/>
      <c r="Q358" s="8"/>
      <c r="R358" s="8"/>
      <c r="S358" s="8"/>
    </row>
    <row r="359" spans="1:19" x14ac:dyDescent="0.25">
      <c r="A359" s="197">
        <f t="shared" si="31"/>
        <v>66</v>
      </c>
      <c r="B359" s="76" t="str">
        <f t="shared" si="32"/>
        <v/>
      </c>
      <c r="C359" s="77" t="str">
        <f>IF(G359&lt;&gt;"",IFERROR(ROUND(VLOOKUP(G359,ProductList!J:AO,32,FALSE),0),""),"")</f>
        <v/>
      </c>
      <c r="D359" s="73" t="str">
        <f>IF(E359&lt;&gt;"",IF(D358&lt;&gt;"",D358,#REF!)+1,"")</f>
        <v/>
      </c>
      <c r="E359" s="73"/>
      <c r="F359" s="73"/>
      <c r="G359" s="122"/>
      <c r="H359" s="104"/>
      <c r="I359" s="73"/>
      <c r="J359" s="73"/>
      <c r="K359" s="202"/>
      <c r="L359" s="75" t="str">
        <f t="shared" si="33"/>
        <v/>
      </c>
      <c r="M359" s="75"/>
      <c r="N359" s="75" t="str">
        <f t="shared" si="34"/>
        <v/>
      </c>
      <c r="O359" s="204" t="str">
        <f t="shared" si="35"/>
        <v/>
      </c>
      <c r="P359" s="8"/>
      <c r="Q359" s="8"/>
      <c r="R359" s="8"/>
      <c r="S359" s="8"/>
    </row>
    <row r="360" spans="1:19" x14ac:dyDescent="0.25">
      <c r="A360" s="197">
        <f t="shared" si="31"/>
        <v>66</v>
      </c>
      <c r="B360" s="76" t="str">
        <f t="shared" si="32"/>
        <v/>
      </c>
      <c r="C360" s="77" t="str">
        <f>IF(G360&lt;&gt;"",IFERROR(ROUND(VLOOKUP(G360,ProductList!J:AO,32,FALSE),0),""),"")</f>
        <v/>
      </c>
      <c r="D360" s="73" t="str">
        <f>IF(E360&lt;&gt;"",IF(D359&lt;&gt;"",D359,#REF!)+1,"")</f>
        <v/>
      </c>
      <c r="E360" s="73"/>
      <c r="F360" s="73"/>
      <c r="G360" s="122"/>
      <c r="H360" s="104"/>
      <c r="I360" s="73"/>
      <c r="J360" s="73"/>
      <c r="K360" s="202"/>
      <c r="L360" s="75" t="str">
        <f t="shared" si="33"/>
        <v/>
      </c>
      <c r="M360" s="75"/>
      <c r="N360" s="75" t="str">
        <f t="shared" si="34"/>
        <v/>
      </c>
      <c r="O360" s="204" t="str">
        <f t="shared" si="35"/>
        <v/>
      </c>
      <c r="P360" s="8"/>
      <c r="Q360" s="8"/>
      <c r="R360" s="8"/>
      <c r="S360" s="8"/>
    </row>
    <row r="361" spans="1:19" x14ac:dyDescent="0.25">
      <c r="A361" s="197">
        <f t="shared" si="31"/>
        <v>66</v>
      </c>
      <c r="B361" s="76" t="str">
        <f t="shared" si="32"/>
        <v/>
      </c>
      <c r="C361" s="77" t="str">
        <f>IF(G361&lt;&gt;"",IFERROR(ROUND(VLOOKUP(G361,ProductList!J:AO,32,FALSE),0),""),"")</f>
        <v/>
      </c>
      <c r="D361" s="73" t="str">
        <f>IF(E361&lt;&gt;"",IF(D360&lt;&gt;"",D360,#REF!)+1,"")</f>
        <v/>
      </c>
      <c r="E361" s="73"/>
      <c r="F361" s="73"/>
      <c r="G361" s="122"/>
      <c r="H361" s="104"/>
      <c r="I361" s="73"/>
      <c r="J361" s="73"/>
      <c r="K361" s="202"/>
      <c r="L361" s="75" t="str">
        <f t="shared" si="33"/>
        <v/>
      </c>
      <c r="M361" s="75"/>
      <c r="N361" s="75" t="str">
        <f t="shared" si="34"/>
        <v/>
      </c>
      <c r="O361" s="204" t="str">
        <f t="shared" si="35"/>
        <v/>
      </c>
      <c r="P361" s="8"/>
      <c r="Q361" s="8"/>
      <c r="R361" s="8"/>
      <c r="S361" s="8"/>
    </row>
    <row r="362" spans="1:19" x14ac:dyDescent="0.25">
      <c r="A362" s="197">
        <f t="shared" si="31"/>
        <v>66</v>
      </c>
      <c r="B362" s="76" t="str">
        <f t="shared" si="32"/>
        <v/>
      </c>
      <c r="C362" s="77" t="str">
        <f>IF(G362&lt;&gt;"",IFERROR(ROUND(VLOOKUP(G362,ProductList!J:AO,32,FALSE),0),""),"")</f>
        <v/>
      </c>
      <c r="D362" s="73" t="str">
        <f>IF(E362&lt;&gt;"",IF(D361&lt;&gt;"",D361,#REF!)+1,"")</f>
        <v/>
      </c>
      <c r="E362" s="73"/>
      <c r="F362" s="73"/>
      <c r="G362" s="122"/>
      <c r="H362" s="104"/>
      <c r="I362" s="73"/>
      <c r="J362" s="73"/>
      <c r="K362" s="202"/>
      <c r="L362" s="75" t="str">
        <f t="shared" si="33"/>
        <v/>
      </c>
      <c r="M362" s="75"/>
      <c r="N362" s="75" t="str">
        <f t="shared" si="34"/>
        <v/>
      </c>
      <c r="O362" s="204" t="str">
        <f t="shared" si="35"/>
        <v/>
      </c>
      <c r="P362" s="8"/>
      <c r="Q362" s="8"/>
      <c r="R362" s="8"/>
      <c r="S362" s="8"/>
    </row>
    <row r="363" spans="1:19" x14ac:dyDescent="0.25">
      <c r="A363" s="197">
        <f t="shared" si="31"/>
        <v>66</v>
      </c>
      <c r="B363" s="76" t="str">
        <f t="shared" si="32"/>
        <v/>
      </c>
      <c r="C363" s="77" t="str">
        <f>IF(G363&lt;&gt;"",IFERROR(ROUND(VLOOKUP(G363,ProductList!J:AO,32,FALSE),0),""),"")</f>
        <v/>
      </c>
      <c r="D363" s="73" t="str">
        <f>IF(E363&lt;&gt;"",IF(D362&lt;&gt;"",D362,#REF!)+1,"")</f>
        <v/>
      </c>
      <c r="E363" s="73"/>
      <c r="F363" s="73"/>
      <c r="G363" s="122"/>
      <c r="H363" s="104"/>
      <c r="I363" s="73"/>
      <c r="J363" s="73"/>
      <c r="K363" s="202"/>
      <c r="L363" s="75" t="str">
        <f t="shared" si="33"/>
        <v/>
      </c>
      <c r="M363" s="75"/>
      <c r="N363" s="75" t="str">
        <f t="shared" si="34"/>
        <v/>
      </c>
      <c r="O363" s="204" t="str">
        <f t="shared" si="35"/>
        <v/>
      </c>
      <c r="P363" s="8"/>
      <c r="Q363" s="8"/>
      <c r="R363" s="8"/>
      <c r="S363" s="8"/>
    </row>
    <row r="364" spans="1:19" x14ac:dyDescent="0.25">
      <c r="A364" s="197">
        <f t="shared" si="31"/>
        <v>66</v>
      </c>
      <c r="B364" s="76" t="str">
        <f t="shared" si="32"/>
        <v/>
      </c>
      <c r="C364" s="77" t="str">
        <f>IF(G364&lt;&gt;"",IFERROR(ROUND(VLOOKUP(G364,ProductList!J:AO,32,FALSE),0),""),"")</f>
        <v/>
      </c>
      <c r="D364" s="73" t="str">
        <f>IF(E364&lt;&gt;"",IF(D363&lt;&gt;"",D363,#REF!)+1,"")</f>
        <v/>
      </c>
      <c r="E364" s="73"/>
      <c r="F364" s="73"/>
      <c r="G364" s="122"/>
      <c r="H364" s="104"/>
      <c r="I364" s="73"/>
      <c r="J364" s="73"/>
      <c r="K364" s="202"/>
      <c r="L364" s="75" t="str">
        <f t="shared" si="33"/>
        <v/>
      </c>
      <c r="M364" s="75"/>
      <c r="N364" s="75" t="str">
        <f t="shared" si="34"/>
        <v/>
      </c>
      <c r="O364" s="204" t="str">
        <f t="shared" si="35"/>
        <v/>
      </c>
      <c r="P364" s="8"/>
      <c r="Q364" s="8"/>
      <c r="R364" s="8"/>
      <c r="S364" s="8"/>
    </row>
    <row r="365" spans="1:19" x14ac:dyDescent="0.25">
      <c r="A365" s="197">
        <f t="shared" si="31"/>
        <v>66</v>
      </c>
      <c r="B365" s="76" t="str">
        <f t="shared" si="32"/>
        <v/>
      </c>
      <c r="C365" s="77" t="str">
        <f>IF(G365&lt;&gt;"",IFERROR(ROUND(VLOOKUP(G365,ProductList!J:AO,32,FALSE),0),""),"")</f>
        <v/>
      </c>
      <c r="D365" s="73" t="str">
        <f>IF(E365&lt;&gt;"",IF(D364&lt;&gt;"",D364,#REF!)+1,"")</f>
        <v/>
      </c>
      <c r="E365" s="73"/>
      <c r="F365" s="73"/>
      <c r="G365" s="122"/>
      <c r="H365" s="104"/>
      <c r="I365" s="73"/>
      <c r="J365" s="73"/>
      <c r="K365" s="202"/>
      <c r="L365" s="75" t="str">
        <f t="shared" si="33"/>
        <v/>
      </c>
      <c r="M365" s="75"/>
      <c r="N365" s="75" t="str">
        <f t="shared" si="34"/>
        <v/>
      </c>
      <c r="O365" s="204" t="str">
        <f t="shared" si="35"/>
        <v/>
      </c>
      <c r="P365" s="8"/>
      <c r="Q365" s="8"/>
      <c r="R365" s="8"/>
      <c r="S365" s="8"/>
    </row>
    <row r="366" spans="1:19" x14ac:dyDescent="0.25">
      <c r="A366" s="197">
        <f t="shared" si="31"/>
        <v>66</v>
      </c>
      <c r="B366" s="76" t="str">
        <f t="shared" si="32"/>
        <v/>
      </c>
      <c r="C366" s="77" t="str">
        <f>IF(G366&lt;&gt;"",IFERROR(ROUND(VLOOKUP(G366,ProductList!J:AO,32,FALSE),0),""),"")</f>
        <v/>
      </c>
      <c r="D366" s="73" t="str">
        <f>IF(E366&lt;&gt;"",IF(D365&lt;&gt;"",D365,#REF!)+1,"")</f>
        <v/>
      </c>
      <c r="E366" s="73"/>
      <c r="F366" s="73"/>
      <c r="G366" s="122"/>
      <c r="H366" s="104"/>
      <c r="I366" s="73"/>
      <c r="J366" s="73"/>
      <c r="K366" s="202"/>
      <c r="L366" s="75" t="str">
        <f t="shared" si="33"/>
        <v/>
      </c>
      <c r="M366" s="75"/>
      <c r="N366" s="75" t="str">
        <f t="shared" si="34"/>
        <v/>
      </c>
      <c r="O366" s="204" t="str">
        <f t="shared" si="35"/>
        <v/>
      </c>
      <c r="P366" s="8"/>
      <c r="Q366" s="8"/>
      <c r="R366" s="8"/>
      <c r="S366" s="8"/>
    </row>
    <row r="367" spans="1:19" x14ac:dyDescent="0.25">
      <c r="A367" s="197">
        <f t="shared" si="31"/>
        <v>66</v>
      </c>
      <c r="B367" s="76" t="str">
        <f t="shared" si="32"/>
        <v/>
      </c>
      <c r="C367" s="77" t="str">
        <f>IF(G367&lt;&gt;"",IFERROR(ROUND(VLOOKUP(G367,ProductList!J:AO,32,FALSE),0),""),"")</f>
        <v/>
      </c>
      <c r="D367" s="73" t="str">
        <f>IF(E367&lt;&gt;"",IF(D366&lt;&gt;"",D366,#REF!)+1,"")</f>
        <v/>
      </c>
      <c r="E367" s="73"/>
      <c r="F367" s="73"/>
      <c r="G367" s="122"/>
      <c r="H367" s="104"/>
      <c r="I367" s="73"/>
      <c r="J367" s="73"/>
      <c r="K367" s="202"/>
      <c r="L367" s="75" t="str">
        <f t="shared" si="33"/>
        <v/>
      </c>
      <c r="M367" s="75"/>
      <c r="N367" s="75" t="str">
        <f t="shared" si="34"/>
        <v/>
      </c>
      <c r="O367" s="204" t="str">
        <f t="shared" si="35"/>
        <v/>
      </c>
      <c r="P367" s="8"/>
      <c r="Q367" s="8"/>
      <c r="R367" s="8"/>
      <c r="S367" s="8"/>
    </row>
    <row r="368" spans="1:19" x14ac:dyDescent="0.25">
      <c r="A368" s="197">
        <f t="shared" si="31"/>
        <v>66</v>
      </c>
      <c r="B368" s="76" t="str">
        <f t="shared" si="32"/>
        <v/>
      </c>
      <c r="C368" s="77" t="str">
        <f>IF(G368&lt;&gt;"",IFERROR(ROUND(VLOOKUP(G368,ProductList!J:AO,32,FALSE),0),""),"")</f>
        <v/>
      </c>
      <c r="D368" s="73" t="str">
        <f>IF(E368&lt;&gt;"",IF(D367&lt;&gt;"",D367,#REF!)+1,"")</f>
        <v/>
      </c>
      <c r="E368" s="73"/>
      <c r="F368" s="73"/>
      <c r="G368" s="122"/>
      <c r="H368" s="104"/>
      <c r="I368" s="73"/>
      <c r="J368" s="73"/>
      <c r="K368" s="202"/>
      <c r="L368" s="75" t="str">
        <f t="shared" si="33"/>
        <v/>
      </c>
      <c r="M368" s="75"/>
      <c r="N368" s="75" t="str">
        <f t="shared" si="34"/>
        <v/>
      </c>
      <c r="O368" s="204" t="str">
        <f t="shared" si="35"/>
        <v/>
      </c>
      <c r="P368" s="8"/>
      <c r="Q368" s="8"/>
      <c r="R368" s="8"/>
      <c r="S368" s="8"/>
    </row>
    <row r="369" spans="1:19" x14ac:dyDescent="0.25">
      <c r="A369" s="197">
        <f t="shared" si="31"/>
        <v>66</v>
      </c>
      <c r="B369" s="76" t="str">
        <f t="shared" si="32"/>
        <v/>
      </c>
      <c r="C369" s="77" t="str">
        <f>IF(G369&lt;&gt;"",IFERROR(ROUND(VLOOKUP(G369,ProductList!J:AO,32,FALSE),0),""),"")</f>
        <v/>
      </c>
      <c r="D369" s="73" t="str">
        <f>IF(E369&lt;&gt;"",IF(D368&lt;&gt;"",D368,#REF!)+1,"")</f>
        <v/>
      </c>
      <c r="E369" s="73"/>
      <c r="F369" s="73"/>
      <c r="G369" s="122"/>
      <c r="H369" s="104"/>
      <c r="I369" s="73"/>
      <c r="J369" s="73"/>
      <c r="K369" s="202"/>
      <c r="L369" s="75" t="str">
        <f t="shared" si="33"/>
        <v/>
      </c>
      <c r="M369" s="75"/>
      <c r="N369" s="75" t="str">
        <f t="shared" si="34"/>
        <v/>
      </c>
      <c r="O369" s="204" t="str">
        <f t="shared" si="35"/>
        <v/>
      </c>
      <c r="P369" s="8"/>
      <c r="Q369" s="8"/>
      <c r="R369" s="8"/>
      <c r="S369" s="8"/>
    </row>
    <row r="370" spans="1:19" x14ac:dyDescent="0.25">
      <c r="A370" s="197">
        <f t="shared" si="31"/>
        <v>66</v>
      </c>
      <c r="B370" s="76" t="str">
        <f t="shared" si="32"/>
        <v/>
      </c>
      <c r="C370" s="77" t="str">
        <f>IF(G370&lt;&gt;"",IFERROR(ROUND(VLOOKUP(G370,ProductList!J:AO,32,FALSE),0),""),"")</f>
        <v/>
      </c>
      <c r="D370" s="73" t="str">
        <f>IF(E370&lt;&gt;"",IF(D369&lt;&gt;"",D369,#REF!)+1,"")</f>
        <v/>
      </c>
      <c r="E370" s="73"/>
      <c r="F370" s="73"/>
      <c r="G370" s="122"/>
      <c r="H370" s="104"/>
      <c r="I370" s="73"/>
      <c r="J370" s="73"/>
      <c r="K370" s="202"/>
      <c r="L370" s="75" t="str">
        <f t="shared" si="33"/>
        <v/>
      </c>
      <c r="M370" s="75"/>
      <c r="N370" s="75" t="str">
        <f t="shared" si="34"/>
        <v/>
      </c>
      <c r="O370" s="204" t="str">
        <f t="shared" si="35"/>
        <v/>
      </c>
      <c r="P370" s="8"/>
      <c r="Q370" s="8"/>
      <c r="R370" s="8"/>
      <c r="S370" s="8"/>
    </row>
    <row r="371" spans="1:19" x14ac:dyDescent="0.25">
      <c r="A371" s="197">
        <f t="shared" si="31"/>
        <v>66</v>
      </c>
      <c r="B371" s="76" t="str">
        <f t="shared" si="32"/>
        <v/>
      </c>
      <c r="C371" s="77" t="str">
        <f>IF(G371&lt;&gt;"",IFERROR(ROUND(VLOOKUP(G371,ProductList!J:AO,32,FALSE),0),""),"")</f>
        <v/>
      </c>
      <c r="D371" s="73" t="str">
        <f>IF(E371&lt;&gt;"",IF(D370&lt;&gt;"",D370,#REF!)+1,"")</f>
        <v/>
      </c>
      <c r="E371" s="73"/>
      <c r="F371" s="73"/>
      <c r="G371" s="122"/>
      <c r="H371" s="104"/>
      <c r="I371" s="73"/>
      <c r="J371" s="73"/>
      <c r="K371" s="202"/>
      <c r="L371" s="75" t="str">
        <f t="shared" si="33"/>
        <v/>
      </c>
      <c r="M371" s="75"/>
      <c r="N371" s="75" t="str">
        <f t="shared" si="34"/>
        <v/>
      </c>
      <c r="O371" s="204" t="str">
        <f t="shared" si="35"/>
        <v/>
      </c>
      <c r="P371" s="8"/>
      <c r="Q371" s="8"/>
      <c r="R371" s="8"/>
      <c r="S371" s="8"/>
    </row>
    <row r="372" spans="1:19" x14ac:dyDescent="0.25">
      <c r="A372" s="197">
        <f t="shared" si="31"/>
        <v>66</v>
      </c>
      <c r="B372" s="76" t="str">
        <f t="shared" si="32"/>
        <v/>
      </c>
      <c r="C372" s="77" t="str">
        <f>IF(G372&lt;&gt;"",IFERROR(ROUND(VLOOKUP(G372,ProductList!J:AO,32,FALSE),0),""),"")</f>
        <v/>
      </c>
      <c r="D372" s="73" t="str">
        <f>IF(E372&lt;&gt;"",IF(D371&lt;&gt;"",D371,#REF!)+1,"")</f>
        <v/>
      </c>
      <c r="E372" s="73"/>
      <c r="F372" s="73"/>
      <c r="G372" s="122"/>
      <c r="H372" s="104"/>
      <c r="I372" s="73"/>
      <c r="J372" s="73"/>
      <c r="K372" s="202"/>
      <c r="L372" s="75" t="str">
        <f t="shared" si="33"/>
        <v/>
      </c>
      <c r="M372" s="75"/>
      <c r="N372" s="75" t="str">
        <f t="shared" si="34"/>
        <v/>
      </c>
      <c r="O372" s="204" t="str">
        <f t="shared" si="35"/>
        <v/>
      </c>
      <c r="P372" s="8"/>
      <c r="Q372" s="8"/>
      <c r="R372" s="8"/>
      <c r="S372" s="8"/>
    </row>
    <row r="373" spans="1:19" x14ac:dyDescent="0.25">
      <c r="A373" s="197">
        <f t="shared" si="31"/>
        <v>66</v>
      </c>
      <c r="B373" s="76" t="str">
        <f t="shared" si="32"/>
        <v/>
      </c>
      <c r="C373" s="77" t="str">
        <f>IF(G373&lt;&gt;"",IFERROR(ROUND(VLOOKUP(G373,ProductList!J:AO,32,FALSE),0),""),"")</f>
        <v/>
      </c>
      <c r="D373" s="73" t="str">
        <f>IF(E373&lt;&gt;"",IF(D372&lt;&gt;"",D372,#REF!)+1,"")</f>
        <v/>
      </c>
      <c r="E373" s="73"/>
      <c r="F373" s="73"/>
      <c r="G373" s="122"/>
      <c r="H373" s="104"/>
      <c r="I373" s="73"/>
      <c r="J373" s="73"/>
      <c r="K373" s="202"/>
      <c r="L373" s="75" t="str">
        <f t="shared" si="33"/>
        <v/>
      </c>
      <c r="M373" s="75"/>
      <c r="N373" s="75" t="str">
        <f t="shared" si="34"/>
        <v/>
      </c>
      <c r="O373" s="204" t="str">
        <f t="shared" si="35"/>
        <v/>
      </c>
      <c r="P373" s="8"/>
      <c r="Q373" s="8"/>
      <c r="R373" s="8"/>
      <c r="S373" s="8"/>
    </row>
    <row r="374" spans="1:19" x14ac:dyDescent="0.25">
      <c r="A374" s="197">
        <f t="shared" si="31"/>
        <v>66</v>
      </c>
      <c r="B374" s="76" t="str">
        <f t="shared" si="32"/>
        <v/>
      </c>
      <c r="C374" s="77" t="str">
        <f>IF(G374&lt;&gt;"",IFERROR(ROUND(VLOOKUP(G374,ProductList!J:AO,32,FALSE),0),""),"")</f>
        <v/>
      </c>
      <c r="D374" s="73" t="str">
        <f>IF(E374&lt;&gt;"",IF(D373&lt;&gt;"",D373,#REF!)+1,"")</f>
        <v/>
      </c>
      <c r="E374" s="73"/>
      <c r="F374" s="73"/>
      <c r="G374" s="122"/>
      <c r="H374" s="104"/>
      <c r="I374" s="73"/>
      <c r="J374" s="73"/>
      <c r="K374" s="202"/>
      <c r="L374" s="75" t="str">
        <f t="shared" si="33"/>
        <v/>
      </c>
      <c r="M374" s="75"/>
      <c r="N374" s="75" t="str">
        <f t="shared" si="34"/>
        <v/>
      </c>
      <c r="O374" s="204" t="str">
        <f t="shared" si="35"/>
        <v/>
      </c>
      <c r="P374" s="8"/>
      <c r="Q374" s="8"/>
      <c r="R374" s="8"/>
      <c r="S374" s="8"/>
    </row>
    <row r="375" spans="1:19" x14ac:dyDescent="0.25">
      <c r="A375" s="197">
        <f t="shared" si="31"/>
        <v>66</v>
      </c>
      <c r="B375" s="76" t="str">
        <f t="shared" si="32"/>
        <v/>
      </c>
      <c r="C375" s="77" t="str">
        <f>IF(G375&lt;&gt;"",IFERROR(ROUND(VLOOKUP(G375,ProductList!J:AO,32,FALSE),0),""),"")</f>
        <v/>
      </c>
      <c r="D375" s="73" t="str">
        <f>IF(E375&lt;&gt;"",IF(D374&lt;&gt;"",D374,#REF!)+1,"")</f>
        <v/>
      </c>
      <c r="E375" s="73"/>
      <c r="F375" s="73"/>
      <c r="G375" s="122"/>
      <c r="H375" s="104"/>
      <c r="I375" s="73"/>
      <c r="J375" s="73"/>
      <c r="K375" s="202"/>
      <c r="L375" s="75" t="str">
        <f t="shared" si="33"/>
        <v/>
      </c>
      <c r="M375" s="75"/>
      <c r="N375" s="75" t="str">
        <f t="shared" si="34"/>
        <v/>
      </c>
      <c r="O375" s="204" t="str">
        <f t="shared" si="35"/>
        <v/>
      </c>
      <c r="P375" s="8"/>
      <c r="Q375" s="8"/>
      <c r="R375" s="8"/>
      <c r="S375" s="8"/>
    </row>
    <row r="376" spans="1:19" x14ac:dyDescent="0.25">
      <c r="A376" s="197">
        <f t="shared" si="31"/>
        <v>66</v>
      </c>
      <c r="B376" s="76" t="str">
        <f t="shared" si="32"/>
        <v/>
      </c>
      <c r="C376" s="77" t="str">
        <f>IF(G376&lt;&gt;"",IFERROR(ROUND(VLOOKUP(G376,ProductList!J:AO,32,FALSE),0),""),"")</f>
        <v/>
      </c>
      <c r="D376" s="73" t="str">
        <f>IF(E376&lt;&gt;"",IF(D375&lt;&gt;"",D375,#REF!)+1,"")</f>
        <v/>
      </c>
      <c r="E376" s="73"/>
      <c r="F376" s="73"/>
      <c r="G376" s="122"/>
      <c r="H376" s="104"/>
      <c r="I376" s="73"/>
      <c r="J376" s="73"/>
      <c r="K376" s="202"/>
      <c r="L376" s="75" t="str">
        <f t="shared" si="33"/>
        <v/>
      </c>
      <c r="M376" s="75"/>
      <c r="N376" s="75" t="str">
        <f t="shared" si="34"/>
        <v/>
      </c>
      <c r="O376" s="204" t="str">
        <f t="shared" si="35"/>
        <v/>
      </c>
      <c r="P376" s="8"/>
      <c r="Q376" s="8"/>
      <c r="R376" s="8"/>
      <c r="S376" s="8"/>
    </row>
    <row r="377" spans="1:19" x14ac:dyDescent="0.25">
      <c r="A377" s="197">
        <f t="shared" si="31"/>
        <v>66</v>
      </c>
      <c r="B377" s="76" t="str">
        <f t="shared" si="32"/>
        <v/>
      </c>
      <c r="C377" s="77" t="str">
        <f>IF(G377&lt;&gt;"",IFERROR(ROUND(VLOOKUP(G377,ProductList!J:AO,32,FALSE),0),""),"")</f>
        <v/>
      </c>
      <c r="D377" s="73" t="str">
        <f>IF(E377&lt;&gt;"",IF(D376&lt;&gt;"",D376,#REF!)+1,"")</f>
        <v/>
      </c>
      <c r="E377" s="73"/>
      <c r="F377" s="73"/>
      <c r="G377" s="122"/>
      <c r="H377" s="104"/>
      <c r="I377" s="73"/>
      <c r="J377" s="73"/>
      <c r="K377" s="202"/>
      <c r="L377" s="75" t="str">
        <f t="shared" si="33"/>
        <v/>
      </c>
      <c r="M377" s="75"/>
      <c r="N377" s="75" t="str">
        <f t="shared" si="34"/>
        <v/>
      </c>
      <c r="O377" s="204" t="str">
        <f t="shared" si="35"/>
        <v/>
      </c>
      <c r="P377" s="8"/>
      <c r="Q377" s="8"/>
      <c r="R377" s="8"/>
      <c r="S377" s="8"/>
    </row>
    <row r="378" spans="1:19" x14ac:dyDescent="0.25">
      <c r="A378" s="197">
        <f t="shared" si="31"/>
        <v>66</v>
      </c>
      <c r="B378" s="76" t="str">
        <f t="shared" si="32"/>
        <v/>
      </c>
      <c r="C378" s="77" t="str">
        <f>IF(G378&lt;&gt;"",IFERROR(ROUND(VLOOKUP(G378,ProductList!J:AO,32,FALSE),0),""),"")</f>
        <v/>
      </c>
      <c r="D378" s="73" t="str">
        <f>IF(E378&lt;&gt;"",IF(D377&lt;&gt;"",D377,#REF!)+1,"")</f>
        <v/>
      </c>
      <c r="E378" s="73"/>
      <c r="F378" s="73"/>
      <c r="G378" s="122"/>
      <c r="H378" s="104"/>
      <c r="I378" s="73"/>
      <c r="J378" s="73"/>
      <c r="K378" s="202"/>
      <c r="L378" s="75" t="str">
        <f t="shared" si="33"/>
        <v/>
      </c>
      <c r="M378" s="75"/>
      <c r="N378" s="75" t="str">
        <f t="shared" si="34"/>
        <v/>
      </c>
      <c r="O378" s="204" t="str">
        <f t="shared" si="35"/>
        <v/>
      </c>
      <c r="P378" s="8"/>
      <c r="Q378" s="8"/>
      <c r="R378" s="8"/>
      <c r="S378" s="8"/>
    </row>
    <row r="379" spans="1:19" x14ac:dyDescent="0.25">
      <c r="A379" s="197">
        <f t="shared" si="31"/>
        <v>66</v>
      </c>
      <c r="B379" s="76" t="str">
        <f t="shared" si="32"/>
        <v/>
      </c>
      <c r="C379" s="77" t="str">
        <f>IF(G379&lt;&gt;"",IFERROR(ROUND(VLOOKUP(G379,ProductList!J:AO,32,FALSE),0),""),"")</f>
        <v/>
      </c>
      <c r="D379" s="73" t="str">
        <f>IF(E379&lt;&gt;"",IF(D378&lt;&gt;"",D378,#REF!)+1,"")</f>
        <v/>
      </c>
      <c r="E379" s="73"/>
      <c r="F379" s="73"/>
      <c r="G379" s="122"/>
      <c r="H379" s="104"/>
      <c r="I379" s="73"/>
      <c r="J379" s="73"/>
      <c r="K379" s="202"/>
      <c r="L379" s="75" t="str">
        <f t="shared" si="33"/>
        <v/>
      </c>
      <c r="M379" s="75"/>
      <c r="N379" s="75" t="str">
        <f t="shared" si="34"/>
        <v/>
      </c>
      <c r="O379" s="204" t="str">
        <f t="shared" si="35"/>
        <v/>
      </c>
      <c r="P379" s="8"/>
      <c r="Q379" s="8"/>
      <c r="R379" s="8"/>
      <c r="S379" s="8"/>
    </row>
    <row r="380" spans="1:19" x14ac:dyDescent="0.25">
      <c r="A380" s="197">
        <f t="shared" si="31"/>
        <v>66</v>
      </c>
      <c r="B380" s="76" t="str">
        <f t="shared" si="32"/>
        <v/>
      </c>
      <c r="C380" s="77" t="str">
        <f>IF(G380&lt;&gt;"",IFERROR(ROUND(VLOOKUP(G380,ProductList!J:AO,32,FALSE),0),""),"")</f>
        <v/>
      </c>
      <c r="D380" s="73" t="str">
        <f>IF(E380&lt;&gt;"",IF(D379&lt;&gt;"",D379,#REF!)+1,"")</f>
        <v/>
      </c>
      <c r="E380" s="73"/>
      <c r="F380" s="73"/>
      <c r="G380" s="122"/>
      <c r="H380" s="104"/>
      <c r="I380" s="73"/>
      <c r="J380" s="73"/>
      <c r="K380" s="202"/>
      <c r="L380" s="75" t="str">
        <f t="shared" si="33"/>
        <v/>
      </c>
      <c r="M380" s="75"/>
      <c r="N380" s="75" t="str">
        <f t="shared" si="34"/>
        <v/>
      </c>
      <c r="O380" s="204" t="str">
        <f t="shared" si="35"/>
        <v/>
      </c>
      <c r="P380" s="8"/>
      <c r="Q380" s="8"/>
      <c r="R380" s="8"/>
      <c r="S380" s="8"/>
    </row>
    <row r="381" spans="1:19" x14ac:dyDescent="0.25">
      <c r="A381" s="197">
        <f t="shared" si="31"/>
        <v>66</v>
      </c>
      <c r="B381" s="76" t="str">
        <f t="shared" si="32"/>
        <v/>
      </c>
      <c r="C381" s="77" t="str">
        <f>IF(G381&lt;&gt;"",IFERROR(ROUND(VLOOKUP(G381,ProductList!J:AO,32,FALSE),0),""),"")</f>
        <v/>
      </c>
      <c r="D381" s="73" t="str">
        <f>IF(E381&lt;&gt;"",IF(D380&lt;&gt;"",D380,#REF!)+1,"")</f>
        <v/>
      </c>
      <c r="E381" s="73"/>
      <c r="F381" s="73"/>
      <c r="G381" s="122"/>
      <c r="H381" s="104"/>
      <c r="I381" s="73"/>
      <c r="J381" s="73"/>
      <c r="K381" s="202"/>
      <c r="L381" s="75" t="str">
        <f t="shared" si="33"/>
        <v/>
      </c>
      <c r="M381" s="75"/>
      <c r="N381" s="75" t="str">
        <f t="shared" si="34"/>
        <v/>
      </c>
      <c r="O381" s="204" t="str">
        <f t="shared" si="35"/>
        <v/>
      </c>
      <c r="P381" s="8"/>
      <c r="Q381" s="8"/>
      <c r="R381" s="8"/>
      <c r="S381" s="8"/>
    </row>
    <row r="382" spans="1:19" x14ac:dyDescent="0.25">
      <c r="A382" s="197">
        <f t="shared" si="31"/>
        <v>66</v>
      </c>
      <c r="B382" s="76" t="str">
        <f t="shared" si="32"/>
        <v/>
      </c>
      <c r="C382" s="77" t="str">
        <f>IF(G382&lt;&gt;"",IFERROR(ROUND(VLOOKUP(G382,ProductList!J:AO,32,FALSE),0),""),"")</f>
        <v/>
      </c>
      <c r="D382" s="73" t="str">
        <f>IF(E382&lt;&gt;"",IF(D381&lt;&gt;"",D381,#REF!)+1,"")</f>
        <v/>
      </c>
      <c r="E382" s="73"/>
      <c r="F382" s="73"/>
      <c r="G382" s="122"/>
      <c r="H382" s="104"/>
      <c r="I382" s="73"/>
      <c r="J382" s="73"/>
      <c r="K382" s="202"/>
      <c r="L382" s="75" t="str">
        <f t="shared" si="33"/>
        <v/>
      </c>
      <c r="M382" s="75"/>
      <c r="N382" s="75" t="str">
        <f t="shared" si="34"/>
        <v/>
      </c>
      <c r="O382" s="204" t="str">
        <f t="shared" si="35"/>
        <v/>
      </c>
      <c r="P382" s="8"/>
      <c r="Q382" s="8"/>
      <c r="R382" s="8"/>
      <c r="S382" s="8"/>
    </row>
    <row r="383" spans="1:19" x14ac:dyDescent="0.25">
      <c r="A383" s="197">
        <f t="shared" si="31"/>
        <v>66</v>
      </c>
      <c r="B383" s="76" t="str">
        <f t="shared" si="32"/>
        <v/>
      </c>
      <c r="C383" s="77" t="str">
        <f>IF(G383&lt;&gt;"",IFERROR(ROUND(VLOOKUP(G383,ProductList!J:AO,32,FALSE),0),""),"")</f>
        <v/>
      </c>
      <c r="D383" s="73" t="str">
        <f>IF(E383&lt;&gt;"",IF(D382&lt;&gt;"",D382,#REF!)+1,"")</f>
        <v/>
      </c>
      <c r="E383" s="73"/>
      <c r="F383" s="73"/>
      <c r="G383" s="122"/>
      <c r="H383" s="104"/>
      <c r="I383" s="73"/>
      <c r="J383" s="73"/>
      <c r="K383" s="202"/>
      <c r="L383" s="75" t="str">
        <f t="shared" si="33"/>
        <v/>
      </c>
      <c r="M383" s="75"/>
      <c r="N383" s="75" t="str">
        <f t="shared" si="34"/>
        <v/>
      </c>
      <c r="O383" s="204" t="str">
        <f t="shared" si="35"/>
        <v/>
      </c>
      <c r="P383" s="8"/>
      <c r="Q383" s="8"/>
      <c r="R383" s="8"/>
      <c r="S383" s="8"/>
    </row>
    <row r="384" spans="1:19" x14ac:dyDescent="0.25">
      <c r="A384" s="197">
        <f t="shared" si="31"/>
        <v>66</v>
      </c>
      <c r="B384" s="76" t="str">
        <f t="shared" si="32"/>
        <v/>
      </c>
      <c r="C384" s="77" t="str">
        <f>IF(G384&lt;&gt;"",IFERROR(ROUND(VLOOKUP(G384,ProductList!J:AO,32,FALSE),0),""),"")</f>
        <v/>
      </c>
      <c r="D384" s="73" t="str">
        <f>IF(E384&lt;&gt;"",IF(D383&lt;&gt;"",D383,#REF!)+1,"")</f>
        <v/>
      </c>
      <c r="E384" s="73"/>
      <c r="F384" s="73"/>
      <c r="G384" s="122"/>
      <c r="H384" s="104"/>
      <c r="I384" s="73"/>
      <c r="J384" s="73"/>
      <c r="K384" s="202"/>
      <c r="L384" s="75" t="str">
        <f t="shared" si="33"/>
        <v/>
      </c>
      <c r="M384" s="75"/>
      <c r="N384" s="75" t="str">
        <f t="shared" si="34"/>
        <v/>
      </c>
      <c r="O384" s="204" t="str">
        <f t="shared" si="35"/>
        <v/>
      </c>
      <c r="P384" s="8"/>
      <c r="Q384" s="8"/>
      <c r="R384" s="8"/>
      <c r="S384" s="8"/>
    </row>
    <row r="385" spans="1:19" x14ac:dyDescent="0.25">
      <c r="A385" s="197">
        <f t="shared" si="31"/>
        <v>66</v>
      </c>
      <c r="B385" s="76" t="str">
        <f t="shared" si="32"/>
        <v/>
      </c>
      <c r="C385" s="77" t="str">
        <f>IF(G385&lt;&gt;"",IFERROR(ROUND(VLOOKUP(G385,ProductList!J:AO,32,FALSE),0),""),"")</f>
        <v/>
      </c>
      <c r="D385" s="73" t="str">
        <f>IF(E385&lt;&gt;"",IF(D384&lt;&gt;"",D384,#REF!)+1,"")</f>
        <v/>
      </c>
      <c r="E385" s="73"/>
      <c r="F385" s="73"/>
      <c r="G385" s="122"/>
      <c r="H385" s="104"/>
      <c r="I385" s="73"/>
      <c r="J385" s="73"/>
      <c r="K385" s="202"/>
      <c r="L385" s="75" t="str">
        <f t="shared" si="33"/>
        <v/>
      </c>
      <c r="M385" s="75"/>
      <c r="N385" s="75" t="str">
        <f t="shared" si="34"/>
        <v/>
      </c>
      <c r="O385" s="204" t="str">
        <f t="shared" si="35"/>
        <v/>
      </c>
      <c r="P385" s="8"/>
      <c r="Q385" s="8"/>
      <c r="R385" s="8"/>
      <c r="S385" s="8"/>
    </row>
    <row r="386" spans="1:19" x14ac:dyDescent="0.25">
      <c r="A386" s="197">
        <f t="shared" si="31"/>
        <v>66</v>
      </c>
      <c r="B386" s="76" t="str">
        <f t="shared" si="32"/>
        <v/>
      </c>
      <c r="C386" s="77" t="str">
        <f>IF(G386&lt;&gt;"",IFERROR(ROUND(VLOOKUP(G386,ProductList!J:AO,32,FALSE),0),""),"")</f>
        <v/>
      </c>
      <c r="D386" s="73" t="str">
        <f>IF(E386&lt;&gt;"",IF(D385&lt;&gt;"",D385,#REF!)+1,"")</f>
        <v/>
      </c>
      <c r="E386" s="73"/>
      <c r="F386" s="73"/>
      <c r="G386" s="122"/>
      <c r="H386" s="104"/>
      <c r="I386" s="73"/>
      <c r="J386" s="73"/>
      <c r="K386" s="202"/>
      <c r="L386" s="75" t="str">
        <f t="shared" si="33"/>
        <v/>
      </c>
      <c r="M386" s="75"/>
      <c r="N386" s="75" t="str">
        <f t="shared" si="34"/>
        <v/>
      </c>
      <c r="O386" s="204" t="str">
        <f t="shared" si="35"/>
        <v/>
      </c>
      <c r="P386" s="8"/>
      <c r="Q386" s="8"/>
      <c r="R386" s="8"/>
      <c r="S386" s="8"/>
    </row>
    <row r="387" spans="1:19" x14ac:dyDescent="0.25">
      <c r="A387" s="197">
        <f t="shared" si="31"/>
        <v>66</v>
      </c>
      <c r="B387" s="76" t="str">
        <f t="shared" si="32"/>
        <v/>
      </c>
      <c r="C387" s="77" t="str">
        <f>IF(G387&lt;&gt;"",IFERROR(ROUND(VLOOKUP(G387,ProductList!J:AO,32,FALSE),0),""),"")</f>
        <v/>
      </c>
      <c r="D387" s="73" t="str">
        <f>IF(E387&lt;&gt;"",IF(D386&lt;&gt;"",D386,#REF!)+1,"")</f>
        <v/>
      </c>
      <c r="E387" s="73"/>
      <c r="F387" s="73"/>
      <c r="G387" s="122"/>
      <c r="H387" s="104"/>
      <c r="I387" s="73"/>
      <c r="J387" s="73"/>
      <c r="K387" s="202"/>
      <c r="L387" s="75" t="str">
        <f t="shared" si="33"/>
        <v/>
      </c>
      <c r="M387" s="75"/>
      <c r="N387" s="75" t="str">
        <f t="shared" si="34"/>
        <v/>
      </c>
      <c r="O387" s="204" t="str">
        <f t="shared" si="35"/>
        <v/>
      </c>
      <c r="P387" s="8"/>
      <c r="Q387" s="8"/>
      <c r="R387" s="8"/>
      <c r="S387" s="8"/>
    </row>
    <row r="388" spans="1:19" x14ac:dyDescent="0.25">
      <c r="A388" s="197">
        <f t="shared" si="31"/>
        <v>66</v>
      </c>
      <c r="B388" s="76" t="str">
        <f t="shared" si="32"/>
        <v/>
      </c>
      <c r="C388" s="77" t="str">
        <f>IF(G388&lt;&gt;"",IFERROR(ROUND(VLOOKUP(G388,ProductList!J:AO,32,FALSE),0),""),"")</f>
        <v/>
      </c>
      <c r="D388" s="73" t="str">
        <f>IF(E388&lt;&gt;"",IF(D387&lt;&gt;"",D387,#REF!)+1,"")</f>
        <v/>
      </c>
      <c r="E388" s="73"/>
      <c r="F388" s="73"/>
      <c r="G388" s="122"/>
      <c r="H388" s="104"/>
      <c r="I388" s="73"/>
      <c r="J388" s="73"/>
      <c r="K388" s="202"/>
      <c r="L388" s="75" t="str">
        <f t="shared" si="33"/>
        <v/>
      </c>
      <c r="M388" s="75"/>
      <c r="N388" s="75" t="str">
        <f t="shared" si="34"/>
        <v/>
      </c>
      <c r="O388" s="204" t="str">
        <f t="shared" si="35"/>
        <v/>
      </c>
      <c r="P388" s="8"/>
      <c r="Q388" s="8"/>
      <c r="R388" s="8"/>
      <c r="S388" s="8"/>
    </row>
    <row r="389" spans="1:19" x14ac:dyDescent="0.25">
      <c r="A389" s="197">
        <f t="shared" ref="A389:A452" si="36">IF(AND(E389&lt;&gt;""),IF(A388&lt;&gt;"",A388,0)+1,A388)</f>
        <v>66</v>
      </c>
      <c r="B389" s="76" t="str">
        <f t="shared" si="32"/>
        <v/>
      </c>
      <c r="C389" s="77" t="str">
        <f>IF(G389&lt;&gt;"",IFERROR(ROUND(VLOOKUP(G389,ProductList!J:AO,32,FALSE),0),""),"")</f>
        <v/>
      </c>
      <c r="D389" s="73" t="str">
        <f>IF(E389&lt;&gt;"",IF(D388&lt;&gt;"",D388,#REF!)+1,"")</f>
        <v/>
      </c>
      <c r="E389" s="73"/>
      <c r="F389" s="73"/>
      <c r="G389" s="122"/>
      <c r="H389" s="104"/>
      <c r="I389" s="73"/>
      <c r="J389" s="73"/>
      <c r="K389" s="202"/>
      <c r="L389" s="75" t="str">
        <f t="shared" si="33"/>
        <v/>
      </c>
      <c r="M389" s="75"/>
      <c r="N389" s="75" t="str">
        <f t="shared" si="34"/>
        <v/>
      </c>
      <c r="O389" s="204" t="str">
        <f t="shared" si="35"/>
        <v/>
      </c>
      <c r="P389" s="8"/>
      <c r="Q389" s="8"/>
      <c r="R389" s="8"/>
      <c r="S389" s="8"/>
    </row>
    <row r="390" spans="1:19" x14ac:dyDescent="0.25">
      <c r="A390" s="197">
        <f t="shared" si="36"/>
        <v>66</v>
      </c>
      <c r="B390" s="76" t="str">
        <f t="shared" ref="B390:B453" si="37">IF(AND(L390&lt;&gt;"",F390&lt;&gt;""),ROUND((((L390-F390)*100)/F390),2),"")</f>
        <v/>
      </c>
      <c r="C390" s="77" t="str">
        <f>IF(G390&lt;&gt;"",IFERROR(ROUND(VLOOKUP(G390,ProductList!J:AO,32,FALSE),0),""),"")</f>
        <v/>
      </c>
      <c r="D390" s="73" t="str">
        <f>IF(E390&lt;&gt;"",IF(D389&lt;&gt;"",D389,#REF!)+1,"")</f>
        <v/>
      </c>
      <c r="E390" s="73"/>
      <c r="F390" s="73"/>
      <c r="G390" s="122"/>
      <c r="H390" s="104"/>
      <c r="I390" s="73"/>
      <c r="J390" s="73"/>
      <c r="K390" s="202"/>
      <c r="L390" s="75" t="str">
        <f t="shared" ref="L390:L453" si="38">IF(AND(J390&lt;&gt;"",K390&lt;&gt;""),K390*J390,"")</f>
        <v/>
      </c>
      <c r="M390" s="75"/>
      <c r="N390" s="75" t="str">
        <f t="shared" ref="N390:N453" si="39">IF(AND(M390&lt;&gt;"",J390&lt;&gt;""),M390*J390,"")</f>
        <v/>
      </c>
      <c r="O390" s="204" t="str">
        <f t="shared" si="35"/>
        <v/>
      </c>
      <c r="P390" s="8"/>
      <c r="Q390" s="8"/>
      <c r="R390" s="8"/>
      <c r="S390" s="8"/>
    </row>
    <row r="391" spans="1:19" x14ac:dyDescent="0.25">
      <c r="A391" s="197">
        <f t="shared" si="36"/>
        <v>66</v>
      </c>
      <c r="B391" s="76" t="str">
        <f t="shared" si="37"/>
        <v/>
      </c>
      <c r="C391" s="77" t="str">
        <f>IF(G391&lt;&gt;"",IFERROR(ROUND(VLOOKUP(G391,ProductList!J:AO,32,FALSE),0),""),"")</f>
        <v/>
      </c>
      <c r="D391" s="73" t="str">
        <f>IF(E391&lt;&gt;"",IF(D390&lt;&gt;"",D390,#REF!)+1,"")</f>
        <v/>
      </c>
      <c r="E391" s="73"/>
      <c r="F391" s="73"/>
      <c r="G391" s="122"/>
      <c r="H391" s="104"/>
      <c r="I391" s="73"/>
      <c r="J391" s="73"/>
      <c r="K391" s="202"/>
      <c r="L391" s="75" t="str">
        <f t="shared" si="38"/>
        <v/>
      </c>
      <c r="M391" s="75"/>
      <c r="N391" s="75" t="str">
        <f t="shared" si="39"/>
        <v/>
      </c>
      <c r="O391" s="204" t="str">
        <f t="shared" si="35"/>
        <v/>
      </c>
      <c r="P391" s="8"/>
      <c r="Q391" s="8"/>
      <c r="R391" s="8"/>
      <c r="S391" s="8"/>
    </row>
    <row r="392" spans="1:19" x14ac:dyDescent="0.25">
      <c r="A392" s="197">
        <f t="shared" si="36"/>
        <v>66</v>
      </c>
      <c r="B392" s="76" t="str">
        <f t="shared" si="37"/>
        <v/>
      </c>
      <c r="C392" s="77" t="str">
        <f>IF(G392&lt;&gt;"",IFERROR(ROUND(VLOOKUP(G392,ProductList!J:AO,32,FALSE),0),""),"")</f>
        <v/>
      </c>
      <c r="D392" s="73" t="str">
        <f>IF(E392&lt;&gt;"",IF(D391&lt;&gt;"",D391,#REF!)+1,"")</f>
        <v/>
      </c>
      <c r="E392" s="73"/>
      <c r="F392" s="73"/>
      <c r="G392" s="122"/>
      <c r="H392" s="104"/>
      <c r="I392" s="73"/>
      <c r="J392" s="73"/>
      <c r="K392" s="202"/>
      <c r="L392" s="75" t="str">
        <f t="shared" si="38"/>
        <v/>
      </c>
      <c r="M392" s="75"/>
      <c r="N392" s="75" t="str">
        <f t="shared" si="39"/>
        <v/>
      </c>
      <c r="O392" s="204" t="str">
        <f t="shared" si="35"/>
        <v/>
      </c>
      <c r="P392" s="8"/>
      <c r="Q392" s="8"/>
      <c r="R392" s="8"/>
      <c r="S392" s="8"/>
    </row>
    <row r="393" spans="1:19" x14ac:dyDescent="0.25">
      <c r="A393" s="197">
        <f t="shared" si="36"/>
        <v>66</v>
      </c>
      <c r="B393" s="76" t="str">
        <f t="shared" si="37"/>
        <v/>
      </c>
      <c r="C393" s="77" t="str">
        <f>IF(G393&lt;&gt;"",IFERROR(ROUND(VLOOKUP(G393,ProductList!J:AO,32,FALSE),0),""),"")</f>
        <v/>
      </c>
      <c r="D393" s="73" t="str">
        <f>IF(E393&lt;&gt;"",IF(D392&lt;&gt;"",D392,#REF!)+1,"")</f>
        <v/>
      </c>
      <c r="E393" s="73"/>
      <c r="F393" s="73"/>
      <c r="G393" s="122"/>
      <c r="H393" s="104"/>
      <c r="I393" s="73"/>
      <c r="J393" s="73"/>
      <c r="K393" s="202"/>
      <c r="L393" s="75" t="str">
        <f t="shared" si="38"/>
        <v/>
      </c>
      <c r="M393" s="75"/>
      <c r="N393" s="75" t="str">
        <f t="shared" si="39"/>
        <v/>
      </c>
      <c r="O393" s="204" t="str">
        <f t="shared" si="35"/>
        <v/>
      </c>
      <c r="P393" s="8"/>
      <c r="Q393" s="8"/>
      <c r="R393" s="8"/>
      <c r="S393" s="8"/>
    </row>
    <row r="394" spans="1:19" x14ac:dyDescent="0.25">
      <c r="A394" s="197">
        <f t="shared" si="36"/>
        <v>66</v>
      </c>
      <c r="B394" s="76" t="str">
        <f t="shared" si="37"/>
        <v/>
      </c>
      <c r="C394" s="77" t="str">
        <f>IF(G394&lt;&gt;"",IFERROR(ROUND(VLOOKUP(G394,ProductList!J:AO,32,FALSE),0),""),"")</f>
        <v/>
      </c>
      <c r="D394" s="73" t="str">
        <f>IF(E394&lt;&gt;"",IF(D393&lt;&gt;"",D393,#REF!)+1,"")</f>
        <v/>
      </c>
      <c r="E394" s="73"/>
      <c r="F394" s="73"/>
      <c r="G394" s="122"/>
      <c r="H394" s="104"/>
      <c r="I394" s="73"/>
      <c r="J394" s="73"/>
      <c r="K394" s="202"/>
      <c r="L394" s="75" t="str">
        <f t="shared" si="38"/>
        <v/>
      </c>
      <c r="M394" s="75"/>
      <c r="N394" s="75" t="str">
        <f t="shared" si="39"/>
        <v/>
      </c>
      <c r="O394" s="204" t="str">
        <f t="shared" si="35"/>
        <v/>
      </c>
      <c r="P394" s="8"/>
      <c r="Q394" s="8"/>
      <c r="R394" s="8"/>
      <c r="S394" s="8"/>
    </row>
    <row r="395" spans="1:19" x14ac:dyDescent="0.25">
      <c r="A395" s="197">
        <f t="shared" si="36"/>
        <v>66</v>
      </c>
      <c r="B395" s="76" t="str">
        <f t="shared" si="37"/>
        <v/>
      </c>
      <c r="C395" s="77" t="str">
        <f>IF(G395&lt;&gt;"",IFERROR(ROUND(VLOOKUP(G395,ProductList!J:AO,32,FALSE),0),""),"")</f>
        <v/>
      </c>
      <c r="D395" s="73" t="str">
        <f>IF(E395&lt;&gt;"",IF(D394&lt;&gt;"",D394,#REF!)+1,"")</f>
        <v/>
      </c>
      <c r="E395" s="73"/>
      <c r="F395" s="73"/>
      <c r="G395" s="122"/>
      <c r="H395" s="104"/>
      <c r="I395" s="73"/>
      <c r="J395" s="73"/>
      <c r="K395" s="202"/>
      <c r="L395" s="75" t="str">
        <f t="shared" si="38"/>
        <v/>
      </c>
      <c r="M395" s="75"/>
      <c r="N395" s="75" t="str">
        <f t="shared" si="39"/>
        <v/>
      </c>
      <c r="O395" s="204" t="str">
        <f t="shared" si="35"/>
        <v/>
      </c>
      <c r="P395" s="8"/>
      <c r="Q395" s="8"/>
      <c r="R395" s="8"/>
      <c r="S395" s="8"/>
    </row>
    <row r="396" spans="1:19" x14ac:dyDescent="0.25">
      <c r="A396" s="197">
        <f t="shared" si="36"/>
        <v>66</v>
      </c>
      <c r="B396" s="76" t="str">
        <f t="shared" si="37"/>
        <v/>
      </c>
      <c r="C396" s="77" t="str">
        <f>IF(G396&lt;&gt;"",IFERROR(ROUND(VLOOKUP(G396,ProductList!J:AO,32,FALSE),0),""),"")</f>
        <v/>
      </c>
      <c r="D396" s="73" t="str">
        <f>IF(E396&lt;&gt;"",IF(D395&lt;&gt;"",D395,#REF!)+1,"")</f>
        <v/>
      </c>
      <c r="E396" s="73"/>
      <c r="F396" s="73"/>
      <c r="G396" s="122"/>
      <c r="H396" s="104"/>
      <c r="I396" s="73"/>
      <c r="J396" s="73"/>
      <c r="K396" s="202"/>
      <c r="L396" s="75" t="str">
        <f t="shared" si="38"/>
        <v/>
      </c>
      <c r="M396" s="75"/>
      <c r="N396" s="75" t="str">
        <f t="shared" si="39"/>
        <v/>
      </c>
      <c r="O396" s="204" t="str">
        <f t="shared" si="35"/>
        <v/>
      </c>
      <c r="P396" s="8"/>
      <c r="Q396" s="8"/>
      <c r="R396" s="8"/>
      <c r="S396" s="8"/>
    </row>
    <row r="397" spans="1:19" x14ac:dyDescent="0.25">
      <c r="A397" s="197">
        <f t="shared" si="36"/>
        <v>66</v>
      </c>
      <c r="B397" s="76" t="str">
        <f t="shared" si="37"/>
        <v/>
      </c>
      <c r="C397" s="77" t="str">
        <f>IF(G397&lt;&gt;"",IFERROR(ROUND(VLOOKUP(G397,ProductList!J:AO,32,FALSE),0),""),"")</f>
        <v/>
      </c>
      <c r="D397" s="73" t="str">
        <f>IF(E397&lt;&gt;"",IF(D396&lt;&gt;"",D396,#REF!)+1,"")</f>
        <v/>
      </c>
      <c r="E397" s="73"/>
      <c r="F397" s="73"/>
      <c r="G397" s="122"/>
      <c r="H397" s="104"/>
      <c r="I397" s="73"/>
      <c r="J397" s="73"/>
      <c r="K397" s="202"/>
      <c r="L397" s="75" t="str">
        <f t="shared" si="38"/>
        <v/>
      </c>
      <c r="M397" s="75"/>
      <c r="N397" s="75" t="str">
        <f t="shared" si="39"/>
        <v/>
      </c>
      <c r="O397" s="204" t="str">
        <f t="shared" si="35"/>
        <v/>
      </c>
      <c r="P397" s="8"/>
      <c r="Q397" s="8"/>
      <c r="R397" s="8"/>
      <c r="S397" s="8"/>
    </row>
    <row r="398" spans="1:19" x14ac:dyDescent="0.25">
      <c r="A398" s="197">
        <f t="shared" si="36"/>
        <v>66</v>
      </c>
      <c r="B398" s="76" t="str">
        <f t="shared" si="37"/>
        <v/>
      </c>
      <c r="C398" s="77" t="str">
        <f>IF(G398&lt;&gt;"",IFERROR(ROUND(VLOOKUP(G398,ProductList!J:AO,32,FALSE),0),""),"")</f>
        <v/>
      </c>
      <c r="D398" s="73" t="str">
        <f>IF(E398&lt;&gt;"",IF(D397&lt;&gt;"",D397,#REF!)+1,"")</f>
        <v/>
      </c>
      <c r="E398" s="73"/>
      <c r="F398" s="73"/>
      <c r="G398" s="122"/>
      <c r="H398" s="104"/>
      <c r="I398" s="73"/>
      <c r="J398" s="73"/>
      <c r="K398" s="202"/>
      <c r="L398" s="75" t="str">
        <f t="shared" si="38"/>
        <v/>
      </c>
      <c r="M398" s="75"/>
      <c r="N398" s="75" t="str">
        <f t="shared" si="39"/>
        <v/>
      </c>
      <c r="O398" s="204" t="str">
        <f t="shared" ref="O398:O461" si="40">IF(AND(K398&lt;&gt;"",M398&lt;&gt;""),K398-M398,IF(K398&lt;&gt;"",K398,""))</f>
        <v/>
      </c>
      <c r="P398" s="8"/>
      <c r="Q398" s="8"/>
      <c r="R398" s="8"/>
      <c r="S398" s="8"/>
    </row>
    <row r="399" spans="1:19" x14ac:dyDescent="0.25">
      <c r="A399" s="197">
        <f t="shared" si="36"/>
        <v>66</v>
      </c>
      <c r="B399" s="76" t="str">
        <f t="shared" si="37"/>
        <v/>
      </c>
      <c r="C399" s="77" t="str">
        <f>IF(G399&lt;&gt;"",IFERROR(ROUND(VLOOKUP(G399,ProductList!J:AO,32,FALSE),0),""),"")</f>
        <v/>
      </c>
      <c r="D399" s="73" t="str">
        <f>IF(E399&lt;&gt;"",IF(D398&lt;&gt;"",D398,#REF!)+1,"")</f>
        <v/>
      </c>
      <c r="E399" s="73"/>
      <c r="F399" s="73"/>
      <c r="G399" s="122"/>
      <c r="H399" s="104"/>
      <c r="I399" s="73"/>
      <c r="J399" s="73"/>
      <c r="K399" s="202"/>
      <c r="L399" s="75" t="str">
        <f t="shared" si="38"/>
        <v/>
      </c>
      <c r="M399" s="75"/>
      <c r="N399" s="75" t="str">
        <f t="shared" si="39"/>
        <v/>
      </c>
      <c r="O399" s="204" t="str">
        <f t="shared" si="40"/>
        <v/>
      </c>
      <c r="P399" s="8"/>
      <c r="Q399" s="8"/>
      <c r="R399" s="8"/>
      <c r="S399" s="8"/>
    </row>
    <row r="400" spans="1:19" x14ac:dyDescent="0.25">
      <c r="A400" s="197">
        <f t="shared" si="36"/>
        <v>66</v>
      </c>
      <c r="B400" s="76" t="str">
        <f t="shared" si="37"/>
        <v/>
      </c>
      <c r="C400" s="77" t="str">
        <f>IF(G400&lt;&gt;"",IFERROR(ROUND(VLOOKUP(G400,ProductList!J:AO,32,FALSE),0),""),"")</f>
        <v/>
      </c>
      <c r="D400" s="73" t="str">
        <f>IF(E400&lt;&gt;"",IF(D399&lt;&gt;"",D399,#REF!)+1,"")</f>
        <v/>
      </c>
      <c r="E400" s="73"/>
      <c r="F400" s="73"/>
      <c r="G400" s="122"/>
      <c r="H400" s="104"/>
      <c r="I400" s="73"/>
      <c r="J400" s="73"/>
      <c r="K400" s="202"/>
      <c r="L400" s="75" t="str">
        <f t="shared" si="38"/>
        <v/>
      </c>
      <c r="M400" s="75"/>
      <c r="N400" s="75" t="str">
        <f t="shared" si="39"/>
        <v/>
      </c>
      <c r="O400" s="204" t="str">
        <f t="shared" si="40"/>
        <v/>
      </c>
      <c r="P400" s="8"/>
      <c r="Q400" s="8"/>
      <c r="R400" s="8"/>
      <c r="S400" s="8"/>
    </row>
    <row r="401" spans="1:19" x14ac:dyDescent="0.25">
      <c r="A401" s="197">
        <f t="shared" si="36"/>
        <v>66</v>
      </c>
      <c r="B401" s="76" t="str">
        <f t="shared" si="37"/>
        <v/>
      </c>
      <c r="C401" s="77" t="str">
        <f>IF(G401&lt;&gt;"",IFERROR(ROUND(VLOOKUP(G401,ProductList!J:AO,32,FALSE),0),""),"")</f>
        <v/>
      </c>
      <c r="D401" s="73" t="str">
        <f>IF(E401&lt;&gt;"",IF(D400&lt;&gt;"",D400,#REF!)+1,"")</f>
        <v/>
      </c>
      <c r="E401" s="73"/>
      <c r="F401" s="73"/>
      <c r="G401" s="122"/>
      <c r="H401" s="104"/>
      <c r="I401" s="73"/>
      <c r="J401" s="73"/>
      <c r="K401" s="202"/>
      <c r="L401" s="75" t="str">
        <f t="shared" si="38"/>
        <v/>
      </c>
      <c r="M401" s="75"/>
      <c r="N401" s="75" t="str">
        <f t="shared" si="39"/>
        <v/>
      </c>
      <c r="O401" s="204" t="str">
        <f t="shared" si="40"/>
        <v/>
      </c>
      <c r="P401" s="8"/>
      <c r="Q401" s="8"/>
      <c r="R401" s="8"/>
      <c r="S401" s="8"/>
    </row>
    <row r="402" spans="1:19" x14ac:dyDescent="0.25">
      <c r="A402" s="197">
        <f t="shared" si="36"/>
        <v>66</v>
      </c>
      <c r="B402" s="76" t="str">
        <f t="shared" si="37"/>
        <v/>
      </c>
      <c r="C402" s="77" t="str">
        <f>IF(G402&lt;&gt;"",IFERROR(ROUND(VLOOKUP(G402,ProductList!J:AO,32,FALSE),0),""),"")</f>
        <v/>
      </c>
      <c r="D402" s="73" t="str">
        <f>IF(E402&lt;&gt;"",IF(D401&lt;&gt;"",D401,#REF!)+1,"")</f>
        <v/>
      </c>
      <c r="E402" s="73"/>
      <c r="F402" s="73"/>
      <c r="G402" s="122"/>
      <c r="H402" s="104"/>
      <c r="I402" s="73"/>
      <c r="J402" s="73"/>
      <c r="K402" s="202"/>
      <c r="L402" s="75" t="str">
        <f t="shared" si="38"/>
        <v/>
      </c>
      <c r="M402" s="75"/>
      <c r="N402" s="75" t="str">
        <f t="shared" si="39"/>
        <v/>
      </c>
      <c r="O402" s="204" t="str">
        <f t="shared" si="40"/>
        <v/>
      </c>
      <c r="P402" s="8"/>
      <c r="Q402" s="8"/>
      <c r="R402" s="8"/>
      <c r="S402" s="8"/>
    </row>
    <row r="403" spans="1:19" x14ac:dyDescent="0.25">
      <c r="A403" s="197">
        <f t="shared" si="36"/>
        <v>66</v>
      </c>
      <c r="B403" s="76" t="str">
        <f t="shared" si="37"/>
        <v/>
      </c>
      <c r="C403" s="77" t="str">
        <f>IF(G403&lt;&gt;"",IFERROR(ROUND(VLOOKUP(G403,ProductList!J:AO,32,FALSE),0),""),"")</f>
        <v/>
      </c>
      <c r="D403" s="73" t="str">
        <f>IF(E403&lt;&gt;"",IF(D402&lt;&gt;"",D402,#REF!)+1,"")</f>
        <v/>
      </c>
      <c r="E403" s="73"/>
      <c r="F403" s="73"/>
      <c r="G403" s="122"/>
      <c r="H403" s="104"/>
      <c r="I403" s="73"/>
      <c r="J403" s="73"/>
      <c r="K403" s="202"/>
      <c r="L403" s="75" t="str">
        <f t="shared" si="38"/>
        <v/>
      </c>
      <c r="M403" s="75"/>
      <c r="N403" s="75" t="str">
        <f t="shared" si="39"/>
        <v/>
      </c>
      <c r="O403" s="204" t="str">
        <f t="shared" si="40"/>
        <v/>
      </c>
      <c r="P403" s="8"/>
      <c r="Q403" s="8"/>
      <c r="R403" s="8"/>
      <c r="S403" s="8"/>
    </row>
    <row r="404" spans="1:19" x14ac:dyDescent="0.25">
      <c r="A404" s="197">
        <f t="shared" si="36"/>
        <v>66</v>
      </c>
      <c r="B404" s="76" t="str">
        <f t="shared" si="37"/>
        <v/>
      </c>
      <c r="C404" s="77" t="str">
        <f>IF(G404&lt;&gt;"",IFERROR(ROUND(VLOOKUP(G404,ProductList!J:AO,32,FALSE),0),""),"")</f>
        <v/>
      </c>
      <c r="D404" s="73" t="str">
        <f>IF(E404&lt;&gt;"",IF(D403&lt;&gt;"",D403,#REF!)+1,"")</f>
        <v/>
      </c>
      <c r="E404" s="73"/>
      <c r="F404" s="73"/>
      <c r="G404" s="122"/>
      <c r="H404" s="104"/>
      <c r="I404" s="73"/>
      <c r="J404" s="73"/>
      <c r="K404" s="202"/>
      <c r="L404" s="75" t="str">
        <f t="shared" si="38"/>
        <v/>
      </c>
      <c r="M404" s="75"/>
      <c r="N404" s="75" t="str">
        <f t="shared" si="39"/>
        <v/>
      </c>
      <c r="O404" s="204" t="str">
        <f t="shared" si="40"/>
        <v/>
      </c>
      <c r="P404" s="8"/>
      <c r="Q404" s="8"/>
      <c r="R404" s="8"/>
      <c r="S404" s="8"/>
    </row>
    <row r="405" spans="1:19" x14ac:dyDescent="0.25">
      <c r="A405" s="197">
        <f t="shared" si="36"/>
        <v>66</v>
      </c>
      <c r="B405" s="76" t="str">
        <f t="shared" si="37"/>
        <v/>
      </c>
      <c r="C405" s="77" t="str">
        <f>IF(G405&lt;&gt;"",IFERROR(ROUND(VLOOKUP(G405,ProductList!J:AO,32,FALSE),0),""),"")</f>
        <v/>
      </c>
      <c r="D405" s="73" t="str">
        <f>IF(E405&lt;&gt;"",IF(D404&lt;&gt;"",D404,#REF!)+1,"")</f>
        <v/>
      </c>
      <c r="E405" s="73"/>
      <c r="F405" s="73"/>
      <c r="G405" s="122"/>
      <c r="H405" s="104"/>
      <c r="I405" s="73"/>
      <c r="J405" s="73"/>
      <c r="K405" s="202"/>
      <c r="L405" s="75" t="str">
        <f t="shared" si="38"/>
        <v/>
      </c>
      <c r="M405" s="75"/>
      <c r="N405" s="75" t="str">
        <f t="shared" si="39"/>
        <v/>
      </c>
      <c r="O405" s="204" t="str">
        <f t="shared" si="40"/>
        <v/>
      </c>
      <c r="P405" s="8"/>
      <c r="Q405" s="8"/>
      <c r="R405" s="8"/>
      <c r="S405" s="8"/>
    </row>
    <row r="406" spans="1:19" x14ac:dyDescent="0.25">
      <c r="A406" s="197">
        <f t="shared" si="36"/>
        <v>66</v>
      </c>
      <c r="B406" s="76" t="str">
        <f t="shared" si="37"/>
        <v/>
      </c>
      <c r="C406" s="77" t="str">
        <f>IF(G406&lt;&gt;"",IFERROR(ROUND(VLOOKUP(G406,ProductList!J:AO,32,FALSE),0),""),"")</f>
        <v/>
      </c>
      <c r="D406" s="73" t="str">
        <f>IF(E406&lt;&gt;"",IF(D405&lt;&gt;"",D405,#REF!)+1,"")</f>
        <v/>
      </c>
      <c r="E406" s="73"/>
      <c r="F406" s="73"/>
      <c r="G406" s="122"/>
      <c r="H406" s="104"/>
      <c r="I406" s="73"/>
      <c r="J406" s="73"/>
      <c r="K406" s="202"/>
      <c r="L406" s="75" t="str">
        <f t="shared" si="38"/>
        <v/>
      </c>
      <c r="M406" s="75"/>
      <c r="N406" s="75" t="str">
        <f t="shared" si="39"/>
        <v/>
      </c>
      <c r="O406" s="204" t="str">
        <f t="shared" si="40"/>
        <v/>
      </c>
      <c r="P406" s="8"/>
      <c r="Q406" s="8"/>
      <c r="R406" s="8"/>
      <c r="S406" s="8"/>
    </row>
    <row r="407" spans="1:19" x14ac:dyDescent="0.25">
      <c r="A407" s="197">
        <f t="shared" si="36"/>
        <v>66</v>
      </c>
      <c r="B407" s="76" t="str">
        <f t="shared" si="37"/>
        <v/>
      </c>
      <c r="C407" s="77" t="str">
        <f>IF(G407&lt;&gt;"",IFERROR(ROUND(VLOOKUP(G407,ProductList!J:AO,32,FALSE),0),""),"")</f>
        <v/>
      </c>
      <c r="D407" s="73" t="str">
        <f>IF(E407&lt;&gt;"",IF(D406&lt;&gt;"",D406,#REF!)+1,"")</f>
        <v/>
      </c>
      <c r="E407" s="73"/>
      <c r="F407" s="73"/>
      <c r="G407" s="122"/>
      <c r="H407" s="104"/>
      <c r="I407" s="73"/>
      <c r="J407" s="73"/>
      <c r="K407" s="202"/>
      <c r="L407" s="75" t="str">
        <f t="shared" si="38"/>
        <v/>
      </c>
      <c r="M407" s="75"/>
      <c r="N407" s="75" t="str">
        <f t="shared" si="39"/>
        <v/>
      </c>
      <c r="O407" s="204" t="str">
        <f t="shared" si="40"/>
        <v/>
      </c>
      <c r="P407" s="8"/>
      <c r="Q407" s="8"/>
      <c r="R407" s="8"/>
      <c r="S407" s="8"/>
    </row>
    <row r="408" spans="1:19" x14ac:dyDescent="0.25">
      <c r="A408" s="197">
        <f t="shared" si="36"/>
        <v>66</v>
      </c>
      <c r="B408" s="76" t="str">
        <f t="shared" si="37"/>
        <v/>
      </c>
      <c r="C408" s="77" t="str">
        <f>IF(G408&lt;&gt;"",IFERROR(ROUND(VLOOKUP(G408,ProductList!J:AO,32,FALSE),0),""),"")</f>
        <v/>
      </c>
      <c r="D408" s="73" t="str">
        <f>IF(E408&lt;&gt;"",IF(D407&lt;&gt;"",D407,#REF!)+1,"")</f>
        <v/>
      </c>
      <c r="E408" s="73"/>
      <c r="F408" s="73"/>
      <c r="G408" s="122"/>
      <c r="H408" s="104"/>
      <c r="I408" s="73"/>
      <c r="J408" s="73"/>
      <c r="K408" s="202"/>
      <c r="L408" s="75" t="str">
        <f t="shared" si="38"/>
        <v/>
      </c>
      <c r="M408" s="75"/>
      <c r="N408" s="75" t="str">
        <f t="shared" si="39"/>
        <v/>
      </c>
      <c r="O408" s="204" t="str">
        <f t="shared" si="40"/>
        <v/>
      </c>
      <c r="P408" s="8"/>
      <c r="Q408" s="8"/>
      <c r="R408" s="8"/>
      <c r="S408" s="8"/>
    </row>
    <row r="409" spans="1:19" x14ac:dyDescent="0.25">
      <c r="A409" s="197">
        <f t="shared" si="36"/>
        <v>66</v>
      </c>
      <c r="B409" s="76" t="str">
        <f t="shared" si="37"/>
        <v/>
      </c>
      <c r="C409" s="77" t="str">
        <f>IF(G409&lt;&gt;"",IFERROR(ROUND(VLOOKUP(G409,ProductList!J:AO,32,FALSE),0),""),"")</f>
        <v/>
      </c>
      <c r="D409" s="73" t="str">
        <f>IF(E409&lt;&gt;"",IF(D408&lt;&gt;"",D408,#REF!)+1,"")</f>
        <v/>
      </c>
      <c r="E409" s="73"/>
      <c r="F409" s="73"/>
      <c r="G409" s="122"/>
      <c r="H409" s="104"/>
      <c r="I409" s="73"/>
      <c r="J409" s="73"/>
      <c r="K409" s="202"/>
      <c r="L409" s="75" t="str">
        <f t="shared" si="38"/>
        <v/>
      </c>
      <c r="M409" s="75"/>
      <c r="N409" s="75" t="str">
        <f t="shared" si="39"/>
        <v/>
      </c>
      <c r="O409" s="204" t="str">
        <f t="shared" si="40"/>
        <v/>
      </c>
      <c r="P409" s="8"/>
      <c r="Q409" s="8"/>
      <c r="R409" s="8"/>
      <c r="S409" s="8"/>
    </row>
    <row r="410" spans="1:19" x14ac:dyDescent="0.25">
      <c r="A410" s="197">
        <f t="shared" si="36"/>
        <v>66</v>
      </c>
      <c r="B410" s="76" t="str">
        <f t="shared" si="37"/>
        <v/>
      </c>
      <c r="C410" s="77" t="str">
        <f>IF(G410&lt;&gt;"",IFERROR(ROUND(VLOOKUP(G410,ProductList!J:AO,32,FALSE),0),""),"")</f>
        <v/>
      </c>
      <c r="D410" s="73" t="str">
        <f>IF(E410&lt;&gt;"",IF(D409&lt;&gt;"",D409,#REF!)+1,"")</f>
        <v/>
      </c>
      <c r="E410" s="73"/>
      <c r="F410" s="73"/>
      <c r="G410" s="122"/>
      <c r="H410" s="104"/>
      <c r="I410" s="73"/>
      <c r="J410" s="73"/>
      <c r="K410" s="202"/>
      <c r="L410" s="75" t="str">
        <f t="shared" si="38"/>
        <v/>
      </c>
      <c r="M410" s="75"/>
      <c r="N410" s="75" t="str">
        <f t="shared" si="39"/>
        <v/>
      </c>
      <c r="O410" s="204" t="str">
        <f t="shared" si="40"/>
        <v/>
      </c>
      <c r="P410" s="8"/>
      <c r="Q410" s="8"/>
      <c r="R410" s="8"/>
      <c r="S410" s="8"/>
    </row>
    <row r="411" spans="1:19" x14ac:dyDescent="0.25">
      <c r="A411" s="197">
        <f t="shared" si="36"/>
        <v>66</v>
      </c>
      <c r="B411" s="76" t="str">
        <f t="shared" si="37"/>
        <v/>
      </c>
      <c r="C411" s="77" t="str">
        <f>IF(G411&lt;&gt;"",IFERROR(ROUND(VLOOKUP(G411,ProductList!J:AO,32,FALSE),0),""),"")</f>
        <v/>
      </c>
      <c r="D411" s="73" t="str">
        <f>IF(E411&lt;&gt;"",IF(D410&lt;&gt;"",D410,#REF!)+1,"")</f>
        <v/>
      </c>
      <c r="E411" s="73"/>
      <c r="F411" s="73"/>
      <c r="G411" s="122"/>
      <c r="H411" s="104"/>
      <c r="I411" s="73"/>
      <c r="J411" s="73"/>
      <c r="K411" s="202"/>
      <c r="L411" s="75" t="str">
        <f t="shared" si="38"/>
        <v/>
      </c>
      <c r="M411" s="75"/>
      <c r="N411" s="75" t="str">
        <f t="shared" si="39"/>
        <v/>
      </c>
      <c r="O411" s="204" t="str">
        <f t="shared" si="40"/>
        <v/>
      </c>
      <c r="P411" s="8"/>
      <c r="Q411" s="8"/>
      <c r="R411" s="8"/>
      <c r="S411" s="8"/>
    </row>
    <row r="412" spans="1:19" x14ac:dyDescent="0.25">
      <c r="A412" s="197">
        <f t="shared" si="36"/>
        <v>66</v>
      </c>
      <c r="B412" s="76" t="str">
        <f t="shared" si="37"/>
        <v/>
      </c>
      <c r="C412" s="77" t="str">
        <f>IF(G412&lt;&gt;"",IFERROR(ROUND(VLOOKUP(G412,ProductList!J:AO,32,FALSE),0),""),"")</f>
        <v/>
      </c>
      <c r="D412" s="73" t="str">
        <f>IF(E412&lt;&gt;"",IF(D411&lt;&gt;"",D411,#REF!)+1,"")</f>
        <v/>
      </c>
      <c r="E412" s="73"/>
      <c r="F412" s="73"/>
      <c r="G412" s="122"/>
      <c r="H412" s="104"/>
      <c r="I412" s="73"/>
      <c r="J412" s="73"/>
      <c r="K412" s="202"/>
      <c r="L412" s="75" t="str">
        <f t="shared" si="38"/>
        <v/>
      </c>
      <c r="M412" s="75"/>
      <c r="N412" s="75" t="str">
        <f t="shared" si="39"/>
        <v/>
      </c>
      <c r="O412" s="204" t="str">
        <f t="shared" si="40"/>
        <v/>
      </c>
      <c r="P412" s="8"/>
      <c r="Q412" s="8"/>
      <c r="R412" s="8"/>
      <c r="S412" s="8"/>
    </row>
    <row r="413" spans="1:19" x14ac:dyDescent="0.25">
      <c r="A413" s="197">
        <f t="shared" si="36"/>
        <v>66</v>
      </c>
      <c r="B413" s="76" t="str">
        <f t="shared" si="37"/>
        <v/>
      </c>
      <c r="C413" s="77" t="str">
        <f>IF(G413&lt;&gt;"",IFERROR(ROUND(VLOOKUP(G413,ProductList!J:AO,32,FALSE),0),""),"")</f>
        <v/>
      </c>
      <c r="D413" s="73" t="str">
        <f>IF(E413&lt;&gt;"",IF(D412&lt;&gt;"",D412,#REF!)+1,"")</f>
        <v/>
      </c>
      <c r="E413" s="73"/>
      <c r="F413" s="73"/>
      <c r="G413" s="122"/>
      <c r="H413" s="104"/>
      <c r="I413" s="73"/>
      <c r="J413" s="73"/>
      <c r="K413" s="202"/>
      <c r="L413" s="75" t="str">
        <f t="shared" si="38"/>
        <v/>
      </c>
      <c r="M413" s="75"/>
      <c r="N413" s="75" t="str">
        <f t="shared" si="39"/>
        <v/>
      </c>
      <c r="O413" s="204" t="str">
        <f t="shared" si="40"/>
        <v/>
      </c>
      <c r="P413" s="8"/>
      <c r="Q413" s="8"/>
      <c r="R413" s="8"/>
      <c r="S413" s="8"/>
    </row>
    <row r="414" spans="1:19" x14ac:dyDescent="0.25">
      <c r="A414" s="197">
        <f t="shared" si="36"/>
        <v>66</v>
      </c>
      <c r="B414" s="76" t="str">
        <f t="shared" si="37"/>
        <v/>
      </c>
      <c r="C414" s="77" t="str">
        <f>IF(G414&lt;&gt;"",IFERROR(ROUND(VLOOKUP(G414,ProductList!J:AO,32,FALSE),0),""),"")</f>
        <v/>
      </c>
      <c r="D414" s="73" t="str">
        <f>IF(E414&lt;&gt;"",IF(D413&lt;&gt;"",D413,#REF!)+1,"")</f>
        <v/>
      </c>
      <c r="E414" s="73"/>
      <c r="F414" s="73"/>
      <c r="G414" s="122"/>
      <c r="H414" s="104"/>
      <c r="I414" s="73"/>
      <c r="J414" s="73"/>
      <c r="K414" s="202"/>
      <c r="L414" s="75" t="str">
        <f t="shared" si="38"/>
        <v/>
      </c>
      <c r="M414" s="75"/>
      <c r="N414" s="75" t="str">
        <f t="shared" si="39"/>
        <v/>
      </c>
      <c r="O414" s="204" t="str">
        <f t="shared" si="40"/>
        <v/>
      </c>
      <c r="P414" s="8"/>
      <c r="Q414" s="8"/>
      <c r="R414" s="8"/>
      <c r="S414" s="8"/>
    </row>
    <row r="415" spans="1:19" x14ac:dyDescent="0.25">
      <c r="A415" s="197">
        <f t="shared" si="36"/>
        <v>66</v>
      </c>
      <c r="B415" s="76" t="str">
        <f t="shared" si="37"/>
        <v/>
      </c>
      <c r="C415" s="77" t="str">
        <f>IF(G415&lt;&gt;"",IFERROR(ROUND(VLOOKUP(G415,ProductList!J:AO,32,FALSE),0),""),"")</f>
        <v/>
      </c>
      <c r="D415" s="73" t="str">
        <f>IF(E415&lt;&gt;"",IF(D414&lt;&gt;"",D414,#REF!)+1,"")</f>
        <v/>
      </c>
      <c r="E415" s="73"/>
      <c r="F415" s="73"/>
      <c r="G415" s="122"/>
      <c r="H415" s="104"/>
      <c r="I415" s="73"/>
      <c r="J415" s="73"/>
      <c r="K415" s="202"/>
      <c r="L415" s="75" t="str">
        <f t="shared" si="38"/>
        <v/>
      </c>
      <c r="M415" s="75"/>
      <c r="N415" s="75" t="str">
        <f t="shared" si="39"/>
        <v/>
      </c>
      <c r="O415" s="204" t="str">
        <f t="shared" si="40"/>
        <v/>
      </c>
      <c r="P415" s="8"/>
      <c r="Q415" s="8"/>
      <c r="R415" s="8"/>
      <c r="S415" s="8"/>
    </row>
    <row r="416" spans="1:19" x14ac:dyDescent="0.25">
      <c r="A416" s="197">
        <f t="shared" si="36"/>
        <v>66</v>
      </c>
      <c r="B416" s="76" t="str">
        <f t="shared" si="37"/>
        <v/>
      </c>
      <c r="C416" s="77" t="str">
        <f>IF(G416&lt;&gt;"",IFERROR(ROUND(VLOOKUP(G416,ProductList!J:AO,32,FALSE),0),""),"")</f>
        <v/>
      </c>
      <c r="D416" s="73" t="str">
        <f>IF(E416&lt;&gt;"",IF(D415&lt;&gt;"",D415,#REF!)+1,"")</f>
        <v/>
      </c>
      <c r="E416" s="73"/>
      <c r="F416" s="73"/>
      <c r="G416" s="122"/>
      <c r="H416" s="104"/>
      <c r="I416" s="73"/>
      <c r="J416" s="73"/>
      <c r="K416" s="202"/>
      <c r="L416" s="75" t="str">
        <f t="shared" si="38"/>
        <v/>
      </c>
      <c r="M416" s="75"/>
      <c r="N416" s="75" t="str">
        <f t="shared" si="39"/>
        <v/>
      </c>
      <c r="O416" s="204" t="str">
        <f t="shared" si="40"/>
        <v/>
      </c>
      <c r="P416" s="8"/>
      <c r="Q416" s="8"/>
      <c r="R416" s="8"/>
      <c r="S416" s="8"/>
    </row>
    <row r="417" spans="1:19" x14ac:dyDescent="0.25">
      <c r="A417" s="197">
        <f t="shared" si="36"/>
        <v>66</v>
      </c>
      <c r="B417" s="76" t="str">
        <f t="shared" si="37"/>
        <v/>
      </c>
      <c r="C417" s="77" t="str">
        <f>IF(G417&lt;&gt;"",IFERROR(ROUND(VLOOKUP(G417,ProductList!J:AO,32,FALSE),0),""),"")</f>
        <v/>
      </c>
      <c r="D417" s="73" t="str">
        <f>IF(E417&lt;&gt;"",IF(D416&lt;&gt;"",D416,#REF!)+1,"")</f>
        <v/>
      </c>
      <c r="E417" s="73"/>
      <c r="F417" s="73"/>
      <c r="G417" s="122"/>
      <c r="H417" s="104"/>
      <c r="I417" s="73"/>
      <c r="J417" s="73"/>
      <c r="K417" s="202"/>
      <c r="L417" s="75" t="str">
        <f t="shared" si="38"/>
        <v/>
      </c>
      <c r="M417" s="75"/>
      <c r="N417" s="75" t="str">
        <f t="shared" si="39"/>
        <v/>
      </c>
      <c r="O417" s="204" t="str">
        <f t="shared" si="40"/>
        <v/>
      </c>
      <c r="P417" s="8"/>
      <c r="Q417" s="8"/>
      <c r="R417" s="8"/>
      <c r="S417" s="8"/>
    </row>
    <row r="418" spans="1:19" x14ac:dyDescent="0.25">
      <c r="A418" s="197">
        <f t="shared" si="36"/>
        <v>66</v>
      </c>
      <c r="B418" s="76" t="str">
        <f t="shared" si="37"/>
        <v/>
      </c>
      <c r="C418" s="77" t="str">
        <f>IF(G418&lt;&gt;"",IFERROR(ROUND(VLOOKUP(G418,ProductList!J:AO,32,FALSE),0),""),"")</f>
        <v/>
      </c>
      <c r="D418" s="73" t="str">
        <f>IF(E418&lt;&gt;"",IF(D417&lt;&gt;"",D417,#REF!)+1,"")</f>
        <v/>
      </c>
      <c r="E418" s="73"/>
      <c r="F418" s="73"/>
      <c r="G418" s="122"/>
      <c r="H418" s="104"/>
      <c r="I418" s="73"/>
      <c r="J418" s="73"/>
      <c r="K418" s="202"/>
      <c r="L418" s="75" t="str">
        <f t="shared" si="38"/>
        <v/>
      </c>
      <c r="M418" s="75"/>
      <c r="N418" s="75" t="str">
        <f t="shared" si="39"/>
        <v/>
      </c>
      <c r="O418" s="204" t="str">
        <f t="shared" si="40"/>
        <v/>
      </c>
      <c r="P418" s="8"/>
      <c r="Q418" s="8"/>
      <c r="R418" s="8"/>
      <c r="S418" s="8"/>
    </row>
    <row r="419" spans="1:19" x14ac:dyDescent="0.25">
      <c r="A419" s="197">
        <f t="shared" si="36"/>
        <v>66</v>
      </c>
      <c r="B419" s="76" t="str">
        <f t="shared" si="37"/>
        <v/>
      </c>
      <c r="C419" s="77" t="str">
        <f>IF(G419&lt;&gt;"",IFERROR(ROUND(VLOOKUP(G419,ProductList!J:AO,32,FALSE),0),""),"")</f>
        <v/>
      </c>
      <c r="D419" s="73" t="str">
        <f>IF(E419&lt;&gt;"",IF(D418&lt;&gt;"",D418,#REF!)+1,"")</f>
        <v/>
      </c>
      <c r="E419" s="73"/>
      <c r="F419" s="73"/>
      <c r="G419" s="122"/>
      <c r="H419" s="104"/>
      <c r="I419" s="73"/>
      <c r="J419" s="73"/>
      <c r="K419" s="202"/>
      <c r="L419" s="75" t="str">
        <f t="shared" si="38"/>
        <v/>
      </c>
      <c r="M419" s="75"/>
      <c r="N419" s="75" t="str">
        <f t="shared" si="39"/>
        <v/>
      </c>
      <c r="O419" s="204" t="str">
        <f t="shared" si="40"/>
        <v/>
      </c>
      <c r="P419" s="8"/>
      <c r="Q419" s="8"/>
      <c r="R419" s="8"/>
      <c r="S419" s="8"/>
    </row>
    <row r="420" spans="1:19" x14ac:dyDescent="0.25">
      <c r="A420" s="197">
        <f t="shared" si="36"/>
        <v>66</v>
      </c>
      <c r="B420" s="76" t="str">
        <f t="shared" si="37"/>
        <v/>
      </c>
      <c r="C420" s="77" t="str">
        <f>IF(G420&lt;&gt;"",IFERROR(ROUND(VLOOKUP(G420,ProductList!J:AO,32,FALSE),0),""),"")</f>
        <v/>
      </c>
      <c r="D420" s="73" t="str">
        <f>IF(E420&lt;&gt;"",IF(D419&lt;&gt;"",D419,#REF!)+1,"")</f>
        <v/>
      </c>
      <c r="E420" s="73"/>
      <c r="F420" s="73"/>
      <c r="G420" s="122"/>
      <c r="H420" s="104"/>
      <c r="I420" s="73"/>
      <c r="J420" s="73"/>
      <c r="K420" s="202"/>
      <c r="L420" s="75" t="str">
        <f t="shared" si="38"/>
        <v/>
      </c>
      <c r="M420" s="75"/>
      <c r="N420" s="75" t="str">
        <f t="shared" si="39"/>
        <v/>
      </c>
      <c r="O420" s="204" t="str">
        <f t="shared" si="40"/>
        <v/>
      </c>
      <c r="P420" s="8"/>
      <c r="Q420" s="8"/>
      <c r="R420" s="8"/>
      <c r="S420" s="8"/>
    </row>
    <row r="421" spans="1:19" x14ac:dyDescent="0.25">
      <c r="A421" s="197">
        <f t="shared" si="36"/>
        <v>66</v>
      </c>
      <c r="B421" s="76" t="str">
        <f t="shared" si="37"/>
        <v/>
      </c>
      <c r="C421" s="77" t="str">
        <f>IF(G421&lt;&gt;"",IFERROR(ROUND(VLOOKUP(G421,ProductList!J:AO,32,FALSE),0),""),"")</f>
        <v/>
      </c>
      <c r="D421" s="73" t="str">
        <f>IF(E421&lt;&gt;"",IF(D420&lt;&gt;"",D420,#REF!)+1,"")</f>
        <v/>
      </c>
      <c r="E421" s="73"/>
      <c r="F421" s="73"/>
      <c r="G421" s="122"/>
      <c r="H421" s="104"/>
      <c r="I421" s="73"/>
      <c r="J421" s="73"/>
      <c r="K421" s="202"/>
      <c r="L421" s="75" t="str">
        <f t="shared" si="38"/>
        <v/>
      </c>
      <c r="M421" s="75"/>
      <c r="N421" s="75" t="str">
        <f t="shared" si="39"/>
        <v/>
      </c>
      <c r="O421" s="204" t="str">
        <f t="shared" si="40"/>
        <v/>
      </c>
      <c r="P421" s="8"/>
      <c r="Q421" s="8"/>
      <c r="R421" s="8"/>
      <c r="S421" s="8"/>
    </row>
    <row r="422" spans="1:19" x14ac:dyDescent="0.25">
      <c r="A422" s="197">
        <f t="shared" si="36"/>
        <v>66</v>
      </c>
      <c r="B422" s="76" t="str">
        <f t="shared" si="37"/>
        <v/>
      </c>
      <c r="C422" s="77" t="str">
        <f>IF(G422&lt;&gt;"",IFERROR(ROUND(VLOOKUP(G422,ProductList!J:AO,32,FALSE),0),""),"")</f>
        <v/>
      </c>
      <c r="D422" s="73" t="str">
        <f>IF(E422&lt;&gt;"",IF(D421&lt;&gt;"",D421,#REF!)+1,"")</f>
        <v/>
      </c>
      <c r="E422" s="73"/>
      <c r="F422" s="73"/>
      <c r="G422" s="122"/>
      <c r="H422" s="104"/>
      <c r="I422" s="73"/>
      <c r="J422" s="73"/>
      <c r="K422" s="202"/>
      <c r="L422" s="75" t="str">
        <f t="shared" si="38"/>
        <v/>
      </c>
      <c r="M422" s="75"/>
      <c r="N422" s="75" t="str">
        <f t="shared" si="39"/>
        <v/>
      </c>
      <c r="O422" s="204" t="str">
        <f t="shared" si="40"/>
        <v/>
      </c>
      <c r="P422" s="8"/>
      <c r="Q422" s="8"/>
      <c r="R422" s="8"/>
      <c r="S422" s="8"/>
    </row>
    <row r="423" spans="1:19" x14ac:dyDescent="0.25">
      <c r="A423" s="197">
        <f t="shared" si="36"/>
        <v>66</v>
      </c>
      <c r="B423" s="76" t="str">
        <f t="shared" si="37"/>
        <v/>
      </c>
      <c r="C423" s="77" t="str">
        <f>IF(G423&lt;&gt;"",IFERROR(ROUND(VLOOKUP(G423,ProductList!J:AO,32,FALSE),0),""),"")</f>
        <v/>
      </c>
      <c r="D423" s="73" t="str">
        <f>IF(E423&lt;&gt;"",IF(D422&lt;&gt;"",D422,#REF!)+1,"")</f>
        <v/>
      </c>
      <c r="E423" s="73"/>
      <c r="F423" s="73"/>
      <c r="G423" s="122"/>
      <c r="H423" s="104"/>
      <c r="I423" s="73"/>
      <c r="J423" s="73"/>
      <c r="K423" s="202"/>
      <c r="L423" s="75" t="str">
        <f t="shared" si="38"/>
        <v/>
      </c>
      <c r="M423" s="75"/>
      <c r="N423" s="75" t="str">
        <f t="shared" si="39"/>
        <v/>
      </c>
      <c r="O423" s="204" t="str">
        <f t="shared" si="40"/>
        <v/>
      </c>
      <c r="P423" s="8"/>
      <c r="Q423" s="8"/>
      <c r="R423" s="8"/>
      <c r="S423" s="8"/>
    </row>
    <row r="424" spans="1:19" x14ac:dyDescent="0.25">
      <c r="A424" s="197">
        <f t="shared" si="36"/>
        <v>66</v>
      </c>
      <c r="B424" s="76" t="str">
        <f t="shared" si="37"/>
        <v/>
      </c>
      <c r="C424" s="77" t="str">
        <f>IF(G424&lt;&gt;"",IFERROR(ROUND(VLOOKUP(G424,ProductList!J:AO,32,FALSE),0),""),"")</f>
        <v/>
      </c>
      <c r="D424" s="73" t="str">
        <f>IF(E424&lt;&gt;"",IF(D423&lt;&gt;"",D423,#REF!)+1,"")</f>
        <v/>
      </c>
      <c r="E424" s="73"/>
      <c r="F424" s="73"/>
      <c r="G424" s="122"/>
      <c r="H424" s="104"/>
      <c r="I424" s="73"/>
      <c r="J424" s="73"/>
      <c r="K424" s="202"/>
      <c r="L424" s="75" t="str">
        <f t="shared" si="38"/>
        <v/>
      </c>
      <c r="M424" s="75"/>
      <c r="N424" s="75" t="str">
        <f t="shared" si="39"/>
        <v/>
      </c>
      <c r="O424" s="204" t="str">
        <f t="shared" si="40"/>
        <v/>
      </c>
      <c r="P424" s="8"/>
      <c r="Q424" s="8"/>
      <c r="R424" s="8"/>
      <c r="S424" s="8"/>
    </row>
    <row r="425" spans="1:19" x14ac:dyDescent="0.25">
      <c r="A425" s="197">
        <f t="shared" si="36"/>
        <v>66</v>
      </c>
      <c r="B425" s="76" t="str">
        <f t="shared" si="37"/>
        <v/>
      </c>
      <c r="C425" s="77" t="str">
        <f>IF(G425&lt;&gt;"",IFERROR(ROUND(VLOOKUP(G425,ProductList!J:AO,32,FALSE),0),""),"")</f>
        <v/>
      </c>
      <c r="D425" s="73" t="str">
        <f>IF(E425&lt;&gt;"",IF(D424&lt;&gt;"",D424,#REF!)+1,"")</f>
        <v/>
      </c>
      <c r="E425" s="73"/>
      <c r="F425" s="73"/>
      <c r="G425" s="122"/>
      <c r="H425" s="104"/>
      <c r="I425" s="73"/>
      <c r="J425" s="73"/>
      <c r="K425" s="202"/>
      <c r="L425" s="75" t="str">
        <f t="shared" si="38"/>
        <v/>
      </c>
      <c r="M425" s="75"/>
      <c r="N425" s="75" t="str">
        <f t="shared" si="39"/>
        <v/>
      </c>
      <c r="O425" s="204" t="str">
        <f t="shared" si="40"/>
        <v/>
      </c>
      <c r="P425" s="8"/>
      <c r="Q425" s="8"/>
      <c r="R425" s="8"/>
      <c r="S425" s="8"/>
    </row>
    <row r="426" spans="1:19" x14ac:dyDescent="0.25">
      <c r="A426" s="197">
        <f t="shared" si="36"/>
        <v>66</v>
      </c>
      <c r="B426" s="76" t="str">
        <f t="shared" si="37"/>
        <v/>
      </c>
      <c r="C426" s="77" t="str">
        <f>IF(G426&lt;&gt;"",IFERROR(ROUND(VLOOKUP(G426,ProductList!J:AO,32,FALSE),0),""),"")</f>
        <v/>
      </c>
      <c r="D426" s="73" t="str">
        <f>IF(E426&lt;&gt;"",IF(D425&lt;&gt;"",D425,#REF!)+1,"")</f>
        <v/>
      </c>
      <c r="E426" s="73"/>
      <c r="F426" s="73"/>
      <c r="G426" s="122"/>
      <c r="H426" s="104"/>
      <c r="I426" s="73"/>
      <c r="J426" s="73"/>
      <c r="K426" s="202"/>
      <c r="L426" s="75" t="str">
        <f t="shared" si="38"/>
        <v/>
      </c>
      <c r="M426" s="75"/>
      <c r="N426" s="75" t="str">
        <f t="shared" si="39"/>
        <v/>
      </c>
      <c r="O426" s="204" t="str">
        <f t="shared" si="40"/>
        <v/>
      </c>
      <c r="P426" s="8"/>
      <c r="Q426" s="8"/>
      <c r="R426" s="8"/>
      <c r="S426" s="8"/>
    </row>
    <row r="427" spans="1:19" x14ac:dyDescent="0.25">
      <c r="A427" s="197">
        <f t="shared" si="36"/>
        <v>66</v>
      </c>
      <c r="B427" s="76" t="str">
        <f t="shared" si="37"/>
        <v/>
      </c>
      <c r="C427" s="77" t="str">
        <f>IF(G427&lt;&gt;"",IFERROR(ROUND(VLOOKUP(G427,ProductList!J:AO,32,FALSE),0),""),"")</f>
        <v/>
      </c>
      <c r="D427" s="73" t="str">
        <f>IF(E427&lt;&gt;"",IF(D426&lt;&gt;"",D426,#REF!)+1,"")</f>
        <v/>
      </c>
      <c r="E427" s="73"/>
      <c r="F427" s="73"/>
      <c r="G427" s="122"/>
      <c r="H427" s="104"/>
      <c r="I427" s="73"/>
      <c r="J427" s="73"/>
      <c r="K427" s="202"/>
      <c r="L427" s="75" t="str">
        <f t="shared" si="38"/>
        <v/>
      </c>
      <c r="M427" s="75"/>
      <c r="N427" s="75" t="str">
        <f t="shared" si="39"/>
        <v/>
      </c>
      <c r="O427" s="204" t="str">
        <f t="shared" si="40"/>
        <v/>
      </c>
      <c r="P427" s="8"/>
      <c r="Q427" s="8"/>
      <c r="R427" s="8"/>
      <c r="S427" s="8"/>
    </row>
    <row r="428" spans="1:19" x14ac:dyDescent="0.25">
      <c r="A428" s="197">
        <f t="shared" si="36"/>
        <v>66</v>
      </c>
      <c r="B428" s="76" t="str">
        <f t="shared" si="37"/>
        <v/>
      </c>
      <c r="C428" s="77" t="str">
        <f>IF(G428&lt;&gt;"",IFERROR(ROUND(VLOOKUP(G428,ProductList!J:AO,32,FALSE),0),""),"")</f>
        <v/>
      </c>
      <c r="D428" s="73" t="str">
        <f>IF(E428&lt;&gt;"",IF(D427&lt;&gt;"",D427,#REF!)+1,"")</f>
        <v/>
      </c>
      <c r="E428" s="73"/>
      <c r="F428" s="73"/>
      <c r="G428" s="122"/>
      <c r="H428" s="104"/>
      <c r="I428" s="73"/>
      <c r="J428" s="73"/>
      <c r="K428" s="202"/>
      <c r="L428" s="75" t="str">
        <f t="shared" si="38"/>
        <v/>
      </c>
      <c r="M428" s="75"/>
      <c r="N428" s="75" t="str">
        <f t="shared" si="39"/>
        <v/>
      </c>
      <c r="O428" s="204" t="str">
        <f t="shared" si="40"/>
        <v/>
      </c>
      <c r="P428" s="8"/>
      <c r="Q428" s="8"/>
      <c r="R428" s="8"/>
      <c r="S428" s="8"/>
    </row>
    <row r="429" spans="1:19" x14ac:dyDescent="0.25">
      <c r="A429" s="197">
        <f t="shared" si="36"/>
        <v>66</v>
      </c>
      <c r="B429" s="76" t="str">
        <f t="shared" si="37"/>
        <v/>
      </c>
      <c r="C429" s="77" t="str">
        <f>IF(G429&lt;&gt;"",IFERROR(ROUND(VLOOKUP(G429,ProductList!J:AO,32,FALSE),0),""),"")</f>
        <v/>
      </c>
      <c r="D429" s="73" t="str">
        <f>IF(E429&lt;&gt;"",IF(D428&lt;&gt;"",D428,#REF!)+1,"")</f>
        <v/>
      </c>
      <c r="E429" s="73"/>
      <c r="F429" s="73"/>
      <c r="G429" s="122"/>
      <c r="H429" s="104"/>
      <c r="I429" s="73"/>
      <c r="J429" s="73"/>
      <c r="K429" s="202"/>
      <c r="L429" s="75" t="str">
        <f t="shared" si="38"/>
        <v/>
      </c>
      <c r="M429" s="75"/>
      <c r="N429" s="75" t="str">
        <f t="shared" si="39"/>
        <v/>
      </c>
      <c r="O429" s="204" t="str">
        <f t="shared" si="40"/>
        <v/>
      </c>
      <c r="P429" s="8"/>
      <c r="Q429" s="8"/>
      <c r="R429" s="8"/>
      <c r="S429" s="8"/>
    </row>
    <row r="430" spans="1:19" x14ac:dyDescent="0.25">
      <c r="A430" s="197">
        <f t="shared" si="36"/>
        <v>66</v>
      </c>
      <c r="B430" s="76" t="str">
        <f t="shared" si="37"/>
        <v/>
      </c>
      <c r="C430" s="77" t="str">
        <f>IF(G430&lt;&gt;"",IFERROR(ROUND(VLOOKUP(G430,ProductList!J:AO,32,FALSE),0),""),"")</f>
        <v/>
      </c>
      <c r="D430" s="73" t="str">
        <f>IF(E430&lt;&gt;"",IF(D429&lt;&gt;"",D429,#REF!)+1,"")</f>
        <v/>
      </c>
      <c r="E430" s="73"/>
      <c r="F430" s="73"/>
      <c r="G430" s="122"/>
      <c r="H430" s="104"/>
      <c r="I430" s="73"/>
      <c r="J430" s="73"/>
      <c r="K430" s="202"/>
      <c r="L430" s="75" t="str">
        <f t="shared" si="38"/>
        <v/>
      </c>
      <c r="M430" s="75"/>
      <c r="N430" s="75" t="str">
        <f t="shared" si="39"/>
        <v/>
      </c>
      <c r="O430" s="204" t="str">
        <f t="shared" si="40"/>
        <v/>
      </c>
      <c r="P430" s="8"/>
      <c r="Q430" s="8"/>
      <c r="R430" s="8"/>
      <c r="S430" s="8"/>
    </row>
    <row r="431" spans="1:19" x14ac:dyDescent="0.25">
      <c r="A431" s="197">
        <f t="shared" si="36"/>
        <v>66</v>
      </c>
      <c r="B431" s="76" t="str">
        <f t="shared" si="37"/>
        <v/>
      </c>
      <c r="C431" s="77" t="str">
        <f>IF(G431&lt;&gt;"",IFERROR(ROUND(VLOOKUP(G431,ProductList!J:AO,32,FALSE),0),""),"")</f>
        <v/>
      </c>
      <c r="D431" s="73" t="str">
        <f>IF(E431&lt;&gt;"",IF(D430&lt;&gt;"",D430,#REF!)+1,"")</f>
        <v/>
      </c>
      <c r="E431" s="73"/>
      <c r="F431" s="73"/>
      <c r="G431" s="122"/>
      <c r="H431" s="104"/>
      <c r="I431" s="73"/>
      <c r="J431" s="73"/>
      <c r="K431" s="202"/>
      <c r="L431" s="75" t="str">
        <f t="shared" si="38"/>
        <v/>
      </c>
      <c r="M431" s="75"/>
      <c r="N431" s="75" t="str">
        <f t="shared" si="39"/>
        <v/>
      </c>
      <c r="O431" s="204" t="str">
        <f t="shared" si="40"/>
        <v/>
      </c>
      <c r="P431" s="8"/>
      <c r="Q431" s="8"/>
      <c r="R431" s="8"/>
      <c r="S431" s="8"/>
    </row>
    <row r="432" spans="1:19" x14ac:dyDescent="0.25">
      <c r="A432" s="197">
        <f t="shared" si="36"/>
        <v>66</v>
      </c>
      <c r="B432" s="76" t="str">
        <f t="shared" si="37"/>
        <v/>
      </c>
      <c r="C432" s="77" t="str">
        <f>IF(G432&lt;&gt;"",IFERROR(ROUND(VLOOKUP(G432,ProductList!J:AO,32,FALSE),0),""),"")</f>
        <v/>
      </c>
      <c r="D432" s="73" t="str">
        <f>IF(E432&lt;&gt;"",IF(D431&lt;&gt;"",D431,#REF!)+1,"")</f>
        <v/>
      </c>
      <c r="E432" s="73"/>
      <c r="F432" s="73"/>
      <c r="G432" s="122"/>
      <c r="H432" s="104"/>
      <c r="I432" s="73"/>
      <c r="J432" s="73"/>
      <c r="K432" s="202"/>
      <c r="L432" s="75" t="str">
        <f t="shared" si="38"/>
        <v/>
      </c>
      <c r="M432" s="75"/>
      <c r="N432" s="75" t="str">
        <f t="shared" si="39"/>
        <v/>
      </c>
      <c r="O432" s="204" t="str">
        <f t="shared" si="40"/>
        <v/>
      </c>
      <c r="P432" s="8"/>
      <c r="Q432" s="8"/>
      <c r="R432" s="8"/>
      <c r="S432" s="8"/>
    </row>
    <row r="433" spans="1:19" x14ac:dyDescent="0.25">
      <c r="A433" s="197">
        <f t="shared" si="36"/>
        <v>66</v>
      </c>
      <c r="B433" s="76" t="str">
        <f t="shared" si="37"/>
        <v/>
      </c>
      <c r="C433" s="77" t="str">
        <f>IF(G433&lt;&gt;"",IFERROR(ROUND(VLOOKUP(G433,ProductList!J:AO,32,FALSE),0),""),"")</f>
        <v/>
      </c>
      <c r="D433" s="73" t="str">
        <f>IF(E433&lt;&gt;"",IF(D432&lt;&gt;"",D432,#REF!)+1,"")</f>
        <v/>
      </c>
      <c r="E433" s="73"/>
      <c r="F433" s="73"/>
      <c r="G433" s="122"/>
      <c r="H433" s="104"/>
      <c r="I433" s="73"/>
      <c r="J433" s="73"/>
      <c r="K433" s="202"/>
      <c r="L433" s="75" t="str">
        <f t="shared" si="38"/>
        <v/>
      </c>
      <c r="M433" s="75"/>
      <c r="N433" s="75" t="str">
        <f t="shared" si="39"/>
        <v/>
      </c>
      <c r="O433" s="204" t="str">
        <f t="shared" si="40"/>
        <v/>
      </c>
      <c r="P433" s="8"/>
      <c r="Q433" s="8"/>
      <c r="R433" s="8"/>
      <c r="S433" s="8"/>
    </row>
    <row r="434" spans="1:19" x14ac:dyDescent="0.25">
      <c r="A434" s="197">
        <f t="shared" si="36"/>
        <v>66</v>
      </c>
      <c r="B434" s="76" t="str">
        <f t="shared" si="37"/>
        <v/>
      </c>
      <c r="C434" s="77" t="str">
        <f>IF(G434&lt;&gt;"",IFERROR(ROUND(VLOOKUP(G434,ProductList!J:AO,32,FALSE),0),""),"")</f>
        <v/>
      </c>
      <c r="D434" s="73" t="str">
        <f>IF(E434&lt;&gt;"",IF(D433&lt;&gt;"",D433,#REF!)+1,"")</f>
        <v/>
      </c>
      <c r="E434" s="73"/>
      <c r="F434" s="73"/>
      <c r="G434" s="122"/>
      <c r="H434" s="104"/>
      <c r="I434" s="73"/>
      <c r="J434" s="73"/>
      <c r="K434" s="202"/>
      <c r="L434" s="75" t="str">
        <f t="shared" si="38"/>
        <v/>
      </c>
      <c r="M434" s="75"/>
      <c r="N434" s="75" t="str">
        <f t="shared" si="39"/>
        <v/>
      </c>
      <c r="O434" s="204" t="str">
        <f t="shared" si="40"/>
        <v/>
      </c>
      <c r="P434" s="8"/>
      <c r="Q434" s="8"/>
      <c r="R434" s="8"/>
      <c r="S434" s="8"/>
    </row>
    <row r="435" spans="1:19" x14ac:dyDescent="0.25">
      <c r="A435" s="197">
        <f t="shared" si="36"/>
        <v>66</v>
      </c>
      <c r="B435" s="76" t="str">
        <f t="shared" si="37"/>
        <v/>
      </c>
      <c r="C435" s="77" t="str">
        <f>IF(G435&lt;&gt;"",IFERROR(ROUND(VLOOKUP(G435,ProductList!J:AO,32,FALSE),0),""),"")</f>
        <v/>
      </c>
      <c r="D435" s="73" t="str">
        <f>IF(E435&lt;&gt;"",IF(D434&lt;&gt;"",D434,#REF!)+1,"")</f>
        <v/>
      </c>
      <c r="E435" s="73"/>
      <c r="F435" s="73"/>
      <c r="G435" s="122"/>
      <c r="H435" s="104"/>
      <c r="I435" s="73"/>
      <c r="J435" s="73"/>
      <c r="K435" s="202"/>
      <c r="L435" s="75" t="str">
        <f t="shared" si="38"/>
        <v/>
      </c>
      <c r="M435" s="75"/>
      <c r="N435" s="75" t="str">
        <f t="shared" si="39"/>
        <v/>
      </c>
      <c r="O435" s="204" t="str">
        <f t="shared" si="40"/>
        <v/>
      </c>
      <c r="P435" s="8"/>
      <c r="Q435" s="8"/>
      <c r="R435" s="8"/>
      <c r="S435" s="8"/>
    </row>
    <row r="436" spans="1:19" x14ac:dyDescent="0.25">
      <c r="A436" s="197">
        <f t="shared" si="36"/>
        <v>66</v>
      </c>
      <c r="B436" s="76" t="str">
        <f t="shared" si="37"/>
        <v/>
      </c>
      <c r="C436" s="77" t="str">
        <f>IF(G436&lt;&gt;"",IFERROR(ROUND(VLOOKUP(G436,ProductList!J:AO,32,FALSE),0),""),"")</f>
        <v/>
      </c>
      <c r="D436" s="73" t="str">
        <f>IF(E436&lt;&gt;"",IF(D435&lt;&gt;"",D435,#REF!)+1,"")</f>
        <v/>
      </c>
      <c r="E436" s="73"/>
      <c r="F436" s="73"/>
      <c r="G436" s="122"/>
      <c r="H436" s="104"/>
      <c r="I436" s="73"/>
      <c r="J436" s="73"/>
      <c r="K436" s="202"/>
      <c r="L436" s="75" t="str">
        <f t="shared" si="38"/>
        <v/>
      </c>
      <c r="M436" s="75"/>
      <c r="N436" s="75" t="str">
        <f t="shared" si="39"/>
        <v/>
      </c>
      <c r="O436" s="204" t="str">
        <f t="shared" si="40"/>
        <v/>
      </c>
      <c r="P436" s="8"/>
      <c r="Q436" s="8"/>
      <c r="R436" s="8"/>
      <c r="S436" s="8"/>
    </row>
    <row r="437" spans="1:19" x14ac:dyDescent="0.25">
      <c r="A437" s="197">
        <f t="shared" si="36"/>
        <v>66</v>
      </c>
      <c r="B437" s="76" t="str">
        <f t="shared" si="37"/>
        <v/>
      </c>
      <c r="C437" s="77" t="str">
        <f>IF(G437&lt;&gt;"",IFERROR(ROUND(VLOOKUP(G437,ProductList!J:AO,32,FALSE),0),""),"")</f>
        <v/>
      </c>
      <c r="D437" s="73" t="str">
        <f>IF(E437&lt;&gt;"",IF(D436&lt;&gt;"",D436,#REF!)+1,"")</f>
        <v/>
      </c>
      <c r="E437" s="73"/>
      <c r="F437" s="73"/>
      <c r="G437" s="122"/>
      <c r="H437" s="104"/>
      <c r="I437" s="73"/>
      <c r="J437" s="73"/>
      <c r="K437" s="202"/>
      <c r="L437" s="75" t="str">
        <f t="shared" si="38"/>
        <v/>
      </c>
      <c r="M437" s="75"/>
      <c r="N437" s="75" t="str">
        <f t="shared" si="39"/>
        <v/>
      </c>
      <c r="O437" s="204" t="str">
        <f t="shared" si="40"/>
        <v/>
      </c>
      <c r="P437" s="8"/>
      <c r="Q437" s="8"/>
      <c r="R437" s="8"/>
      <c r="S437" s="8"/>
    </row>
    <row r="438" spans="1:19" x14ac:dyDescent="0.25">
      <c r="A438" s="197">
        <f t="shared" si="36"/>
        <v>66</v>
      </c>
      <c r="B438" s="76" t="str">
        <f t="shared" si="37"/>
        <v/>
      </c>
      <c r="C438" s="77" t="str">
        <f>IF(G438&lt;&gt;"",IFERROR(ROUND(VLOOKUP(G438,ProductList!J:AO,32,FALSE),0),""),"")</f>
        <v/>
      </c>
      <c r="D438" s="73" t="str">
        <f>IF(E438&lt;&gt;"",IF(D437&lt;&gt;"",D437,#REF!)+1,"")</f>
        <v/>
      </c>
      <c r="E438" s="73"/>
      <c r="F438" s="73"/>
      <c r="G438" s="122"/>
      <c r="H438" s="104"/>
      <c r="I438" s="73"/>
      <c r="J438" s="73"/>
      <c r="K438" s="202"/>
      <c r="L438" s="75" t="str">
        <f t="shared" si="38"/>
        <v/>
      </c>
      <c r="M438" s="75"/>
      <c r="N438" s="75" t="str">
        <f t="shared" si="39"/>
        <v/>
      </c>
      <c r="O438" s="204" t="str">
        <f t="shared" si="40"/>
        <v/>
      </c>
      <c r="P438" s="8"/>
      <c r="Q438" s="8"/>
      <c r="R438" s="8"/>
      <c r="S438" s="8"/>
    </row>
    <row r="439" spans="1:19" x14ac:dyDescent="0.25">
      <c r="A439" s="197">
        <f t="shared" si="36"/>
        <v>66</v>
      </c>
      <c r="B439" s="76" t="str">
        <f t="shared" si="37"/>
        <v/>
      </c>
      <c r="C439" s="77" t="str">
        <f>IF(G439&lt;&gt;"",IFERROR(ROUND(VLOOKUP(G439,ProductList!J:AO,32,FALSE),0),""),"")</f>
        <v/>
      </c>
      <c r="D439" s="73" t="str">
        <f>IF(E439&lt;&gt;"",IF(D438&lt;&gt;"",D438,#REF!)+1,"")</f>
        <v/>
      </c>
      <c r="E439" s="73"/>
      <c r="F439" s="73"/>
      <c r="G439" s="122"/>
      <c r="H439" s="104"/>
      <c r="I439" s="73"/>
      <c r="J439" s="73"/>
      <c r="K439" s="202"/>
      <c r="L439" s="75" t="str">
        <f t="shared" si="38"/>
        <v/>
      </c>
      <c r="M439" s="75"/>
      <c r="N439" s="75" t="str">
        <f t="shared" si="39"/>
        <v/>
      </c>
      <c r="O439" s="204" t="str">
        <f t="shared" si="40"/>
        <v/>
      </c>
      <c r="P439" s="8"/>
      <c r="Q439" s="8"/>
      <c r="R439" s="8"/>
      <c r="S439" s="8"/>
    </row>
    <row r="440" spans="1:19" x14ac:dyDescent="0.25">
      <c r="A440" s="197">
        <f t="shared" si="36"/>
        <v>66</v>
      </c>
      <c r="B440" s="76" t="str">
        <f t="shared" si="37"/>
        <v/>
      </c>
      <c r="C440" s="77" t="str">
        <f>IF(G440&lt;&gt;"",IFERROR(ROUND(VLOOKUP(G440,ProductList!J:AO,32,FALSE),0),""),"")</f>
        <v/>
      </c>
      <c r="D440" s="73" t="str">
        <f>IF(E440&lt;&gt;"",IF(D439&lt;&gt;"",D439,#REF!)+1,"")</f>
        <v/>
      </c>
      <c r="E440" s="73"/>
      <c r="F440" s="73"/>
      <c r="G440" s="122"/>
      <c r="H440" s="104"/>
      <c r="I440" s="73"/>
      <c r="J440" s="73"/>
      <c r="K440" s="202"/>
      <c r="L440" s="75" t="str">
        <f t="shared" si="38"/>
        <v/>
      </c>
      <c r="M440" s="75"/>
      <c r="N440" s="75" t="str">
        <f t="shared" si="39"/>
        <v/>
      </c>
      <c r="O440" s="204" t="str">
        <f t="shared" si="40"/>
        <v/>
      </c>
      <c r="P440" s="8"/>
      <c r="Q440" s="8"/>
      <c r="R440" s="8"/>
      <c r="S440" s="8"/>
    </row>
    <row r="441" spans="1:19" x14ac:dyDescent="0.25">
      <c r="A441" s="197">
        <f t="shared" si="36"/>
        <v>66</v>
      </c>
      <c r="B441" s="76" t="str">
        <f t="shared" si="37"/>
        <v/>
      </c>
      <c r="C441" s="77" t="str">
        <f>IF(G441&lt;&gt;"",IFERROR(ROUND(VLOOKUP(G441,ProductList!J:AO,32,FALSE),0),""),"")</f>
        <v/>
      </c>
      <c r="D441" s="73" t="str">
        <f>IF(E441&lt;&gt;"",IF(D440&lt;&gt;"",D440,#REF!)+1,"")</f>
        <v/>
      </c>
      <c r="E441" s="73"/>
      <c r="F441" s="73"/>
      <c r="G441" s="122"/>
      <c r="H441" s="104"/>
      <c r="I441" s="73"/>
      <c r="J441" s="73"/>
      <c r="K441" s="202"/>
      <c r="L441" s="75" t="str">
        <f t="shared" si="38"/>
        <v/>
      </c>
      <c r="M441" s="75"/>
      <c r="N441" s="75" t="str">
        <f t="shared" si="39"/>
        <v/>
      </c>
      <c r="O441" s="204" t="str">
        <f t="shared" si="40"/>
        <v/>
      </c>
      <c r="P441" s="8"/>
      <c r="Q441" s="8"/>
      <c r="R441" s="8"/>
      <c r="S441" s="8"/>
    </row>
    <row r="442" spans="1:19" x14ac:dyDescent="0.25">
      <c r="A442" s="197">
        <f t="shared" si="36"/>
        <v>66</v>
      </c>
      <c r="B442" s="76" t="str">
        <f t="shared" si="37"/>
        <v/>
      </c>
      <c r="C442" s="77" t="str">
        <f>IF(G442&lt;&gt;"",IFERROR(ROUND(VLOOKUP(G442,ProductList!J:AO,32,FALSE),0),""),"")</f>
        <v/>
      </c>
      <c r="D442" s="73" t="str">
        <f>IF(E442&lt;&gt;"",IF(D441&lt;&gt;"",D441,#REF!)+1,"")</f>
        <v/>
      </c>
      <c r="E442" s="73"/>
      <c r="F442" s="73"/>
      <c r="G442" s="122"/>
      <c r="H442" s="104"/>
      <c r="I442" s="73"/>
      <c r="J442" s="73"/>
      <c r="K442" s="202"/>
      <c r="L442" s="75" t="str">
        <f t="shared" si="38"/>
        <v/>
      </c>
      <c r="M442" s="75"/>
      <c r="N442" s="75" t="str">
        <f t="shared" si="39"/>
        <v/>
      </c>
      <c r="O442" s="204" t="str">
        <f t="shared" si="40"/>
        <v/>
      </c>
      <c r="P442" s="8"/>
      <c r="Q442" s="8"/>
      <c r="R442" s="8"/>
      <c r="S442" s="8"/>
    </row>
    <row r="443" spans="1:19" x14ac:dyDescent="0.25">
      <c r="A443" s="197">
        <f t="shared" si="36"/>
        <v>66</v>
      </c>
      <c r="B443" s="76" t="str">
        <f t="shared" si="37"/>
        <v/>
      </c>
      <c r="C443" s="77" t="str">
        <f>IF(G443&lt;&gt;"",IFERROR(ROUND(VLOOKUP(G443,ProductList!J:AO,32,FALSE),0),""),"")</f>
        <v/>
      </c>
      <c r="D443" s="73" t="str">
        <f>IF(E443&lt;&gt;"",IF(D442&lt;&gt;"",D442,#REF!)+1,"")</f>
        <v/>
      </c>
      <c r="E443" s="73"/>
      <c r="F443" s="73"/>
      <c r="G443" s="122"/>
      <c r="H443" s="104"/>
      <c r="I443" s="73"/>
      <c r="J443" s="73"/>
      <c r="K443" s="202"/>
      <c r="L443" s="75" t="str">
        <f t="shared" si="38"/>
        <v/>
      </c>
      <c r="M443" s="75"/>
      <c r="N443" s="75" t="str">
        <f t="shared" si="39"/>
        <v/>
      </c>
      <c r="O443" s="204" t="str">
        <f t="shared" si="40"/>
        <v/>
      </c>
      <c r="P443" s="8"/>
      <c r="Q443" s="8"/>
      <c r="R443" s="8"/>
      <c r="S443" s="8"/>
    </row>
    <row r="444" spans="1:19" x14ac:dyDescent="0.25">
      <c r="A444" s="197">
        <f t="shared" si="36"/>
        <v>66</v>
      </c>
      <c r="B444" s="76" t="str">
        <f t="shared" si="37"/>
        <v/>
      </c>
      <c r="C444" s="77" t="str">
        <f>IF(G444&lt;&gt;"",IFERROR(ROUND(VLOOKUP(G444,ProductList!J:AO,32,FALSE),0),""),"")</f>
        <v/>
      </c>
      <c r="D444" s="73" t="str">
        <f>IF(E444&lt;&gt;"",IF(D443&lt;&gt;"",D443,#REF!)+1,"")</f>
        <v/>
      </c>
      <c r="E444" s="73"/>
      <c r="F444" s="73"/>
      <c r="G444" s="122"/>
      <c r="H444" s="104"/>
      <c r="I444" s="73"/>
      <c r="J444" s="73"/>
      <c r="K444" s="202"/>
      <c r="L444" s="75" t="str">
        <f t="shared" si="38"/>
        <v/>
      </c>
      <c r="M444" s="75"/>
      <c r="N444" s="75" t="str">
        <f t="shared" si="39"/>
        <v/>
      </c>
      <c r="O444" s="204" t="str">
        <f t="shared" si="40"/>
        <v/>
      </c>
      <c r="P444" s="8"/>
      <c r="Q444" s="8"/>
      <c r="R444" s="8"/>
      <c r="S444" s="8"/>
    </row>
    <row r="445" spans="1:19" x14ac:dyDescent="0.25">
      <c r="A445" s="197">
        <f t="shared" si="36"/>
        <v>66</v>
      </c>
      <c r="B445" s="76" t="str">
        <f t="shared" si="37"/>
        <v/>
      </c>
      <c r="C445" s="77" t="str">
        <f>IF(G445&lt;&gt;"",IFERROR(ROUND(VLOOKUP(G445,ProductList!J:AO,32,FALSE),0),""),"")</f>
        <v/>
      </c>
      <c r="D445" s="73" t="str">
        <f>IF(E445&lt;&gt;"",IF(D444&lt;&gt;"",D444,#REF!)+1,"")</f>
        <v/>
      </c>
      <c r="E445" s="73"/>
      <c r="F445" s="73"/>
      <c r="G445" s="122"/>
      <c r="H445" s="104"/>
      <c r="I445" s="73"/>
      <c r="J445" s="73"/>
      <c r="K445" s="202"/>
      <c r="L445" s="75" t="str">
        <f t="shared" si="38"/>
        <v/>
      </c>
      <c r="M445" s="75"/>
      <c r="N445" s="75" t="str">
        <f t="shared" si="39"/>
        <v/>
      </c>
      <c r="O445" s="204" t="str">
        <f t="shared" si="40"/>
        <v/>
      </c>
      <c r="P445" s="8"/>
      <c r="Q445" s="8"/>
      <c r="R445" s="8"/>
      <c r="S445" s="8"/>
    </row>
    <row r="446" spans="1:19" x14ac:dyDescent="0.25">
      <c r="A446" s="197">
        <f t="shared" si="36"/>
        <v>66</v>
      </c>
      <c r="B446" s="76" t="str">
        <f t="shared" si="37"/>
        <v/>
      </c>
      <c r="C446" s="77" t="str">
        <f>IF(G446&lt;&gt;"",IFERROR(ROUND(VLOOKUP(G446,ProductList!J:AO,32,FALSE),0),""),"")</f>
        <v/>
      </c>
      <c r="D446" s="73" t="str">
        <f>IF(E446&lt;&gt;"",IF(D445&lt;&gt;"",D445,#REF!)+1,"")</f>
        <v/>
      </c>
      <c r="E446" s="73"/>
      <c r="F446" s="73"/>
      <c r="G446" s="122"/>
      <c r="H446" s="104"/>
      <c r="I446" s="73"/>
      <c r="J446" s="73"/>
      <c r="K446" s="202"/>
      <c r="L446" s="75" t="str">
        <f t="shared" si="38"/>
        <v/>
      </c>
      <c r="M446" s="75"/>
      <c r="N446" s="75" t="str">
        <f t="shared" si="39"/>
        <v/>
      </c>
      <c r="O446" s="204" t="str">
        <f t="shared" si="40"/>
        <v/>
      </c>
      <c r="P446" s="8"/>
      <c r="Q446" s="8"/>
      <c r="R446" s="8"/>
      <c r="S446" s="8"/>
    </row>
    <row r="447" spans="1:19" x14ac:dyDescent="0.25">
      <c r="A447" s="197">
        <f t="shared" si="36"/>
        <v>66</v>
      </c>
      <c r="B447" s="76" t="str">
        <f t="shared" si="37"/>
        <v/>
      </c>
      <c r="C447" s="77" t="str">
        <f>IF(G447&lt;&gt;"",IFERROR(ROUND(VLOOKUP(G447,ProductList!J:AO,32,FALSE),0),""),"")</f>
        <v/>
      </c>
      <c r="D447" s="73" t="str">
        <f>IF(E447&lt;&gt;"",IF(D446&lt;&gt;"",D446,#REF!)+1,"")</f>
        <v/>
      </c>
      <c r="E447" s="73"/>
      <c r="F447" s="73"/>
      <c r="G447" s="122"/>
      <c r="H447" s="104"/>
      <c r="I447" s="73"/>
      <c r="J447" s="73"/>
      <c r="K447" s="202"/>
      <c r="L447" s="75" t="str">
        <f t="shared" si="38"/>
        <v/>
      </c>
      <c r="M447" s="75"/>
      <c r="N447" s="75" t="str">
        <f t="shared" si="39"/>
        <v/>
      </c>
      <c r="O447" s="204" t="str">
        <f t="shared" si="40"/>
        <v/>
      </c>
      <c r="P447" s="8"/>
      <c r="Q447" s="8"/>
      <c r="R447" s="8"/>
      <c r="S447" s="8"/>
    </row>
    <row r="448" spans="1:19" x14ac:dyDescent="0.25">
      <c r="A448" s="197">
        <f t="shared" si="36"/>
        <v>66</v>
      </c>
      <c r="B448" s="76" t="str">
        <f t="shared" si="37"/>
        <v/>
      </c>
      <c r="C448" s="77" t="str">
        <f>IF(G448&lt;&gt;"",IFERROR(ROUND(VLOOKUP(G448,ProductList!J:AO,32,FALSE),0),""),"")</f>
        <v/>
      </c>
      <c r="D448" s="73" t="str">
        <f>IF(E448&lt;&gt;"",IF(D447&lt;&gt;"",D447,#REF!)+1,"")</f>
        <v/>
      </c>
      <c r="E448" s="73"/>
      <c r="F448" s="73"/>
      <c r="G448" s="122"/>
      <c r="H448" s="104"/>
      <c r="I448" s="73"/>
      <c r="J448" s="73"/>
      <c r="K448" s="202"/>
      <c r="L448" s="75" t="str">
        <f t="shared" si="38"/>
        <v/>
      </c>
      <c r="M448" s="75"/>
      <c r="N448" s="75" t="str">
        <f t="shared" si="39"/>
        <v/>
      </c>
      <c r="O448" s="204" t="str">
        <f t="shared" si="40"/>
        <v/>
      </c>
      <c r="P448" s="8"/>
      <c r="Q448" s="8"/>
      <c r="R448" s="8"/>
      <c r="S448" s="8"/>
    </row>
    <row r="449" spans="1:19" x14ac:dyDescent="0.25">
      <c r="A449" s="197">
        <f t="shared" si="36"/>
        <v>66</v>
      </c>
      <c r="B449" s="76" t="str">
        <f t="shared" si="37"/>
        <v/>
      </c>
      <c r="C449" s="77" t="str">
        <f>IF(G449&lt;&gt;"",IFERROR(ROUND(VLOOKUP(G449,ProductList!J:AO,32,FALSE),0),""),"")</f>
        <v/>
      </c>
      <c r="D449" s="73" t="str">
        <f>IF(E449&lt;&gt;"",IF(D448&lt;&gt;"",D448,#REF!)+1,"")</f>
        <v/>
      </c>
      <c r="E449" s="73"/>
      <c r="F449" s="73"/>
      <c r="G449" s="122"/>
      <c r="H449" s="104"/>
      <c r="I449" s="73"/>
      <c r="J449" s="73"/>
      <c r="K449" s="202"/>
      <c r="L449" s="75" t="str">
        <f t="shared" si="38"/>
        <v/>
      </c>
      <c r="M449" s="75"/>
      <c r="N449" s="75" t="str">
        <f t="shared" si="39"/>
        <v/>
      </c>
      <c r="O449" s="204" t="str">
        <f t="shared" si="40"/>
        <v/>
      </c>
      <c r="P449" s="8"/>
      <c r="Q449" s="8"/>
      <c r="R449" s="8"/>
      <c r="S449" s="8"/>
    </row>
    <row r="450" spans="1:19" x14ac:dyDescent="0.25">
      <c r="A450" s="197">
        <f t="shared" si="36"/>
        <v>66</v>
      </c>
      <c r="B450" s="76" t="str">
        <f t="shared" si="37"/>
        <v/>
      </c>
      <c r="C450" s="77" t="str">
        <f>IF(G450&lt;&gt;"",IFERROR(ROUND(VLOOKUP(G450,ProductList!J:AO,32,FALSE),0),""),"")</f>
        <v/>
      </c>
      <c r="D450" s="73" t="str">
        <f>IF(E450&lt;&gt;"",IF(D449&lt;&gt;"",D449,#REF!)+1,"")</f>
        <v/>
      </c>
      <c r="E450" s="73"/>
      <c r="F450" s="73"/>
      <c r="G450" s="122"/>
      <c r="H450" s="104"/>
      <c r="I450" s="73"/>
      <c r="J450" s="73"/>
      <c r="K450" s="202"/>
      <c r="L450" s="75" t="str">
        <f t="shared" si="38"/>
        <v/>
      </c>
      <c r="M450" s="75"/>
      <c r="N450" s="75" t="str">
        <f t="shared" si="39"/>
        <v/>
      </c>
      <c r="O450" s="204" t="str">
        <f t="shared" si="40"/>
        <v/>
      </c>
      <c r="P450" s="8"/>
      <c r="Q450" s="8"/>
      <c r="R450" s="8"/>
      <c r="S450" s="8"/>
    </row>
    <row r="451" spans="1:19" x14ac:dyDescent="0.25">
      <c r="A451" s="197">
        <f t="shared" si="36"/>
        <v>66</v>
      </c>
      <c r="B451" s="76" t="str">
        <f t="shared" si="37"/>
        <v/>
      </c>
      <c r="C451" s="77" t="str">
        <f>IF(G451&lt;&gt;"",IFERROR(ROUND(VLOOKUP(G451,ProductList!J:AO,32,FALSE),0),""),"")</f>
        <v/>
      </c>
      <c r="D451" s="73" t="str">
        <f>IF(E451&lt;&gt;"",IF(D450&lt;&gt;"",D450,#REF!)+1,"")</f>
        <v/>
      </c>
      <c r="E451" s="73"/>
      <c r="F451" s="73"/>
      <c r="G451" s="122"/>
      <c r="H451" s="104"/>
      <c r="I451" s="73"/>
      <c r="J451" s="73"/>
      <c r="K451" s="202"/>
      <c r="L451" s="75" t="str">
        <f t="shared" si="38"/>
        <v/>
      </c>
      <c r="M451" s="75"/>
      <c r="N451" s="75" t="str">
        <f t="shared" si="39"/>
        <v/>
      </c>
      <c r="O451" s="204" t="str">
        <f t="shared" si="40"/>
        <v/>
      </c>
      <c r="P451" s="8"/>
      <c r="Q451" s="8"/>
      <c r="R451" s="8"/>
      <c r="S451" s="8"/>
    </row>
    <row r="452" spans="1:19" x14ac:dyDescent="0.25">
      <c r="A452" s="197">
        <f t="shared" si="36"/>
        <v>66</v>
      </c>
      <c r="B452" s="76" t="str">
        <f t="shared" si="37"/>
        <v/>
      </c>
      <c r="C452" s="77" t="str">
        <f>IF(G452&lt;&gt;"",IFERROR(ROUND(VLOOKUP(G452,ProductList!J:AO,32,FALSE),0),""),"")</f>
        <v/>
      </c>
      <c r="D452" s="73" t="str">
        <f>IF(E452&lt;&gt;"",IF(D451&lt;&gt;"",D451,#REF!)+1,"")</f>
        <v/>
      </c>
      <c r="E452" s="73"/>
      <c r="F452" s="73"/>
      <c r="G452" s="122"/>
      <c r="H452" s="104"/>
      <c r="I452" s="73"/>
      <c r="J452" s="73"/>
      <c r="K452" s="202"/>
      <c r="L452" s="75" t="str">
        <f t="shared" si="38"/>
        <v/>
      </c>
      <c r="M452" s="75"/>
      <c r="N452" s="75" t="str">
        <f t="shared" si="39"/>
        <v/>
      </c>
      <c r="O452" s="204" t="str">
        <f t="shared" si="40"/>
        <v/>
      </c>
      <c r="P452" s="8"/>
      <c r="Q452" s="8"/>
      <c r="R452" s="8"/>
      <c r="S452" s="8"/>
    </row>
    <row r="453" spans="1:19" x14ac:dyDescent="0.25">
      <c r="A453" s="197">
        <f t="shared" ref="A453:A498" si="41">IF(AND(E453&lt;&gt;""),IF(A452&lt;&gt;"",A452,0)+1,A452)</f>
        <v>66</v>
      </c>
      <c r="B453" s="76" t="str">
        <f t="shared" si="37"/>
        <v/>
      </c>
      <c r="C453" s="77" t="str">
        <f>IF(G453&lt;&gt;"",IFERROR(ROUND(VLOOKUP(G453,ProductList!J:AO,32,FALSE),0),""),"")</f>
        <v/>
      </c>
      <c r="D453" s="73" t="str">
        <f>IF(E453&lt;&gt;"",IF(D452&lt;&gt;"",D452,#REF!)+1,"")</f>
        <v/>
      </c>
      <c r="E453" s="73"/>
      <c r="F453" s="73"/>
      <c r="G453" s="122"/>
      <c r="H453" s="104"/>
      <c r="I453" s="73"/>
      <c r="J453" s="73"/>
      <c r="K453" s="202"/>
      <c r="L453" s="75" t="str">
        <f t="shared" si="38"/>
        <v/>
      </c>
      <c r="M453" s="75"/>
      <c r="N453" s="75" t="str">
        <f t="shared" si="39"/>
        <v/>
      </c>
      <c r="O453" s="204" t="str">
        <f t="shared" si="40"/>
        <v/>
      </c>
      <c r="P453" s="8"/>
      <c r="Q453" s="8"/>
      <c r="R453" s="8"/>
      <c r="S453" s="8"/>
    </row>
    <row r="454" spans="1:19" x14ac:dyDescent="0.25">
      <c r="A454" s="197">
        <f t="shared" si="41"/>
        <v>66</v>
      </c>
      <c r="B454" s="76" t="str">
        <f t="shared" ref="B454:B498" si="42">IF(AND(L454&lt;&gt;"",F454&lt;&gt;""),ROUND((((L454-F454)*100)/F454),2),"")</f>
        <v/>
      </c>
      <c r="C454" s="77" t="str">
        <f>IF(G454&lt;&gt;"",IFERROR(ROUND(VLOOKUP(G454,ProductList!J:AO,32,FALSE),0),""),"")</f>
        <v/>
      </c>
      <c r="D454" s="73" t="str">
        <f>IF(E454&lt;&gt;"",IF(D453&lt;&gt;"",D453,#REF!)+1,"")</f>
        <v/>
      </c>
      <c r="E454" s="73"/>
      <c r="F454" s="73"/>
      <c r="G454" s="122"/>
      <c r="H454" s="104"/>
      <c r="I454" s="73"/>
      <c r="J454" s="73"/>
      <c r="K454" s="202"/>
      <c r="L454" s="75" t="str">
        <f t="shared" ref="L454:L498" si="43">IF(AND(J454&lt;&gt;"",K454&lt;&gt;""),K454*J454,"")</f>
        <v/>
      </c>
      <c r="M454" s="75"/>
      <c r="N454" s="75" t="str">
        <f t="shared" ref="N454:N498" si="44">IF(AND(M454&lt;&gt;"",J454&lt;&gt;""),M454*J454,"")</f>
        <v/>
      </c>
      <c r="O454" s="204" t="str">
        <f t="shared" si="40"/>
        <v/>
      </c>
      <c r="P454" s="8"/>
      <c r="Q454" s="8"/>
      <c r="R454" s="8"/>
      <c r="S454" s="8"/>
    </row>
    <row r="455" spans="1:19" x14ac:dyDescent="0.25">
      <c r="A455" s="197">
        <f t="shared" si="41"/>
        <v>66</v>
      </c>
      <c r="B455" s="76" t="str">
        <f t="shared" si="42"/>
        <v/>
      </c>
      <c r="C455" s="77" t="str">
        <f>IF(G455&lt;&gt;"",IFERROR(ROUND(VLOOKUP(G455,ProductList!J:AO,32,FALSE),0),""),"")</f>
        <v/>
      </c>
      <c r="D455" s="73" t="str">
        <f>IF(E455&lt;&gt;"",IF(D454&lt;&gt;"",D454,#REF!)+1,"")</f>
        <v/>
      </c>
      <c r="E455" s="73"/>
      <c r="F455" s="73"/>
      <c r="G455" s="122"/>
      <c r="H455" s="104"/>
      <c r="I455" s="73"/>
      <c r="J455" s="73"/>
      <c r="K455" s="202"/>
      <c r="L455" s="75" t="str">
        <f t="shared" si="43"/>
        <v/>
      </c>
      <c r="M455" s="75"/>
      <c r="N455" s="75" t="str">
        <f t="shared" si="44"/>
        <v/>
      </c>
      <c r="O455" s="204" t="str">
        <f t="shared" si="40"/>
        <v/>
      </c>
      <c r="P455" s="8"/>
      <c r="Q455" s="8"/>
      <c r="R455" s="8"/>
      <c r="S455" s="8"/>
    </row>
    <row r="456" spans="1:19" x14ac:dyDescent="0.25">
      <c r="A456" s="197">
        <f t="shared" si="41"/>
        <v>66</v>
      </c>
      <c r="B456" s="76" t="str">
        <f t="shared" si="42"/>
        <v/>
      </c>
      <c r="C456" s="77" t="str">
        <f>IF(G456&lt;&gt;"",IFERROR(ROUND(VLOOKUP(G456,ProductList!J:AO,32,FALSE),0),""),"")</f>
        <v/>
      </c>
      <c r="D456" s="73" t="str">
        <f>IF(E456&lt;&gt;"",IF(D455&lt;&gt;"",D455,#REF!)+1,"")</f>
        <v/>
      </c>
      <c r="E456" s="73"/>
      <c r="F456" s="73"/>
      <c r="G456" s="122"/>
      <c r="H456" s="104"/>
      <c r="I456" s="73"/>
      <c r="J456" s="73"/>
      <c r="K456" s="202"/>
      <c r="L456" s="75" t="str">
        <f t="shared" si="43"/>
        <v/>
      </c>
      <c r="M456" s="75"/>
      <c r="N456" s="75" t="str">
        <f t="shared" si="44"/>
        <v/>
      </c>
      <c r="O456" s="204" t="str">
        <f t="shared" si="40"/>
        <v/>
      </c>
      <c r="P456" s="8"/>
      <c r="Q456" s="8"/>
      <c r="R456" s="8"/>
      <c r="S456" s="8"/>
    </row>
    <row r="457" spans="1:19" x14ac:dyDescent="0.25">
      <c r="A457" s="197">
        <f t="shared" si="41"/>
        <v>66</v>
      </c>
      <c r="B457" s="76" t="str">
        <f t="shared" si="42"/>
        <v/>
      </c>
      <c r="C457" s="77" t="str">
        <f>IF(G457&lt;&gt;"",IFERROR(ROUND(VLOOKUP(G457,ProductList!J:AO,32,FALSE),0),""),"")</f>
        <v/>
      </c>
      <c r="D457" s="73" t="str">
        <f>IF(E457&lt;&gt;"",IF(D456&lt;&gt;"",D456,#REF!)+1,"")</f>
        <v/>
      </c>
      <c r="E457" s="73"/>
      <c r="F457" s="73"/>
      <c r="G457" s="122"/>
      <c r="H457" s="104"/>
      <c r="I457" s="73"/>
      <c r="J457" s="73"/>
      <c r="K457" s="202"/>
      <c r="L457" s="75" t="str">
        <f t="shared" si="43"/>
        <v/>
      </c>
      <c r="M457" s="75"/>
      <c r="N457" s="75" t="str">
        <f t="shared" si="44"/>
        <v/>
      </c>
      <c r="O457" s="204" t="str">
        <f t="shared" si="40"/>
        <v/>
      </c>
      <c r="P457" s="8"/>
      <c r="Q457" s="8"/>
      <c r="R457" s="8"/>
      <c r="S457" s="8"/>
    </row>
    <row r="458" spans="1:19" x14ac:dyDescent="0.25">
      <c r="A458" s="197">
        <f t="shared" si="41"/>
        <v>66</v>
      </c>
      <c r="B458" s="76" t="str">
        <f t="shared" si="42"/>
        <v/>
      </c>
      <c r="C458" s="77" t="str">
        <f>IF(G458&lt;&gt;"",IFERROR(ROUND(VLOOKUP(G458,ProductList!J:AO,32,FALSE),0),""),"")</f>
        <v/>
      </c>
      <c r="D458" s="73" t="str">
        <f>IF(E458&lt;&gt;"",IF(D457&lt;&gt;"",D457,#REF!)+1,"")</f>
        <v/>
      </c>
      <c r="E458" s="73"/>
      <c r="F458" s="73"/>
      <c r="G458" s="122"/>
      <c r="H458" s="104"/>
      <c r="I458" s="73"/>
      <c r="J458" s="73"/>
      <c r="K458" s="202"/>
      <c r="L458" s="75" t="str">
        <f t="shared" si="43"/>
        <v/>
      </c>
      <c r="M458" s="75"/>
      <c r="N458" s="75" t="str">
        <f t="shared" si="44"/>
        <v/>
      </c>
      <c r="O458" s="204" t="str">
        <f t="shared" si="40"/>
        <v/>
      </c>
      <c r="P458" s="8"/>
      <c r="Q458" s="8"/>
      <c r="R458" s="8"/>
      <c r="S458" s="8"/>
    </row>
    <row r="459" spans="1:19" x14ac:dyDescent="0.25">
      <c r="A459" s="197">
        <f t="shared" si="41"/>
        <v>66</v>
      </c>
      <c r="B459" s="76" t="str">
        <f t="shared" si="42"/>
        <v/>
      </c>
      <c r="C459" s="77" t="str">
        <f>IF(G459&lt;&gt;"",IFERROR(ROUND(VLOOKUP(G459,ProductList!J:AO,32,FALSE),0),""),"")</f>
        <v/>
      </c>
      <c r="D459" s="73" t="str">
        <f>IF(E459&lt;&gt;"",IF(D458&lt;&gt;"",D458,#REF!)+1,"")</f>
        <v/>
      </c>
      <c r="E459" s="73"/>
      <c r="F459" s="73"/>
      <c r="G459" s="122"/>
      <c r="H459" s="104"/>
      <c r="I459" s="73"/>
      <c r="J459" s="73"/>
      <c r="K459" s="202"/>
      <c r="L459" s="75" t="str">
        <f t="shared" si="43"/>
        <v/>
      </c>
      <c r="M459" s="75"/>
      <c r="N459" s="75" t="str">
        <f t="shared" si="44"/>
        <v/>
      </c>
      <c r="O459" s="204" t="str">
        <f t="shared" si="40"/>
        <v/>
      </c>
      <c r="P459" s="8"/>
      <c r="Q459" s="8"/>
      <c r="R459" s="8"/>
      <c r="S459" s="8"/>
    </row>
    <row r="460" spans="1:19" x14ac:dyDescent="0.25">
      <c r="A460" s="197">
        <f t="shared" si="41"/>
        <v>66</v>
      </c>
      <c r="B460" s="76" t="str">
        <f t="shared" si="42"/>
        <v/>
      </c>
      <c r="C460" s="77" t="str">
        <f>IF(G460&lt;&gt;"",IFERROR(ROUND(VLOOKUP(G460,ProductList!J:AO,32,FALSE),0),""),"")</f>
        <v/>
      </c>
      <c r="D460" s="73" t="str">
        <f>IF(E460&lt;&gt;"",IF(D459&lt;&gt;"",D459,#REF!)+1,"")</f>
        <v/>
      </c>
      <c r="E460" s="73"/>
      <c r="F460" s="73"/>
      <c r="G460" s="122"/>
      <c r="H460" s="104"/>
      <c r="I460" s="73"/>
      <c r="J460" s="73"/>
      <c r="K460" s="202"/>
      <c r="L460" s="75" t="str">
        <f t="shared" si="43"/>
        <v/>
      </c>
      <c r="M460" s="75"/>
      <c r="N460" s="75" t="str">
        <f t="shared" si="44"/>
        <v/>
      </c>
      <c r="O460" s="204" t="str">
        <f t="shared" si="40"/>
        <v/>
      </c>
      <c r="P460" s="8"/>
      <c r="Q460" s="8"/>
      <c r="R460" s="8"/>
      <c r="S460" s="8"/>
    </row>
    <row r="461" spans="1:19" x14ac:dyDescent="0.25">
      <c r="A461" s="197">
        <f t="shared" si="41"/>
        <v>66</v>
      </c>
      <c r="B461" s="76" t="str">
        <f t="shared" si="42"/>
        <v/>
      </c>
      <c r="C461" s="77" t="str">
        <f>IF(G461&lt;&gt;"",IFERROR(ROUND(VLOOKUP(G461,ProductList!J:AO,32,FALSE),0),""),"")</f>
        <v/>
      </c>
      <c r="D461" s="73" t="str">
        <f>IF(E461&lt;&gt;"",IF(D460&lt;&gt;"",D460,#REF!)+1,"")</f>
        <v/>
      </c>
      <c r="E461" s="73"/>
      <c r="F461" s="73"/>
      <c r="G461" s="122"/>
      <c r="H461" s="104"/>
      <c r="I461" s="73"/>
      <c r="J461" s="73"/>
      <c r="K461" s="202"/>
      <c r="L461" s="75" t="str">
        <f t="shared" si="43"/>
        <v/>
      </c>
      <c r="M461" s="75"/>
      <c r="N461" s="75" t="str">
        <f t="shared" si="44"/>
        <v/>
      </c>
      <c r="O461" s="204" t="str">
        <f t="shared" si="40"/>
        <v/>
      </c>
      <c r="P461" s="8"/>
      <c r="Q461" s="8"/>
      <c r="R461" s="8"/>
      <c r="S461" s="8"/>
    </row>
    <row r="462" spans="1:19" x14ac:dyDescent="0.25">
      <c r="A462" s="197">
        <f t="shared" si="41"/>
        <v>66</v>
      </c>
      <c r="B462" s="76" t="str">
        <f t="shared" si="42"/>
        <v/>
      </c>
      <c r="C462" s="77" t="str">
        <f>IF(G462&lt;&gt;"",IFERROR(ROUND(VLOOKUP(G462,ProductList!J:AO,32,FALSE),0),""),"")</f>
        <v/>
      </c>
      <c r="D462" s="73" t="str">
        <f>IF(E462&lt;&gt;"",IF(D461&lt;&gt;"",D461,#REF!)+1,"")</f>
        <v/>
      </c>
      <c r="E462" s="73"/>
      <c r="F462" s="73"/>
      <c r="G462" s="122"/>
      <c r="H462" s="104"/>
      <c r="I462" s="73"/>
      <c r="J462" s="73"/>
      <c r="K462" s="202"/>
      <c r="L462" s="75" t="str">
        <f t="shared" si="43"/>
        <v/>
      </c>
      <c r="M462" s="75"/>
      <c r="N462" s="75" t="str">
        <f t="shared" si="44"/>
        <v/>
      </c>
      <c r="O462" s="204" t="str">
        <f t="shared" ref="O462:O498" si="45">IF(AND(K462&lt;&gt;"",M462&lt;&gt;""),K462-M462,IF(K462&lt;&gt;"",K462,""))</f>
        <v/>
      </c>
      <c r="P462" s="8"/>
      <c r="Q462" s="8"/>
      <c r="R462" s="8"/>
      <c r="S462" s="8"/>
    </row>
    <row r="463" spans="1:19" x14ac:dyDescent="0.25">
      <c r="A463" s="197">
        <f t="shared" si="41"/>
        <v>66</v>
      </c>
      <c r="B463" s="76" t="str">
        <f t="shared" si="42"/>
        <v/>
      </c>
      <c r="C463" s="77" t="str">
        <f>IF(G463&lt;&gt;"",IFERROR(ROUND(VLOOKUP(G463,ProductList!J:AO,32,FALSE),0),""),"")</f>
        <v/>
      </c>
      <c r="D463" s="73" t="str">
        <f>IF(E463&lt;&gt;"",IF(D462&lt;&gt;"",D462,#REF!)+1,"")</f>
        <v/>
      </c>
      <c r="E463" s="73"/>
      <c r="F463" s="73"/>
      <c r="G463" s="122"/>
      <c r="H463" s="104"/>
      <c r="I463" s="73"/>
      <c r="J463" s="73"/>
      <c r="K463" s="202"/>
      <c r="L463" s="75" t="str">
        <f t="shared" si="43"/>
        <v/>
      </c>
      <c r="M463" s="75"/>
      <c r="N463" s="75" t="str">
        <f t="shared" si="44"/>
        <v/>
      </c>
      <c r="O463" s="204" t="str">
        <f t="shared" si="45"/>
        <v/>
      </c>
      <c r="P463" s="8"/>
      <c r="Q463" s="8"/>
      <c r="R463" s="8"/>
      <c r="S463" s="8"/>
    </row>
    <row r="464" spans="1:19" x14ac:dyDescent="0.25">
      <c r="A464" s="197">
        <f t="shared" si="41"/>
        <v>66</v>
      </c>
      <c r="B464" s="76" t="str">
        <f t="shared" si="42"/>
        <v/>
      </c>
      <c r="C464" s="77" t="str">
        <f>IF(G464&lt;&gt;"",IFERROR(ROUND(VLOOKUP(G464,ProductList!J:AO,32,FALSE),0),""),"")</f>
        <v/>
      </c>
      <c r="D464" s="73" t="str">
        <f>IF(E464&lt;&gt;"",IF(D463&lt;&gt;"",D463,#REF!)+1,"")</f>
        <v/>
      </c>
      <c r="E464" s="73"/>
      <c r="F464" s="73"/>
      <c r="G464" s="122"/>
      <c r="H464" s="104"/>
      <c r="I464" s="73"/>
      <c r="J464" s="73"/>
      <c r="K464" s="202"/>
      <c r="L464" s="75" t="str">
        <f t="shared" si="43"/>
        <v/>
      </c>
      <c r="M464" s="75"/>
      <c r="N464" s="75" t="str">
        <f t="shared" si="44"/>
        <v/>
      </c>
      <c r="O464" s="204" t="str">
        <f t="shared" si="45"/>
        <v/>
      </c>
      <c r="P464" s="8"/>
      <c r="Q464" s="8"/>
      <c r="R464" s="8"/>
      <c r="S464" s="8"/>
    </row>
    <row r="465" spans="1:19" x14ac:dyDescent="0.25">
      <c r="A465" s="197">
        <f t="shared" si="41"/>
        <v>66</v>
      </c>
      <c r="B465" s="76" t="str">
        <f t="shared" si="42"/>
        <v/>
      </c>
      <c r="C465" s="77" t="str">
        <f>IF(G465&lt;&gt;"",IFERROR(ROUND(VLOOKUP(G465,ProductList!J:AO,32,FALSE),0),""),"")</f>
        <v/>
      </c>
      <c r="D465" s="73" t="str">
        <f>IF(E465&lt;&gt;"",IF(D464&lt;&gt;"",D464,#REF!)+1,"")</f>
        <v/>
      </c>
      <c r="E465" s="73"/>
      <c r="F465" s="73"/>
      <c r="G465" s="122"/>
      <c r="H465" s="104"/>
      <c r="I465" s="73"/>
      <c r="J465" s="73"/>
      <c r="K465" s="202"/>
      <c r="L465" s="75" t="str">
        <f t="shared" si="43"/>
        <v/>
      </c>
      <c r="M465" s="75"/>
      <c r="N465" s="75" t="str">
        <f t="shared" si="44"/>
        <v/>
      </c>
      <c r="O465" s="204" t="str">
        <f t="shared" si="45"/>
        <v/>
      </c>
      <c r="P465" s="8"/>
      <c r="Q465" s="8"/>
      <c r="R465" s="8"/>
      <c r="S465" s="8"/>
    </row>
    <row r="466" spans="1:19" x14ac:dyDescent="0.25">
      <c r="A466" s="197">
        <f t="shared" si="41"/>
        <v>66</v>
      </c>
      <c r="B466" s="76" t="str">
        <f t="shared" si="42"/>
        <v/>
      </c>
      <c r="C466" s="77" t="str">
        <f>IF(G466&lt;&gt;"",IFERROR(ROUND(VLOOKUP(G466,ProductList!J:AO,32,FALSE),0),""),"")</f>
        <v/>
      </c>
      <c r="D466" s="73" t="str">
        <f>IF(E466&lt;&gt;"",IF(D465&lt;&gt;"",D465,#REF!)+1,"")</f>
        <v/>
      </c>
      <c r="E466" s="73"/>
      <c r="F466" s="73"/>
      <c r="G466" s="122"/>
      <c r="H466" s="104"/>
      <c r="I466" s="73"/>
      <c r="J466" s="73"/>
      <c r="K466" s="202"/>
      <c r="L466" s="75" t="str">
        <f t="shared" si="43"/>
        <v/>
      </c>
      <c r="M466" s="75"/>
      <c r="N466" s="75" t="str">
        <f t="shared" si="44"/>
        <v/>
      </c>
      <c r="O466" s="204" t="str">
        <f t="shared" si="45"/>
        <v/>
      </c>
      <c r="P466" s="8"/>
      <c r="Q466" s="8"/>
      <c r="R466" s="8"/>
      <c r="S466" s="8"/>
    </row>
    <row r="467" spans="1:19" x14ac:dyDescent="0.25">
      <c r="A467" s="197">
        <f t="shared" si="41"/>
        <v>66</v>
      </c>
      <c r="B467" s="76" t="str">
        <f t="shared" si="42"/>
        <v/>
      </c>
      <c r="C467" s="77" t="str">
        <f>IF(G467&lt;&gt;"",IFERROR(ROUND(VLOOKUP(G467,ProductList!J:AO,32,FALSE),0),""),"")</f>
        <v/>
      </c>
      <c r="D467" s="73" t="str">
        <f>IF(E467&lt;&gt;"",IF(D466&lt;&gt;"",D466,#REF!)+1,"")</f>
        <v/>
      </c>
      <c r="E467" s="73"/>
      <c r="F467" s="73"/>
      <c r="G467" s="122"/>
      <c r="H467" s="104"/>
      <c r="I467" s="73"/>
      <c r="J467" s="73"/>
      <c r="K467" s="202"/>
      <c r="L467" s="75" t="str">
        <f t="shared" si="43"/>
        <v/>
      </c>
      <c r="M467" s="75"/>
      <c r="N467" s="75" t="str">
        <f t="shared" si="44"/>
        <v/>
      </c>
      <c r="O467" s="204" t="str">
        <f t="shared" si="45"/>
        <v/>
      </c>
      <c r="P467" s="8"/>
      <c r="Q467" s="8"/>
      <c r="R467" s="8"/>
      <c r="S467" s="8"/>
    </row>
    <row r="468" spans="1:19" x14ac:dyDescent="0.25">
      <c r="A468" s="197">
        <f t="shared" si="41"/>
        <v>66</v>
      </c>
      <c r="B468" s="76" t="str">
        <f t="shared" si="42"/>
        <v/>
      </c>
      <c r="C468" s="77" t="str">
        <f>IF(G468&lt;&gt;"",IFERROR(ROUND(VLOOKUP(G468,ProductList!J:AO,32,FALSE),0),""),"")</f>
        <v/>
      </c>
      <c r="D468" s="73" t="str">
        <f>IF(E468&lt;&gt;"",IF(D467&lt;&gt;"",D467,#REF!)+1,"")</f>
        <v/>
      </c>
      <c r="E468" s="73"/>
      <c r="F468" s="73"/>
      <c r="G468" s="122"/>
      <c r="H468" s="104"/>
      <c r="I468" s="73"/>
      <c r="J468" s="73"/>
      <c r="K468" s="202"/>
      <c r="L468" s="75" t="str">
        <f t="shared" si="43"/>
        <v/>
      </c>
      <c r="M468" s="75"/>
      <c r="N468" s="75" t="str">
        <f t="shared" si="44"/>
        <v/>
      </c>
      <c r="O468" s="204" t="str">
        <f t="shared" si="45"/>
        <v/>
      </c>
      <c r="P468" s="8"/>
      <c r="Q468" s="8"/>
      <c r="R468" s="8"/>
      <c r="S468" s="8"/>
    </row>
    <row r="469" spans="1:19" x14ac:dyDescent="0.25">
      <c r="A469" s="197">
        <f t="shared" si="41"/>
        <v>66</v>
      </c>
      <c r="B469" s="76" t="str">
        <f t="shared" si="42"/>
        <v/>
      </c>
      <c r="C469" s="77" t="str">
        <f>IF(G469&lt;&gt;"",IFERROR(ROUND(VLOOKUP(G469,ProductList!J:AO,32,FALSE),0),""),"")</f>
        <v/>
      </c>
      <c r="D469" s="73" t="str">
        <f>IF(E469&lt;&gt;"",IF(D468&lt;&gt;"",D468,#REF!)+1,"")</f>
        <v/>
      </c>
      <c r="E469" s="73"/>
      <c r="F469" s="73"/>
      <c r="G469" s="122"/>
      <c r="H469" s="104"/>
      <c r="I469" s="73"/>
      <c r="J469" s="73"/>
      <c r="K469" s="202"/>
      <c r="L469" s="75" t="str">
        <f t="shared" si="43"/>
        <v/>
      </c>
      <c r="M469" s="75"/>
      <c r="N469" s="75" t="str">
        <f t="shared" si="44"/>
        <v/>
      </c>
      <c r="O469" s="204" t="str">
        <f t="shared" si="45"/>
        <v/>
      </c>
      <c r="P469" s="8"/>
      <c r="Q469" s="8"/>
      <c r="R469" s="8"/>
      <c r="S469" s="8"/>
    </row>
    <row r="470" spans="1:19" x14ac:dyDescent="0.25">
      <c r="A470" s="197">
        <f t="shared" si="41"/>
        <v>66</v>
      </c>
      <c r="B470" s="76" t="str">
        <f t="shared" si="42"/>
        <v/>
      </c>
      <c r="C470" s="77" t="str">
        <f>IF(G470&lt;&gt;"",IFERROR(ROUND(VLOOKUP(G470,ProductList!J:AO,32,FALSE),0),""),"")</f>
        <v/>
      </c>
      <c r="D470" s="73" t="str">
        <f>IF(E470&lt;&gt;"",IF(D469&lt;&gt;"",D469,#REF!)+1,"")</f>
        <v/>
      </c>
      <c r="E470" s="73"/>
      <c r="F470" s="73"/>
      <c r="G470" s="122"/>
      <c r="H470" s="104"/>
      <c r="I470" s="73"/>
      <c r="J470" s="73"/>
      <c r="K470" s="202"/>
      <c r="L470" s="75" t="str">
        <f t="shared" si="43"/>
        <v/>
      </c>
      <c r="M470" s="75"/>
      <c r="N470" s="75" t="str">
        <f t="shared" si="44"/>
        <v/>
      </c>
      <c r="O470" s="204" t="str">
        <f t="shared" si="45"/>
        <v/>
      </c>
      <c r="P470" s="8"/>
      <c r="Q470" s="8"/>
      <c r="R470" s="8"/>
      <c r="S470" s="8"/>
    </row>
    <row r="471" spans="1:19" x14ac:dyDescent="0.25">
      <c r="A471" s="197">
        <f t="shared" si="41"/>
        <v>66</v>
      </c>
      <c r="B471" s="76" t="str">
        <f t="shared" si="42"/>
        <v/>
      </c>
      <c r="C471" s="77" t="str">
        <f>IF(G471&lt;&gt;"",IFERROR(ROUND(VLOOKUP(G471,ProductList!J:AO,32,FALSE),0),""),"")</f>
        <v/>
      </c>
      <c r="D471" s="73" t="str">
        <f>IF(E471&lt;&gt;"",IF(D470&lt;&gt;"",D470,#REF!)+1,"")</f>
        <v/>
      </c>
      <c r="E471" s="73"/>
      <c r="F471" s="73"/>
      <c r="G471" s="122"/>
      <c r="H471" s="104"/>
      <c r="I471" s="73"/>
      <c r="J471" s="73"/>
      <c r="K471" s="202"/>
      <c r="L471" s="75" t="str">
        <f t="shared" si="43"/>
        <v/>
      </c>
      <c r="M471" s="75"/>
      <c r="N471" s="75" t="str">
        <f t="shared" si="44"/>
        <v/>
      </c>
      <c r="O471" s="204" t="str">
        <f t="shared" si="45"/>
        <v/>
      </c>
      <c r="P471" s="8"/>
      <c r="Q471" s="8"/>
      <c r="R471" s="8"/>
      <c r="S471" s="8"/>
    </row>
    <row r="472" spans="1:19" x14ac:dyDescent="0.25">
      <c r="A472" s="197">
        <f t="shared" si="41"/>
        <v>66</v>
      </c>
      <c r="B472" s="76" t="str">
        <f t="shared" si="42"/>
        <v/>
      </c>
      <c r="C472" s="77" t="str">
        <f>IF(G472&lt;&gt;"",IFERROR(ROUND(VLOOKUP(G472,ProductList!J:AO,32,FALSE),0),""),"")</f>
        <v/>
      </c>
      <c r="D472" s="73" t="str">
        <f>IF(E472&lt;&gt;"",IF(D471&lt;&gt;"",D471,#REF!)+1,"")</f>
        <v/>
      </c>
      <c r="E472" s="73"/>
      <c r="F472" s="73"/>
      <c r="G472" s="122"/>
      <c r="H472" s="104"/>
      <c r="I472" s="73"/>
      <c r="J472" s="73"/>
      <c r="K472" s="202"/>
      <c r="L472" s="75" t="str">
        <f t="shared" si="43"/>
        <v/>
      </c>
      <c r="M472" s="75"/>
      <c r="N472" s="75" t="str">
        <f t="shared" si="44"/>
        <v/>
      </c>
      <c r="O472" s="204" t="str">
        <f t="shared" si="45"/>
        <v/>
      </c>
      <c r="P472" s="8"/>
      <c r="Q472" s="8"/>
      <c r="R472" s="8"/>
      <c r="S472" s="8"/>
    </row>
    <row r="473" spans="1:19" x14ac:dyDescent="0.25">
      <c r="A473" s="197">
        <f t="shared" si="41"/>
        <v>66</v>
      </c>
      <c r="B473" s="76" t="str">
        <f t="shared" si="42"/>
        <v/>
      </c>
      <c r="C473" s="77" t="str">
        <f>IF(G473&lt;&gt;"",IFERROR(ROUND(VLOOKUP(G473,ProductList!J:AO,32,FALSE),0),""),"")</f>
        <v/>
      </c>
      <c r="D473" s="73" t="str">
        <f>IF(E473&lt;&gt;"",IF(D472&lt;&gt;"",D472,#REF!)+1,"")</f>
        <v/>
      </c>
      <c r="E473" s="73"/>
      <c r="F473" s="73"/>
      <c r="G473" s="122"/>
      <c r="H473" s="104"/>
      <c r="I473" s="73"/>
      <c r="J473" s="73"/>
      <c r="K473" s="202"/>
      <c r="L473" s="75" t="str">
        <f t="shared" si="43"/>
        <v/>
      </c>
      <c r="M473" s="75"/>
      <c r="N473" s="75" t="str">
        <f t="shared" si="44"/>
        <v/>
      </c>
      <c r="O473" s="204" t="str">
        <f t="shared" si="45"/>
        <v/>
      </c>
      <c r="P473" s="8"/>
      <c r="Q473" s="8"/>
      <c r="R473" s="8"/>
      <c r="S473" s="8"/>
    </row>
    <row r="474" spans="1:19" x14ac:dyDescent="0.25">
      <c r="A474" s="197">
        <f t="shared" si="41"/>
        <v>66</v>
      </c>
      <c r="B474" s="76" t="str">
        <f t="shared" si="42"/>
        <v/>
      </c>
      <c r="C474" s="77" t="str">
        <f>IF(G474&lt;&gt;"",IFERROR(ROUND(VLOOKUP(G474,ProductList!J:AO,32,FALSE),0),""),"")</f>
        <v/>
      </c>
      <c r="D474" s="73" t="str">
        <f>IF(E474&lt;&gt;"",IF(D473&lt;&gt;"",D473,#REF!)+1,"")</f>
        <v/>
      </c>
      <c r="E474" s="73"/>
      <c r="F474" s="73"/>
      <c r="G474" s="122"/>
      <c r="H474" s="104"/>
      <c r="I474" s="73"/>
      <c r="J474" s="73"/>
      <c r="K474" s="202"/>
      <c r="L474" s="75" t="str">
        <f t="shared" si="43"/>
        <v/>
      </c>
      <c r="M474" s="75"/>
      <c r="N474" s="75" t="str">
        <f t="shared" si="44"/>
        <v/>
      </c>
      <c r="O474" s="204" t="str">
        <f t="shared" si="45"/>
        <v/>
      </c>
      <c r="P474" s="8"/>
      <c r="Q474" s="8"/>
      <c r="R474" s="8"/>
      <c r="S474" s="8"/>
    </row>
    <row r="475" spans="1:19" x14ac:dyDescent="0.25">
      <c r="A475" s="197">
        <f t="shared" si="41"/>
        <v>66</v>
      </c>
      <c r="B475" s="76" t="str">
        <f t="shared" si="42"/>
        <v/>
      </c>
      <c r="C475" s="77" t="str">
        <f>IF(G475&lt;&gt;"",IFERROR(ROUND(VLOOKUP(G475,ProductList!J:AO,32,FALSE),0),""),"")</f>
        <v/>
      </c>
      <c r="D475" s="73" t="str">
        <f>IF(E475&lt;&gt;"",IF(D474&lt;&gt;"",D474,#REF!)+1,"")</f>
        <v/>
      </c>
      <c r="E475" s="73"/>
      <c r="F475" s="73"/>
      <c r="G475" s="122"/>
      <c r="H475" s="104"/>
      <c r="I475" s="73"/>
      <c r="J475" s="73"/>
      <c r="K475" s="202"/>
      <c r="L475" s="75" t="str">
        <f t="shared" si="43"/>
        <v/>
      </c>
      <c r="M475" s="75"/>
      <c r="N475" s="75" t="str">
        <f t="shared" si="44"/>
        <v/>
      </c>
      <c r="O475" s="204" t="str">
        <f t="shared" si="45"/>
        <v/>
      </c>
      <c r="P475" s="8"/>
      <c r="Q475" s="8"/>
      <c r="R475" s="8"/>
      <c r="S475" s="8"/>
    </row>
    <row r="476" spans="1:19" x14ac:dyDescent="0.25">
      <c r="A476" s="197">
        <f t="shared" si="41"/>
        <v>66</v>
      </c>
      <c r="B476" s="76" t="str">
        <f t="shared" si="42"/>
        <v/>
      </c>
      <c r="C476" s="77" t="str">
        <f>IF(G476&lt;&gt;"",IFERROR(ROUND(VLOOKUP(G476,ProductList!J:AO,32,FALSE),0),""),"")</f>
        <v/>
      </c>
      <c r="D476" s="73" t="str">
        <f>IF(E476&lt;&gt;"",IF(D475&lt;&gt;"",D475,#REF!)+1,"")</f>
        <v/>
      </c>
      <c r="E476" s="73"/>
      <c r="F476" s="73"/>
      <c r="G476" s="122"/>
      <c r="H476" s="104"/>
      <c r="I476" s="73"/>
      <c r="J476" s="73"/>
      <c r="K476" s="202"/>
      <c r="L476" s="75" t="str">
        <f t="shared" si="43"/>
        <v/>
      </c>
      <c r="M476" s="75"/>
      <c r="N476" s="75" t="str">
        <f t="shared" si="44"/>
        <v/>
      </c>
      <c r="O476" s="204" t="str">
        <f t="shared" si="45"/>
        <v/>
      </c>
      <c r="P476" s="8"/>
      <c r="Q476" s="8"/>
      <c r="R476" s="8"/>
      <c r="S476" s="8"/>
    </row>
    <row r="477" spans="1:19" x14ac:dyDescent="0.25">
      <c r="A477" s="197">
        <f t="shared" si="41"/>
        <v>66</v>
      </c>
      <c r="B477" s="76" t="str">
        <f t="shared" si="42"/>
        <v/>
      </c>
      <c r="C477" s="77" t="str">
        <f>IF(G477&lt;&gt;"",IFERROR(ROUND(VLOOKUP(G477,ProductList!J:AO,32,FALSE),0),""),"")</f>
        <v/>
      </c>
      <c r="D477" s="73" t="str">
        <f>IF(E477&lt;&gt;"",IF(D476&lt;&gt;"",D476,#REF!)+1,"")</f>
        <v/>
      </c>
      <c r="E477" s="73"/>
      <c r="F477" s="73"/>
      <c r="G477" s="122"/>
      <c r="H477" s="104"/>
      <c r="I477" s="73"/>
      <c r="J477" s="73"/>
      <c r="K477" s="202"/>
      <c r="L477" s="75" t="str">
        <f t="shared" si="43"/>
        <v/>
      </c>
      <c r="M477" s="75"/>
      <c r="N477" s="75" t="str">
        <f t="shared" si="44"/>
        <v/>
      </c>
      <c r="O477" s="204" t="str">
        <f t="shared" si="45"/>
        <v/>
      </c>
      <c r="P477" s="8"/>
      <c r="Q477" s="8"/>
      <c r="R477" s="8"/>
      <c r="S477" s="8"/>
    </row>
    <row r="478" spans="1:19" x14ac:dyDescent="0.25">
      <c r="A478" s="197">
        <f t="shared" si="41"/>
        <v>66</v>
      </c>
      <c r="B478" s="76" t="str">
        <f t="shared" si="42"/>
        <v/>
      </c>
      <c r="C478" s="77" t="str">
        <f>IF(G478&lt;&gt;"",IFERROR(ROUND(VLOOKUP(G478,ProductList!J:AO,32,FALSE),0),""),"")</f>
        <v/>
      </c>
      <c r="D478" s="73" t="str">
        <f>IF(E478&lt;&gt;"",IF(D477&lt;&gt;"",D477,#REF!)+1,"")</f>
        <v/>
      </c>
      <c r="E478" s="73"/>
      <c r="F478" s="73"/>
      <c r="G478" s="122"/>
      <c r="H478" s="104"/>
      <c r="I478" s="73"/>
      <c r="J478" s="73"/>
      <c r="K478" s="202"/>
      <c r="L478" s="75" t="str">
        <f t="shared" si="43"/>
        <v/>
      </c>
      <c r="M478" s="75"/>
      <c r="N478" s="75" t="str">
        <f t="shared" si="44"/>
        <v/>
      </c>
      <c r="O478" s="204" t="str">
        <f t="shared" si="45"/>
        <v/>
      </c>
      <c r="P478" s="8"/>
      <c r="Q478" s="8"/>
      <c r="R478" s="8"/>
      <c r="S478" s="8"/>
    </row>
    <row r="479" spans="1:19" x14ac:dyDescent="0.25">
      <c r="A479" s="197">
        <f t="shared" si="41"/>
        <v>66</v>
      </c>
      <c r="B479" s="76" t="str">
        <f t="shared" si="42"/>
        <v/>
      </c>
      <c r="C479" s="77" t="str">
        <f>IF(G479&lt;&gt;"",IFERROR(ROUND(VLOOKUP(G479,ProductList!J:AO,32,FALSE),0),""),"")</f>
        <v/>
      </c>
      <c r="D479" s="73" t="str">
        <f>IF(E479&lt;&gt;"",IF(D478&lt;&gt;"",D478,#REF!)+1,"")</f>
        <v/>
      </c>
      <c r="E479" s="73"/>
      <c r="F479" s="73"/>
      <c r="G479" s="122"/>
      <c r="H479" s="104"/>
      <c r="I479" s="73"/>
      <c r="J479" s="73"/>
      <c r="K479" s="202"/>
      <c r="L479" s="75" t="str">
        <f t="shared" si="43"/>
        <v/>
      </c>
      <c r="M479" s="75"/>
      <c r="N479" s="75" t="str">
        <f t="shared" si="44"/>
        <v/>
      </c>
      <c r="O479" s="204" t="str">
        <f t="shared" si="45"/>
        <v/>
      </c>
      <c r="P479" s="8"/>
      <c r="Q479" s="8"/>
      <c r="R479" s="8"/>
      <c r="S479" s="8"/>
    </row>
    <row r="480" spans="1:19" x14ac:dyDescent="0.25">
      <c r="A480" s="197">
        <f t="shared" si="41"/>
        <v>66</v>
      </c>
      <c r="B480" s="76" t="str">
        <f t="shared" si="42"/>
        <v/>
      </c>
      <c r="C480" s="77" t="str">
        <f>IF(G480&lt;&gt;"",IFERROR(ROUND(VLOOKUP(G480,ProductList!J:AO,32,FALSE),0),""),"")</f>
        <v/>
      </c>
      <c r="D480" s="73" t="str">
        <f>IF(E480&lt;&gt;"",IF(D479&lt;&gt;"",D479,#REF!)+1,"")</f>
        <v/>
      </c>
      <c r="E480" s="73"/>
      <c r="F480" s="73"/>
      <c r="G480" s="122"/>
      <c r="H480" s="104"/>
      <c r="I480" s="73"/>
      <c r="J480" s="73"/>
      <c r="K480" s="202"/>
      <c r="L480" s="75" t="str">
        <f t="shared" si="43"/>
        <v/>
      </c>
      <c r="M480" s="75"/>
      <c r="N480" s="75" t="str">
        <f t="shared" si="44"/>
        <v/>
      </c>
      <c r="O480" s="204" t="str">
        <f t="shared" si="45"/>
        <v/>
      </c>
      <c r="P480" s="8"/>
      <c r="Q480" s="8"/>
      <c r="R480" s="8"/>
      <c r="S480" s="8"/>
    </row>
    <row r="481" spans="1:19" x14ac:dyDescent="0.25">
      <c r="A481" s="197">
        <f t="shared" si="41"/>
        <v>66</v>
      </c>
      <c r="B481" s="76" t="str">
        <f t="shared" si="42"/>
        <v/>
      </c>
      <c r="C481" s="77" t="str">
        <f>IF(G481&lt;&gt;"",IFERROR(ROUND(VLOOKUP(G481,ProductList!J:AO,32,FALSE),0),""),"")</f>
        <v/>
      </c>
      <c r="D481" s="73" t="str">
        <f>IF(E481&lt;&gt;"",IF(D480&lt;&gt;"",D480,#REF!)+1,"")</f>
        <v/>
      </c>
      <c r="E481" s="73"/>
      <c r="F481" s="73"/>
      <c r="G481" s="122"/>
      <c r="H481" s="104"/>
      <c r="I481" s="73"/>
      <c r="J481" s="73"/>
      <c r="K481" s="202"/>
      <c r="L481" s="75" t="str">
        <f t="shared" si="43"/>
        <v/>
      </c>
      <c r="M481" s="75"/>
      <c r="N481" s="75" t="str">
        <f t="shared" si="44"/>
        <v/>
      </c>
      <c r="O481" s="204" t="str">
        <f t="shared" si="45"/>
        <v/>
      </c>
      <c r="P481" s="8"/>
      <c r="Q481" s="8"/>
      <c r="R481" s="8"/>
      <c r="S481" s="8"/>
    </row>
    <row r="482" spans="1:19" x14ac:dyDescent="0.25">
      <c r="A482" s="197">
        <f t="shared" si="41"/>
        <v>66</v>
      </c>
      <c r="B482" s="76" t="str">
        <f t="shared" si="42"/>
        <v/>
      </c>
      <c r="C482" s="77" t="str">
        <f>IF(G482&lt;&gt;"",IFERROR(ROUND(VLOOKUP(G482,ProductList!J:AO,32,FALSE),0),""),"")</f>
        <v/>
      </c>
      <c r="D482" s="73" t="str">
        <f>IF(E482&lt;&gt;"",IF(D481&lt;&gt;"",D481,#REF!)+1,"")</f>
        <v/>
      </c>
      <c r="E482" s="73"/>
      <c r="F482" s="73"/>
      <c r="G482" s="122"/>
      <c r="H482" s="104"/>
      <c r="I482" s="73"/>
      <c r="J482" s="73"/>
      <c r="K482" s="202"/>
      <c r="L482" s="75" t="str">
        <f t="shared" si="43"/>
        <v/>
      </c>
      <c r="M482" s="75"/>
      <c r="N482" s="75" t="str">
        <f t="shared" si="44"/>
        <v/>
      </c>
      <c r="O482" s="204" t="str">
        <f t="shared" si="45"/>
        <v/>
      </c>
      <c r="P482" s="8"/>
      <c r="Q482" s="8"/>
      <c r="R482" s="8"/>
      <c r="S482" s="8"/>
    </row>
    <row r="483" spans="1:19" x14ac:dyDescent="0.25">
      <c r="A483" s="197">
        <f t="shared" si="41"/>
        <v>66</v>
      </c>
      <c r="B483" s="76" t="str">
        <f t="shared" si="42"/>
        <v/>
      </c>
      <c r="C483" s="77" t="str">
        <f>IF(G483&lt;&gt;"",IFERROR(ROUND(VLOOKUP(G483,ProductList!J:AO,32,FALSE),0),""),"")</f>
        <v/>
      </c>
      <c r="D483" s="73" t="str">
        <f>IF(E483&lt;&gt;"",IF(D482&lt;&gt;"",D482,#REF!)+1,"")</f>
        <v/>
      </c>
      <c r="E483" s="73"/>
      <c r="F483" s="73"/>
      <c r="G483" s="122"/>
      <c r="H483" s="104"/>
      <c r="I483" s="73"/>
      <c r="J483" s="73"/>
      <c r="K483" s="202"/>
      <c r="L483" s="75" t="str">
        <f t="shared" si="43"/>
        <v/>
      </c>
      <c r="M483" s="75"/>
      <c r="N483" s="75" t="str">
        <f t="shared" si="44"/>
        <v/>
      </c>
      <c r="O483" s="204" t="str">
        <f t="shared" si="45"/>
        <v/>
      </c>
      <c r="P483" s="8"/>
      <c r="Q483" s="8"/>
      <c r="R483" s="8"/>
      <c r="S483" s="8"/>
    </row>
    <row r="484" spans="1:19" x14ac:dyDescent="0.25">
      <c r="A484" s="197">
        <f t="shared" si="41"/>
        <v>66</v>
      </c>
      <c r="B484" s="76" t="str">
        <f t="shared" si="42"/>
        <v/>
      </c>
      <c r="C484" s="77" t="str">
        <f>IF(G484&lt;&gt;"",IFERROR(ROUND(VLOOKUP(G484,ProductList!J:AO,32,FALSE),0),""),"")</f>
        <v/>
      </c>
      <c r="D484" s="73" t="str">
        <f>IF(E484&lt;&gt;"",IF(D483&lt;&gt;"",D483,#REF!)+1,"")</f>
        <v/>
      </c>
      <c r="E484" s="73"/>
      <c r="F484" s="73"/>
      <c r="G484" s="122"/>
      <c r="H484" s="104"/>
      <c r="I484" s="73"/>
      <c r="J484" s="73"/>
      <c r="K484" s="202"/>
      <c r="L484" s="75" t="str">
        <f t="shared" si="43"/>
        <v/>
      </c>
      <c r="M484" s="75"/>
      <c r="N484" s="75" t="str">
        <f t="shared" si="44"/>
        <v/>
      </c>
      <c r="O484" s="204" t="str">
        <f t="shared" si="45"/>
        <v/>
      </c>
      <c r="P484" s="8"/>
      <c r="Q484" s="8"/>
      <c r="R484" s="8"/>
      <c r="S484" s="8"/>
    </row>
    <row r="485" spans="1:19" x14ac:dyDescent="0.25">
      <c r="A485" s="197">
        <f t="shared" si="41"/>
        <v>66</v>
      </c>
      <c r="B485" s="76" t="str">
        <f t="shared" si="42"/>
        <v/>
      </c>
      <c r="C485" s="77" t="str">
        <f>IF(G485&lt;&gt;"",IFERROR(ROUND(VLOOKUP(G485,ProductList!J:AO,32,FALSE),0),""),"")</f>
        <v/>
      </c>
      <c r="D485" s="73" t="str">
        <f>IF(E485&lt;&gt;"",IF(D484&lt;&gt;"",D484,#REF!)+1,"")</f>
        <v/>
      </c>
      <c r="E485" s="73"/>
      <c r="F485" s="73"/>
      <c r="G485" s="122"/>
      <c r="H485" s="104"/>
      <c r="I485" s="73"/>
      <c r="J485" s="73"/>
      <c r="K485" s="202"/>
      <c r="L485" s="75" t="str">
        <f t="shared" si="43"/>
        <v/>
      </c>
      <c r="M485" s="75"/>
      <c r="N485" s="75" t="str">
        <f t="shared" si="44"/>
        <v/>
      </c>
      <c r="O485" s="204" t="str">
        <f t="shared" si="45"/>
        <v/>
      </c>
      <c r="P485" s="8"/>
      <c r="Q485" s="8"/>
      <c r="R485" s="8"/>
      <c r="S485" s="8"/>
    </row>
    <row r="486" spans="1:19" x14ac:dyDescent="0.25">
      <c r="A486" s="197">
        <f t="shared" si="41"/>
        <v>66</v>
      </c>
      <c r="B486" s="76" t="str">
        <f t="shared" si="42"/>
        <v/>
      </c>
      <c r="C486" s="77" t="str">
        <f>IF(G486&lt;&gt;"",IFERROR(ROUND(VLOOKUP(G486,ProductList!J:AO,32,FALSE),0),""),"")</f>
        <v/>
      </c>
      <c r="D486" s="73" t="str">
        <f>IF(E486&lt;&gt;"",IF(D485&lt;&gt;"",D485,#REF!)+1,"")</f>
        <v/>
      </c>
      <c r="E486" s="73"/>
      <c r="F486" s="73"/>
      <c r="G486" s="122"/>
      <c r="H486" s="104"/>
      <c r="I486" s="73"/>
      <c r="J486" s="73"/>
      <c r="K486" s="202"/>
      <c r="L486" s="75" t="str">
        <f t="shared" si="43"/>
        <v/>
      </c>
      <c r="M486" s="75"/>
      <c r="N486" s="75" t="str">
        <f t="shared" si="44"/>
        <v/>
      </c>
      <c r="O486" s="204" t="str">
        <f t="shared" si="45"/>
        <v/>
      </c>
      <c r="P486" s="8"/>
      <c r="Q486" s="8"/>
      <c r="R486" s="8"/>
      <c r="S486" s="8"/>
    </row>
    <row r="487" spans="1:19" x14ac:dyDescent="0.25">
      <c r="A487" s="197">
        <f t="shared" si="41"/>
        <v>66</v>
      </c>
      <c r="B487" s="76" t="str">
        <f t="shared" si="42"/>
        <v/>
      </c>
      <c r="C487" s="77" t="str">
        <f>IF(G487&lt;&gt;"",IFERROR(ROUND(VLOOKUP(G487,ProductList!J:AO,32,FALSE),0),""),"")</f>
        <v/>
      </c>
      <c r="D487" s="73" t="str">
        <f>IF(E487&lt;&gt;"",IF(D486&lt;&gt;"",D486,#REF!)+1,"")</f>
        <v/>
      </c>
      <c r="E487" s="73"/>
      <c r="F487" s="73"/>
      <c r="G487" s="122"/>
      <c r="H487" s="104"/>
      <c r="I487" s="73"/>
      <c r="J487" s="73"/>
      <c r="K487" s="202"/>
      <c r="L487" s="75" t="str">
        <f t="shared" si="43"/>
        <v/>
      </c>
      <c r="M487" s="75"/>
      <c r="N487" s="75" t="str">
        <f t="shared" si="44"/>
        <v/>
      </c>
      <c r="O487" s="204" t="str">
        <f t="shared" si="45"/>
        <v/>
      </c>
      <c r="P487" s="8"/>
      <c r="Q487" s="8"/>
      <c r="R487" s="8"/>
      <c r="S487" s="8"/>
    </row>
    <row r="488" spans="1:19" x14ac:dyDescent="0.25">
      <c r="A488" s="197">
        <f t="shared" si="41"/>
        <v>66</v>
      </c>
      <c r="B488" s="76" t="str">
        <f t="shared" si="42"/>
        <v/>
      </c>
      <c r="C488" s="77" t="str">
        <f>IF(G488&lt;&gt;"",IFERROR(ROUND(VLOOKUP(G488,ProductList!J:AO,32,FALSE),0),""),"")</f>
        <v/>
      </c>
      <c r="D488" s="73" t="str">
        <f>IF(E488&lt;&gt;"",IF(D487&lt;&gt;"",D487,#REF!)+1,"")</f>
        <v/>
      </c>
      <c r="E488" s="73"/>
      <c r="F488" s="73"/>
      <c r="G488" s="122"/>
      <c r="H488" s="104"/>
      <c r="I488" s="73"/>
      <c r="J488" s="73"/>
      <c r="K488" s="202"/>
      <c r="L488" s="75" t="str">
        <f t="shared" si="43"/>
        <v/>
      </c>
      <c r="M488" s="75"/>
      <c r="N488" s="75" t="str">
        <f t="shared" si="44"/>
        <v/>
      </c>
      <c r="O488" s="204" t="str">
        <f t="shared" si="45"/>
        <v/>
      </c>
      <c r="P488" s="8"/>
      <c r="Q488" s="8"/>
      <c r="R488" s="8"/>
      <c r="S488" s="8"/>
    </row>
    <row r="489" spans="1:19" x14ac:dyDescent="0.25">
      <c r="A489" s="197">
        <f t="shared" si="41"/>
        <v>66</v>
      </c>
      <c r="B489" s="76" t="str">
        <f t="shared" si="42"/>
        <v/>
      </c>
      <c r="C489" s="77" t="str">
        <f>IF(G489&lt;&gt;"",IFERROR(ROUND(VLOOKUP(G489,ProductList!J:AO,32,FALSE),0),""),"")</f>
        <v/>
      </c>
      <c r="D489" s="73" t="str">
        <f>IF(E489&lt;&gt;"",IF(D488&lt;&gt;"",D488,#REF!)+1,"")</f>
        <v/>
      </c>
      <c r="E489" s="73"/>
      <c r="F489" s="73"/>
      <c r="G489" s="122"/>
      <c r="H489" s="104"/>
      <c r="I489" s="73"/>
      <c r="J489" s="73"/>
      <c r="K489" s="202"/>
      <c r="L489" s="75" t="str">
        <f t="shared" si="43"/>
        <v/>
      </c>
      <c r="M489" s="75"/>
      <c r="N489" s="75" t="str">
        <f t="shared" si="44"/>
        <v/>
      </c>
      <c r="O489" s="204" t="str">
        <f t="shared" si="45"/>
        <v/>
      </c>
      <c r="P489" s="8"/>
      <c r="Q489" s="8"/>
      <c r="R489" s="8"/>
      <c r="S489" s="8"/>
    </row>
    <row r="490" spans="1:19" x14ac:dyDescent="0.25">
      <c r="A490" s="197">
        <f t="shared" si="41"/>
        <v>66</v>
      </c>
      <c r="B490" s="76" t="str">
        <f t="shared" si="42"/>
        <v/>
      </c>
      <c r="C490" s="77" t="str">
        <f>IF(G490&lt;&gt;"",IFERROR(ROUND(VLOOKUP(G490,ProductList!J:AO,32,FALSE),0),""),"")</f>
        <v/>
      </c>
      <c r="D490" s="73" t="str">
        <f>IF(E490&lt;&gt;"",IF(D489&lt;&gt;"",D489,#REF!)+1,"")</f>
        <v/>
      </c>
      <c r="E490" s="73"/>
      <c r="F490" s="73"/>
      <c r="G490" s="122"/>
      <c r="H490" s="104"/>
      <c r="I490" s="73"/>
      <c r="J490" s="73"/>
      <c r="K490" s="202"/>
      <c r="L490" s="75" t="str">
        <f t="shared" si="43"/>
        <v/>
      </c>
      <c r="M490" s="75"/>
      <c r="N490" s="75" t="str">
        <f t="shared" si="44"/>
        <v/>
      </c>
      <c r="O490" s="204" t="str">
        <f t="shared" si="45"/>
        <v/>
      </c>
      <c r="P490" s="8"/>
      <c r="Q490" s="8"/>
      <c r="R490" s="8"/>
      <c r="S490" s="8"/>
    </row>
    <row r="491" spans="1:19" x14ac:dyDescent="0.25">
      <c r="A491" s="197">
        <f t="shared" si="41"/>
        <v>66</v>
      </c>
      <c r="B491" s="76" t="str">
        <f t="shared" si="42"/>
        <v/>
      </c>
      <c r="C491" s="77" t="str">
        <f>IF(G491&lt;&gt;"",IFERROR(ROUND(VLOOKUP(G491,ProductList!J:AO,32,FALSE),0),""),"")</f>
        <v/>
      </c>
      <c r="D491" s="73" t="str">
        <f>IF(E491&lt;&gt;"",IF(D490&lt;&gt;"",D490,#REF!)+1,"")</f>
        <v/>
      </c>
      <c r="E491" s="73"/>
      <c r="F491" s="73"/>
      <c r="G491" s="122"/>
      <c r="H491" s="104"/>
      <c r="I491" s="73"/>
      <c r="J491" s="73"/>
      <c r="K491" s="202"/>
      <c r="L491" s="75" t="str">
        <f t="shared" si="43"/>
        <v/>
      </c>
      <c r="M491" s="75"/>
      <c r="N491" s="75" t="str">
        <f t="shared" si="44"/>
        <v/>
      </c>
      <c r="O491" s="204" t="str">
        <f t="shared" si="45"/>
        <v/>
      </c>
      <c r="P491" s="8"/>
      <c r="Q491" s="8"/>
      <c r="R491" s="8"/>
      <c r="S491" s="8"/>
    </row>
    <row r="492" spans="1:19" x14ac:dyDescent="0.25">
      <c r="A492" s="197">
        <f t="shared" si="41"/>
        <v>66</v>
      </c>
      <c r="B492" s="76" t="str">
        <f t="shared" si="42"/>
        <v/>
      </c>
      <c r="C492" s="77" t="str">
        <f>IF(G492&lt;&gt;"",IFERROR(ROUND(VLOOKUP(G492,ProductList!J:AO,32,FALSE),0),""),"")</f>
        <v/>
      </c>
      <c r="D492" s="73" t="str">
        <f>IF(E492&lt;&gt;"",IF(D491&lt;&gt;"",D491,#REF!)+1,"")</f>
        <v/>
      </c>
      <c r="E492" s="73"/>
      <c r="F492" s="73"/>
      <c r="G492" s="122"/>
      <c r="H492" s="104"/>
      <c r="I492" s="73"/>
      <c r="J492" s="73"/>
      <c r="K492" s="202"/>
      <c r="L492" s="75" t="str">
        <f t="shared" si="43"/>
        <v/>
      </c>
      <c r="M492" s="75"/>
      <c r="N492" s="75" t="str">
        <f t="shared" si="44"/>
        <v/>
      </c>
      <c r="O492" s="204" t="str">
        <f t="shared" si="45"/>
        <v/>
      </c>
      <c r="P492" s="8"/>
      <c r="Q492" s="8"/>
      <c r="R492" s="8"/>
      <c r="S492" s="8"/>
    </row>
    <row r="493" spans="1:19" x14ac:dyDescent="0.25">
      <c r="A493" s="197">
        <f t="shared" si="41"/>
        <v>66</v>
      </c>
      <c r="B493" s="76" t="str">
        <f t="shared" si="42"/>
        <v/>
      </c>
      <c r="C493" s="77" t="str">
        <f>IF(G493&lt;&gt;"",IFERROR(ROUND(VLOOKUP(G493,ProductList!J:AO,32,FALSE),0),""),"")</f>
        <v/>
      </c>
      <c r="D493" s="73" t="str">
        <f>IF(E493&lt;&gt;"",IF(D492&lt;&gt;"",D492,#REF!)+1,"")</f>
        <v/>
      </c>
      <c r="E493" s="73"/>
      <c r="F493" s="73"/>
      <c r="G493" s="122"/>
      <c r="H493" s="104"/>
      <c r="I493" s="73"/>
      <c r="J493" s="73"/>
      <c r="K493" s="202"/>
      <c r="L493" s="75" t="str">
        <f t="shared" si="43"/>
        <v/>
      </c>
      <c r="M493" s="75"/>
      <c r="N493" s="75" t="str">
        <f t="shared" si="44"/>
        <v/>
      </c>
      <c r="O493" s="204" t="str">
        <f t="shared" si="45"/>
        <v/>
      </c>
      <c r="P493" s="8"/>
      <c r="Q493" s="8"/>
      <c r="R493" s="8"/>
      <c r="S493" s="8"/>
    </row>
    <row r="494" spans="1:19" x14ac:dyDescent="0.25">
      <c r="A494" s="197">
        <f t="shared" si="41"/>
        <v>66</v>
      </c>
      <c r="B494" s="76" t="str">
        <f t="shared" si="42"/>
        <v/>
      </c>
      <c r="C494" s="77" t="str">
        <f>IF(G494&lt;&gt;"",IFERROR(ROUND(VLOOKUP(G494,ProductList!J:AO,32,FALSE),0),""),"")</f>
        <v/>
      </c>
      <c r="D494" s="73" t="str">
        <f>IF(E494&lt;&gt;"",IF(D493&lt;&gt;"",D493,#REF!)+1,"")</f>
        <v/>
      </c>
      <c r="E494" s="73"/>
      <c r="F494" s="73"/>
      <c r="G494" s="122"/>
      <c r="H494" s="104"/>
      <c r="I494" s="73"/>
      <c r="J494" s="73"/>
      <c r="K494" s="202"/>
      <c r="L494" s="75" t="str">
        <f t="shared" si="43"/>
        <v/>
      </c>
      <c r="M494" s="75"/>
      <c r="N494" s="75" t="str">
        <f t="shared" si="44"/>
        <v/>
      </c>
      <c r="O494" s="204" t="str">
        <f t="shared" si="45"/>
        <v/>
      </c>
      <c r="P494" s="8"/>
      <c r="Q494" s="8"/>
      <c r="R494" s="8"/>
      <c r="S494" s="8"/>
    </row>
    <row r="495" spans="1:19" x14ac:dyDescent="0.25">
      <c r="A495" s="197">
        <f t="shared" si="41"/>
        <v>66</v>
      </c>
      <c r="B495" s="76" t="str">
        <f t="shared" si="42"/>
        <v/>
      </c>
      <c r="C495" s="77" t="str">
        <f>IF(G495&lt;&gt;"",IFERROR(ROUND(VLOOKUP(G495,ProductList!J:AO,32,FALSE),0),""),"")</f>
        <v/>
      </c>
      <c r="D495" s="73" t="str">
        <f>IF(E495&lt;&gt;"",IF(D494&lt;&gt;"",D494,#REF!)+1,"")</f>
        <v/>
      </c>
      <c r="E495" s="73"/>
      <c r="F495" s="73"/>
      <c r="G495" s="122"/>
      <c r="H495" s="104"/>
      <c r="I495" s="73"/>
      <c r="J495" s="73"/>
      <c r="K495" s="202"/>
      <c r="L495" s="75" t="str">
        <f t="shared" si="43"/>
        <v/>
      </c>
      <c r="M495" s="75"/>
      <c r="N495" s="75" t="str">
        <f t="shared" si="44"/>
        <v/>
      </c>
      <c r="O495" s="204" t="str">
        <f t="shared" si="45"/>
        <v/>
      </c>
      <c r="P495" s="8"/>
      <c r="Q495" s="8"/>
      <c r="R495" s="8"/>
      <c r="S495" s="8"/>
    </row>
    <row r="496" spans="1:19" x14ac:dyDescent="0.25">
      <c r="A496" s="197">
        <f t="shared" si="41"/>
        <v>66</v>
      </c>
      <c r="B496" s="76" t="str">
        <f t="shared" si="42"/>
        <v/>
      </c>
      <c r="C496" s="77" t="str">
        <f>IF(G496&lt;&gt;"",IFERROR(ROUND(VLOOKUP(G496,ProductList!J:AO,32,FALSE),0),""),"")</f>
        <v/>
      </c>
      <c r="D496" s="73" t="str">
        <f>IF(E496&lt;&gt;"",IF(D495&lt;&gt;"",D495,#REF!)+1,"")</f>
        <v/>
      </c>
      <c r="E496" s="73"/>
      <c r="F496" s="73"/>
      <c r="G496" s="122"/>
      <c r="H496" s="104"/>
      <c r="I496" s="73"/>
      <c r="J496" s="73"/>
      <c r="K496" s="202"/>
      <c r="L496" s="75" t="str">
        <f t="shared" si="43"/>
        <v/>
      </c>
      <c r="M496" s="75"/>
      <c r="N496" s="75" t="str">
        <f t="shared" si="44"/>
        <v/>
      </c>
      <c r="O496" s="204" t="str">
        <f t="shared" si="45"/>
        <v/>
      </c>
      <c r="P496" s="8"/>
      <c r="Q496" s="8"/>
      <c r="R496" s="8"/>
      <c r="S496" s="8"/>
    </row>
    <row r="497" spans="1:19" x14ac:dyDescent="0.25">
      <c r="A497" s="197">
        <f t="shared" si="41"/>
        <v>66</v>
      </c>
      <c r="B497" s="76" t="str">
        <f t="shared" si="42"/>
        <v/>
      </c>
      <c r="C497" s="77" t="str">
        <f>IF(G497&lt;&gt;"",IFERROR(ROUND(VLOOKUP(G497,ProductList!J:AO,32,FALSE),0),""),"")</f>
        <v/>
      </c>
      <c r="D497" s="73" t="str">
        <f>IF(E497&lt;&gt;"",IF(D496&lt;&gt;"",D496,#REF!)+1,"")</f>
        <v/>
      </c>
      <c r="E497" s="73"/>
      <c r="F497" s="73"/>
      <c r="G497" s="122"/>
      <c r="H497" s="104"/>
      <c r="I497" s="73"/>
      <c r="J497" s="73"/>
      <c r="K497" s="202"/>
      <c r="L497" s="75" t="str">
        <f t="shared" si="43"/>
        <v/>
      </c>
      <c r="M497" s="75"/>
      <c r="N497" s="75" t="str">
        <f t="shared" si="44"/>
        <v/>
      </c>
      <c r="O497" s="204" t="str">
        <f t="shared" si="45"/>
        <v/>
      </c>
      <c r="P497" s="8"/>
      <c r="Q497" s="8"/>
      <c r="R497" s="8"/>
      <c r="S497" s="8"/>
    </row>
    <row r="498" spans="1:19" x14ac:dyDescent="0.25">
      <c r="A498" s="197">
        <f t="shared" si="41"/>
        <v>66</v>
      </c>
      <c r="B498" s="76" t="str">
        <f t="shared" si="42"/>
        <v/>
      </c>
      <c r="C498" s="77" t="str">
        <f>IF(G498&lt;&gt;"",IFERROR(ROUND(VLOOKUP(G498,ProductList!J:AO,32,FALSE),0),""),"")</f>
        <v/>
      </c>
      <c r="D498" s="73" t="str">
        <f>IF(E498&lt;&gt;"",IF(D497&lt;&gt;"",D497,#REF!)+1,"")</f>
        <v/>
      </c>
      <c r="E498" s="73"/>
      <c r="F498" s="73"/>
      <c r="G498" s="122"/>
      <c r="H498" s="104"/>
      <c r="I498" s="73"/>
      <c r="J498" s="73"/>
      <c r="K498" s="202"/>
      <c r="L498" s="75" t="str">
        <f t="shared" si="43"/>
        <v/>
      </c>
      <c r="M498" s="75"/>
      <c r="N498" s="75" t="str">
        <f t="shared" si="44"/>
        <v/>
      </c>
      <c r="O498" s="204" t="str">
        <f t="shared" si="45"/>
        <v/>
      </c>
      <c r="P498" s="8"/>
      <c r="Q498" s="8"/>
      <c r="R498" s="8"/>
      <c r="S498" s="8"/>
    </row>
    <row r="499" spans="1:19" x14ac:dyDescent="0.25">
      <c r="B499" s="12"/>
      <c r="C499" s="12"/>
      <c r="G499" s="123"/>
      <c r="K499" s="12"/>
      <c r="L499" s="12"/>
      <c r="M499" s="12"/>
      <c r="N499" s="12"/>
    </row>
    <row r="500" spans="1:19" x14ac:dyDescent="0.25">
      <c r="B500" s="12"/>
      <c r="C500" s="12"/>
      <c r="G500" s="123"/>
      <c r="K500" s="12"/>
      <c r="L500" s="12"/>
      <c r="M500" s="12"/>
      <c r="N500" s="12"/>
    </row>
    <row r="501" spans="1:19" x14ac:dyDescent="0.25">
      <c r="B501" s="12"/>
      <c r="C501" s="12"/>
      <c r="G501" s="123"/>
      <c r="K501" s="12"/>
      <c r="L501" s="12"/>
      <c r="M501" s="12"/>
      <c r="N501" s="12"/>
    </row>
    <row r="502" spans="1:19" x14ac:dyDescent="0.25">
      <c r="B502" s="12"/>
      <c r="C502" s="12"/>
      <c r="G502" s="123"/>
      <c r="K502" s="12"/>
      <c r="L502" s="12"/>
      <c r="M502" s="12"/>
      <c r="N502" s="12"/>
    </row>
    <row r="503" spans="1:19" x14ac:dyDescent="0.25">
      <c r="B503" s="12"/>
      <c r="C503" s="12"/>
      <c r="G503" s="123"/>
      <c r="K503" s="12"/>
      <c r="L503" s="12"/>
      <c r="M503" s="12"/>
      <c r="N503" s="12"/>
    </row>
    <row r="504" spans="1:19" x14ac:dyDescent="0.25">
      <c r="B504" s="12"/>
      <c r="C504" s="12"/>
      <c r="G504" s="123"/>
      <c r="K504" s="12"/>
      <c r="L504" s="12"/>
      <c r="M504" s="12"/>
      <c r="N504" s="12"/>
    </row>
    <row r="505" spans="1:19" x14ac:dyDescent="0.25">
      <c r="B505" s="12"/>
      <c r="C505" s="12"/>
      <c r="G505" s="123"/>
      <c r="K505" s="12"/>
      <c r="L505" s="12"/>
      <c r="M505" s="12"/>
      <c r="N505" s="12"/>
    </row>
    <row r="506" spans="1:19" x14ac:dyDescent="0.25">
      <c r="B506" s="12"/>
      <c r="C506" s="12"/>
      <c r="G506" s="123"/>
      <c r="K506" s="12"/>
      <c r="L506" s="12"/>
      <c r="M506" s="12"/>
      <c r="N506" s="12"/>
    </row>
  </sheetData>
  <autoFilter ref="D3:L3" xr:uid="{439AFCA4-B088-47D1-A43D-31069236B5F4}"/>
  <mergeCells count="2">
    <mergeCell ref="D1:E1"/>
    <mergeCell ref="D2:J2"/>
  </mergeCells>
  <phoneticPr fontId="9" type="noConversion"/>
  <conditionalFormatting sqref="B4:B498">
    <cfRule type="cellIs" dxfId="12" priority="4" operator="between">
      <formula>0</formula>
      <formula>5</formula>
    </cfRule>
    <cfRule type="cellIs" priority="5" operator="equal">
      <formula>""""""</formula>
    </cfRule>
    <cfRule type="cellIs" dxfId="11" priority="6" operator="greaterThan">
      <formula>5</formula>
    </cfRule>
    <cfRule type="cellIs" dxfId="10" priority="7" operator="lessThan">
      <formula>0</formula>
    </cfRule>
  </conditionalFormatting>
  <conditionalFormatting sqref="K4:K498">
    <cfRule type="expression" dxfId="9" priority="14">
      <formula>$C4&gt;$K4</formula>
    </cfRule>
  </conditionalFormatting>
  <conditionalFormatting sqref="O4:O500">
    <cfRule type="expression" dxfId="8" priority="1">
      <formula>$O4&lt;&gt;$K4</formula>
    </cfRule>
  </conditionalFormatting>
  <pageMargins left="0.25" right="0.25" top="0.75" bottom="0.75" header="0.3" footer="0.3"/>
  <pageSetup paperSize="9" scale="94"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BC22F-AE8A-4FDE-BE53-45B55F502073}">
  <dimension ref="A1:S506"/>
  <sheetViews>
    <sheetView topLeftCell="I1" workbookViewId="0">
      <selection activeCell="U1" sqref="U1:AC1048576"/>
    </sheetView>
  </sheetViews>
  <sheetFormatPr defaultColWidth="9.140625" defaultRowHeight="15" x14ac:dyDescent="0.25"/>
  <cols>
    <col min="1" max="1" width="3.7109375" style="197" customWidth="1"/>
    <col min="2" max="3" width="8.7109375" style="5" customWidth="1"/>
    <col min="4" max="4" width="6.140625" style="14" customWidth="1"/>
    <col min="5" max="6" width="14.7109375" style="15" customWidth="1"/>
    <col min="7" max="7" width="64.28515625" style="124" bestFit="1" customWidth="1"/>
    <col min="8" max="8" width="10.28515625" style="13" customWidth="1"/>
    <col min="9" max="10" width="10.28515625" style="1" customWidth="1"/>
    <col min="11" max="11" width="10.42578125" style="1" customWidth="1"/>
    <col min="12" max="14" width="10.42578125" style="17" customWidth="1"/>
    <col min="15" max="19" width="10.42578125" style="1" customWidth="1"/>
    <col min="20" max="16384" width="9.140625" style="1"/>
  </cols>
  <sheetData>
    <row r="1" spans="1:19" s="14" customFormat="1" x14ac:dyDescent="0.25">
      <c r="A1" s="196"/>
      <c r="D1" s="429" t="s">
        <v>264</v>
      </c>
      <c r="E1" s="429"/>
      <c r="G1" s="13">
        <v>2</v>
      </c>
      <c r="H1" s="13"/>
    </row>
    <row r="2" spans="1:19" x14ac:dyDescent="0.25">
      <c r="B2" s="200"/>
      <c r="C2" s="200"/>
      <c r="D2" s="430" t="s">
        <v>57</v>
      </c>
      <c r="E2" s="431"/>
      <c r="F2" s="431"/>
      <c r="G2" s="431"/>
      <c r="H2" s="431"/>
      <c r="I2" s="431"/>
      <c r="J2" s="432"/>
      <c r="K2" s="200" t="s">
        <v>103</v>
      </c>
      <c r="L2" s="200"/>
      <c r="M2" s="200"/>
      <c r="N2" s="200"/>
      <c r="O2" s="8"/>
      <c r="P2" s="8"/>
      <c r="Q2" s="8"/>
      <c r="R2" s="8"/>
      <c r="S2" s="8"/>
    </row>
    <row r="3" spans="1:19" s="2" customFormat="1" ht="60" x14ac:dyDescent="0.25">
      <c r="A3" s="198"/>
      <c r="B3" s="31" t="s">
        <v>6</v>
      </c>
      <c r="C3" s="31" t="s">
        <v>81</v>
      </c>
      <c r="D3" s="3" t="s">
        <v>21</v>
      </c>
      <c r="E3" s="74" t="s">
        <v>16</v>
      </c>
      <c r="F3" s="74" t="s">
        <v>490</v>
      </c>
      <c r="G3" s="3" t="s">
        <v>0</v>
      </c>
      <c r="H3" s="3" t="s">
        <v>13</v>
      </c>
      <c r="I3" s="3" t="s">
        <v>18</v>
      </c>
      <c r="J3" s="3" t="s">
        <v>12</v>
      </c>
      <c r="K3" s="201" t="s">
        <v>83</v>
      </c>
      <c r="L3" s="31" t="s">
        <v>82</v>
      </c>
      <c r="M3" s="31" t="s">
        <v>275</v>
      </c>
      <c r="N3" s="31" t="s">
        <v>276</v>
      </c>
      <c r="O3" s="3" t="s">
        <v>271</v>
      </c>
      <c r="P3" s="3" t="s">
        <v>82</v>
      </c>
      <c r="Q3" s="3" t="s">
        <v>272</v>
      </c>
      <c r="R3" s="3" t="s">
        <v>273</v>
      </c>
      <c r="S3" s="3" t="s">
        <v>274</v>
      </c>
    </row>
    <row r="4" spans="1:19" s="79" customFormat="1" x14ac:dyDescent="0.25">
      <c r="A4" s="197">
        <v>0</v>
      </c>
      <c r="B4" s="76" t="str">
        <f>IF(AND(L4&lt;&gt;"",F4&lt;&gt;""),ROUND((((L4-F4)*100)/F4),2),"")</f>
        <v/>
      </c>
      <c r="C4" s="77" t="str">
        <f>IF(G4&lt;&gt;"",IFERROR(ROUND(VLOOKUP(G4,ProductList!J:AO,31,FALSE),0),""),"")</f>
        <v/>
      </c>
      <c r="D4" s="78"/>
      <c r="E4" s="78"/>
      <c r="F4" s="78"/>
      <c r="G4" s="121"/>
      <c r="H4" s="103"/>
      <c r="I4" s="78" t="str">
        <f>IF(ProductList!L4&lt;&gt;"",ProductList!L4,"")</f>
        <v/>
      </c>
      <c r="J4" s="78"/>
      <c r="K4" s="202"/>
      <c r="L4" s="75" t="str">
        <f>IF(AND(J4&lt;&gt;"",K4&lt;&gt;""),K4*J4,"")</f>
        <v/>
      </c>
      <c r="M4" s="75"/>
      <c r="N4" s="75"/>
      <c r="O4" s="203"/>
      <c r="P4" s="203"/>
      <c r="Q4" s="203"/>
      <c r="R4" s="203"/>
      <c r="S4" s="203"/>
    </row>
    <row r="5" spans="1:19" x14ac:dyDescent="0.25">
      <c r="A5" s="197">
        <f t="shared" ref="A5:A68" si="0">IF(AND(E5&lt;&gt;""),IF(A4&lt;&gt;"",A4,0)+1,A4)</f>
        <v>0</v>
      </c>
      <c r="B5" s="76" t="str">
        <f>IF(AND(L5&lt;&gt;"",F5&lt;&gt;""),ROUND((((L5-F5)*100)/F5),2),"")</f>
        <v/>
      </c>
      <c r="C5" s="77" t="str">
        <f>IF(G5&lt;&gt;"",IFERROR(ROUND(VLOOKUP(G5,ProductList!J:AO,31,FALSE),0),""),"")</f>
        <v/>
      </c>
      <c r="D5" s="73" t="str">
        <f>IF(E5&lt;&gt;"",IF(D4&lt;&gt;"",D4,A4)+1,"")</f>
        <v/>
      </c>
      <c r="E5" s="73" t="str" cm="1">
        <f t="array" ref="E5">IFERROR(
  _xlfn.SORTBY(
    _xlfn.CHOOSECOLS(
      _xlfn._xlws.FILTER(ProductList!B5:AO493, (ProductList!H5:H493="NO")*(ProductList!B5:B493&lt;&gt;"")*(ProductList!C5:C493=$G$1), ""),
      5,38,9,10,11,23
    ),
    INDEX(
      _xlfn.CHOOSECOLS(
        _xlfn._xlws.FILTER(ProductList!B5:AO493, (ProductList!H5:H493="NO")*(ProductList!B5:B493&lt;&gt;"")*(ProductList!C5:C493=$G$1), ""),
        1
      ),
      ,
    ),
    1
  ),
  ""
)</f>
        <v/>
      </c>
      <c r="F5" s="73"/>
      <c r="G5" s="122"/>
      <c r="H5" s="104"/>
      <c r="I5" s="73"/>
      <c r="J5" s="73"/>
      <c r="K5" s="6"/>
      <c r="L5" s="75" t="str">
        <f>IF(AND(J5&lt;&gt;"",K5&lt;&gt;""),K5*J5,"")</f>
        <v/>
      </c>
      <c r="M5" s="75"/>
      <c r="N5" s="75" t="str">
        <f>IF(AND(M5&lt;&gt;"",J5&lt;&gt;""),M5*J5,"")</f>
        <v/>
      </c>
      <c r="O5" s="204" t="str">
        <f t="shared" ref="O5:O68" si="1">IF(AND(K5&lt;&gt;"",M5&lt;&gt;""),K5-M5,IF(K5&lt;&gt;"",K5,""))</f>
        <v/>
      </c>
      <c r="P5" s="199" t="str">
        <f>IF(AND(O5&lt;&gt;"",J5&lt;&gt;""),O5*J5,"")</f>
        <v/>
      </c>
      <c r="Q5" s="4"/>
      <c r="R5" s="199" t="str">
        <f>IF(AND(Q5&lt;&gt;"",O5&lt;&gt;""),Q5*O5,"")</f>
        <v/>
      </c>
      <c r="S5" s="199" t="str">
        <f>IF(R5&lt;&gt;"",P5-R5,P5)</f>
        <v/>
      </c>
    </row>
    <row r="6" spans="1:19" x14ac:dyDescent="0.25">
      <c r="A6" s="197">
        <f t="shared" si="0"/>
        <v>0</v>
      </c>
      <c r="B6" s="76" t="str">
        <f t="shared" ref="B6:B69" si="2">IF(AND(L6&lt;&gt;"",F6&lt;&gt;""),ROUND((((L6-F6)*100)/F6),2),"")</f>
        <v/>
      </c>
      <c r="C6" s="77" t="str">
        <f>IF(G6&lt;&gt;"",IFERROR(ROUND(VLOOKUP(G6,ProductList!J:AO,31,FALSE),0),""),"")</f>
        <v/>
      </c>
      <c r="D6" s="73" t="str">
        <f>IF(E6&lt;&gt;"",IF(D5&lt;&gt;"",D5,#REF!)+1,"")</f>
        <v/>
      </c>
      <c r="E6" s="73"/>
      <c r="F6" s="73"/>
      <c r="G6" s="122"/>
      <c r="H6" s="104"/>
      <c r="I6" s="73"/>
      <c r="J6" s="73"/>
      <c r="K6" s="6"/>
      <c r="L6" s="75" t="str">
        <f t="shared" ref="L6:L69" si="3">IF(AND(J6&lt;&gt;"",K6&lt;&gt;""),K6*J6,"")</f>
        <v/>
      </c>
      <c r="M6" s="75"/>
      <c r="N6" s="75" t="str">
        <f t="shared" ref="N6:N69" si="4">IF(AND(M6&lt;&gt;"",J6&lt;&gt;""),M6*J6,"")</f>
        <v/>
      </c>
      <c r="O6" s="204" t="str">
        <f t="shared" si="1"/>
        <v/>
      </c>
      <c r="P6" s="199" t="str">
        <f t="shared" ref="P6:P69" si="5">IF(AND(O6&lt;&gt;"",J6&lt;&gt;""),O6*J6,"")</f>
        <v/>
      </c>
      <c r="Q6" s="4"/>
      <c r="R6" s="199" t="str">
        <f t="shared" ref="R6:R69" si="6">IF(AND(Q6&lt;&gt;"",O6&lt;&gt;""),Q6*O6,"")</f>
        <v/>
      </c>
      <c r="S6" s="199" t="str">
        <f>IF(R6&lt;&gt;"",P6-R6,P6)</f>
        <v/>
      </c>
    </row>
    <row r="7" spans="1:19" x14ac:dyDescent="0.25">
      <c r="A7" s="197">
        <f t="shared" si="0"/>
        <v>0</v>
      </c>
      <c r="B7" s="76" t="str">
        <f t="shared" si="2"/>
        <v/>
      </c>
      <c r="C7" s="77" t="str">
        <f>IF(G7&lt;&gt;"",IFERROR(ROUND(VLOOKUP(G7,ProductList!J:AO,31,FALSE),0),""),"")</f>
        <v/>
      </c>
      <c r="D7" s="73" t="str">
        <f>IF(E7&lt;&gt;"",IF(D6&lt;&gt;"",D6,#REF!)+1,"")</f>
        <v/>
      </c>
      <c r="E7" s="73"/>
      <c r="F7" s="73"/>
      <c r="G7" s="122"/>
      <c r="H7" s="104"/>
      <c r="I7" s="73"/>
      <c r="J7" s="73"/>
      <c r="K7" s="6"/>
      <c r="L7" s="75" t="str">
        <f t="shared" si="3"/>
        <v/>
      </c>
      <c r="M7" s="75"/>
      <c r="N7" s="75" t="str">
        <f t="shared" si="4"/>
        <v/>
      </c>
      <c r="O7" s="204" t="str">
        <f t="shared" si="1"/>
        <v/>
      </c>
      <c r="P7" s="199" t="str">
        <f t="shared" si="5"/>
        <v/>
      </c>
      <c r="Q7" s="4"/>
      <c r="R7" s="199" t="str">
        <f t="shared" si="6"/>
        <v/>
      </c>
      <c r="S7" s="199" t="str">
        <f>IF(R7&lt;&gt;"",P7-R7,P7)</f>
        <v/>
      </c>
    </row>
    <row r="8" spans="1:19" x14ac:dyDescent="0.25">
      <c r="A8" s="197">
        <f t="shared" si="0"/>
        <v>0</v>
      </c>
      <c r="B8" s="76" t="str">
        <f t="shared" si="2"/>
        <v/>
      </c>
      <c r="C8" s="77" t="str">
        <f>IF(G8&lt;&gt;"",IFERROR(ROUND(VLOOKUP(G8,ProductList!J:AO,31,FALSE),0),""),"")</f>
        <v/>
      </c>
      <c r="D8" s="73" t="str">
        <f>IF(E8&lt;&gt;"",IF(D7&lt;&gt;"",D7,#REF!)+1,"")</f>
        <v/>
      </c>
      <c r="E8" s="73"/>
      <c r="F8" s="73"/>
      <c r="G8" s="122"/>
      <c r="H8" s="104"/>
      <c r="I8" s="73"/>
      <c r="J8" s="73"/>
      <c r="K8" s="6"/>
      <c r="L8" s="75" t="str">
        <f t="shared" si="3"/>
        <v/>
      </c>
      <c r="M8" s="75"/>
      <c r="N8" s="75" t="str">
        <f t="shared" si="4"/>
        <v/>
      </c>
      <c r="O8" s="204" t="str">
        <f t="shared" si="1"/>
        <v/>
      </c>
      <c r="P8" s="199" t="str">
        <f t="shared" si="5"/>
        <v/>
      </c>
      <c r="Q8" s="4"/>
      <c r="R8" s="199" t="str">
        <f t="shared" si="6"/>
        <v/>
      </c>
      <c r="S8" s="199" t="str">
        <f>IF(R8&lt;&gt;"",P8-R8,P8)</f>
        <v/>
      </c>
    </row>
    <row r="9" spans="1:19" x14ac:dyDescent="0.25">
      <c r="A9" s="197">
        <f t="shared" si="0"/>
        <v>0</v>
      </c>
      <c r="B9" s="76" t="str">
        <f t="shared" si="2"/>
        <v/>
      </c>
      <c r="C9" s="77" t="str">
        <f>IF(G9&lt;&gt;"",IFERROR(ROUND(VLOOKUP(G9,ProductList!J:AO,31,FALSE),0),""),"")</f>
        <v/>
      </c>
      <c r="D9" s="73" t="str">
        <f>IF(E9&lt;&gt;"",IF(D8&lt;&gt;"",D8,#REF!)+1,"")</f>
        <v/>
      </c>
      <c r="E9" s="73"/>
      <c r="F9" s="73"/>
      <c r="G9" s="122"/>
      <c r="H9" s="104"/>
      <c r="I9" s="73"/>
      <c r="J9" s="73"/>
      <c r="K9" s="6"/>
      <c r="L9" s="75" t="str">
        <f t="shared" si="3"/>
        <v/>
      </c>
      <c r="M9" s="75"/>
      <c r="N9" s="75" t="str">
        <f t="shared" si="4"/>
        <v/>
      </c>
      <c r="O9" s="204" t="str">
        <f t="shared" si="1"/>
        <v/>
      </c>
      <c r="P9" s="199" t="str">
        <f t="shared" si="5"/>
        <v/>
      </c>
      <c r="Q9" s="6"/>
      <c r="R9" s="199" t="str">
        <f t="shared" si="6"/>
        <v/>
      </c>
      <c r="S9" s="199" t="str">
        <f>IF(R9&lt;&gt;"",P9-R9,P9)</f>
        <v/>
      </c>
    </row>
    <row r="10" spans="1:19" x14ac:dyDescent="0.25">
      <c r="A10" s="197">
        <f t="shared" si="0"/>
        <v>0</v>
      </c>
      <c r="B10" s="76" t="str">
        <f t="shared" si="2"/>
        <v/>
      </c>
      <c r="C10" s="77" t="str">
        <f>IF(G10&lt;&gt;"",IFERROR(ROUND(VLOOKUP(G10,ProductList!J:AO,31,FALSE),0),""),"")</f>
        <v/>
      </c>
      <c r="D10" s="73" t="str">
        <f>IF(E10&lt;&gt;"",IF(D9&lt;&gt;"",D9,#REF!)+1,"")</f>
        <v/>
      </c>
      <c r="E10" s="73"/>
      <c r="F10" s="73"/>
      <c r="G10" s="122"/>
      <c r="H10" s="104"/>
      <c r="I10" s="73"/>
      <c r="J10" s="73"/>
      <c r="K10" s="6"/>
      <c r="L10" s="75" t="str">
        <f t="shared" si="3"/>
        <v/>
      </c>
      <c r="M10" s="75"/>
      <c r="N10" s="75" t="str">
        <f t="shared" si="4"/>
        <v/>
      </c>
      <c r="O10" s="204" t="str">
        <f t="shared" si="1"/>
        <v/>
      </c>
      <c r="P10" s="199" t="str">
        <f t="shared" si="5"/>
        <v/>
      </c>
      <c r="Q10" s="6"/>
      <c r="R10" s="199" t="str">
        <f t="shared" si="6"/>
        <v/>
      </c>
      <c r="S10" s="199" t="str">
        <f t="shared" ref="S10:S73" si="7">IF(R10&lt;&gt;"",P10-R10,P10)</f>
        <v/>
      </c>
    </row>
    <row r="11" spans="1:19" x14ac:dyDescent="0.25">
      <c r="A11" s="197">
        <f t="shared" si="0"/>
        <v>0</v>
      </c>
      <c r="B11" s="76" t="str">
        <f t="shared" si="2"/>
        <v/>
      </c>
      <c r="C11" s="77" t="str">
        <f>IF(G11&lt;&gt;"",IFERROR(ROUND(VLOOKUP(G11,ProductList!J:AO,31,FALSE),0),""),"")</f>
        <v/>
      </c>
      <c r="D11" s="73" t="str">
        <f>IF(E11&lt;&gt;"",IF(D10&lt;&gt;"",D10,#REF!)+1,"")</f>
        <v/>
      </c>
      <c r="E11" s="73"/>
      <c r="F11" s="73"/>
      <c r="G11" s="122"/>
      <c r="H11" s="104"/>
      <c r="I11" s="73"/>
      <c r="J11" s="73"/>
      <c r="K11" s="6"/>
      <c r="L11" s="75" t="str">
        <f t="shared" si="3"/>
        <v/>
      </c>
      <c r="M11" s="75"/>
      <c r="N11" s="75" t="str">
        <f t="shared" si="4"/>
        <v/>
      </c>
      <c r="O11" s="204" t="str">
        <f t="shared" si="1"/>
        <v/>
      </c>
      <c r="P11" s="199" t="str">
        <f t="shared" si="5"/>
        <v/>
      </c>
      <c r="Q11" s="6"/>
      <c r="R11" s="199" t="str">
        <f t="shared" si="6"/>
        <v/>
      </c>
      <c r="S11" s="199" t="str">
        <f t="shared" si="7"/>
        <v/>
      </c>
    </row>
    <row r="12" spans="1:19" x14ac:dyDescent="0.25">
      <c r="A12" s="197">
        <f t="shared" si="0"/>
        <v>0</v>
      </c>
      <c r="B12" s="76" t="str">
        <f t="shared" si="2"/>
        <v/>
      </c>
      <c r="C12" s="77" t="str">
        <f>IF(G12&lt;&gt;"",IFERROR(ROUND(VLOOKUP(G12,ProductList!J:AO,31,FALSE),0),""),"")</f>
        <v/>
      </c>
      <c r="D12" s="73" t="str">
        <f>IF(E12&lt;&gt;"",IF(D11&lt;&gt;"",D11,#REF!)+1,"")</f>
        <v/>
      </c>
      <c r="E12" s="73"/>
      <c r="F12" s="73"/>
      <c r="G12" s="122"/>
      <c r="H12" s="104"/>
      <c r="I12" s="73"/>
      <c r="J12" s="73"/>
      <c r="K12" s="6"/>
      <c r="L12" s="75" t="str">
        <f t="shared" si="3"/>
        <v/>
      </c>
      <c r="M12" s="75"/>
      <c r="N12" s="75" t="str">
        <f t="shared" si="4"/>
        <v/>
      </c>
      <c r="O12" s="204" t="str">
        <f t="shared" si="1"/>
        <v/>
      </c>
      <c r="P12" s="199" t="str">
        <f t="shared" si="5"/>
        <v/>
      </c>
      <c r="Q12" s="6"/>
      <c r="R12" s="199" t="str">
        <f t="shared" si="6"/>
        <v/>
      </c>
      <c r="S12" s="199" t="str">
        <f t="shared" si="7"/>
        <v/>
      </c>
    </row>
    <row r="13" spans="1:19" x14ac:dyDescent="0.25">
      <c r="A13" s="197">
        <f t="shared" si="0"/>
        <v>0</v>
      </c>
      <c r="B13" s="76" t="str">
        <f t="shared" si="2"/>
        <v/>
      </c>
      <c r="C13" s="77" t="str">
        <f>IF(G13&lt;&gt;"",IFERROR(ROUND(VLOOKUP(G13,ProductList!J:AO,31,FALSE),0),""),"")</f>
        <v/>
      </c>
      <c r="D13" s="73" t="str">
        <f>IF(E13&lt;&gt;"",IF(D12&lt;&gt;"",D12,#REF!)+1,"")</f>
        <v/>
      </c>
      <c r="E13" s="73"/>
      <c r="F13" s="73"/>
      <c r="G13" s="122"/>
      <c r="H13" s="104"/>
      <c r="I13" s="73"/>
      <c r="J13" s="73"/>
      <c r="K13" s="6"/>
      <c r="L13" s="75" t="str">
        <f t="shared" si="3"/>
        <v/>
      </c>
      <c r="M13" s="75"/>
      <c r="N13" s="75" t="str">
        <f t="shared" si="4"/>
        <v/>
      </c>
      <c r="O13" s="204" t="str">
        <f t="shared" si="1"/>
        <v/>
      </c>
      <c r="P13" s="199" t="str">
        <f t="shared" si="5"/>
        <v/>
      </c>
      <c r="Q13" s="4"/>
      <c r="R13" s="199" t="str">
        <f t="shared" si="6"/>
        <v/>
      </c>
      <c r="S13" s="199" t="str">
        <f t="shared" si="7"/>
        <v/>
      </c>
    </row>
    <row r="14" spans="1:19" x14ac:dyDescent="0.25">
      <c r="A14" s="197">
        <f t="shared" si="0"/>
        <v>0</v>
      </c>
      <c r="B14" s="76" t="str">
        <f t="shared" si="2"/>
        <v/>
      </c>
      <c r="C14" s="77" t="str">
        <f>IF(G14&lt;&gt;"",IFERROR(ROUND(VLOOKUP(G14,ProductList!J:AO,31,FALSE),0),""),"")</f>
        <v/>
      </c>
      <c r="D14" s="73" t="str">
        <f>IF(E14&lt;&gt;"",IF(D13&lt;&gt;"",D13,#REF!)+1,"")</f>
        <v/>
      </c>
      <c r="E14" s="73"/>
      <c r="F14" s="73"/>
      <c r="G14" s="122"/>
      <c r="H14" s="104"/>
      <c r="I14" s="73"/>
      <c r="J14" s="73"/>
      <c r="K14" s="6"/>
      <c r="L14" s="75" t="str">
        <f t="shared" si="3"/>
        <v/>
      </c>
      <c r="M14" s="75"/>
      <c r="N14" s="75" t="str">
        <f t="shared" si="4"/>
        <v/>
      </c>
      <c r="O14" s="204" t="str">
        <f t="shared" si="1"/>
        <v/>
      </c>
      <c r="P14" s="199" t="str">
        <f t="shared" si="5"/>
        <v/>
      </c>
      <c r="Q14" s="6"/>
      <c r="R14" s="199" t="str">
        <f t="shared" si="6"/>
        <v/>
      </c>
      <c r="S14" s="199" t="str">
        <f t="shared" si="7"/>
        <v/>
      </c>
    </row>
    <row r="15" spans="1:19" x14ac:dyDescent="0.25">
      <c r="A15" s="197">
        <f t="shared" si="0"/>
        <v>0</v>
      </c>
      <c r="B15" s="76" t="str">
        <f t="shared" si="2"/>
        <v/>
      </c>
      <c r="C15" s="77" t="str">
        <f>IF(G15&lt;&gt;"",IFERROR(ROUND(VLOOKUP(G15,ProductList!J:AO,31,FALSE),0),""),"")</f>
        <v/>
      </c>
      <c r="D15" s="73" t="str">
        <f>IF(E15&lt;&gt;"",IF(D14&lt;&gt;"",D14,#REF!)+1,"")</f>
        <v/>
      </c>
      <c r="E15" s="73"/>
      <c r="F15" s="73"/>
      <c r="G15" s="122"/>
      <c r="H15" s="104"/>
      <c r="I15" s="73"/>
      <c r="J15" s="73"/>
      <c r="K15" s="6"/>
      <c r="L15" s="75" t="str">
        <f t="shared" si="3"/>
        <v/>
      </c>
      <c r="M15" s="75"/>
      <c r="N15" s="75" t="str">
        <f t="shared" si="4"/>
        <v/>
      </c>
      <c r="O15" s="204" t="str">
        <f t="shared" si="1"/>
        <v/>
      </c>
      <c r="P15" s="199" t="str">
        <f t="shared" si="5"/>
        <v/>
      </c>
      <c r="Q15" s="4"/>
      <c r="R15" s="199" t="str">
        <f t="shared" si="6"/>
        <v/>
      </c>
      <c r="S15" s="199" t="str">
        <f t="shared" si="7"/>
        <v/>
      </c>
    </row>
    <row r="16" spans="1:19" x14ac:dyDescent="0.25">
      <c r="A16" s="197">
        <f t="shared" si="0"/>
        <v>0</v>
      </c>
      <c r="B16" s="76" t="str">
        <f t="shared" si="2"/>
        <v/>
      </c>
      <c r="C16" s="77" t="str">
        <f>IF(G16&lt;&gt;"",IFERROR(ROUND(VLOOKUP(G16,ProductList!J:AO,31,FALSE),0),""),"")</f>
        <v/>
      </c>
      <c r="D16" s="73" t="str">
        <f>IF(E16&lt;&gt;"",IF(D15&lt;&gt;"",D15,#REF!)+1,"")</f>
        <v/>
      </c>
      <c r="E16" s="73"/>
      <c r="F16" s="73"/>
      <c r="G16" s="122"/>
      <c r="H16" s="104"/>
      <c r="I16" s="73"/>
      <c r="J16" s="73"/>
      <c r="K16" s="6"/>
      <c r="L16" s="75" t="str">
        <f t="shared" si="3"/>
        <v/>
      </c>
      <c r="M16" s="75"/>
      <c r="N16" s="75" t="str">
        <f t="shared" si="4"/>
        <v/>
      </c>
      <c r="O16" s="204" t="str">
        <f t="shared" si="1"/>
        <v/>
      </c>
      <c r="P16" s="199" t="str">
        <f t="shared" si="5"/>
        <v/>
      </c>
      <c r="Q16" s="4"/>
      <c r="R16" s="199" t="str">
        <f t="shared" si="6"/>
        <v/>
      </c>
      <c r="S16" s="199" t="str">
        <f t="shared" si="7"/>
        <v/>
      </c>
    </row>
    <row r="17" spans="1:19" x14ac:dyDescent="0.25">
      <c r="A17" s="197">
        <f t="shared" si="0"/>
        <v>0</v>
      </c>
      <c r="B17" s="76" t="str">
        <f t="shared" si="2"/>
        <v/>
      </c>
      <c r="C17" s="77" t="str">
        <f>IF(G17&lt;&gt;"",IFERROR(ROUND(VLOOKUP(G17,ProductList!J:AO,31,FALSE),0),""),"")</f>
        <v/>
      </c>
      <c r="D17" s="73" t="str">
        <f>IF(E17&lt;&gt;"",IF(D16&lt;&gt;"",D16,#REF!)+1,"")</f>
        <v/>
      </c>
      <c r="E17" s="73"/>
      <c r="F17" s="73"/>
      <c r="G17" s="122"/>
      <c r="H17" s="104"/>
      <c r="I17" s="73"/>
      <c r="J17" s="73"/>
      <c r="K17" s="6"/>
      <c r="L17" s="75" t="str">
        <f t="shared" si="3"/>
        <v/>
      </c>
      <c r="M17" s="75"/>
      <c r="N17" s="75" t="str">
        <f t="shared" si="4"/>
        <v/>
      </c>
      <c r="O17" s="204" t="str">
        <f t="shared" si="1"/>
        <v/>
      </c>
      <c r="P17" s="199" t="str">
        <f t="shared" si="5"/>
        <v/>
      </c>
      <c r="Q17" s="6"/>
      <c r="R17" s="199" t="str">
        <f t="shared" si="6"/>
        <v/>
      </c>
      <c r="S17" s="199" t="str">
        <f t="shared" si="7"/>
        <v/>
      </c>
    </row>
    <row r="18" spans="1:19" x14ac:dyDescent="0.25">
      <c r="A18" s="197">
        <f t="shared" si="0"/>
        <v>0</v>
      </c>
      <c r="B18" s="76" t="str">
        <f t="shared" si="2"/>
        <v/>
      </c>
      <c r="C18" s="77" t="str">
        <f>IF(G18&lt;&gt;"",IFERROR(ROUND(VLOOKUP(G18,ProductList!J:AO,31,FALSE),0),""),"")</f>
        <v/>
      </c>
      <c r="D18" s="73" t="str">
        <f>IF(E18&lt;&gt;"",IF(D17&lt;&gt;"",D17,#REF!)+1,"")</f>
        <v/>
      </c>
      <c r="E18" s="73"/>
      <c r="F18" s="73"/>
      <c r="G18" s="122"/>
      <c r="H18" s="104"/>
      <c r="I18" s="73"/>
      <c r="J18" s="73"/>
      <c r="K18" s="6"/>
      <c r="L18" s="75" t="str">
        <f t="shared" si="3"/>
        <v/>
      </c>
      <c r="M18" s="75"/>
      <c r="N18" s="75" t="str">
        <f t="shared" si="4"/>
        <v/>
      </c>
      <c r="O18" s="204" t="str">
        <f t="shared" si="1"/>
        <v/>
      </c>
      <c r="P18" s="199" t="str">
        <f t="shared" si="5"/>
        <v/>
      </c>
      <c r="Q18" s="4"/>
      <c r="R18" s="199" t="str">
        <f t="shared" si="6"/>
        <v/>
      </c>
      <c r="S18" s="199" t="str">
        <f t="shared" si="7"/>
        <v/>
      </c>
    </row>
    <row r="19" spans="1:19" x14ac:dyDescent="0.25">
      <c r="A19" s="197">
        <f t="shared" si="0"/>
        <v>0</v>
      </c>
      <c r="B19" s="76" t="str">
        <f t="shared" si="2"/>
        <v/>
      </c>
      <c r="C19" s="77" t="str">
        <f>IF(G19&lt;&gt;"",IFERROR(ROUND(VLOOKUP(G19,ProductList!J:AO,31,FALSE),0),""),"")</f>
        <v/>
      </c>
      <c r="D19" s="73" t="str">
        <f>IF(E19&lt;&gt;"",IF(D18&lt;&gt;"",D18,#REF!)+1,"")</f>
        <v/>
      </c>
      <c r="E19" s="73"/>
      <c r="F19" s="73"/>
      <c r="G19" s="122"/>
      <c r="H19" s="104"/>
      <c r="I19" s="73"/>
      <c r="J19" s="73"/>
      <c r="K19" s="6"/>
      <c r="L19" s="75" t="str">
        <f t="shared" si="3"/>
        <v/>
      </c>
      <c r="M19" s="75"/>
      <c r="N19" s="75" t="str">
        <f t="shared" si="4"/>
        <v/>
      </c>
      <c r="O19" s="204" t="str">
        <f t="shared" si="1"/>
        <v/>
      </c>
      <c r="P19" s="199" t="str">
        <f t="shared" si="5"/>
        <v/>
      </c>
      <c r="Q19" s="6"/>
      <c r="R19" s="199" t="str">
        <f t="shared" si="6"/>
        <v/>
      </c>
      <c r="S19" s="199" t="str">
        <f t="shared" si="7"/>
        <v/>
      </c>
    </row>
    <row r="20" spans="1:19" x14ac:dyDescent="0.25">
      <c r="A20" s="197">
        <f t="shared" si="0"/>
        <v>0</v>
      </c>
      <c r="B20" s="76" t="str">
        <f t="shared" si="2"/>
        <v/>
      </c>
      <c r="C20" s="77" t="str">
        <f>IF(G20&lt;&gt;"",IFERROR(ROUND(VLOOKUP(G20,ProductList!J:AO,31,FALSE),0),""),"")</f>
        <v/>
      </c>
      <c r="D20" s="73" t="str">
        <f>IF(E20&lt;&gt;"",IF(D19&lt;&gt;"",D19,#REF!)+1,"")</f>
        <v/>
      </c>
      <c r="E20" s="73"/>
      <c r="F20" s="73"/>
      <c r="G20" s="122"/>
      <c r="H20" s="104"/>
      <c r="I20" s="73"/>
      <c r="J20" s="73"/>
      <c r="K20" s="6"/>
      <c r="L20" s="75" t="str">
        <f t="shared" si="3"/>
        <v/>
      </c>
      <c r="M20" s="75"/>
      <c r="N20" s="75" t="str">
        <f t="shared" si="4"/>
        <v/>
      </c>
      <c r="O20" s="204" t="str">
        <f t="shared" si="1"/>
        <v/>
      </c>
      <c r="P20" s="199" t="str">
        <f t="shared" si="5"/>
        <v/>
      </c>
      <c r="Q20" s="4"/>
      <c r="R20" s="199" t="str">
        <f t="shared" si="6"/>
        <v/>
      </c>
      <c r="S20" s="199" t="str">
        <f t="shared" si="7"/>
        <v/>
      </c>
    </row>
    <row r="21" spans="1:19" x14ac:dyDescent="0.25">
      <c r="A21" s="197">
        <f t="shared" si="0"/>
        <v>0</v>
      </c>
      <c r="B21" s="76" t="str">
        <f t="shared" si="2"/>
        <v/>
      </c>
      <c r="C21" s="77" t="str">
        <f>IF(G21&lt;&gt;"",IFERROR(ROUND(VLOOKUP(G21,ProductList!J:AO,31,FALSE),0),""),"")</f>
        <v/>
      </c>
      <c r="D21" s="73" t="str">
        <f>IF(E21&lt;&gt;"",IF(D20&lt;&gt;"",D20,#REF!)+1,"")</f>
        <v/>
      </c>
      <c r="E21" s="73"/>
      <c r="F21" s="73"/>
      <c r="G21" s="122"/>
      <c r="H21" s="104"/>
      <c r="I21" s="73"/>
      <c r="J21" s="73"/>
      <c r="K21" s="6"/>
      <c r="L21" s="75" t="str">
        <f t="shared" si="3"/>
        <v/>
      </c>
      <c r="M21" s="75"/>
      <c r="N21" s="75" t="str">
        <f t="shared" si="4"/>
        <v/>
      </c>
      <c r="O21" s="204" t="str">
        <f t="shared" si="1"/>
        <v/>
      </c>
      <c r="P21" s="199" t="str">
        <f t="shared" si="5"/>
        <v/>
      </c>
      <c r="Q21" s="4"/>
      <c r="R21" s="199" t="str">
        <f t="shared" si="6"/>
        <v/>
      </c>
      <c r="S21" s="199" t="str">
        <f t="shared" si="7"/>
        <v/>
      </c>
    </row>
    <row r="22" spans="1:19" x14ac:dyDescent="0.25">
      <c r="A22" s="197">
        <f t="shared" si="0"/>
        <v>0</v>
      </c>
      <c r="B22" s="76" t="str">
        <f t="shared" si="2"/>
        <v/>
      </c>
      <c r="C22" s="77" t="str">
        <f>IF(G22&lt;&gt;"",IFERROR(ROUND(VLOOKUP(G22,ProductList!J:AO,31,FALSE),0),""),"")</f>
        <v/>
      </c>
      <c r="D22" s="73" t="str">
        <f>IF(E22&lt;&gt;"",IF(D21&lt;&gt;"",D21,#REF!)+1,"")</f>
        <v/>
      </c>
      <c r="E22" s="73"/>
      <c r="F22" s="73"/>
      <c r="G22" s="122"/>
      <c r="H22" s="104"/>
      <c r="I22" s="73"/>
      <c r="J22" s="73"/>
      <c r="K22" s="6"/>
      <c r="L22" s="75" t="str">
        <f t="shared" si="3"/>
        <v/>
      </c>
      <c r="M22" s="75"/>
      <c r="N22" s="75" t="str">
        <f t="shared" si="4"/>
        <v/>
      </c>
      <c r="O22" s="204" t="str">
        <f t="shared" si="1"/>
        <v/>
      </c>
      <c r="P22" s="199" t="str">
        <f t="shared" si="5"/>
        <v/>
      </c>
      <c r="Q22" s="4"/>
      <c r="R22" s="199" t="str">
        <f t="shared" si="6"/>
        <v/>
      </c>
      <c r="S22" s="199" t="str">
        <f t="shared" si="7"/>
        <v/>
      </c>
    </row>
    <row r="23" spans="1:19" x14ac:dyDescent="0.25">
      <c r="A23" s="197">
        <f t="shared" si="0"/>
        <v>0</v>
      </c>
      <c r="B23" s="76" t="str">
        <f t="shared" si="2"/>
        <v/>
      </c>
      <c r="C23" s="77" t="str">
        <f>IF(G23&lt;&gt;"",IFERROR(ROUND(VLOOKUP(G23,ProductList!J:AO,31,FALSE),0),""),"")</f>
        <v/>
      </c>
      <c r="D23" s="73" t="str">
        <f>IF(E23&lt;&gt;"",IF(D22&lt;&gt;"",D22,#REF!)+1,"")</f>
        <v/>
      </c>
      <c r="E23" s="73"/>
      <c r="F23" s="73"/>
      <c r="G23" s="122"/>
      <c r="H23" s="104"/>
      <c r="I23" s="73"/>
      <c r="J23" s="73"/>
      <c r="K23" s="6"/>
      <c r="L23" s="75" t="str">
        <f t="shared" si="3"/>
        <v/>
      </c>
      <c r="M23" s="75"/>
      <c r="N23" s="75" t="str">
        <f t="shared" si="4"/>
        <v/>
      </c>
      <c r="O23" s="204" t="str">
        <f t="shared" si="1"/>
        <v/>
      </c>
      <c r="P23" s="199" t="str">
        <f t="shared" si="5"/>
        <v/>
      </c>
      <c r="Q23" s="4"/>
      <c r="R23" s="199" t="str">
        <f t="shared" si="6"/>
        <v/>
      </c>
      <c r="S23" s="199" t="str">
        <f t="shared" si="7"/>
        <v/>
      </c>
    </row>
    <row r="24" spans="1:19" x14ac:dyDescent="0.25">
      <c r="A24" s="197">
        <f t="shared" si="0"/>
        <v>0</v>
      </c>
      <c r="B24" s="76" t="str">
        <f t="shared" si="2"/>
        <v/>
      </c>
      <c r="C24" s="77" t="str">
        <f>IF(G24&lt;&gt;"",IFERROR(ROUND(VLOOKUP(G24,ProductList!J:AO,31,FALSE),0),""),"")</f>
        <v/>
      </c>
      <c r="D24" s="73" t="str">
        <f>IF(E24&lt;&gt;"",IF(D23&lt;&gt;"",D23,#REF!)+1,"")</f>
        <v/>
      </c>
      <c r="E24" s="73"/>
      <c r="F24" s="73"/>
      <c r="G24" s="122"/>
      <c r="H24" s="104"/>
      <c r="I24" s="73"/>
      <c r="J24" s="73"/>
      <c r="K24" s="6"/>
      <c r="L24" s="75" t="str">
        <f t="shared" si="3"/>
        <v/>
      </c>
      <c r="M24" s="75"/>
      <c r="N24" s="75" t="str">
        <f t="shared" si="4"/>
        <v/>
      </c>
      <c r="O24" s="204" t="str">
        <f t="shared" si="1"/>
        <v/>
      </c>
      <c r="P24" s="199" t="str">
        <f t="shared" si="5"/>
        <v/>
      </c>
      <c r="Q24" s="6"/>
      <c r="R24" s="199" t="str">
        <f t="shared" si="6"/>
        <v/>
      </c>
      <c r="S24" s="199" t="str">
        <f t="shared" si="7"/>
        <v/>
      </c>
    </row>
    <row r="25" spans="1:19" x14ac:dyDescent="0.25">
      <c r="A25" s="197">
        <f t="shared" si="0"/>
        <v>0</v>
      </c>
      <c r="B25" s="76" t="str">
        <f t="shared" si="2"/>
        <v/>
      </c>
      <c r="C25" s="77" t="str">
        <f>IF(G25&lt;&gt;"",IFERROR(ROUND(VLOOKUP(G25,ProductList!J:AO,31,FALSE),0),""),"")</f>
        <v/>
      </c>
      <c r="D25" s="73" t="str">
        <f>IF(E25&lt;&gt;"",IF(D24&lt;&gt;"",D24,#REF!)+1,"")</f>
        <v/>
      </c>
      <c r="E25" s="73"/>
      <c r="F25" s="73"/>
      <c r="G25" s="122"/>
      <c r="H25" s="104"/>
      <c r="I25" s="73"/>
      <c r="J25" s="73"/>
      <c r="K25" s="6"/>
      <c r="L25" s="75" t="str">
        <f t="shared" si="3"/>
        <v/>
      </c>
      <c r="M25" s="75"/>
      <c r="N25" s="75" t="str">
        <f t="shared" si="4"/>
        <v/>
      </c>
      <c r="O25" s="204" t="str">
        <f t="shared" si="1"/>
        <v/>
      </c>
      <c r="P25" s="199" t="str">
        <f t="shared" si="5"/>
        <v/>
      </c>
      <c r="Q25" s="6"/>
      <c r="R25" s="199" t="str">
        <f t="shared" si="6"/>
        <v/>
      </c>
      <c r="S25" s="199" t="str">
        <f t="shared" si="7"/>
        <v/>
      </c>
    </row>
    <row r="26" spans="1:19" x14ac:dyDescent="0.25">
      <c r="A26" s="197">
        <f t="shared" si="0"/>
        <v>0</v>
      </c>
      <c r="B26" s="76" t="str">
        <f t="shared" si="2"/>
        <v/>
      </c>
      <c r="C26" s="77" t="str">
        <f>IF(G26&lt;&gt;"",IFERROR(ROUND(VLOOKUP(G26,ProductList!J:AO,31,FALSE),0),""),"")</f>
        <v/>
      </c>
      <c r="D26" s="73" t="str">
        <f>IF(E26&lt;&gt;"",IF(D25&lt;&gt;"",D25,#REF!)+1,"")</f>
        <v/>
      </c>
      <c r="E26" s="73"/>
      <c r="F26" s="73"/>
      <c r="G26" s="122"/>
      <c r="H26" s="104"/>
      <c r="I26" s="73"/>
      <c r="J26" s="73"/>
      <c r="K26" s="6"/>
      <c r="L26" s="75" t="str">
        <f t="shared" si="3"/>
        <v/>
      </c>
      <c r="M26" s="75"/>
      <c r="N26" s="75" t="str">
        <f t="shared" si="4"/>
        <v/>
      </c>
      <c r="O26" s="204" t="str">
        <f t="shared" si="1"/>
        <v/>
      </c>
      <c r="P26" s="199" t="str">
        <f t="shared" si="5"/>
        <v/>
      </c>
      <c r="Q26" s="4"/>
      <c r="R26" s="199" t="str">
        <f t="shared" si="6"/>
        <v/>
      </c>
      <c r="S26" s="199" t="str">
        <f t="shared" si="7"/>
        <v/>
      </c>
    </row>
    <row r="27" spans="1:19" x14ac:dyDescent="0.25">
      <c r="A27" s="197">
        <f t="shared" si="0"/>
        <v>0</v>
      </c>
      <c r="B27" s="76" t="str">
        <f t="shared" si="2"/>
        <v/>
      </c>
      <c r="C27" s="77" t="str">
        <f>IF(G27&lt;&gt;"",IFERROR(ROUND(VLOOKUP(G27,ProductList!J:AO,31,FALSE),0),""),"")</f>
        <v/>
      </c>
      <c r="D27" s="73" t="str">
        <f>IF(E27&lt;&gt;"",IF(D26&lt;&gt;"",D26,#REF!)+1,"")</f>
        <v/>
      </c>
      <c r="E27" s="73"/>
      <c r="F27" s="73"/>
      <c r="G27" s="122"/>
      <c r="H27" s="104"/>
      <c r="I27" s="73"/>
      <c r="J27" s="73"/>
      <c r="K27" s="6"/>
      <c r="L27" s="75" t="str">
        <f t="shared" si="3"/>
        <v/>
      </c>
      <c r="M27" s="75"/>
      <c r="N27" s="75" t="str">
        <f t="shared" si="4"/>
        <v/>
      </c>
      <c r="O27" s="204" t="str">
        <f t="shared" si="1"/>
        <v/>
      </c>
      <c r="P27" s="199" t="str">
        <f t="shared" si="5"/>
        <v/>
      </c>
      <c r="Q27" s="6"/>
      <c r="R27" s="199" t="str">
        <f t="shared" si="6"/>
        <v/>
      </c>
      <c r="S27" s="199" t="str">
        <f t="shared" si="7"/>
        <v/>
      </c>
    </row>
    <row r="28" spans="1:19" x14ac:dyDescent="0.25">
      <c r="A28" s="197">
        <f t="shared" si="0"/>
        <v>0</v>
      </c>
      <c r="B28" s="76" t="str">
        <f t="shared" si="2"/>
        <v/>
      </c>
      <c r="C28" s="77" t="str">
        <f>IF(G28&lt;&gt;"",IFERROR(ROUND(VLOOKUP(G28,ProductList!J:AO,31,FALSE),0),""),"")</f>
        <v/>
      </c>
      <c r="D28" s="73" t="str">
        <f>IF(E28&lt;&gt;"",IF(D27&lt;&gt;"",D27,#REF!)+1,"")</f>
        <v/>
      </c>
      <c r="E28" s="73"/>
      <c r="F28" s="73"/>
      <c r="G28" s="122"/>
      <c r="H28" s="104"/>
      <c r="I28" s="73"/>
      <c r="J28" s="73"/>
      <c r="K28" s="6"/>
      <c r="L28" s="75" t="str">
        <f t="shared" si="3"/>
        <v/>
      </c>
      <c r="M28" s="75"/>
      <c r="N28" s="75" t="str">
        <f t="shared" si="4"/>
        <v/>
      </c>
      <c r="O28" s="204" t="str">
        <f t="shared" si="1"/>
        <v/>
      </c>
      <c r="P28" s="199" t="str">
        <f t="shared" si="5"/>
        <v/>
      </c>
      <c r="Q28" s="4"/>
      <c r="R28" s="199" t="str">
        <f t="shared" si="6"/>
        <v/>
      </c>
      <c r="S28" s="199" t="str">
        <f t="shared" si="7"/>
        <v/>
      </c>
    </row>
    <row r="29" spans="1:19" x14ac:dyDescent="0.25">
      <c r="A29" s="197">
        <f t="shared" si="0"/>
        <v>0</v>
      </c>
      <c r="B29" s="76" t="str">
        <f t="shared" si="2"/>
        <v/>
      </c>
      <c r="C29" s="77" t="str">
        <f>IF(G29&lt;&gt;"",IFERROR(ROUND(VLOOKUP(G29,ProductList!J:AO,31,FALSE),0),""),"")</f>
        <v/>
      </c>
      <c r="D29" s="73" t="str">
        <f>IF(E29&lt;&gt;"",IF(D28&lt;&gt;"",D28,#REF!)+1,"")</f>
        <v/>
      </c>
      <c r="E29" s="73"/>
      <c r="F29" s="73"/>
      <c r="G29" s="122"/>
      <c r="H29" s="104"/>
      <c r="I29" s="73"/>
      <c r="J29" s="73"/>
      <c r="K29" s="6"/>
      <c r="L29" s="75" t="str">
        <f t="shared" si="3"/>
        <v/>
      </c>
      <c r="M29" s="75"/>
      <c r="N29" s="75" t="str">
        <f t="shared" si="4"/>
        <v/>
      </c>
      <c r="O29" s="204" t="str">
        <f t="shared" si="1"/>
        <v/>
      </c>
      <c r="P29" s="199" t="str">
        <f t="shared" si="5"/>
        <v/>
      </c>
      <c r="Q29" s="4"/>
      <c r="R29" s="199" t="str">
        <f t="shared" si="6"/>
        <v/>
      </c>
      <c r="S29" s="199" t="str">
        <f t="shared" si="7"/>
        <v/>
      </c>
    </row>
    <row r="30" spans="1:19" x14ac:dyDescent="0.25">
      <c r="A30" s="197">
        <f t="shared" si="0"/>
        <v>0</v>
      </c>
      <c r="B30" s="76" t="str">
        <f t="shared" si="2"/>
        <v/>
      </c>
      <c r="C30" s="77" t="str">
        <f>IF(G30&lt;&gt;"",IFERROR(ROUND(VLOOKUP(G30,ProductList!J:AO,31,FALSE),0),""),"")</f>
        <v/>
      </c>
      <c r="D30" s="73" t="str">
        <f>IF(E30&lt;&gt;"",IF(D29&lt;&gt;"",D29,#REF!)+1,"")</f>
        <v/>
      </c>
      <c r="E30" s="73"/>
      <c r="F30" s="73"/>
      <c r="G30" s="122"/>
      <c r="H30" s="104"/>
      <c r="I30" s="73"/>
      <c r="J30" s="73"/>
      <c r="K30" s="6"/>
      <c r="L30" s="75" t="str">
        <f t="shared" si="3"/>
        <v/>
      </c>
      <c r="M30" s="75"/>
      <c r="N30" s="75" t="str">
        <f t="shared" si="4"/>
        <v/>
      </c>
      <c r="O30" s="204" t="str">
        <f t="shared" si="1"/>
        <v/>
      </c>
      <c r="P30" s="199" t="str">
        <f t="shared" si="5"/>
        <v/>
      </c>
      <c r="Q30" s="6"/>
      <c r="R30" s="199" t="str">
        <f t="shared" si="6"/>
        <v/>
      </c>
      <c r="S30" s="199" t="str">
        <f t="shared" si="7"/>
        <v/>
      </c>
    </row>
    <row r="31" spans="1:19" x14ac:dyDescent="0.25">
      <c r="A31" s="197">
        <f t="shared" si="0"/>
        <v>0</v>
      </c>
      <c r="B31" s="76" t="str">
        <f t="shared" si="2"/>
        <v/>
      </c>
      <c r="C31" s="77" t="str">
        <f>IF(G31&lt;&gt;"",IFERROR(ROUND(VLOOKUP(G31,ProductList!J:AO,31,FALSE),0),""),"")</f>
        <v/>
      </c>
      <c r="D31" s="73" t="str">
        <f>IF(E31&lt;&gt;"",IF(D30&lt;&gt;"",D30,#REF!)+1,"")</f>
        <v/>
      </c>
      <c r="E31" s="73"/>
      <c r="F31" s="73"/>
      <c r="G31" s="122"/>
      <c r="H31" s="104"/>
      <c r="I31" s="73"/>
      <c r="J31" s="73"/>
      <c r="K31" s="6"/>
      <c r="L31" s="75" t="str">
        <f t="shared" si="3"/>
        <v/>
      </c>
      <c r="M31" s="75"/>
      <c r="N31" s="75" t="str">
        <f t="shared" si="4"/>
        <v/>
      </c>
      <c r="O31" s="204" t="str">
        <f t="shared" si="1"/>
        <v/>
      </c>
      <c r="P31" s="199" t="str">
        <f t="shared" si="5"/>
        <v/>
      </c>
      <c r="Q31" s="6"/>
      <c r="R31" s="199"/>
      <c r="S31" s="199" t="str">
        <f t="shared" si="7"/>
        <v/>
      </c>
    </row>
    <row r="32" spans="1:19" x14ac:dyDescent="0.25">
      <c r="A32" s="197">
        <f t="shared" si="0"/>
        <v>0</v>
      </c>
      <c r="B32" s="76" t="str">
        <f t="shared" si="2"/>
        <v/>
      </c>
      <c r="C32" s="77" t="str">
        <f>IF(G32&lt;&gt;"",IFERROR(ROUND(VLOOKUP(G32,ProductList!J:AO,31,FALSE),0),""),"")</f>
        <v/>
      </c>
      <c r="D32" s="73" t="str">
        <f>IF(E32&lt;&gt;"",IF(D31&lt;&gt;"",D31,#REF!)+1,"")</f>
        <v/>
      </c>
      <c r="E32" s="73"/>
      <c r="F32" s="73"/>
      <c r="G32" s="122"/>
      <c r="H32" s="104"/>
      <c r="I32" s="73"/>
      <c r="J32" s="73"/>
      <c r="K32" s="6"/>
      <c r="L32" s="75" t="str">
        <f t="shared" si="3"/>
        <v/>
      </c>
      <c r="M32" s="75"/>
      <c r="N32" s="75" t="str">
        <f t="shared" si="4"/>
        <v/>
      </c>
      <c r="O32" s="204" t="str">
        <f t="shared" si="1"/>
        <v/>
      </c>
      <c r="P32" s="199" t="str">
        <f t="shared" si="5"/>
        <v/>
      </c>
      <c r="Q32" s="6"/>
      <c r="R32" s="199" t="str">
        <f t="shared" si="6"/>
        <v/>
      </c>
      <c r="S32" s="199" t="str">
        <f t="shared" si="7"/>
        <v/>
      </c>
    </row>
    <row r="33" spans="1:19" x14ac:dyDescent="0.25">
      <c r="A33" s="197">
        <f t="shared" si="0"/>
        <v>0</v>
      </c>
      <c r="B33" s="76" t="str">
        <f t="shared" si="2"/>
        <v/>
      </c>
      <c r="C33" s="77" t="str">
        <f>IF(G33&lt;&gt;"",IFERROR(ROUND(VLOOKUP(G33,ProductList!J:AO,31,FALSE),0),""),"")</f>
        <v/>
      </c>
      <c r="D33" s="73" t="str">
        <f>IF(E33&lt;&gt;"",IF(D32&lt;&gt;"",D32,#REF!)+1,"")</f>
        <v/>
      </c>
      <c r="E33" s="73"/>
      <c r="F33" s="73"/>
      <c r="G33" s="122"/>
      <c r="H33" s="104"/>
      <c r="I33" s="73"/>
      <c r="J33" s="73"/>
      <c r="K33" s="6"/>
      <c r="L33" s="75" t="str">
        <f t="shared" si="3"/>
        <v/>
      </c>
      <c r="M33" s="75"/>
      <c r="N33" s="75" t="str">
        <f t="shared" si="4"/>
        <v/>
      </c>
      <c r="O33" s="204" t="str">
        <f t="shared" si="1"/>
        <v/>
      </c>
      <c r="P33" s="199" t="str">
        <f t="shared" si="5"/>
        <v/>
      </c>
      <c r="Q33" s="6"/>
      <c r="R33" s="199" t="str">
        <f t="shared" si="6"/>
        <v/>
      </c>
      <c r="S33" s="199" t="str">
        <f t="shared" si="7"/>
        <v/>
      </c>
    </row>
    <row r="34" spans="1:19" x14ac:dyDescent="0.25">
      <c r="A34" s="197">
        <f t="shared" si="0"/>
        <v>0</v>
      </c>
      <c r="B34" s="76" t="str">
        <f t="shared" si="2"/>
        <v/>
      </c>
      <c r="C34" s="77" t="str">
        <f>IF(G34&lt;&gt;"",IFERROR(ROUND(VLOOKUP(G34,ProductList!J:AO,31,FALSE),0),""),"")</f>
        <v/>
      </c>
      <c r="D34" s="73" t="str">
        <f>IF(E34&lt;&gt;"",IF(D33&lt;&gt;"",D33,#REF!)+1,"")</f>
        <v/>
      </c>
      <c r="E34" s="73"/>
      <c r="F34" s="73"/>
      <c r="G34" s="122"/>
      <c r="H34" s="104"/>
      <c r="I34" s="73"/>
      <c r="J34" s="73"/>
      <c r="K34" s="6"/>
      <c r="L34" s="75" t="str">
        <f t="shared" si="3"/>
        <v/>
      </c>
      <c r="M34" s="75"/>
      <c r="N34" s="75" t="str">
        <f t="shared" si="4"/>
        <v/>
      </c>
      <c r="O34" s="204" t="str">
        <f t="shared" si="1"/>
        <v/>
      </c>
      <c r="P34" s="199" t="str">
        <f t="shared" si="5"/>
        <v/>
      </c>
      <c r="Q34" s="6"/>
      <c r="R34" s="199" t="str">
        <f t="shared" si="6"/>
        <v/>
      </c>
      <c r="S34" s="199" t="str">
        <f t="shared" si="7"/>
        <v/>
      </c>
    </row>
    <row r="35" spans="1:19" x14ac:dyDescent="0.25">
      <c r="A35" s="197">
        <f t="shared" si="0"/>
        <v>0</v>
      </c>
      <c r="B35" s="76" t="str">
        <f t="shared" si="2"/>
        <v/>
      </c>
      <c r="C35" s="77" t="str">
        <f>IF(G35&lt;&gt;"",IFERROR(ROUND(VLOOKUP(G35,ProductList!J:AO,31,FALSE),0),""),"")</f>
        <v/>
      </c>
      <c r="D35" s="73" t="str">
        <f>IF(E35&lt;&gt;"",IF(D34&lt;&gt;"",D34,#REF!)+1,"")</f>
        <v/>
      </c>
      <c r="E35" s="73"/>
      <c r="F35" s="73"/>
      <c r="G35" s="122"/>
      <c r="H35" s="104"/>
      <c r="I35" s="73"/>
      <c r="J35" s="73"/>
      <c r="K35" s="6"/>
      <c r="L35" s="75" t="str">
        <f t="shared" si="3"/>
        <v/>
      </c>
      <c r="M35" s="75"/>
      <c r="N35" s="75" t="str">
        <f t="shared" si="4"/>
        <v/>
      </c>
      <c r="O35" s="204" t="str">
        <f t="shared" si="1"/>
        <v/>
      </c>
      <c r="P35" s="199" t="str">
        <f t="shared" si="5"/>
        <v/>
      </c>
      <c r="Q35" s="6"/>
      <c r="R35" s="199" t="str">
        <f t="shared" si="6"/>
        <v/>
      </c>
      <c r="S35" s="199" t="str">
        <f t="shared" si="7"/>
        <v/>
      </c>
    </row>
    <row r="36" spans="1:19" x14ac:dyDescent="0.25">
      <c r="A36" s="197">
        <f t="shared" si="0"/>
        <v>0</v>
      </c>
      <c r="B36" s="76" t="str">
        <f t="shared" si="2"/>
        <v/>
      </c>
      <c r="C36" s="77" t="str">
        <f>IF(G36&lt;&gt;"",IFERROR(ROUND(VLOOKUP(G36,ProductList!J:AO,31,FALSE),0),""),"")</f>
        <v/>
      </c>
      <c r="D36" s="73" t="str">
        <f>IF(E36&lt;&gt;"",IF(D35&lt;&gt;"",D35,#REF!)+1,"")</f>
        <v/>
      </c>
      <c r="E36" s="73"/>
      <c r="F36" s="73"/>
      <c r="G36" s="122"/>
      <c r="H36" s="104"/>
      <c r="I36" s="73"/>
      <c r="J36" s="73"/>
      <c r="K36" s="6"/>
      <c r="L36" s="75" t="str">
        <f t="shared" si="3"/>
        <v/>
      </c>
      <c r="M36" s="75"/>
      <c r="N36" s="75" t="str">
        <f t="shared" si="4"/>
        <v/>
      </c>
      <c r="O36" s="204" t="str">
        <f t="shared" si="1"/>
        <v/>
      </c>
      <c r="P36" s="199" t="str">
        <f t="shared" si="5"/>
        <v/>
      </c>
      <c r="Q36" s="4"/>
      <c r="R36" s="199" t="str">
        <f t="shared" si="6"/>
        <v/>
      </c>
      <c r="S36" s="199" t="str">
        <f t="shared" si="7"/>
        <v/>
      </c>
    </row>
    <row r="37" spans="1:19" x14ac:dyDescent="0.25">
      <c r="A37" s="197">
        <f t="shared" si="0"/>
        <v>0</v>
      </c>
      <c r="B37" s="76" t="str">
        <f t="shared" si="2"/>
        <v/>
      </c>
      <c r="C37" s="77" t="str">
        <f>IF(G37&lt;&gt;"",IFERROR(ROUND(VLOOKUP(G37,ProductList!J:AO,31,FALSE),0),""),"")</f>
        <v/>
      </c>
      <c r="D37" s="73" t="str">
        <f>IF(E37&lt;&gt;"",IF(D36&lt;&gt;"",D36,#REF!)+1,"")</f>
        <v/>
      </c>
      <c r="E37" s="73"/>
      <c r="F37" s="73"/>
      <c r="G37" s="122"/>
      <c r="H37" s="104"/>
      <c r="I37" s="73"/>
      <c r="J37" s="73"/>
      <c r="K37" s="6"/>
      <c r="L37" s="75" t="str">
        <f t="shared" si="3"/>
        <v/>
      </c>
      <c r="M37" s="75"/>
      <c r="N37" s="75" t="str">
        <f t="shared" si="4"/>
        <v/>
      </c>
      <c r="O37" s="204" t="str">
        <f t="shared" si="1"/>
        <v/>
      </c>
      <c r="P37" s="199" t="str">
        <f t="shared" si="5"/>
        <v/>
      </c>
      <c r="Q37" s="4"/>
      <c r="R37" s="199" t="str">
        <f t="shared" si="6"/>
        <v/>
      </c>
      <c r="S37" s="199" t="str">
        <f t="shared" si="7"/>
        <v/>
      </c>
    </row>
    <row r="38" spans="1:19" x14ac:dyDescent="0.25">
      <c r="A38" s="197">
        <f t="shared" si="0"/>
        <v>0</v>
      </c>
      <c r="B38" s="76" t="str">
        <f t="shared" si="2"/>
        <v/>
      </c>
      <c r="C38" s="77" t="str">
        <f>IF(G38&lt;&gt;"",IFERROR(ROUND(VLOOKUP(G38,ProductList!J:AO,31,FALSE),0),""),"")</f>
        <v/>
      </c>
      <c r="D38" s="73" t="str">
        <f>IF(E38&lt;&gt;"",IF(D37&lt;&gt;"",D37,#REF!)+1,"")</f>
        <v/>
      </c>
      <c r="E38" s="73"/>
      <c r="F38" s="73"/>
      <c r="G38" s="122"/>
      <c r="H38" s="104"/>
      <c r="I38" s="73"/>
      <c r="J38" s="73"/>
      <c r="K38" s="6"/>
      <c r="L38" s="75" t="str">
        <f t="shared" si="3"/>
        <v/>
      </c>
      <c r="M38" s="75"/>
      <c r="N38" s="75" t="str">
        <f t="shared" si="4"/>
        <v/>
      </c>
      <c r="O38" s="204" t="str">
        <f t="shared" si="1"/>
        <v/>
      </c>
      <c r="P38" s="199" t="str">
        <f t="shared" si="5"/>
        <v/>
      </c>
      <c r="Q38" s="4"/>
      <c r="R38" s="199" t="str">
        <f t="shared" si="6"/>
        <v/>
      </c>
      <c r="S38" s="199" t="str">
        <f t="shared" si="7"/>
        <v/>
      </c>
    </row>
    <row r="39" spans="1:19" x14ac:dyDescent="0.25">
      <c r="A39" s="197">
        <f t="shared" si="0"/>
        <v>0</v>
      </c>
      <c r="B39" s="76" t="str">
        <f t="shared" si="2"/>
        <v/>
      </c>
      <c r="C39" s="77" t="str">
        <f>IF(G39&lt;&gt;"",IFERROR(ROUND(VLOOKUP(G39,ProductList!J:AO,31,FALSE),0),""),"")</f>
        <v/>
      </c>
      <c r="D39" s="73" t="str">
        <f>IF(E39&lt;&gt;"",IF(D38&lt;&gt;"",D38,#REF!)+1,"")</f>
        <v/>
      </c>
      <c r="E39" s="73"/>
      <c r="F39" s="73"/>
      <c r="G39" s="122"/>
      <c r="H39" s="104"/>
      <c r="I39" s="73"/>
      <c r="J39" s="73"/>
      <c r="K39" s="6"/>
      <c r="L39" s="75" t="str">
        <f t="shared" si="3"/>
        <v/>
      </c>
      <c r="M39" s="75"/>
      <c r="N39" s="75" t="str">
        <f t="shared" si="4"/>
        <v/>
      </c>
      <c r="O39" s="204" t="str">
        <f t="shared" si="1"/>
        <v/>
      </c>
      <c r="P39" s="199" t="str">
        <f t="shared" si="5"/>
        <v/>
      </c>
      <c r="Q39" s="4"/>
      <c r="R39" s="199" t="str">
        <f t="shared" si="6"/>
        <v/>
      </c>
      <c r="S39" s="199" t="str">
        <f t="shared" si="7"/>
        <v/>
      </c>
    </row>
    <row r="40" spans="1:19" x14ac:dyDescent="0.25">
      <c r="A40" s="197">
        <f t="shared" si="0"/>
        <v>0</v>
      </c>
      <c r="B40" s="76" t="str">
        <f t="shared" si="2"/>
        <v/>
      </c>
      <c r="C40" s="77" t="str">
        <f>IF(G40&lt;&gt;"",IFERROR(ROUND(VLOOKUP(G40,ProductList!J:AO,31,FALSE),0),""),"")</f>
        <v/>
      </c>
      <c r="D40" s="73" t="str">
        <f>IF(E40&lt;&gt;"",IF(D39&lt;&gt;"",D39,#REF!)+1,"")</f>
        <v/>
      </c>
      <c r="E40" s="73"/>
      <c r="F40" s="73"/>
      <c r="G40" s="122"/>
      <c r="H40" s="104"/>
      <c r="I40" s="73"/>
      <c r="J40" s="73"/>
      <c r="K40" s="6"/>
      <c r="L40" s="75" t="str">
        <f t="shared" si="3"/>
        <v/>
      </c>
      <c r="M40" s="75"/>
      <c r="N40" s="75" t="str">
        <f t="shared" si="4"/>
        <v/>
      </c>
      <c r="O40" s="204" t="str">
        <f t="shared" si="1"/>
        <v/>
      </c>
      <c r="P40" s="199" t="str">
        <f t="shared" si="5"/>
        <v/>
      </c>
      <c r="Q40" s="4"/>
      <c r="R40" s="199" t="str">
        <f t="shared" si="6"/>
        <v/>
      </c>
      <c r="S40" s="199" t="str">
        <f t="shared" si="7"/>
        <v/>
      </c>
    </row>
    <row r="41" spans="1:19" x14ac:dyDescent="0.25">
      <c r="A41" s="197">
        <f t="shared" si="0"/>
        <v>0</v>
      </c>
      <c r="B41" s="76" t="str">
        <f t="shared" si="2"/>
        <v/>
      </c>
      <c r="C41" s="77" t="str">
        <f>IF(G41&lt;&gt;"",IFERROR(ROUND(VLOOKUP(G41,ProductList!J:AO,31,FALSE),0),""),"")</f>
        <v/>
      </c>
      <c r="D41" s="73" t="str">
        <f>IF(E41&lt;&gt;"",IF(D40&lt;&gt;"",D40,#REF!)+1,"")</f>
        <v/>
      </c>
      <c r="E41" s="73"/>
      <c r="F41" s="73"/>
      <c r="G41" s="122"/>
      <c r="H41" s="104"/>
      <c r="I41" s="73"/>
      <c r="J41" s="73"/>
      <c r="K41" s="6"/>
      <c r="L41" s="75" t="str">
        <f t="shared" si="3"/>
        <v/>
      </c>
      <c r="M41" s="75"/>
      <c r="N41" s="75" t="str">
        <f t="shared" si="4"/>
        <v/>
      </c>
      <c r="O41" s="204" t="str">
        <f t="shared" si="1"/>
        <v/>
      </c>
      <c r="P41" s="199" t="str">
        <f t="shared" si="5"/>
        <v/>
      </c>
      <c r="Q41" s="6"/>
      <c r="R41" s="199" t="str">
        <f t="shared" si="6"/>
        <v/>
      </c>
      <c r="S41" s="199" t="str">
        <f t="shared" si="7"/>
        <v/>
      </c>
    </row>
    <row r="42" spans="1:19" x14ac:dyDescent="0.25">
      <c r="A42" s="197">
        <f t="shared" si="0"/>
        <v>0</v>
      </c>
      <c r="B42" s="76" t="str">
        <f t="shared" si="2"/>
        <v/>
      </c>
      <c r="C42" s="77" t="str">
        <f>IF(G42&lt;&gt;"",IFERROR(ROUND(VLOOKUP(G42,ProductList!J:AO,31,FALSE),0),""),"")</f>
        <v/>
      </c>
      <c r="D42" s="73" t="str">
        <f>IF(E42&lt;&gt;"",IF(D41&lt;&gt;"",D41,#REF!)+1,"")</f>
        <v/>
      </c>
      <c r="E42" s="73"/>
      <c r="F42" s="73"/>
      <c r="G42" s="122"/>
      <c r="H42" s="104"/>
      <c r="I42" s="73"/>
      <c r="J42" s="73"/>
      <c r="K42" s="6"/>
      <c r="L42" s="75" t="str">
        <f t="shared" si="3"/>
        <v/>
      </c>
      <c r="M42" s="75"/>
      <c r="N42" s="75" t="str">
        <f t="shared" si="4"/>
        <v/>
      </c>
      <c r="O42" s="204" t="str">
        <f t="shared" si="1"/>
        <v/>
      </c>
      <c r="P42" s="199" t="str">
        <f t="shared" si="5"/>
        <v/>
      </c>
      <c r="Q42" s="6"/>
      <c r="R42" s="199" t="str">
        <f t="shared" si="6"/>
        <v/>
      </c>
      <c r="S42" s="199" t="str">
        <f t="shared" si="7"/>
        <v/>
      </c>
    </row>
    <row r="43" spans="1:19" x14ac:dyDescent="0.25">
      <c r="A43" s="197">
        <f t="shared" si="0"/>
        <v>0</v>
      </c>
      <c r="B43" s="76" t="str">
        <f t="shared" si="2"/>
        <v/>
      </c>
      <c r="C43" s="77" t="str">
        <f>IF(G43&lt;&gt;"",IFERROR(ROUND(VLOOKUP(G43,ProductList!J:AO,31,FALSE),0),""),"")</f>
        <v/>
      </c>
      <c r="D43" s="73" t="str">
        <f>IF(E43&lt;&gt;"",IF(D42&lt;&gt;"",D42,#REF!)+1,"")</f>
        <v/>
      </c>
      <c r="E43" s="73"/>
      <c r="F43" s="73"/>
      <c r="G43" s="122"/>
      <c r="H43" s="104"/>
      <c r="I43" s="73"/>
      <c r="J43" s="73"/>
      <c r="K43" s="6"/>
      <c r="L43" s="75" t="str">
        <f t="shared" si="3"/>
        <v/>
      </c>
      <c r="M43" s="75"/>
      <c r="N43" s="75" t="str">
        <f t="shared" si="4"/>
        <v/>
      </c>
      <c r="O43" s="204" t="str">
        <f t="shared" si="1"/>
        <v/>
      </c>
      <c r="P43" s="199" t="str">
        <f t="shared" si="5"/>
        <v/>
      </c>
      <c r="Q43" s="6"/>
      <c r="R43" s="199" t="str">
        <f t="shared" si="6"/>
        <v/>
      </c>
      <c r="S43" s="199" t="str">
        <f t="shared" si="7"/>
        <v/>
      </c>
    </row>
    <row r="44" spans="1:19" x14ac:dyDescent="0.25">
      <c r="A44" s="197">
        <f t="shared" si="0"/>
        <v>0</v>
      </c>
      <c r="B44" s="76" t="str">
        <f t="shared" si="2"/>
        <v/>
      </c>
      <c r="C44" s="77" t="str">
        <f>IF(G44&lt;&gt;"",IFERROR(ROUND(VLOOKUP(G44,ProductList!J:AO,31,FALSE),0),""),"")</f>
        <v/>
      </c>
      <c r="D44" s="73" t="str">
        <f>IF(E44&lt;&gt;"",IF(D43&lt;&gt;"",D43,#REF!)+1,"")</f>
        <v/>
      </c>
      <c r="E44" s="73"/>
      <c r="F44" s="73"/>
      <c r="G44" s="122"/>
      <c r="H44" s="104"/>
      <c r="I44" s="73"/>
      <c r="J44" s="73"/>
      <c r="K44" s="6"/>
      <c r="L44" s="75" t="str">
        <f t="shared" si="3"/>
        <v/>
      </c>
      <c r="M44" s="75"/>
      <c r="N44" s="75" t="str">
        <f t="shared" si="4"/>
        <v/>
      </c>
      <c r="O44" s="204" t="str">
        <f t="shared" si="1"/>
        <v/>
      </c>
      <c r="P44" s="199" t="str">
        <f t="shared" si="5"/>
        <v/>
      </c>
      <c r="Q44" s="4"/>
      <c r="R44" s="199" t="str">
        <f t="shared" si="6"/>
        <v/>
      </c>
      <c r="S44" s="199" t="str">
        <f t="shared" si="7"/>
        <v/>
      </c>
    </row>
    <row r="45" spans="1:19" x14ac:dyDescent="0.25">
      <c r="A45" s="197">
        <f t="shared" si="0"/>
        <v>0</v>
      </c>
      <c r="B45" s="76" t="str">
        <f t="shared" si="2"/>
        <v/>
      </c>
      <c r="C45" s="77" t="str">
        <f>IF(G45&lt;&gt;"",IFERROR(ROUND(VLOOKUP(G45,ProductList!J:AO,31,FALSE),0),""),"")</f>
        <v/>
      </c>
      <c r="D45" s="73" t="str">
        <f>IF(E45&lt;&gt;"",IF(D44&lt;&gt;"",D44,#REF!)+1,"")</f>
        <v/>
      </c>
      <c r="E45" s="73"/>
      <c r="F45" s="73"/>
      <c r="G45" s="122"/>
      <c r="H45" s="104"/>
      <c r="I45" s="73"/>
      <c r="J45" s="73"/>
      <c r="K45" s="6"/>
      <c r="L45" s="75" t="str">
        <f t="shared" si="3"/>
        <v/>
      </c>
      <c r="M45" s="75"/>
      <c r="N45" s="75" t="str">
        <f t="shared" si="4"/>
        <v/>
      </c>
      <c r="O45" s="204" t="str">
        <f t="shared" si="1"/>
        <v/>
      </c>
      <c r="P45" s="199" t="str">
        <f t="shared" si="5"/>
        <v/>
      </c>
      <c r="Q45" s="4"/>
      <c r="R45" s="199" t="str">
        <f t="shared" si="6"/>
        <v/>
      </c>
      <c r="S45" s="199" t="str">
        <f t="shared" si="7"/>
        <v/>
      </c>
    </row>
    <row r="46" spans="1:19" x14ac:dyDescent="0.25">
      <c r="A46" s="197">
        <f t="shared" si="0"/>
        <v>0</v>
      </c>
      <c r="B46" s="76" t="str">
        <f t="shared" si="2"/>
        <v/>
      </c>
      <c r="C46" s="77" t="str">
        <f>IF(G46&lt;&gt;"",IFERROR(ROUND(VLOOKUP(G46,ProductList!J:AO,31,FALSE),0),""),"")</f>
        <v/>
      </c>
      <c r="D46" s="73" t="str">
        <f>IF(E46&lt;&gt;"",IF(D45&lt;&gt;"",D45,#REF!)+1,"")</f>
        <v/>
      </c>
      <c r="E46" s="73"/>
      <c r="F46" s="73"/>
      <c r="G46" s="122"/>
      <c r="H46" s="104"/>
      <c r="I46" s="73"/>
      <c r="J46" s="73"/>
      <c r="K46" s="6"/>
      <c r="L46" s="75" t="str">
        <f t="shared" si="3"/>
        <v/>
      </c>
      <c r="M46" s="75"/>
      <c r="N46" s="75" t="str">
        <f t="shared" si="4"/>
        <v/>
      </c>
      <c r="O46" s="204" t="str">
        <f t="shared" si="1"/>
        <v/>
      </c>
      <c r="P46" s="199" t="str">
        <f t="shared" si="5"/>
        <v/>
      </c>
      <c r="Q46" s="4"/>
      <c r="R46" s="199" t="str">
        <f t="shared" si="6"/>
        <v/>
      </c>
      <c r="S46" s="199" t="str">
        <f t="shared" si="7"/>
        <v/>
      </c>
    </row>
    <row r="47" spans="1:19" x14ac:dyDescent="0.25">
      <c r="A47" s="197">
        <f t="shared" si="0"/>
        <v>0</v>
      </c>
      <c r="B47" s="76" t="str">
        <f t="shared" si="2"/>
        <v/>
      </c>
      <c r="C47" s="77" t="str">
        <f>IF(G47&lt;&gt;"",IFERROR(ROUND(VLOOKUP(G47,ProductList!J:AO,31,FALSE),0),""),"")</f>
        <v/>
      </c>
      <c r="D47" s="73" t="str">
        <f>IF(E47&lt;&gt;"",IF(D46&lt;&gt;"",D46,#REF!)+1,"")</f>
        <v/>
      </c>
      <c r="E47" s="73"/>
      <c r="F47" s="73"/>
      <c r="G47" s="122"/>
      <c r="H47" s="104"/>
      <c r="I47" s="73"/>
      <c r="J47" s="73"/>
      <c r="K47" s="6"/>
      <c r="L47" s="75" t="str">
        <f t="shared" si="3"/>
        <v/>
      </c>
      <c r="M47" s="75"/>
      <c r="N47" s="75" t="str">
        <f t="shared" si="4"/>
        <v/>
      </c>
      <c r="O47" s="204" t="str">
        <f t="shared" si="1"/>
        <v/>
      </c>
      <c r="P47" s="199" t="str">
        <f t="shared" si="5"/>
        <v/>
      </c>
      <c r="Q47" s="6"/>
      <c r="R47" s="199" t="str">
        <f t="shared" si="6"/>
        <v/>
      </c>
      <c r="S47" s="199" t="str">
        <f t="shared" si="7"/>
        <v/>
      </c>
    </row>
    <row r="48" spans="1:19" x14ac:dyDescent="0.25">
      <c r="A48" s="197">
        <f t="shared" si="0"/>
        <v>0</v>
      </c>
      <c r="B48" s="76" t="str">
        <f t="shared" si="2"/>
        <v/>
      </c>
      <c r="C48" s="77" t="str">
        <f>IF(G48&lt;&gt;"",IFERROR(ROUND(VLOOKUP(G48,ProductList!J:AO,31,FALSE),0),""),"")</f>
        <v/>
      </c>
      <c r="D48" s="73" t="str">
        <f>IF(E48&lt;&gt;"",IF(D47&lt;&gt;"",D47,#REF!)+1,"")</f>
        <v/>
      </c>
      <c r="E48" s="73"/>
      <c r="F48" s="73"/>
      <c r="G48" s="122"/>
      <c r="H48" s="104"/>
      <c r="I48" s="73"/>
      <c r="J48" s="73"/>
      <c r="K48" s="6"/>
      <c r="L48" s="75" t="str">
        <f t="shared" si="3"/>
        <v/>
      </c>
      <c r="M48" s="75"/>
      <c r="N48" s="75" t="str">
        <f t="shared" si="4"/>
        <v/>
      </c>
      <c r="O48" s="204" t="str">
        <f t="shared" si="1"/>
        <v/>
      </c>
      <c r="P48" s="199" t="str">
        <f t="shared" si="5"/>
        <v/>
      </c>
      <c r="Q48" s="6"/>
      <c r="R48" s="199" t="str">
        <f t="shared" si="6"/>
        <v/>
      </c>
      <c r="S48" s="199" t="str">
        <f t="shared" si="7"/>
        <v/>
      </c>
    </row>
    <row r="49" spans="1:19" x14ac:dyDescent="0.25">
      <c r="A49" s="197">
        <f t="shared" si="0"/>
        <v>0</v>
      </c>
      <c r="B49" s="76" t="str">
        <f t="shared" si="2"/>
        <v/>
      </c>
      <c r="C49" s="77" t="str">
        <f>IF(G49&lt;&gt;"",IFERROR(ROUND(VLOOKUP(G49,ProductList!J:AO,31,FALSE),0),""),"")</f>
        <v/>
      </c>
      <c r="D49" s="73" t="str">
        <f>IF(E49&lt;&gt;"",IF(D48&lt;&gt;"",D48,#REF!)+1,"")</f>
        <v/>
      </c>
      <c r="E49" s="73"/>
      <c r="F49" s="73"/>
      <c r="G49" s="122"/>
      <c r="H49" s="104"/>
      <c r="I49" s="73"/>
      <c r="J49" s="73"/>
      <c r="K49" s="6"/>
      <c r="L49" s="75" t="str">
        <f t="shared" si="3"/>
        <v/>
      </c>
      <c r="M49" s="75"/>
      <c r="N49" s="75" t="str">
        <f t="shared" si="4"/>
        <v/>
      </c>
      <c r="O49" s="204" t="str">
        <f t="shared" si="1"/>
        <v/>
      </c>
      <c r="P49" s="199" t="str">
        <f t="shared" si="5"/>
        <v/>
      </c>
      <c r="Q49" s="6"/>
      <c r="R49" s="199" t="str">
        <f t="shared" si="6"/>
        <v/>
      </c>
      <c r="S49" s="199" t="str">
        <f t="shared" si="7"/>
        <v/>
      </c>
    </row>
    <row r="50" spans="1:19" x14ac:dyDescent="0.25">
      <c r="A50" s="197">
        <f t="shared" si="0"/>
        <v>0</v>
      </c>
      <c r="B50" s="76" t="str">
        <f t="shared" si="2"/>
        <v/>
      </c>
      <c r="C50" s="77" t="str">
        <f>IF(G50&lt;&gt;"",IFERROR(ROUND(VLOOKUP(G50,ProductList!J:AO,31,FALSE),0),""),"")</f>
        <v/>
      </c>
      <c r="D50" s="73" t="str">
        <f>IF(E50&lt;&gt;"",IF(D49&lt;&gt;"",D49,#REF!)+1,"")</f>
        <v/>
      </c>
      <c r="E50" s="73"/>
      <c r="F50" s="73"/>
      <c r="G50" s="122"/>
      <c r="H50" s="104"/>
      <c r="I50" s="73"/>
      <c r="J50" s="73"/>
      <c r="K50" s="6"/>
      <c r="L50" s="75" t="str">
        <f t="shared" si="3"/>
        <v/>
      </c>
      <c r="M50" s="75"/>
      <c r="N50" s="75" t="str">
        <f t="shared" si="4"/>
        <v/>
      </c>
      <c r="O50" s="204" t="str">
        <f t="shared" si="1"/>
        <v/>
      </c>
      <c r="P50" s="199" t="str">
        <f t="shared" si="5"/>
        <v/>
      </c>
      <c r="Q50" s="4"/>
      <c r="R50" s="199" t="str">
        <f t="shared" si="6"/>
        <v/>
      </c>
      <c r="S50" s="199" t="str">
        <f t="shared" si="7"/>
        <v/>
      </c>
    </row>
    <row r="51" spans="1:19" x14ac:dyDescent="0.25">
      <c r="A51" s="197">
        <f t="shared" si="0"/>
        <v>0</v>
      </c>
      <c r="B51" s="76" t="str">
        <f t="shared" si="2"/>
        <v/>
      </c>
      <c r="C51" s="77" t="str">
        <f>IF(G51&lt;&gt;"",IFERROR(ROUND(VLOOKUP(G51,ProductList!J:AO,31,FALSE),0),""),"")</f>
        <v/>
      </c>
      <c r="D51" s="73" t="str">
        <f>IF(E51&lt;&gt;"",IF(D50&lt;&gt;"",D50,#REF!)+1,"")</f>
        <v/>
      </c>
      <c r="E51" s="73"/>
      <c r="F51" s="73"/>
      <c r="G51" s="122"/>
      <c r="H51" s="104"/>
      <c r="I51" s="73"/>
      <c r="J51" s="73"/>
      <c r="K51" s="6"/>
      <c r="L51" s="75" t="str">
        <f t="shared" si="3"/>
        <v/>
      </c>
      <c r="M51" s="75"/>
      <c r="N51" s="75" t="str">
        <f t="shared" si="4"/>
        <v/>
      </c>
      <c r="O51" s="204" t="str">
        <f t="shared" si="1"/>
        <v/>
      </c>
      <c r="P51" s="199" t="str">
        <f t="shared" si="5"/>
        <v/>
      </c>
      <c r="Q51" s="6"/>
      <c r="R51" s="199" t="str">
        <f t="shared" si="6"/>
        <v/>
      </c>
      <c r="S51" s="199" t="str">
        <f t="shared" si="7"/>
        <v/>
      </c>
    </row>
    <row r="52" spans="1:19" x14ac:dyDescent="0.25">
      <c r="A52" s="197">
        <f t="shared" si="0"/>
        <v>0</v>
      </c>
      <c r="B52" s="76" t="str">
        <f t="shared" si="2"/>
        <v/>
      </c>
      <c r="C52" s="77" t="str">
        <f>IF(G52&lt;&gt;"",IFERROR(ROUND(VLOOKUP(G52,ProductList!J:AO,31,FALSE),0),""),"")</f>
        <v/>
      </c>
      <c r="D52" s="73" t="str">
        <f>IF(E52&lt;&gt;"",IF(D51&lt;&gt;"",D51,#REF!)+1,"")</f>
        <v/>
      </c>
      <c r="E52" s="73"/>
      <c r="F52" s="73"/>
      <c r="G52" s="122"/>
      <c r="H52" s="104"/>
      <c r="I52" s="73"/>
      <c r="J52" s="73"/>
      <c r="K52" s="6"/>
      <c r="L52" s="75" t="str">
        <f t="shared" si="3"/>
        <v/>
      </c>
      <c r="M52" s="75"/>
      <c r="N52" s="75" t="str">
        <f t="shared" si="4"/>
        <v/>
      </c>
      <c r="O52" s="204" t="str">
        <f t="shared" si="1"/>
        <v/>
      </c>
      <c r="P52" s="199" t="str">
        <f t="shared" si="5"/>
        <v/>
      </c>
      <c r="Q52" s="6"/>
      <c r="R52" s="199" t="str">
        <f t="shared" si="6"/>
        <v/>
      </c>
      <c r="S52" s="199" t="str">
        <f t="shared" si="7"/>
        <v/>
      </c>
    </row>
    <row r="53" spans="1:19" x14ac:dyDescent="0.25">
      <c r="A53" s="197">
        <f t="shared" si="0"/>
        <v>0</v>
      </c>
      <c r="B53" s="76" t="str">
        <f t="shared" si="2"/>
        <v/>
      </c>
      <c r="C53" s="77" t="str">
        <f>IF(G53&lt;&gt;"",IFERROR(ROUND(VLOOKUP(G53,ProductList!J:AO,31,FALSE),0),""),"")</f>
        <v/>
      </c>
      <c r="D53" s="73" t="str">
        <f>IF(E53&lt;&gt;"",IF(D52&lt;&gt;"",D52,#REF!)+1,"")</f>
        <v/>
      </c>
      <c r="E53" s="73"/>
      <c r="F53" s="73"/>
      <c r="G53" s="122"/>
      <c r="H53" s="104"/>
      <c r="I53" s="73"/>
      <c r="J53" s="73"/>
      <c r="K53" s="6"/>
      <c r="L53" s="75" t="str">
        <f t="shared" si="3"/>
        <v/>
      </c>
      <c r="M53" s="75"/>
      <c r="N53" s="75" t="str">
        <f t="shared" si="4"/>
        <v/>
      </c>
      <c r="O53" s="204" t="str">
        <f t="shared" si="1"/>
        <v/>
      </c>
      <c r="P53" s="199" t="str">
        <f t="shared" si="5"/>
        <v/>
      </c>
      <c r="Q53" s="6"/>
      <c r="R53" s="199" t="str">
        <f t="shared" si="6"/>
        <v/>
      </c>
      <c r="S53" s="199" t="str">
        <f t="shared" si="7"/>
        <v/>
      </c>
    </row>
    <row r="54" spans="1:19" x14ac:dyDescent="0.25">
      <c r="A54" s="197">
        <f t="shared" si="0"/>
        <v>0</v>
      </c>
      <c r="B54" s="76" t="str">
        <f t="shared" si="2"/>
        <v/>
      </c>
      <c r="C54" s="77" t="str">
        <f>IF(G54&lt;&gt;"",IFERROR(ROUND(VLOOKUP(G54,ProductList!J:AO,31,FALSE),0),""),"")</f>
        <v/>
      </c>
      <c r="D54" s="73" t="str">
        <f>IF(E54&lt;&gt;"",IF(D53&lt;&gt;"",D53,#REF!)+1,"")</f>
        <v/>
      </c>
      <c r="E54" s="73"/>
      <c r="F54" s="73"/>
      <c r="G54" s="122"/>
      <c r="H54" s="104"/>
      <c r="I54" s="73"/>
      <c r="J54" s="73"/>
      <c r="K54" s="6"/>
      <c r="L54" s="75" t="str">
        <f t="shared" si="3"/>
        <v/>
      </c>
      <c r="M54" s="75"/>
      <c r="N54" s="75" t="str">
        <f t="shared" si="4"/>
        <v/>
      </c>
      <c r="O54" s="204" t="str">
        <f t="shared" si="1"/>
        <v/>
      </c>
      <c r="P54" s="199" t="str">
        <f t="shared" si="5"/>
        <v/>
      </c>
      <c r="Q54" s="4"/>
      <c r="R54" s="199" t="str">
        <f t="shared" si="6"/>
        <v/>
      </c>
      <c r="S54" s="199" t="str">
        <f t="shared" si="7"/>
        <v/>
      </c>
    </row>
    <row r="55" spans="1:19" x14ac:dyDescent="0.25">
      <c r="A55" s="197">
        <f t="shared" si="0"/>
        <v>0</v>
      </c>
      <c r="B55" s="76" t="str">
        <f t="shared" si="2"/>
        <v/>
      </c>
      <c r="C55" s="77" t="str">
        <f>IF(G55&lt;&gt;"",IFERROR(ROUND(VLOOKUP(G55,ProductList!J:AO,31,FALSE),0),""),"")</f>
        <v/>
      </c>
      <c r="D55" s="73" t="str">
        <f>IF(E55&lt;&gt;"",IF(D54&lt;&gt;"",D54,#REF!)+1,"")</f>
        <v/>
      </c>
      <c r="E55" s="73"/>
      <c r="F55" s="73"/>
      <c r="G55" s="122"/>
      <c r="H55" s="104"/>
      <c r="I55" s="73"/>
      <c r="J55" s="73"/>
      <c r="K55" s="6"/>
      <c r="L55" s="75" t="str">
        <f t="shared" si="3"/>
        <v/>
      </c>
      <c r="M55" s="75"/>
      <c r="N55" s="75" t="str">
        <f t="shared" si="4"/>
        <v/>
      </c>
      <c r="O55" s="204" t="str">
        <f t="shared" si="1"/>
        <v/>
      </c>
      <c r="P55" s="199" t="str">
        <f t="shared" si="5"/>
        <v/>
      </c>
      <c r="Q55" s="4"/>
      <c r="R55" s="199" t="str">
        <f t="shared" si="6"/>
        <v/>
      </c>
      <c r="S55" s="199" t="str">
        <f t="shared" si="7"/>
        <v/>
      </c>
    </row>
    <row r="56" spans="1:19" x14ac:dyDescent="0.25">
      <c r="A56" s="197">
        <f t="shared" si="0"/>
        <v>0</v>
      </c>
      <c r="B56" s="76" t="str">
        <f t="shared" si="2"/>
        <v/>
      </c>
      <c r="C56" s="77" t="str">
        <f>IF(G56&lt;&gt;"",IFERROR(ROUND(VLOOKUP(G56,ProductList!J:AO,31,FALSE),0),""),"")</f>
        <v/>
      </c>
      <c r="D56" s="73" t="str">
        <f>IF(E56&lt;&gt;"",IF(D55&lt;&gt;"",D55,#REF!)+1,"")</f>
        <v/>
      </c>
      <c r="E56" s="73"/>
      <c r="F56" s="73"/>
      <c r="G56" s="122"/>
      <c r="H56" s="104"/>
      <c r="I56" s="73"/>
      <c r="J56" s="73"/>
      <c r="K56" s="6"/>
      <c r="L56" s="75" t="str">
        <f t="shared" si="3"/>
        <v/>
      </c>
      <c r="M56" s="75"/>
      <c r="N56" s="75" t="str">
        <f t="shared" si="4"/>
        <v/>
      </c>
      <c r="O56" s="204" t="str">
        <f t="shared" si="1"/>
        <v/>
      </c>
      <c r="P56" s="199" t="str">
        <f t="shared" si="5"/>
        <v/>
      </c>
      <c r="Q56" s="4"/>
      <c r="R56" s="199" t="str">
        <f t="shared" si="6"/>
        <v/>
      </c>
      <c r="S56" s="199" t="str">
        <f t="shared" si="7"/>
        <v/>
      </c>
    </row>
    <row r="57" spans="1:19" x14ac:dyDescent="0.25">
      <c r="A57" s="197">
        <f t="shared" si="0"/>
        <v>0</v>
      </c>
      <c r="B57" s="76" t="str">
        <f t="shared" si="2"/>
        <v/>
      </c>
      <c r="C57" s="77" t="str">
        <f>IF(G57&lt;&gt;"",IFERROR(ROUND(VLOOKUP(G57,ProductList!J:AO,31,FALSE),0),""),"")</f>
        <v/>
      </c>
      <c r="D57" s="73" t="str">
        <f>IF(E57&lt;&gt;"",IF(D56&lt;&gt;"",D56,#REF!)+1,"")</f>
        <v/>
      </c>
      <c r="E57" s="73"/>
      <c r="F57" s="73"/>
      <c r="G57" s="122"/>
      <c r="H57" s="104"/>
      <c r="I57" s="73"/>
      <c r="J57" s="73"/>
      <c r="K57" s="6"/>
      <c r="L57" s="75" t="str">
        <f t="shared" si="3"/>
        <v/>
      </c>
      <c r="M57" s="75"/>
      <c r="N57" s="75" t="str">
        <f t="shared" si="4"/>
        <v/>
      </c>
      <c r="O57" s="204" t="str">
        <f t="shared" si="1"/>
        <v/>
      </c>
      <c r="P57" s="199" t="str">
        <f t="shared" si="5"/>
        <v/>
      </c>
      <c r="Q57" s="4"/>
      <c r="R57" s="199" t="str">
        <f t="shared" si="6"/>
        <v/>
      </c>
      <c r="S57" s="199" t="str">
        <f t="shared" si="7"/>
        <v/>
      </c>
    </row>
    <row r="58" spans="1:19" x14ac:dyDescent="0.25">
      <c r="A58" s="197">
        <f t="shared" si="0"/>
        <v>0</v>
      </c>
      <c r="B58" s="76" t="str">
        <f t="shared" si="2"/>
        <v/>
      </c>
      <c r="C58" s="77" t="str">
        <f>IF(G58&lt;&gt;"",IFERROR(ROUND(VLOOKUP(G58,ProductList!J:AO,31,FALSE),0),""),"")</f>
        <v/>
      </c>
      <c r="D58" s="73" t="str">
        <f>IF(E58&lt;&gt;"",IF(D57&lt;&gt;"",D57,#REF!)+1,"")</f>
        <v/>
      </c>
      <c r="E58" s="73"/>
      <c r="F58" s="73"/>
      <c r="G58" s="122"/>
      <c r="H58" s="104"/>
      <c r="I58" s="73"/>
      <c r="J58" s="73"/>
      <c r="K58" s="6"/>
      <c r="L58" s="75" t="str">
        <f t="shared" si="3"/>
        <v/>
      </c>
      <c r="M58" s="75"/>
      <c r="N58" s="75" t="str">
        <f t="shared" si="4"/>
        <v/>
      </c>
      <c r="O58" s="204" t="str">
        <f t="shared" si="1"/>
        <v/>
      </c>
      <c r="P58" s="199" t="str">
        <f t="shared" si="5"/>
        <v/>
      </c>
      <c r="Q58" s="4"/>
      <c r="R58" s="199" t="str">
        <f t="shared" si="6"/>
        <v/>
      </c>
      <c r="S58" s="199" t="str">
        <f t="shared" si="7"/>
        <v/>
      </c>
    </row>
    <row r="59" spans="1:19" x14ac:dyDescent="0.25">
      <c r="A59" s="197">
        <f t="shared" si="0"/>
        <v>0</v>
      </c>
      <c r="B59" s="76" t="str">
        <f t="shared" si="2"/>
        <v/>
      </c>
      <c r="C59" s="77" t="str">
        <f>IF(G59&lt;&gt;"",IFERROR(ROUND(VLOOKUP(G59,ProductList!J:AO,31,FALSE),0),""),"")</f>
        <v/>
      </c>
      <c r="D59" s="73" t="str">
        <f>IF(E59&lt;&gt;"",IF(D58&lt;&gt;"",D58,#REF!)+1,"")</f>
        <v/>
      </c>
      <c r="E59" s="73"/>
      <c r="F59" s="73"/>
      <c r="G59" s="122"/>
      <c r="H59" s="104"/>
      <c r="I59" s="73"/>
      <c r="J59" s="73"/>
      <c r="K59" s="6"/>
      <c r="L59" s="75" t="str">
        <f t="shared" si="3"/>
        <v/>
      </c>
      <c r="M59" s="75"/>
      <c r="N59" s="75" t="str">
        <f t="shared" si="4"/>
        <v/>
      </c>
      <c r="O59" s="204" t="str">
        <f t="shared" si="1"/>
        <v/>
      </c>
      <c r="P59" s="199" t="str">
        <f t="shared" si="5"/>
        <v/>
      </c>
      <c r="Q59" s="4"/>
      <c r="R59" s="199" t="str">
        <f t="shared" si="6"/>
        <v/>
      </c>
      <c r="S59" s="199" t="str">
        <f t="shared" si="7"/>
        <v/>
      </c>
    </row>
    <row r="60" spans="1:19" x14ac:dyDescent="0.25">
      <c r="A60" s="197">
        <f t="shared" si="0"/>
        <v>0</v>
      </c>
      <c r="B60" s="76" t="str">
        <f t="shared" si="2"/>
        <v/>
      </c>
      <c r="C60" s="77" t="str">
        <f>IF(G60&lt;&gt;"",IFERROR(ROUND(VLOOKUP(G60,ProductList!J:AO,31,FALSE),0),""),"")</f>
        <v/>
      </c>
      <c r="D60" s="73" t="str">
        <f>IF(E60&lt;&gt;"",IF(D59&lt;&gt;"",D59,#REF!)+1,"")</f>
        <v/>
      </c>
      <c r="E60" s="73"/>
      <c r="F60" s="73"/>
      <c r="G60" s="122"/>
      <c r="H60" s="104"/>
      <c r="I60" s="73"/>
      <c r="J60" s="73"/>
      <c r="K60" s="6"/>
      <c r="L60" s="75" t="str">
        <f t="shared" si="3"/>
        <v/>
      </c>
      <c r="M60" s="75"/>
      <c r="N60" s="75" t="str">
        <f t="shared" si="4"/>
        <v/>
      </c>
      <c r="O60" s="204" t="str">
        <f t="shared" si="1"/>
        <v/>
      </c>
      <c r="P60" s="199" t="str">
        <f t="shared" si="5"/>
        <v/>
      </c>
      <c r="Q60" s="4"/>
      <c r="R60" s="199" t="str">
        <f t="shared" si="6"/>
        <v/>
      </c>
      <c r="S60" s="199" t="str">
        <f t="shared" si="7"/>
        <v/>
      </c>
    </row>
    <row r="61" spans="1:19" x14ac:dyDescent="0.25">
      <c r="A61" s="197">
        <f t="shared" si="0"/>
        <v>0</v>
      </c>
      <c r="B61" s="76" t="str">
        <f t="shared" si="2"/>
        <v/>
      </c>
      <c r="C61" s="77" t="str">
        <f>IF(G61&lt;&gt;"",IFERROR(ROUND(VLOOKUP(G61,ProductList!J:AO,31,FALSE),0),""),"")</f>
        <v/>
      </c>
      <c r="D61" s="73" t="str">
        <f>IF(E61&lt;&gt;"",IF(D60&lt;&gt;"",D60,#REF!)+1,"")</f>
        <v/>
      </c>
      <c r="E61" s="73"/>
      <c r="F61" s="73"/>
      <c r="G61" s="122"/>
      <c r="H61" s="104"/>
      <c r="I61" s="73"/>
      <c r="J61" s="73"/>
      <c r="K61" s="6"/>
      <c r="L61" s="75" t="str">
        <f t="shared" si="3"/>
        <v/>
      </c>
      <c r="M61" s="75"/>
      <c r="N61" s="75" t="str">
        <f t="shared" si="4"/>
        <v/>
      </c>
      <c r="O61" s="204" t="str">
        <f t="shared" si="1"/>
        <v/>
      </c>
      <c r="P61" s="199" t="str">
        <f t="shared" si="5"/>
        <v/>
      </c>
      <c r="Q61" s="4"/>
      <c r="R61" s="199" t="str">
        <f t="shared" si="6"/>
        <v/>
      </c>
      <c r="S61" s="199" t="str">
        <f t="shared" si="7"/>
        <v/>
      </c>
    </row>
    <row r="62" spans="1:19" x14ac:dyDescent="0.25">
      <c r="A62" s="197">
        <f t="shared" si="0"/>
        <v>0</v>
      </c>
      <c r="B62" s="76" t="str">
        <f t="shared" si="2"/>
        <v/>
      </c>
      <c r="C62" s="77" t="str">
        <f>IF(G62&lt;&gt;"",IFERROR(ROUND(VLOOKUP(G62,ProductList!J:AO,31,FALSE),0),""),"")</f>
        <v/>
      </c>
      <c r="D62" s="73" t="str">
        <f>IF(E62&lt;&gt;"",IF(D61&lt;&gt;"",D61,#REF!)+1,"")</f>
        <v/>
      </c>
      <c r="E62" s="73"/>
      <c r="F62" s="73"/>
      <c r="G62" s="122"/>
      <c r="H62" s="104"/>
      <c r="I62" s="73"/>
      <c r="J62" s="73"/>
      <c r="K62" s="6"/>
      <c r="L62" s="75" t="str">
        <f t="shared" si="3"/>
        <v/>
      </c>
      <c r="M62" s="75"/>
      <c r="N62" s="75" t="str">
        <f t="shared" si="4"/>
        <v/>
      </c>
      <c r="O62" s="204" t="str">
        <f t="shared" si="1"/>
        <v/>
      </c>
      <c r="P62" s="199" t="str">
        <f t="shared" si="5"/>
        <v/>
      </c>
      <c r="Q62" s="4"/>
      <c r="R62" s="199" t="str">
        <f t="shared" si="6"/>
        <v/>
      </c>
      <c r="S62" s="199" t="str">
        <f t="shared" si="7"/>
        <v/>
      </c>
    </row>
    <row r="63" spans="1:19" x14ac:dyDescent="0.25">
      <c r="A63" s="197">
        <f t="shared" si="0"/>
        <v>0</v>
      </c>
      <c r="B63" s="76" t="str">
        <f t="shared" si="2"/>
        <v/>
      </c>
      <c r="C63" s="77" t="str">
        <f>IF(G63&lt;&gt;"",IFERROR(ROUND(VLOOKUP(G63,ProductList!J:AO,31,FALSE),0),""),"")</f>
        <v/>
      </c>
      <c r="D63" s="73" t="str">
        <f>IF(E63&lt;&gt;"",IF(D62&lt;&gt;"",D62,#REF!)+1,"")</f>
        <v/>
      </c>
      <c r="E63" s="73"/>
      <c r="F63" s="73"/>
      <c r="G63" s="122"/>
      <c r="H63" s="104"/>
      <c r="I63" s="73"/>
      <c r="J63" s="73"/>
      <c r="K63" s="6"/>
      <c r="L63" s="75" t="str">
        <f t="shared" si="3"/>
        <v/>
      </c>
      <c r="M63" s="75"/>
      <c r="N63" s="75" t="str">
        <f t="shared" si="4"/>
        <v/>
      </c>
      <c r="O63" s="204" t="str">
        <f t="shared" si="1"/>
        <v/>
      </c>
      <c r="P63" s="199" t="str">
        <f t="shared" si="5"/>
        <v/>
      </c>
      <c r="Q63" s="4"/>
      <c r="R63" s="199" t="str">
        <f t="shared" si="6"/>
        <v/>
      </c>
      <c r="S63" s="199" t="str">
        <f t="shared" si="7"/>
        <v/>
      </c>
    </row>
    <row r="64" spans="1:19" x14ac:dyDescent="0.25">
      <c r="A64" s="197">
        <f t="shared" si="0"/>
        <v>0</v>
      </c>
      <c r="B64" s="76" t="str">
        <f t="shared" si="2"/>
        <v/>
      </c>
      <c r="C64" s="77" t="str">
        <f>IF(G64&lt;&gt;"",IFERROR(ROUND(VLOOKUP(G64,ProductList!J:AO,31,FALSE),0),""),"")</f>
        <v/>
      </c>
      <c r="D64" s="73" t="str">
        <f>IF(E64&lt;&gt;"",IF(D63&lt;&gt;"",D63,#REF!)+1,"")</f>
        <v/>
      </c>
      <c r="E64" s="73"/>
      <c r="F64" s="73"/>
      <c r="G64" s="122"/>
      <c r="H64" s="104"/>
      <c r="I64" s="73"/>
      <c r="J64" s="73"/>
      <c r="K64" s="6"/>
      <c r="L64" s="75" t="str">
        <f t="shared" si="3"/>
        <v/>
      </c>
      <c r="M64" s="75"/>
      <c r="N64" s="75" t="str">
        <f t="shared" si="4"/>
        <v/>
      </c>
      <c r="O64" s="204" t="str">
        <f t="shared" si="1"/>
        <v/>
      </c>
      <c r="P64" s="199" t="str">
        <f t="shared" si="5"/>
        <v/>
      </c>
      <c r="Q64" s="4"/>
      <c r="R64" s="199" t="str">
        <f t="shared" si="6"/>
        <v/>
      </c>
      <c r="S64" s="199" t="str">
        <f t="shared" si="7"/>
        <v/>
      </c>
    </row>
    <row r="65" spans="1:19" x14ac:dyDescent="0.25">
      <c r="A65" s="197">
        <f t="shared" si="0"/>
        <v>0</v>
      </c>
      <c r="B65" s="76" t="str">
        <f t="shared" si="2"/>
        <v/>
      </c>
      <c r="C65" s="77" t="str">
        <f>IF(G65&lt;&gt;"",IFERROR(ROUND(VLOOKUP(G65,ProductList!J:AO,31,FALSE),0),""),"")</f>
        <v/>
      </c>
      <c r="D65" s="73" t="str">
        <f>IF(E65&lt;&gt;"",IF(D64&lt;&gt;"",D64,#REF!)+1,"")</f>
        <v/>
      </c>
      <c r="E65" s="73"/>
      <c r="F65" s="73"/>
      <c r="G65" s="122"/>
      <c r="H65" s="104"/>
      <c r="I65" s="73"/>
      <c r="J65" s="73"/>
      <c r="K65" s="6"/>
      <c r="L65" s="75" t="str">
        <f t="shared" si="3"/>
        <v/>
      </c>
      <c r="M65" s="75"/>
      <c r="N65" s="75" t="str">
        <f t="shared" si="4"/>
        <v/>
      </c>
      <c r="O65" s="204" t="str">
        <f t="shared" si="1"/>
        <v/>
      </c>
      <c r="P65" s="199" t="str">
        <f t="shared" si="5"/>
        <v/>
      </c>
      <c r="Q65" s="4"/>
      <c r="R65" s="199" t="str">
        <f t="shared" si="6"/>
        <v/>
      </c>
      <c r="S65" s="199" t="str">
        <f t="shared" si="7"/>
        <v/>
      </c>
    </row>
    <row r="66" spans="1:19" x14ac:dyDescent="0.25">
      <c r="A66" s="197">
        <f t="shared" si="0"/>
        <v>0</v>
      </c>
      <c r="B66" s="76" t="str">
        <f t="shared" si="2"/>
        <v/>
      </c>
      <c r="C66" s="77" t="str">
        <f>IF(G66&lt;&gt;"",IFERROR(ROUND(VLOOKUP(G66,ProductList!J:AO,31,FALSE),0),""),"")</f>
        <v/>
      </c>
      <c r="D66" s="73" t="str">
        <f>IF(E66&lt;&gt;"",IF(D65&lt;&gt;"",D65,#REF!)+1,"")</f>
        <v/>
      </c>
      <c r="E66" s="73"/>
      <c r="F66" s="73"/>
      <c r="G66" s="122"/>
      <c r="H66" s="104"/>
      <c r="I66" s="73"/>
      <c r="J66" s="73"/>
      <c r="K66" s="6"/>
      <c r="L66" s="75" t="str">
        <f t="shared" si="3"/>
        <v/>
      </c>
      <c r="M66" s="75"/>
      <c r="N66" s="75" t="str">
        <f t="shared" si="4"/>
        <v/>
      </c>
      <c r="O66" s="204" t="str">
        <f t="shared" si="1"/>
        <v/>
      </c>
      <c r="P66" s="199" t="str">
        <f t="shared" si="5"/>
        <v/>
      </c>
      <c r="Q66" s="4"/>
      <c r="R66" s="199" t="str">
        <f t="shared" si="6"/>
        <v/>
      </c>
      <c r="S66" s="199" t="str">
        <f t="shared" si="7"/>
        <v/>
      </c>
    </row>
    <row r="67" spans="1:19" x14ac:dyDescent="0.25">
      <c r="A67" s="197">
        <f t="shared" si="0"/>
        <v>0</v>
      </c>
      <c r="B67" s="76" t="str">
        <f t="shared" si="2"/>
        <v/>
      </c>
      <c r="C67" s="77" t="str">
        <f>IF(G67&lt;&gt;"",IFERROR(ROUND(VLOOKUP(G67,ProductList!J:AO,31,FALSE),0),""),"")</f>
        <v/>
      </c>
      <c r="D67" s="73" t="str">
        <f>IF(E67&lt;&gt;"",IF(D66&lt;&gt;"",D66,#REF!)+1,"")</f>
        <v/>
      </c>
      <c r="E67" s="73"/>
      <c r="F67" s="73"/>
      <c r="G67" s="122"/>
      <c r="H67" s="104"/>
      <c r="I67" s="73"/>
      <c r="J67" s="73"/>
      <c r="K67" s="6"/>
      <c r="L67" s="75" t="str">
        <f t="shared" si="3"/>
        <v/>
      </c>
      <c r="M67" s="75"/>
      <c r="N67" s="75" t="str">
        <f t="shared" si="4"/>
        <v/>
      </c>
      <c r="O67" s="204" t="str">
        <f t="shared" si="1"/>
        <v/>
      </c>
      <c r="P67" s="199" t="str">
        <f t="shared" si="5"/>
        <v/>
      </c>
      <c r="Q67" s="4"/>
      <c r="R67" s="199" t="str">
        <f t="shared" si="6"/>
        <v/>
      </c>
      <c r="S67" s="199" t="str">
        <f t="shared" si="7"/>
        <v/>
      </c>
    </row>
    <row r="68" spans="1:19" x14ac:dyDescent="0.25">
      <c r="A68" s="197">
        <f t="shared" si="0"/>
        <v>0</v>
      </c>
      <c r="B68" s="76" t="str">
        <f t="shared" si="2"/>
        <v/>
      </c>
      <c r="C68" s="77" t="str">
        <f>IF(G68&lt;&gt;"",IFERROR(ROUND(VLOOKUP(G68,ProductList!J:AO,31,FALSE),0),""),"")</f>
        <v/>
      </c>
      <c r="D68" s="73" t="str">
        <f>IF(E68&lt;&gt;"",IF(D67&lt;&gt;"",D67,#REF!)+1,"")</f>
        <v/>
      </c>
      <c r="E68" s="73"/>
      <c r="F68" s="73"/>
      <c r="G68" s="122"/>
      <c r="H68" s="104"/>
      <c r="I68" s="73"/>
      <c r="J68" s="73"/>
      <c r="K68" s="6"/>
      <c r="L68" s="75" t="str">
        <f t="shared" si="3"/>
        <v/>
      </c>
      <c r="M68" s="75"/>
      <c r="N68" s="75" t="str">
        <f t="shared" si="4"/>
        <v/>
      </c>
      <c r="O68" s="204" t="str">
        <f t="shared" si="1"/>
        <v/>
      </c>
      <c r="P68" s="199" t="str">
        <f t="shared" si="5"/>
        <v/>
      </c>
      <c r="Q68" s="4"/>
      <c r="R68" s="199" t="str">
        <f t="shared" si="6"/>
        <v/>
      </c>
      <c r="S68" s="199" t="str">
        <f t="shared" si="7"/>
        <v/>
      </c>
    </row>
    <row r="69" spans="1:19" x14ac:dyDescent="0.25">
      <c r="A69" s="197">
        <f t="shared" ref="A69:A132" si="8">IF(AND(E69&lt;&gt;""),IF(A68&lt;&gt;"",A68,0)+1,A68)</f>
        <v>0</v>
      </c>
      <c r="B69" s="76" t="str">
        <f t="shared" si="2"/>
        <v/>
      </c>
      <c r="C69" s="77" t="str">
        <f>IF(G69&lt;&gt;"",IFERROR(ROUND(VLOOKUP(G69,ProductList!J:AO,31,FALSE),0),""),"")</f>
        <v/>
      </c>
      <c r="D69" s="73" t="str">
        <f>IF(E69&lt;&gt;"",IF(D68&lt;&gt;"",D68,#REF!)+1,"")</f>
        <v/>
      </c>
      <c r="E69" s="73"/>
      <c r="F69" s="73"/>
      <c r="G69" s="122"/>
      <c r="H69" s="104"/>
      <c r="I69" s="73"/>
      <c r="J69" s="73"/>
      <c r="K69" s="6"/>
      <c r="L69" s="75" t="str">
        <f t="shared" si="3"/>
        <v/>
      </c>
      <c r="M69" s="75"/>
      <c r="N69" s="75" t="str">
        <f t="shared" si="4"/>
        <v/>
      </c>
      <c r="O69" s="204" t="str">
        <f t="shared" ref="O69:O76" si="9">IF(AND(K69&lt;&gt;"",M69&lt;&gt;""),K69-M69,IF(K69&lt;&gt;"",K69,""))</f>
        <v/>
      </c>
      <c r="P69" s="199" t="str">
        <f t="shared" si="5"/>
        <v/>
      </c>
      <c r="Q69" s="4"/>
      <c r="R69" s="199" t="str">
        <f t="shared" si="6"/>
        <v/>
      </c>
      <c r="S69" s="199" t="str">
        <f t="shared" si="7"/>
        <v/>
      </c>
    </row>
    <row r="70" spans="1:19" x14ac:dyDescent="0.25">
      <c r="A70" s="197">
        <f t="shared" si="8"/>
        <v>0</v>
      </c>
      <c r="B70" s="76" t="str">
        <f t="shared" ref="B70:B133" si="10">IF(AND(L70&lt;&gt;"",F70&lt;&gt;""),ROUND((((L70-F70)*100)/F70),2),"")</f>
        <v/>
      </c>
      <c r="C70" s="77" t="str">
        <f>IF(G70&lt;&gt;"",IFERROR(ROUND(VLOOKUP(G70,ProductList!J:AO,31,FALSE),0),""),"")</f>
        <v/>
      </c>
      <c r="D70" s="73" t="str">
        <f>IF(E70&lt;&gt;"",IF(D69&lt;&gt;"",D69,#REF!)+1,"")</f>
        <v/>
      </c>
      <c r="E70" s="73"/>
      <c r="F70" s="73"/>
      <c r="G70" s="122"/>
      <c r="H70" s="104"/>
      <c r="I70" s="73"/>
      <c r="J70" s="73"/>
      <c r="K70" s="202"/>
      <c r="L70" s="75" t="str">
        <f t="shared" ref="L70:L133" si="11">IF(AND(J70&lt;&gt;"",K70&lt;&gt;""),K70*J70,"")</f>
        <v/>
      </c>
      <c r="M70" s="75"/>
      <c r="N70" s="75" t="str">
        <f t="shared" ref="N70:N133" si="12">IF(AND(M70&lt;&gt;"",J70&lt;&gt;""),M70*J70,"")</f>
        <v/>
      </c>
      <c r="O70" s="204" t="str">
        <f t="shared" si="9"/>
        <v/>
      </c>
      <c r="P70" s="199" t="str">
        <f t="shared" ref="P70:P76" si="13">IF(AND(O70&lt;&gt;"",J70&lt;&gt;""),O70*J70,"")</f>
        <v/>
      </c>
      <c r="Q70" s="4"/>
      <c r="R70" s="199" t="str">
        <f t="shared" ref="R70:R76" si="14">IF(AND(Q70&lt;&gt;"",O70&lt;&gt;""),Q70*O70,"")</f>
        <v/>
      </c>
      <c r="S70" s="199" t="str">
        <f t="shared" si="7"/>
        <v/>
      </c>
    </row>
    <row r="71" spans="1:19" x14ac:dyDescent="0.25">
      <c r="A71" s="197">
        <f t="shared" si="8"/>
        <v>0</v>
      </c>
      <c r="B71" s="76" t="str">
        <f t="shared" si="10"/>
        <v/>
      </c>
      <c r="C71" s="77" t="str">
        <f>IF(G71&lt;&gt;"",IFERROR(ROUND(VLOOKUP(G71,ProductList!J:AO,31,FALSE),0),""),"")</f>
        <v/>
      </c>
      <c r="D71" s="73" t="str">
        <f>IF(E71&lt;&gt;"",IF(D70&lt;&gt;"",D70,#REF!)+1,"")</f>
        <v/>
      </c>
      <c r="E71" s="73"/>
      <c r="F71" s="73"/>
      <c r="G71" s="122"/>
      <c r="H71" s="104"/>
      <c r="I71" s="73"/>
      <c r="J71" s="73"/>
      <c r="K71" s="202"/>
      <c r="L71" s="75" t="str">
        <f t="shared" si="11"/>
        <v/>
      </c>
      <c r="M71" s="75"/>
      <c r="N71" s="75" t="str">
        <f t="shared" si="12"/>
        <v/>
      </c>
      <c r="O71" s="204" t="str">
        <f t="shared" si="9"/>
        <v/>
      </c>
      <c r="P71" s="199" t="str">
        <f t="shared" si="13"/>
        <v/>
      </c>
      <c r="Q71" s="4"/>
      <c r="R71" s="199" t="str">
        <f t="shared" si="14"/>
        <v/>
      </c>
      <c r="S71" s="199" t="str">
        <f t="shared" si="7"/>
        <v/>
      </c>
    </row>
    <row r="72" spans="1:19" x14ac:dyDescent="0.25">
      <c r="A72" s="197">
        <f t="shared" si="8"/>
        <v>0</v>
      </c>
      <c r="B72" s="76" t="str">
        <f t="shared" si="10"/>
        <v/>
      </c>
      <c r="C72" s="77" t="str">
        <f>IF(G72&lt;&gt;"",IFERROR(ROUND(VLOOKUP(G72,ProductList!J:AO,31,FALSE),0),""),"")</f>
        <v/>
      </c>
      <c r="D72" s="73" t="str">
        <f>IF(E72&lt;&gt;"",IF(D71&lt;&gt;"",D71,#REF!)+1,"")</f>
        <v/>
      </c>
      <c r="E72" s="73"/>
      <c r="F72" s="73"/>
      <c r="G72" s="122"/>
      <c r="H72" s="104"/>
      <c r="I72" s="73"/>
      <c r="J72" s="73"/>
      <c r="K72" s="202"/>
      <c r="L72" s="75" t="str">
        <f t="shared" si="11"/>
        <v/>
      </c>
      <c r="M72" s="75"/>
      <c r="N72" s="75" t="str">
        <f t="shared" si="12"/>
        <v/>
      </c>
      <c r="O72" s="204" t="str">
        <f t="shared" si="9"/>
        <v/>
      </c>
      <c r="P72" s="199" t="str">
        <f t="shared" si="13"/>
        <v/>
      </c>
      <c r="Q72" s="4"/>
      <c r="R72" s="199" t="str">
        <f t="shared" si="14"/>
        <v/>
      </c>
      <c r="S72" s="199" t="str">
        <f t="shared" si="7"/>
        <v/>
      </c>
    </row>
    <row r="73" spans="1:19" x14ac:dyDescent="0.25">
      <c r="A73" s="197">
        <f t="shared" si="8"/>
        <v>0</v>
      </c>
      <c r="B73" s="76" t="str">
        <f t="shared" si="10"/>
        <v/>
      </c>
      <c r="C73" s="77" t="str">
        <f>IF(G73&lt;&gt;"",IFERROR(ROUND(VLOOKUP(G73,ProductList!J:AO,31,FALSE),0),""),"")</f>
        <v/>
      </c>
      <c r="D73" s="73" t="str">
        <f>IF(E73&lt;&gt;"",IF(D72&lt;&gt;"",D72,#REF!)+1,"")</f>
        <v/>
      </c>
      <c r="E73" s="73"/>
      <c r="F73" s="73"/>
      <c r="G73" s="122"/>
      <c r="H73" s="104"/>
      <c r="I73" s="73"/>
      <c r="J73" s="73"/>
      <c r="K73" s="202"/>
      <c r="L73" s="75" t="str">
        <f t="shared" si="11"/>
        <v/>
      </c>
      <c r="M73" s="75"/>
      <c r="N73" s="75" t="str">
        <f t="shared" si="12"/>
        <v/>
      </c>
      <c r="O73" s="204" t="str">
        <f t="shared" si="9"/>
        <v/>
      </c>
      <c r="P73" s="199" t="str">
        <f t="shared" si="13"/>
        <v/>
      </c>
      <c r="Q73" s="4"/>
      <c r="R73" s="199" t="str">
        <f t="shared" si="14"/>
        <v/>
      </c>
      <c r="S73" s="199" t="str">
        <f t="shared" si="7"/>
        <v/>
      </c>
    </row>
    <row r="74" spans="1:19" x14ac:dyDescent="0.25">
      <c r="A74" s="197">
        <f t="shared" si="8"/>
        <v>0</v>
      </c>
      <c r="B74" s="76" t="str">
        <f t="shared" si="10"/>
        <v/>
      </c>
      <c r="C74" s="77" t="str">
        <f>IF(G74&lt;&gt;"",IFERROR(ROUND(VLOOKUP(G74,ProductList!J:AO,31,FALSE),0),""),"")</f>
        <v/>
      </c>
      <c r="D74" s="73" t="str">
        <f>IF(E74&lt;&gt;"",IF(D73&lt;&gt;"",D73,#REF!)+1,"")</f>
        <v/>
      </c>
      <c r="E74" s="73"/>
      <c r="F74" s="73"/>
      <c r="G74" s="122"/>
      <c r="H74" s="104"/>
      <c r="I74" s="73"/>
      <c r="J74" s="73"/>
      <c r="K74" s="202"/>
      <c r="L74" s="75" t="str">
        <f t="shared" si="11"/>
        <v/>
      </c>
      <c r="M74" s="75"/>
      <c r="N74" s="75" t="str">
        <f t="shared" si="12"/>
        <v/>
      </c>
      <c r="O74" s="204" t="str">
        <f t="shared" si="9"/>
        <v/>
      </c>
      <c r="P74" s="199" t="str">
        <f t="shared" si="13"/>
        <v/>
      </c>
      <c r="Q74" s="6"/>
      <c r="R74" s="199" t="str">
        <f t="shared" si="14"/>
        <v/>
      </c>
      <c r="S74" s="199" t="str">
        <f>IF(R74&lt;&gt;"",P74-R74,P74)</f>
        <v/>
      </c>
    </row>
    <row r="75" spans="1:19" x14ac:dyDescent="0.25">
      <c r="A75" s="197">
        <f t="shared" si="8"/>
        <v>0</v>
      </c>
      <c r="B75" s="76" t="str">
        <f t="shared" si="10"/>
        <v/>
      </c>
      <c r="C75" s="77" t="str">
        <f>IF(G75&lt;&gt;"",IFERROR(ROUND(VLOOKUP(G75,ProductList!J:AO,31,FALSE),0),""),"")</f>
        <v/>
      </c>
      <c r="D75" s="73" t="str">
        <f>IF(E75&lt;&gt;"",IF(D74&lt;&gt;"",D74,#REF!)+1,"")</f>
        <v/>
      </c>
      <c r="E75" s="73"/>
      <c r="F75" s="73"/>
      <c r="G75" s="122"/>
      <c r="H75" s="104"/>
      <c r="I75" s="73"/>
      <c r="J75" s="73"/>
      <c r="K75" s="202"/>
      <c r="L75" s="75" t="str">
        <f t="shared" si="11"/>
        <v/>
      </c>
      <c r="M75" s="75"/>
      <c r="N75" s="75" t="str">
        <f t="shared" si="12"/>
        <v/>
      </c>
      <c r="O75" s="204" t="str">
        <f t="shared" si="9"/>
        <v/>
      </c>
      <c r="P75" s="199" t="str">
        <f t="shared" si="13"/>
        <v/>
      </c>
      <c r="Q75" s="6"/>
      <c r="R75" s="199" t="str">
        <f t="shared" si="14"/>
        <v/>
      </c>
      <c r="S75" s="199" t="str">
        <f>IF(R75&lt;&gt;"",P75-R75,P75)</f>
        <v/>
      </c>
    </row>
    <row r="76" spans="1:19" x14ac:dyDescent="0.25">
      <c r="A76" s="197">
        <f t="shared" si="8"/>
        <v>0</v>
      </c>
      <c r="B76" s="76" t="str">
        <f t="shared" si="10"/>
        <v/>
      </c>
      <c r="C76" s="77" t="str">
        <f>IF(G76&lt;&gt;"",IFERROR(ROUND(VLOOKUP(G76,ProductList!J:AO,31,FALSE),0),""),"")</f>
        <v/>
      </c>
      <c r="D76" s="73" t="str">
        <f>IF(E76&lt;&gt;"",IF(D75&lt;&gt;"",D75,#REF!)+1,"")</f>
        <v/>
      </c>
      <c r="E76" s="73"/>
      <c r="F76" s="73"/>
      <c r="G76" s="122"/>
      <c r="H76" s="104"/>
      <c r="I76" s="73"/>
      <c r="J76" s="73"/>
      <c r="K76" s="202"/>
      <c r="L76" s="75" t="str">
        <f t="shared" si="11"/>
        <v/>
      </c>
      <c r="M76" s="75"/>
      <c r="N76" s="75" t="str">
        <f t="shared" si="12"/>
        <v/>
      </c>
      <c r="O76" s="204" t="str">
        <f t="shared" si="9"/>
        <v/>
      </c>
      <c r="P76" s="199" t="str">
        <f t="shared" si="13"/>
        <v/>
      </c>
      <c r="Q76" s="6"/>
      <c r="R76" s="199" t="str">
        <f t="shared" si="14"/>
        <v/>
      </c>
      <c r="S76" s="199" t="str">
        <f>IF(R76&lt;&gt;"",P76-R76,P76)</f>
        <v/>
      </c>
    </row>
    <row r="77" spans="1:19" x14ac:dyDescent="0.25">
      <c r="A77" s="197">
        <f t="shared" si="8"/>
        <v>0</v>
      </c>
      <c r="B77" s="76" t="str">
        <f t="shared" si="10"/>
        <v/>
      </c>
      <c r="C77" s="77" t="str">
        <f>IF(G77&lt;&gt;"",IFERROR(ROUND(VLOOKUP(G77,ProductList!J:AO,31,FALSE),0),""),"")</f>
        <v/>
      </c>
      <c r="D77" s="73" t="str">
        <f>IF(E77&lt;&gt;"",IF(D76&lt;&gt;"",D76,#REF!)+1,"")</f>
        <v/>
      </c>
      <c r="E77" s="73"/>
      <c r="F77" s="73"/>
      <c r="G77" s="122"/>
      <c r="H77" s="104"/>
      <c r="I77" s="73"/>
      <c r="J77" s="73"/>
      <c r="K77" s="202"/>
      <c r="L77" s="75" t="str">
        <f t="shared" si="11"/>
        <v/>
      </c>
      <c r="M77" s="75"/>
      <c r="N77" s="75" t="str">
        <f t="shared" si="12"/>
        <v/>
      </c>
      <c r="O77" s="204" t="str">
        <f>IF(AND(K77&lt;&gt;"",M77&lt;&gt;""),K77-M77,IF(K77&lt;&gt;"",K77,""))</f>
        <v/>
      </c>
      <c r="P77" s="8"/>
      <c r="Q77" s="8"/>
      <c r="R77" s="8"/>
      <c r="S77" s="8"/>
    </row>
    <row r="78" spans="1:19" x14ac:dyDescent="0.25">
      <c r="A78" s="197">
        <f t="shared" si="8"/>
        <v>0</v>
      </c>
      <c r="B78" s="76" t="str">
        <f t="shared" si="10"/>
        <v/>
      </c>
      <c r="C78" s="77" t="str">
        <f>IF(G78&lt;&gt;"",IFERROR(ROUND(VLOOKUP(G78,ProductList!J:AO,31,FALSE),0),""),"")</f>
        <v/>
      </c>
      <c r="D78" s="73" t="str">
        <f>IF(E78&lt;&gt;"",IF(D77&lt;&gt;"",D77,#REF!)+1,"")</f>
        <v/>
      </c>
      <c r="E78" s="73"/>
      <c r="F78" s="73"/>
      <c r="G78" s="122"/>
      <c r="H78" s="104"/>
      <c r="I78" s="73"/>
      <c r="J78" s="73"/>
      <c r="K78" s="202"/>
      <c r="L78" s="75" t="str">
        <f t="shared" si="11"/>
        <v/>
      </c>
      <c r="M78" s="75"/>
      <c r="N78" s="75" t="str">
        <f t="shared" si="12"/>
        <v/>
      </c>
      <c r="O78" s="204" t="str">
        <f t="shared" ref="O78:O141" si="15">IF(AND(K78&lt;&gt;"",M78&lt;&gt;""),K78-M78,IF(K78&lt;&gt;"",K78,""))</f>
        <v/>
      </c>
      <c r="P78" s="8"/>
      <c r="Q78" s="8"/>
      <c r="R78" s="8"/>
      <c r="S78" s="8"/>
    </row>
    <row r="79" spans="1:19" x14ac:dyDescent="0.25">
      <c r="A79" s="197">
        <f t="shared" si="8"/>
        <v>0</v>
      </c>
      <c r="B79" s="76" t="str">
        <f t="shared" si="10"/>
        <v/>
      </c>
      <c r="C79" s="77" t="str">
        <f>IF(G79&lt;&gt;"",IFERROR(ROUND(VLOOKUP(G79,ProductList!J:AO,31,FALSE),0),""),"")</f>
        <v/>
      </c>
      <c r="D79" s="73" t="str">
        <f>IF(E79&lt;&gt;"",IF(D78&lt;&gt;"",D78,#REF!)+1,"")</f>
        <v/>
      </c>
      <c r="E79" s="73"/>
      <c r="F79" s="73"/>
      <c r="G79" s="122"/>
      <c r="H79" s="104"/>
      <c r="I79" s="73"/>
      <c r="J79" s="73"/>
      <c r="K79" s="202"/>
      <c r="L79" s="75" t="str">
        <f t="shared" si="11"/>
        <v/>
      </c>
      <c r="M79" s="75"/>
      <c r="N79" s="75" t="str">
        <f t="shared" si="12"/>
        <v/>
      </c>
      <c r="O79" s="204" t="str">
        <f t="shared" si="15"/>
        <v/>
      </c>
      <c r="P79" s="8"/>
      <c r="Q79" s="8"/>
      <c r="R79" s="8"/>
      <c r="S79" s="8"/>
    </row>
    <row r="80" spans="1:19" x14ac:dyDescent="0.25">
      <c r="A80" s="197">
        <f t="shared" si="8"/>
        <v>0</v>
      </c>
      <c r="B80" s="76" t="str">
        <f t="shared" si="10"/>
        <v/>
      </c>
      <c r="C80" s="77" t="str">
        <f>IF(G80&lt;&gt;"",IFERROR(ROUND(VLOOKUP(G80,ProductList!J:AO,31,FALSE),0),""),"")</f>
        <v/>
      </c>
      <c r="D80" s="73" t="str">
        <f>IF(E80&lt;&gt;"",IF(D79&lt;&gt;"",D79,#REF!)+1,"")</f>
        <v/>
      </c>
      <c r="E80" s="73"/>
      <c r="F80" s="73"/>
      <c r="G80" s="122"/>
      <c r="H80" s="104"/>
      <c r="I80" s="73"/>
      <c r="J80" s="73"/>
      <c r="K80" s="202"/>
      <c r="L80" s="75" t="str">
        <f t="shared" si="11"/>
        <v/>
      </c>
      <c r="M80" s="75"/>
      <c r="N80" s="75" t="str">
        <f t="shared" si="12"/>
        <v/>
      </c>
      <c r="O80" s="204" t="str">
        <f t="shared" si="15"/>
        <v/>
      </c>
      <c r="P80" s="8"/>
      <c r="Q80" s="8"/>
      <c r="R80" s="8"/>
      <c r="S80" s="8"/>
    </row>
    <row r="81" spans="1:19" x14ac:dyDescent="0.25">
      <c r="A81" s="197">
        <f t="shared" si="8"/>
        <v>0</v>
      </c>
      <c r="B81" s="76" t="str">
        <f t="shared" si="10"/>
        <v/>
      </c>
      <c r="C81" s="77" t="str">
        <f>IF(G81&lt;&gt;"",IFERROR(ROUND(VLOOKUP(G81,ProductList!J:AO,31,FALSE),0),""),"")</f>
        <v/>
      </c>
      <c r="D81" s="73" t="str">
        <f>IF(E81&lt;&gt;"",IF(D80&lt;&gt;"",D80,#REF!)+1,"")</f>
        <v/>
      </c>
      <c r="E81" s="73"/>
      <c r="F81" s="73"/>
      <c r="G81" s="122"/>
      <c r="H81" s="104"/>
      <c r="I81" s="73"/>
      <c r="J81" s="73"/>
      <c r="K81" s="202"/>
      <c r="L81" s="75" t="str">
        <f t="shared" si="11"/>
        <v/>
      </c>
      <c r="M81" s="75"/>
      <c r="N81" s="75" t="str">
        <f t="shared" si="12"/>
        <v/>
      </c>
      <c r="O81" s="204" t="str">
        <f t="shared" si="15"/>
        <v/>
      </c>
      <c r="P81" s="8"/>
      <c r="Q81" s="8"/>
      <c r="R81" s="8"/>
      <c r="S81" s="8"/>
    </row>
    <row r="82" spans="1:19" x14ac:dyDescent="0.25">
      <c r="A82" s="197">
        <f t="shared" si="8"/>
        <v>0</v>
      </c>
      <c r="B82" s="76" t="str">
        <f t="shared" si="10"/>
        <v/>
      </c>
      <c r="C82" s="77" t="str">
        <f>IF(G82&lt;&gt;"",IFERROR(ROUND(VLOOKUP(G82,ProductList!J:AO,31,FALSE),0),""),"")</f>
        <v/>
      </c>
      <c r="D82" s="73" t="str">
        <f>IF(E82&lt;&gt;"",IF(D81&lt;&gt;"",D81,#REF!)+1,"")</f>
        <v/>
      </c>
      <c r="E82" s="73"/>
      <c r="F82" s="73"/>
      <c r="G82" s="122"/>
      <c r="H82" s="104"/>
      <c r="I82" s="73"/>
      <c r="J82" s="73"/>
      <c r="K82" s="202"/>
      <c r="L82" s="75" t="str">
        <f t="shared" si="11"/>
        <v/>
      </c>
      <c r="M82" s="75"/>
      <c r="N82" s="75" t="str">
        <f t="shared" si="12"/>
        <v/>
      </c>
      <c r="O82" s="204" t="str">
        <f t="shared" si="15"/>
        <v/>
      </c>
      <c r="P82" s="8"/>
      <c r="Q82" s="8"/>
      <c r="R82" s="8"/>
      <c r="S82" s="8"/>
    </row>
    <row r="83" spans="1:19" x14ac:dyDescent="0.25">
      <c r="A83" s="197">
        <f t="shared" si="8"/>
        <v>0</v>
      </c>
      <c r="B83" s="76" t="str">
        <f t="shared" si="10"/>
        <v/>
      </c>
      <c r="C83" s="77" t="str">
        <f>IF(G83&lt;&gt;"",IFERROR(ROUND(VLOOKUP(G83,ProductList!J:AO,31,FALSE),0),""),"")</f>
        <v/>
      </c>
      <c r="D83" s="73" t="str">
        <f>IF(E83&lt;&gt;"",IF(D82&lt;&gt;"",D82,#REF!)+1,"")</f>
        <v/>
      </c>
      <c r="E83" s="73"/>
      <c r="F83" s="73"/>
      <c r="G83" s="122"/>
      <c r="H83" s="104"/>
      <c r="I83" s="73"/>
      <c r="J83" s="73"/>
      <c r="K83" s="202"/>
      <c r="L83" s="75" t="str">
        <f t="shared" si="11"/>
        <v/>
      </c>
      <c r="M83" s="75"/>
      <c r="N83" s="75" t="str">
        <f t="shared" si="12"/>
        <v/>
      </c>
      <c r="O83" s="204" t="str">
        <f t="shared" si="15"/>
        <v/>
      </c>
      <c r="P83" s="8"/>
      <c r="Q83" s="8"/>
      <c r="R83" s="8"/>
      <c r="S83" s="8"/>
    </row>
    <row r="84" spans="1:19" x14ac:dyDescent="0.25">
      <c r="A84" s="197">
        <f t="shared" si="8"/>
        <v>0</v>
      </c>
      <c r="B84" s="76" t="str">
        <f t="shared" si="10"/>
        <v/>
      </c>
      <c r="C84" s="77" t="str">
        <f>IF(G84&lt;&gt;"",IFERROR(ROUND(VLOOKUP(G84,ProductList!J:AO,31,FALSE),0),""),"")</f>
        <v/>
      </c>
      <c r="D84" s="73" t="str">
        <f>IF(E84&lt;&gt;"",IF(D83&lt;&gt;"",D83,#REF!)+1,"")</f>
        <v/>
      </c>
      <c r="E84" s="73"/>
      <c r="F84" s="73"/>
      <c r="G84" s="122"/>
      <c r="H84" s="104"/>
      <c r="I84" s="73"/>
      <c r="J84" s="73"/>
      <c r="K84" s="202"/>
      <c r="L84" s="75" t="str">
        <f t="shared" si="11"/>
        <v/>
      </c>
      <c r="M84" s="75"/>
      <c r="N84" s="75" t="str">
        <f t="shared" si="12"/>
        <v/>
      </c>
      <c r="O84" s="204" t="str">
        <f t="shared" si="15"/>
        <v/>
      </c>
      <c r="P84" s="8"/>
      <c r="Q84" s="8"/>
      <c r="R84" s="8"/>
      <c r="S84" s="8"/>
    </row>
    <row r="85" spans="1:19" x14ac:dyDescent="0.25">
      <c r="A85" s="197">
        <f t="shared" si="8"/>
        <v>0</v>
      </c>
      <c r="B85" s="76" t="str">
        <f t="shared" si="10"/>
        <v/>
      </c>
      <c r="C85" s="77" t="str">
        <f>IF(G85&lt;&gt;"",IFERROR(ROUND(VLOOKUP(G85,ProductList!J:AO,31,FALSE),0),""),"")</f>
        <v/>
      </c>
      <c r="D85" s="73" t="str">
        <f>IF(E85&lt;&gt;"",IF(D84&lt;&gt;"",D84,#REF!)+1,"")</f>
        <v/>
      </c>
      <c r="E85" s="73"/>
      <c r="F85" s="73"/>
      <c r="G85" s="122"/>
      <c r="H85" s="104"/>
      <c r="I85" s="73"/>
      <c r="J85" s="73"/>
      <c r="K85" s="202"/>
      <c r="L85" s="75" t="str">
        <f t="shared" si="11"/>
        <v/>
      </c>
      <c r="M85" s="75"/>
      <c r="N85" s="75" t="str">
        <f t="shared" si="12"/>
        <v/>
      </c>
      <c r="O85" s="204" t="str">
        <f t="shared" si="15"/>
        <v/>
      </c>
      <c r="P85" s="8"/>
      <c r="Q85" s="8"/>
      <c r="R85" s="8"/>
      <c r="S85" s="8"/>
    </row>
    <row r="86" spans="1:19" x14ac:dyDescent="0.25">
      <c r="A86" s="197">
        <f t="shared" si="8"/>
        <v>0</v>
      </c>
      <c r="B86" s="76" t="str">
        <f t="shared" si="10"/>
        <v/>
      </c>
      <c r="C86" s="77" t="str">
        <f>IF(G86&lt;&gt;"",IFERROR(ROUND(VLOOKUP(G86,ProductList!J:AO,31,FALSE),0),""),"")</f>
        <v/>
      </c>
      <c r="D86" s="73" t="str">
        <f>IF(E86&lt;&gt;"",IF(D85&lt;&gt;"",D85,#REF!)+1,"")</f>
        <v/>
      </c>
      <c r="E86" s="73"/>
      <c r="F86" s="73"/>
      <c r="G86" s="122"/>
      <c r="H86" s="104"/>
      <c r="I86" s="73"/>
      <c r="J86" s="73"/>
      <c r="K86" s="202"/>
      <c r="L86" s="75" t="str">
        <f t="shared" si="11"/>
        <v/>
      </c>
      <c r="M86" s="75"/>
      <c r="N86" s="75" t="str">
        <f t="shared" si="12"/>
        <v/>
      </c>
      <c r="O86" s="204" t="str">
        <f t="shared" si="15"/>
        <v/>
      </c>
      <c r="P86" s="8"/>
      <c r="Q86" s="8"/>
      <c r="R86" s="8"/>
      <c r="S86" s="8"/>
    </row>
    <row r="87" spans="1:19" x14ac:dyDescent="0.25">
      <c r="A87" s="197">
        <f t="shared" si="8"/>
        <v>0</v>
      </c>
      <c r="B87" s="76" t="str">
        <f t="shared" si="10"/>
        <v/>
      </c>
      <c r="C87" s="77" t="str">
        <f>IF(G87&lt;&gt;"",IFERROR(ROUND(VLOOKUP(G87,ProductList!J:AO,31,FALSE),0),""),"")</f>
        <v/>
      </c>
      <c r="D87" s="73" t="str">
        <f>IF(E87&lt;&gt;"",IF(D86&lt;&gt;"",D86,#REF!)+1,"")</f>
        <v/>
      </c>
      <c r="E87" s="73"/>
      <c r="F87" s="73"/>
      <c r="G87" s="122"/>
      <c r="H87" s="104"/>
      <c r="I87" s="73"/>
      <c r="J87" s="73"/>
      <c r="K87" s="202"/>
      <c r="L87" s="75" t="str">
        <f t="shared" si="11"/>
        <v/>
      </c>
      <c r="M87" s="75"/>
      <c r="N87" s="75" t="str">
        <f t="shared" si="12"/>
        <v/>
      </c>
      <c r="O87" s="204" t="str">
        <f t="shared" si="15"/>
        <v/>
      </c>
      <c r="P87" s="8"/>
      <c r="Q87" s="8"/>
      <c r="R87" s="8"/>
      <c r="S87" s="8"/>
    </row>
    <row r="88" spans="1:19" x14ac:dyDescent="0.25">
      <c r="A88" s="197">
        <f t="shared" si="8"/>
        <v>0</v>
      </c>
      <c r="B88" s="76" t="str">
        <f t="shared" si="10"/>
        <v/>
      </c>
      <c r="C88" s="77" t="str">
        <f>IF(G88&lt;&gt;"",IFERROR(ROUND(VLOOKUP(G88,ProductList!J:AO,31,FALSE),0),""),"")</f>
        <v/>
      </c>
      <c r="D88" s="73" t="str">
        <f>IF(E88&lt;&gt;"",IF(D87&lt;&gt;"",D87,#REF!)+1,"")</f>
        <v/>
      </c>
      <c r="E88" s="73"/>
      <c r="F88" s="73"/>
      <c r="G88" s="122"/>
      <c r="H88" s="104"/>
      <c r="I88" s="73"/>
      <c r="J88" s="73"/>
      <c r="K88" s="202"/>
      <c r="L88" s="75" t="str">
        <f t="shared" si="11"/>
        <v/>
      </c>
      <c r="M88" s="75"/>
      <c r="N88" s="75" t="str">
        <f t="shared" si="12"/>
        <v/>
      </c>
      <c r="O88" s="204" t="str">
        <f t="shared" si="15"/>
        <v/>
      </c>
      <c r="P88" s="8"/>
      <c r="Q88" s="8"/>
      <c r="R88" s="8"/>
      <c r="S88" s="8"/>
    </row>
    <row r="89" spans="1:19" x14ac:dyDescent="0.25">
      <c r="A89" s="197">
        <f t="shared" si="8"/>
        <v>0</v>
      </c>
      <c r="B89" s="76" t="str">
        <f t="shared" si="10"/>
        <v/>
      </c>
      <c r="C89" s="77" t="str">
        <f>IF(G89&lt;&gt;"",IFERROR(ROUND(VLOOKUP(G89,ProductList!J:AO,31,FALSE),0),""),"")</f>
        <v/>
      </c>
      <c r="D89" s="73" t="str">
        <f>IF(E89&lt;&gt;"",IF(D88&lt;&gt;"",D88,#REF!)+1,"")</f>
        <v/>
      </c>
      <c r="E89" s="73"/>
      <c r="F89" s="73"/>
      <c r="G89" s="122"/>
      <c r="H89" s="104"/>
      <c r="I89" s="73"/>
      <c r="J89" s="73"/>
      <c r="K89" s="202"/>
      <c r="L89" s="75" t="str">
        <f t="shared" si="11"/>
        <v/>
      </c>
      <c r="M89" s="75"/>
      <c r="N89" s="75" t="str">
        <f t="shared" si="12"/>
        <v/>
      </c>
      <c r="O89" s="204" t="str">
        <f t="shared" si="15"/>
        <v/>
      </c>
      <c r="P89" s="8"/>
      <c r="Q89" s="8"/>
      <c r="R89" s="8"/>
      <c r="S89" s="8"/>
    </row>
    <row r="90" spans="1:19" x14ac:dyDescent="0.25">
      <c r="A90" s="197">
        <f t="shared" si="8"/>
        <v>0</v>
      </c>
      <c r="B90" s="76" t="str">
        <f t="shared" si="10"/>
        <v/>
      </c>
      <c r="C90" s="77" t="str">
        <f>IF(G90&lt;&gt;"",IFERROR(ROUND(VLOOKUP(G90,ProductList!J:AO,31,FALSE),0),""),"")</f>
        <v/>
      </c>
      <c r="D90" s="73" t="str">
        <f>IF(E90&lt;&gt;"",IF(D89&lt;&gt;"",D89,#REF!)+1,"")</f>
        <v/>
      </c>
      <c r="E90" s="73"/>
      <c r="F90" s="73"/>
      <c r="G90" s="122"/>
      <c r="H90" s="104"/>
      <c r="I90" s="73"/>
      <c r="J90" s="73"/>
      <c r="K90" s="202"/>
      <c r="L90" s="75" t="str">
        <f t="shared" si="11"/>
        <v/>
      </c>
      <c r="M90" s="75"/>
      <c r="N90" s="75" t="str">
        <f t="shared" si="12"/>
        <v/>
      </c>
      <c r="O90" s="204" t="str">
        <f t="shared" si="15"/>
        <v/>
      </c>
      <c r="P90" s="8"/>
      <c r="Q90" s="8"/>
      <c r="R90" s="8"/>
      <c r="S90" s="8"/>
    </row>
    <row r="91" spans="1:19" x14ac:dyDescent="0.25">
      <c r="A91" s="197">
        <f t="shared" si="8"/>
        <v>0</v>
      </c>
      <c r="B91" s="76" t="str">
        <f t="shared" si="10"/>
        <v/>
      </c>
      <c r="C91" s="77" t="str">
        <f>IF(G91&lt;&gt;"",IFERROR(ROUND(VLOOKUP(G91,ProductList!J:AO,31,FALSE),0),""),"")</f>
        <v/>
      </c>
      <c r="D91" s="73" t="str">
        <f>IF(E91&lt;&gt;"",IF(D90&lt;&gt;"",D90,#REF!)+1,"")</f>
        <v/>
      </c>
      <c r="E91" s="73"/>
      <c r="F91" s="73"/>
      <c r="G91" s="122"/>
      <c r="H91" s="104"/>
      <c r="I91" s="73"/>
      <c r="J91" s="73"/>
      <c r="K91" s="202"/>
      <c r="L91" s="75" t="str">
        <f t="shared" si="11"/>
        <v/>
      </c>
      <c r="M91" s="75"/>
      <c r="N91" s="75" t="str">
        <f t="shared" si="12"/>
        <v/>
      </c>
      <c r="O91" s="204" t="str">
        <f t="shared" si="15"/>
        <v/>
      </c>
      <c r="P91" s="8"/>
      <c r="Q91" s="8"/>
      <c r="R91" s="8"/>
      <c r="S91" s="8"/>
    </row>
    <row r="92" spans="1:19" x14ac:dyDescent="0.25">
      <c r="A92" s="197">
        <f t="shared" si="8"/>
        <v>0</v>
      </c>
      <c r="B92" s="76" t="str">
        <f t="shared" si="10"/>
        <v/>
      </c>
      <c r="C92" s="77" t="str">
        <f>IF(G92&lt;&gt;"",IFERROR(ROUND(VLOOKUP(G92,ProductList!J:AO,31,FALSE),0),""),"")</f>
        <v/>
      </c>
      <c r="D92" s="73" t="str">
        <f>IF(E92&lt;&gt;"",IF(D91&lt;&gt;"",D91,#REF!)+1,"")</f>
        <v/>
      </c>
      <c r="E92" s="73"/>
      <c r="F92" s="73"/>
      <c r="G92" s="122"/>
      <c r="H92" s="104"/>
      <c r="I92" s="73"/>
      <c r="J92" s="73"/>
      <c r="K92" s="202"/>
      <c r="L92" s="75" t="str">
        <f t="shared" si="11"/>
        <v/>
      </c>
      <c r="M92" s="75"/>
      <c r="N92" s="75" t="str">
        <f t="shared" si="12"/>
        <v/>
      </c>
      <c r="O92" s="204" t="str">
        <f t="shared" si="15"/>
        <v/>
      </c>
      <c r="P92" s="8"/>
      <c r="Q92" s="8"/>
      <c r="R92" s="8"/>
      <c r="S92" s="8"/>
    </row>
    <row r="93" spans="1:19" x14ac:dyDescent="0.25">
      <c r="A93" s="197">
        <f t="shared" si="8"/>
        <v>0</v>
      </c>
      <c r="B93" s="76" t="str">
        <f t="shared" si="10"/>
        <v/>
      </c>
      <c r="C93" s="77" t="str">
        <f>IF(G93&lt;&gt;"",IFERROR(ROUND(VLOOKUP(G93,ProductList!J:AO,31,FALSE),0),""),"")</f>
        <v/>
      </c>
      <c r="D93" s="73" t="str">
        <f>IF(E93&lt;&gt;"",IF(D92&lt;&gt;"",D92,#REF!)+1,"")</f>
        <v/>
      </c>
      <c r="E93" s="73"/>
      <c r="F93" s="73"/>
      <c r="G93" s="122"/>
      <c r="H93" s="104"/>
      <c r="I93" s="73"/>
      <c r="J93" s="73"/>
      <c r="K93" s="202"/>
      <c r="L93" s="75" t="str">
        <f t="shared" si="11"/>
        <v/>
      </c>
      <c r="M93" s="75"/>
      <c r="N93" s="75" t="str">
        <f t="shared" si="12"/>
        <v/>
      </c>
      <c r="O93" s="204" t="str">
        <f t="shared" si="15"/>
        <v/>
      </c>
      <c r="P93" s="8"/>
      <c r="Q93" s="8"/>
      <c r="R93" s="8"/>
      <c r="S93" s="8"/>
    </row>
    <row r="94" spans="1:19" x14ac:dyDescent="0.25">
      <c r="A94" s="197">
        <f t="shared" si="8"/>
        <v>0</v>
      </c>
      <c r="B94" s="76" t="str">
        <f t="shared" si="10"/>
        <v/>
      </c>
      <c r="C94" s="77" t="str">
        <f>IF(G94&lt;&gt;"",IFERROR(ROUND(VLOOKUP(G94,ProductList!J:AO,31,FALSE),0),""),"")</f>
        <v/>
      </c>
      <c r="D94" s="73" t="str">
        <f>IF(E94&lt;&gt;"",IF(D93&lt;&gt;"",D93,#REF!)+1,"")</f>
        <v/>
      </c>
      <c r="E94" s="73"/>
      <c r="F94" s="73"/>
      <c r="G94" s="122"/>
      <c r="H94" s="104"/>
      <c r="I94" s="73"/>
      <c r="J94" s="73"/>
      <c r="K94" s="202"/>
      <c r="L94" s="75" t="str">
        <f t="shared" si="11"/>
        <v/>
      </c>
      <c r="M94" s="75"/>
      <c r="N94" s="75" t="str">
        <f t="shared" si="12"/>
        <v/>
      </c>
      <c r="O94" s="204" t="str">
        <f t="shared" si="15"/>
        <v/>
      </c>
      <c r="P94" s="8"/>
      <c r="Q94" s="8"/>
      <c r="R94" s="8"/>
      <c r="S94" s="8"/>
    </row>
    <row r="95" spans="1:19" x14ac:dyDescent="0.25">
      <c r="A95" s="197">
        <f t="shared" si="8"/>
        <v>0</v>
      </c>
      <c r="B95" s="76" t="str">
        <f t="shared" si="10"/>
        <v/>
      </c>
      <c r="C95" s="77" t="str">
        <f>IF(G95&lt;&gt;"",IFERROR(ROUND(VLOOKUP(G95,ProductList!J:AO,31,FALSE),0),""),"")</f>
        <v/>
      </c>
      <c r="D95" s="73" t="str">
        <f>IF(E95&lt;&gt;"",IF(D94&lt;&gt;"",D94,#REF!)+1,"")</f>
        <v/>
      </c>
      <c r="E95" s="73"/>
      <c r="F95" s="73"/>
      <c r="G95" s="122"/>
      <c r="H95" s="104"/>
      <c r="I95" s="73"/>
      <c r="J95" s="73"/>
      <c r="K95" s="202"/>
      <c r="L95" s="75" t="str">
        <f t="shared" si="11"/>
        <v/>
      </c>
      <c r="M95" s="75"/>
      <c r="N95" s="75" t="str">
        <f t="shared" si="12"/>
        <v/>
      </c>
      <c r="O95" s="204" t="str">
        <f t="shared" si="15"/>
        <v/>
      </c>
      <c r="P95" s="8"/>
      <c r="Q95" s="8"/>
      <c r="R95" s="8"/>
      <c r="S95" s="8"/>
    </row>
    <row r="96" spans="1:19" x14ac:dyDescent="0.25">
      <c r="A96" s="197">
        <f t="shared" si="8"/>
        <v>0</v>
      </c>
      <c r="B96" s="76" t="str">
        <f t="shared" si="10"/>
        <v/>
      </c>
      <c r="C96" s="77" t="str">
        <f>IF(G96&lt;&gt;"",IFERROR(ROUND(VLOOKUP(G96,ProductList!J:AO,31,FALSE),0),""),"")</f>
        <v/>
      </c>
      <c r="D96" s="73" t="str">
        <f>IF(E96&lt;&gt;"",IF(D95&lt;&gt;"",D95,#REF!)+1,"")</f>
        <v/>
      </c>
      <c r="E96" s="73"/>
      <c r="F96" s="73"/>
      <c r="G96" s="122"/>
      <c r="H96" s="104"/>
      <c r="I96" s="73"/>
      <c r="J96" s="73"/>
      <c r="K96" s="202"/>
      <c r="L96" s="75" t="str">
        <f t="shared" si="11"/>
        <v/>
      </c>
      <c r="M96" s="75"/>
      <c r="N96" s="75" t="str">
        <f t="shared" si="12"/>
        <v/>
      </c>
      <c r="O96" s="204" t="str">
        <f t="shared" si="15"/>
        <v/>
      </c>
      <c r="P96" s="8"/>
      <c r="Q96" s="8"/>
      <c r="R96" s="8"/>
      <c r="S96" s="8"/>
    </row>
    <row r="97" spans="1:19" x14ac:dyDescent="0.25">
      <c r="A97" s="197">
        <f t="shared" si="8"/>
        <v>0</v>
      </c>
      <c r="B97" s="76" t="str">
        <f t="shared" si="10"/>
        <v/>
      </c>
      <c r="C97" s="77" t="str">
        <f>IF(G97&lt;&gt;"",IFERROR(ROUND(VLOOKUP(G97,ProductList!J:AO,31,FALSE),0),""),"")</f>
        <v/>
      </c>
      <c r="D97" s="73" t="str">
        <f>IF(E97&lt;&gt;"",IF(D96&lt;&gt;"",D96,#REF!)+1,"")</f>
        <v/>
      </c>
      <c r="E97" s="73"/>
      <c r="F97" s="73"/>
      <c r="G97" s="122"/>
      <c r="H97" s="104"/>
      <c r="I97" s="73"/>
      <c r="J97" s="73"/>
      <c r="K97" s="202"/>
      <c r="L97" s="75" t="str">
        <f t="shared" si="11"/>
        <v/>
      </c>
      <c r="M97" s="75"/>
      <c r="N97" s="75" t="str">
        <f t="shared" si="12"/>
        <v/>
      </c>
      <c r="O97" s="204" t="str">
        <f t="shared" si="15"/>
        <v/>
      </c>
      <c r="P97" s="8"/>
      <c r="Q97" s="8"/>
      <c r="R97" s="8"/>
      <c r="S97" s="8"/>
    </row>
    <row r="98" spans="1:19" x14ac:dyDescent="0.25">
      <c r="A98" s="197">
        <f t="shared" si="8"/>
        <v>0</v>
      </c>
      <c r="B98" s="76" t="str">
        <f t="shared" si="10"/>
        <v/>
      </c>
      <c r="C98" s="77" t="str">
        <f>IF(G98&lt;&gt;"",IFERROR(ROUND(VLOOKUP(G98,ProductList!J:AO,31,FALSE),0),""),"")</f>
        <v/>
      </c>
      <c r="D98" s="73" t="str">
        <f>IF(E98&lt;&gt;"",IF(D97&lt;&gt;"",D97,#REF!)+1,"")</f>
        <v/>
      </c>
      <c r="E98" s="73"/>
      <c r="F98" s="73"/>
      <c r="G98" s="122"/>
      <c r="H98" s="104"/>
      <c r="I98" s="73"/>
      <c r="J98" s="73"/>
      <c r="K98" s="202"/>
      <c r="L98" s="75" t="str">
        <f t="shared" si="11"/>
        <v/>
      </c>
      <c r="M98" s="75"/>
      <c r="N98" s="75" t="str">
        <f t="shared" si="12"/>
        <v/>
      </c>
      <c r="O98" s="204" t="str">
        <f t="shared" si="15"/>
        <v/>
      </c>
      <c r="P98" s="8"/>
      <c r="Q98" s="8"/>
      <c r="R98" s="8"/>
      <c r="S98" s="8"/>
    </row>
    <row r="99" spans="1:19" x14ac:dyDescent="0.25">
      <c r="A99" s="197">
        <f t="shared" si="8"/>
        <v>0</v>
      </c>
      <c r="B99" s="76" t="str">
        <f t="shared" si="10"/>
        <v/>
      </c>
      <c r="C99" s="77" t="str">
        <f>IF(G99&lt;&gt;"",IFERROR(ROUND(VLOOKUP(G99,ProductList!J:AO,31,FALSE),0),""),"")</f>
        <v/>
      </c>
      <c r="D99" s="73" t="str">
        <f>IF(E99&lt;&gt;"",IF(D98&lt;&gt;"",D98,#REF!)+1,"")</f>
        <v/>
      </c>
      <c r="E99" s="73"/>
      <c r="F99" s="73"/>
      <c r="G99" s="122"/>
      <c r="H99" s="104"/>
      <c r="I99" s="73"/>
      <c r="J99" s="73"/>
      <c r="K99" s="202"/>
      <c r="L99" s="75" t="str">
        <f t="shared" si="11"/>
        <v/>
      </c>
      <c r="M99" s="75"/>
      <c r="N99" s="75" t="str">
        <f t="shared" si="12"/>
        <v/>
      </c>
      <c r="O99" s="204" t="str">
        <f t="shared" si="15"/>
        <v/>
      </c>
      <c r="P99" s="8"/>
      <c r="Q99" s="8"/>
      <c r="R99" s="8"/>
      <c r="S99" s="8"/>
    </row>
    <row r="100" spans="1:19" x14ac:dyDescent="0.25">
      <c r="A100" s="197">
        <f t="shared" si="8"/>
        <v>0</v>
      </c>
      <c r="B100" s="76" t="str">
        <f t="shared" si="10"/>
        <v/>
      </c>
      <c r="C100" s="77" t="str">
        <f>IF(G100&lt;&gt;"",IFERROR(ROUND(VLOOKUP(G100,ProductList!J:AO,31,FALSE),0),""),"")</f>
        <v/>
      </c>
      <c r="D100" s="73" t="str">
        <f>IF(E100&lt;&gt;"",IF(D99&lt;&gt;"",D99,#REF!)+1,"")</f>
        <v/>
      </c>
      <c r="E100" s="73"/>
      <c r="F100" s="73"/>
      <c r="G100" s="122"/>
      <c r="H100" s="104"/>
      <c r="I100" s="73"/>
      <c r="J100" s="73"/>
      <c r="K100" s="202"/>
      <c r="L100" s="75" t="str">
        <f t="shared" si="11"/>
        <v/>
      </c>
      <c r="M100" s="75"/>
      <c r="N100" s="75" t="str">
        <f t="shared" si="12"/>
        <v/>
      </c>
      <c r="O100" s="204" t="str">
        <f t="shared" si="15"/>
        <v/>
      </c>
      <c r="P100" s="8"/>
      <c r="Q100" s="8"/>
      <c r="R100" s="8"/>
      <c r="S100" s="8"/>
    </row>
    <row r="101" spans="1:19" x14ac:dyDescent="0.25">
      <c r="A101" s="197">
        <f t="shared" si="8"/>
        <v>0</v>
      </c>
      <c r="B101" s="76" t="str">
        <f t="shared" si="10"/>
        <v/>
      </c>
      <c r="C101" s="77" t="str">
        <f>IF(G101&lt;&gt;"",IFERROR(ROUND(VLOOKUP(G101,ProductList!J:AO,31,FALSE),0),""),"")</f>
        <v/>
      </c>
      <c r="D101" s="73" t="str">
        <f>IF(E101&lt;&gt;"",IF(D100&lt;&gt;"",D100,#REF!)+1,"")</f>
        <v/>
      </c>
      <c r="E101" s="73"/>
      <c r="F101" s="73"/>
      <c r="G101" s="122"/>
      <c r="H101" s="104"/>
      <c r="I101" s="73"/>
      <c r="J101" s="73"/>
      <c r="K101" s="202"/>
      <c r="L101" s="75" t="str">
        <f t="shared" si="11"/>
        <v/>
      </c>
      <c r="M101" s="75"/>
      <c r="N101" s="75" t="str">
        <f t="shared" si="12"/>
        <v/>
      </c>
      <c r="O101" s="204" t="str">
        <f t="shared" si="15"/>
        <v/>
      </c>
      <c r="P101" s="8"/>
      <c r="Q101" s="8"/>
      <c r="R101" s="8"/>
      <c r="S101" s="8"/>
    </row>
    <row r="102" spans="1:19" x14ac:dyDescent="0.25">
      <c r="A102" s="197">
        <f t="shared" si="8"/>
        <v>0</v>
      </c>
      <c r="B102" s="76" t="str">
        <f t="shared" si="10"/>
        <v/>
      </c>
      <c r="C102" s="77" t="str">
        <f>IF(G102&lt;&gt;"",IFERROR(ROUND(VLOOKUP(G102,ProductList!J:AO,31,FALSE),0),""),"")</f>
        <v/>
      </c>
      <c r="D102" s="73" t="str">
        <f>IF(E102&lt;&gt;"",IF(D101&lt;&gt;"",D101,#REF!)+1,"")</f>
        <v/>
      </c>
      <c r="E102" s="73"/>
      <c r="F102" s="73"/>
      <c r="G102" s="122"/>
      <c r="H102" s="104"/>
      <c r="I102" s="73"/>
      <c r="J102" s="73"/>
      <c r="K102" s="202"/>
      <c r="L102" s="75" t="str">
        <f t="shared" si="11"/>
        <v/>
      </c>
      <c r="M102" s="75"/>
      <c r="N102" s="75" t="str">
        <f t="shared" si="12"/>
        <v/>
      </c>
      <c r="O102" s="204" t="str">
        <f t="shared" si="15"/>
        <v/>
      </c>
      <c r="P102" s="8"/>
      <c r="Q102" s="8"/>
      <c r="R102" s="8"/>
      <c r="S102" s="8"/>
    </row>
    <row r="103" spans="1:19" x14ac:dyDescent="0.25">
      <c r="A103" s="197">
        <f t="shared" si="8"/>
        <v>0</v>
      </c>
      <c r="B103" s="76" t="str">
        <f t="shared" si="10"/>
        <v/>
      </c>
      <c r="C103" s="77" t="str">
        <f>IF(G103&lt;&gt;"",IFERROR(ROUND(VLOOKUP(G103,ProductList!J:AO,31,FALSE),0),""),"")</f>
        <v/>
      </c>
      <c r="D103" s="73" t="str">
        <f>IF(E103&lt;&gt;"",IF(D102&lt;&gt;"",D102,#REF!)+1,"")</f>
        <v/>
      </c>
      <c r="E103" s="73"/>
      <c r="F103" s="73"/>
      <c r="G103" s="122"/>
      <c r="H103" s="104"/>
      <c r="I103" s="73"/>
      <c r="J103" s="73"/>
      <c r="K103" s="202"/>
      <c r="L103" s="75" t="str">
        <f t="shared" si="11"/>
        <v/>
      </c>
      <c r="M103" s="75"/>
      <c r="N103" s="75" t="str">
        <f t="shared" si="12"/>
        <v/>
      </c>
      <c r="O103" s="204" t="str">
        <f t="shared" si="15"/>
        <v/>
      </c>
      <c r="P103" s="8"/>
      <c r="Q103" s="8"/>
      <c r="R103" s="8"/>
      <c r="S103" s="8"/>
    </row>
    <row r="104" spans="1:19" x14ac:dyDescent="0.25">
      <c r="A104" s="197">
        <f t="shared" si="8"/>
        <v>0</v>
      </c>
      <c r="B104" s="76" t="str">
        <f t="shared" si="10"/>
        <v/>
      </c>
      <c r="C104" s="77" t="str">
        <f>IF(G104&lt;&gt;"",IFERROR(ROUND(VLOOKUP(G104,ProductList!J:AO,31,FALSE),0),""),"")</f>
        <v/>
      </c>
      <c r="D104" s="73" t="str">
        <f>IF(E104&lt;&gt;"",IF(D103&lt;&gt;"",D103,#REF!)+1,"")</f>
        <v/>
      </c>
      <c r="E104" s="73"/>
      <c r="F104" s="73"/>
      <c r="G104" s="122"/>
      <c r="H104" s="104"/>
      <c r="I104" s="73"/>
      <c r="J104" s="73"/>
      <c r="K104" s="202"/>
      <c r="L104" s="75" t="str">
        <f t="shared" si="11"/>
        <v/>
      </c>
      <c r="M104" s="75"/>
      <c r="N104" s="75" t="str">
        <f t="shared" si="12"/>
        <v/>
      </c>
      <c r="O104" s="204" t="str">
        <f t="shared" si="15"/>
        <v/>
      </c>
      <c r="P104" s="8"/>
      <c r="Q104" s="8"/>
      <c r="R104" s="8"/>
      <c r="S104" s="8"/>
    </row>
    <row r="105" spans="1:19" x14ac:dyDescent="0.25">
      <c r="A105" s="197">
        <f t="shared" si="8"/>
        <v>0</v>
      </c>
      <c r="B105" s="76" t="str">
        <f t="shared" si="10"/>
        <v/>
      </c>
      <c r="C105" s="77" t="str">
        <f>IF(G105&lt;&gt;"",IFERROR(ROUND(VLOOKUP(G105,ProductList!J:AO,31,FALSE),0),""),"")</f>
        <v/>
      </c>
      <c r="D105" s="73" t="str">
        <f>IF(E105&lt;&gt;"",IF(D104&lt;&gt;"",D104,#REF!)+1,"")</f>
        <v/>
      </c>
      <c r="E105" s="73"/>
      <c r="F105" s="73"/>
      <c r="G105" s="122"/>
      <c r="H105" s="104"/>
      <c r="I105" s="73"/>
      <c r="J105" s="73"/>
      <c r="K105" s="202"/>
      <c r="L105" s="75" t="str">
        <f t="shared" si="11"/>
        <v/>
      </c>
      <c r="M105" s="75"/>
      <c r="N105" s="75" t="str">
        <f t="shared" si="12"/>
        <v/>
      </c>
      <c r="O105" s="204" t="str">
        <f t="shared" si="15"/>
        <v/>
      </c>
      <c r="P105" s="8"/>
      <c r="Q105" s="8"/>
      <c r="R105" s="8"/>
      <c r="S105" s="8"/>
    </row>
    <row r="106" spans="1:19" x14ac:dyDescent="0.25">
      <c r="A106" s="197">
        <f t="shared" si="8"/>
        <v>0</v>
      </c>
      <c r="B106" s="76" t="str">
        <f t="shared" si="10"/>
        <v/>
      </c>
      <c r="C106" s="77" t="str">
        <f>IF(G106&lt;&gt;"",IFERROR(ROUND(VLOOKUP(G106,ProductList!J:AO,31,FALSE),0),""),"")</f>
        <v/>
      </c>
      <c r="D106" s="73" t="str">
        <f>IF(E106&lt;&gt;"",IF(D105&lt;&gt;"",D105,#REF!)+1,"")</f>
        <v/>
      </c>
      <c r="E106" s="73"/>
      <c r="F106" s="73"/>
      <c r="G106" s="122"/>
      <c r="H106" s="104"/>
      <c r="I106" s="73"/>
      <c r="J106" s="73"/>
      <c r="K106" s="202"/>
      <c r="L106" s="75" t="str">
        <f t="shared" si="11"/>
        <v/>
      </c>
      <c r="M106" s="75"/>
      <c r="N106" s="75" t="str">
        <f t="shared" si="12"/>
        <v/>
      </c>
      <c r="O106" s="204" t="str">
        <f t="shared" si="15"/>
        <v/>
      </c>
      <c r="P106" s="8"/>
      <c r="Q106" s="8"/>
      <c r="R106" s="8"/>
      <c r="S106" s="8"/>
    </row>
    <row r="107" spans="1:19" x14ac:dyDescent="0.25">
      <c r="A107" s="197">
        <f t="shared" si="8"/>
        <v>0</v>
      </c>
      <c r="B107" s="76" t="str">
        <f t="shared" si="10"/>
        <v/>
      </c>
      <c r="C107" s="77" t="str">
        <f>IF(G107&lt;&gt;"",IFERROR(ROUND(VLOOKUP(G107,ProductList!J:AO,31,FALSE),0),""),"")</f>
        <v/>
      </c>
      <c r="D107" s="73" t="str">
        <f>IF(E107&lt;&gt;"",IF(D106&lt;&gt;"",D106,#REF!)+1,"")</f>
        <v/>
      </c>
      <c r="E107" s="73"/>
      <c r="F107" s="73"/>
      <c r="G107" s="122"/>
      <c r="H107" s="104"/>
      <c r="I107" s="73"/>
      <c r="J107" s="73"/>
      <c r="K107" s="202"/>
      <c r="L107" s="75" t="str">
        <f t="shared" si="11"/>
        <v/>
      </c>
      <c r="M107" s="75"/>
      <c r="N107" s="75" t="str">
        <f t="shared" si="12"/>
        <v/>
      </c>
      <c r="O107" s="204" t="str">
        <f t="shared" si="15"/>
        <v/>
      </c>
      <c r="P107" s="8"/>
      <c r="Q107" s="8"/>
      <c r="R107" s="8"/>
      <c r="S107" s="8"/>
    </row>
    <row r="108" spans="1:19" x14ac:dyDescent="0.25">
      <c r="A108" s="197">
        <f t="shared" si="8"/>
        <v>0</v>
      </c>
      <c r="B108" s="76" t="str">
        <f t="shared" si="10"/>
        <v/>
      </c>
      <c r="C108" s="77" t="str">
        <f>IF(G108&lt;&gt;"",IFERROR(ROUND(VLOOKUP(G108,ProductList!J:AO,31,FALSE),0),""),"")</f>
        <v/>
      </c>
      <c r="D108" s="73" t="str">
        <f>IF(E108&lt;&gt;"",IF(D107&lt;&gt;"",D107,#REF!)+1,"")</f>
        <v/>
      </c>
      <c r="E108" s="73"/>
      <c r="F108" s="73"/>
      <c r="G108" s="122"/>
      <c r="H108" s="104"/>
      <c r="I108" s="73"/>
      <c r="J108" s="73"/>
      <c r="K108" s="202"/>
      <c r="L108" s="75" t="str">
        <f t="shared" si="11"/>
        <v/>
      </c>
      <c r="M108" s="75"/>
      <c r="N108" s="75" t="str">
        <f t="shared" si="12"/>
        <v/>
      </c>
      <c r="O108" s="204" t="str">
        <f t="shared" si="15"/>
        <v/>
      </c>
      <c r="P108" s="8"/>
      <c r="Q108" s="8"/>
      <c r="R108" s="8"/>
      <c r="S108" s="8"/>
    </row>
    <row r="109" spans="1:19" x14ac:dyDescent="0.25">
      <c r="A109" s="197">
        <f t="shared" si="8"/>
        <v>0</v>
      </c>
      <c r="B109" s="76" t="str">
        <f t="shared" si="10"/>
        <v/>
      </c>
      <c r="C109" s="77" t="str">
        <f>IF(G109&lt;&gt;"",IFERROR(ROUND(VLOOKUP(G109,ProductList!J:AO,31,FALSE),0),""),"")</f>
        <v/>
      </c>
      <c r="D109" s="73" t="str">
        <f>IF(E109&lt;&gt;"",IF(D108&lt;&gt;"",D108,#REF!)+1,"")</f>
        <v/>
      </c>
      <c r="E109" s="73"/>
      <c r="F109" s="73"/>
      <c r="G109" s="122"/>
      <c r="H109" s="104"/>
      <c r="I109" s="73"/>
      <c r="J109" s="73"/>
      <c r="K109" s="202"/>
      <c r="L109" s="75" t="str">
        <f t="shared" si="11"/>
        <v/>
      </c>
      <c r="M109" s="75"/>
      <c r="N109" s="75" t="str">
        <f t="shared" si="12"/>
        <v/>
      </c>
      <c r="O109" s="204" t="str">
        <f t="shared" si="15"/>
        <v/>
      </c>
      <c r="P109" s="8"/>
      <c r="Q109" s="8"/>
      <c r="R109" s="8"/>
      <c r="S109" s="8"/>
    </row>
    <row r="110" spans="1:19" x14ac:dyDescent="0.25">
      <c r="A110" s="197">
        <f t="shared" si="8"/>
        <v>0</v>
      </c>
      <c r="B110" s="76" t="str">
        <f t="shared" si="10"/>
        <v/>
      </c>
      <c r="C110" s="77" t="str">
        <f>IF(G110&lt;&gt;"",IFERROR(ROUND(VLOOKUP(G110,ProductList!J:AO,31,FALSE),0),""),"")</f>
        <v/>
      </c>
      <c r="D110" s="73" t="str">
        <f>IF(E110&lt;&gt;"",IF(D109&lt;&gt;"",D109,#REF!)+1,"")</f>
        <v/>
      </c>
      <c r="E110" s="73"/>
      <c r="F110" s="73"/>
      <c r="G110" s="122"/>
      <c r="H110" s="104"/>
      <c r="I110" s="73"/>
      <c r="J110" s="73"/>
      <c r="K110" s="202"/>
      <c r="L110" s="75" t="str">
        <f t="shared" si="11"/>
        <v/>
      </c>
      <c r="M110" s="75"/>
      <c r="N110" s="75" t="str">
        <f t="shared" si="12"/>
        <v/>
      </c>
      <c r="O110" s="204" t="str">
        <f t="shared" si="15"/>
        <v/>
      </c>
      <c r="P110" s="8"/>
      <c r="Q110" s="8"/>
      <c r="R110" s="8"/>
      <c r="S110" s="8"/>
    </row>
    <row r="111" spans="1:19" x14ac:dyDescent="0.25">
      <c r="A111" s="197">
        <f t="shared" si="8"/>
        <v>0</v>
      </c>
      <c r="B111" s="76" t="str">
        <f t="shared" si="10"/>
        <v/>
      </c>
      <c r="C111" s="77" t="str">
        <f>IF(G111&lt;&gt;"",IFERROR(ROUND(VLOOKUP(G111,ProductList!J:AO,31,FALSE),0),""),"")</f>
        <v/>
      </c>
      <c r="D111" s="73" t="str">
        <f>IF(E111&lt;&gt;"",IF(D110&lt;&gt;"",D110,#REF!)+1,"")</f>
        <v/>
      </c>
      <c r="E111" s="73"/>
      <c r="F111" s="73"/>
      <c r="G111" s="122"/>
      <c r="H111" s="104"/>
      <c r="I111" s="73"/>
      <c r="J111" s="73"/>
      <c r="K111" s="202"/>
      <c r="L111" s="75" t="str">
        <f t="shared" si="11"/>
        <v/>
      </c>
      <c r="M111" s="75"/>
      <c r="N111" s="75" t="str">
        <f t="shared" si="12"/>
        <v/>
      </c>
      <c r="O111" s="204" t="str">
        <f t="shared" si="15"/>
        <v/>
      </c>
      <c r="P111" s="8"/>
      <c r="Q111" s="8"/>
      <c r="R111" s="8"/>
      <c r="S111" s="8"/>
    </row>
    <row r="112" spans="1:19" x14ac:dyDescent="0.25">
      <c r="A112" s="197">
        <f t="shared" si="8"/>
        <v>0</v>
      </c>
      <c r="B112" s="76" t="str">
        <f t="shared" si="10"/>
        <v/>
      </c>
      <c r="C112" s="77" t="str">
        <f>IF(G112&lt;&gt;"",IFERROR(ROUND(VLOOKUP(G112,ProductList!J:AO,31,FALSE),0),""),"")</f>
        <v/>
      </c>
      <c r="D112" s="73" t="str">
        <f>IF(E112&lt;&gt;"",IF(D111&lt;&gt;"",D111,#REF!)+1,"")</f>
        <v/>
      </c>
      <c r="E112" s="73"/>
      <c r="F112" s="73"/>
      <c r="G112" s="122"/>
      <c r="H112" s="104"/>
      <c r="I112" s="73"/>
      <c r="J112" s="73"/>
      <c r="K112" s="202"/>
      <c r="L112" s="75" t="str">
        <f t="shared" si="11"/>
        <v/>
      </c>
      <c r="M112" s="75"/>
      <c r="N112" s="75" t="str">
        <f t="shared" si="12"/>
        <v/>
      </c>
      <c r="O112" s="204" t="str">
        <f t="shared" si="15"/>
        <v/>
      </c>
      <c r="P112" s="8"/>
      <c r="Q112" s="8"/>
      <c r="R112" s="8"/>
      <c r="S112" s="8"/>
    </row>
    <row r="113" spans="1:19" x14ac:dyDescent="0.25">
      <c r="A113" s="197">
        <f t="shared" si="8"/>
        <v>0</v>
      </c>
      <c r="B113" s="76" t="str">
        <f t="shared" si="10"/>
        <v/>
      </c>
      <c r="C113" s="77" t="str">
        <f>IF(G113&lt;&gt;"",IFERROR(ROUND(VLOOKUP(G113,ProductList!J:AO,31,FALSE),0),""),"")</f>
        <v/>
      </c>
      <c r="D113" s="73" t="str">
        <f>IF(E113&lt;&gt;"",IF(D112&lt;&gt;"",D112,#REF!)+1,"")</f>
        <v/>
      </c>
      <c r="E113" s="73"/>
      <c r="F113" s="73"/>
      <c r="G113" s="122"/>
      <c r="H113" s="104"/>
      <c r="I113" s="73"/>
      <c r="J113" s="73"/>
      <c r="K113" s="202"/>
      <c r="L113" s="75" t="str">
        <f t="shared" si="11"/>
        <v/>
      </c>
      <c r="M113" s="75"/>
      <c r="N113" s="75" t="str">
        <f t="shared" si="12"/>
        <v/>
      </c>
      <c r="O113" s="204" t="str">
        <f t="shared" si="15"/>
        <v/>
      </c>
      <c r="P113" s="8"/>
      <c r="Q113" s="8"/>
      <c r="R113" s="8"/>
      <c r="S113" s="8"/>
    </row>
    <row r="114" spans="1:19" x14ac:dyDescent="0.25">
      <c r="A114" s="197">
        <f t="shared" si="8"/>
        <v>0</v>
      </c>
      <c r="B114" s="76" t="str">
        <f t="shared" si="10"/>
        <v/>
      </c>
      <c r="C114" s="77" t="str">
        <f>IF(G114&lt;&gt;"",IFERROR(ROUND(VLOOKUP(G114,ProductList!J:AO,31,FALSE),0),""),"")</f>
        <v/>
      </c>
      <c r="D114" s="73" t="str">
        <f>IF(E114&lt;&gt;"",IF(D113&lt;&gt;"",D113,#REF!)+1,"")</f>
        <v/>
      </c>
      <c r="E114" s="73"/>
      <c r="F114" s="73"/>
      <c r="G114" s="122"/>
      <c r="H114" s="104"/>
      <c r="I114" s="73"/>
      <c r="J114" s="73"/>
      <c r="K114" s="202"/>
      <c r="L114" s="75" t="str">
        <f t="shared" si="11"/>
        <v/>
      </c>
      <c r="M114" s="75"/>
      <c r="N114" s="75" t="str">
        <f t="shared" si="12"/>
        <v/>
      </c>
      <c r="O114" s="204" t="str">
        <f t="shared" si="15"/>
        <v/>
      </c>
      <c r="P114" s="8"/>
      <c r="Q114" s="8"/>
      <c r="R114" s="8"/>
      <c r="S114" s="8"/>
    </row>
    <row r="115" spans="1:19" x14ac:dyDescent="0.25">
      <c r="A115" s="197">
        <f t="shared" si="8"/>
        <v>0</v>
      </c>
      <c r="B115" s="76" t="str">
        <f t="shared" si="10"/>
        <v/>
      </c>
      <c r="C115" s="77" t="str">
        <f>IF(G115&lt;&gt;"",IFERROR(ROUND(VLOOKUP(G115,ProductList!J:AO,31,FALSE),0),""),"")</f>
        <v/>
      </c>
      <c r="D115" s="73" t="str">
        <f>IF(E115&lt;&gt;"",IF(D114&lt;&gt;"",D114,#REF!)+1,"")</f>
        <v/>
      </c>
      <c r="E115" s="73"/>
      <c r="F115" s="73"/>
      <c r="G115" s="122"/>
      <c r="H115" s="104"/>
      <c r="I115" s="73"/>
      <c r="J115" s="73"/>
      <c r="K115" s="202"/>
      <c r="L115" s="75" t="str">
        <f t="shared" si="11"/>
        <v/>
      </c>
      <c r="M115" s="75"/>
      <c r="N115" s="75" t="str">
        <f t="shared" si="12"/>
        <v/>
      </c>
      <c r="O115" s="204" t="str">
        <f t="shared" si="15"/>
        <v/>
      </c>
      <c r="P115" s="8"/>
      <c r="Q115" s="8"/>
      <c r="R115" s="8"/>
      <c r="S115" s="8"/>
    </row>
    <row r="116" spans="1:19" x14ac:dyDescent="0.25">
      <c r="A116" s="197">
        <f t="shared" si="8"/>
        <v>0</v>
      </c>
      <c r="B116" s="76" t="str">
        <f t="shared" si="10"/>
        <v/>
      </c>
      <c r="C116" s="77" t="str">
        <f>IF(G116&lt;&gt;"",IFERROR(ROUND(VLOOKUP(G116,ProductList!J:AO,31,FALSE),0),""),"")</f>
        <v/>
      </c>
      <c r="D116" s="73" t="str">
        <f>IF(E116&lt;&gt;"",IF(D115&lt;&gt;"",D115,#REF!)+1,"")</f>
        <v/>
      </c>
      <c r="E116" s="73"/>
      <c r="F116" s="73"/>
      <c r="G116" s="122"/>
      <c r="H116" s="104"/>
      <c r="I116" s="73"/>
      <c r="J116" s="73"/>
      <c r="K116" s="202"/>
      <c r="L116" s="75" t="str">
        <f t="shared" si="11"/>
        <v/>
      </c>
      <c r="M116" s="75"/>
      <c r="N116" s="75" t="str">
        <f t="shared" si="12"/>
        <v/>
      </c>
      <c r="O116" s="204" t="str">
        <f t="shared" si="15"/>
        <v/>
      </c>
      <c r="P116" s="8"/>
      <c r="Q116" s="8"/>
      <c r="R116" s="8"/>
      <c r="S116" s="8"/>
    </row>
    <row r="117" spans="1:19" x14ac:dyDescent="0.25">
      <c r="A117" s="197">
        <f t="shared" si="8"/>
        <v>0</v>
      </c>
      <c r="B117" s="76" t="str">
        <f t="shared" si="10"/>
        <v/>
      </c>
      <c r="C117" s="77" t="str">
        <f>IF(G117&lt;&gt;"",IFERROR(ROUND(VLOOKUP(G117,ProductList!J:AO,31,FALSE),0),""),"")</f>
        <v/>
      </c>
      <c r="D117" s="73" t="str">
        <f>IF(E117&lt;&gt;"",IF(D116&lt;&gt;"",D116,#REF!)+1,"")</f>
        <v/>
      </c>
      <c r="E117" s="73"/>
      <c r="F117" s="73"/>
      <c r="G117" s="122"/>
      <c r="H117" s="104"/>
      <c r="I117" s="73"/>
      <c r="J117" s="73"/>
      <c r="K117" s="202"/>
      <c r="L117" s="75" t="str">
        <f t="shared" si="11"/>
        <v/>
      </c>
      <c r="M117" s="75"/>
      <c r="N117" s="75" t="str">
        <f t="shared" si="12"/>
        <v/>
      </c>
      <c r="O117" s="204" t="str">
        <f t="shared" si="15"/>
        <v/>
      </c>
      <c r="P117" s="8"/>
      <c r="Q117" s="8"/>
      <c r="R117" s="8"/>
      <c r="S117" s="8"/>
    </row>
    <row r="118" spans="1:19" x14ac:dyDescent="0.25">
      <c r="A118" s="197">
        <f t="shared" si="8"/>
        <v>0</v>
      </c>
      <c r="B118" s="76" t="str">
        <f t="shared" si="10"/>
        <v/>
      </c>
      <c r="C118" s="77" t="str">
        <f>IF(G118&lt;&gt;"",IFERROR(ROUND(VLOOKUP(G118,ProductList!J:AO,31,FALSE),0),""),"")</f>
        <v/>
      </c>
      <c r="D118" s="73" t="str">
        <f>IF(E118&lt;&gt;"",IF(D117&lt;&gt;"",D117,#REF!)+1,"")</f>
        <v/>
      </c>
      <c r="E118" s="73"/>
      <c r="F118" s="73"/>
      <c r="G118" s="122"/>
      <c r="H118" s="104"/>
      <c r="I118" s="73"/>
      <c r="J118" s="73"/>
      <c r="K118" s="202"/>
      <c r="L118" s="75" t="str">
        <f t="shared" si="11"/>
        <v/>
      </c>
      <c r="M118" s="75"/>
      <c r="N118" s="75" t="str">
        <f t="shared" si="12"/>
        <v/>
      </c>
      <c r="O118" s="204" t="str">
        <f t="shared" si="15"/>
        <v/>
      </c>
      <c r="P118" s="8"/>
      <c r="Q118" s="8"/>
      <c r="R118" s="8"/>
      <c r="S118" s="8"/>
    </row>
    <row r="119" spans="1:19" x14ac:dyDescent="0.25">
      <c r="A119" s="197">
        <f t="shared" si="8"/>
        <v>0</v>
      </c>
      <c r="B119" s="76" t="str">
        <f t="shared" si="10"/>
        <v/>
      </c>
      <c r="C119" s="77" t="str">
        <f>IF(G119&lt;&gt;"",IFERROR(ROUND(VLOOKUP(G119,ProductList!J:AO,31,FALSE),0),""),"")</f>
        <v/>
      </c>
      <c r="D119" s="73" t="str">
        <f>IF(E119&lt;&gt;"",IF(D118&lt;&gt;"",D118,#REF!)+1,"")</f>
        <v/>
      </c>
      <c r="E119" s="73"/>
      <c r="F119" s="73"/>
      <c r="G119" s="122"/>
      <c r="H119" s="104"/>
      <c r="I119" s="73"/>
      <c r="J119" s="73"/>
      <c r="K119" s="202"/>
      <c r="L119" s="75" t="str">
        <f t="shared" si="11"/>
        <v/>
      </c>
      <c r="M119" s="75"/>
      <c r="N119" s="75" t="str">
        <f t="shared" si="12"/>
        <v/>
      </c>
      <c r="O119" s="204" t="str">
        <f t="shared" si="15"/>
        <v/>
      </c>
      <c r="P119" s="8"/>
      <c r="Q119" s="8"/>
      <c r="R119" s="8"/>
      <c r="S119" s="8"/>
    </row>
    <row r="120" spans="1:19" x14ac:dyDescent="0.25">
      <c r="A120" s="197">
        <f t="shared" si="8"/>
        <v>0</v>
      </c>
      <c r="B120" s="76" t="str">
        <f t="shared" si="10"/>
        <v/>
      </c>
      <c r="C120" s="77" t="str">
        <f>IF(G120&lt;&gt;"",IFERROR(ROUND(VLOOKUP(G120,ProductList!J:AO,31,FALSE),0),""),"")</f>
        <v/>
      </c>
      <c r="D120" s="73" t="str">
        <f>IF(E120&lt;&gt;"",IF(D119&lt;&gt;"",D119,#REF!)+1,"")</f>
        <v/>
      </c>
      <c r="E120" s="73"/>
      <c r="F120" s="73"/>
      <c r="G120" s="122"/>
      <c r="H120" s="104"/>
      <c r="I120" s="73"/>
      <c r="J120" s="73"/>
      <c r="K120" s="202"/>
      <c r="L120" s="75" t="str">
        <f t="shared" si="11"/>
        <v/>
      </c>
      <c r="M120" s="75"/>
      <c r="N120" s="75" t="str">
        <f t="shared" si="12"/>
        <v/>
      </c>
      <c r="O120" s="204" t="str">
        <f t="shared" si="15"/>
        <v/>
      </c>
      <c r="P120" s="8"/>
      <c r="Q120" s="8"/>
      <c r="R120" s="8"/>
      <c r="S120" s="8"/>
    </row>
    <row r="121" spans="1:19" x14ac:dyDescent="0.25">
      <c r="A121" s="197">
        <f t="shared" si="8"/>
        <v>0</v>
      </c>
      <c r="B121" s="76" t="str">
        <f t="shared" si="10"/>
        <v/>
      </c>
      <c r="C121" s="77" t="str">
        <f>IF(G121&lt;&gt;"",IFERROR(ROUND(VLOOKUP(G121,ProductList!J:AO,31,FALSE),0),""),"")</f>
        <v/>
      </c>
      <c r="D121" s="73" t="str">
        <f>IF(E121&lt;&gt;"",IF(D120&lt;&gt;"",D120,#REF!)+1,"")</f>
        <v/>
      </c>
      <c r="E121" s="73"/>
      <c r="F121" s="73"/>
      <c r="G121" s="122"/>
      <c r="H121" s="104"/>
      <c r="I121" s="73"/>
      <c r="J121" s="73"/>
      <c r="K121" s="202"/>
      <c r="L121" s="75" t="str">
        <f t="shared" si="11"/>
        <v/>
      </c>
      <c r="M121" s="75"/>
      <c r="N121" s="75" t="str">
        <f t="shared" si="12"/>
        <v/>
      </c>
      <c r="O121" s="204" t="str">
        <f t="shared" si="15"/>
        <v/>
      </c>
      <c r="P121" s="8"/>
      <c r="Q121" s="8"/>
      <c r="R121" s="8"/>
      <c r="S121" s="8"/>
    </row>
    <row r="122" spans="1:19" x14ac:dyDescent="0.25">
      <c r="A122" s="197">
        <f t="shared" si="8"/>
        <v>0</v>
      </c>
      <c r="B122" s="76" t="str">
        <f t="shared" si="10"/>
        <v/>
      </c>
      <c r="C122" s="77" t="str">
        <f>IF(G122&lt;&gt;"",IFERROR(ROUND(VLOOKUP(G122,ProductList!J:AO,31,FALSE),0),""),"")</f>
        <v/>
      </c>
      <c r="D122" s="73" t="str">
        <f>IF(E122&lt;&gt;"",IF(D121&lt;&gt;"",D121,#REF!)+1,"")</f>
        <v/>
      </c>
      <c r="E122" s="73"/>
      <c r="F122" s="73"/>
      <c r="G122" s="122"/>
      <c r="H122" s="104"/>
      <c r="I122" s="73"/>
      <c r="J122" s="73"/>
      <c r="K122" s="202"/>
      <c r="L122" s="75" t="str">
        <f t="shared" si="11"/>
        <v/>
      </c>
      <c r="M122" s="75"/>
      <c r="N122" s="75" t="str">
        <f t="shared" si="12"/>
        <v/>
      </c>
      <c r="O122" s="204" t="str">
        <f t="shared" si="15"/>
        <v/>
      </c>
      <c r="P122" s="8"/>
      <c r="Q122" s="8"/>
      <c r="R122" s="8"/>
      <c r="S122" s="8"/>
    </row>
    <row r="123" spans="1:19" x14ac:dyDescent="0.25">
      <c r="A123" s="197">
        <f t="shared" si="8"/>
        <v>0</v>
      </c>
      <c r="B123" s="76" t="str">
        <f t="shared" si="10"/>
        <v/>
      </c>
      <c r="C123" s="77" t="str">
        <f>IF(G123&lt;&gt;"",IFERROR(ROUND(VLOOKUP(G123,ProductList!J:AO,31,FALSE),0),""),"")</f>
        <v/>
      </c>
      <c r="D123" s="73" t="str">
        <f>IF(E123&lt;&gt;"",IF(D122&lt;&gt;"",D122,#REF!)+1,"")</f>
        <v/>
      </c>
      <c r="E123" s="73"/>
      <c r="F123" s="73"/>
      <c r="G123" s="122"/>
      <c r="H123" s="104"/>
      <c r="I123" s="73"/>
      <c r="J123" s="73"/>
      <c r="K123" s="202"/>
      <c r="L123" s="75" t="str">
        <f t="shared" si="11"/>
        <v/>
      </c>
      <c r="M123" s="75"/>
      <c r="N123" s="75" t="str">
        <f t="shared" si="12"/>
        <v/>
      </c>
      <c r="O123" s="204" t="str">
        <f t="shared" si="15"/>
        <v/>
      </c>
      <c r="P123" s="8"/>
      <c r="Q123" s="8"/>
      <c r="R123" s="8"/>
      <c r="S123" s="8"/>
    </row>
    <row r="124" spans="1:19" x14ac:dyDescent="0.25">
      <c r="A124" s="197">
        <f t="shared" si="8"/>
        <v>0</v>
      </c>
      <c r="B124" s="76" t="str">
        <f t="shared" si="10"/>
        <v/>
      </c>
      <c r="C124" s="77" t="str">
        <f>IF(G124&lt;&gt;"",IFERROR(ROUND(VLOOKUP(G124,ProductList!J:AO,31,FALSE),0),""),"")</f>
        <v/>
      </c>
      <c r="D124" s="73" t="str">
        <f>IF(E124&lt;&gt;"",IF(D123&lt;&gt;"",D123,#REF!)+1,"")</f>
        <v/>
      </c>
      <c r="E124" s="73"/>
      <c r="F124" s="73"/>
      <c r="G124" s="122"/>
      <c r="H124" s="104"/>
      <c r="I124" s="73"/>
      <c r="J124" s="73"/>
      <c r="K124" s="202"/>
      <c r="L124" s="75" t="str">
        <f t="shared" si="11"/>
        <v/>
      </c>
      <c r="M124" s="75"/>
      <c r="N124" s="75" t="str">
        <f t="shared" si="12"/>
        <v/>
      </c>
      <c r="O124" s="204" t="str">
        <f t="shared" si="15"/>
        <v/>
      </c>
      <c r="P124" s="8"/>
      <c r="Q124" s="8"/>
      <c r="R124" s="8"/>
      <c r="S124" s="8"/>
    </row>
    <row r="125" spans="1:19" x14ac:dyDescent="0.25">
      <c r="A125" s="197">
        <f t="shared" si="8"/>
        <v>0</v>
      </c>
      <c r="B125" s="76" t="str">
        <f t="shared" si="10"/>
        <v/>
      </c>
      <c r="C125" s="77" t="str">
        <f>IF(G125&lt;&gt;"",IFERROR(ROUND(VLOOKUP(G125,ProductList!J:AO,31,FALSE),0),""),"")</f>
        <v/>
      </c>
      <c r="D125" s="73" t="str">
        <f>IF(E125&lt;&gt;"",IF(D124&lt;&gt;"",D124,#REF!)+1,"")</f>
        <v/>
      </c>
      <c r="E125" s="73"/>
      <c r="F125" s="73"/>
      <c r="G125" s="122"/>
      <c r="H125" s="104"/>
      <c r="I125" s="73"/>
      <c r="J125" s="73"/>
      <c r="K125" s="202"/>
      <c r="L125" s="75" t="str">
        <f t="shared" si="11"/>
        <v/>
      </c>
      <c r="M125" s="75"/>
      <c r="N125" s="75" t="str">
        <f t="shared" si="12"/>
        <v/>
      </c>
      <c r="O125" s="204" t="str">
        <f t="shared" si="15"/>
        <v/>
      </c>
      <c r="P125" s="8"/>
      <c r="Q125" s="8"/>
      <c r="R125" s="8"/>
      <c r="S125" s="8"/>
    </row>
    <row r="126" spans="1:19" x14ac:dyDescent="0.25">
      <c r="A126" s="197">
        <f t="shared" si="8"/>
        <v>0</v>
      </c>
      <c r="B126" s="76" t="str">
        <f t="shared" si="10"/>
        <v/>
      </c>
      <c r="C126" s="77" t="str">
        <f>IF(G126&lt;&gt;"",IFERROR(ROUND(VLOOKUP(G126,ProductList!J:AO,31,FALSE),0),""),"")</f>
        <v/>
      </c>
      <c r="D126" s="73" t="str">
        <f>IF(E126&lt;&gt;"",IF(D125&lt;&gt;"",D125,#REF!)+1,"")</f>
        <v/>
      </c>
      <c r="E126" s="73"/>
      <c r="F126" s="73"/>
      <c r="G126" s="122"/>
      <c r="H126" s="104"/>
      <c r="I126" s="73"/>
      <c r="J126" s="73"/>
      <c r="K126" s="202"/>
      <c r="L126" s="75" t="str">
        <f t="shared" si="11"/>
        <v/>
      </c>
      <c r="M126" s="75"/>
      <c r="N126" s="75" t="str">
        <f t="shared" si="12"/>
        <v/>
      </c>
      <c r="O126" s="204" t="str">
        <f t="shared" si="15"/>
        <v/>
      </c>
      <c r="P126" s="8"/>
      <c r="Q126" s="8"/>
      <c r="R126" s="8"/>
      <c r="S126" s="8"/>
    </row>
    <row r="127" spans="1:19" x14ac:dyDescent="0.25">
      <c r="A127" s="197">
        <f t="shared" si="8"/>
        <v>0</v>
      </c>
      <c r="B127" s="76" t="str">
        <f t="shared" si="10"/>
        <v/>
      </c>
      <c r="C127" s="77" t="str">
        <f>IF(G127&lt;&gt;"",IFERROR(ROUND(VLOOKUP(G127,ProductList!J:AO,31,FALSE),0),""),"")</f>
        <v/>
      </c>
      <c r="D127" s="73" t="str">
        <f>IF(E127&lt;&gt;"",IF(D126&lt;&gt;"",D126,#REF!)+1,"")</f>
        <v/>
      </c>
      <c r="E127" s="73"/>
      <c r="F127" s="73"/>
      <c r="G127" s="122"/>
      <c r="H127" s="104"/>
      <c r="I127" s="73"/>
      <c r="J127" s="73"/>
      <c r="K127" s="202"/>
      <c r="L127" s="75" t="str">
        <f t="shared" si="11"/>
        <v/>
      </c>
      <c r="M127" s="75"/>
      <c r="N127" s="75" t="str">
        <f t="shared" si="12"/>
        <v/>
      </c>
      <c r="O127" s="204" t="str">
        <f t="shared" si="15"/>
        <v/>
      </c>
      <c r="P127" s="8"/>
      <c r="Q127" s="8"/>
      <c r="R127" s="8"/>
      <c r="S127" s="8"/>
    </row>
    <row r="128" spans="1:19" x14ac:dyDescent="0.25">
      <c r="A128" s="197">
        <f t="shared" si="8"/>
        <v>0</v>
      </c>
      <c r="B128" s="76" t="str">
        <f t="shared" si="10"/>
        <v/>
      </c>
      <c r="C128" s="77" t="str">
        <f>IF(G128&lt;&gt;"",IFERROR(ROUND(VLOOKUP(G128,ProductList!J:AO,31,FALSE),0),""),"")</f>
        <v/>
      </c>
      <c r="D128" s="73" t="str">
        <f>IF(E128&lt;&gt;"",IF(D127&lt;&gt;"",D127,#REF!)+1,"")</f>
        <v/>
      </c>
      <c r="E128" s="73"/>
      <c r="F128" s="73"/>
      <c r="G128" s="122"/>
      <c r="H128" s="104"/>
      <c r="I128" s="73"/>
      <c r="J128" s="73"/>
      <c r="K128" s="202"/>
      <c r="L128" s="75" t="str">
        <f t="shared" si="11"/>
        <v/>
      </c>
      <c r="M128" s="75"/>
      <c r="N128" s="75" t="str">
        <f t="shared" si="12"/>
        <v/>
      </c>
      <c r="O128" s="204" t="str">
        <f t="shared" si="15"/>
        <v/>
      </c>
      <c r="P128" s="8"/>
      <c r="Q128" s="8"/>
      <c r="R128" s="8"/>
      <c r="S128" s="8"/>
    </row>
    <row r="129" spans="1:19" x14ac:dyDescent="0.25">
      <c r="A129" s="197">
        <f t="shared" si="8"/>
        <v>0</v>
      </c>
      <c r="B129" s="76" t="str">
        <f t="shared" si="10"/>
        <v/>
      </c>
      <c r="C129" s="77" t="str">
        <f>IF(G129&lt;&gt;"",IFERROR(ROUND(VLOOKUP(G129,ProductList!J:AO,31,FALSE),0),""),"")</f>
        <v/>
      </c>
      <c r="D129" s="73" t="str">
        <f>IF(E129&lt;&gt;"",IF(D128&lt;&gt;"",D128,#REF!)+1,"")</f>
        <v/>
      </c>
      <c r="E129" s="73"/>
      <c r="F129" s="73"/>
      <c r="G129" s="122"/>
      <c r="H129" s="104"/>
      <c r="I129" s="73"/>
      <c r="J129" s="73"/>
      <c r="K129" s="202"/>
      <c r="L129" s="75" t="str">
        <f t="shared" si="11"/>
        <v/>
      </c>
      <c r="M129" s="75"/>
      <c r="N129" s="75" t="str">
        <f t="shared" si="12"/>
        <v/>
      </c>
      <c r="O129" s="204" t="str">
        <f t="shared" si="15"/>
        <v/>
      </c>
      <c r="P129" s="8"/>
      <c r="Q129" s="8"/>
      <c r="R129" s="8"/>
      <c r="S129" s="8"/>
    </row>
    <row r="130" spans="1:19" x14ac:dyDescent="0.25">
      <c r="A130" s="197">
        <f t="shared" si="8"/>
        <v>0</v>
      </c>
      <c r="B130" s="76" t="str">
        <f t="shared" si="10"/>
        <v/>
      </c>
      <c r="C130" s="77" t="str">
        <f>IF(G130&lt;&gt;"",IFERROR(ROUND(VLOOKUP(G130,ProductList!J:AO,31,FALSE),0),""),"")</f>
        <v/>
      </c>
      <c r="D130" s="73" t="str">
        <f>IF(E130&lt;&gt;"",IF(D129&lt;&gt;"",D129,#REF!)+1,"")</f>
        <v/>
      </c>
      <c r="E130" s="73"/>
      <c r="F130" s="73"/>
      <c r="G130" s="122"/>
      <c r="H130" s="104"/>
      <c r="I130" s="73"/>
      <c r="J130" s="73"/>
      <c r="K130" s="202"/>
      <c r="L130" s="75" t="str">
        <f t="shared" si="11"/>
        <v/>
      </c>
      <c r="M130" s="75"/>
      <c r="N130" s="75" t="str">
        <f t="shared" si="12"/>
        <v/>
      </c>
      <c r="O130" s="204" t="str">
        <f t="shared" si="15"/>
        <v/>
      </c>
      <c r="P130" s="8"/>
      <c r="Q130" s="8"/>
      <c r="R130" s="8"/>
      <c r="S130" s="8"/>
    </row>
    <row r="131" spans="1:19" x14ac:dyDescent="0.25">
      <c r="A131" s="197">
        <f t="shared" si="8"/>
        <v>0</v>
      </c>
      <c r="B131" s="76" t="str">
        <f t="shared" si="10"/>
        <v/>
      </c>
      <c r="C131" s="77" t="str">
        <f>IF(G131&lt;&gt;"",IFERROR(ROUND(VLOOKUP(G131,ProductList!J:AO,31,FALSE),0),""),"")</f>
        <v/>
      </c>
      <c r="D131" s="73" t="str">
        <f>IF(E131&lt;&gt;"",IF(D130&lt;&gt;"",D130,#REF!)+1,"")</f>
        <v/>
      </c>
      <c r="E131" s="73"/>
      <c r="F131" s="73"/>
      <c r="G131" s="122"/>
      <c r="H131" s="104"/>
      <c r="I131" s="73"/>
      <c r="J131" s="73"/>
      <c r="K131" s="202"/>
      <c r="L131" s="75" t="str">
        <f t="shared" si="11"/>
        <v/>
      </c>
      <c r="M131" s="75"/>
      <c r="N131" s="75" t="str">
        <f t="shared" si="12"/>
        <v/>
      </c>
      <c r="O131" s="204" t="str">
        <f t="shared" si="15"/>
        <v/>
      </c>
      <c r="P131" s="8"/>
      <c r="Q131" s="8"/>
      <c r="R131" s="8"/>
      <c r="S131" s="8"/>
    </row>
    <row r="132" spans="1:19" x14ac:dyDescent="0.25">
      <c r="A132" s="197">
        <f t="shared" si="8"/>
        <v>0</v>
      </c>
      <c r="B132" s="76" t="str">
        <f t="shared" si="10"/>
        <v/>
      </c>
      <c r="C132" s="77" t="str">
        <f>IF(G132&lt;&gt;"",IFERROR(ROUND(VLOOKUP(G132,ProductList!J:AO,31,FALSE),0),""),"")</f>
        <v/>
      </c>
      <c r="D132" s="73" t="str">
        <f>IF(E132&lt;&gt;"",IF(D131&lt;&gt;"",D131,#REF!)+1,"")</f>
        <v/>
      </c>
      <c r="E132" s="73"/>
      <c r="F132" s="73"/>
      <c r="G132" s="122"/>
      <c r="H132" s="104"/>
      <c r="I132" s="73"/>
      <c r="J132" s="73"/>
      <c r="K132" s="202"/>
      <c r="L132" s="75" t="str">
        <f t="shared" si="11"/>
        <v/>
      </c>
      <c r="M132" s="75"/>
      <c r="N132" s="75" t="str">
        <f t="shared" si="12"/>
        <v/>
      </c>
      <c r="O132" s="204" t="str">
        <f t="shared" si="15"/>
        <v/>
      </c>
      <c r="P132" s="8"/>
      <c r="Q132" s="8"/>
      <c r="R132" s="8"/>
      <c r="S132" s="8"/>
    </row>
    <row r="133" spans="1:19" x14ac:dyDescent="0.25">
      <c r="A133" s="197">
        <f t="shared" ref="A133:A196" si="16">IF(AND(E133&lt;&gt;""),IF(A132&lt;&gt;"",A132,0)+1,A132)</f>
        <v>0</v>
      </c>
      <c r="B133" s="76" t="str">
        <f t="shared" si="10"/>
        <v/>
      </c>
      <c r="C133" s="77" t="str">
        <f>IF(G133&lt;&gt;"",IFERROR(ROUND(VLOOKUP(G133,ProductList!J:AO,31,FALSE),0),""),"")</f>
        <v/>
      </c>
      <c r="D133" s="73" t="str">
        <f>IF(E133&lt;&gt;"",IF(D132&lt;&gt;"",D132,#REF!)+1,"")</f>
        <v/>
      </c>
      <c r="E133" s="73"/>
      <c r="F133" s="73"/>
      <c r="G133" s="122"/>
      <c r="H133" s="104"/>
      <c r="I133" s="73"/>
      <c r="J133" s="73"/>
      <c r="K133" s="202"/>
      <c r="L133" s="75" t="str">
        <f t="shared" si="11"/>
        <v/>
      </c>
      <c r="M133" s="75"/>
      <c r="N133" s="75" t="str">
        <f t="shared" si="12"/>
        <v/>
      </c>
      <c r="O133" s="204" t="str">
        <f t="shared" si="15"/>
        <v/>
      </c>
      <c r="P133" s="8"/>
      <c r="Q133" s="8"/>
      <c r="R133" s="8"/>
      <c r="S133" s="8"/>
    </row>
    <row r="134" spans="1:19" x14ac:dyDescent="0.25">
      <c r="A134" s="197">
        <f t="shared" si="16"/>
        <v>0</v>
      </c>
      <c r="B134" s="76" t="str">
        <f t="shared" ref="B134:B197" si="17">IF(AND(L134&lt;&gt;"",F134&lt;&gt;""),ROUND((((L134-F134)*100)/F134),2),"")</f>
        <v/>
      </c>
      <c r="C134" s="77" t="str">
        <f>IF(G134&lt;&gt;"",IFERROR(ROUND(VLOOKUP(G134,ProductList!J:AO,31,FALSE),0),""),"")</f>
        <v/>
      </c>
      <c r="D134" s="73" t="str">
        <f>IF(E134&lt;&gt;"",IF(D133&lt;&gt;"",D133,#REF!)+1,"")</f>
        <v/>
      </c>
      <c r="E134" s="73"/>
      <c r="F134" s="73"/>
      <c r="G134" s="122"/>
      <c r="H134" s="104"/>
      <c r="I134" s="73"/>
      <c r="J134" s="73"/>
      <c r="K134" s="202"/>
      <c r="L134" s="75" t="str">
        <f t="shared" ref="L134:L197" si="18">IF(AND(J134&lt;&gt;"",K134&lt;&gt;""),K134*J134,"")</f>
        <v/>
      </c>
      <c r="M134" s="75"/>
      <c r="N134" s="75" t="str">
        <f t="shared" ref="N134:N197" si="19">IF(AND(M134&lt;&gt;"",J134&lt;&gt;""),M134*J134,"")</f>
        <v/>
      </c>
      <c r="O134" s="204" t="str">
        <f t="shared" si="15"/>
        <v/>
      </c>
      <c r="P134" s="8"/>
      <c r="Q134" s="8"/>
      <c r="R134" s="8"/>
      <c r="S134" s="8"/>
    </row>
    <row r="135" spans="1:19" x14ac:dyDescent="0.25">
      <c r="A135" s="197">
        <f t="shared" si="16"/>
        <v>0</v>
      </c>
      <c r="B135" s="76" t="str">
        <f t="shared" si="17"/>
        <v/>
      </c>
      <c r="C135" s="77" t="str">
        <f>IF(G135&lt;&gt;"",IFERROR(ROUND(VLOOKUP(G135,ProductList!J:AO,31,FALSE),0),""),"")</f>
        <v/>
      </c>
      <c r="D135" s="73" t="str">
        <f>IF(E135&lt;&gt;"",IF(D134&lt;&gt;"",D134,#REF!)+1,"")</f>
        <v/>
      </c>
      <c r="E135" s="73"/>
      <c r="F135" s="73"/>
      <c r="G135" s="122"/>
      <c r="H135" s="104"/>
      <c r="I135" s="73"/>
      <c r="J135" s="73"/>
      <c r="K135" s="202"/>
      <c r="L135" s="75" t="str">
        <f t="shared" si="18"/>
        <v/>
      </c>
      <c r="M135" s="75"/>
      <c r="N135" s="75" t="str">
        <f t="shared" si="19"/>
        <v/>
      </c>
      <c r="O135" s="204" t="str">
        <f t="shared" si="15"/>
        <v/>
      </c>
      <c r="P135" s="8"/>
      <c r="Q135" s="8"/>
      <c r="R135" s="8"/>
      <c r="S135" s="8"/>
    </row>
    <row r="136" spans="1:19" x14ac:dyDescent="0.25">
      <c r="A136" s="197">
        <f t="shared" si="16"/>
        <v>0</v>
      </c>
      <c r="B136" s="76" t="str">
        <f t="shared" si="17"/>
        <v/>
      </c>
      <c r="C136" s="77" t="str">
        <f>IF(G136&lt;&gt;"",IFERROR(ROUND(VLOOKUP(G136,ProductList!J:AO,31,FALSE),0),""),"")</f>
        <v/>
      </c>
      <c r="D136" s="73" t="str">
        <f>IF(E136&lt;&gt;"",IF(D135&lt;&gt;"",D135,#REF!)+1,"")</f>
        <v/>
      </c>
      <c r="E136" s="73"/>
      <c r="F136" s="73"/>
      <c r="G136" s="122"/>
      <c r="H136" s="104"/>
      <c r="I136" s="73"/>
      <c r="J136" s="73"/>
      <c r="K136" s="202"/>
      <c r="L136" s="75" t="str">
        <f t="shared" si="18"/>
        <v/>
      </c>
      <c r="M136" s="75"/>
      <c r="N136" s="75" t="str">
        <f t="shared" si="19"/>
        <v/>
      </c>
      <c r="O136" s="204" t="str">
        <f t="shared" si="15"/>
        <v/>
      </c>
      <c r="P136" s="8"/>
      <c r="Q136" s="8"/>
      <c r="R136" s="8"/>
      <c r="S136" s="8"/>
    </row>
    <row r="137" spans="1:19" x14ac:dyDescent="0.25">
      <c r="A137" s="197">
        <f t="shared" si="16"/>
        <v>0</v>
      </c>
      <c r="B137" s="76" t="str">
        <f t="shared" si="17"/>
        <v/>
      </c>
      <c r="C137" s="77" t="str">
        <f>IF(G137&lt;&gt;"",IFERROR(ROUND(VLOOKUP(G137,ProductList!J:AO,31,FALSE),0),""),"")</f>
        <v/>
      </c>
      <c r="D137" s="73" t="str">
        <f>IF(E137&lt;&gt;"",IF(D136&lt;&gt;"",D136,#REF!)+1,"")</f>
        <v/>
      </c>
      <c r="E137" s="73"/>
      <c r="F137" s="73"/>
      <c r="G137" s="122"/>
      <c r="H137" s="104"/>
      <c r="I137" s="73"/>
      <c r="J137" s="73"/>
      <c r="K137" s="202"/>
      <c r="L137" s="75" t="str">
        <f t="shared" si="18"/>
        <v/>
      </c>
      <c r="M137" s="75"/>
      <c r="N137" s="75" t="str">
        <f t="shared" si="19"/>
        <v/>
      </c>
      <c r="O137" s="204" t="str">
        <f t="shared" si="15"/>
        <v/>
      </c>
      <c r="P137" s="8"/>
      <c r="Q137" s="8"/>
      <c r="R137" s="8"/>
      <c r="S137" s="8"/>
    </row>
    <row r="138" spans="1:19" x14ac:dyDescent="0.25">
      <c r="A138" s="197">
        <f t="shared" si="16"/>
        <v>0</v>
      </c>
      <c r="B138" s="76" t="str">
        <f t="shared" si="17"/>
        <v/>
      </c>
      <c r="C138" s="77" t="str">
        <f>IF(G138&lt;&gt;"",IFERROR(ROUND(VLOOKUP(G138,ProductList!J:AO,31,FALSE),0),""),"")</f>
        <v/>
      </c>
      <c r="D138" s="73" t="str">
        <f>IF(E138&lt;&gt;"",IF(D137&lt;&gt;"",D137,#REF!)+1,"")</f>
        <v/>
      </c>
      <c r="E138" s="73"/>
      <c r="F138" s="73"/>
      <c r="G138" s="122"/>
      <c r="H138" s="104"/>
      <c r="I138" s="73"/>
      <c r="J138" s="73"/>
      <c r="K138" s="202"/>
      <c r="L138" s="75" t="str">
        <f t="shared" si="18"/>
        <v/>
      </c>
      <c r="M138" s="75"/>
      <c r="N138" s="75" t="str">
        <f t="shared" si="19"/>
        <v/>
      </c>
      <c r="O138" s="204" t="str">
        <f t="shared" si="15"/>
        <v/>
      </c>
      <c r="P138" s="8"/>
      <c r="Q138" s="8"/>
      <c r="R138" s="8"/>
      <c r="S138" s="8"/>
    </row>
    <row r="139" spans="1:19" x14ac:dyDescent="0.25">
      <c r="A139" s="197">
        <f t="shared" si="16"/>
        <v>0</v>
      </c>
      <c r="B139" s="76" t="str">
        <f t="shared" si="17"/>
        <v/>
      </c>
      <c r="C139" s="77" t="str">
        <f>IF(G139&lt;&gt;"",IFERROR(ROUND(VLOOKUP(G139,ProductList!J:AO,31,FALSE),0),""),"")</f>
        <v/>
      </c>
      <c r="D139" s="73" t="str">
        <f>IF(E139&lt;&gt;"",IF(D138&lt;&gt;"",D138,#REF!)+1,"")</f>
        <v/>
      </c>
      <c r="E139" s="73"/>
      <c r="F139" s="73"/>
      <c r="G139" s="122"/>
      <c r="H139" s="104"/>
      <c r="I139" s="73"/>
      <c r="J139" s="73"/>
      <c r="K139" s="202"/>
      <c r="L139" s="75" t="str">
        <f t="shared" si="18"/>
        <v/>
      </c>
      <c r="M139" s="75"/>
      <c r="N139" s="75" t="str">
        <f t="shared" si="19"/>
        <v/>
      </c>
      <c r="O139" s="204" t="str">
        <f t="shared" si="15"/>
        <v/>
      </c>
      <c r="P139" s="8"/>
      <c r="Q139" s="8"/>
      <c r="R139" s="8"/>
      <c r="S139" s="8"/>
    </row>
    <row r="140" spans="1:19" x14ac:dyDescent="0.25">
      <c r="A140" s="197">
        <f t="shared" si="16"/>
        <v>0</v>
      </c>
      <c r="B140" s="76" t="str">
        <f t="shared" si="17"/>
        <v/>
      </c>
      <c r="C140" s="77" t="str">
        <f>IF(G140&lt;&gt;"",IFERROR(ROUND(VLOOKUP(G140,ProductList!J:AO,31,FALSE),0),""),"")</f>
        <v/>
      </c>
      <c r="D140" s="73" t="str">
        <f>IF(E140&lt;&gt;"",IF(D139&lt;&gt;"",D139,#REF!)+1,"")</f>
        <v/>
      </c>
      <c r="E140" s="73"/>
      <c r="F140" s="73"/>
      <c r="G140" s="122"/>
      <c r="H140" s="104"/>
      <c r="I140" s="73"/>
      <c r="J140" s="73"/>
      <c r="K140" s="202"/>
      <c r="L140" s="75" t="str">
        <f t="shared" si="18"/>
        <v/>
      </c>
      <c r="M140" s="75"/>
      <c r="N140" s="75" t="str">
        <f t="shared" si="19"/>
        <v/>
      </c>
      <c r="O140" s="204" t="str">
        <f t="shared" si="15"/>
        <v/>
      </c>
      <c r="P140" s="8"/>
      <c r="Q140" s="8"/>
      <c r="R140" s="8"/>
      <c r="S140" s="8"/>
    </row>
    <row r="141" spans="1:19" x14ac:dyDescent="0.25">
      <c r="A141" s="197">
        <f t="shared" si="16"/>
        <v>0</v>
      </c>
      <c r="B141" s="76" t="str">
        <f t="shared" si="17"/>
        <v/>
      </c>
      <c r="C141" s="77" t="str">
        <f>IF(G141&lt;&gt;"",IFERROR(ROUND(VLOOKUP(G141,ProductList!J:AO,31,FALSE),0),""),"")</f>
        <v/>
      </c>
      <c r="D141" s="73" t="str">
        <f>IF(E141&lt;&gt;"",IF(D140&lt;&gt;"",D140,#REF!)+1,"")</f>
        <v/>
      </c>
      <c r="E141" s="73"/>
      <c r="F141" s="73"/>
      <c r="G141" s="122"/>
      <c r="H141" s="104"/>
      <c r="I141" s="73"/>
      <c r="J141" s="73"/>
      <c r="K141" s="202"/>
      <c r="L141" s="75" t="str">
        <f t="shared" si="18"/>
        <v/>
      </c>
      <c r="M141" s="75"/>
      <c r="N141" s="75" t="str">
        <f t="shared" si="19"/>
        <v/>
      </c>
      <c r="O141" s="204" t="str">
        <f t="shared" si="15"/>
        <v/>
      </c>
      <c r="P141" s="8"/>
      <c r="Q141" s="8"/>
      <c r="R141" s="8"/>
      <c r="S141" s="8"/>
    </row>
    <row r="142" spans="1:19" x14ac:dyDescent="0.25">
      <c r="A142" s="197">
        <f t="shared" si="16"/>
        <v>0</v>
      </c>
      <c r="B142" s="76" t="str">
        <f t="shared" si="17"/>
        <v/>
      </c>
      <c r="C142" s="77" t="str">
        <f>IF(G142&lt;&gt;"",IFERROR(ROUND(VLOOKUP(G142,ProductList!J:AO,31,FALSE),0),""),"")</f>
        <v/>
      </c>
      <c r="D142" s="73" t="str">
        <f>IF(E142&lt;&gt;"",IF(D141&lt;&gt;"",D141,#REF!)+1,"")</f>
        <v/>
      </c>
      <c r="E142" s="73"/>
      <c r="F142" s="73"/>
      <c r="G142" s="122"/>
      <c r="H142" s="104"/>
      <c r="I142" s="73"/>
      <c r="J142" s="73"/>
      <c r="K142" s="202"/>
      <c r="L142" s="75" t="str">
        <f t="shared" si="18"/>
        <v/>
      </c>
      <c r="M142" s="75"/>
      <c r="N142" s="75" t="str">
        <f t="shared" si="19"/>
        <v/>
      </c>
      <c r="O142" s="204" t="str">
        <f t="shared" ref="O142:O205" si="20">IF(AND(K142&lt;&gt;"",M142&lt;&gt;""),K142-M142,IF(K142&lt;&gt;"",K142,""))</f>
        <v/>
      </c>
      <c r="P142" s="8"/>
      <c r="Q142" s="8"/>
      <c r="R142" s="8"/>
      <c r="S142" s="8"/>
    </row>
    <row r="143" spans="1:19" x14ac:dyDescent="0.25">
      <c r="A143" s="197">
        <f t="shared" si="16"/>
        <v>0</v>
      </c>
      <c r="B143" s="76" t="str">
        <f t="shared" si="17"/>
        <v/>
      </c>
      <c r="C143" s="77" t="str">
        <f>IF(G143&lt;&gt;"",IFERROR(ROUND(VLOOKUP(G143,ProductList!J:AO,31,FALSE),0),""),"")</f>
        <v/>
      </c>
      <c r="D143" s="73" t="str">
        <f>IF(E143&lt;&gt;"",IF(D142&lt;&gt;"",D142,#REF!)+1,"")</f>
        <v/>
      </c>
      <c r="E143" s="73"/>
      <c r="F143" s="73"/>
      <c r="G143" s="122"/>
      <c r="H143" s="104"/>
      <c r="I143" s="73"/>
      <c r="J143" s="73"/>
      <c r="K143" s="202"/>
      <c r="L143" s="75" t="str">
        <f t="shared" si="18"/>
        <v/>
      </c>
      <c r="M143" s="75"/>
      <c r="N143" s="75" t="str">
        <f t="shared" si="19"/>
        <v/>
      </c>
      <c r="O143" s="204" t="str">
        <f t="shared" si="20"/>
        <v/>
      </c>
      <c r="P143" s="8"/>
      <c r="Q143" s="8"/>
      <c r="R143" s="8"/>
      <c r="S143" s="8"/>
    </row>
    <row r="144" spans="1:19" x14ac:dyDescent="0.25">
      <c r="A144" s="197">
        <f t="shared" si="16"/>
        <v>0</v>
      </c>
      <c r="B144" s="76" t="str">
        <f t="shared" si="17"/>
        <v/>
      </c>
      <c r="C144" s="77" t="str">
        <f>IF(G144&lt;&gt;"",IFERROR(ROUND(VLOOKUP(G144,ProductList!J:AO,31,FALSE),0),""),"")</f>
        <v/>
      </c>
      <c r="D144" s="73" t="str">
        <f>IF(E144&lt;&gt;"",IF(D143&lt;&gt;"",D143,#REF!)+1,"")</f>
        <v/>
      </c>
      <c r="E144" s="73"/>
      <c r="F144" s="73"/>
      <c r="G144" s="122"/>
      <c r="H144" s="104"/>
      <c r="I144" s="73"/>
      <c r="J144" s="73"/>
      <c r="K144" s="202"/>
      <c r="L144" s="75" t="str">
        <f t="shared" si="18"/>
        <v/>
      </c>
      <c r="M144" s="75"/>
      <c r="N144" s="75" t="str">
        <f t="shared" si="19"/>
        <v/>
      </c>
      <c r="O144" s="204" t="str">
        <f t="shared" si="20"/>
        <v/>
      </c>
      <c r="P144" s="8"/>
      <c r="Q144" s="8"/>
      <c r="R144" s="8"/>
      <c r="S144" s="8"/>
    </row>
    <row r="145" spans="1:19" x14ac:dyDescent="0.25">
      <c r="A145" s="197">
        <f t="shared" si="16"/>
        <v>0</v>
      </c>
      <c r="B145" s="76" t="str">
        <f t="shared" si="17"/>
        <v/>
      </c>
      <c r="C145" s="77" t="str">
        <f>IF(G145&lt;&gt;"",IFERROR(ROUND(VLOOKUP(G145,ProductList!J:AO,31,FALSE),0),""),"")</f>
        <v/>
      </c>
      <c r="D145" s="73" t="str">
        <f>IF(E145&lt;&gt;"",IF(D144&lt;&gt;"",D144,#REF!)+1,"")</f>
        <v/>
      </c>
      <c r="E145" s="73"/>
      <c r="F145" s="73"/>
      <c r="G145" s="122"/>
      <c r="H145" s="104"/>
      <c r="I145" s="73"/>
      <c r="J145" s="73"/>
      <c r="K145" s="202"/>
      <c r="L145" s="75" t="str">
        <f t="shared" si="18"/>
        <v/>
      </c>
      <c r="M145" s="75"/>
      <c r="N145" s="75" t="str">
        <f t="shared" si="19"/>
        <v/>
      </c>
      <c r="O145" s="204" t="str">
        <f t="shared" si="20"/>
        <v/>
      </c>
      <c r="P145" s="8"/>
      <c r="Q145" s="8"/>
      <c r="R145" s="8"/>
      <c r="S145" s="8"/>
    </row>
    <row r="146" spans="1:19" x14ac:dyDescent="0.25">
      <c r="A146" s="197">
        <f t="shared" si="16"/>
        <v>0</v>
      </c>
      <c r="B146" s="76" t="str">
        <f t="shared" si="17"/>
        <v/>
      </c>
      <c r="C146" s="77" t="str">
        <f>IF(G146&lt;&gt;"",IFERROR(ROUND(VLOOKUP(G146,ProductList!J:AO,31,FALSE),0),""),"")</f>
        <v/>
      </c>
      <c r="D146" s="73" t="str">
        <f>IF(E146&lt;&gt;"",IF(D145&lt;&gt;"",D145,#REF!)+1,"")</f>
        <v/>
      </c>
      <c r="E146" s="73"/>
      <c r="F146" s="73"/>
      <c r="G146" s="122"/>
      <c r="H146" s="104"/>
      <c r="I146" s="73"/>
      <c r="J146" s="73"/>
      <c r="K146" s="202"/>
      <c r="L146" s="75" t="str">
        <f t="shared" si="18"/>
        <v/>
      </c>
      <c r="M146" s="75"/>
      <c r="N146" s="75" t="str">
        <f t="shared" si="19"/>
        <v/>
      </c>
      <c r="O146" s="204" t="str">
        <f t="shared" si="20"/>
        <v/>
      </c>
      <c r="P146" s="8"/>
      <c r="Q146" s="8"/>
      <c r="R146" s="8"/>
      <c r="S146" s="8"/>
    </row>
    <row r="147" spans="1:19" x14ac:dyDescent="0.25">
      <c r="A147" s="197">
        <f t="shared" si="16"/>
        <v>0</v>
      </c>
      <c r="B147" s="76" t="str">
        <f t="shared" si="17"/>
        <v/>
      </c>
      <c r="C147" s="77" t="str">
        <f>IF(G147&lt;&gt;"",IFERROR(ROUND(VLOOKUP(G147,ProductList!J:AO,31,FALSE),0),""),"")</f>
        <v/>
      </c>
      <c r="D147" s="73" t="str">
        <f>IF(E147&lt;&gt;"",IF(D146&lt;&gt;"",D146,#REF!)+1,"")</f>
        <v/>
      </c>
      <c r="E147" s="73"/>
      <c r="F147" s="73"/>
      <c r="G147" s="122"/>
      <c r="H147" s="104"/>
      <c r="I147" s="73"/>
      <c r="J147" s="73"/>
      <c r="K147" s="202"/>
      <c r="L147" s="75" t="str">
        <f t="shared" si="18"/>
        <v/>
      </c>
      <c r="M147" s="75"/>
      <c r="N147" s="75" t="str">
        <f t="shared" si="19"/>
        <v/>
      </c>
      <c r="O147" s="204" t="str">
        <f t="shared" si="20"/>
        <v/>
      </c>
      <c r="P147" s="8"/>
      <c r="Q147" s="8"/>
      <c r="R147" s="8"/>
      <c r="S147" s="8"/>
    </row>
    <row r="148" spans="1:19" x14ac:dyDescent="0.25">
      <c r="A148" s="197">
        <f t="shared" si="16"/>
        <v>0</v>
      </c>
      <c r="B148" s="76" t="str">
        <f t="shared" si="17"/>
        <v/>
      </c>
      <c r="C148" s="77" t="str">
        <f>IF(G148&lt;&gt;"",IFERROR(ROUND(VLOOKUP(G148,ProductList!J:AO,31,FALSE),0),""),"")</f>
        <v/>
      </c>
      <c r="D148" s="73" t="str">
        <f>IF(E148&lt;&gt;"",IF(D147&lt;&gt;"",D147,#REF!)+1,"")</f>
        <v/>
      </c>
      <c r="E148" s="73"/>
      <c r="F148" s="73"/>
      <c r="G148" s="122"/>
      <c r="H148" s="104"/>
      <c r="I148" s="73"/>
      <c r="J148" s="73"/>
      <c r="K148" s="202"/>
      <c r="L148" s="75" t="str">
        <f t="shared" si="18"/>
        <v/>
      </c>
      <c r="M148" s="75"/>
      <c r="N148" s="75" t="str">
        <f t="shared" si="19"/>
        <v/>
      </c>
      <c r="O148" s="204" t="str">
        <f t="shared" si="20"/>
        <v/>
      </c>
      <c r="P148" s="8"/>
      <c r="Q148" s="8"/>
      <c r="R148" s="8"/>
      <c r="S148" s="8"/>
    </row>
    <row r="149" spans="1:19" x14ac:dyDescent="0.25">
      <c r="A149" s="197">
        <f t="shared" si="16"/>
        <v>0</v>
      </c>
      <c r="B149" s="76" t="str">
        <f t="shared" si="17"/>
        <v/>
      </c>
      <c r="C149" s="77" t="str">
        <f>IF(G149&lt;&gt;"",IFERROR(ROUND(VLOOKUP(G149,ProductList!J:AO,31,FALSE),0),""),"")</f>
        <v/>
      </c>
      <c r="D149" s="73" t="str">
        <f>IF(E149&lt;&gt;"",IF(D148&lt;&gt;"",D148,#REF!)+1,"")</f>
        <v/>
      </c>
      <c r="E149" s="73"/>
      <c r="F149" s="73"/>
      <c r="G149" s="122"/>
      <c r="H149" s="104"/>
      <c r="I149" s="73"/>
      <c r="J149" s="73"/>
      <c r="K149" s="202"/>
      <c r="L149" s="75" t="str">
        <f t="shared" si="18"/>
        <v/>
      </c>
      <c r="M149" s="75"/>
      <c r="N149" s="75" t="str">
        <f t="shared" si="19"/>
        <v/>
      </c>
      <c r="O149" s="204" t="str">
        <f t="shared" si="20"/>
        <v/>
      </c>
      <c r="P149" s="8"/>
      <c r="Q149" s="8"/>
      <c r="R149" s="8"/>
      <c r="S149" s="8"/>
    </row>
    <row r="150" spans="1:19" x14ac:dyDescent="0.25">
      <c r="A150" s="197">
        <f t="shared" si="16"/>
        <v>0</v>
      </c>
      <c r="B150" s="76" t="str">
        <f t="shared" si="17"/>
        <v/>
      </c>
      <c r="C150" s="77" t="str">
        <f>IF(G150&lt;&gt;"",IFERROR(ROUND(VLOOKUP(G150,ProductList!J:AO,31,FALSE),0),""),"")</f>
        <v/>
      </c>
      <c r="D150" s="73" t="str">
        <f>IF(E150&lt;&gt;"",IF(D149&lt;&gt;"",D149,#REF!)+1,"")</f>
        <v/>
      </c>
      <c r="E150" s="73"/>
      <c r="F150" s="73"/>
      <c r="G150" s="122"/>
      <c r="H150" s="104"/>
      <c r="I150" s="73"/>
      <c r="J150" s="73"/>
      <c r="K150" s="202"/>
      <c r="L150" s="75" t="str">
        <f t="shared" si="18"/>
        <v/>
      </c>
      <c r="M150" s="75"/>
      <c r="N150" s="75" t="str">
        <f t="shared" si="19"/>
        <v/>
      </c>
      <c r="O150" s="204" t="str">
        <f t="shared" si="20"/>
        <v/>
      </c>
      <c r="P150" s="8"/>
      <c r="Q150" s="8"/>
      <c r="R150" s="8"/>
      <c r="S150" s="8"/>
    </row>
    <row r="151" spans="1:19" x14ac:dyDescent="0.25">
      <c r="A151" s="197">
        <f t="shared" si="16"/>
        <v>0</v>
      </c>
      <c r="B151" s="76" t="str">
        <f t="shared" si="17"/>
        <v/>
      </c>
      <c r="C151" s="77" t="str">
        <f>IF(G151&lt;&gt;"",IFERROR(ROUND(VLOOKUP(G151,ProductList!J:AO,31,FALSE),0),""),"")</f>
        <v/>
      </c>
      <c r="D151" s="73" t="str">
        <f>IF(E151&lt;&gt;"",IF(D150&lt;&gt;"",D150,#REF!)+1,"")</f>
        <v/>
      </c>
      <c r="E151" s="73"/>
      <c r="F151" s="73"/>
      <c r="G151" s="122"/>
      <c r="H151" s="104"/>
      <c r="I151" s="73"/>
      <c r="J151" s="73"/>
      <c r="K151" s="202"/>
      <c r="L151" s="75" t="str">
        <f t="shared" si="18"/>
        <v/>
      </c>
      <c r="M151" s="75"/>
      <c r="N151" s="75" t="str">
        <f t="shared" si="19"/>
        <v/>
      </c>
      <c r="O151" s="204" t="str">
        <f t="shared" si="20"/>
        <v/>
      </c>
      <c r="P151" s="8"/>
      <c r="Q151" s="8"/>
      <c r="R151" s="8"/>
      <c r="S151" s="8"/>
    </row>
    <row r="152" spans="1:19" x14ac:dyDescent="0.25">
      <c r="A152" s="197">
        <f t="shared" si="16"/>
        <v>0</v>
      </c>
      <c r="B152" s="76" t="str">
        <f t="shared" si="17"/>
        <v/>
      </c>
      <c r="C152" s="77" t="str">
        <f>IF(G152&lt;&gt;"",IFERROR(ROUND(VLOOKUP(G152,ProductList!J:AO,31,FALSE),0),""),"")</f>
        <v/>
      </c>
      <c r="D152" s="73" t="str">
        <f>IF(E152&lt;&gt;"",IF(D151&lt;&gt;"",D151,#REF!)+1,"")</f>
        <v/>
      </c>
      <c r="E152" s="73"/>
      <c r="F152" s="73"/>
      <c r="G152" s="122"/>
      <c r="H152" s="104"/>
      <c r="I152" s="73"/>
      <c r="J152" s="73"/>
      <c r="K152" s="202"/>
      <c r="L152" s="75" t="str">
        <f t="shared" si="18"/>
        <v/>
      </c>
      <c r="M152" s="75"/>
      <c r="N152" s="75" t="str">
        <f t="shared" si="19"/>
        <v/>
      </c>
      <c r="O152" s="204" t="str">
        <f t="shared" si="20"/>
        <v/>
      </c>
      <c r="P152" s="8"/>
      <c r="Q152" s="8"/>
      <c r="R152" s="8"/>
      <c r="S152" s="8"/>
    </row>
    <row r="153" spans="1:19" x14ac:dyDescent="0.25">
      <c r="A153" s="197">
        <f t="shared" si="16"/>
        <v>0</v>
      </c>
      <c r="B153" s="76" t="str">
        <f t="shared" si="17"/>
        <v/>
      </c>
      <c r="C153" s="77" t="str">
        <f>IF(G153&lt;&gt;"",IFERROR(ROUND(VLOOKUP(G153,ProductList!J:AO,31,FALSE),0),""),"")</f>
        <v/>
      </c>
      <c r="D153" s="73" t="str">
        <f>IF(E153&lt;&gt;"",IF(D152&lt;&gt;"",D152,#REF!)+1,"")</f>
        <v/>
      </c>
      <c r="E153" s="73"/>
      <c r="F153" s="73"/>
      <c r="G153" s="122"/>
      <c r="H153" s="104"/>
      <c r="I153" s="73"/>
      <c r="J153" s="73"/>
      <c r="K153" s="202"/>
      <c r="L153" s="75" t="str">
        <f t="shared" si="18"/>
        <v/>
      </c>
      <c r="M153" s="75"/>
      <c r="N153" s="75" t="str">
        <f t="shared" si="19"/>
        <v/>
      </c>
      <c r="O153" s="204" t="str">
        <f t="shared" si="20"/>
        <v/>
      </c>
      <c r="P153" s="8"/>
      <c r="Q153" s="8"/>
      <c r="R153" s="8"/>
      <c r="S153" s="8"/>
    </row>
    <row r="154" spans="1:19" x14ac:dyDescent="0.25">
      <c r="A154" s="197">
        <f t="shared" si="16"/>
        <v>0</v>
      </c>
      <c r="B154" s="76" t="str">
        <f t="shared" si="17"/>
        <v/>
      </c>
      <c r="C154" s="77" t="str">
        <f>IF(G154&lt;&gt;"",IFERROR(ROUND(VLOOKUP(G154,ProductList!J:AO,31,FALSE),0),""),"")</f>
        <v/>
      </c>
      <c r="D154" s="73" t="str">
        <f>IF(E154&lt;&gt;"",IF(D153&lt;&gt;"",D153,#REF!)+1,"")</f>
        <v/>
      </c>
      <c r="E154" s="73"/>
      <c r="F154" s="73"/>
      <c r="G154" s="122"/>
      <c r="H154" s="104"/>
      <c r="I154" s="73"/>
      <c r="J154" s="73"/>
      <c r="K154" s="202"/>
      <c r="L154" s="75" t="str">
        <f t="shared" si="18"/>
        <v/>
      </c>
      <c r="M154" s="75"/>
      <c r="N154" s="75" t="str">
        <f t="shared" si="19"/>
        <v/>
      </c>
      <c r="O154" s="204" t="str">
        <f t="shared" si="20"/>
        <v/>
      </c>
      <c r="P154" s="8"/>
      <c r="Q154" s="8"/>
      <c r="R154" s="8"/>
      <c r="S154" s="8"/>
    </row>
    <row r="155" spans="1:19" x14ac:dyDescent="0.25">
      <c r="A155" s="197">
        <f t="shared" si="16"/>
        <v>0</v>
      </c>
      <c r="B155" s="76" t="str">
        <f t="shared" si="17"/>
        <v/>
      </c>
      <c r="C155" s="77" t="str">
        <f>IF(G155&lt;&gt;"",IFERROR(ROUND(VLOOKUP(G155,ProductList!J:AO,31,FALSE),0),""),"")</f>
        <v/>
      </c>
      <c r="D155" s="73" t="str">
        <f>IF(E155&lt;&gt;"",IF(D154&lt;&gt;"",D154,#REF!)+1,"")</f>
        <v/>
      </c>
      <c r="E155" s="73"/>
      <c r="F155" s="73"/>
      <c r="G155" s="122"/>
      <c r="H155" s="104"/>
      <c r="I155" s="73"/>
      <c r="J155" s="73"/>
      <c r="K155" s="202"/>
      <c r="L155" s="75" t="str">
        <f t="shared" si="18"/>
        <v/>
      </c>
      <c r="M155" s="75"/>
      <c r="N155" s="75" t="str">
        <f t="shared" si="19"/>
        <v/>
      </c>
      <c r="O155" s="204" t="str">
        <f t="shared" si="20"/>
        <v/>
      </c>
      <c r="P155" s="8"/>
      <c r="Q155" s="8"/>
      <c r="R155" s="8"/>
      <c r="S155" s="8"/>
    </row>
    <row r="156" spans="1:19" x14ac:dyDescent="0.25">
      <c r="A156" s="197">
        <f t="shared" si="16"/>
        <v>0</v>
      </c>
      <c r="B156" s="76" t="str">
        <f t="shared" si="17"/>
        <v/>
      </c>
      <c r="C156" s="77" t="str">
        <f>IF(G156&lt;&gt;"",IFERROR(ROUND(VLOOKUP(G156,ProductList!J:AO,31,FALSE),0),""),"")</f>
        <v/>
      </c>
      <c r="D156" s="73" t="str">
        <f>IF(E156&lt;&gt;"",IF(D155&lt;&gt;"",D155,#REF!)+1,"")</f>
        <v/>
      </c>
      <c r="E156" s="73"/>
      <c r="F156" s="73"/>
      <c r="G156" s="122"/>
      <c r="H156" s="104"/>
      <c r="I156" s="73"/>
      <c r="J156" s="73"/>
      <c r="K156" s="202"/>
      <c r="L156" s="75" t="str">
        <f t="shared" si="18"/>
        <v/>
      </c>
      <c r="M156" s="75"/>
      <c r="N156" s="75" t="str">
        <f t="shared" si="19"/>
        <v/>
      </c>
      <c r="O156" s="204" t="str">
        <f t="shared" si="20"/>
        <v/>
      </c>
      <c r="P156" s="8"/>
      <c r="Q156" s="8"/>
      <c r="R156" s="8"/>
      <c r="S156" s="8"/>
    </row>
    <row r="157" spans="1:19" x14ac:dyDescent="0.25">
      <c r="A157" s="197">
        <f t="shared" si="16"/>
        <v>0</v>
      </c>
      <c r="B157" s="76" t="str">
        <f t="shared" si="17"/>
        <v/>
      </c>
      <c r="C157" s="77" t="str">
        <f>IF(G157&lt;&gt;"",IFERROR(ROUND(VLOOKUP(G157,ProductList!J:AO,31,FALSE),0),""),"")</f>
        <v/>
      </c>
      <c r="D157" s="73" t="str">
        <f>IF(E157&lt;&gt;"",IF(D156&lt;&gt;"",D156,#REF!)+1,"")</f>
        <v/>
      </c>
      <c r="E157" s="73"/>
      <c r="F157" s="73"/>
      <c r="G157" s="122"/>
      <c r="H157" s="104"/>
      <c r="I157" s="73"/>
      <c r="J157" s="73"/>
      <c r="K157" s="202"/>
      <c r="L157" s="75" t="str">
        <f t="shared" si="18"/>
        <v/>
      </c>
      <c r="M157" s="75"/>
      <c r="N157" s="75" t="str">
        <f t="shared" si="19"/>
        <v/>
      </c>
      <c r="O157" s="204" t="str">
        <f t="shared" si="20"/>
        <v/>
      </c>
      <c r="P157" s="8"/>
      <c r="Q157" s="8"/>
      <c r="R157" s="8"/>
      <c r="S157" s="8"/>
    </row>
    <row r="158" spans="1:19" x14ac:dyDescent="0.25">
      <c r="A158" s="197">
        <f t="shared" si="16"/>
        <v>0</v>
      </c>
      <c r="B158" s="76" t="str">
        <f t="shared" si="17"/>
        <v/>
      </c>
      <c r="C158" s="77" t="str">
        <f>IF(G158&lt;&gt;"",IFERROR(ROUND(VLOOKUP(G158,ProductList!J:AO,31,FALSE),0),""),"")</f>
        <v/>
      </c>
      <c r="D158" s="73" t="str">
        <f>IF(E158&lt;&gt;"",IF(D157&lt;&gt;"",D157,#REF!)+1,"")</f>
        <v/>
      </c>
      <c r="E158" s="73"/>
      <c r="F158" s="73"/>
      <c r="G158" s="122"/>
      <c r="H158" s="104"/>
      <c r="I158" s="73"/>
      <c r="J158" s="73"/>
      <c r="K158" s="202"/>
      <c r="L158" s="75" t="str">
        <f t="shared" si="18"/>
        <v/>
      </c>
      <c r="M158" s="75"/>
      <c r="N158" s="75" t="str">
        <f t="shared" si="19"/>
        <v/>
      </c>
      <c r="O158" s="204" t="str">
        <f t="shared" si="20"/>
        <v/>
      </c>
      <c r="P158" s="8"/>
      <c r="Q158" s="8"/>
      <c r="R158" s="8"/>
      <c r="S158" s="8"/>
    </row>
    <row r="159" spans="1:19" x14ac:dyDescent="0.25">
      <c r="A159" s="197">
        <f t="shared" si="16"/>
        <v>0</v>
      </c>
      <c r="B159" s="76" t="str">
        <f t="shared" si="17"/>
        <v/>
      </c>
      <c r="C159" s="77" t="str">
        <f>IF(G159&lt;&gt;"",IFERROR(ROUND(VLOOKUP(G159,ProductList!J:AO,31,FALSE),0),""),"")</f>
        <v/>
      </c>
      <c r="D159" s="73" t="str">
        <f>IF(E159&lt;&gt;"",IF(D158&lt;&gt;"",D158,#REF!)+1,"")</f>
        <v/>
      </c>
      <c r="E159" s="73"/>
      <c r="F159" s="73"/>
      <c r="G159" s="122"/>
      <c r="H159" s="104"/>
      <c r="I159" s="73"/>
      <c r="J159" s="73"/>
      <c r="K159" s="202"/>
      <c r="L159" s="75" t="str">
        <f t="shared" si="18"/>
        <v/>
      </c>
      <c r="M159" s="75"/>
      <c r="N159" s="75" t="str">
        <f t="shared" si="19"/>
        <v/>
      </c>
      <c r="O159" s="204" t="str">
        <f t="shared" si="20"/>
        <v/>
      </c>
      <c r="P159" s="8"/>
      <c r="Q159" s="8"/>
      <c r="R159" s="8"/>
      <c r="S159" s="8"/>
    </row>
    <row r="160" spans="1:19" x14ac:dyDescent="0.25">
      <c r="A160" s="197">
        <f t="shared" si="16"/>
        <v>0</v>
      </c>
      <c r="B160" s="76" t="str">
        <f t="shared" si="17"/>
        <v/>
      </c>
      <c r="C160" s="77" t="str">
        <f>IF(G160&lt;&gt;"",IFERROR(ROUND(VLOOKUP(G160,ProductList!J:AO,31,FALSE),0),""),"")</f>
        <v/>
      </c>
      <c r="D160" s="73" t="str">
        <f>IF(E160&lt;&gt;"",IF(D159&lt;&gt;"",D159,#REF!)+1,"")</f>
        <v/>
      </c>
      <c r="E160" s="73"/>
      <c r="F160" s="73"/>
      <c r="G160" s="122"/>
      <c r="H160" s="104"/>
      <c r="I160" s="73"/>
      <c r="J160" s="73"/>
      <c r="K160" s="202"/>
      <c r="L160" s="75" t="str">
        <f t="shared" si="18"/>
        <v/>
      </c>
      <c r="M160" s="75"/>
      <c r="N160" s="75" t="str">
        <f t="shared" si="19"/>
        <v/>
      </c>
      <c r="O160" s="204" t="str">
        <f t="shared" si="20"/>
        <v/>
      </c>
      <c r="P160" s="8"/>
      <c r="Q160" s="8"/>
      <c r="R160" s="8"/>
      <c r="S160" s="8"/>
    </row>
    <row r="161" spans="1:19" x14ac:dyDescent="0.25">
      <c r="A161" s="197">
        <f t="shared" si="16"/>
        <v>0</v>
      </c>
      <c r="B161" s="76" t="str">
        <f t="shared" si="17"/>
        <v/>
      </c>
      <c r="C161" s="77" t="str">
        <f>IF(G161&lt;&gt;"",IFERROR(ROUND(VLOOKUP(G161,ProductList!J:AO,31,FALSE),0),""),"")</f>
        <v/>
      </c>
      <c r="D161" s="73" t="str">
        <f>IF(E161&lt;&gt;"",IF(D160&lt;&gt;"",D160,#REF!)+1,"")</f>
        <v/>
      </c>
      <c r="E161" s="73"/>
      <c r="F161" s="73"/>
      <c r="G161" s="122"/>
      <c r="H161" s="104"/>
      <c r="I161" s="73"/>
      <c r="J161" s="73"/>
      <c r="K161" s="202"/>
      <c r="L161" s="75" t="str">
        <f t="shared" si="18"/>
        <v/>
      </c>
      <c r="M161" s="75"/>
      <c r="N161" s="75" t="str">
        <f t="shared" si="19"/>
        <v/>
      </c>
      <c r="O161" s="204" t="str">
        <f t="shared" si="20"/>
        <v/>
      </c>
      <c r="P161" s="8"/>
      <c r="Q161" s="8"/>
      <c r="R161" s="8"/>
      <c r="S161" s="8"/>
    </row>
    <row r="162" spans="1:19" x14ac:dyDescent="0.25">
      <c r="A162" s="197">
        <f t="shared" si="16"/>
        <v>0</v>
      </c>
      <c r="B162" s="76" t="str">
        <f t="shared" si="17"/>
        <v/>
      </c>
      <c r="C162" s="77" t="str">
        <f>IF(G162&lt;&gt;"",IFERROR(ROUND(VLOOKUP(G162,ProductList!J:AO,31,FALSE),0),""),"")</f>
        <v/>
      </c>
      <c r="D162" s="73" t="str">
        <f>IF(E162&lt;&gt;"",IF(D161&lt;&gt;"",D161,#REF!)+1,"")</f>
        <v/>
      </c>
      <c r="E162" s="73"/>
      <c r="F162" s="73"/>
      <c r="G162" s="122"/>
      <c r="H162" s="104"/>
      <c r="I162" s="73"/>
      <c r="J162" s="73"/>
      <c r="K162" s="202"/>
      <c r="L162" s="75" t="str">
        <f t="shared" si="18"/>
        <v/>
      </c>
      <c r="M162" s="75"/>
      <c r="N162" s="75" t="str">
        <f t="shared" si="19"/>
        <v/>
      </c>
      <c r="O162" s="204" t="str">
        <f t="shared" si="20"/>
        <v/>
      </c>
      <c r="P162" s="8"/>
      <c r="Q162" s="8"/>
      <c r="R162" s="8"/>
      <c r="S162" s="8"/>
    </row>
    <row r="163" spans="1:19" x14ac:dyDescent="0.25">
      <c r="A163" s="197">
        <f t="shared" si="16"/>
        <v>0</v>
      </c>
      <c r="B163" s="76" t="str">
        <f t="shared" si="17"/>
        <v/>
      </c>
      <c r="C163" s="77" t="str">
        <f>IF(G163&lt;&gt;"",IFERROR(ROUND(VLOOKUP(G163,ProductList!J:AO,31,FALSE),0),""),"")</f>
        <v/>
      </c>
      <c r="D163" s="73" t="str">
        <f>IF(E163&lt;&gt;"",IF(D162&lt;&gt;"",D162,#REF!)+1,"")</f>
        <v/>
      </c>
      <c r="E163" s="73"/>
      <c r="F163" s="73"/>
      <c r="G163" s="122"/>
      <c r="H163" s="104"/>
      <c r="I163" s="73"/>
      <c r="J163" s="73"/>
      <c r="K163" s="202"/>
      <c r="L163" s="75" t="str">
        <f t="shared" si="18"/>
        <v/>
      </c>
      <c r="M163" s="75"/>
      <c r="N163" s="75" t="str">
        <f t="shared" si="19"/>
        <v/>
      </c>
      <c r="O163" s="204" t="str">
        <f t="shared" si="20"/>
        <v/>
      </c>
      <c r="P163" s="8"/>
      <c r="Q163" s="8"/>
      <c r="R163" s="8"/>
      <c r="S163" s="8"/>
    </row>
    <row r="164" spans="1:19" x14ac:dyDescent="0.25">
      <c r="A164" s="197">
        <f t="shared" si="16"/>
        <v>0</v>
      </c>
      <c r="B164" s="76" t="str">
        <f t="shared" si="17"/>
        <v/>
      </c>
      <c r="C164" s="77" t="str">
        <f>IF(G164&lt;&gt;"",IFERROR(ROUND(VLOOKUP(G164,ProductList!J:AO,31,FALSE),0),""),"")</f>
        <v/>
      </c>
      <c r="D164" s="73" t="str">
        <f>IF(E164&lt;&gt;"",IF(D163&lt;&gt;"",D163,#REF!)+1,"")</f>
        <v/>
      </c>
      <c r="E164" s="73"/>
      <c r="F164" s="73"/>
      <c r="G164" s="122"/>
      <c r="H164" s="104"/>
      <c r="I164" s="73"/>
      <c r="J164" s="73"/>
      <c r="K164" s="202"/>
      <c r="L164" s="75" t="str">
        <f t="shared" si="18"/>
        <v/>
      </c>
      <c r="M164" s="75"/>
      <c r="N164" s="75" t="str">
        <f t="shared" si="19"/>
        <v/>
      </c>
      <c r="O164" s="204" t="str">
        <f t="shared" si="20"/>
        <v/>
      </c>
      <c r="P164" s="8"/>
      <c r="Q164" s="8"/>
      <c r="R164" s="8"/>
      <c r="S164" s="8"/>
    </row>
    <row r="165" spans="1:19" x14ac:dyDescent="0.25">
      <c r="A165" s="197">
        <f t="shared" si="16"/>
        <v>0</v>
      </c>
      <c r="B165" s="76" t="str">
        <f t="shared" si="17"/>
        <v/>
      </c>
      <c r="C165" s="77" t="str">
        <f>IF(G165&lt;&gt;"",IFERROR(ROUND(VLOOKUP(G165,ProductList!J:AO,31,FALSE),0),""),"")</f>
        <v/>
      </c>
      <c r="D165" s="73" t="str">
        <f>IF(E165&lt;&gt;"",IF(D164&lt;&gt;"",D164,#REF!)+1,"")</f>
        <v/>
      </c>
      <c r="E165" s="73"/>
      <c r="F165" s="73"/>
      <c r="G165" s="122"/>
      <c r="H165" s="104"/>
      <c r="I165" s="73"/>
      <c r="J165" s="73"/>
      <c r="K165" s="202"/>
      <c r="L165" s="75" t="str">
        <f t="shared" si="18"/>
        <v/>
      </c>
      <c r="M165" s="75"/>
      <c r="N165" s="75" t="str">
        <f t="shared" si="19"/>
        <v/>
      </c>
      <c r="O165" s="204" t="str">
        <f t="shared" si="20"/>
        <v/>
      </c>
      <c r="P165" s="8"/>
      <c r="Q165" s="8"/>
      <c r="R165" s="8"/>
      <c r="S165" s="8"/>
    </row>
    <row r="166" spans="1:19" x14ac:dyDescent="0.25">
      <c r="A166" s="197">
        <f t="shared" si="16"/>
        <v>0</v>
      </c>
      <c r="B166" s="76" t="str">
        <f t="shared" si="17"/>
        <v/>
      </c>
      <c r="C166" s="77" t="str">
        <f>IF(G166&lt;&gt;"",IFERROR(ROUND(VLOOKUP(G166,ProductList!J:AO,31,FALSE),0),""),"")</f>
        <v/>
      </c>
      <c r="D166" s="73" t="str">
        <f>IF(E166&lt;&gt;"",IF(D165&lt;&gt;"",D165,#REF!)+1,"")</f>
        <v/>
      </c>
      <c r="E166" s="73"/>
      <c r="F166" s="73"/>
      <c r="G166" s="122"/>
      <c r="H166" s="104"/>
      <c r="I166" s="73"/>
      <c r="J166" s="73"/>
      <c r="K166" s="202"/>
      <c r="L166" s="75" t="str">
        <f t="shared" si="18"/>
        <v/>
      </c>
      <c r="M166" s="75"/>
      <c r="N166" s="75" t="str">
        <f t="shared" si="19"/>
        <v/>
      </c>
      <c r="O166" s="204" t="str">
        <f t="shared" si="20"/>
        <v/>
      </c>
      <c r="P166" s="8"/>
      <c r="Q166" s="8"/>
      <c r="R166" s="8"/>
      <c r="S166" s="8"/>
    </row>
    <row r="167" spans="1:19" x14ac:dyDescent="0.25">
      <c r="A167" s="197">
        <f t="shared" si="16"/>
        <v>0</v>
      </c>
      <c r="B167" s="76" t="str">
        <f t="shared" si="17"/>
        <v/>
      </c>
      <c r="C167" s="77" t="str">
        <f>IF(G167&lt;&gt;"",IFERROR(ROUND(VLOOKUP(G167,ProductList!J:AO,31,FALSE),0),""),"")</f>
        <v/>
      </c>
      <c r="D167" s="73" t="str">
        <f>IF(E167&lt;&gt;"",IF(D166&lt;&gt;"",D166,#REF!)+1,"")</f>
        <v/>
      </c>
      <c r="E167" s="73"/>
      <c r="F167" s="73"/>
      <c r="G167" s="122"/>
      <c r="H167" s="104"/>
      <c r="I167" s="73"/>
      <c r="J167" s="73"/>
      <c r="K167" s="202"/>
      <c r="L167" s="75" t="str">
        <f t="shared" si="18"/>
        <v/>
      </c>
      <c r="M167" s="75"/>
      <c r="N167" s="75" t="str">
        <f t="shared" si="19"/>
        <v/>
      </c>
      <c r="O167" s="204" t="str">
        <f t="shared" si="20"/>
        <v/>
      </c>
      <c r="P167" s="8"/>
      <c r="Q167" s="8"/>
      <c r="R167" s="8"/>
      <c r="S167" s="8"/>
    </row>
    <row r="168" spans="1:19" x14ac:dyDescent="0.25">
      <c r="A168" s="197">
        <f t="shared" si="16"/>
        <v>0</v>
      </c>
      <c r="B168" s="76" t="str">
        <f t="shared" si="17"/>
        <v/>
      </c>
      <c r="C168" s="77" t="str">
        <f>IF(G168&lt;&gt;"",IFERROR(ROUND(VLOOKUP(G168,ProductList!J:AO,31,FALSE),0),""),"")</f>
        <v/>
      </c>
      <c r="D168" s="73" t="str">
        <f>IF(E168&lt;&gt;"",IF(D167&lt;&gt;"",D167,#REF!)+1,"")</f>
        <v/>
      </c>
      <c r="E168" s="73"/>
      <c r="F168" s="73"/>
      <c r="G168" s="122"/>
      <c r="H168" s="104"/>
      <c r="I168" s="73"/>
      <c r="J168" s="73"/>
      <c r="K168" s="202"/>
      <c r="L168" s="75" t="str">
        <f t="shared" si="18"/>
        <v/>
      </c>
      <c r="M168" s="75"/>
      <c r="N168" s="75" t="str">
        <f t="shared" si="19"/>
        <v/>
      </c>
      <c r="O168" s="204" t="str">
        <f t="shared" si="20"/>
        <v/>
      </c>
      <c r="P168" s="8"/>
      <c r="Q168" s="8"/>
      <c r="R168" s="8"/>
      <c r="S168" s="8"/>
    </row>
    <row r="169" spans="1:19" x14ac:dyDescent="0.25">
      <c r="A169" s="197">
        <f t="shared" si="16"/>
        <v>0</v>
      </c>
      <c r="B169" s="76" t="str">
        <f t="shared" si="17"/>
        <v/>
      </c>
      <c r="C169" s="77" t="str">
        <f>IF(G169&lt;&gt;"",IFERROR(ROUND(VLOOKUP(G169,ProductList!J:AO,31,FALSE),0),""),"")</f>
        <v/>
      </c>
      <c r="D169" s="73" t="str">
        <f>IF(E169&lt;&gt;"",IF(D168&lt;&gt;"",D168,#REF!)+1,"")</f>
        <v/>
      </c>
      <c r="E169" s="73"/>
      <c r="F169" s="73"/>
      <c r="G169" s="122"/>
      <c r="H169" s="104"/>
      <c r="I169" s="73"/>
      <c r="J169" s="73"/>
      <c r="K169" s="202"/>
      <c r="L169" s="75" t="str">
        <f t="shared" si="18"/>
        <v/>
      </c>
      <c r="M169" s="75"/>
      <c r="N169" s="75" t="str">
        <f t="shared" si="19"/>
        <v/>
      </c>
      <c r="O169" s="204" t="str">
        <f t="shared" si="20"/>
        <v/>
      </c>
      <c r="P169" s="8"/>
      <c r="Q169" s="8"/>
      <c r="R169" s="8"/>
      <c r="S169" s="8"/>
    </row>
    <row r="170" spans="1:19" x14ac:dyDescent="0.25">
      <c r="A170" s="197">
        <f t="shared" si="16"/>
        <v>0</v>
      </c>
      <c r="B170" s="76" t="str">
        <f t="shared" si="17"/>
        <v/>
      </c>
      <c r="C170" s="77" t="str">
        <f>IF(G170&lt;&gt;"",IFERROR(ROUND(VLOOKUP(G170,ProductList!J:AO,31,FALSE),0),""),"")</f>
        <v/>
      </c>
      <c r="D170" s="73" t="str">
        <f>IF(E170&lt;&gt;"",IF(D169&lt;&gt;"",D169,#REF!)+1,"")</f>
        <v/>
      </c>
      <c r="E170" s="73"/>
      <c r="F170" s="73"/>
      <c r="G170" s="122"/>
      <c r="H170" s="104"/>
      <c r="I170" s="73"/>
      <c r="J170" s="73"/>
      <c r="K170" s="202"/>
      <c r="L170" s="75" t="str">
        <f t="shared" si="18"/>
        <v/>
      </c>
      <c r="M170" s="75"/>
      <c r="N170" s="75" t="str">
        <f t="shared" si="19"/>
        <v/>
      </c>
      <c r="O170" s="204" t="str">
        <f t="shared" si="20"/>
        <v/>
      </c>
      <c r="P170" s="8"/>
      <c r="Q170" s="8"/>
      <c r="R170" s="8"/>
      <c r="S170" s="8"/>
    </row>
    <row r="171" spans="1:19" x14ac:dyDescent="0.25">
      <c r="A171" s="197">
        <f t="shared" si="16"/>
        <v>0</v>
      </c>
      <c r="B171" s="76" t="str">
        <f t="shared" si="17"/>
        <v/>
      </c>
      <c r="C171" s="77" t="str">
        <f>IF(G171&lt;&gt;"",IFERROR(ROUND(VLOOKUP(G171,ProductList!J:AO,31,FALSE),0),""),"")</f>
        <v/>
      </c>
      <c r="D171" s="73" t="str">
        <f>IF(E171&lt;&gt;"",IF(D170&lt;&gt;"",D170,#REF!)+1,"")</f>
        <v/>
      </c>
      <c r="E171" s="73"/>
      <c r="F171" s="73"/>
      <c r="G171" s="122"/>
      <c r="H171" s="104"/>
      <c r="I171" s="73"/>
      <c r="J171" s="73"/>
      <c r="K171" s="202"/>
      <c r="L171" s="75" t="str">
        <f t="shared" si="18"/>
        <v/>
      </c>
      <c r="M171" s="75"/>
      <c r="N171" s="75" t="str">
        <f t="shared" si="19"/>
        <v/>
      </c>
      <c r="O171" s="204" t="str">
        <f t="shared" si="20"/>
        <v/>
      </c>
      <c r="P171" s="8"/>
      <c r="Q171" s="8"/>
      <c r="R171" s="8"/>
      <c r="S171" s="8"/>
    </row>
    <row r="172" spans="1:19" x14ac:dyDescent="0.25">
      <c r="A172" s="197">
        <f t="shared" si="16"/>
        <v>0</v>
      </c>
      <c r="B172" s="76" t="str">
        <f t="shared" si="17"/>
        <v/>
      </c>
      <c r="C172" s="77" t="str">
        <f>IF(G172&lt;&gt;"",IFERROR(ROUND(VLOOKUP(G172,ProductList!J:AO,31,FALSE),0),""),"")</f>
        <v/>
      </c>
      <c r="D172" s="73" t="str">
        <f>IF(E172&lt;&gt;"",IF(D171&lt;&gt;"",D171,#REF!)+1,"")</f>
        <v/>
      </c>
      <c r="E172" s="73"/>
      <c r="F172" s="73"/>
      <c r="G172" s="122"/>
      <c r="H172" s="104"/>
      <c r="I172" s="73"/>
      <c r="J172" s="73"/>
      <c r="K172" s="202"/>
      <c r="L172" s="75" t="str">
        <f t="shared" si="18"/>
        <v/>
      </c>
      <c r="M172" s="75"/>
      <c r="N172" s="75" t="str">
        <f t="shared" si="19"/>
        <v/>
      </c>
      <c r="O172" s="204" t="str">
        <f t="shared" si="20"/>
        <v/>
      </c>
      <c r="P172" s="8"/>
      <c r="Q172" s="8"/>
      <c r="R172" s="8"/>
      <c r="S172" s="8"/>
    </row>
    <row r="173" spans="1:19" x14ac:dyDescent="0.25">
      <c r="A173" s="197">
        <f t="shared" si="16"/>
        <v>0</v>
      </c>
      <c r="B173" s="76" t="str">
        <f t="shared" si="17"/>
        <v/>
      </c>
      <c r="C173" s="77" t="str">
        <f>IF(G173&lt;&gt;"",IFERROR(ROUND(VLOOKUP(G173,ProductList!J:AO,31,FALSE),0),""),"")</f>
        <v/>
      </c>
      <c r="D173" s="73" t="str">
        <f>IF(E173&lt;&gt;"",IF(D172&lt;&gt;"",D172,#REF!)+1,"")</f>
        <v/>
      </c>
      <c r="E173" s="73"/>
      <c r="F173" s="73"/>
      <c r="G173" s="122"/>
      <c r="H173" s="104"/>
      <c r="I173" s="73"/>
      <c r="J173" s="73"/>
      <c r="K173" s="202"/>
      <c r="L173" s="75" t="str">
        <f t="shared" si="18"/>
        <v/>
      </c>
      <c r="M173" s="75"/>
      <c r="N173" s="75" t="str">
        <f t="shared" si="19"/>
        <v/>
      </c>
      <c r="O173" s="204" t="str">
        <f t="shared" si="20"/>
        <v/>
      </c>
      <c r="P173" s="8"/>
      <c r="Q173" s="8"/>
      <c r="R173" s="8"/>
      <c r="S173" s="8"/>
    </row>
    <row r="174" spans="1:19" x14ac:dyDescent="0.25">
      <c r="A174" s="197">
        <f t="shared" si="16"/>
        <v>0</v>
      </c>
      <c r="B174" s="76" t="str">
        <f t="shared" si="17"/>
        <v/>
      </c>
      <c r="C174" s="77" t="str">
        <f>IF(G174&lt;&gt;"",IFERROR(ROUND(VLOOKUP(G174,ProductList!J:AO,31,FALSE),0),""),"")</f>
        <v/>
      </c>
      <c r="D174" s="73" t="str">
        <f>IF(E174&lt;&gt;"",IF(D173&lt;&gt;"",D173,#REF!)+1,"")</f>
        <v/>
      </c>
      <c r="E174" s="73"/>
      <c r="F174" s="73"/>
      <c r="G174" s="122"/>
      <c r="H174" s="104"/>
      <c r="I174" s="73"/>
      <c r="J174" s="73"/>
      <c r="K174" s="202"/>
      <c r="L174" s="75" t="str">
        <f t="shared" si="18"/>
        <v/>
      </c>
      <c r="M174" s="75"/>
      <c r="N174" s="75" t="str">
        <f t="shared" si="19"/>
        <v/>
      </c>
      <c r="O174" s="204" t="str">
        <f t="shared" si="20"/>
        <v/>
      </c>
      <c r="P174" s="8"/>
      <c r="Q174" s="8"/>
      <c r="R174" s="8"/>
      <c r="S174" s="8"/>
    </row>
    <row r="175" spans="1:19" x14ac:dyDescent="0.25">
      <c r="A175" s="197">
        <f t="shared" si="16"/>
        <v>0</v>
      </c>
      <c r="B175" s="76" t="str">
        <f t="shared" si="17"/>
        <v/>
      </c>
      <c r="C175" s="77" t="str">
        <f>IF(G175&lt;&gt;"",IFERROR(ROUND(VLOOKUP(G175,ProductList!J:AO,31,FALSE),0),""),"")</f>
        <v/>
      </c>
      <c r="D175" s="73" t="str">
        <f>IF(E175&lt;&gt;"",IF(D174&lt;&gt;"",D174,#REF!)+1,"")</f>
        <v/>
      </c>
      <c r="E175" s="73"/>
      <c r="F175" s="73"/>
      <c r="G175" s="122"/>
      <c r="H175" s="104"/>
      <c r="I175" s="73"/>
      <c r="J175" s="73"/>
      <c r="K175" s="202"/>
      <c r="L175" s="75" t="str">
        <f t="shared" si="18"/>
        <v/>
      </c>
      <c r="M175" s="75"/>
      <c r="N175" s="75" t="str">
        <f t="shared" si="19"/>
        <v/>
      </c>
      <c r="O175" s="204" t="str">
        <f t="shared" si="20"/>
        <v/>
      </c>
      <c r="P175" s="8"/>
      <c r="Q175" s="8"/>
      <c r="R175" s="8"/>
      <c r="S175" s="8"/>
    </row>
    <row r="176" spans="1:19" x14ac:dyDescent="0.25">
      <c r="A176" s="197">
        <f t="shared" si="16"/>
        <v>0</v>
      </c>
      <c r="B176" s="76" t="str">
        <f t="shared" si="17"/>
        <v/>
      </c>
      <c r="C176" s="77" t="str">
        <f>IF(G176&lt;&gt;"",IFERROR(ROUND(VLOOKUP(G176,ProductList!J:AO,31,FALSE),0),""),"")</f>
        <v/>
      </c>
      <c r="D176" s="73" t="str">
        <f>IF(E176&lt;&gt;"",IF(D175&lt;&gt;"",D175,#REF!)+1,"")</f>
        <v/>
      </c>
      <c r="E176" s="73"/>
      <c r="F176" s="73"/>
      <c r="G176" s="122"/>
      <c r="H176" s="104"/>
      <c r="I176" s="73"/>
      <c r="J176" s="73"/>
      <c r="K176" s="202"/>
      <c r="L176" s="75" t="str">
        <f t="shared" si="18"/>
        <v/>
      </c>
      <c r="M176" s="75"/>
      <c r="N176" s="75" t="str">
        <f t="shared" si="19"/>
        <v/>
      </c>
      <c r="O176" s="204" t="str">
        <f t="shared" si="20"/>
        <v/>
      </c>
      <c r="P176" s="8"/>
      <c r="Q176" s="8"/>
      <c r="R176" s="8"/>
      <c r="S176" s="8"/>
    </row>
    <row r="177" spans="1:19" x14ac:dyDescent="0.25">
      <c r="A177" s="197">
        <f t="shared" si="16"/>
        <v>0</v>
      </c>
      <c r="B177" s="76" t="str">
        <f t="shared" si="17"/>
        <v/>
      </c>
      <c r="C177" s="77" t="str">
        <f>IF(G177&lt;&gt;"",IFERROR(ROUND(VLOOKUP(G177,ProductList!J:AO,31,FALSE),0),""),"")</f>
        <v/>
      </c>
      <c r="D177" s="73" t="str">
        <f>IF(E177&lt;&gt;"",IF(D176&lt;&gt;"",D176,#REF!)+1,"")</f>
        <v/>
      </c>
      <c r="E177" s="73"/>
      <c r="F177" s="73"/>
      <c r="G177" s="122"/>
      <c r="H177" s="104"/>
      <c r="I177" s="73"/>
      <c r="J177" s="73"/>
      <c r="K177" s="202"/>
      <c r="L177" s="75" t="str">
        <f t="shared" si="18"/>
        <v/>
      </c>
      <c r="M177" s="75"/>
      <c r="N177" s="75" t="str">
        <f t="shared" si="19"/>
        <v/>
      </c>
      <c r="O177" s="204" t="str">
        <f t="shared" si="20"/>
        <v/>
      </c>
      <c r="P177" s="8"/>
      <c r="Q177" s="8"/>
      <c r="R177" s="8"/>
      <c r="S177" s="8"/>
    </row>
    <row r="178" spans="1:19" x14ac:dyDescent="0.25">
      <c r="A178" s="197">
        <f t="shared" si="16"/>
        <v>0</v>
      </c>
      <c r="B178" s="76" t="str">
        <f t="shared" si="17"/>
        <v/>
      </c>
      <c r="C178" s="77" t="str">
        <f>IF(G178&lt;&gt;"",IFERROR(ROUND(VLOOKUP(G178,ProductList!J:AO,31,FALSE),0),""),"")</f>
        <v/>
      </c>
      <c r="D178" s="73" t="str">
        <f>IF(E178&lt;&gt;"",IF(D177&lt;&gt;"",D177,#REF!)+1,"")</f>
        <v/>
      </c>
      <c r="E178" s="73"/>
      <c r="F178" s="73"/>
      <c r="G178" s="122"/>
      <c r="H178" s="104"/>
      <c r="I178" s="73"/>
      <c r="J178" s="73"/>
      <c r="K178" s="202"/>
      <c r="L178" s="75" t="str">
        <f t="shared" si="18"/>
        <v/>
      </c>
      <c r="M178" s="75"/>
      <c r="N178" s="75" t="str">
        <f t="shared" si="19"/>
        <v/>
      </c>
      <c r="O178" s="204" t="str">
        <f t="shared" si="20"/>
        <v/>
      </c>
      <c r="P178" s="8"/>
      <c r="Q178" s="8"/>
      <c r="R178" s="8"/>
      <c r="S178" s="8"/>
    </row>
    <row r="179" spans="1:19" x14ac:dyDescent="0.25">
      <c r="A179" s="197">
        <f t="shared" si="16"/>
        <v>0</v>
      </c>
      <c r="B179" s="76" t="str">
        <f t="shared" si="17"/>
        <v/>
      </c>
      <c r="C179" s="77" t="str">
        <f>IF(G179&lt;&gt;"",IFERROR(ROUND(VLOOKUP(G179,ProductList!J:AO,31,FALSE),0),""),"")</f>
        <v/>
      </c>
      <c r="D179" s="73" t="str">
        <f>IF(E179&lt;&gt;"",IF(D178&lt;&gt;"",D178,#REF!)+1,"")</f>
        <v/>
      </c>
      <c r="E179" s="73"/>
      <c r="F179" s="73"/>
      <c r="G179" s="122"/>
      <c r="H179" s="104"/>
      <c r="I179" s="73"/>
      <c r="J179" s="73"/>
      <c r="K179" s="202"/>
      <c r="L179" s="75" t="str">
        <f t="shared" si="18"/>
        <v/>
      </c>
      <c r="M179" s="75"/>
      <c r="N179" s="75" t="str">
        <f t="shared" si="19"/>
        <v/>
      </c>
      <c r="O179" s="204" t="str">
        <f t="shared" si="20"/>
        <v/>
      </c>
      <c r="P179" s="8"/>
      <c r="Q179" s="8"/>
      <c r="R179" s="8"/>
      <c r="S179" s="8"/>
    </row>
    <row r="180" spans="1:19" x14ac:dyDescent="0.25">
      <c r="A180" s="197">
        <f t="shared" si="16"/>
        <v>0</v>
      </c>
      <c r="B180" s="76" t="str">
        <f t="shared" si="17"/>
        <v/>
      </c>
      <c r="C180" s="77" t="str">
        <f>IF(G180&lt;&gt;"",IFERROR(ROUND(VLOOKUP(G180,ProductList!J:AO,31,FALSE),0),""),"")</f>
        <v/>
      </c>
      <c r="D180" s="73" t="str">
        <f>IF(E180&lt;&gt;"",IF(D179&lt;&gt;"",D179,#REF!)+1,"")</f>
        <v/>
      </c>
      <c r="E180" s="73"/>
      <c r="F180" s="73"/>
      <c r="G180" s="122"/>
      <c r="H180" s="104"/>
      <c r="I180" s="73"/>
      <c r="J180" s="73"/>
      <c r="K180" s="202"/>
      <c r="L180" s="75" t="str">
        <f t="shared" si="18"/>
        <v/>
      </c>
      <c r="M180" s="75"/>
      <c r="N180" s="75" t="str">
        <f t="shared" si="19"/>
        <v/>
      </c>
      <c r="O180" s="204" t="str">
        <f t="shared" si="20"/>
        <v/>
      </c>
      <c r="P180" s="8"/>
      <c r="Q180" s="8"/>
      <c r="R180" s="8"/>
      <c r="S180" s="8"/>
    </row>
    <row r="181" spans="1:19" x14ac:dyDescent="0.25">
      <c r="A181" s="197">
        <f t="shared" si="16"/>
        <v>0</v>
      </c>
      <c r="B181" s="76" t="str">
        <f t="shared" si="17"/>
        <v/>
      </c>
      <c r="C181" s="77" t="str">
        <f>IF(G181&lt;&gt;"",IFERROR(ROUND(VLOOKUP(G181,ProductList!J:AO,31,FALSE),0),""),"")</f>
        <v/>
      </c>
      <c r="D181" s="73" t="str">
        <f>IF(E181&lt;&gt;"",IF(D180&lt;&gt;"",D180,#REF!)+1,"")</f>
        <v/>
      </c>
      <c r="E181" s="73"/>
      <c r="F181" s="73"/>
      <c r="G181" s="122"/>
      <c r="H181" s="104"/>
      <c r="I181" s="73"/>
      <c r="J181" s="73"/>
      <c r="K181" s="202"/>
      <c r="L181" s="75" t="str">
        <f t="shared" si="18"/>
        <v/>
      </c>
      <c r="M181" s="75"/>
      <c r="N181" s="75" t="str">
        <f t="shared" si="19"/>
        <v/>
      </c>
      <c r="O181" s="204" t="str">
        <f t="shared" si="20"/>
        <v/>
      </c>
      <c r="P181" s="8"/>
      <c r="Q181" s="8"/>
      <c r="R181" s="8"/>
      <c r="S181" s="8"/>
    </row>
    <row r="182" spans="1:19" x14ac:dyDescent="0.25">
      <c r="A182" s="197">
        <f t="shared" si="16"/>
        <v>0</v>
      </c>
      <c r="B182" s="76" t="str">
        <f t="shared" si="17"/>
        <v/>
      </c>
      <c r="C182" s="77" t="str">
        <f>IF(G182&lt;&gt;"",IFERROR(ROUND(VLOOKUP(G182,ProductList!J:AO,31,FALSE),0),""),"")</f>
        <v/>
      </c>
      <c r="D182" s="73" t="str">
        <f>IF(E182&lt;&gt;"",IF(D181&lt;&gt;"",D181,#REF!)+1,"")</f>
        <v/>
      </c>
      <c r="E182" s="73"/>
      <c r="F182" s="73"/>
      <c r="G182" s="122"/>
      <c r="H182" s="104"/>
      <c r="I182" s="73"/>
      <c r="J182" s="73"/>
      <c r="K182" s="202"/>
      <c r="L182" s="75" t="str">
        <f t="shared" si="18"/>
        <v/>
      </c>
      <c r="M182" s="75"/>
      <c r="N182" s="75" t="str">
        <f t="shared" si="19"/>
        <v/>
      </c>
      <c r="O182" s="204" t="str">
        <f t="shared" si="20"/>
        <v/>
      </c>
      <c r="P182" s="8"/>
      <c r="Q182" s="8"/>
      <c r="R182" s="8"/>
      <c r="S182" s="8"/>
    </row>
    <row r="183" spans="1:19" x14ac:dyDescent="0.25">
      <c r="A183" s="197">
        <f t="shared" si="16"/>
        <v>0</v>
      </c>
      <c r="B183" s="76" t="str">
        <f t="shared" si="17"/>
        <v/>
      </c>
      <c r="C183" s="77" t="str">
        <f>IF(G183&lt;&gt;"",IFERROR(ROUND(VLOOKUP(G183,ProductList!J:AO,31,FALSE),0),""),"")</f>
        <v/>
      </c>
      <c r="D183" s="73" t="str">
        <f>IF(E183&lt;&gt;"",IF(D182&lt;&gt;"",D182,#REF!)+1,"")</f>
        <v/>
      </c>
      <c r="E183" s="73"/>
      <c r="F183" s="73"/>
      <c r="G183" s="122"/>
      <c r="H183" s="104"/>
      <c r="I183" s="73"/>
      <c r="J183" s="73"/>
      <c r="K183" s="202"/>
      <c r="L183" s="75" t="str">
        <f t="shared" si="18"/>
        <v/>
      </c>
      <c r="M183" s="75"/>
      <c r="N183" s="75" t="str">
        <f t="shared" si="19"/>
        <v/>
      </c>
      <c r="O183" s="204" t="str">
        <f t="shared" si="20"/>
        <v/>
      </c>
      <c r="P183" s="8"/>
      <c r="Q183" s="8"/>
      <c r="R183" s="8"/>
      <c r="S183" s="8"/>
    </row>
    <row r="184" spans="1:19" x14ac:dyDescent="0.25">
      <c r="A184" s="197">
        <f t="shared" si="16"/>
        <v>0</v>
      </c>
      <c r="B184" s="76" t="str">
        <f t="shared" si="17"/>
        <v/>
      </c>
      <c r="C184" s="77" t="str">
        <f>IF(G184&lt;&gt;"",IFERROR(ROUND(VLOOKUP(G184,ProductList!J:AO,31,FALSE),0),""),"")</f>
        <v/>
      </c>
      <c r="D184" s="73" t="str">
        <f>IF(E184&lt;&gt;"",IF(D183&lt;&gt;"",D183,#REF!)+1,"")</f>
        <v/>
      </c>
      <c r="E184" s="73"/>
      <c r="F184" s="73"/>
      <c r="G184" s="122"/>
      <c r="H184" s="104"/>
      <c r="I184" s="73"/>
      <c r="J184" s="73"/>
      <c r="K184" s="202"/>
      <c r="L184" s="75" t="str">
        <f t="shared" si="18"/>
        <v/>
      </c>
      <c r="M184" s="75"/>
      <c r="N184" s="75" t="str">
        <f t="shared" si="19"/>
        <v/>
      </c>
      <c r="O184" s="204" t="str">
        <f t="shared" si="20"/>
        <v/>
      </c>
      <c r="P184" s="8"/>
      <c r="Q184" s="8"/>
      <c r="R184" s="8"/>
      <c r="S184" s="8"/>
    </row>
    <row r="185" spans="1:19" x14ac:dyDescent="0.25">
      <c r="A185" s="197">
        <f t="shared" si="16"/>
        <v>0</v>
      </c>
      <c r="B185" s="76" t="str">
        <f t="shared" si="17"/>
        <v/>
      </c>
      <c r="C185" s="77" t="str">
        <f>IF(G185&lt;&gt;"",IFERROR(ROUND(VLOOKUP(G185,ProductList!J:AO,31,FALSE),0),""),"")</f>
        <v/>
      </c>
      <c r="D185" s="73" t="str">
        <f>IF(E185&lt;&gt;"",IF(D184&lt;&gt;"",D184,#REF!)+1,"")</f>
        <v/>
      </c>
      <c r="E185" s="73"/>
      <c r="F185" s="73"/>
      <c r="G185" s="122"/>
      <c r="H185" s="104"/>
      <c r="I185" s="73"/>
      <c r="J185" s="73"/>
      <c r="K185" s="202"/>
      <c r="L185" s="75" t="str">
        <f t="shared" si="18"/>
        <v/>
      </c>
      <c r="M185" s="75"/>
      <c r="N185" s="75" t="str">
        <f t="shared" si="19"/>
        <v/>
      </c>
      <c r="O185" s="204" t="str">
        <f t="shared" si="20"/>
        <v/>
      </c>
      <c r="P185" s="8"/>
      <c r="Q185" s="8"/>
      <c r="R185" s="8"/>
      <c r="S185" s="8"/>
    </row>
    <row r="186" spans="1:19" x14ac:dyDescent="0.25">
      <c r="A186" s="197">
        <f t="shared" si="16"/>
        <v>0</v>
      </c>
      <c r="B186" s="76" t="str">
        <f t="shared" si="17"/>
        <v/>
      </c>
      <c r="C186" s="77" t="str">
        <f>IF(G186&lt;&gt;"",IFERROR(ROUND(VLOOKUP(G186,ProductList!J:AO,31,FALSE),0),""),"")</f>
        <v/>
      </c>
      <c r="D186" s="73" t="str">
        <f>IF(E186&lt;&gt;"",IF(D185&lt;&gt;"",D185,#REF!)+1,"")</f>
        <v/>
      </c>
      <c r="E186" s="73"/>
      <c r="F186" s="73"/>
      <c r="G186" s="122"/>
      <c r="H186" s="104"/>
      <c r="I186" s="73"/>
      <c r="J186" s="73"/>
      <c r="K186" s="202"/>
      <c r="L186" s="75" t="str">
        <f t="shared" si="18"/>
        <v/>
      </c>
      <c r="M186" s="75"/>
      <c r="N186" s="75" t="str">
        <f t="shared" si="19"/>
        <v/>
      </c>
      <c r="O186" s="204" t="str">
        <f t="shared" si="20"/>
        <v/>
      </c>
      <c r="P186" s="8"/>
      <c r="Q186" s="8"/>
      <c r="R186" s="8"/>
      <c r="S186" s="8"/>
    </row>
    <row r="187" spans="1:19" x14ac:dyDescent="0.25">
      <c r="A187" s="197">
        <f t="shared" si="16"/>
        <v>0</v>
      </c>
      <c r="B187" s="76" t="str">
        <f t="shared" si="17"/>
        <v/>
      </c>
      <c r="C187" s="77" t="str">
        <f>IF(G187&lt;&gt;"",IFERROR(ROUND(VLOOKUP(G187,ProductList!J:AO,31,FALSE),0),""),"")</f>
        <v/>
      </c>
      <c r="D187" s="73" t="str">
        <f>IF(E187&lt;&gt;"",IF(D186&lt;&gt;"",D186,#REF!)+1,"")</f>
        <v/>
      </c>
      <c r="E187" s="73"/>
      <c r="F187" s="73"/>
      <c r="G187" s="122"/>
      <c r="H187" s="104"/>
      <c r="I187" s="73"/>
      <c r="J187" s="73"/>
      <c r="K187" s="202"/>
      <c r="L187" s="75" t="str">
        <f t="shared" si="18"/>
        <v/>
      </c>
      <c r="M187" s="75"/>
      <c r="N187" s="75" t="str">
        <f t="shared" si="19"/>
        <v/>
      </c>
      <c r="O187" s="204" t="str">
        <f t="shared" si="20"/>
        <v/>
      </c>
      <c r="P187" s="8"/>
      <c r="Q187" s="8"/>
      <c r="R187" s="8"/>
      <c r="S187" s="8"/>
    </row>
    <row r="188" spans="1:19" x14ac:dyDescent="0.25">
      <c r="A188" s="197">
        <f t="shared" si="16"/>
        <v>0</v>
      </c>
      <c r="B188" s="76" t="str">
        <f t="shared" si="17"/>
        <v/>
      </c>
      <c r="C188" s="77" t="str">
        <f>IF(G188&lt;&gt;"",IFERROR(ROUND(VLOOKUP(G188,ProductList!J:AO,31,FALSE),0),""),"")</f>
        <v/>
      </c>
      <c r="D188" s="73" t="str">
        <f>IF(E188&lt;&gt;"",IF(D187&lt;&gt;"",D187,#REF!)+1,"")</f>
        <v/>
      </c>
      <c r="E188" s="73"/>
      <c r="F188" s="73"/>
      <c r="G188" s="122"/>
      <c r="H188" s="104"/>
      <c r="I188" s="73"/>
      <c r="J188" s="73"/>
      <c r="K188" s="202"/>
      <c r="L188" s="75" t="str">
        <f t="shared" si="18"/>
        <v/>
      </c>
      <c r="M188" s="75"/>
      <c r="N188" s="75" t="str">
        <f t="shared" si="19"/>
        <v/>
      </c>
      <c r="O188" s="204" t="str">
        <f t="shared" si="20"/>
        <v/>
      </c>
      <c r="P188" s="8"/>
      <c r="Q188" s="8"/>
      <c r="R188" s="8"/>
      <c r="S188" s="8"/>
    </row>
    <row r="189" spans="1:19" x14ac:dyDescent="0.25">
      <c r="A189" s="197">
        <f t="shared" si="16"/>
        <v>0</v>
      </c>
      <c r="B189" s="76" t="str">
        <f t="shared" si="17"/>
        <v/>
      </c>
      <c r="C189" s="77" t="str">
        <f>IF(G189&lt;&gt;"",IFERROR(ROUND(VLOOKUP(G189,ProductList!J:AO,31,FALSE),0),""),"")</f>
        <v/>
      </c>
      <c r="D189" s="73" t="str">
        <f>IF(E189&lt;&gt;"",IF(D188&lt;&gt;"",D188,#REF!)+1,"")</f>
        <v/>
      </c>
      <c r="E189" s="73"/>
      <c r="F189" s="73"/>
      <c r="G189" s="122"/>
      <c r="H189" s="104"/>
      <c r="I189" s="73"/>
      <c r="J189" s="73"/>
      <c r="K189" s="202"/>
      <c r="L189" s="75" t="str">
        <f t="shared" si="18"/>
        <v/>
      </c>
      <c r="M189" s="75"/>
      <c r="N189" s="75" t="str">
        <f t="shared" si="19"/>
        <v/>
      </c>
      <c r="O189" s="204" t="str">
        <f t="shared" si="20"/>
        <v/>
      </c>
      <c r="P189" s="8"/>
      <c r="Q189" s="8"/>
      <c r="R189" s="8"/>
      <c r="S189" s="8"/>
    </row>
    <row r="190" spans="1:19" x14ac:dyDescent="0.25">
      <c r="A190" s="197">
        <f t="shared" si="16"/>
        <v>0</v>
      </c>
      <c r="B190" s="76" t="str">
        <f t="shared" si="17"/>
        <v/>
      </c>
      <c r="C190" s="77" t="str">
        <f>IF(G190&lt;&gt;"",IFERROR(ROUND(VLOOKUP(G190,ProductList!J:AO,31,FALSE),0),""),"")</f>
        <v/>
      </c>
      <c r="D190" s="73" t="str">
        <f>IF(E190&lt;&gt;"",IF(D189&lt;&gt;"",D189,#REF!)+1,"")</f>
        <v/>
      </c>
      <c r="E190" s="73"/>
      <c r="F190" s="73"/>
      <c r="G190" s="122"/>
      <c r="H190" s="104"/>
      <c r="I190" s="73"/>
      <c r="J190" s="73"/>
      <c r="K190" s="202"/>
      <c r="L190" s="75" t="str">
        <f t="shared" si="18"/>
        <v/>
      </c>
      <c r="M190" s="75"/>
      <c r="N190" s="75" t="str">
        <f t="shared" si="19"/>
        <v/>
      </c>
      <c r="O190" s="204" t="str">
        <f t="shared" si="20"/>
        <v/>
      </c>
      <c r="P190" s="8"/>
      <c r="Q190" s="8"/>
      <c r="R190" s="8"/>
      <c r="S190" s="8"/>
    </row>
    <row r="191" spans="1:19" x14ac:dyDescent="0.25">
      <c r="A191" s="197">
        <f t="shared" si="16"/>
        <v>0</v>
      </c>
      <c r="B191" s="76" t="str">
        <f t="shared" si="17"/>
        <v/>
      </c>
      <c r="C191" s="77" t="str">
        <f>IF(G191&lt;&gt;"",IFERROR(ROUND(VLOOKUP(G191,ProductList!J:AO,31,FALSE),0),""),"")</f>
        <v/>
      </c>
      <c r="D191" s="73" t="str">
        <f>IF(E191&lt;&gt;"",IF(D190&lt;&gt;"",D190,#REF!)+1,"")</f>
        <v/>
      </c>
      <c r="E191" s="73"/>
      <c r="F191" s="73"/>
      <c r="G191" s="122"/>
      <c r="H191" s="104"/>
      <c r="I191" s="73"/>
      <c r="J191" s="73"/>
      <c r="K191" s="202"/>
      <c r="L191" s="75" t="str">
        <f t="shared" si="18"/>
        <v/>
      </c>
      <c r="M191" s="75"/>
      <c r="N191" s="75" t="str">
        <f t="shared" si="19"/>
        <v/>
      </c>
      <c r="O191" s="204" t="str">
        <f t="shared" si="20"/>
        <v/>
      </c>
      <c r="P191" s="8"/>
      <c r="Q191" s="8"/>
      <c r="R191" s="8"/>
      <c r="S191" s="8"/>
    </row>
    <row r="192" spans="1:19" x14ac:dyDescent="0.25">
      <c r="A192" s="197">
        <f t="shared" si="16"/>
        <v>0</v>
      </c>
      <c r="B192" s="76" t="str">
        <f t="shared" si="17"/>
        <v/>
      </c>
      <c r="C192" s="77" t="str">
        <f>IF(G192&lt;&gt;"",IFERROR(ROUND(VLOOKUP(G192,ProductList!J:AO,31,FALSE),0),""),"")</f>
        <v/>
      </c>
      <c r="D192" s="73" t="str">
        <f>IF(E192&lt;&gt;"",IF(D191&lt;&gt;"",D191,#REF!)+1,"")</f>
        <v/>
      </c>
      <c r="E192" s="73"/>
      <c r="F192" s="73"/>
      <c r="G192" s="122"/>
      <c r="H192" s="104"/>
      <c r="I192" s="73"/>
      <c r="J192" s="73"/>
      <c r="K192" s="202"/>
      <c r="L192" s="75" t="str">
        <f t="shared" si="18"/>
        <v/>
      </c>
      <c r="M192" s="75"/>
      <c r="N192" s="75" t="str">
        <f t="shared" si="19"/>
        <v/>
      </c>
      <c r="O192" s="204" t="str">
        <f t="shared" si="20"/>
        <v/>
      </c>
      <c r="P192" s="8"/>
      <c r="Q192" s="8"/>
      <c r="R192" s="8"/>
      <c r="S192" s="8"/>
    </row>
    <row r="193" spans="1:19" x14ac:dyDescent="0.25">
      <c r="A193" s="197">
        <f t="shared" si="16"/>
        <v>0</v>
      </c>
      <c r="B193" s="76" t="str">
        <f t="shared" si="17"/>
        <v/>
      </c>
      <c r="C193" s="77" t="str">
        <f>IF(G193&lt;&gt;"",IFERROR(ROUND(VLOOKUP(G193,ProductList!J:AO,31,FALSE),0),""),"")</f>
        <v/>
      </c>
      <c r="D193" s="73" t="str">
        <f>IF(E193&lt;&gt;"",IF(D192&lt;&gt;"",D192,#REF!)+1,"")</f>
        <v/>
      </c>
      <c r="E193" s="73"/>
      <c r="F193" s="73"/>
      <c r="G193" s="122"/>
      <c r="H193" s="104"/>
      <c r="I193" s="73"/>
      <c r="J193" s="73"/>
      <c r="K193" s="202"/>
      <c r="L193" s="75" t="str">
        <f t="shared" si="18"/>
        <v/>
      </c>
      <c r="M193" s="75"/>
      <c r="N193" s="75" t="str">
        <f t="shared" si="19"/>
        <v/>
      </c>
      <c r="O193" s="204" t="str">
        <f t="shared" si="20"/>
        <v/>
      </c>
      <c r="P193" s="8"/>
      <c r="Q193" s="8"/>
      <c r="R193" s="8"/>
      <c r="S193" s="8"/>
    </row>
    <row r="194" spans="1:19" x14ac:dyDescent="0.25">
      <c r="A194" s="197">
        <f t="shared" si="16"/>
        <v>0</v>
      </c>
      <c r="B194" s="76" t="str">
        <f t="shared" si="17"/>
        <v/>
      </c>
      <c r="C194" s="77" t="str">
        <f>IF(G194&lt;&gt;"",IFERROR(ROUND(VLOOKUP(G194,ProductList!J:AO,31,FALSE),0),""),"")</f>
        <v/>
      </c>
      <c r="D194" s="73" t="str">
        <f>IF(E194&lt;&gt;"",IF(D193&lt;&gt;"",D193,#REF!)+1,"")</f>
        <v/>
      </c>
      <c r="E194" s="73"/>
      <c r="F194" s="73"/>
      <c r="G194" s="122"/>
      <c r="H194" s="104"/>
      <c r="I194" s="73"/>
      <c r="J194" s="73"/>
      <c r="K194" s="202"/>
      <c r="L194" s="75" t="str">
        <f t="shared" si="18"/>
        <v/>
      </c>
      <c r="M194" s="75"/>
      <c r="N194" s="75" t="str">
        <f t="shared" si="19"/>
        <v/>
      </c>
      <c r="O194" s="204" t="str">
        <f t="shared" si="20"/>
        <v/>
      </c>
      <c r="P194" s="8"/>
      <c r="Q194" s="8"/>
      <c r="R194" s="8"/>
      <c r="S194" s="8"/>
    </row>
    <row r="195" spans="1:19" x14ac:dyDescent="0.25">
      <c r="A195" s="197">
        <f t="shared" si="16"/>
        <v>0</v>
      </c>
      <c r="B195" s="76" t="str">
        <f t="shared" si="17"/>
        <v/>
      </c>
      <c r="C195" s="77" t="str">
        <f>IF(G195&lt;&gt;"",IFERROR(ROUND(VLOOKUP(G195,ProductList!J:AO,31,FALSE),0),""),"")</f>
        <v/>
      </c>
      <c r="D195" s="73" t="str">
        <f>IF(E195&lt;&gt;"",IF(D194&lt;&gt;"",D194,#REF!)+1,"")</f>
        <v/>
      </c>
      <c r="E195" s="73"/>
      <c r="F195" s="73"/>
      <c r="G195" s="122"/>
      <c r="H195" s="104"/>
      <c r="I195" s="73"/>
      <c r="J195" s="73"/>
      <c r="K195" s="202"/>
      <c r="L195" s="75" t="str">
        <f t="shared" si="18"/>
        <v/>
      </c>
      <c r="M195" s="75"/>
      <c r="N195" s="75" t="str">
        <f t="shared" si="19"/>
        <v/>
      </c>
      <c r="O195" s="204" t="str">
        <f t="shared" si="20"/>
        <v/>
      </c>
      <c r="P195" s="8"/>
      <c r="Q195" s="8"/>
      <c r="R195" s="8"/>
      <c r="S195" s="8"/>
    </row>
    <row r="196" spans="1:19" x14ac:dyDescent="0.25">
      <c r="A196" s="197">
        <f t="shared" si="16"/>
        <v>0</v>
      </c>
      <c r="B196" s="76" t="str">
        <f t="shared" si="17"/>
        <v/>
      </c>
      <c r="C196" s="77" t="str">
        <f>IF(G196&lt;&gt;"",IFERROR(ROUND(VLOOKUP(G196,ProductList!J:AO,31,FALSE),0),""),"")</f>
        <v/>
      </c>
      <c r="D196" s="73" t="str">
        <f>IF(E196&lt;&gt;"",IF(D195&lt;&gt;"",D195,#REF!)+1,"")</f>
        <v/>
      </c>
      <c r="E196" s="73"/>
      <c r="F196" s="73"/>
      <c r="G196" s="122"/>
      <c r="H196" s="104"/>
      <c r="I196" s="73"/>
      <c r="J196" s="73"/>
      <c r="K196" s="202"/>
      <c r="L196" s="75" t="str">
        <f t="shared" si="18"/>
        <v/>
      </c>
      <c r="M196" s="75"/>
      <c r="N196" s="75" t="str">
        <f t="shared" si="19"/>
        <v/>
      </c>
      <c r="O196" s="204" t="str">
        <f t="shared" si="20"/>
        <v/>
      </c>
      <c r="P196" s="8"/>
      <c r="Q196" s="8"/>
      <c r="R196" s="8"/>
      <c r="S196" s="8"/>
    </row>
    <row r="197" spans="1:19" x14ac:dyDescent="0.25">
      <c r="A197" s="197">
        <f t="shared" ref="A197:A260" si="21">IF(AND(E197&lt;&gt;""),IF(A196&lt;&gt;"",A196,0)+1,A196)</f>
        <v>0</v>
      </c>
      <c r="B197" s="76" t="str">
        <f t="shared" si="17"/>
        <v/>
      </c>
      <c r="C197" s="77" t="str">
        <f>IF(G197&lt;&gt;"",IFERROR(ROUND(VLOOKUP(G197,ProductList!J:AO,31,FALSE),0),""),"")</f>
        <v/>
      </c>
      <c r="D197" s="73" t="str">
        <f>IF(E197&lt;&gt;"",IF(D196&lt;&gt;"",D196,#REF!)+1,"")</f>
        <v/>
      </c>
      <c r="E197" s="73"/>
      <c r="F197" s="73"/>
      <c r="G197" s="122"/>
      <c r="H197" s="104"/>
      <c r="I197" s="73"/>
      <c r="J197" s="73"/>
      <c r="K197" s="202"/>
      <c r="L197" s="75" t="str">
        <f t="shared" si="18"/>
        <v/>
      </c>
      <c r="M197" s="75"/>
      <c r="N197" s="75" t="str">
        <f t="shared" si="19"/>
        <v/>
      </c>
      <c r="O197" s="204" t="str">
        <f t="shared" si="20"/>
        <v/>
      </c>
      <c r="P197" s="8"/>
      <c r="Q197" s="8"/>
      <c r="R197" s="8"/>
      <c r="S197" s="8"/>
    </row>
    <row r="198" spans="1:19" x14ac:dyDescent="0.25">
      <c r="A198" s="197">
        <f t="shared" si="21"/>
        <v>0</v>
      </c>
      <c r="B198" s="76" t="str">
        <f t="shared" ref="B198:B261" si="22">IF(AND(L198&lt;&gt;"",F198&lt;&gt;""),ROUND((((L198-F198)*100)/F198),2),"")</f>
        <v/>
      </c>
      <c r="C198" s="77" t="str">
        <f>IF(G198&lt;&gt;"",IFERROR(ROUND(VLOOKUP(G198,ProductList!J:AO,31,FALSE),0),""),"")</f>
        <v/>
      </c>
      <c r="D198" s="73" t="str">
        <f>IF(E198&lt;&gt;"",IF(D197&lt;&gt;"",D197,#REF!)+1,"")</f>
        <v/>
      </c>
      <c r="E198" s="73"/>
      <c r="F198" s="73"/>
      <c r="G198" s="122"/>
      <c r="H198" s="104"/>
      <c r="I198" s="73"/>
      <c r="J198" s="73"/>
      <c r="K198" s="202"/>
      <c r="L198" s="75" t="str">
        <f t="shared" ref="L198:L261" si="23">IF(AND(J198&lt;&gt;"",K198&lt;&gt;""),K198*J198,"")</f>
        <v/>
      </c>
      <c r="M198" s="75"/>
      <c r="N198" s="75" t="str">
        <f t="shared" ref="N198:N261" si="24">IF(AND(M198&lt;&gt;"",J198&lt;&gt;""),M198*J198,"")</f>
        <v/>
      </c>
      <c r="O198" s="204" t="str">
        <f t="shared" si="20"/>
        <v/>
      </c>
      <c r="P198" s="8"/>
      <c r="Q198" s="8"/>
      <c r="R198" s="8"/>
      <c r="S198" s="8"/>
    </row>
    <row r="199" spans="1:19" x14ac:dyDescent="0.25">
      <c r="A199" s="197">
        <f t="shared" si="21"/>
        <v>0</v>
      </c>
      <c r="B199" s="76" t="str">
        <f t="shared" si="22"/>
        <v/>
      </c>
      <c r="C199" s="77" t="str">
        <f>IF(G199&lt;&gt;"",IFERROR(ROUND(VLOOKUP(G199,ProductList!J:AO,31,FALSE),0),""),"")</f>
        <v/>
      </c>
      <c r="D199" s="73" t="str">
        <f>IF(E199&lt;&gt;"",IF(D198&lt;&gt;"",D198,#REF!)+1,"")</f>
        <v/>
      </c>
      <c r="E199" s="73"/>
      <c r="F199" s="73"/>
      <c r="G199" s="122"/>
      <c r="H199" s="104"/>
      <c r="I199" s="73"/>
      <c r="J199" s="73"/>
      <c r="K199" s="202"/>
      <c r="L199" s="75" t="str">
        <f t="shared" si="23"/>
        <v/>
      </c>
      <c r="M199" s="75"/>
      <c r="N199" s="75" t="str">
        <f t="shared" si="24"/>
        <v/>
      </c>
      <c r="O199" s="204" t="str">
        <f t="shared" si="20"/>
        <v/>
      </c>
      <c r="P199" s="8"/>
      <c r="Q199" s="8"/>
      <c r="R199" s="8"/>
      <c r="S199" s="8"/>
    </row>
    <row r="200" spans="1:19" x14ac:dyDescent="0.25">
      <c r="A200" s="197">
        <f t="shared" si="21"/>
        <v>0</v>
      </c>
      <c r="B200" s="76" t="str">
        <f t="shared" si="22"/>
        <v/>
      </c>
      <c r="C200" s="77" t="str">
        <f>IF(G200&lt;&gt;"",IFERROR(ROUND(VLOOKUP(G200,ProductList!J:AO,31,FALSE),0),""),"")</f>
        <v/>
      </c>
      <c r="D200" s="73" t="str">
        <f>IF(E200&lt;&gt;"",IF(D199&lt;&gt;"",D199,#REF!)+1,"")</f>
        <v/>
      </c>
      <c r="E200" s="73"/>
      <c r="F200" s="73"/>
      <c r="G200" s="122"/>
      <c r="H200" s="104"/>
      <c r="I200" s="73"/>
      <c r="J200" s="73"/>
      <c r="K200" s="202"/>
      <c r="L200" s="75" t="str">
        <f t="shared" si="23"/>
        <v/>
      </c>
      <c r="M200" s="75"/>
      <c r="N200" s="75" t="str">
        <f t="shared" si="24"/>
        <v/>
      </c>
      <c r="O200" s="204" t="str">
        <f t="shared" si="20"/>
        <v/>
      </c>
      <c r="P200" s="8"/>
      <c r="Q200" s="8"/>
      <c r="R200" s="8"/>
      <c r="S200" s="8"/>
    </row>
    <row r="201" spans="1:19" x14ac:dyDescent="0.25">
      <c r="A201" s="197">
        <f t="shared" si="21"/>
        <v>0</v>
      </c>
      <c r="B201" s="76" t="str">
        <f t="shared" si="22"/>
        <v/>
      </c>
      <c r="C201" s="77" t="str">
        <f>IF(G201&lt;&gt;"",IFERROR(ROUND(VLOOKUP(G201,ProductList!J:AO,31,FALSE),0),""),"")</f>
        <v/>
      </c>
      <c r="D201" s="73" t="str">
        <f>IF(E201&lt;&gt;"",IF(D200&lt;&gt;"",D200,#REF!)+1,"")</f>
        <v/>
      </c>
      <c r="E201" s="73"/>
      <c r="F201" s="73"/>
      <c r="G201" s="122"/>
      <c r="H201" s="104"/>
      <c r="I201" s="73"/>
      <c r="J201" s="73"/>
      <c r="K201" s="202"/>
      <c r="L201" s="75" t="str">
        <f t="shared" si="23"/>
        <v/>
      </c>
      <c r="M201" s="75"/>
      <c r="N201" s="75" t="str">
        <f t="shared" si="24"/>
        <v/>
      </c>
      <c r="O201" s="204" t="str">
        <f t="shared" si="20"/>
        <v/>
      </c>
      <c r="P201" s="8"/>
      <c r="Q201" s="8"/>
      <c r="R201" s="8"/>
      <c r="S201" s="8"/>
    </row>
    <row r="202" spans="1:19" x14ac:dyDescent="0.25">
      <c r="A202" s="197">
        <f t="shared" si="21"/>
        <v>0</v>
      </c>
      <c r="B202" s="76" t="str">
        <f t="shared" si="22"/>
        <v/>
      </c>
      <c r="C202" s="77" t="str">
        <f>IF(G202&lt;&gt;"",IFERROR(ROUND(VLOOKUP(G202,ProductList!J:AO,31,FALSE),0),""),"")</f>
        <v/>
      </c>
      <c r="D202" s="73" t="str">
        <f>IF(E202&lt;&gt;"",IF(D201&lt;&gt;"",D201,#REF!)+1,"")</f>
        <v/>
      </c>
      <c r="E202" s="73"/>
      <c r="F202" s="73"/>
      <c r="G202" s="122"/>
      <c r="H202" s="104"/>
      <c r="I202" s="73"/>
      <c r="J202" s="73"/>
      <c r="K202" s="202"/>
      <c r="L202" s="75" t="str">
        <f t="shared" si="23"/>
        <v/>
      </c>
      <c r="M202" s="75"/>
      <c r="N202" s="75" t="str">
        <f t="shared" si="24"/>
        <v/>
      </c>
      <c r="O202" s="204" t="str">
        <f t="shared" si="20"/>
        <v/>
      </c>
      <c r="P202" s="8"/>
      <c r="Q202" s="8"/>
      <c r="R202" s="8"/>
      <c r="S202" s="8"/>
    </row>
    <row r="203" spans="1:19" x14ac:dyDescent="0.25">
      <c r="A203" s="197">
        <f t="shared" si="21"/>
        <v>0</v>
      </c>
      <c r="B203" s="76" t="str">
        <f t="shared" si="22"/>
        <v/>
      </c>
      <c r="C203" s="77" t="str">
        <f>IF(G203&lt;&gt;"",IFERROR(ROUND(VLOOKUP(G203,ProductList!J:AO,31,FALSE),0),""),"")</f>
        <v/>
      </c>
      <c r="D203" s="73" t="str">
        <f>IF(E203&lt;&gt;"",IF(D202&lt;&gt;"",D202,#REF!)+1,"")</f>
        <v/>
      </c>
      <c r="E203" s="73"/>
      <c r="F203" s="73"/>
      <c r="G203" s="122"/>
      <c r="H203" s="104"/>
      <c r="I203" s="73"/>
      <c r="J203" s="73"/>
      <c r="K203" s="202"/>
      <c r="L203" s="75" t="str">
        <f t="shared" si="23"/>
        <v/>
      </c>
      <c r="M203" s="75"/>
      <c r="N203" s="75" t="str">
        <f t="shared" si="24"/>
        <v/>
      </c>
      <c r="O203" s="204" t="str">
        <f t="shared" si="20"/>
        <v/>
      </c>
      <c r="P203" s="8"/>
      <c r="Q203" s="8"/>
      <c r="R203" s="8"/>
      <c r="S203" s="8"/>
    </row>
    <row r="204" spans="1:19" x14ac:dyDescent="0.25">
      <c r="A204" s="197">
        <f t="shared" si="21"/>
        <v>0</v>
      </c>
      <c r="B204" s="76" t="str">
        <f t="shared" si="22"/>
        <v/>
      </c>
      <c r="C204" s="77" t="str">
        <f>IF(G204&lt;&gt;"",IFERROR(ROUND(VLOOKUP(G204,ProductList!J:AO,31,FALSE),0),""),"")</f>
        <v/>
      </c>
      <c r="D204" s="73" t="str">
        <f>IF(E204&lt;&gt;"",IF(D203&lt;&gt;"",D203,#REF!)+1,"")</f>
        <v/>
      </c>
      <c r="E204" s="73"/>
      <c r="F204" s="73"/>
      <c r="G204" s="122"/>
      <c r="H204" s="104"/>
      <c r="I204" s="73"/>
      <c r="J204" s="73"/>
      <c r="K204" s="202"/>
      <c r="L204" s="75" t="str">
        <f t="shared" si="23"/>
        <v/>
      </c>
      <c r="M204" s="75"/>
      <c r="N204" s="75" t="str">
        <f t="shared" si="24"/>
        <v/>
      </c>
      <c r="O204" s="204" t="str">
        <f t="shared" si="20"/>
        <v/>
      </c>
      <c r="P204" s="8"/>
      <c r="Q204" s="8"/>
      <c r="R204" s="8"/>
      <c r="S204" s="8"/>
    </row>
    <row r="205" spans="1:19" x14ac:dyDescent="0.25">
      <c r="A205" s="197">
        <f t="shared" si="21"/>
        <v>0</v>
      </c>
      <c r="B205" s="76" t="str">
        <f t="shared" si="22"/>
        <v/>
      </c>
      <c r="C205" s="77" t="str">
        <f>IF(G205&lt;&gt;"",IFERROR(ROUND(VLOOKUP(G205,ProductList!J:AO,31,FALSE),0),""),"")</f>
        <v/>
      </c>
      <c r="D205" s="73" t="str">
        <f>IF(E205&lt;&gt;"",IF(D204&lt;&gt;"",D204,#REF!)+1,"")</f>
        <v/>
      </c>
      <c r="E205" s="73"/>
      <c r="F205" s="73"/>
      <c r="G205" s="122"/>
      <c r="H205" s="104"/>
      <c r="I205" s="73"/>
      <c r="J205" s="73"/>
      <c r="K205" s="202"/>
      <c r="L205" s="75" t="str">
        <f t="shared" si="23"/>
        <v/>
      </c>
      <c r="M205" s="75"/>
      <c r="N205" s="75" t="str">
        <f t="shared" si="24"/>
        <v/>
      </c>
      <c r="O205" s="204" t="str">
        <f t="shared" si="20"/>
        <v/>
      </c>
      <c r="P205" s="8"/>
      <c r="Q205" s="8"/>
      <c r="R205" s="8"/>
      <c r="S205" s="8"/>
    </row>
    <row r="206" spans="1:19" x14ac:dyDescent="0.25">
      <c r="A206" s="197">
        <f t="shared" si="21"/>
        <v>0</v>
      </c>
      <c r="B206" s="76" t="str">
        <f t="shared" si="22"/>
        <v/>
      </c>
      <c r="C206" s="77" t="str">
        <f>IF(G206&lt;&gt;"",IFERROR(ROUND(VLOOKUP(G206,ProductList!J:AO,31,FALSE),0),""),"")</f>
        <v/>
      </c>
      <c r="D206" s="73" t="str">
        <f>IF(E206&lt;&gt;"",IF(D205&lt;&gt;"",D205,#REF!)+1,"")</f>
        <v/>
      </c>
      <c r="E206" s="73"/>
      <c r="F206" s="73"/>
      <c r="G206" s="122"/>
      <c r="H206" s="104"/>
      <c r="I206" s="73"/>
      <c r="J206" s="73"/>
      <c r="K206" s="202"/>
      <c r="L206" s="75" t="str">
        <f t="shared" si="23"/>
        <v/>
      </c>
      <c r="M206" s="75"/>
      <c r="N206" s="75" t="str">
        <f t="shared" si="24"/>
        <v/>
      </c>
      <c r="O206" s="204" t="str">
        <f t="shared" ref="O206:O269" si="25">IF(AND(K206&lt;&gt;"",M206&lt;&gt;""),K206-M206,IF(K206&lt;&gt;"",K206,""))</f>
        <v/>
      </c>
      <c r="P206" s="8"/>
      <c r="Q206" s="8"/>
      <c r="R206" s="8"/>
      <c r="S206" s="8"/>
    </row>
    <row r="207" spans="1:19" x14ac:dyDescent="0.25">
      <c r="A207" s="197">
        <f t="shared" si="21"/>
        <v>0</v>
      </c>
      <c r="B207" s="76" t="str">
        <f t="shared" si="22"/>
        <v/>
      </c>
      <c r="C207" s="77" t="str">
        <f>IF(G207&lt;&gt;"",IFERROR(ROUND(VLOOKUP(G207,ProductList!J:AO,31,FALSE),0),""),"")</f>
        <v/>
      </c>
      <c r="D207" s="73" t="str">
        <f>IF(E207&lt;&gt;"",IF(D206&lt;&gt;"",D206,#REF!)+1,"")</f>
        <v/>
      </c>
      <c r="E207" s="73"/>
      <c r="F207" s="73"/>
      <c r="G207" s="122"/>
      <c r="H207" s="104"/>
      <c r="I207" s="73"/>
      <c r="J207" s="73"/>
      <c r="K207" s="202"/>
      <c r="L207" s="75" t="str">
        <f t="shared" si="23"/>
        <v/>
      </c>
      <c r="M207" s="75"/>
      <c r="N207" s="75" t="str">
        <f t="shared" si="24"/>
        <v/>
      </c>
      <c r="O207" s="204" t="str">
        <f t="shared" si="25"/>
        <v/>
      </c>
      <c r="P207" s="8"/>
      <c r="Q207" s="8"/>
      <c r="R207" s="8"/>
      <c r="S207" s="8"/>
    </row>
    <row r="208" spans="1:19" x14ac:dyDescent="0.25">
      <c r="A208" s="197">
        <f t="shared" si="21"/>
        <v>0</v>
      </c>
      <c r="B208" s="76" t="str">
        <f t="shared" si="22"/>
        <v/>
      </c>
      <c r="C208" s="77" t="str">
        <f>IF(G208&lt;&gt;"",IFERROR(ROUND(VLOOKUP(G208,ProductList!J:AO,31,FALSE),0),""),"")</f>
        <v/>
      </c>
      <c r="D208" s="73" t="str">
        <f>IF(E208&lt;&gt;"",IF(D207&lt;&gt;"",D207,#REF!)+1,"")</f>
        <v/>
      </c>
      <c r="E208" s="73"/>
      <c r="F208" s="73"/>
      <c r="G208" s="122"/>
      <c r="H208" s="104"/>
      <c r="I208" s="73"/>
      <c r="J208" s="73"/>
      <c r="K208" s="202"/>
      <c r="L208" s="75" t="str">
        <f t="shared" si="23"/>
        <v/>
      </c>
      <c r="M208" s="75"/>
      <c r="N208" s="75" t="str">
        <f t="shared" si="24"/>
        <v/>
      </c>
      <c r="O208" s="204" t="str">
        <f t="shared" si="25"/>
        <v/>
      </c>
      <c r="P208" s="8"/>
      <c r="Q208" s="8"/>
      <c r="R208" s="8"/>
      <c r="S208" s="8"/>
    </row>
    <row r="209" spans="1:19" x14ac:dyDescent="0.25">
      <c r="A209" s="197">
        <f t="shared" si="21"/>
        <v>0</v>
      </c>
      <c r="B209" s="76" t="str">
        <f t="shared" si="22"/>
        <v/>
      </c>
      <c r="C209" s="77" t="str">
        <f>IF(G209&lt;&gt;"",IFERROR(ROUND(VLOOKUP(G209,ProductList!J:AO,31,FALSE),0),""),"")</f>
        <v/>
      </c>
      <c r="D209" s="73" t="str">
        <f>IF(E209&lt;&gt;"",IF(D208&lt;&gt;"",D208,#REF!)+1,"")</f>
        <v/>
      </c>
      <c r="E209" s="73"/>
      <c r="F209" s="73"/>
      <c r="G209" s="122"/>
      <c r="H209" s="104"/>
      <c r="I209" s="73"/>
      <c r="J209" s="73"/>
      <c r="K209" s="202"/>
      <c r="L209" s="75" t="str">
        <f t="shared" si="23"/>
        <v/>
      </c>
      <c r="M209" s="75"/>
      <c r="N209" s="75" t="str">
        <f t="shared" si="24"/>
        <v/>
      </c>
      <c r="O209" s="204" t="str">
        <f t="shared" si="25"/>
        <v/>
      </c>
      <c r="P209" s="8"/>
      <c r="Q209" s="8"/>
      <c r="R209" s="8"/>
      <c r="S209" s="8"/>
    </row>
    <row r="210" spans="1:19" x14ac:dyDescent="0.25">
      <c r="A210" s="197">
        <f t="shared" si="21"/>
        <v>0</v>
      </c>
      <c r="B210" s="76" t="str">
        <f t="shared" si="22"/>
        <v/>
      </c>
      <c r="C210" s="77" t="str">
        <f>IF(G210&lt;&gt;"",IFERROR(ROUND(VLOOKUP(G210,ProductList!J:AO,31,FALSE),0),""),"")</f>
        <v/>
      </c>
      <c r="D210" s="73" t="str">
        <f>IF(E210&lt;&gt;"",IF(D209&lt;&gt;"",D209,#REF!)+1,"")</f>
        <v/>
      </c>
      <c r="E210" s="73"/>
      <c r="F210" s="73"/>
      <c r="G210" s="122"/>
      <c r="H210" s="104"/>
      <c r="I210" s="73"/>
      <c r="J210" s="73"/>
      <c r="K210" s="202"/>
      <c r="L210" s="75" t="str">
        <f t="shared" si="23"/>
        <v/>
      </c>
      <c r="M210" s="75"/>
      <c r="N210" s="75" t="str">
        <f t="shared" si="24"/>
        <v/>
      </c>
      <c r="O210" s="204" t="str">
        <f t="shared" si="25"/>
        <v/>
      </c>
      <c r="P210" s="8"/>
      <c r="Q210" s="8"/>
      <c r="R210" s="8"/>
      <c r="S210" s="8"/>
    </row>
    <row r="211" spans="1:19" x14ac:dyDescent="0.25">
      <c r="A211" s="197">
        <f t="shared" si="21"/>
        <v>0</v>
      </c>
      <c r="B211" s="76" t="str">
        <f t="shared" si="22"/>
        <v/>
      </c>
      <c r="C211" s="77" t="str">
        <f>IF(G211&lt;&gt;"",IFERROR(ROUND(VLOOKUP(G211,ProductList!J:AO,31,FALSE),0),""),"")</f>
        <v/>
      </c>
      <c r="D211" s="73" t="str">
        <f>IF(E211&lt;&gt;"",IF(D210&lt;&gt;"",D210,#REF!)+1,"")</f>
        <v/>
      </c>
      <c r="E211" s="73"/>
      <c r="F211" s="73"/>
      <c r="G211" s="122"/>
      <c r="H211" s="104"/>
      <c r="I211" s="73"/>
      <c r="J211" s="73"/>
      <c r="K211" s="202"/>
      <c r="L211" s="75" t="str">
        <f t="shared" si="23"/>
        <v/>
      </c>
      <c r="M211" s="75"/>
      <c r="N211" s="75" t="str">
        <f t="shared" si="24"/>
        <v/>
      </c>
      <c r="O211" s="204" t="str">
        <f t="shared" si="25"/>
        <v/>
      </c>
      <c r="P211" s="8"/>
      <c r="Q211" s="8"/>
      <c r="R211" s="8"/>
      <c r="S211" s="8"/>
    </row>
    <row r="212" spans="1:19" x14ac:dyDescent="0.25">
      <c r="A212" s="197">
        <f t="shared" si="21"/>
        <v>0</v>
      </c>
      <c r="B212" s="76" t="str">
        <f t="shared" si="22"/>
        <v/>
      </c>
      <c r="C212" s="77" t="str">
        <f>IF(G212&lt;&gt;"",IFERROR(ROUND(VLOOKUP(G212,ProductList!J:AO,31,FALSE),0),""),"")</f>
        <v/>
      </c>
      <c r="D212" s="73" t="str">
        <f>IF(E212&lt;&gt;"",IF(D211&lt;&gt;"",D211,#REF!)+1,"")</f>
        <v/>
      </c>
      <c r="E212" s="73"/>
      <c r="F212" s="73"/>
      <c r="G212" s="122"/>
      <c r="H212" s="104"/>
      <c r="I212" s="73"/>
      <c r="J212" s="73"/>
      <c r="K212" s="202"/>
      <c r="L212" s="75" t="str">
        <f t="shared" si="23"/>
        <v/>
      </c>
      <c r="M212" s="75"/>
      <c r="N212" s="75" t="str">
        <f t="shared" si="24"/>
        <v/>
      </c>
      <c r="O212" s="204" t="str">
        <f t="shared" si="25"/>
        <v/>
      </c>
      <c r="P212" s="8"/>
      <c r="Q212" s="8"/>
      <c r="R212" s="8"/>
      <c r="S212" s="8"/>
    </row>
    <row r="213" spans="1:19" x14ac:dyDescent="0.25">
      <c r="A213" s="197">
        <f t="shared" si="21"/>
        <v>0</v>
      </c>
      <c r="B213" s="76" t="str">
        <f t="shared" si="22"/>
        <v/>
      </c>
      <c r="C213" s="77" t="str">
        <f>IF(G213&lt;&gt;"",IFERROR(ROUND(VLOOKUP(G213,ProductList!J:AO,31,FALSE),0),""),"")</f>
        <v/>
      </c>
      <c r="D213" s="73" t="str">
        <f>IF(E213&lt;&gt;"",IF(D212&lt;&gt;"",D212,#REF!)+1,"")</f>
        <v/>
      </c>
      <c r="E213" s="73"/>
      <c r="F213" s="73"/>
      <c r="G213" s="122"/>
      <c r="H213" s="104"/>
      <c r="I213" s="73"/>
      <c r="J213" s="73"/>
      <c r="K213" s="202"/>
      <c r="L213" s="75" t="str">
        <f t="shared" si="23"/>
        <v/>
      </c>
      <c r="M213" s="75"/>
      <c r="N213" s="75" t="str">
        <f t="shared" si="24"/>
        <v/>
      </c>
      <c r="O213" s="204" t="str">
        <f t="shared" si="25"/>
        <v/>
      </c>
      <c r="P213" s="8"/>
      <c r="Q213" s="8"/>
      <c r="R213" s="8"/>
      <c r="S213" s="8"/>
    </row>
    <row r="214" spans="1:19" x14ac:dyDescent="0.25">
      <c r="A214" s="197">
        <f t="shared" si="21"/>
        <v>0</v>
      </c>
      <c r="B214" s="76" t="str">
        <f t="shared" si="22"/>
        <v/>
      </c>
      <c r="C214" s="77" t="str">
        <f>IF(G214&lt;&gt;"",IFERROR(ROUND(VLOOKUP(G214,ProductList!J:AO,31,FALSE),0),""),"")</f>
        <v/>
      </c>
      <c r="D214" s="73" t="str">
        <f>IF(E214&lt;&gt;"",IF(D213&lt;&gt;"",D213,#REF!)+1,"")</f>
        <v/>
      </c>
      <c r="E214" s="73"/>
      <c r="F214" s="73"/>
      <c r="G214" s="122"/>
      <c r="H214" s="104"/>
      <c r="I214" s="73"/>
      <c r="J214" s="73"/>
      <c r="K214" s="202"/>
      <c r="L214" s="75" t="str">
        <f t="shared" si="23"/>
        <v/>
      </c>
      <c r="M214" s="75"/>
      <c r="N214" s="75" t="str">
        <f t="shared" si="24"/>
        <v/>
      </c>
      <c r="O214" s="204" t="str">
        <f t="shared" si="25"/>
        <v/>
      </c>
      <c r="P214" s="8"/>
      <c r="Q214" s="8"/>
      <c r="R214" s="8"/>
      <c r="S214" s="8"/>
    </row>
    <row r="215" spans="1:19" x14ac:dyDescent="0.25">
      <c r="A215" s="197">
        <f t="shared" si="21"/>
        <v>0</v>
      </c>
      <c r="B215" s="76" t="str">
        <f t="shared" si="22"/>
        <v/>
      </c>
      <c r="C215" s="77" t="str">
        <f>IF(G215&lt;&gt;"",IFERROR(ROUND(VLOOKUP(G215,ProductList!J:AO,31,FALSE),0),""),"")</f>
        <v/>
      </c>
      <c r="D215" s="73" t="str">
        <f>IF(E215&lt;&gt;"",IF(D214&lt;&gt;"",D214,#REF!)+1,"")</f>
        <v/>
      </c>
      <c r="E215" s="73"/>
      <c r="F215" s="73"/>
      <c r="G215" s="122"/>
      <c r="H215" s="104"/>
      <c r="I215" s="73"/>
      <c r="J215" s="73"/>
      <c r="K215" s="202"/>
      <c r="L215" s="75" t="str">
        <f t="shared" si="23"/>
        <v/>
      </c>
      <c r="M215" s="75"/>
      <c r="N215" s="75" t="str">
        <f t="shared" si="24"/>
        <v/>
      </c>
      <c r="O215" s="204" t="str">
        <f t="shared" si="25"/>
        <v/>
      </c>
      <c r="P215" s="8"/>
      <c r="Q215" s="8"/>
      <c r="R215" s="8"/>
      <c r="S215" s="8"/>
    </row>
    <row r="216" spans="1:19" x14ac:dyDescent="0.25">
      <c r="A216" s="197">
        <f t="shared" si="21"/>
        <v>0</v>
      </c>
      <c r="B216" s="76" t="str">
        <f t="shared" si="22"/>
        <v/>
      </c>
      <c r="C216" s="77" t="str">
        <f>IF(G216&lt;&gt;"",IFERROR(ROUND(VLOOKUP(G216,ProductList!J:AO,31,FALSE),0),""),"")</f>
        <v/>
      </c>
      <c r="D216" s="73" t="str">
        <f>IF(E216&lt;&gt;"",IF(D215&lt;&gt;"",D215,#REF!)+1,"")</f>
        <v/>
      </c>
      <c r="E216" s="73"/>
      <c r="F216" s="73"/>
      <c r="G216" s="122"/>
      <c r="H216" s="104"/>
      <c r="I216" s="73"/>
      <c r="J216" s="73"/>
      <c r="K216" s="202"/>
      <c r="L216" s="75" t="str">
        <f t="shared" si="23"/>
        <v/>
      </c>
      <c r="M216" s="75"/>
      <c r="N216" s="75" t="str">
        <f t="shared" si="24"/>
        <v/>
      </c>
      <c r="O216" s="204" t="str">
        <f t="shared" si="25"/>
        <v/>
      </c>
      <c r="P216" s="8"/>
      <c r="Q216" s="8"/>
      <c r="R216" s="8"/>
      <c r="S216" s="8"/>
    </row>
    <row r="217" spans="1:19" x14ac:dyDescent="0.25">
      <c r="A217" s="197">
        <f t="shared" si="21"/>
        <v>0</v>
      </c>
      <c r="B217" s="76" t="str">
        <f t="shared" si="22"/>
        <v/>
      </c>
      <c r="C217" s="77" t="str">
        <f>IF(G217&lt;&gt;"",IFERROR(ROUND(VLOOKUP(G217,ProductList!J:AO,31,FALSE),0),""),"")</f>
        <v/>
      </c>
      <c r="D217" s="73" t="str">
        <f>IF(E217&lt;&gt;"",IF(D216&lt;&gt;"",D216,#REF!)+1,"")</f>
        <v/>
      </c>
      <c r="E217" s="73"/>
      <c r="F217" s="73"/>
      <c r="G217" s="122"/>
      <c r="H217" s="104"/>
      <c r="I217" s="73"/>
      <c r="J217" s="73"/>
      <c r="K217" s="202"/>
      <c r="L217" s="75" t="str">
        <f t="shared" si="23"/>
        <v/>
      </c>
      <c r="M217" s="75"/>
      <c r="N217" s="75" t="str">
        <f t="shared" si="24"/>
        <v/>
      </c>
      <c r="O217" s="204" t="str">
        <f t="shared" si="25"/>
        <v/>
      </c>
      <c r="P217" s="8"/>
      <c r="Q217" s="8"/>
      <c r="R217" s="8"/>
      <c r="S217" s="8"/>
    </row>
    <row r="218" spans="1:19" x14ac:dyDescent="0.25">
      <c r="A218" s="197">
        <f t="shared" si="21"/>
        <v>0</v>
      </c>
      <c r="B218" s="76" t="str">
        <f t="shared" si="22"/>
        <v/>
      </c>
      <c r="C218" s="77" t="str">
        <f>IF(G218&lt;&gt;"",IFERROR(ROUND(VLOOKUP(G218,ProductList!J:AO,31,FALSE),0),""),"")</f>
        <v/>
      </c>
      <c r="D218" s="73" t="str">
        <f>IF(E218&lt;&gt;"",IF(D217&lt;&gt;"",D217,#REF!)+1,"")</f>
        <v/>
      </c>
      <c r="E218" s="73"/>
      <c r="F218" s="73"/>
      <c r="G218" s="122"/>
      <c r="H218" s="104"/>
      <c r="I218" s="73"/>
      <c r="J218" s="73"/>
      <c r="K218" s="202"/>
      <c r="L218" s="75" t="str">
        <f t="shared" si="23"/>
        <v/>
      </c>
      <c r="M218" s="75"/>
      <c r="N218" s="75" t="str">
        <f t="shared" si="24"/>
        <v/>
      </c>
      <c r="O218" s="204" t="str">
        <f t="shared" si="25"/>
        <v/>
      </c>
      <c r="P218" s="8"/>
      <c r="Q218" s="8"/>
      <c r="R218" s="8"/>
      <c r="S218" s="8"/>
    </row>
    <row r="219" spans="1:19" x14ac:dyDescent="0.25">
      <c r="A219" s="197">
        <f t="shared" si="21"/>
        <v>0</v>
      </c>
      <c r="B219" s="76" t="str">
        <f t="shared" si="22"/>
        <v/>
      </c>
      <c r="C219" s="77" t="str">
        <f>IF(G219&lt;&gt;"",IFERROR(ROUND(VLOOKUP(G219,ProductList!J:AO,31,FALSE),0),""),"")</f>
        <v/>
      </c>
      <c r="D219" s="73" t="str">
        <f>IF(E219&lt;&gt;"",IF(D218&lt;&gt;"",D218,#REF!)+1,"")</f>
        <v/>
      </c>
      <c r="E219" s="73"/>
      <c r="F219" s="73"/>
      <c r="G219" s="122"/>
      <c r="H219" s="104"/>
      <c r="I219" s="73"/>
      <c r="J219" s="73"/>
      <c r="K219" s="202"/>
      <c r="L219" s="75" t="str">
        <f t="shared" si="23"/>
        <v/>
      </c>
      <c r="M219" s="75"/>
      <c r="N219" s="75" t="str">
        <f t="shared" si="24"/>
        <v/>
      </c>
      <c r="O219" s="204" t="str">
        <f t="shared" si="25"/>
        <v/>
      </c>
      <c r="P219" s="8"/>
      <c r="Q219" s="8"/>
      <c r="R219" s="8"/>
      <c r="S219" s="8"/>
    </row>
    <row r="220" spans="1:19" x14ac:dyDescent="0.25">
      <c r="A220" s="197">
        <f t="shared" si="21"/>
        <v>0</v>
      </c>
      <c r="B220" s="76" t="str">
        <f t="shared" si="22"/>
        <v/>
      </c>
      <c r="C220" s="77" t="str">
        <f>IF(G220&lt;&gt;"",IFERROR(ROUND(VLOOKUP(G220,ProductList!J:AO,31,FALSE),0),""),"")</f>
        <v/>
      </c>
      <c r="D220" s="73" t="str">
        <f>IF(E220&lt;&gt;"",IF(D219&lt;&gt;"",D219,#REF!)+1,"")</f>
        <v/>
      </c>
      <c r="E220" s="73"/>
      <c r="F220" s="73"/>
      <c r="G220" s="122"/>
      <c r="H220" s="104"/>
      <c r="I220" s="73"/>
      <c r="J220" s="73"/>
      <c r="K220" s="202"/>
      <c r="L220" s="75" t="str">
        <f t="shared" si="23"/>
        <v/>
      </c>
      <c r="M220" s="75"/>
      <c r="N220" s="75" t="str">
        <f t="shared" si="24"/>
        <v/>
      </c>
      <c r="O220" s="204" t="str">
        <f t="shared" si="25"/>
        <v/>
      </c>
      <c r="P220" s="8"/>
      <c r="Q220" s="8"/>
      <c r="R220" s="8"/>
      <c r="S220" s="8"/>
    </row>
    <row r="221" spans="1:19" x14ac:dyDescent="0.25">
      <c r="A221" s="197">
        <f t="shared" si="21"/>
        <v>0</v>
      </c>
      <c r="B221" s="76" t="str">
        <f t="shared" si="22"/>
        <v/>
      </c>
      <c r="C221" s="77" t="str">
        <f>IF(G221&lt;&gt;"",IFERROR(ROUND(VLOOKUP(G221,ProductList!J:AO,31,FALSE),0),""),"")</f>
        <v/>
      </c>
      <c r="D221" s="73" t="str">
        <f>IF(E221&lt;&gt;"",IF(D220&lt;&gt;"",D220,#REF!)+1,"")</f>
        <v/>
      </c>
      <c r="E221" s="73"/>
      <c r="F221" s="73"/>
      <c r="G221" s="122"/>
      <c r="H221" s="104"/>
      <c r="I221" s="73"/>
      <c r="J221" s="73"/>
      <c r="K221" s="202"/>
      <c r="L221" s="75" t="str">
        <f t="shared" si="23"/>
        <v/>
      </c>
      <c r="M221" s="75"/>
      <c r="N221" s="75" t="str">
        <f t="shared" si="24"/>
        <v/>
      </c>
      <c r="O221" s="204" t="str">
        <f t="shared" si="25"/>
        <v/>
      </c>
      <c r="P221" s="8"/>
      <c r="Q221" s="8"/>
      <c r="R221" s="8"/>
      <c r="S221" s="8"/>
    </row>
    <row r="222" spans="1:19" x14ac:dyDescent="0.25">
      <c r="A222" s="197">
        <f t="shared" si="21"/>
        <v>0</v>
      </c>
      <c r="B222" s="76" t="str">
        <f t="shared" si="22"/>
        <v/>
      </c>
      <c r="C222" s="77" t="str">
        <f>IF(G222&lt;&gt;"",IFERROR(ROUND(VLOOKUP(G222,ProductList!J:AO,31,FALSE),0),""),"")</f>
        <v/>
      </c>
      <c r="D222" s="73" t="str">
        <f>IF(E222&lt;&gt;"",IF(D221&lt;&gt;"",D221,#REF!)+1,"")</f>
        <v/>
      </c>
      <c r="E222" s="73"/>
      <c r="F222" s="73"/>
      <c r="G222" s="122"/>
      <c r="H222" s="104"/>
      <c r="I222" s="73"/>
      <c r="J222" s="73"/>
      <c r="K222" s="202"/>
      <c r="L222" s="75" t="str">
        <f t="shared" si="23"/>
        <v/>
      </c>
      <c r="M222" s="75"/>
      <c r="N222" s="75" t="str">
        <f t="shared" si="24"/>
        <v/>
      </c>
      <c r="O222" s="204" t="str">
        <f t="shared" si="25"/>
        <v/>
      </c>
      <c r="P222" s="8"/>
      <c r="Q222" s="8"/>
      <c r="R222" s="8"/>
      <c r="S222" s="8"/>
    </row>
    <row r="223" spans="1:19" x14ac:dyDescent="0.25">
      <c r="A223" s="197">
        <f t="shared" si="21"/>
        <v>0</v>
      </c>
      <c r="B223" s="76" t="str">
        <f t="shared" si="22"/>
        <v/>
      </c>
      <c r="C223" s="77" t="str">
        <f>IF(G223&lt;&gt;"",IFERROR(ROUND(VLOOKUP(G223,ProductList!J:AO,31,FALSE),0),""),"")</f>
        <v/>
      </c>
      <c r="D223" s="73" t="str">
        <f>IF(E223&lt;&gt;"",IF(D222&lt;&gt;"",D222,#REF!)+1,"")</f>
        <v/>
      </c>
      <c r="E223" s="73"/>
      <c r="F223" s="73"/>
      <c r="G223" s="122"/>
      <c r="H223" s="104"/>
      <c r="I223" s="73"/>
      <c r="J223" s="73"/>
      <c r="K223" s="202"/>
      <c r="L223" s="75" t="str">
        <f t="shared" si="23"/>
        <v/>
      </c>
      <c r="M223" s="75"/>
      <c r="N223" s="75" t="str">
        <f t="shared" si="24"/>
        <v/>
      </c>
      <c r="O223" s="204" t="str">
        <f t="shared" si="25"/>
        <v/>
      </c>
      <c r="P223" s="8"/>
      <c r="Q223" s="8"/>
      <c r="R223" s="8"/>
      <c r="S223" s="8"/>
    </row>
    <row r="224" spans="1:19" x14ac:dyDescent="0.25">
      <c r="A224" s="197">
        <f t="shared" si="21"/>
        <v>0</v>
      </c>
      <c r="B224" s="76" t="str">
        <f t="shared" si="22"/>
        <v/>
      </c>
      <c r="C224" s="77" t="str">
        <f>IF(G224&lt;&gt;"",IFERROR(ROUND(VLOOKUP(G224,ProductList!J:AO,31,FALSE),0),""),"")</f>
        <v/>
      </c>
      <c r="D224" s="73" t="str">
        <f>IF(E224&lt;&gt;"",IF(D223&lt;&gt;"",D223,#REF!)+1,"")</f>
        <v/>
      </c>
      <c r="E224" s="73"/>
      <c r="F224" s="73"/>
      <c r="G224" s="122"/>
      <c r="H224" s="104"/>
      <c r="I224" s="73"/>
      <c r="J224" s="73"/>
      <c r="K224" s="202"/>
      <c r="L224" s="75" t="str">
        <f t="shared" si="23"/>
        <v/>
      </c>
      <c r="M224" s="75"/>
      <c r="N224" s="75" t="str">
        <f t="shared" si="24"/>
        <v/>
      </c>
      <c r="O224" s="204" t="str">
        <f t="shared" si="25"/>
        <v/>
      </c>
      <c r="P224" s="8"/>
      <c r="Q224" s="8"/>
      <c r="R224" s="8"/>
      <c r="S224" s="8"/>
    </row>
    <row r="225" spans="1:19" x14ac:dyDescent="0.25">
      <c r="A225" s="197">
        <f t="shared" si="21"/>
        <v>0</v>
      </c>
      <c r="B225" s="76" t="str">
        <f t="shared" si="22"/>
        <v/>
      </c>
      <c r="C225" s="77" t="str">
        <f>IF(G225&lt;&gt;"",IFERROR(ROUND(VLOOKUP(G225,ProductList!J:AO,31,FALSE),0),""),"")</f>
        <v/>
      </c>
      <c r="D225" s="73" t="str">
        <f>IF(E225&lt;&gt;"",IF(D224&lt;&gt;"",D224,#REF!)+1,"")</f>
        <v/>
      </c>
      <c r="E225" s="73"/>
      <c r="F225" s="73"/>
      <c r="G225" s="122"/>
      <c r="H225" s="104"/>
      <c r="I225" s="73"/>
      <c r="J225" s="73"/>
      <c r="K225" s="202"/>
      <c r="L225" s="75" t="str">
        <f t="shared" si="23"/>
        <v/>
      </c>
      <c r="M225" s="75"/>
      <c r="N225" s="75" t="str">
        <f t="shared" si="24"/>
        <v/>
      </c>
      <c r="O225" s="204" t="str">
        <f t="shared" si="25"/>
        <v/>
      </c>
      <c r="P225" s="8"/>
      <c r="Q225" s="8"/>
      <c r="R225" s="8"/>
      <c r="S225" s="8"/>
    </row>
    <row r="226" spans="1:19" x14ac:dyDescent="0.25">
      <c r="A226" s="197">
        <f t="shared" si="21"/>
        <v>0</v>
      </c>
      <c r="B226" s="76" t="str">
        <f t="shared" si="22"/>
        <v/>
      </c>
      <c r="C226" s="77" t="str">
        <f>IF(G226&lt;&gt;"",IFERROR(ROUND(VLOOKUP(G226,ProductList!J:AO,31,FALSE),0),""),"")</f>
        <v/>
      </c>
      <c r="D226" s="73" t="str">
        <f>IF(E226&lt;&gt;"",IF(D225&lt;&gt;"",D225,#REF!)+1,"")</f>
        <v/>
      </c>
      <c r="E226" s="73"/>
      <c r="F226" s="73"/>
      <c r="G226" s="122"/>
      <c r="H226" s="104"/>
      <c r="I226" s="73"/>
      <c r="J226" s="73"/>
      <c r="K226" s="202"/>
      <c r="L226" s="75" t="str">
        <f t="shared" si="23"/>
        <v/>
      </c>
      <c r="M226" s="75"/>
      <c r="N226" s="75" t="str">
        <f t="shared" si="24"/>
        <v/>
      </c>
      <c r="O226" s="204" t="str">
        <f t="shared" si="25"/>
        <v/>
      </c>
      <c r="P226" s="8"/>
      <c r="Q226" s="8"/>
      <c r="R226" s="8"/>
      <c r="S226" s="8"/>
    </row>
    <row r="227" spans="1:19" x14ac:dyDescent="0.25">
      <c r="A227" s="197">
        <f t="shared" si="21"/>
        <v>0</v>
      </c>
      <c r="B227" s="76" t="str">
        <f t="shared" si="22"/>
        <v/>
      </c>
      <c r="C227" s="77" t="str">
        <f>IF(G227&lt;&gt;"",IFERROR(ROUND(VLOOKUP(G227,ProductList!J:AO,31,FALSE),0),""),"")</f>
        <v/>
      </c>
      <c r="D227" s="73" t="str">
        <f>IF(E227&lt;&gt;"",IF(D226&lt;&gt;"",D226,#REF!)+1,"")</f>
        <v/>
      </c>
      <c r="E227" s="73"/>
      <c r="F227" s="73"/>
      <c r="G227" s="122"/>
      <c r="H227" s="104"/>
      <c r="I227" s="73"/>
      <c r="J227" s="73"/>
      <c r="K227" s="202"/>
      <c r="L227" s="75" t="str">
        <f t="shared" si="23"/>
        <v/>
      </c>
      <c r="M227" s="75"/>
      <c r="N227" s="75" t="str">
        <f t="shared" si="24"/>
        <v/>
      </c>
      <c r="O227" s="204" t="str">
        <f t="shared" si="25"/>
        <v/>
      </c>
      <c r="P227" s="8"/>
      <c r="Q227" s="8"/>
      <c r="R227" s="8"/>
      <c r="S227" s="8"/>
    </row>
    <row r="228" spans="1:19" x14ac:dyDescent="0.25">
      <c r="A228" s="197">
        <f t="shared" si="21"/>
        <v>0</v>
      </c>
      <c r="B228" s="76" t="str">
        <f t="shared" si="22"/>
        <v/>
      </c>
      <c r="C228" s="77" t="str">
        <f>IF(G228&lt;&gt;"",IFERROR(ROUND(VLOOKUP(G228,ProductList!J:AO,31,FALSE),0),""),"")</f>
        <v/>
      </c>
      <c r="D228" s="73" t="str">
        <f>IF(E228&lt;&gt;"",IF(D227&lt;&gt;"",D227,#REF!)+1,"")</f>
        <v/>
      </c>
      <c r="E228" s="73"/>
      <c r="F228" s="73"/>
      <c r="G228" s="122"/>
      <c r="H228" s="104"/>
      <c r="I228" s="73"/>
      <c r="J228" s="73"/>
      <c r="K228" s="202"/>
      <c r="L228" s="75" t="str">
        <f t="shared" si="23"/>
        <v/>
      </c>
      <c r="M228" s="75"/>
      <c r="N228" s="75" t="str">
        <f t="shared" si="24"/>
        <v/>
      </c>
      <c r="O228" s="204" t="str">
        <f t="shared" si="25"/>
        <v/>
      </c>
      <c r="P228" s="8"/>
      <c r="Q228" s="8"/>
      <c r="R228" s="8"/>
      <c r="S228" s="8"/>
    </row>
    <row r="229" spans="1:19" x14ac:dyDescent="0.25">
      <c r="A229" s="197">
        <f t="shared" si="21"/>
        <v>0</v>
      </c>
      <c r="B229" s="76" t="str">
        <f t="shared" si="22"/>
        <v/>
      </c>
      <c r="C229" s="77" t="str">
        <f>IF(G229&lt;&gt;"",IFERROR(ROUND(VLOOKUP(G229,ProductList!J:AO,31,FALSE),0),""),"")</f>
        <v/>
      </c>
      <c r="D229" s="73" t="str">
        <f>IF(E229&lt;&gt;"",IF(D228&lt;&gt;"",D228,#REF!)+1,"")</f>
        <v/>
      </c>
      <c r="E229" s="73"/>
      <c r="F229" s="73"/>
      <c r="G229" s="122"/>
      <c r="H229" s="104"/>
      <c r="I229" s="73"/>
      <c r="J229" s="73"/>
      <c r="K229" s="202"/>
      <c r="L229" s="75" t="str">
        <f t="shared" si="23"/>
        <v/>
      </c>
      <c r="M229" s="75"/>
      <c r="N229" s="75" t="str">
        <f t="shared" si="24"/>
        <v/>
      </c>
      <c r="O229" s="204" t="str">
        <f t="shared" si="25"/>
        <v/>
      </c>
      <c r="P229" s="8"/>
      <c r="Q229" s="8"/>
      <c r="R229" s="8"/>
      <c r="S229" s="8"/>
    </row>
    <row r="230" spans="1:19" x14ac:dyDescent="0.25">
      <c r="A230" s="197">
        <f t="shared" si="21"/>
        <v>0</v>
      </c>
      <c r="B230" s="76" t="str">
        <f t="shared" si="22"/>
        <v/>
      </c>
      <c r="C230" s="77" t="str">
        <f>IF(G230&lt;&gt;"",IFERROR(ROUND(VLOOKUP(G230,ProductList!J:AO,31,FALSE),0),""),"")</f>
        <v/>
      </c>
      <c r="D230" s="73" t="str">
        <f>IF(E230&lt;&gt;"",IF(D229&lt;&gt;"",D229,#REF!)+1,"")</f>
        <v/>
      </c>
      <c r="E230" s="73"/>
      <c r="F230" s="73"/>
      <c r="G230" s="122"/>
      <c r="H230" s="104"/>
      <c r="I230" s="73"/>
      <c r="J230" s="73"/>
      <c r="K230" s="202"/>
      <c r="L230" s="75" t="str">
        <f t="shared" si="23"/>
        <v/>
      </c>
      <c r="M230" s="75"/>
      <c r="N230" s="75" t="str">
        <f t="shared" si="24"/>
        <v/>
      </c>
      <c r="O230" s="204" t="str">
        <f t="shared" si="25"/>
        <v/>
      </c>
      <c r="P230" s="8"/>
      <c r="Q230" s="8"/>
      <c r="R230" s="8"/>
      <c r="S230" s="8"/>
    </row>
    <row r="231" spans="1:19" x14ac:dyDescent="0.25">
      <c r="A231" s="197">
        <f t="shared" si="21"/>
        <v>0</v>
      </c>
      <c r="B231" s="76" t="str">
        <f t="shared" si="22"/>
        <v/>
      </c>
      <c r="C231" s="77" t="str">
        <f>IF(G231&lt;&gt;"",IFERROR(ROUND(VLOOKUP(G231,ProductList!J:AO,31,FALSE),0),""),"")</f>
        <v/>
      </c>
      <c r="D231" s="73" t="str">
        <f>IF(E231&lt;&gt;"",IF(D230&lt;&gt;"",D230,#REF!)+1,"")</f>
        <v/>
      </c>
      <c r="E231" s="73"/>
      <c r="F231" s="73"/>
      <c r="G231" s="122"/>
      <c r="H231" s="104"/>
      <c r="I231" s="73"/>
      <c r="J231" s="73"/>
      <c r="K231" s="202"/>
      <c r="L231" s="75" t="str">
        <f t="shared" si="23"/>
        <v/>
      </c>
      <c r="M231" s="75"/>
      <c r="N231" s="75" t="str">
        <f t="shared" si="24"/>
        <v/>
      </c>
      <c r="O231" s="204" t="str">
        <f t="shared" si="25"/>
        <v/>
      </c>
      <c r="P231" s="8"/>
      <c r="Q231" s="8"/>
      <c r="R231" s="8"/>
      <c r="S231" s="8"/>
    </row>
    <row r="232" spans="1:19" x14ac:dyDescent="0.25">
      <c r="A232" s="197">
        <f t="shared" si="21"/>
        <v>0</v>
      </c>
      <c r="B232" s="76" t="str">
        <f t="shared" si="22"/>
        <v/>
      </c>
      <c r="C232" s="77" t="str">
        <f>IF(G232&lt;&gt;"",IFERROR(ROUND(VLOOKUP(G232,ProductList!J:AO,31,FALSE),0),""),"")</f>
        <v/>
      </c>
      <c r="D232" s="73" t="str">
        <f>IF(E232&lt;&gt;"",IF(D231&lt;&gt;"",D231,#REF!)+1,"")</f>
        <v/>
      </c>
      <c r="E232" s="73"/>
      <c r="F232" s="73"/>
      <c r="G232" s="122"/>
      <c r="H232" s="104"/>
      <c r="I232" s="73"/>
      <c r="J232" s="73"/>
      <c r="K232" s="202"/>
      <c r="L232" s="75" t="str">
        <f t="shared" si="23"/>
        <v/>
      </c>
      <c r="M232" s="75"/>
      <c r="N232" s="75" t="str">
        <f t="shared" si="24"/>
        <v/>
      </c>
      <c r="O232" s="204" t="str">
        <f t="shared" si="25"/>
        <v/>
      </c>
      <c r="P232" s="8"/>
      <c r="Q232" s="8"/>
      <c r="R232" s="8"/>
      <c r="S232" s="8"/>
    </row>
    <row r="233" spans="1:19" x14ac:dyDescent="0.25">
      <c r="A233" s="197">
        <f t="shared" si="21"/>
        <v>0</v>
      </c>
      <c r="B233" s="76" t="str">
        <f t="shared" si="22"/>
        <v/>
      </c>
      <c r="C233" s="77" t="str">
        <f>IF(G233&lt;&gt;"",IFERROR(ROUND(VLOOKUP(G233,ProductList!J:AO,31,FALSE),0),""),"")</f>
        <v/>
      </c>
      <c r="D233" s="73" t="str">
        <f>IF(E233&lt;&gt;"",IF(D232&lt;&gt;"",D232,#REF!)+1,"")</f>
        <v/>
      </c>
      <c r="E233" s="73"/>
      <c r="F233" s="73"/>
      <c r="G233" s="122"/>
      <c r="H233" s="104"/>
      <c r="I233" s="73"/>
      <c r="J233" s="73"/>
      <c r="K233" s="202"/>
      <c r="L233" s="75" t="str">
        <f t="shared" si="23"/>
        <v/>
      </c>
      <c r="M233" s="75"/>
      <c r="N233" s="75" t="str">
        <f t="shared" si="24"/>
        <v/>
      </c>
      <c r="O233" s="204" t="str">
        <f t="shared" si="25"/>
        <v/>
      </c>
      <c r="P233" s="8"/>
      <c r="Q233" s="8"/>
      <c r="R233" s="8"/>
      <c r="S233" s="8"/>
    </row>
    <row r="234" spans="1:19" x14ac:dyDescent="0.25">
      <c r="A234" s="197">
        <f t="shared" si="21"/>
        <v>0</v>
      </c>
      <c r="B234" s="76" t="str">
        <f t="shared" si="22"/>
        <v/>
      </c>
      <c r="C234" s="77" t="str">
        <f>IF(G234&lt;&gt;"",IFERROR(ROUND(VLOOKUP(G234,ProductList!J:AO,31,FALSE),0),""),"")</f>
        <v/>
      </c>
      <c r="D234" s="73" t="str">
        <f>IF(E234&lt;&gt;"",IF(D233&lt;&gt;"",D233,#REF!)+1,"")</f>
        <v/>
      </c>
      <c r="E234" s="73"/>
      <c r="F234" s="73"/>
      <c r="G234" s="122"/>
      <c r="H234" s="104"/>
      <c r="I234" s="73"/>
      <c r="J234" s="73"/>
      <c r="K234" s="202"/>
      <c r="L234" s="75" t="str">
        <f t="shared" si="23"/>
        <v/>
      </c>
      <c r="M234" s="75"/>
      <c r="N234" s="75" t="str">
        <f t="shared" si="24"/>
        <v/>
      </c>
      <c r="O234" s="204" t="str">
        <f t="shared" si="25"/>
        <v/>
      </c>
      <c r="P234" s="8"/>
      <c r="Q234" s="8"/>
      <c r="R234" s="8"/>
      <c r="S234" s="8"/>
    </row>
    <row r="235" spans="1:19" x14ac:dyDescent="0.25">
      <c r="A235" s="197">
        <f t="shared" si="21"/>
        <v>0</v>
      </c>
      <c r="B235" s="76" t="str">
        <f t="shared" si="22"/>
        <v/>
      </c>
      <c r="C235" s="77" t="str">
        <f>IF(G235&lt;&gt;"",IFERROR(ROUND(VLOOKUP(G235,ProductList!J:AO,31,FALSE),0),""),"")</f>
        <v/>
      </c>
      <c r="D235" s="73" t="str">
        <f>IF(E235&lt;&gt;"",IF(D234&lt;&gt;"",D234,#REF!)+1,"")</f>
        <v/>
      </c>
      <c r="E235" s="73"/>
      <c r="F235" s="73"/>
      <c r="G235" s="122"/>
      <c r="H235" s="104"/>
      <c r="I235" s="73"/>
      <c r="J235" s="73"/>
      <c r="K235" s="202"/>
      <c r="L235" s="75" t="str">
        <f t="shared" si="23"/>
        <v/>
      </c>
      <c r="M235" s="75"/>
      <c r="N235" s="75" t="str">
        <f t="shared" si="24"/>
        <v/>
      </c>
      <c r="O235" s="204" t="str">
        <f t="shared" si="25"/>
        <v/>
      </c>
      <c r="P235" s="8"/>
      <c r="Q235" s="8"/>
      <c r="R235" s="8"/>
      <c r="S235" s="8"/>
    </row>
    <row r="236" spans="1:19" x14ac:dyDescent="0.25">
      <c r="A236" s="197">
        <f t="shared" si="21"/>
        <v>0</v>
      </c>
      <c r="B236" s="76" t="str">
        <f t="shared" si="22"/>
        <v/>
      </c>
      <c r="C236" s="77" t="str">
        <f>IF(G236&lt;&gt;"",IFERROR(ROUND(VLOOKUP(G236,ProductList!J:AO,31,FALSE),0),""),"")</f>
        <v/>
      </c>
      <c r="D236" s="73" t="str">
        <f>IF(E236&lt;&gt;"",IF(D235&lt;&gt;"",D235,#REF!)+1,"")</f>
        <v/>
      </c>
      <c r="E236" s="73"/>
      <c r="F236" s="73"/>
      <c r="G236" s="122"/>
      <c r="H236" s="104"/>
      <c r="I236" s="73"/>
      <c r="J236" s="73"/>
      <c r="K236" s="202"/>
      <c r="L236" s="75" t="str">
        <f t="shared" si="23"/>
        <v/>
      </c>
      <c r="M236" s="75"/>
      <c r="N236" s="75" t="str">
        <f t="shared" si="24"/>
        <v/>
      </c>
      <c r="O236" s="204" t="str">
        <f t="shared" si="25"/>
        <v/>
      </c>
      <c r="P236" s="8"/>
      <c r="Q236" s="8"/>
      <c r="R236" s="8"/>
      <c r="S236" s="8"/>
    </row>
    <row r="237" spans="1:19" x14ac:dyDescent="0.25">
      <c r="A237" s="197">
        <f t="shared" si="21"/>
        <v>0</v>
      </c>
      <c r="B237" s="76" t="str">
        <f t="shared" si="22"/>
        <v/>
      </c>
      <c r="C237" s="77" t="str">
        <f>IF(G237&lt;&gt;"",IFERROR(ROUND(VLOOKUP(G237,ProductList!J:AO,31,FALSE),0),""),"")</f>
        <v/>
      </c>
      <c r="D237" s="73" t="str">
        <f>IF(E237&lt;&gt;"",IF(D236&lt;&gt;"",D236,#REF!)+1,"")</f>
        <v/>
      </c>
      <c r="E237" s="73"/>
      <c r="F237" s="73"/>
      <c r="G237" s="122"/>
      <c r="H237" s="104"/>
      <c r="I237" s="73"/>
      <c r="J237" s="73"/>
      <c r="K237" s="202"/>
      <c r="L237" s="75" t="str">
        <f t="shared" si="23"/>
        <v/>
      </c>
      <c r="M237" s="75"/>
      <c r="N237" s="75" t="str">
        <f t="shared" si="24"/>
        <v/>
      </c>
      <c r="O237" s="204" t="str">
        <f t="shared" si="25"/>
        <v/>
      </c>
      <c r="P237" s="8"/>
      <c r="Q237" s="8"/>
      <c r="R237" s="8"/>
      <c r="S237" s="8"/>
    </row>
    <row r="238" spans="1:19" x14ac:dyDescent="0.25">
      <c r="A238" s="197">
        <f t="shared" si="21"/>
        <v>0</v>
      </c>
      <c r="B238" s="76" t="str">
        <f t="shared" si="22"/>
        <v/>
      </c>
      <c r="C238" s="77" t="str">
        <f>IF(G238&lt;&gt;"",IFERROR(ROUND(VLOOKUP(G238,ProductList!J:AO,31,FALSE),0),""),"")</f>
        <v/>
      </c>
      <c r="D238" s="73" t="str">
        <f>IF(E238&lt;&gt;"",IF(D237&lt;&gt;"",D237,#REF!)+1,"")</f>
        <v/>
      </c>
      <c r="E238" s="73"/>
      <c r="F238" s="73"/>
      <c r="G238" s="122"/>
      <c r="H238" s="104"/>
      <c r="I238" s="73"/>
      <c r="J238" s="73"/>
      <c r="K238" s="202"/>
      <c r="L238" s="75" t="str">
        <f t="shared" si="23"/>
        <v/>
      </c>
      <c r="M238" s="75"/>
      <c r="N238" s="75" t="str">
        <f t="shared" si="24"/>
        <v/>
      </c>
      <c r="O238" s="204" t="str">
        <f t="shared" si="25"/>
        <v/>
      </c>
      <c r="P238" s="8"/>
      <c r="Q238" s="8"/>
      <c r="R238" s="8"/>
      <c r="S238" s="8"/>
    </row>
    <row r="239" spans="1:19" x14ac:dyDescent="0.25">
      <c r="A239" s="197">
        <f t="shared" si="21"/>
        <v>0</v>
      </c>
      <c r="B239" s="76" t="str">
        <f t="shared" si="22"/>
        <v/>
      </c>
      <c r="C239" s="77" t="str">
        <f>IF(G239&lt;&gt;"",IFERROR(ROUND(VLOOKUP(G239,ProductList!J:AO,31,FALSE),0),""),"")</f>
        <v/>
      </c>
      <c r="D239" s="73" t="str">
        <f>IF(E239&lt;&gt;"",IF(D238&lt;&gt;"",D238,#REF!)+1,"")</f>
        <v/>
      </c>
      <c r="E239" s="73"/>
      <c r="F239" s="73"/>
      <c r="G239" s="122"/>
      <c r="H239" s="104"/>
      <c r="I239" s="73"/>
      <c r="J239" s="73"/>
      <c r="K239" s="202"/>
      <c r="L239" s="75" t="str">
        <f t="shared" si="23"/>
        <v/>
      </c>
      <c r="M239" s="75"/>
      <c r="N239" s="75" t="str">
        <f t="shared" si="24"/>
        <v/>
      </c>
      <c r="O239" s="204" t="str">
        <f t="shared" si="25"/>
        <v/>
      </c>
      <c r="P239" s="8"/>
      <c r="Q239" s="8"/>
      <c r="R239" s="8"/>
      <c r="S239" s="8"/>
    </row>
    <row r="240" spans="1:19" x14ac:dyDescent="0.25">
      <c r="A240" s="197">
        <f t="shared" si="21"/>
        <v>0</v>
      </c>
      <c r="B240" s="76" t="str">
        <f t="shared" si="22"/>
        <v/>
      </c>
      <c r="C240" s="77" t="str">
        <f>IF(G240&lt;&gt;"",IFERROR(ROUND(VLOOKUP(G240,ProductList!J:AO,31,FALSE),0),""),"")</f>
        <v/>
      </c>
      <c r="D240" s="73" t="str">
        <f>IF(E240&lt;&gt;"",IF(D239&lt;&gt;"",D239,#REF!)+1,"")</f>
        <v/>
      </c>
      <c r="E240" s="73"/>
      <c r="F240" s="73"/>
      <c r="G240" s="122"/>
      <c r="H240" s="104"/>
      <c r="I240" s="73"/>
      <c r="J240" s="73"/>
      <c r="K240" s="202"/>
      <c r="L240" s="75" t="str">
        <f t="shared" si="23"/>
        <v/>
      </c>
      <c r="M240" s="75"/>
      <c r="N240" s="75" t="str">
        <f t="shared" si="24"/>
        <v/>
      </c>
      <c r="O240" s="204" t="str">
        <f t="shared" si="25"/>
        <v/>
      </c>
      <c r="P240" s="8"/>
      <c r="Q240" s="8"/>
      <c r="R240" s="8"/>
      <c r="S240" s="8"/>
    </row>
    <row r="241" spans="1:19" x14ac:dyDescent="0.25">
      <c r="A241" s="197">
        <f t="shared" si="21"/>
        <v>0</v>
      </c>
      <c r="B241" s="76" t="str">
        <f t="shared" si="22"/>
        <v/>
      </c>
      <c r="C241" s="77" t="str">
        <f>IF(G241&lt;&gt;"",IFERROR(ROUND(VLOOKUP(G241,ProductList!J:AO,31,FALSE),0),""),"")</f>
        <v/>
      </c>
      <c r="D241" s="73" t="str">
        <f>IF(E241&lt;&gt;"",IF(D240&lt;&gt;"",D240,#REF!)+1,"")</f>
        <v/>
      </c>
      <c r="E241" s="73"/>
      <c r="F241" s="73"/>
      <c r="G241" s="122"/>
      <c r="H241" s="104"/>
      <c r="I241" s="73"/>
      <c r="J241" s="73"/>
      <c r="K241" s="202"/>
      <c r="L241" s="75" t="str">
        <f t="shared" si="23"/>
        <v/>
      </c>
      <c r="M241" s="75"/>
      <c r="N241" s="75" t="str">
        <f t="shared" si="24"/>
        <v/>
      </c>
      <c r="O241" s="204" t="str">
        <f t="shared" si="25"/>
        <v/>
      </c>
      <c r="P241" s="8"/>
      <c r="Q241" s="8"/>
      <c r="R241" s="8"/>
      <c r="S241" s="8"/>
    </row>
    <row r="242" spans="1:19" x14ac:dyDescent="0.25">
      <c r="A242" s="197">
        <f t="shared" si="21"/>
        <v>0</v>
      </c>
      <c r="B242" s="76" t="str">
        <f t="shared" si="22"/>
        <v/>
      </c>
      <c r="C242" s="77" t="str">
        <f>IF(G242&lt;&gt;"",IFERROR(ROUND(VLOOKUP(G242,ProductList!J:AO,31,FALSE),0),""),"")</f>
        <v/>
      </c>
      <c r="D242" s="73" t="str">
        <f>IF(E242&lt;&gt;"",IF(D241&lt;&gt;"",D241,#REF!)+1,"")</f>
        <v/>
      </c>
      <c r="E242" s="73"/>
      <c r="F242" s="73"/>
      <c r="G242" s="122"/>
      <c r="H242" s="104"/>
      <c r="I242" s="73"/>
      <c r="J242" s="73"/>
      <c r="K242" s="202"/>
      <c r="L242" s="75" t="str">
        <f t="shared" si="23"/>
        <v/>
      </c>
      <c r="M242" s="75"/>
      <c r="N242" s="75" t="str">
        <f t="shared" si="24"/>
        <v/>
      </c>
      <c r="O242" s="204" t="str">
        <f t="shared" si="25"/>
        <v/>
      </c>
      <c r="P242" s="8"/>
      <c r="Q242" s="8"/>
      <c r="R242" s="8"/>
      <c r="S242" s="8"/>
    </row>
    <row r="243" spans="1:19" x14ac:dyDescent="0.25">
      <c r="A243" s="197">
        <f t="shared" si="21"/>
        <v>0</v>
      </c>
      <c r="B243" s="76" t="str">
        <f t="shared" si="22"/>
        <v/>
      </c>
      <c r="C243" s="77" t="str">
        <f>IF(G243&lt;&gt;"",IFERROR(ROUND(VLOOKUP(G243,ProductList!J:AO,31,FALSE),0),""),"")</f>
        <v/>
      </c>
      <c r="D243" s="73" t="str">
        <f>IF(E243&lt;&gt;"",IF(D242&lt;&gt;"",D242,#REF!)+1,"")</f>
        <v/>
      </c>
      <c r="E243" s="73"/>
      <c r="F243" s="73"/>
      <c r="G243" s="122"/>
      <c r="H243" s="104"/>
      <c r="I243" s="73"/>
      <c r="J243" s="73"/>
      <c r="K243" s="202"/>
      <c r="L243" s="75" t="str">
        <f t="shared" si="23"/>
        <v/>
      </c>
      <c r="M243" s="75"/>
      <c r="N243" s="75" t="str">
        <f t="shared" si="24"/>
        <v/>
      </c>
      <c r="O243" s="204" t="str">
        <f t="shared" si="25"/>
        <v/>
      </c>
      <c r="P243" s="8"/>
      <c r="Q243" s="8"/>
      <c r="R243" s="8"/>
      <c r="S243" s="8"/>
    </row>
    <row r="244" spans="1:19" x14ac:dyDescent="0.25">
      <c r="A244" s="197">
        <f t="shared" si="21"/>
        <v>0</v>
      </c>
      <c r="B244" s="76" t="str">
        <f t="shared" si="22"/>
        <v/>
      </c>
      <c r="C244" s="77" t="str">
        <f>IF(G244&lt;&gt;"",IFERROR(ROUND(VLOOKUP(G244,ProductList!J:AO,31,FALSE),0),""),"")</f>
        <v/>
      </c>
      <c r="D244" s="73" t="str">
        <f>IF(E244&lt;&gt;"",IF(D243&lt;&gt;"",D243,#REF!)+1,"")</f>
        <v/>
      </c>
      <c r="E244" s="73"/>
      <c r="F244" s="73"/>
      <c r="G244" s="122"/>
      <c r="H244" s="104"/>
      <c r="I244" s="73"/>
      <c r="J244" s="73"/>
      <c r="K244" s="202"/>
      <c r="L244" s="75" t="str">
        <f t="shared" si="23"/>
        <v/>
      </c>
      <c r="M244" s="75"/>
      <c r="N244" s="75" t="str">
        <f t="shared" si="24"/>
        <v/>
      </c>
      <c r="O244" s="204" t="str">
        <f t="shared" si="25"/>
        <v/>
      </c>
      <c r="P244" s="8"/>
      <c r="Q244" s="8"/>
      <c r="R244" s="8"/>
      <c r="S244" s="8"/>
    </row>
    <row r="245" spans="1:19" x14ac:dyDescent="0.25">
      <c r="A245" s="197">
        <f t="shared" si="21"/>
        <v>0</v>
      </c>
      <c r="B245" s="76" t="str">
        <f t="shared" si="22"/>
        <v/>
      </c>
      <c r="C245" s="77" t="str">
        <f>IF(G245&lt;&gt;"",IFERROR(ROUND(VLOOKUP(G245,ProductList!J:AO,31,FALSE),0),""),"")</f>
        <v/>
      </c>
      <c r="D245" s="73" t="str">
        <f>IF(E245&lt;&gt;"",IF(D244&lt;&gt;"",D244,#REF!)+1,"")</f>
        <v/>
      </c>
      <c r="E245" s="73"/>
      <c r="F245" s="73"/>
      <c r="G245" s="122"/>
      <c r="H245" s="104"/>
      <c r="I245" s="73"/>
      <c r="J245" s="73"/>
      <c r="K245" s="202"/>
      <c r="L245" s="75" t="str">
        <f t="shared" si="23"/>
        <v/>
      </c>
      <c r="M245" s="75"/>
      <c r="N245" s="75" t="str">
        <f t="shared" si="24"/>
        <v/>
      </c>
      <c r="O245" s="204" t="str">
        <f t="shared" si="25"/>
        <v/>
      </c>
      <c r="P245" s="8"/>
      <c r="Q245" s="8"/>
      <c r="R245" s="8"/>
      <c r="S245" s="8"/>
    </row>
    <row r="246" spans="1:19" x14ac:dyDescent="0.25">
      <c r="A246" s="197">
        <f t="shared" si="21"/>
        <v>0</v>
      </c>
      <c r="B246" s="76" t="str">
        <f t="shared" si="22"/>
        <v/>
      </c>
      <c r="C246" s="77" t="str">
        <f>IF(G246&lt;&gt;"",IFERROR(ROUND(VLOOKUP(G246,ProductList!J:AO,31,FALSE),0),""),"")</f>
        <v/>
      </c>
      <c r="D246" s="73" t="str">
        <f>IF(E246&lt;&gt;"",IF(D245&lt;&gt;"",D245,#REF!)+1,"")</f>
        <v/>
      </c>
      <c r="E246" s="73"/>
      <c r="F246" s="73"/>
      <c r="G246" s="122"/>
      <c r="H246" s="104"/>
      <c r="I246" s="73"/>
      <c r="J246" s="73"/>
      <c r="K246" s="202"/>
      <c r="L246" s="75" t="str">
        <f t="shared" si="23"/>
        <v/>
      </c>
      <c r="M246" s="75"/>
      <c r="N246" s="75" t="str">
        <f t="shared" si="24"/>
        <v/>
      </c>
      <c r="O246" s="204" t="str">
        <f t="shared" si="25"/>
        <v/>
      </c>
      <c r="P246" s="8"/>
      <c r="Q246" s="8"/>
      <c r="R246" s="8"/>
      <c r="S246" s="8"/>
    </row>
    <row r="247" spans="1:19" x14ac:dyDescent="0.25">
      <c r="A247" s="197">
        <f t="shared" si="21"/>
        <v>0</v>
      </c>
      <c r="B247" s="76" t="str">
        <f t="shared" si="22"/>
        <v/>
      </c>
      <c r="C247" s="77" t="str">
        <f>IF(G247&lt;&gt;"",IFERROR(ROUND(VLOOKUP(G247,ProductList!J:AO,31,FALSE),0),""),"")</f>
        <v/>
      </c>
      <c r="D247" s="73" t="str">
        <f>IF(E247&lt;&gt;"",IF(D246&lt;&gt;"",D246,#REF!)+1,"")</f>
        <v/>
      </c>
      <c r="E247" s="73"/>
      <c r="F247" s="73"/>
      <c r="G247" s="122"/>
      <c r="H247" s="104"/>
      <c r="I247" s="73"/>
      <c r="J247" s="73"/>
      <c r="K247" s="202"/>
      <c r="L247" s="75" t="str">
        <f t="shared" si="23"/>
        <v/>
      </c>
      <c r="M247" s="75"/>
      <c r="N247" s="75" t="str">
        <f t="shared" si="24"/>
        <v/>
      </c>
      <c r="O247" s="204" t="str">
        <f t="shared" si="25"/>
        <v/>
      </c>
      <c r="P247" s="8"/>
      <c r="Q247" s="8"/>
      <c r="R247" s="8"/>
      <c r="S247" s="8"/>
    </row>
    <row r="248" spans="1:19" x14ac:dyDescent="0.25">
      <c r="A248" s="197">
        <f t="shared" si="21"/>
        <v>0</v>
      </c>
      <c r="B248" s="76" t="str">
        <f t="shared" si="22"/>
        <v/>
      </c>
      <c r="C248" s="77" t="str">
        <f>IF(G248&lt;&gt;"",IFERROR(ROUND(VLOOKUP(G248,ProductList!J:AO,31,FALSE),0),""),"")</f>
        <v/>
      </c>
      <c r="D248" s="73" t="str">
        <f>IF(E248&lt;&gt;"",IF(D247&lt;&gt;"",D247,#REF!)+1,"")</f>
        <v/>
      </c>
      <c r="E248" s="73"/>
      <c r="F248" s="73"/>
      <c r="G248" s="122"/>
      <c r="H248" s="104"/>
      <c r="I248" s="73"/>
      <c r="J248" s="73"/>
      <c r="K248" s="202"/>
      <c r="L248" s="75" t="str">
        <f t="shared" si="23"/>
        <v/>
      </c>
      <c r="M248" s="75"/>
      <c r="N248" s="75" t="str">
        <f t="shared" si="24"/>
        <v/>
      </c>
      <c r="O248" s="204" t="str">
        <f t="shared" si="25"/>
        <v/>
      </c>
      <c r="P248" s="8"/>
      <c r="Q248" s="8"/>
      <c r="R248" s="8"/>
      <c r="S248" s="8"/>
    </row>
    <row r="249" spans="1:19" x14ac:dyDescent="0.25">
      <c r="A249" s="197">
        <f t="shared" si="21"/>
        <v>0</v>
      </c>
      <c r="B249" s="76" t="str">
        <f t="shared" si="22"/>
        <v/>
      </c>
      <c r="C249" s="77" t="str">
        <f>IF(G249&lt;&gt;"",IFERROR(ROUND(VLOOKUP(G249,ProductList!J:AO,31,FALSE),0),""),"")</f>
        <v/>
      </c>
      <c r="D249" s="73" t="str">
        <f>IF(E249&lt;&gt;"",IF(D248&lt;&gt;"",D248,#REF!)+1,"")</f>
        <v/>
      </c>
      <c r="E249" s="73"/>
      <c r="F249" s="73"/>
      <c r="G249" s="122"/>
      <c r="H249" s="104"/>
      <c r="I249" s="73"/>
      <c r="J249" s="73"/>
      <c r="K249" s="202"/>
      <c r="L249" s="75" t="str">
        <f t="shared" si="23"/>
        <v/>
      </c>
      <c r="M249" s="75"/>
      <c r="N249" s="75" t="str">
        <f t="shared" si="24"/>
        <v/>
      </c>
      <c r="O249" s="204" t="str">
        <f t="shared" si="25"/>
        <v/>
      </c>
      <c r="P249" s="8"/>
      <c r="Q249" s="8"/>
      <c r="R249" s="8"/>
      <c r="S249" s="8"/>
    </row>
    <row r="250" spans="1:19" x14ac:dyDescent="0.25">
      <c r="A250" s="197">
        <f t="shared" si="21"/>
        <v>0</v>
      </c>
      <c r="B250" s="76" t="str">
        <f t="shared" si="22"/>
        <v/>
      </c>
      <c r="C250" s="77" t="str">
        <f>IF(G250&lt;&gt;"",IFERROR(ROUND(VLOOKUP(G250,ProductList!J:AO,31,FALSE),0),""),"")</f>
        <v/>
      </c>
      <c r="D250" s="73" t="str">
        <f>IF(E250&lt;&gt;"",IF(D249&lt;&gt;"",D249,#REF!)+1,"")</f>
        <v/>
      </c>
      <c r="E250" s="73"/>
      <c r="F250" s="73"/>
      <c r="G250" s="122"/>
      <c r="H250" s="104"/>
      <c r="I250" s="73"/>
      <c r="J250" s="73"/>
      <c r="K250" s="202"/>
      <c r="L250" s="75" t="str">
        <f t="shared" si="23"/>
        <v/>
      </c>
      <c r="M250" s="75"/>
      <c r="N250" s="75" t="str">
        <f t="shared" si="24"/>
        <v/>
      </c>
      <c r="O250" s="204" t="str">
        <f t="shared" si="25"/>
        <v/>
      </c>
      <c r="P250" s="8"/>
      <c r="Q250" s="8"/>
      <c r="R250" s="8"/>
      <c r="S250" s="8"/>
    </row>
    <row r="251" spans="1:19" x14ac:dyDescent="0.25">
      <c r="A251" s="197">
        <f t="shared" si="21"/>
        <v>0</v>
      </c>
      <c r="B251" s="76" t="str">
        <f t="shared" si="22"/>
        <v/>
      </c>
      <c r="C251" s="77" t="str">
        <f>IF(G251&lt;&gt;"",IFERROR(ROUND(VLOOKUP(G251,ProductList!J:AO,31,FALSE),0),""),"")</f>
        <v/>
      </c>
      <c r="D251" s="73" t="str">
        <f>IF(E251&lt;&gt;"",IF(D250&lt;&gt;"",D250,#REF!)+1,"")</f>
        <v/>
      </c>
      <c r="E251" s="73"/>
      <c r="F251" s="73"/>
      <c r="G251" s="122"/>
      <c r="H251" s="104"/>
      <c r="I251" s="73"/>
      <c r="J251" s="73"/>
      <c r="K251" s="202"/>
      <c r="L251" s="75" t="str">
        <f t="shared" si="23"/>
        <v/>
      </c>
      <c r="M251" s="75"/>
      <c r="N251" s="75" t="str">
        <f t="shared" si="24"/>
        <v/>
      </c>
      <c r="O251" s="204" t="str">
        <f t="shared" si="25"/>
        <v/>
      </c>
      <c r="P251" s="8"/>
      <c r="Q251" s="8"/>
      <c r="R251" s="8"/>
      <c r="S251" s="8"/>
    </row>
    <row r="252" spans="1:19" x14ac:dyDescent="0.25">
      <c r="A252" s="197">
        <f t="shared" si="21"/>
        <v>0</v>
      </c>
      <c r="B252" s="76" t="str">
        <f t="shared" si="22"/>
        <v/>
      </c>
      <c r="C252" s="77" t="str">
        <f>IF(G252&lt;&gt;"",IFERROR(ROUND(VLOOKUP(G252,ProductList!J:AO,31,FALSE),0),""),"")</f>
        <v/>
      </c>
      <c r="D252" s="73" t="str">
        <f>IF(E252&lt;&gt;"",IF(D251&lt;&gt;"",D251,#REF!)+1,"")</f>
        <v/>
      </c>
      <c r="E252" s="73"/>
      <c r="F252" s="73"/>
      <c r="G252" s="122"/>
      <c r="H252" s="104"/>
      <c r="I252" s="73"/>
      <c r="J252" s="73"/>
      <c r="K252" s="202"/>
      <c r="L252" s="75" t="str">
        <f t="shared" si="23"/>
        <v/>
      </c>
      <c r="M252" s="75"/>
      <c r="N252" s="75" t="str">
        <f t="shared" si="24"/>
        <v/>
      </c>
      <c r="O252" s="204" t="str">
        <f t="shared" si="25"/>
        <v/>
      </c>
      <c r="P252" s="8"/>
      <c r="Q252" s="8"/>
      <c r="R252" s="8"/>
      <c r="S252" s="8"/>
    </row>
    <row r="253" spans="1:19" x14ac:dyDescent="0.25">
      <c r="A253" s="197">
        <f t="shared" si="21"/>
        <v>0</v>
      </c>
      <c r="B253" s="76" t="str">
        <f t="shared" si="22"/>
        <v/>
      </c>
      <c r="C253" s="77" t="str">
        <f>IF(G253&lt;&gt;"",IFERROR(ROUND(VLOOKUP(G253,ProductList!J:AO,31,FALSE),0),""),"")</f>
        <v/>
      </c>
      <c r="D253" s="73" t="str">
        <f>IF(E253&lt;&gt;"",IF(D252&lt;&gt;"",D252,#REF!)+1,"")</f>
        <v/>
      </c>
      <c r="E253" s="73"/>
      <c r="F253" s="73"/>
      <c r="G253" s="122"/>
      <c r="H253" s="104"/>
      <c r="I253" s="73"/>
      <c r="J253" s="73"/>
      <c r="K253" s="202"/>
      <c r="L253" s="75" t="str">
        <f t="shared" si="23"/>
        <v/>
      </c>
      <c r="M253" s="75"/>
      <c r="N253" s="75" t="str">
        <f t="shared" si="24"/>
        <v/>
      </c>
      <c r="O253" s="204" t="str">
        <f t="shared" si="25"/>
        <v/>
      </c>
      <c r="P253" s="8"/>
      <c r="Q253" s="8"/>
      <c r="R253" s="8"/>
      <c r="S253" s="8"/>
    </row>
    <row r="254" spans="1:19" x14ac:dyDescent="0.25">
      <c r="A254" s="197">
        <f t="shared" si="21"/>
        <v>0</v>
      </c>
      <c r="B254" s="76" t="str">
        <f t="shared" si="22"/>
        <v/>
      </c>
      <c r="C254" s="77" t="str">
        <f>IF(G254&lt;&gt;"",IFERROR(ROUND(VLOOKUP(G254,ProductList!J:AO,31,FALSE),0),""),"")</f>
        <v/>
      </c>
      <c r="D254" s="73" t="str">
        <f>IF(E254&lt;&gt;"",IF(D253&lt;&gt;"",D253,#REF!)+1,"")</f>
        <v/>
      </c>
      <c r="E254" s="73"/>
      <c r="F254" s="73"/>
      <c r="G254" s="122"/>
      <c r="H254" s="104"/>
      <c r="I254" s="73"/>
      <c r="J254" s="73"/>
      <c r="K254" s="202"/>
      <c r="L254" s="75" t="str">
        <f t="shared" si="23"/>
        <v/>
      </c>
      <c r="M254" s="75"/>
      <c r="N254" s="75" t="str">
        <f t="shared" si="24"/>
        <v/>
      </c>
      <c r="O254" s="204" t="str">
        <f t="shared" si="25"/>
        <v/>
      </c>
      <c r="P254" s="8"/>
      <c r="Q254" s="8"/>
      <c r="R254" s="8"/>
      <c r="S254" s="8"/>
    </row>
    <row r="255" spans="1:19" x14ac:dyDescent="0.25">
      <c r="A255" s="197">
        <f t="shared" si="21"/>
        <v>0</v>
      </c>
      <c r="B255" s="76" t="str">
        <f t="shared" si="22"/>
        <v/>
      </c>
      <c r="C255" s="77" t="str">
        <f>IF(G255&lt;&gt;"",IFERROR(ROUND(VLOOKUP(G255,ProductList!J:AO,31,FALSE),0),""),"")</f>
        <v/>
      </c>
      <c r="D255" s="73" t="str">
        <f>IF(E255&lt;&gt;"",IF(D254&lt;&gt;"",D254,#REF!)+1,"")</f>
        <v/>
      </c>
      <c r="E255" s="73"/>
      <c r="F255" s="73"/>
      <c r="G255" s="122"/>
      <c r="H255" s="104"/>
      <c r="I255" s="73"/>
      <c r="J255" s="73"/>
      <c r="K255" s="202"/>
      <c r="L255" s="75" t="str">
        <f t="shared" si="23"/>
        <v/>
      </c>
      <c r="M255" s="75"/>
      <c r="N255" s="75" t="str">
        <f t="shared" si="24"/>
        <v/>
      </c>
      <c r="O255" s="204" t="str">
        <f t="shared" si="25"/>
        <v/>
      </c>
      <c r="P255" s="8"/>
      <c r="Q255" s="8"/>
      <c r="R255" s="8"/>
      <c r="S255" s="8"/>
    </row>
    <row r="256" spans="1:19" x14ac:dyDescent="0.25">
      <c r="A256" s="197">
        <f t="shared" si="21"/>
        <v>0</v>
      </c>
      <c r="B256" s="76" t="str">
        <f t="shared" si="22"/>
        <v/>
      </c>
      <c r="C256" s="77" t="str">
        <f>IF(G256&lt;&gt;"",IFERROR(ROUND(VLOOKUP(G256,ProductList!J:AO,31,FALSE),0),""),"")</f>
        <v/>
      </c>
      <c r="D256" s="73" t="str">
        <f>IF(E256&lt;&gt;"",IF(D255&lt;&gt;"",D255,#REF!)+1,"")</f>
        <v/>
      </c>
      <c r="E256" s="73"/>
      <c r="F256" s="73"/>
      <c r="G256" s="122"/>
      <c r="H256" s="104"/>
      <c r="I256" s="73"/>
      <c r="J256" s="73"/>
      <c r="K256" s="202"/>
      <c r="L256" s="75" t="str">
        <f t="shared" si="23"/>
        <v/>
      </c>
      <c r="M256" s="75"/>
      <c r="N256" s="75" t="str">
        <f t="shared" si="24"/>
        <v/>
      </c>
      <c r="O256" s="204" t="str">
        <f t="shared" si="25"/>
        <v/>
      </c>
      <c r="P256" s="8"/>
      <c r="Q256" s="8"/>
      <c r="R256" s="8"/>
      <c r="S256" s="8"/>
    </row>
    <row r="257" spans="1:19" x14ac:dyDescent="0.25">
      <c r="A257" s="197">
        <f t="shared" si="21"/>
        <v>0</v>
      </c>
      <c r="B257" s="76" t="str">
        <f t="shared" si="22"/>
        <v/>
      </c>
      <c r="C257" s="77" t="str">
        <f>IF(G257&lt;&gt;"",IFERROR(ROUND(VLOOKUP(G257,ProductList!J:AO,31,FALSE),0),""),"")</f>
        <v/>
      </c>
      <c r="D257" s="73" t="str">
        <f>IF(E257&lt;&gt;"",IF(D256&lt;&gt;"",D256,#REF!)+1,"")</f>
        <v/>
      </c>
      <c r="E257" s="73"/>
      <c r="F257" s="73"/>
      <c r="G257" s="122"/>
      <c r="H257" s="104"/>
      <c r="I257" s="73"/>
      <c r="J257" s="73"/>
      <c r="K257" s="202"/>
      <c r="L257" s="75" t="str">
        <f t="shared" si="23"/>
        <v/>
      </c>
      <c r="M257" s="75"/>
      <c r="N257" s="75" t="str">
        <f t="shared" si="24"/>
        <v/>
      </c>
      <c r="O257" s="204" t="str">
        <f t="shared" si="25"/>
        <v/>
      </c>
      <c r="P257" s="8"/>
      <c r="Q257" s="8"/>
      <c r="R257" s="8"/>
      <c r="S257" s="8"/>
    </row>
    <row r="258" spans="1:19" x14ac:dyDescent="0.25">
      <c r="A258" s="197">
        <f t="shared" si="21"/>
        <v>0</v>
      </c>
      <c r="B258" s="76" t="str">
        <f t="shared" si="22"/>
        <v/>
      </c>
      <c r="C258" s="77" t="str">
        <f>IF(G258&lt;&gt;"",IFERROR(ROUND(VLOOKUP(G258,ProductList!J:AO,31,FALSE),0),""),"")</f>
        <v/>
      </c>
      <c r="D258" s="73" t="str">
        <f>IF(E258&lt;&gt;"",IF(D257&lt;&gt;"",D257,#REF!)+1,"")</f>
        <v/>
      </c>
      <c r="E258" s="73"/>
      <c r="F258" s="73"/>
      <c r="G258" s="122"/>
      <c r="H258" s="104"/>
      <c r="I258" s="73"/>
      <c r="J258" s="73"/>
      <c r="K258" s="202"/>
      <c r="L258" s="75" t="str">
        <f t="shared" si="23"/>
        <v/>
      </c>
      <c r="M258" s="75"/>
      <c r="N258" s="75" t="str">
        <f t="shared" si="24"/>
        <v/>
      </c>
      <c r="O258" s="204" t="str">
        <f t="shared" si="25"/>
        <v/>
      </c>
      <c r="P258" s="8"/>
      <c r="Q258" s="8"/>
      <c r="R258" s="8"/>
      <c r="S258" s="8"/>
    </row>
    <row r="259" spans="1:19" x14ac:dyDescent="0.25">
      <c r="A259" s="197">
        <f t="shared" si="21"/>
        <v>0</v>
      </c>
      <c r="B259" s="76" t="str">
        <f t="shared" si="22"/>
        <v/>
      </c>
      <c r="C259" s="77" t="str">
        <f>IF(G259&lt;&gt;"",IFERROR(ROUND(VLOOKUP(G259,ProductList!J:AO,31,FALSE),0),""),"")</f>
        <v/>
      </c>
      <c r="D259" s="73" t="str">
        <f>IF(E259&lt;&gt;"",IF(D258&lt;&gt;"",D258,#REF!)+1,"")</f>
        <v/>
      </c>
      <c r="E259" s="73"/>
      <c r="F259" s="73"/>
      <c r="G259" s="122"/>
      <c r="H259" s="104"/>
      <c r="I259" s="73"/>
      <c r="J259" s="73"/>
      <c r="K259" s="202"/>
      <c r="L259" s="75" t="str">
        <f t="shared" si="23"/>
        <v/>
      </c>
      <c r="M259" s="75"/>
      <c r="N259" s="75" t="str">
        <f t="shared" si="24"/>
        <v/>
      </c>
      <c r="O259" s="204" t="str">
        <f t="shared" si="25"/>
        <v/>
      </c>
      <c r="P259" s="8"/>
      <c r="Q259" s="8"/>
      <c r="R259" s="8"/>
      <c r="S259" s="8"/>
    </row>
    <row r="260" spans="1:19" x14ac:dyDescent="0.25">
      <c r="A260" s="197">
        <f t="shared" si="21"/>
        <v>0</v>
      </c>
      <c r="B260" s="76" t="str">
        <f t="shared" si="22"/>
        <v/>
      </c>
      <c r="C260" s="77" t="str">
        <f>IF(G260&lt;&gt;"",IFERROR(ROUND(VLOOKUP(G260,ProductList!J:AO,31,FALSE),0),""),"")</f>
        <v/>
      </c>
      <c r="D260" s="73" t="str">
        <f>IF(E260&lt;&gt;"",IF(D259&lt;&gt;"",D259,#REF!)+1,"")</f>
        <v/>
      </c>
      <c r="E260" s="73"/>
      <c r="F260" s="73"/>
      <c r="G260" s="122"/>
      <c r="H260" s="104"/>
      <c r="I260" s="73"/>
      <c r="J260" s="73"/>
      <c r="K260" s="202"/>
      <c r="L260" s="75" t="str">
        <f t="shared" si="23"/>
        <v/>
      </c>
      <c r="M260" s="75"/>
      <c r="N260" s="75" t="str">
        <f t="shared" si="24"/>
        <v/>
      </c>
      <c r="O260" s="204" t="str">
        <f t="shared" si="25"/>
        <v/>
      </c>
      <c r="P260" s="8"/>
      <c r="Q260" s="8"/>
      <c r="R260" s="8"/>
      <c r="S260" s="8"/>
    </row>
    <row r="261" spans="1:19" x14ac:dyDescent="0.25">
      <c r="A261" s="197">
        <f t="shared" ref="A261:A324" si="26">IF(AND(E261&lt;&gt;""),IF(A260&lt;&gt;"",A260,0)+1,A260)</f>
        <v>0</v>
      </c>
      <c r="B261" s="76" t="str">
        <f t="shared" si="22"/>
        <v/>
      </c>
      <c r="C261" s="77" t="str">
        <f>IF(G261&lt;&gt;"",IFERROR(ROUND(VLOOKUP(G261,ProductList!J:AO,31,FALSE),0),""),"")</f>
        <v/>
      </c>
      <c r="D261" s="73" t="str">
        <f>IF(E261&lt;&gt;"",IF(D260&lt;&gt;"",D260,#REF!)+1,"")</f>
        <v/>
      </c>
      <c r="E261" s="73"/>
      <c r="F261" s="73"/>
      <c r="G261" s="122"/>
      <c r="H261" s="104"/>
      <c r="I261" s="73"/>
      <c r="J261" s="73"/>
      <c r="K261" s="202"/>
      <c r="L261" s="75" t="str">
        <f t="shared" si="23"/>
        <v/>
      </c>
      <c r="M261" s="75"/>
      <c r="N261" s="75" t="str">
        <f t="shared" si="24"/>
        <v/>
      </c>
      <c r="O261" s="204" t="str">
        <f t="shared" si="25"/>
        <v/>
      </c>
      <c r="P261" s="8"/>
      <c r="Q261" s="8"/>
      <c r="R261" s="8"/>
      <c r="S261" s="8"/>
    </row>
    <row r="262" spans="1:19" x14ac:dyDescent="0.25">
      <c r="A262" s="197">
        <f t="shared" si="26"/>
        <v>0</v>
      </c>
      <c r="B262" s="76" t="str">
        <f t="shared" ref="B262:B325" si="27">IF(AND(L262&lt;&gt;"",F262&lt;&gt;""),ROUND((((L262-F262)*100)/F262),2),"")</f>
        <v/>
      </c>
      <c r="C262" s="77" t="str">
        <f>IF(G262&lt;&gt;"",IFERROR(ROUND(VLOOKUP(G262,ProductList!J:AO,31,FALSE),0),""),"")</f>
        <v/>
      </c>
      <c r="D262" s="73" t="str">
        <f>IF(E262&lt;&gt;"",IF(D261&lt;&gt;"",D261,#REF!)+1,"")</f>
        <v/>
      </c>
      <c r="E262" s="73"/>
      <c r="F262" s="73"/>
      <c r="G262" s="122"/>
      <c r="H262" s="104"/>
      <c r="I262" s="73"/>
      <c r="J262" s="73"/>
      <c r="K262" s="202"/>
      <c r="L262" s="75" t="str">
        <f t="shared" ref="L262:L325" si="28">IF(AND(J262&lt;&gt;"",K262&lt;&gt;""),K262*J262,"")</f>
        <v/>
      </c>
      <c r="M262" s="75"/>
      <c r="N262" s="75" t="str">
        <f t="shared" ref="N262:N325" si="29">IF(AND(M262&lt;&gt;"",J262&lt;&gt;""),M262*J262,"")</f>
        <v/>
      </c>
      <c r="O262" s="204" t="str">
        <f t="shared" si="25"/>
        <v/>
      </c>
      <c r="P262" s="8"/>
      <c r="Q262" s="8"/>
      <c r="R262" s="8"/>
      <c r="S262" s="8"/>
    </row>
    <row r="263" spans="1:19" x14ac:dyDescent="0.25">
      <c r="A263" s="197">
        <f t="shared" si="26"/>
        <v>0</v>
      </c>
      <c r="B263" s="76" t="str">
        <f t="shared" si="27"/>
        <v/>
      </c>
      <c r="C263" s="77" t="str">
        <f>IF(G263&lt;&gt;"",IFERROR(ROUND(VLOOKUP(G263,ProductList!J:AO,31,FALSE),0),""),"")</f>
        <v/>
      </c>
      <c r="D263" s="73" t="str">
        <f>IF(E263&lt;&gt;"",IF(D262&lt;&gt;"",D262,#REF!)+1,"")</f>
        <v/>
      </c>
      <c r="E263" s="73"/>
      <c r="F263" s="73"/>
      <c r="G263" s="122"/>
      <c r="H263" s="104"/>
      <c r="I263" s="73"/>
      <c r="J263" s="73"/>
      <c r="K263" s="202"/>
      <c r="L263" s="75" t="str">
        <f t="shared" si="28"/>
        <v/>
      </c>
      <c r="M263" s="75"/>
      <c r="N263" s="75" t="str">
        <f t="shared" si="29"/>
        <v/>
      </c>
      <c r="O263" s="204" t="str">
        <f t="shared" si="25"/>
        <v/>
      </c>
      <c r="P263" s="8"/>
      <c r="Q263" s="8"/>
      <c r="R263" s="8"/>
      <c r="S263" s="8"/>
    </row>
    <row r="264" spans="1:19" x14ac:dyDescent="0.25">
      <c r="A264" s="197">
        <f t="shared" si="26"/>
        <v>0</v>
      </c>
      <c r="B264" s="76" t="str">
        <f t="shared" si="27"/>
        <v/>
      </c>
      <c r="C264" s="77" t="str">
        <f>IF(G264&lt;&gt;"",IFERROR(ROUND(VLOOKUP(G264,ProductList!J:AO,31,FALSE),0),""),"")</f>
        <v/>
      </c>
      <c r="D264" s="73" t="str">
        <f>IF(E264&lt;&gt;"",IF(D263&lt;&gt;"",D263,#REF!)+1,"")</f>
        <v/>
      </c>
      <c r="E264" s="73"/>
      <c r="F264" s="73"/>
      <c r="G264" s="122"/>
      <c r="H264" s="104"/>
      <c r="I264" s="73"/>
      <c r="J264" s="73"/>
      <c r="K264" s="202"/>
      <c r="L264" s="75" t="str">
        <f t="shared" si="28"/>
        <v/>
      </c>
      <c r="M264" s="75"/>
      <c r="N264" s="75" t="str">
        <f t="shared" si="29"/>
        <v/>
      </c>
      <c r="O264" s="204" t="str">
        <f t="shared" si="25"/>
        <v/>
      </c>
      <c r="P264" s="8"/>
      <c r="Q264" s="8"/>
      <c r="R264" s="8"/>
      <c r="S264" s="8"/>
    </row>
    <row r="265" spans="1:19" x14ac:dyDescent="0.25">
      <c r="A265" s="197">
        <f t="shared" si="26"/>
        <v>0</v>
      </c>
      <c r="B265" s="76" t="str">
        <f t="shared" si="27"/>
        <v/>
      </c>
      <c r="C265" s="77" t="str">
        <f>IF(G265&lt;&gt;"",IFERROR(ROUND(VLOOKUP(G265,ProductList!J:AO,31,FALSE),0),""),"")</f>
        <v/>
      </c>
      <c r="D265" s="73" t="str">
        <f>IF(E265&lt;&gt;"",IF(D264&lt;&gt;"",D264,#REF!)+1,"")</f>
        <v/>
      </c>
      <c r="E265" s="73"/>
      <c r="F265" s="73"/>
      <c r="G265" s="122"/>
      <c r="H265" s="104"/>
      <c r="I265" s="73"/>
      <c r="J265" s="73"/>
      <c r="K265" s="202"/>
      <c r="L265" s="75" t="str">
        <f t="shared" si="28"/>
        <v/>
      </c>
      <c r="M265" s="75"/>
      <c r="N265" s="75" t="str">
        <f t="shared" si="29"/>
        <v/>
      </c>
      <c r="O265" s="204" t="str">
        <f t="shared" si="25"/>
        <v/>
      </c>
      <c r="P265" s="8"/>
      <c r="Q265" s="8"/>
      <c r="R265" s="8"/>
      <c r="S265" s="8"/>
    </row>
    <row r="266" spans="1:19" x14ac:dyDescent="0.25">
      <c r="A266" s="197">
        <f t="shared" si="26"/>
        <v>0</v>
      </c>
      <c r="B266" s="76" t="str">
        <f t="shared" si="27"/>
        <v/>
      </c>
      <c r="C266" s="77" t="str">
        <f>IF(G266&lt;&gt;"",IFERROR(ROUND(VLOOKUP(G266,ProductList!J:AO,31,FALSE),0),""),"")</f>
        <v/>
      </c>
      <c r="D266" s="73" t="str">
        <f>IF(E266&lt;&gt;"",IF(D265&lt;&gt;"",D265,#REF!)+1,"")</f>
        <v/>
      </c>
      <c r="E266" s="73"/>
      <c r="F266" s="73"/>
      <c r="G266" s="122"/>
      <c r="H266" s="104"/>
      <c r="I266" s="73"/>
      <c r="J266" s="73"/>
      <c r="K266" s="202"/>
      <c r="L266" s="75" t="str">
        <f t="shared" si="28"/>
        <v/>
      </c>
      <c r="M266" s="75"/>
      <c r="N266" s="75" t="str">
        <f t="shared" si="29"/>
        <v/>
      </c>
      <c r="O266" s="204" t="str">
        <f t="shared" si="25"/>
        <v/>
      </c>
      <c r="P266" s="8"/>
      <c r="Q266" s="8"/>
      <c r="R266" s="8"/>
      <c r="S266" s="8"/>
    </row>
    <row r="267" spans="1:19" x14ac:dyDescent="0.25">
      <c r="A267" s="197">
        <f t="shared" si="26"/>
        <v>0</v>
      </c>
      <c r="B267" s="76" t="str">
        <f t="shared" si="27"/>
        <v/>
      </c>
      <c r="C267" s="77" t="str">
        <f>IF(G267&lt;&gt;"",IFERROR(ROUND(VLOOKUP(G267,ProductList!J:AO,31,FALSE),0),""),"")</f>
        <v/>
      </c>
      <c r="D267" s="73" t="str">
        <f>IF(E267&lt;&gt;"",IF(D266&lt;&gt;"",D266,#REF!)+1,"")</f>
        <v/>
      </c>
      <c r="E267" s="73"/>
      <c r="F267" s="73"/>
      <c r="G267" s="122"/>
      <c r="H267" s="104"/>
      <c r="I267" s="73"/>
      <c r="J267" s="73"/>
      <c r="K267" s="202"/>
      <c r="L267" s="75" t="str">
        <f t="shared" si="28"/>
        <v/>
      </c>
      <c r="M267" s="75"/>
      <c r="N267" s="75" t="str">
        <f t="shared" si="29"/>
        <v/>
      </c>
      <c r="O267" s="204" t="str">
        <f t="shared" si="25"/>
        <v/>
      </c>
      <c r="P267" s="8"/>
      <c r="Q267" s="8"/>
      <c r="R267" s="8"/>
      <c r="S267" s="8"/>
    </row>
    <row r="268" spans="1:19" x14ac:dyDescent="0.25">
      <c r="A268" s="197">
        <f t="shared" si="26"/>
        <v>0</v>
      </c>
      <c r="B268" s="76" t="str">
        <f t="shared" si="27"/>
        <v/>
      </c>
      <c r="C268" s="77" t="str">
        <f>IF(G268&lt;&gt;"",IFERROR(ROUND(VLOOKUP(G268,ProductList!J:AO,31,FALSE),0),""),"")</f>
        <v/>
      </c>
      <c r="D268" s="73" t="str">
        <f>IF(E268&lt;&gt;"",IF(D267&lt;&gt;"",D267,#REF!)+1,"")</f>
        <v/>
      </c>
      <c r="E268" s="73"/>
      <c r="F268" s="73"/>
      <c r="G268" s="122"/>
      <c r="H268" s="104"/>
      <c r="I268" s="73"/>
      <c r="J268" s="73"/>
      <c r="K268" s="202"/>
      <c r="L268" s="75" t="str">
        <f t="shared" si="28"/>
        <v/>
      </c>
      <c r="M268" s="75"/>
      <c r="N268" s="75" t="str">
        <f t="shared" si="29"/>
        <v/>
      </c>
      <c r="O268" s="204" t="str">
        <f t="shared" si="25"/>
        <v/>
      </c>
      <c r="P268" s="8"/>
      <c r="Q268" s="8"/>
      <c r="R268" s="8"/>
      <c r="S268" s="8"/>
    </row>
    <row r="269" spans="1:19" x14ac:dyDescent="0.25">
      <c r="A269" s="197">
        <f t="shared" si="26"/>
        <v>0</v>
      </c>
      <c r="B269" s="76" t="str">
        <f t="shared" si="27"/>
        <v/>
      </c>
      <c r="C269" s="77" t="str">
        <f>IF(G269&lt;&gt;"",IFERROR(ROUND(VLOOKUP(G269,ProductList!J:AO,31,FALSE),0),""),"")</f>
        <v/>
      </c>
      <c r="D269" s="73" t="str">
        <f>IF(E269&lt;&gt;"",IF(D268&lt;&gt;"",D268,#REF!)+1,"")</f>
        <v/>
      </c>
      <c r="E269" s="73"/>
      <c r="F269" s="73"/>
      <c r="G269" s="122"/>
      <c r="H269" s="104"/>
      <c r="I269" s="73"/>
      <c r="J269" s="73"/>
      <c r="K269" s="202"/>
      <c r="L269" s="75" t="str">
        <f t="shared" si="28"/>
        <v/>
      </c>
      <c r="M269" s="75"/>
      <c r="N269" s="75" t="str">
        <f t="shared" si="29"/>
        <v/>
      </c>
      <c r="O269" s="204" t="str">
        <f t="shared" si="25"/>
        <v/>
      </c>
      <c r="P269" s="8"/>
      <c r="Q269" s="8"/>
      <c r="R269" s="8"/>
      <c r="S269" s="8"/>
    </row>
    <row r="270" spans="1:19" x14ac:dyDescent="0.25">
      <c r="A270" s="197">
        <f t="shared" si="26"/>
        <v>0</v>
      </c>
      <c r="B270" s="76" t="str">
        <f t="shared" si="27"/>
        <v/>
      </c>
      <c r="C270" s="77" t="str">
        <f>IF(G270&lt;&gt;"",IFERROR(ROUND(VLOOKUP(G270,ProductList!J:AO,31,FALSE),0),""),"")</f>
        <v/>
      </c>
      <c r="D270" s="73" t="str">
        <f>IF(E270&lt;&gt;"",IF(D269&lt;&gt;"",D269,#REF!)+1,"")</f>
        <v/>
      </c>
      <c r="E270" s="73"/>
      <c r="F270" s="73"/>
      <c r="G270" s="122"/>
      <c r="H270" s="104"/>
      <c r="I270" s="73"/>
      <c r="J270" s="73"/>
      <c r="K270" s="202"/>
      <c r="L270" s="75" t="str">
        <f t="shared" si="28"/>
        <v/>
      </c>
      <c r="M270" s="75"/>
      <c r="N270" s="75" t="str">
        <f t="shared" si="29"/>
        <v/>
      </c>
      <c r="O270" s="204" t="str">
        <f t="shared" ref="O270:O333" si="30">IF(AND(K270&lt;&gt;"",M270&lt;&gt;""),K270-M270,IF(K270&lt;&gt;"",K270,""))</f>
        <v/>
      </c>
      <c r="P270" s="8"/>
      <c r="Q270" s="8"/>
      <c r="R270" s="8"/>
      <c r="S270" s="8"/>
    </row>
    <row r="271" spans="1:19" x14ac:dyDescent="0.25">
      <c r="A271" s="197">
        <f t="shared" si="26"/>
        <v>0</v>
      </c>
      <c r="B271" s="76" t="str">
        <f t="shared" si="27"/>
        <v/>
      </c>
      <c r="C271" s="77" t="str">
        <f>IF(G271&lt;&gt;"",IFERROR(ROUND(VLOOKUP(G271,ProductList!J:AO,31,FALSE),0),""),"")</f>
        <v/>
      </c>
      <c r="D271" s="73" t="str">
        <f>IF(E271&lt;&gt;"",IF(D270&lt;&gt;"",D270,#REF!)+1,"")</f>
        <v/>
      </c>
      <c r="E271" s="73"/>
      <c r="F271" s="73"/>
      <c r="G271" s="122"/>
      <c r="H271" s="104"/>
      <c r="I271" s="73"/>
      <c r="J271" s="73"/>
      <c r="K271" s="202"/>
      <c r="L271" s="75" t="str">
        <f t="shared" si="28"/>
        <v/>
      </c>
      <c r="M271" s="75"/>
      <c r="N271" s="75" t="str">
        <f t="shared" si="29"/>
        <v/>
      </c>
      <c r="O271" s="204" t="str">
        <f t="shared" si="30"/>
        <v/>
      </c>
      <c r="P271" s="8"/>
      <c r="Q271" s="8"/>
      <c r="R271" s="8"/>
      <c r="S271" s="8"/>
    </row>
    <row r="272" spans="1:19" x14ac:dyDescent="0.25">
      <c r="A272" s="197">
        <f t="shared" si="26"/>
        <v>0</v>
      </c>
      <c r="B272" s="76" t="str">
        <f t="shared" si="27"/>
        <v/>
      </c>
      <c r="C272" s="77" t="str">
        <f>IF(G272&lt;&gt;"",IFERROR(ROUND(VLOOKUP(G272,ProductList!J:AO,31,FALSE),0),""),"")</f>
        <v/>
      </c>
      <c r="D272" s="73" t="str">
        <f>IF(E272&lt;&gt;"",IF(D271&lt;&gt;"",D271,#REF!)+1,"")</f>
        <v/>
      </c>
      <c r="E272" s="73"/>
      <c r="F272" s="73"/>
      <c r="G272" s="122"/>
      <c r="H272" s="104"/>
      <c r="I272" s="73"/>
      <c r="J272" s="73"/>
      <c r="K272" s="202"/>
      <c r="L272" s="75" t="str">
        <f t="shared" si="28"/>
        <v/>
      </c>
      <c r="M272" s="75"/>
      <c r="N272" s="75" t="str">
        <f t="shared" si="29"/>
        <v/>
      </c>
      <c r="O272" s="204" t="str">
        <f t="shared" si="30"/>
        <v/>
      </c>
      <c r="P272" s="8"/>
      <c r="Q272" s="8"/>
      <c r="R272" s="8"/>
      <c r="S272" s="8"/>
    </row>
    <row r="273" spans="1:19" x14ac:dyDescent="0.25">
      <c r="A273" s="197">
        <f t="shared" si="26"/>
        <v>0</v>
      </c>
      <c r="B273" s="76" t="str">
        <f t="shared" si="27"/>
        <v/>
      </c>
      <c r="C273" s="77" t="str">
        <f>IF(G273&lt;&gt;"",IFERROR(ROUND(VLOOKUP(G273,ProductList!J:AO,31,FALSE),0),""),"")</f>
        <v/>
      </c>
      <c r="D273" s="73" t="str">
        <f>IF(E273&lt;&gt;"",IF(D272&lt;&gt;"",D272,#REF!)+1,"")</f>
        <v/>
      </c>
      <c r="E273" s="73"/>
      <c r="F273" s="73"/>
      <c r="G273" s="122"/>
      <c r="H273" s="104"/>
      <c r="I273" s="73"/>
      <c r="J273" s="73"/>
      <c r="K273" s="202"/>
      <c r="L273" s="75" t="str">
        <f t="shared" si="28"/>
        <v/>
      </c>
      <c r="M273" s="75"/>
      <c r="N273" s="75" t="str">
        <f t="shared" si="29"/>
        <v/>
      </c>
      <c r="O273" s="204" t="str">
        <f t="shared" si="30"/>
        <v/>
      </c>
      <c r="P273" s="8"/>
      <c r="Q273" s="8"/>
      <c r="R273" s="8"/>
      <c r="S273" s="8"/>
    </row>
    <row r="274" spans="1:19" x14ac:dyDescent="0.25">
      <c r="A274" s="197">
        <f t="shared" si="26"/>
        <v>0</v>
      </c>
      <c r="B274" s="76" t="str">
        <f t="shared" si="27"/>
        <v/>
      </c>
      <c r="C274" s="77" t="str">
        <f>IF(G274&lt;&gt;"",IFERROR(ROUND(VLOOKUP(G274,ProductList!J:AO,31,FALSE),0),""),"")</f>
        <v/>
      </c>
      <c r="D274" s="73" t="str">
        <f>IF(E274&lt;&gt;"",IF(D273&lt;&gt;"",D273,#REF!)+1,"")</f>
        <v/>
      </c>
      <c r="E274" s="73"/>
      <c r="F274" s="73"/>
      <c r="G274" s="122"/>
      <c r="H274" s="104"/>
      <c r="I274" s="73"/>
      <c r="J274" s="73"/>
      <c r="K274" s="202"/>
      <c r="L274" s="75" t="str">
        <f t="shared" si="28"/>
        <v/>
      </c>
      <c r="M274" s="75"/>
      <c r="N274" s="75" t="str">
        <f t="shared" si="29"/>
        <v/>
      </c>
      <c r="O274" s="204" t="str">
        <f t="shared" si="30"/>
        <v/>
      </c>
      <c r="P274" s="8"/>
      <c r="Q274" s="8"/>
      <c r="R274" s="8"/>
      <c r="S274" s="8"/>
    </row>
    <row r="275" spans="1:19" x14ac:dyDescent="0.25">
      <c r="A275" s="197">
        <f t="shared" si="26"/>
        <v>0</v>
      </c>
      <c r="B275" s="76" t="str">
        <f t="shared" si="27"/>
        <v/>
      </c>
      <c r="C275" s="77" t="str">
        <f>IF(G275&lt;&gt;"",IFERROR(ROUND(VLOOKUP(G275,ProductList!J:AO,31,FALSE),0),""),"")</f>
        <v/>
      </c>
      <c r="D275" s="73" t="str">
        <f>IF(E275&lt;&gt;"",IF(D274&lt;&gt;"",D274,#REF!)+1,"")</f>
        <v/>
      </c>
      <c r="E275" s="73"/>
      <c r="F275" s="73"/>
      <c r="G275" s="122"/>
      <c r="H275" s="104"/>
      <c r="I275" s="73"/>
      <c r="J275" s="73"/>
      <c r="K275" s="202"/>
      <c r="L275" s="75" t="str">
        <f t="shared" si="28"/>
        <v/>
      </c>
      <c r="M275" s="75"/>
      <c r="N275" s="75" t="str">
        <f t="shared" si="29"/>
        <v/>
      </c>
      <c r="O275" s="204" t="str">
        <f t="shared" si="30"/>
        <v/>
      </c>
      <c r="P275" s="8"/>
      <c r="Q275" s="8"/>
      <c r="R275" s="8"/>
      <c r="S275" s="8"/>
    </row>
    <row r="276" spans="1:19" x14ac:dyDescent="0.25">
      <c r="A276" s="197">
        <f t="shared" si="26"/>
        <v>0</v>
      </c>
      <c r="B276" s="76" t="str">
        <f t="shared" si="27"/>
        <v/>
      </c>
      <c r="C276" s="77" t="str">
        <f>IF(G276&lt;&gt;"",IFERROR(ROUND(VLOOKUP(G276,ProductList!J:AO,31,FALSE),0),""),"")</f>
        <v/>
      </c>
      <c r="D276" s="73" t="str">
        <f>IF(E276&lt;&gt;"",IF(D275&lt;&gt;"",D275,#REF!)+1,"")</f>
        <v/>
      </c>
      <c r="E276" s="73"/>
      <c r="F276" s="73"/>
      <c r="G276" s="122"/>
      <c r="H276" s="104"/>
      <c r="I276" s="73"/>
      <c r="J276" s="73"/>
      <c r="K276" s="202"/>
      <c r="L276" s="75" t="str">
        <f t="shared" si="28"/>
        <v/>
      </c>
      <c r="M276" s="75"/>
      <c r="N276" s="75" t="str">
        <f t="shared" si="29"/>
        <v/>
      </c>
      <c r="O276" s="204" t="str">
        <f t="shared" si="30"/>
        <v/>
      </c>
      <c r="P276" s="8"/>
      <c r="Q276" s="8"/>
      <c r="R276" s="8"/>
      <c r="S276" s="8"/>
    </row>
    <row r="277" spans="1:19" x14ac:dyDescent="0.25">
      <c r="A277" s="197">
        <f t="shared" si="26"/>
        <v>0</v>
      </c>
      <c r="B277" s="76" t="str">
        <f t="shared" si="27"/>
        <v/>
      </c>
      <c r="C277" s="77" t="str">
        <f>IF(G277&lt;&gt;"",IFERROR(ROUND(VLOOKUP(G277,ProductList!J:AO,31,FALSE),0),""),"")</f>
        <v/>
      </c>
      <c r="D277" s="73" t="str">
        <f>IF(E277&lt;&gt;"",IF(D276&lt;&gt;"",D276,#REF!)+1,"")</f>
        <v/>
      </c>
      <c r="E277" s="73"/>
      <c r="F277" s="73"/>
      <c r="G277" s="122"/>
      <c r="H277" s="104"/>
      <c r="I277" s="73"/>
      <c r="J277" s="73"/>
      <c r="K277" s="202"/>
      <c r="L277" s="75" t="str">
        <f t="shared" si="28"/>
        <v/>
      </c>
      <c r="M277" s="75"/>
      <c r="N277" s="75" t="str">
        <f t="shared" si="29"/>
        <v/>
      </c>
      <c r="O277" s="204" t="str">
        <f t="shared" si="30"/>
        <v/>
      </c>
      <c r="P277" s="8"/>
      <c r="Q277" s="8"/>
      <c r="R277" s="8"/>
      <c r="S277" s="8"/>
    </row>
    <row r="278" spans="1:19" x14ac:dyDescent="0.25">
      <c r="A278" s="197">
        <f t="shared" si="26"/>
        <v>0</v>
      </c>
      <c r="B278" s="76" t="str">
        <f t="shared" si="27"/>
        <v/>
      </c>
      <c r="C278" s="77" t="str">
        <f>IF(G278&lt;&gt;"",IFERROR(ROUND(VLOOKUP(G278,ProductList!J:AO,31,FALSE),0),""),"")</f>
        <v/>
      </c>
      <c r="D278" s="73" t="str">
        <f>IF(E278&lt;&gt;"",IF(D277&lt;&gt;"",D277,#REF!)+1,"")</f>
        <v/>
      </c>
      <c r="E278" s="73"/>
      <c r="F278" s="73"/>
      <c r="G278" s="122"/>
      <c r="H278" s="104"/>
      <c r="I278" s="73"/>
      <c r="J278" s="73"/>
      <c r="K278" s="202"/>
      <c r="L278" s="75" t="str">
        <f t="shared" si="28"/>
        <v/>
      </c>
      <c r="M278" s="75"/>
      <c r="N278" s="75" t="str">
        <f t="shared" si="29"/>
        <v/>
      </c>
      <c r="O278" s="204" t="str">
        <f t="shared" si="30"/>
        <v/>
      </c>
      <c r="P278" s="8"/>
      <c r="Q278" s="8"/>
      <c r="R278" s="8"/>
      <c r="S278" s="8"/>
    </row>
    <row r="279" spans="1:19" x14ac:dyDescent="0.25">
      <c r="A279" s="197">
        <f t="shared" si="26"/>
        <v>0</v>
      </c>
      <c r="B279" s="76" t="str">
        <f t="shared" si="27"/>
        <v/>
      </c>
      <c r="C279" s="77" t="str">
        <f>IF(G279&lt;&gt;"",IFERROR(ROUND(VLOOKUP(G279,ProductList!J:AO,31,FALSE),0),""),"")</f>
        <v/>
      </c>
      <c r="D279" s="73" t="str">
        <f>IF(E279&lt;&gt;"",IF(D278&lt;&gt;"",D278,#REF!)+1,"")</f>
        <v/>
      </c>
      <c r="E279" s="73"/>
      <c r="F279" s="73"/>
      <c r="G279" s="122"/>
      <c r="H279" s="104"/>
      <c r="I279" s="73"/>
      <c r="J279" s="73"/>
      <c r="K279" s="202"/>
      <c r="L279" s="75" t="str">
        <f t="shared" si="28"/>
        <v/>
      </c>
      <c r="M279" s="75"/>
      <c r="N279" s="75" t="str">
        <f t="shared" si="29"/>
        <v/>
      </c>
      <c r="O279" s="204" t="str">
        <f t="shared" si="30"/>
        <v/>
      </c>
      <c r="P279" s="8"/>
      <c r="Q279" s="8"/>
      <c r="R279" s="8"/>
      <c r="S279" s="8"/>
    </row>
    <row r="280" spans="1:19" x14ac:dyDescent="0.25">
      <c r="A280" s="197">
        <f t="shared" si="26"/>
        <v>0</v>
      </c>
      <c r="B280" s="76" t="str">
        <f t="shared" si="27"/>
        <v/>
      </c>
      <c r="C280" s="77" t="str">
        <f>IF(G280&lt;&gt;"",IFERROR(ROUND(VLOOKUP(G280,ProductList!J:AO,31,FALSE),0),""),"")</f>
        <v/>
      </c>
      <c r="D280" s="73" t="str">
        <f>IF(E280&lt;&gt;"",IF(D279&lt;&gt;"",D279,#REF!)+1,"")</f>
        <v/>
      </c>
      <c r="E280" s="73"/>
      <c r="F280" s="73"/>
      <c r="G280" s="122"/>
      <c r="H280" s="104"/>
      <c r="I280" s="73"/>
      <c r="J280" s="73"/>
      <c r="K280" s="202"/>
      <c r="L280" s="75" t="str">
        <f t="shared" si="28"/>
        <v/>
      </c>
      <c r="M280" s="75"/>
      <c r="N280" s="75" t="str">
        <f t="shared" si="29"/>
        <v/>
      </c>
      <c r="O280" s="204" t="str">
        <f t="shared" si="30"/>
        <v/>
      </c>
      <c r="P280" s="8"/>
      <c r="Q280" s="8"/>
      <c r="R280" s="8"/>
      <c r="S280" s="8"/>
    </row>
    <row r="281" spans="1:19" x14ac:dyDescent="0.25">
      <c r="A281" s="197">
        <f t="shared" si="26"/>
        <v>0</v>
      </c>
      <c r="B281" s="76" t="str">
        <f t="shared" si="27"/>
        <v/>
      </c>
      <c r="C281" s="77" t="str">
        <f>IF(G281&lt;&gt;"",IFERROR(ROUND(VLOOKUP(G281,ProductList!J:AO,31,FALSE),0),""),"")</f>
        <v/>
      </c>
      <c r="D281" s="73" t="str">
        <f>IF(E281&lt;&gt;"",IF(D280&lt;&gt;"",D280,#REF!)+1,"")</f>
        <v/>
      </c>
      <c r="E281" s="73"/>
      <c r="F281" s="73"/>
      <c r="G281" s="122"/>
      <c r="H281" s="104"/>
      <c r="I281" s="73"/>
      <c r="J281" s="73"/>
      <c r="K281" s="202"/>
      <c r="L281" s="75" t="str">
        <f t="shared" si="28"/>
        <v/>
      </c>
      <c r="M281" s="75"/>
      <c r="N281" s="75" t="str">
        <f t="shared" si="29"/>
        <v/>
      </c>
      <c r="O281" s="204" t="str">
        <f t="shared" si="30"/>
        <v/>
      </c>
      <c r="P281" s="8"/>
      <c r="Q281" s="8"/>
      <c r="R281" s="8"/>
      <c r="S281" s="8"/>
    </row>
    <row r="282" spans="1:19" x14ac:dyDescent="0.25">
      <c r="A282" s="197">
        <f t="shared" si="26"/>
        <v>0</v>
      </c>
      <c r="B282" s="76" t="str">
        <f t="shared" si="27"/>
        <v/>
      </c>
      <c r="C282" s="77" t="str">
        <f>IF(G282&lt;&gt;"",IFERROR(ROUND(VLOOKUP(G282,ProductList!J:AO,31,FALSE),0),""),"")</f>
        <v/>
      </c>
      <c r="D282" s="73" t="str">
        <f>IF(E282&lt;&gt;"",IF(D281&lt;&gt;"",D281,#REF!)+1,"")</f>
        <v/>
      </c>
      <c r="E282" s="73"/>
      <c r="F282" s="73"/>
      <c r="G282" s="122"/>
      <c r="H282" s="104"/>
      <c r="I282" s="73"/>
      <c r="J282" s="73"/>
      <c r="K282" s="202"/>
      <c r="L282" s="75" t="str">
        <f t="shared" si="28"/>
        <v/>
      </c>
      <c r="M282" s="75"/>
      <c r="N282" s="75" t="str">
        <f t="shared" si="29"/>
        <v/>
      </c>
      <c r="O282" s="204" t="str">
        <f t="shared" si="30"/>
        <v/>
      </c>
      <c r="P282" s="8"/>
      <c r="Q282" s="8"/>
      <c r="R282" s="8"/>
      <c r="S282" s="8"/>
    </row>
    <row r="283" spans="1:19" x14ac:dyDescent="0.25">
      <c r="A283" s="197">
        <f t="shared" si="26"/>
        <v>0</v>
      </c>
      <c r="B283" s="76" t="str">
        <f t="shared" si="27"/>
        <v/>
      </c>
      <c r="C283" s="77" t="str">
        <f>IF(G283&lt;&gt;"",IFERROR(ROUND(VLOOKUP(G283,ProductList!J:AO,31,FALSE),0),""),"")</f>
        <v/>
      </c>
      <c r="D283" s="73" t="str">
        <f>IF(E283&lt;&gt;"",IF(D282&lt;&gt;"",D282,#REF!)+1,"")</f>
        <v/>
      </c>
      <c r="E283" s="73"/>
      <c r="F283" s="73"/>
      <c r="G283" s="122"/>
      <c r="H283" s="104"/>
      <c r="I283" s="73"/>
      <c r="J283" s="73"/>
      <c r="K283" s="202"/>
      <c r="L283" s="75" t="str">
        <f t="shared" si="28"/>
        <v/>
      </c>
      <c r="M283" s="75"/>
      <c r="N283" s="75" t="str">
        <f t="shared" si="29"/>
        <v/>
      </c>
      <c r="O283" s="204" t="str">
        <f t="shared" si="30"/>
        <v/>
      </c>
      <c r="P283" s="8"/>
      <c r="Q283" s="8"/>
      <c r="R283" s="8"/>
      <c r="S283" s="8"/>
    </row>
    <row r="284" spans="1:19" x14ac:dyDescent="0.25">
      <c r="A284" s="197">
        <f t="shared" si="26"/>
        <v>0</v>
      </c>
      <c r="B284" s="76" t="str">
        <f t="shared" si="27"/>
        <v/>
      </c>
      <c r="C284" s="77" t="str">
        <f>IF(G284&lt;&gt;"",IFERROR(ROUND(VLOOKUP(G284,ProductList!J:AO,31,FALSE),0),""),"")</f>
        <v/>
      </c>
      <c r="D284" s="73" t="str">
        <f>IF(E284&lt;&gt;"",IF(D283&lt;&gt;"",D283,#REF!)+1,"")</f>
        <v/>
      </c>
      <c r="E284" s="73"/>
      <c r="F284" s="73"/>
      <c r="G284" s="122"/>
      <c r="H284" s="104"/>
      <c r="I284" s="73"/>
      <c r="J284" s="73"/>
      <c r="K284" s="202"/>
      <c r="L284" s="75" t="str">
        <f t="shared" si="28"/>
        <v/>
      </c>
      <c r="M284" s="75"/>
      <c r="N284" s="75" t="str">
        <f t="shared" si="29"/>
        <v/>
      </c>
      <c r="O284" s="204" t="str">
        <f t="shared" si="30"/>
        <v/>
      </c>
      <c r="P284" s="8"/>
      <c r="Q284" s="8"/>
      <c r="R284" s="8"/>
      <c r="S284" s="8"/>
    </row>
    <row r="285" spans="1:19" x14ac:dyDescent="0.25">
      <c r="A285" s="197">
        <f t="shared" si="26"/>
        <v>0</v>
      </c>
      <c r="B285" s="76" t="str">
        <f t="shared" si="27"/>
        <v/>
      </c>
      <c r="C285" s="77" t="str">
        <f>IF(G285&lt;&gt;"",IFERROR(ROUND(VLOOKUP(G285,ProductList!J:AO,31,FALSE),0),""),"")</f>
        <v/>
      </c>
      <c r="D285" s="73" t="str">
        <f>IF(E285&lt;&gt;"",IF(D284&lt;&gt;"",D284,#REF!)+1,"")</f>
        <v/>
      </c>
      <c r="E285" s="73"/>
      <c r="F285" s="73"/>
      <c r="G285" s="122"/>
      <c r="H285" s="104"/>
      <c r="I285" s="73"/>
      <c r="J285" s="73"/>
      <c r="K285" s="202"/>
      <c r="L285" s="75" t="str">
        <f t="shared" si="28"/>
        <v/>
      </c>
      <c r="M285" s="75"/>
      <c r="N285" s="75" t="str">
        <f t="shared" si="29"/>
        <v/>
      </c>
      <c r="O285" s="204" t="str">
        <f t="shared" si="30"/>
        <v/>
      </c>
      <c r="P285" s="8"/>
      <c r="Q285" s="8"/>
      <c r="R285" s="8"/>
      <c r="S285" s="8"/>
    </row>
    <row r="286" spans="1:19" x14ac:dyDescent="0.25">
      <c r="A286" s="197">
        <f t="shared" si="26"/>
        <v>0</v>
      </c>
      <c r="B286" s="76" t="str">
        <f t="shared" si="27"/>
        <v/>
      </c>
      <c r="C286" s="77" t="str">
        <f>IF(G286&lt;&gt;"",IFERROR(ROUND(VLOOKUP(G286,ProductList!J:AO,31,FALSE),0),""),"")</f>
        <v/>
      </c>
      <c r="D286" s="73" t="str">
        <f>IF(E286&lt;&gt;"",IF(D285&lt;&gt;"",D285,#REF!)+1,"")</f>
        <v/>
      </c>
      <c r="E286" s="73"/>
      <c r="F286" s="73"/>
      <c r="G286" s="122"/>
      <c r="H286" s="104"/>
      <c r="I286" s="73"/>
      <c r="J286" s="73"/>
      <c r="K286" s="202"/>
      <c r="L286" s="75" t="str">
        <f t="shared" si="28"/>
        <v/>
      </c>
      <c r="M286" s="75"/>
      <c r="N286" s="75" t="str">
        <f t="shared" si="29"/>
        <v/>
      </c>
      <c r="O286" s="204" t="str">
        <f t="shared" si="30"/>
        <v/>
      </c>
      <c r="P286" s="8"/>
      <c r="Q286" s="8"/>
      <c r="R286" s="8"/>
      <c r="S286" s="8"/>
    </row>
    <row r="287" spans="1:19" x14ac:dyDescent="0.25">
      <c r="A287" s="197">
        <f t="shared" si="26"/>
        <v>0</v>
      </c>
      <c r="B287" s="76" t="str">
        <f t="shared" si="27"/>
        <v/>
      </c>
      <c r="C287" s="77" t="str">
        <f>IF(G287&lt;&gt;"",IFERROR(ROUND(VLOOKUP(G287,ProductList!J:AO,31,FALSE),0),""),"")</f>
        <v/>
      </c>
      <c r="D287" s="73" t="str">
        <f>IF(E287&lt;&gt;"",IF(D286&lt;&gt;"",D286,#REF!)+1,"")</f>
        <v/>
      </c>
      <c r="E287" s="73"/>
      <c r="F287" s="73"/>
      <c r="G287" s="122"/>
      <c r="H287" s="104"/>
      <c r="I287" s="73"/>
      <c r="J287" s="73"/>
      <c r="K287" s="202"/>
      <c r="L287" s="75" t="str">
        <f t="shared" si="28"/>
        <v/>
      </c>
      <c r="M287" s="75"/>
      <c r="N287" s="75" t="str">
        <f t="shared" si="29"/>
        <v/>
      </c>
      <c r="O287" s="204" t="str">
        <f t="shared" si="30"/>
        <v/>
      </c>
      <c r="P287" s="8"/>
      <c r="Q287" s="8"/>
      <c r="R287" s="8"/>
      <c r="S287" s="8"/>
    </row>
    <row r="288" spans="1:19" x14ac:dyDescent="0.25">
      <c r="A288" s="197">
        <f t="shared" si="26"/>
        <v>0</v>
      </c>
      <c r="B288" s="76" t="str">
        <f t="shared" si="27"/>
        <v/>
      </c>
      <c r="C288" s="77" t="str">
        <f>IF(G288&lt;&gt;"",IFERROR(ROUND(VLOOKUP(G288,ProductList!J:AO,31,FALSE),0),""),"")</f>
        <v/>
      </c>
      <c r="D288" s="73" t="str">
        <f>IF(E288&lt;&gt;"",IF(D287&lt;&gt;"",D287,#REF!)+1,"")</f>
        <v/>
      </c>
      <c r="E288" s="73"/>
      <c r="F288" s="73"/>
      <c r="G288" s="122"/>
      <c r="H288" s="104"/>
      <c r="I288" s="73"/>
      <c r="J288" s="73"/>
      <c r="K288" s="202"/>
      <c r="L288" s="75" t="str">
        <f t="shared" si="28"/>
        <v/>
      </c>
      <c r="M288" s="75"/>
      <c r="N288" s="75" t="str">
        <f t="shared" si="29"/>
        <v/>
      </c>
      <c r="O288" s="204" t="str">
        <f t="shared" si="30"/>
        <v/>
      </c>
      <c r="P288" s="8"/>
      <c r="Q288" s="8"/>
      <c r="R288" s="8"/>
      <c r="S288" s="8"/>
    </row>
    <row r="289" spans="1:19" x14ac:dyDescent="0.25">
      <c r="A289" s="197">
        <f t="shared" si="26"/>
        <v>0</v>
      </c>
      <c r="B289" s="76" t="str">
        <f t="shared" si="27"/>
        <v/>
      </c>
      <c r="C289" s="77" t="str">
        <f>IF(G289&lt;&gt;"",IFERROR(ROUND(VLOOKUP(G289,ProductList!J:AO,31,FALSE),0),""),"")</f>
        <v/>
      </c>
      <c r="D289" s="73" t="str">
        <f>IF(E289&lt;&gt;"",IF(D288&lt;&gt;"",D288,#REF!)+1,"")</f>
        <v/>
      </c>
      <c r="E289" s="73"/>
      <c r="F289" s="73"/>
      <c r="G289" s="122"/>
      <c r="H289" s="104"/>
      <c r="I289" s="73"/>
      <c r="J289" s="73"/>
      <c r="K289" s="202"/>
      <c r="L289" s="75" t="str">
        <f t="shared" si="28"/>
        <v/>
      </c>
      <c r="M289" s="75"/>
      <c r="N289" s="75" t="str">
        <f t="shared" si="29"/>
        <v/>
      </c>
      <c r="O289" s="204" t="str">
        <f t="shared" si="30"/>
        <v/>
      </c>
      <c r="P289" s="8"/>
      <c r="Q289" s="8"/>
      <c r="R289" s="8"/>
      <c r="S289" s="8"/>
    </row>
    <row r="290" spans="1:19" x14ac:dyDescent="0.25">
      <c r="A290" s="197">
        <f t="shared" si="26"/>
        <v>0</v>
      </c>
      <c r="B290" s="76" t="str">
        <f t="shared" si="27"/>
        <v/>
      </c>
      <c r="C290" s="77" t="str">
        <f>IF(G290&lt;&gt;"",IFERROR(ROUND(VLOOKUP(G290,ProductList!J:AO,31,FALSE),0),""),"")</f>
        <v/>
      </c>
      <c r="D290" s="73" t="str">
        <f>IF(E290&lt;&gt;"",IF(D289&lt;&gt;"",D289,#REF!)+1,"")</f>
        <v/>
      </c>
      <c r="E290" s="73"/>
      <c r="F290" s="73"/>
      <c r="G290" s="122"/>
      <c r="H290" s="104"/>
      <c r="I290" s="73"/>
      <c r="J290" s="73"/>
      <c r="K290" s="202"/>
      <c r="L290" s="75" t="str">
        <f t="shared" si="28"/>
        <v/>
      </c>
      <c r="M290" s="75"/>
      <c r="N290" s="75" t="str">
        <f t="shared" si="29"/>
        <v/>
      </c>
      <c r="O290" s="204" t="str">
        <f t="shared" si="30"/>
        <v/>
      </c>
      <c r="P290" s="8"/>
      <c r="Q290" s="8"/>
      <c r="R290" s="8"/>
      <c r="S290" s="8"/>
    </row>
    <row r="291" spans="1:19" x14ac:dyDescent="0.25">
      <c r="A291" s="197">
        <f t="shared" si="26"/>
        <v>0</v>
      </c>
      <c r="B291" s="76" t="str">
        <f t="shared" si="27"/>
        <v/>
      </c>
      <c r="C291" s="77" t="str">
        <f>IF(G291&lt;&gt;"",IFERROR(ROUND(VLOOKUP(G291,ProductList!J:AO,31,FALSE),0),""),"")</f>
        <v/>
      </c>
      <c r="D291" s="73" t="str">
        <f>IF(E291&lt;&gt;"",IF(D290&lt;&gt;"",D290,#REF!)+1,"")</f>
        <v/>
      </c>
      <c r="E291" s="73"/>
      <c r="F291" s="73"/>
      <c r="G291" s="122"/>
      <c r="H291" s="104"/>
      <c r="I291" s="73"/>
      <c r="J291" s="73"/>
      <c r="K291" s="202"/>
      <c r="L291" s="75" t="str">
        <f t="shared" si="28"/>
        <v/>
      </c>
      <c r="M291" s="75"/>
      <c r="N291" s="75" t="str">
        <f t="shared" si="29"/>
        <v/>
      </c>
      <c r="O291" s="204" t="str">
        <f t="shared" si="30"/>
        <v/>
      </c>
      <c r="P291" s="8"/>
      <c r="Q291" s="8"/>
      <c r="R291" s="8"/>
      <c r="S291" s="8"/>
    </row>
    <row r="292" spans="1:19" x14ac:dyDescent="0.25">
      <c r="A292" s="197">
        <f t="shared" si="26"/>
        <v>0</v>
      </c>
      <c r="B292" s="76" t="str">
        <f t="shared" si="27"/>
        <v/>
      </c>
      <c r="C292" s="77" t="str">
        <f>IF(G292&lt;&gt;"",IFERROR(ROUND(VLOOKUP(G292,ProductList!J:AO,31,FALSE),0),""),"")</f>
        <v/>
      </c>
      <c r="D292" s="73" t="str">
        <f>IF(E292&lt;&gt;"",IF(D291&lt;&gt;"",D291,#REF!)+1,"")</f>
        <v/>
      </c>
      <c r="E292" s="73"/>
      <c r="F292" s="73"/>
      <c r="G292" s="122"/>
      <c r="H292" s="104"/>
      <c r="I292" s="73"/>
      <c r="J292" s="73"/>
      <c r="K292" s="202"/>
      <c r="L292" s="75" t="str">
        <f t="shared" si="28"/>
        <v/>
      </c>
      <c r="M292" s="75"/>
      <c r="N292" s="75" t="str">
        <f t="shared" si="29"/>
        <v/>
      </c>
      <c r="O292" s="204" t="str">
        <f t="shared" si="30"/>
        <v/>
      </c>
      <c r="P292" s="8"/>
      <c r="Q292" s="8"/>
      <c r="R292" s="8"/>
      <c r="S292" s="8"/>
    </row>
    <row r="293" spans="1:19" x14ac:dyDescent="0.25">
      <c r="A293" s="197">
        <f t="shared" si="26"/>
        <v>0</v>
      </c>
      <c r="B293" s="76" t="str">
        <f t="shared" si="27"/>
        <v/>
      </c>
      <c r="C293" s="77" t="str">
        <f>IF(G293&lt;&gt;"",IFERROR(ROUND(VLOOKUP(G293,ProductList!J:AO,31,FALSE),0),""),"")</f>
        <v/>
      </c>
      <c r="D293" s="73" t="str">
        <f>IF(E293&lt;&gt;"",IF(D292&lt;&gt;"",D292,#REF!)+1,"")</f>
        <v/>
      </c>
      <c r="E293" s="73"/>
      <c r="F293" s="73"/>
      <c r="G293" s="122"/>
      <c r="H293" s="104"/>
      <c r="I293" s="73"/>
      <c r="J293" s="73"/>
      <c r="K293" s="202"/>
      <c r="L293" s="75" t="str">
        <f t="shared" si="28"/>
        <v/>
      </c>
      <c r="M293" s="75"/>
      <c r="N293" s="75" t="str">
        <f t="shared" si="29"/>
        <v/>
      </c>
      <c r="O293" s="204" t="str">
        <f t="shared" si="30"/>
        <v/>
      </c>
      <c r="P293" s="8"/>
      <c r="Q293" s="8"/>
      <c r="R293" s="8"/>
      <c r="S293" s="8"/>
    </row>
    <row r="294" spans="1:19" x14ac:dyDescent="0.25">
      <c r="A294" s="197">
        <f t="shared" si="26"/>
        <v>0</v>
      </c>
      <c r="B294" s="76" t="str">
        <f t="shared" si="27"/>
        <v/>
      </c>
      <c r="C294" s="77" t="str">
        <f>IF(G294&lt;&gt;"",IFERROR(ROUND(VLOOKUP(G294,ProductList!J:AO,31,FALSE),0),""),"")</f>
        <v/>
      </c>
      <c r="D294" s="73" t="str">
        <f>IF(E294&lt;&gt;"",IF(D293&lt;&gt;"",D293,#REF!)+1,"")</f>
        <v/>
      </c>
      <c r="E294" s="73"/>
      <c r="F294" s="73"/>
      <c r="G294" s="122"/>
      <c r="H294" s="104"/>
      <c r="I294" s="73"/>
      <c r="J294" s="73"/>
      <c r="K294" s="202"/>
      <c r="L294" s="75" t="str">
        <f t="shared" si="28"/>
        <v/>
      </c>
      <c r="M294" s="75"/>
      <c r="N294" s="75" t="str">
        <f t="shared" si="29"/>
        <v/>
      </c>
      <c r="O294" s="204" t="str">
        <f t="shared" si="30"/>
        <v/>
      </c>
      <c r="P294" s="8"/>
      <c r="Q294" s="8"/>
      <c r="R294" s="8"/>
      <c r="S294" s="8"/>
    </row>
    <row r="295" spans="1:19" x14ac:dyDescent="0.25">
      <c r="A295" s="197">
        <f t="shared" si="26"/>
        <v>0</v>
      </c>
      <c r="B295" s="76" t="str">
        <f t="shared" si="27"/>
        <v/>
      </c>
      <c r="C295" s="77" t="str">
        <f>IF(G295&lt;&gt;"",IFERROR(ROUND(VLOOKUP(G295,ProductList!J:AO,31,FALSE),0),""),"")</f>
        <v/>
      </c>
      <c r="D295" s="73" t="str">
        <f>IF(E295&lt;&gt;"",IF(D294&lt;&gt;"",D294,#REF!)+1,"")</f>
        <v/>
      </c>
      <c r="E295" s="73"/>
      <c r="F295" s="73"/>
      <c r="G295" s="122"/>
      <c r="H295" s="104"/>
      <c r="I295" s="73"/>
      <c r="J295" s="73"/>
      <c r="K295" s="202"/>
      <c r="L295" s="75" t="str">
        <f t="shared" si="28"/>
        <v/>
      </c>
      <c r="M295" s="75"/>
      <c r="N295" s="75" t="str">
        <f t="shared" si="29"/>
        <v/>
      </c>
      <c r="O295" s="204" t="str">
        <f t="shared" si="30"/>
        <v/>
      </c>
      <c r="P295" s="8"/>
      <c r="Q295" s="8"/>
      <c r="R295" s="8"/>
      <c r="S295" s="8"/>
    </row>
    <row r="296" spans="1:19" x14ac:dyDescent="0.25">
      <c r="A296" s="197">
        <f t="shared" si="26"/>
        <v>0</v>
      </c>
      <c r="B296" s="76" t="str">
        <f t="shared" si="27"/>
        <v/>
      </c>
      <c r="C296" s="77" t="str">
        <f>IF(G296&lt;&gt;"",IFERROR(ROUND(VLOOKUP(G296,ProductList!J:AO,31,FALSE),0),""),"")</f>
        <v/>
      </c>
      <c r="D296" s="73" t="str">
        <f>IF(E296&lt;&gt;"",IF(D295&lt;&gt;"",D295,#REF!)+1,"")</f>
        <v/>
      </c>
      <c r="E296" s="73"/>
      <c r="F296" s="73"/>
      <c r="G296" s="122"/>
      <c r="H296" s="104"/>
      <c r="I296" s="73"/>
      <c r="J296" s="73"/>
      <c r="K296" s="202"/>
      <c r="L296" s="75" t="str">
        <f t="shared" si="28"/>
        <v/>
      </c>
      <c r="M296" s="75"/>
      <c r="N296" s="75" t="str">
        <f t="shared" si="29"/>
        <v/>
      </c>
      <c r="O296" s="204" t="str">
        <f t="shared" si="30"/>
        <v/>
      </c>
      <c r="P296" s="8"/>
      <c r="Q296" s="8"/>
      <c r="R296" s="8"/>
      <c r="S296" s="8"/>
    </row>
    <row r="297" spans="1:19" x14ac:dyDescent="0.25">
      <c r="A297" s="197">
        <f t="shared" si="26"/>
        <v>0</v>
      </c>
      <c r="B297" s="76" t="str">
        <f t="shared" si="27"/>
        <v/>
      </c>
      <c r="C297" s="77" t="str">
        <f>IF(G297&lt;&gt;"",IFERROR(ROUND(VLOOKUP(G297,ProductList!J:AO,31,FALSE),0),""),"")</f>
        <v/>
      </c>
      <c r="D297" s="73" t="str">
        <f>IF(E297&lt;&gt;"",IF(D296&lt;&gt;"",D296,#REF!)+1,"")</f>
        <v/>
      </c>
      <c r="E297" s="73"/>
      <c r="F297" s="73"/>
      <c r="G297" s="122"/>
      <c r="H297" s="104"/>
      <c r="I297" s="73"/>
      <c r="J297" s="73"/>
      <c r="K297" s="202"/>
      <c r="L297" s="75" t="str">
        <f t="shared" si="28"/>
        <v/>
      </c>
      <c r="M297" s="75"/>
      <c r="N297" s="75" t="str">
        <f t="shared" si="29"/>
        <v/>
      </c>
      <c r="O297" s="204" t="str">
        <f t="shared" si="30"/>
        <v/>
      </c>
      <c r="P297" s="8"/>
      <c r="Q297" s="8"/>
      <c r="R297" s="8"/>
      <c r="S297" s="8"/>
    </row>
    <row r="298" spans="1:19" x14ac:dyDescent="0.25">
      <c r="A298" s="197">
        <f t="shared" si="26"/>
        <v>0</v>
      </c>
      <c r="B298" s="76" t="str">
        <f t="shared" si="27"/>
        <v/>
      </c>
      <c r="C298" s="77" t="str">
        <f>IF(G298&lt;&gt;"",IFERROR(ROUND(VLOOKUP(G298,ProductList!J:AO,31,FALSE),0),""),"")</f>
        <v/>
      </c>
      <c r="D298" s="73" t="str">
        <f>IF(E298&lt;&gt;"",IF(D297&lt;&gt;"",D297,#REF!)+1,"")</f>
        <v/>
      </c>
      <c r="E298" s="73"/>
      <c r="F298" s="73"/>
      <c r="G298" s="122"/>
      <c r="H298" s="104"/>
      <c r="I298" s="73"/>
      <c r="J298" s="73"/>
      <c r="K298" s="202"/>
      <c r="L298" s="75" t="str">
        <f t="shared" si="28"/>
        <v/>
      </c>
      <c r="M298" s="75"/>
      <c r="N298" s="75" t="str">
        <f t="shared" si="29"/>
        <v/>
      </c>
      <c r="O298" s="204" t="str">
        <f t="shared" si="30"/>
        <v/>
      </c>
      <c r="P298" s="8"/>
      <c r="Q298" s="8"/>
      <c r="R298" s="8"/>
      <c r="S298" s="8"/>
    </row>
    <row r="299" spans="1:19" x14ac:dyDescent="0.25">
      <c r="A299" s="197">
        <f t="shared" si="26"/>
        <v>0</v>
      </c>
      <c r="B299" s="76" t="str">
        <f t="shared" si="27"/>
        <v/>
      </c>
      <c r="C299" s="77" t="str">
        <f>IF(G299&lt;&gt;"",IFERROR(ROUND(VLOOKUP(G299,ProductList!J:AO,31,FALSE),0),""),"")</f>
        <v/>
      </c>
      <c r="D299" s="73" t="str">
        <f>IF(E299&lt;&gt;"",IF(D298&lt;&gt;"",D298,#REF!)+1,"")</f>
        <v/>
      </c>
      <c r="E299" s="73"/>
      <c r="F299" s="73"/>
      <c r="G299" s="122"/>
      <c r="H299" s="104"/>
      <c r="I299" s="73"/>
      <c r="J299" s="73"/>
      <c r="K299" s="202"/>
      <c r="L299" s="75" t="str">
        <f t="shared" si="28"/>
        <v/>
      </c>
      <c r="M299" s="75"/>
      <c r="N299" s="75" t="str">
        <f t="shared" si="29"/>
        <v/>
      </c>
      <c r="O299" s="204" t="str">
        <f t="shared" si="30"/>
        <v/>
      </c>
      <c r="P299" s="8"/>
      <c r="Q299" s="8"/>
      <c r="R299" s="8"/>
      <c r="S299" s="8"/>
    </row>
    <row r="300" spans="1:19" x14ac:dyDescent="0.25">
      <c r="A300" s="197">
        <f t="shared" si="26"/>
        <v>0</v>
      </c>
      <c r="B300" s="76" t="str">
        <f t="shared" si="27"/>
        <v/>
      </c>
      <c r="C300" s="77" t="str">
        <f>IF(G300&lt;&gt;"",IFERROR(ROUND(VLOOKUP(G300,ProductList!J:AO,31,FALSE),0),""),"")</f>
        <v/>
      </c>
      <c r="D300" s="73" t="str">
        <f>IF(E300&lt;&gt;"",IF(D299&lt;&gt;"",D299,#REF!)+1,"")</f>
        <v/>
      </c>
      <c r="E300" s="73"/>
      <c r="F300" s="73"/>
      <c r="G300" s="122"/>
      <c r="H300" s="104"/>
      <c r="I300" s="73"/>
      <c r="J300" s="73"/>
      <c r="K300" s="202"/>
      <c r="L300" s="75" t="str">
        <f t="shared" si="28"/>
        <v/>
      </c>
      <c r="M300" s="75"/>
      <c r="N300" s="75" t="str">
        <f t="shared" si="29"/>
        <v/>
      </c>
      <c r="O300" s="204" t="str">
        <f t="shared" si="30"/>
        <v/>
      </c>
      <c r="P300" s="8"/>
      <c r="Q300" s="8"/>
      <c r="R300" s="8"/>
      <c r="S300" s="8"/>
    </row>
    <row r="301" spans="1:19" x14ac:dyDescent="0.25">
      <c r="A301" s="197">
        <f t="shared" si="26"/>
        <v>0</v>
      </c>
      <c r="B301" s="76" t="str">
        <f t="shared" si="27"/>
        <v/>
      </c>
      <c r="C301" s="77" t="str">
        <f>IF(G301&lt;&gt;"",IFERROR(ROUND(VLOOKUP(G301,ProductList!J:AO,31,FALSE),0),""),"")</f>
        <v/>
      </c>
      <c r="D301" s="73" t="str">
        <f>IF(E301&lt;&gt;"",IF(D300&lt;&gt;"",D300,#REF!)+1,"")</f>
        <v/>
      </c>
      <c r="E301" s="73"/>
      <c r="F301" s="73"/>
      <c r="G301" s="122"/>
      <c r="H301" s="104"/>
      <c r="I301" s="73"/>
      <c r="J301" s="73"/>
      <c r="K301" s="202"/>
      <c r="L301" s="75" t="str">
        <f t="shared" si="28"/>
        <v/>
      </c>
      <c r="M301" s="75"/>
      <c r="N301" s="75" t="str">
        <f t="shared" si="29"/>
        <v/>
      </c>
      <c r="O301" s="204" t="str">
        <f t="shared" si="30"/>
        <v/>
      </c>
      <c r="P301" s="8"/>
      <c r="Q301" s="8"/>
      <c r="R301" s="8"/>
      <c r="S301" s="8"/>
    </row>
    <row r="302" spans="1:19" x14ac:dyDescent="0.25">
      <c r="A302" s="197">
        <f t="shared" si="26"/>
        <v>0</v>
      </c>
      <c r="B302" s="76" t="str">
        <f t="shared" si="27"/>
        <v/>
      </c>
      <c r="C302" s="77" t="str">
        <f>IF(G302&lt;&gt;"",IFERROR(ROUND(VLOOKUP(G302,ProductList!J:AO,31,FALSE),0),""),"")</f>
        <v/>
      </c>
      <c r="D302" s="73" t="str">
        <f>IF(E302&lt;&gt;"",IF(D301&lt;&gt;"",D301,#REF!)+1,"")</f>
        <v/>
      </c>
      <c r="E302" s="73"/>
      <c r="F302" s="73"/>
      <c r="G302" s="122"/>
      <c r="H302" s="104"/>
      <c r="I302" s="73"/>
      <c r="J302" s="73"/>
      <c r="K302" s="202"/>
      <c r="L302" s="75" t="str">
        <f t="shared" si="28"/>
        <v/>
      </c>
      <c r="M302" s="75"/>
      <c r="N302" s="75" t="str">
        <f t="shared" si="29"/>
        <v/>
      </c>
      <c r="O302" s="204" t="str">
        <f t="shared" si="30"/>
        <v/>
      </c>
      <c r="P302" s="8"/>
      <c r="Q302" s="8"/>
      <c r="R302" s="8"/>
      <c r="S302" s="8"/>
    </row>
    <row r="303" spans="1:19" x14ac:dyDescent="0.25">
      <c r="A303" s="197">
        <f t="shared" si="26"/>
        <v>0</v>
      </c>
      <c r="B303" s="76" t="str">
        <f t="shared" si="27"/>
        <v/>
      </c>
      <c r="C303" s="77" t="str">
        <f>IF(G303&lt;&gt;"",IFERROR(ROUND(VLOOKUP(G303,ProductList!J:AO,31,FALSE),0),""),"")</f>
        <v/>
      </c>
      <c r="D303" s="73" t="str">
        <f>IF(E303&lt;&gt;"",IF(D302&lt;&gt;"",D302,#REF!)+1,"")</f>
        <v/>
      </c>
      <c r="E303" s="73"/>
      <c r="F303" s="73"/>
      <c r="G303" s="122"/>
      <c r="H303" s="104"/>
      <c r="I303" s="73"/>
      <c r="J303" s="73"/>
      <c r="K303" s="202"/>
      <c r="L303" s="75" t="str">
        <f t="shared" si="28"/>
        <v/>
      </c>
      <c r="M303" s="75"/>
      <c r="N303" s="75" t="str">
        <f t="shared" si="29"/>
        <v/>
      </c>
      <c r="O303" s="204" t="str">
        <f t="shared" si="30"/>
        <v/>
      </c>
      <c r="P303" s="8"/>
      <c r="Q303" s="8"/>
      <c r="R303" s="8"/>
      <c r="S303" s="8"/>
    </row>
    <row r="304" spans="1:19" x14ac:dyDescent="0.25">
      <c r="A304" s="197">
        <f t="shared" si="26"/>
        <v>0</v>
      </c>
      <c r="B304" s="76" t="str">
        <f t="shared" si="27"/>
        <v/>
      </c>
      <c r="C304" s="77" t="str">
        <f>IF(G304&lt;&gt;"",IFERROR(ROUND(VLOOKUP(G304,ProductList!J:AO,31,FALSE),0),""),"")</f>
        <v/>
      </c>
      <c r="D304" s="73" t="str">
        <f>IF(E304&lt;&gt;"",IF(D303&lt;&gt;"",D303,#REF!)+1,"")</f>
        <v/>
      </c>
      <c r="E304" s="73"/>
      <c r="F304" s="73"/>
      <c r="G304" s="122"/>
      <c r="H304" s="104"/>
      <c r="I304" s="73"/>
      <c r="J304" s="73"/>
      <c r="K304" s="202"/>
      <c r="L304" s="75" t="str">
        <f t="shared" si="28"/>
        <v/>
      </c>
      <c r="M304" s="75"/>
      <c r="N304" s="75" t="str">
        <f t="shared" si="29"/>
        <v/>
      </c>
      <c r="O304" s="204" t="str">
        <f t="shared" si="30"/>
        <v/>
      </c>
      <c r="P304" s="8"/>
      <c r="Q304" s="8"/>
      <c r="R304" s="8"/>
      <c r="S304" s="8"/>
    </row>
    <row r="305" spans="1:19" x14ac:dyDescent="0.25">
      <c r="A305" s="197">
        <f t="shared" si="26"/>
        <v>0</v>
      </c>
      <c r="B305" s="76" t="str">
        <f t="shared" si="27"/>
        <v/>
      </c>
      <c r="C305" s="77" t="str">
        <f>IF(G305&lt;&gt;"",IFERROR(ROUND(VLOOKUP(G305,ProductList!J:AO,31,FALSE),0),""),"")</f>
        <v/>
      </c>
      <c r="D305" s="73" t="str">
        <f>IF(E305&lt;&gt;"",IF(D304&lt;&gt;"",D304,#REF!)+1,"")</f>
        <v/>
      </c>
      <c r="E305" s="73"/>
      <c r="F305" s="73"/>
      <c r="G305" s="122"/>
      <c r="H305" s="104"/>
      <c r="I305" s="73"/>
      <c r="J305" s="73"/>
      <c r="K305" s="202"/>
      <c r="L305" s="75" t="str">
        <f t="shared" si="28"/>
        <v/>
      </c>
      <c r="M305" s="75"/>
      <c r="N305" s="75" t="str">
        <f t="shared" si="29"/>
        <v/>
      </c>
      <c r="O305" s="204" t="str">
        <f t="shared" si="30"/>
        <v/>
      </c>
      <c r="P305" s="8"/>
      <c r="Q305" s="8"/>
      <c r="R305" s="8"/>
      <c r="S305" s="8"/>
    </row>
    <row r="306" spans="1:19" x14ac:dyDescent="0.25">
      <c r="A306" s="197">
        <f t="shared" si="26"/>
        <v>0</v>
      </c>
      <c r="B306" s="76" t="str">
        <f t="shared" si="27"/>
        <v/>
      </c>
      <c r="C306" s="77" t="str">
        <f>IF(G306&lt;&gt;"",IFERROR(ROUND(VLOOKUP(G306,ProductList!J:AO,31,FALSE),0),""),"")</f>
        <v/>
      </c>
      <c r="D306" s="73" t="str">
        <f>IF(E306&lt;&gt;"",IF(D305&lt;&gt;"",D305,#REF!)+1,"")</f>
        <v/>
      </c>
      <c r="E306" s="73"/>
      <c r="F306" s="73"/>
      <c r="G306" s="122"/>
      <c r="H306" s="104"/>
      <c r="I306" s="73"/>
      <c r="J306" s="73"/>
      <c r="K306" s="202"/>
      <c r="L306" s="75" t="str">
        <f t="shared" si="28"/>
        <v/>
      </c>
      <c r="M306" s="75"/>
      <c r="N306" s="75" t="str">
        <f t="shared" si="29"/>
        <v/>
      </c>
      <c r="O306" s="204" t="str">
        <f t="shared" si="30"/>
        <v/>
      </c>
      <c r="P306" s="8"/>
      <c r="Q306" s="8"/>
      <c r="R306" s="8"/>
      <c r="S306" s="8"/>
    </row>
    <row r="307" spans="1:19" x14ac:dyDescent="0.25">
      <c r="A307" s="197">
        <f t="shared" si="26"/>
        <v>0</v>
      </c>
      <c r="B307" s="76" t="str">
        <f t="shared" si="27"/>
        <v/>
      </c>
      <c r="C307" s="77" t="str">
        <f>IF(G307&lt;&gt;"",IFERROR(ROUND(VLOOKUP(G307,ProductList!J:AO,31,FALSE),0),""),"")</f>
        <v/>
      </c>
      <c r="D307" s="73" t="str">
        <f>IF(E307&lt;&gt;"",IF(D306&lt;&gt;"",D306,#REF!)+1,"")</f>
        <v/>
      </c>
      <c r="E307" s="73"/>
      <c r="F307" s="73"/>
      <c r="G307" s="122"/>
      <c r="H307" s="104"/>
      <c r="I307" s="73"/>
      <c r="J307" s="73"/>
      <c r="K307" s="202"/>
      <c r="L307" s="75" t="str">
        <f t="shared" si="28"/>
        <v/>
      </c>
      <c r="M307" s="75"/>
      <c r="N307" s="75" t="str">
        <f t="shared" si="29"/>
        <v/>
      </c>
      <c r="O307" s="204" t="str">
        <f t="shared" si="30"/>
        <v/>
      </c>
      <c r="P307" s="8"/>
      <c r="Q307" s="8"/>
      <c r="R307" s="8"/>
      <c r="S307" s="8"/>
    </row>
    <row r="308" spans="1:19" x14ac:dyDescent="0.25">
      <c r="A308" s="197">
        <f t="shared" si="26"/>
        <v>0</v>
      </c>
      <c r="B308" s="76" t="str">
        <f t="shared" si="27"/>
        <v/>
      </c>
      <c r="C308" s="77" t="str">
        <f>IF(G308&lt;&gt;"",IFERROR(ROUND(VLOOKUP(G308,ProductList!J:AO,31,FALSE),0),""),"")</f>
        <v/>
      </c>
      <c r="D308" s="73" t="str">
        <f>IF(E308&lt;&gt;"",IF(D307&lt;&gt;"",D307,#REF!)+1,"")</f>
        <v/>
      </c>
      <c r="E308" s="73"/>
      <c r="F308" s="73"/>
      <c r="G308" s="122"/>
      <c r="H308" s="104"/>
      <c r="I308" s="73"/>
      <c r="J308" s="73"/>
      <c r="K308" s="202"/>
      <c r="L308" s="75" t="str">
        <f t="shared" si="28"/>
        <v/>
      </c>
      <c r="M308" s="75"/>
      <c r="N308" s="75" t="str">
        <f t="shared" si="29"/>
        <v/>
      </c>
      <c r="O308" s="204" t="str">
        <f t="shared" si="30"/>
        <v/>
      </c>
      <c r="P308" s="8"/>
      <c r="Q308" s="8"/>
      <c r="R308" s="8"/>
      <c r="S308" s="8"/>
    </row>
    <row r="309" spans="1:19" x14ac:dyDescent="0.25">
      <c r="A309" s="197">
        <f t="shared" si="26"/>
        <v>0</v>
      </c>
      <c r="B309" s="76" t="str">
        <f t="shared" si="27"/>
        <v/>
      </c>
      <c r="C309" s="77" t="str">
        <f>IF(G309&lt;&gt;"",IFERROR(ROUND(VLOOKUP(G309,ProductList!J:AO,31,FALSE),0),""),"")</f>
        <v/>
      </c>
      <c r="D309" s="73" t="str">
        <f>IF(E309&lt;&gt;"",IF(D308&lt;&gt;"",D308,#REF!)+1,"")</f>
        <v/>
      </c>
      <c r="E309" s="73"/>
      <c r="F309" s="73"/>
      <c r="G309" s="122"/>
      <c r="H309" s="104"/>
      <c r="I309" s="73"/>
      <c r="J309" s="73"/>
      <c r="K309" s="202"/>
      <c r="L309" s="75" t="str">
        <f t="shared" si="28"/>
        <v/>
      </c>
      <c r="M309" s="75"/>
      <c r="N309" s="75" t="str">
        <f t="shared" si="29"/>
        <v/>
      </c>
      <c r="O309" s="204" t="str">
        <f t="shared" si="30"/>
        <v/>
      </c>
      <c r="P309" s="8"/>
      <c r="Q309" s="8"/>
      <c r="R309" s="8"/>
      <c r="S309" s="8"/>
    </row>
    <row r="310" spans="1:19" x14ac:dyDescent="0.25">
      <c r="A310" s="197">
        <f t="shared" si="26"/>
        <v>0</v>
      </c>
      <c r="B310" s="76" t="str">
        <f t="shared" si="27"/>
        <v/>
      </c>
      <c r="C310" s="77" t="str">
        <f>IF(G310&lt;&gt;"",IFERROR(ROUND(VLOOKUP(G310,ProductList!J:AO,31,FALSE),0),""),"")</f>
        <v/>
      </c>
      <c r="D310" s="73" t="str">
        <f>IF(E310&lt;&gt;"",IF(D309&lt;&gt;"",D309,#REF!)+1,"")</f>
        <v/>
      </c>
      <c r="E310" s="73"/>
      <c r="F310" s="73"/>
      <c r="G310" s="122"/>
      <c r="H310" s="104"/>
      <c r="I310" s="73"/>
      <c r="J310" s="73"/>
      <c r="K310" s="202"/>
      <c r="L310" s="75" t="str">
        <f t="shared" si="28"/>
        <v/>
      </c>
      <c r="M310" s="75"/>
      <c r="N310" s="75" t="str">
        <f t="shared" si="29"/>
        <v/>
      </c>
      <c r="O310" s="204" t="str">
        <f t="shared" si="30"/>
        <v/>
      </c>
      <c r="P310" s="8"/>
      <c r="Q310" s="8"/>
      <c r="R310" s="8"/>
      <c r="S310" s="8"/>
    </row>
    <row r="311" spans="1:19" x14ac:dyDescent="0.25">
      <c r="A311" s="197">
        <f t="shared" si="26"/>
        <v>0</v>
      </c>
      <c r="B311" s="76" t="str">
        <f t="shared" si="27"/>
        <v/>
      </c>
      <c r="C311" s="77" t="str">
        <f>IF(G311&lt;&gt;"",IFERROR(ROUND(VLOOKUP(G311,ProductList!J:AO,31,FALSE),0),""),"")</f>
        <v/>
      </c>
      <c r="D311" s="73" t="str">
        <f>IF(E311&lt;&gt;"",IF(D310&lt;&gt;"",D310,#REF!)+1,"")</f>
        <v/>
      </c>
      <c r="E311" s="73"/>
      <c r="F311" s="73"/>
      <c r="G311" s="122"/>
      <c r="H311" s="104"/>
      <c r="I311" s="73"/>
      <c r="J311" s="73"/>
      <c r="K311" s="202"/>
      <c r="L311" s="75" t="str">
        <f t="shared" si="28"/>
        <v/>
      </c>
      <c r="M311" s="75"/>
      <c r="N311" s="75" t="str">
        <f t="shared" si="29"/>
        <v/>
      </c>
      <c r="O311" s="204" t="str">
        <f t="shared" si="30"/>
        <v/>
      </c>
      <c r="P311" s="8"/>
      <c r="Q311" s="8"/>
      <c r="R311" s="8"/>
      <c r="S311" s="8"/>
    </row>
    <row r="312" spans="1:19" x14ac:dyDescent="0.25">
      <c r="A312" s="197">
        <f t="shared" si="26"/>
        <v>0</v>
      </c>
      <c r="B312" s="76" t="str">
        <f t="shared" si="27"/>
        <v/>
      </c>
      <c r="C312" s="77" t="str">
        <f>IF(G312&lt;&gt;"",IFERROR(ROUND(VLOOKUP(G312,ProductList!J:AO,31,FALSE),0),""),"")</f>
        <v/>
      </c>
      <c r="D312" s="73" t="str">
        <f>IF(E312&lt;&gt;"",IF(D311&lt;&gt;"",D311,#REF!)+1,"")</f>
        <v/>
      </c>
      <c r="E312" s="73"/>
      <c r="F312" s="73"/>
      <c r="G312" s="122"/>
      <c r="H312" s="104"/>
      <c r="I312" s="73"/>
      <c r="J312" s="73"/>
      <c r="K312" s="202"/>
      <c r="L312" s="75" t="str">
        <f t="shared" si="28"/>
        <v/>
      </c>
      <c r="M312" s="75"/>
      <c r="N312" s="75" t="str">
        <f t="shared" si="29"/>
        <v/>
      </c>
      <c r="O312" s="204" t="str">
        <f t="shared" si="30"/>
        <v/>
      </c>
      <c r="P312" s="8"/>
      <c r="Q312" s="8"/>
      <c r="R312" s="8"/>
      <c r="S312" s="8"/>
    </row>
    <row r="313" spans="1:19" x14ac:dyDescent="0.25">
      <c r="A313" s="197">
        <f t="shared" si="26"/>
        <v>0</v>
      </c>
      <c r="B313" s="76" t="str">
        <f t="shared" si="27"/>
        <v/>
      </c>
      <c r="C313" s="77" t="str">
        <f>IF(G313&lt;&gt;"",IFERROR(ROUND(VLOOKUP(G313,ProductList!J:AO,31,FALSE),0),""),"")</f>
        <v/>
      </c>
      <c r="D313" s="73" t="str">
        <f>IF(E313&lt;&gt;"",IF(D312&lt;&gt;"",D312,#REF!)+1,"")</f>
        <v/>
      </c>
      <c r="E313" s="73"/>
      <c r="F313" s="73"/>
      <c r="G313" s="122"/>
      <c r="H313" s="104"/>
      <c r="I313" s="73"/>
      <c r="J313" s="73"/>
      <c r="K313" s="202"/>
      <c r="L313" s="75" t="str">
        <f t="shared" si="28"/>
        <v/>
      </c>
      <c r="M313" s="75"/>
      <c r="N313" s="75" t="str">
        <f t="shared" si="29"/>
        <v/>
      </c>
      <c r="O313" s="204" t="str">
        <f t="shared" si="30"/>
        <v/>
      </c>
      <c r="P313" s="8"/>
      <c r="Q313" s="8"/>
      <c r="R313" s="8"/>
      <c r="S313" s="8"/>
    </row>
    <row r="314" spans="1:19" x14ac:dyDescent="0.25">
      <c r="A314" s="197">
        <f t="shared" si="26"/>
        <v>0</v>
      </c>
      <c r="B314" s="76" t="str">
        <f t="shared" si="27"/>
        <v/>
      </c>
      <c r="C314" s="77" t="str">
        <f>IF(G314&lt;&gt;"",IFERROR(ROUND(VLOOKUP(G314,ProductList!J:AO,31,FALSE),0),""),"")</f>
        <v/>
      </c>
      <c r="D314" s="73" t="str">
        <f>IF(E314&lt;&gt;"",IF(D313&lt;&gt;"",D313,#REF!)+1,"")</f>
        <v/>
      </c>
      <c r="E314" s="73"/>
      <c r="F314" s="73"/>
      <c r="G314" s="122"/>
      <c r="H314" s="104"/>
      <c r="I314" s="73"/>
      <c r="J314" s="73"/>
      <c r="K314" s="202"/>
      <c r="L314" s="75" t="str">
        <f t="shared" si="28"/>
        <v/>
      </c>
      <c r="M314" s="75"/>
      <c r="N314" s="75" t="str">
        <f t="shared" si="29"/>
        <v/>
      </c>
      <c r="O314" s="204" t="str">
        <f t="shared" si="30"/>
        <v/>
      </c>
      <c r="P314" s="8"/>
      <c r="Q314" s="8"/>
      <c r="R314" s="8"/>
      <c r="S314" s="8"/>
    </row>
    <row r="315" spans="1:19" x14ac:dyDescent="0.25">
      <c r="A315" s="197">
        <f t="shared" si="26"/>
        <v>0</v>
      </c>
      <c r="B315" s="76" t="str">
        <f t="shared" si="27"/>
        <v/>
      </c>
      <c r="C315" s="77" t="str">
        <f>IF(G315&lt;&gt;"",IFERROR(ROUND(VLOOKUP(G315,ProductList!J:AO,31,FALSE),0),""),"")</f>
        <v/>
      </c>
      <c r="D315" s="73" t="str">
        <f>IF(E315&lt;&gt;"",IF(D314&lt;&gt;"",D314,#REF!)+1,"")</f>
        <v/>
      </c>
      <c r="E315" s="73"/>
      <c r="F315" s="73"/>
      <c r="G315" s="122"/>
      <c r="H315" s="104"/>
      <c r="I315" s="73"/>
      <c r="J315" s="73"/>
      <c r="K315" s="202"/>
      <c r="L315" s="75" t="str">
        <f t="shared" si="28"/>
        <v/>
      </c>
      <c r="M315" s="75"/>
      <c r="N315" s="75" t="str">
        <f t="shared" si="29"/>
        <v/>
      </c>
      <c r="O315" s="204" t="str">
        <f t="shared" si="30"/>
        <v/>
      </c>
      <c r="P315" s="8"/>
      <c r="Q315" s="8"/>
      <c r="R315" s="8"/>
      <c r="S315" s="8"/>
    </row>
    <row r="316" spans="1:19" x14ac:dyDescent="0.25">
      <c r="A316" s="197">
        <f t="shared" si="26"/>
        <v>0</v>
      </c>
      <c r="B316" s="76" t="str">
        <f t="shared" si="27"/>
        <v/>
      </c>
      <c r="C316" s="77" t="str">
        <f>IF(G316&lt;&gt;"",IFERROR(ROUND(VLOOKUP(G316,ProductList!J:AO,31,FALSE),0),""),"")</f>
        <v/>
      </c>
      <c r="D316" s="73" t="str">
        <f>IF(E316&lt;&gt;"",IF(D315&lt;&gt;"",D315,#REF!)+1,"")</f>
        <v/>
      </c>
      <c r="E316" s="73"/>
      <c r="F316" s="73"/>
      <c r="G316" s="122"/>
      <c r="H316" s="104"/>
      <c r="I316" s="73"/>
      <c r="J316" s="73"/>
      <c r="K316" s="202"/>
      <c r="L316" s="75" t="str">
        <f t="shared" si="28"/>
        <v/>
      </c>
      <c r="M316" s="75"/>
      <c r="N316" s="75" t="str">
        <f t="shared" si="29"/>
        <v/>
      </c>
      <c r="O316" s="204" t="str">
        <f t="shared" si="30"/>
        <v/>
      </c>
      <c r="P316" s="8"/>
      <c r="Q316" s="8"/>
      <c r="R316" s="8"/>
      <c r="S316" s="8"/>
    </row>
    <row r="317" spans="1:19" x14ac:dyDescent="0.25">
      <c r="A317" s="197">
        <f t="shared" si="26"/>
        <v>0</v>
      </c>
      <c r="B317" s="76" t="str">
        <f t="shared" si="27"/>
        <v/>
      </c>
      <c r="C317" s="77" t="str">
        <f>IF(G317&lt;&gt;"",IFERROR(ROUND(VLOOKUP(G317,ProductList!J:AO,31,FALSE),0),""),"")</f>
        <v/>
      </c>
      <c r="D317" s="73" t="str">
        <f>IF(E317&lt;&gt;"",IF(D316&lt;&gt;"",D316,#REF!)+1,"")</f>
        <v/>
      </c>
      <c r="E317" s="73"/>
      <c r="F317" s="73"/>
      <c r="G317" s="122"/>
      <c r="H317" s="104"/>
      <c r="I317" s="73"/>
      <c r="J317" s="73"/>
      <c r="K317" s="202"/>
      <c r="L317" s="75" t="str">
        <f t="shared" si="28"/>
        <v/>
      </c>
      <c r="M317" s="75"/>
      <c r="N317" s="75" t="str">
        <f t="shared" si="29"/>
        <v/>
      </c>
      <c r="O317" s="204" t="str">
        <f t="shared" si="30"/>
        <v/>
      </c>
      <c r="P317" s="8"/>
      <c r="Q317" s="8"/>
      <c r="R317" s="8"/>
      <c r="S317" s="8"/>
    </row>
    <row r="318" spans="1:19" x14ac:dyDescent="0.25">
      <c r="A318" s="197">
        <f t="shared" si="26"/>
        <v>0</v>
      </c>
      <c r="B318" s="76" t="str">
        <f t="shared" si="27"/>
        <v/>
      </c>
      <c r="C318" s="77" t="str">
        <f>IF(G318&lt;&gt;"",IFERROR(ROUND(VLOOKUP(G318,ProductList!J:AO,31,FALSE),0),""),"")</f>
        <v/>
      </c>
      <c r="D318" s="73" t="str">
        <f>IF(E318&lt;&gt;"",IF(D317&lt;&gt;"",D317,#REF!)+1,"")</f>
        <v/>
      </c>
      <c r="E318" s="73"/>
      <c r="F318" s="73"/>
      <c r="G318" s="122"/>
      <c r="H318" s="104"/>
      <c r="I318" s="73"/>
      <c r="J318" s="73"/>
      <c r="K318" s="202"/>
      <c r="L318" s="75" t="str">
        <f t="shared" si="28"/>
        <v/>
      </c>
      <c r="M318" s="75"/>
      <c r="N318" s="75" t="str">
        <f t="shared" si="29"/>
        <v/>
      </c>
      <c r="O318" s="204" t="str">
        <f t="shared" si="30"/>
        <v/>
      </c>
      <c r="P318" s="8"/>
      <c r="Q318" s="8"/>
      <c r="R318" s="8"/>
      <c r="S318" s="8"/>
    </row>
    <row r="319" spans="1:19" x14ac:dyDescent="0.25">
      <c r="A319" s="197">
        <f t="shared" si="26"/>
        <v>0</v>
      </c>
      <c r="B319" s="76" t="str">
        <f t="shared" si="27"/>
        <v/>
      </c>
      <c r="C319" s="77" t="str">
        <f>IF(G319&lt;&gt;"",IFERROR(ROUND(VLOOKUP(G319,ProductList!J:AO,31,FALSE),0),""),"")</f>
        <v/>
      </c>
      <c r="D319" s="73" t="str">
        <f>IF(E319&lt;&gt;"",IF(D318&lt;&gt;"",D318,#REF!)+1,"")</f>
        <v/>
      </c>
      <c r="E319" s="73"/>
      <c r="F319" s="73"/>
      <c r="G319" s="122"/>
      <c r="H319" s="104"/>
      <c r="I319" s="73"/>
      <c r="J319" s="73"/>
      <c r="K319" s="202"/>
      <c r="L319" s="75" t="str">
        <f t="shared" si="28"/>
        <v/>
      </c>
      <c r="M319" s="75"/>
      <c r="N319" s="75" t="str">
        <f t="shared" si="29"/>
        <v/>
      </c>
      <c r="O319" s="204" t="str">
        <f t="shared" si="30"/>
        <v/>
      </c>
      <c r="P319" s="8"/>
      <c r="Q319" s="8"/>
      <c r="R319" s="8"/>
      <c r="S319" s="8"/>
    </row>
    <row r="320" spans="1:19" x14ac:dyDescent="0.25">
      <c r="A320" s="197">
        <f t="shared" si="26"/>
        <v>0</v>
      </c>
      <c r="B320" s="76" t="str">
        <f t="shared" si="27"/>
        <v/>
      </c>
      <c r="C320" s="77" t="str">
        <f>IF(G320&lt;&gt;"",IFERROR(ROUND(VLOOKUP(G320,ProductList!J:AO,31,FALSE),0),""),"")</f>
        <v/>
      </c>
      <c r="D320" s="73" t="str">
        <f>IF(E320&lt;&gt;"",IF(D319&lt;&gt;"",D319,#REF!)+1,"")</f>
        <v/>
      </c>
      <c r="E320" s="73"/>
      <c r="F320" s="73"/>
      <c r="G320" s="122"/>
      <c r="H320" s="104"/>
      <c r="I320" s="73"/>
      <c r="J320" s="73"/>
      <c r="K320" s="202"/>
      <c r="L320" s="75" t="str">
        <f t="shared" si="28"/>
        <v/>
      </c>
      <c r="M320" s="75"/>
      <c r="N320" s="75" t="str">
        <f t="shared" si="29"/>
        <v/>
      </c>
      <c r="O320" s="204" t="str">
        <f t="shared" si="30"/>
        <v/>
      </c>
      <c r="P320" s="8"/>
      <c r="Q320" s="8"/>
      <c r="R320" s="8"/>
      <c r="S320" s="8"/>
    </row>
    <row r="321" spans="1:19" x14ac:dyDescent="0.25">
      <c r="A321" s="197">
        <f t="shared" si="26"/>
        <v>0</v>
      </c>
      <c r="B321" s="76" t="str">
        <f t="shared" si="27"/>
        <v/>
      </c>
      <c r="C321" s="77" t="str">
        <f>IF(G321&lt;&gt;"",IFERROR(ROUND(VLOOKUP(G321,ProductList!J:AO,31,FALSE),0),""),"")</f>
        <v/>
      </c>
      <c r="D321" s="73" t="str">
        <f>IF(E321&lt;&gt;"",IF(D320&lt;&gt;"",D320,#REF!)+1,"")</f>
        <v/>
      </c>
      <c r="E321" s="73"/>
      <c r="F321" s="73"/>
      <c r="G321" s="122"/>
      <c r="H321" s="104"/>
      <c r="I321" s="73"/>
      <c r="J321" s="73"/>
      <c r="K321" s="202"/>
      <c r="L321" s="75" t="str">
        <f t="shared" si="28"/>
        <v/>
      </c>
      <c r="M321" s="75"/>
      <c r="N321" s="75" t="str">
        <f t="shared" si="29"/>
        <v/>
      </c>
      <c r="O321" s="204" t="str">
        <f t="shared" si="30"/>
        <v/>
      </c>
      <c r="P321" s="8"/>
      <c r="Q321" s="8"/>
      <c r="R321" s="8"/>
      <c r="S321" s="8"/>
    </row>
    <row r="322" spans="1:19" x14ac:dyDescent="0.25">
      <c r="A322" s="197">
        <f t="shared" si="26"/>
        <v>0</v>
      </c>
      <c r="B322" s="76" t="str">
        <f t="shared" si="27"/>
        <v/>
      </c>
      <c r="C322" s="77" t="str">
        <f>IF(G322&lt;&gt;"",IFERROR(ROUND(VLOOKUP(G322,ProductList!J:AO,31,FALSE),0),""),"")</f>
        <v/>
      </c>
      <c r="D322" s="73" t="str">
        <f>IF(E322&lt;&gt;"",IF(D321&lt;&gt;"",D321,#REF!)+1,"")</f>
        <v/>
      </c>
      <c r="E322" s="73"/>
      <c r="F322" s="73"/>
      <c r="G322" s="122"/>
      <c r="H322" s="104"/>
      <c r="I322" s="73"/>
      <c r="J322" s="73"/>
      <c r="K322" s="202"/>
      <c r="L322" s="75" t="str">
        <f t="shared" si="28"/>
        <v/>
      </c>
      <c r="M322" s="75"/>
      <c r="N322" s="75" t="str">
        <f t="shared" si="29"/>
        <v/>
      </c>
      <c r="O322" s="204" t="str">
        <f t="shared" si="30"/>
        <v/>
      </c>
      <c r="P322" s="8"/>
      <c r="Q322" s="8"/>
      <c r="R322" s="8"/>
      <c r="S322" s="8"/>
    </row>
    <row r="323" spans="1:19" x14ac:dyDescent="0.25">
      <c r="A323" s="197">
        <f t="shared" si="26"/>
        <v>0</v>
      </c>
      <c r="B323" s="76" t="str">
        <f t="shared" si="27"/>
        <v/>
      </c>
      <c r="C323" s="77" t="str">
        <f>IF(G323&lt;&gt;"",IFERROR(ROUND(VLOOKUP(G323,ProductList!J:AO,31,FALSE),0),""),"")</f>
        <v/>
      </c>
      <c r="D323" s="73" t="str">
        <f>IF(E323&lt;&gt;"",IF(D322&lt;&gt;"",D322,#REF!)+1,"")</f>
        <v/>
      </c>
      <c r="E323" s="73"/>
      <c r="F323" s="73"/>
      <c r="G323" s="122"/>
      <c r="H323" s="104"/>
      <c r="I323" s="73"/>
      <c r="J323" s="73"/>
      <c r="K323" s="202"/>
      <c r="L323" s="75" t="str">
        <f t="shared" si="28"/>
        <v/>
      </c>
      <c r="M323" s="75"/>
      <c r="N323" s="75" t="str">
        <f t="shared" si="29"/>
        <v/>
      </c>
      <c r="O323" s="204" t="str">
        <f t="shared" si="30"/>
        <v/>
      </c>
      <c r="P323" s="8"/>
      <c r="Q323" s="8"/>
      <c r="R323" s="8"/>
      <c r="S323" s="8"/>
    </row>
    <row r="324" spans="1:19" x14ac:dyDescent="0.25">
      <c r="A324" s="197">
        <f t="shared" si="26"/>
        <v>0</v>
      </c>
      <c r="B324" s="76" t="str">
        <f t="shared" si="27"/>
        <v/>
      </c>
      <c r="C324" s="77" t="str">
        <f>IF(G324&lt;&gt;"",IFERROR(ROUND(VLOOKUP(G324,ProductList!J:AO,31,FALSE),0),""),"")</f>
        <v/>
      </c>
      <c r="D324" s="73" t="str">
        <f>IF(E324&lt;&gt;"",IF(D323&lt;&gt;"",D323,#REF!)+1,"")</f>
        <v/>
      </c>
      <c r="E324" s="73"/>
      <c r="F324" s="73"/>
      <c r="G324" s="122"/>
      <c r="H324" s="104"/>
      <c r="I324" s="73"/>
      <c r="J324" s="73"/>
      <c r="K324" s="202"/>
      <c r="L324" s="75" t="str">
        <f t="shared" si="28"/>
        <v/>
      </c>
      <c r="M324" s="75"/>
      <c r="N324" s="75" t="str">
        <f t="shared" si="29"/>
        <v/>
      </c>
      <c r="O324" s="204" t="str">
        <f t="shared" si="30"/>
        <v/>
      </c>
      <c r="P324" s="8"/>
      <c r="Q324" s="8"/>
      <c r="R324" s="8"/>
      <c r="S324" s="8"/>
    </row>
    <row r="325" spans="1:19" x14ac:dyDescent="0.25">
      <c r="A325" s="197">
        <f t="shared" ref="A325:A388" si="31">IF(AND(E325&lt;&gt;""),IF(A324&lt;&gt;"",A324,0)+1,A324)</f>
        <v>0</v>
      </c>
      <c r="B325" s="76" t="str">
        <f t="shared" si="27"/>
        <v/>
      </c>
      <c r="C325" s="77" t="str">
        <f>IF(G325&lt;&gt;"",IFERROR(ROUND(VLOOKUP(G325,ProductList!J:AO,31,FALSE),0),""),"")</f>
        <v/>
      </c>
      <c r="D325" s="73" t="str">
        <f>IF(E325&lt;&gt;"",IF(D324&lt;&gt;"",D324,#REF!)+1,"")</f>
        <v/>
      </c>
      <c r="E325" s="73"/>
      <c r="F325" s="73"/>
      <c r="G325" s="122"/>
      <c r="H325" s="104"/>
      <c r="I325" s="73"/>
      <c r="J325" s="73"/>
      <c r="K325" s="202"/>
      <c r="L325" s="75" t="str">
        <f t="shared" si="28"/>
        <v/>
      </c>
      <c r="M325" s="75"/>
      <c r="N325" s="75" t="str">
        <f t="shared" si="29"/>
        <v/>
      </c>
      <c r="O325" s="204" t="str">
        <f t="shared" si="30"/>
        <v/>
      </c>
      <c r="P325" s="8"/>
      <c r="Q325" s="8"/>
      <c r="R325" s="8"/>
      <c r="S325" s="8"/>
    </row>
    <row r="326" spans="1:19" x14ac:dyDescent="0.25">
      <c r="A326" s="197">
        <f t="shared" si="31"/>
        <v>0</v>
      </c>
      <c r="B326" s="76" t="str">
        <f t="shared" ref="B326:B389" si="32">IF(AND(L326&lt;&gt;"",F326&lt;&gt;""),ROUND((((L326-F326)*100)/F326),2),"")</f>
        <v/>
      </c>
      <c r="C326" s="77" t="str">
        <f>IF(G326&lt;&gt;"",IFERROR(ROUND(VLOOKUP(G326,ProductList!J:AO,31,FALSE),0),""),"")</f>
        <v/>
      </c>
      <c r="D326" s="73" t="str">
        <f>IF(E326&lt;&gt;"",IF(D325&lt;&gt;"",D325,#REF!)+1,"")</f>
        <v/>
      </c>
      <c r="E326" s="73"/>
      <c r="F326" s="73"/>
      <c r="G326" s="122"/>
      <c r="H326" s="104"/>
      <c r="I326" s="73"/>
      <c r="J326" s="73"/>
      <c r="K326" s="202"/>
      <c r="L326" s="75" t="str">
        <f t="shared" ref="L326:L389" si="33">IF(AND(J326&lt;&gt;"",K326&lt;&gt;""),K326*J326,"")</f>
        <v/>
      </c>
      <c r="M326" s="75"/>
      <c r="N326" s="75" t="str">
        <f t="shared" ref="N326:N389" si="34">IF(AND(M326&lt;&gt;"",J326&lt;&gt;""),M326*J326,"")</f>
        <v/>
      </c>
      <c r="O326" s="204" t="str">
        <f t="shared" si="30"/>
        <v/>
      </c>
      <c r="P326" s="8"/>
      <c r="Q326" s="8"/>
      <c r="R326" s="8"/>
      <c r="S326" s="8"/>
    </row>
    <row r="327" spans="1:19" x14ac:dyDescent="0.25">
      <c r="A327" s="197">
        <f t="shared" si="31"/>
        <v>0</v>
      </c>
      <c r="B327" s="76" t="str">
        <f t="shared" si="32"/>
        <v/>
      </c>
      <c r="C327" s="77" t="str">
        <f>IF(G327&lt;&gt;"",IFERROR(ROUND(VLOOKUP(G327,ProductList!J:AO,31,FALSE),0),""),"")</f>
        <v/>
      </c>
      <c r="D327" s="73" t="str">
        <f>IF(E327&lt;&gt;"",IF(D326&lt;&gt;"",D326,#REF!)+1,"")</f>
        <v/>
      </c>
      <c r="E327" s="73"/>
      <c r="F327" s="73"/>
      <c r="G327" s="122"/>
      <c r="H327" s="104"/>
      <c r="I327" s="73"/>
      <c r="J327" s="73"/>
      <c r="K327" s="202"/>
      <c r="L327" s="75" t="str">
        <f t="shared" si="33"/>
        <v/>
      </c>
      <c r="M327" s="75"/>
      <c r="N327" s="75" t="str">
        <f t="shared" si="34"/>
        <v/>
      </c>
      <c r="O327" s="204" t="str">
        <f t="shared" si="30"/>
        <v/>
      </c>
      <c r="P327" s="8"/>
      <c r="Q327" s="8"/>
      <c r="R327" s="8"/>
      <c r="S327" s="8"/>
    </row>
    <row r="328" spans="1:19" x14ac:dyDescent="0.25">
      <c r="A328" s="197">
        <f t="shared" si="31"/>
        <v>0</v>
      </c>
      <c r="B328" s="76" t="str">
        <f t="shared" si="32"/>
        <v/>
      </c>
      <c r="C328" s="77" t="str">
        <f>IF(G328&lt;&gt;"",IFERROR(ROUND(VLOOKUP(G328,ProductList!J:AO,31,FALSE),0),""),"")</f>
        <v/>
      </c>
      <c r="D328" s="73" t="str">
        <f>IF(E328&lt;&gt;"",IF(D327&lt;&gt;"",D327,#REF!)+1,"")</f>
        <v/>
      </c>
      <c r="E328" s="73"/>
      <c r="F328" s="73"/>
      <c r="G328" s="122"/>
      <c r="H328" s="104"/>
      <c r="I328" s="73"/>
      <c r="J328" s="73"/>
      <c r="K328" s="202"/>
      <c r="L328" s="75" t="str">
        <f t="shared" si="33"/>
        <v/>
      </c>
      <c r="M328" s="75"/>
      <c r="N328" s="75" t="str">
        <f t="shared" si="34"/>
        <v/>
      </c>
      <c r="O328" s="204" t="str">
        <f t="shared" si="30"/>
        <v/>
      </c>
      <c r="P328" s="8"/>
      <c r="Q328" s="8"/>
      <c r="R328" s="8"/>
      <c r="S328" s="8"/>
    </row>
    <row r="329" spans="1:19" x14ac:dyDescent="0.25">
      <c r="A329" s="197">
        <f t="shared" si="31"/>
        <v>0</v>
      </c>
      <c r="B329" s="76" t="str">
        <f t="shared" si="32"/>
        <v/>
      </c>
      <c r="C329" s="77" t="str">
        <f>IF(G329&lt;&gt;"",IFERROR(ROUND(VLOOKUP(G329,ProductList!J:AO,31,FALSE),0),""),"")</f>
        <v/>
      </c>
      <c r="D329" s="73" t="str">
        <f>IF(E329&lt;&gt;"",IF(D328&lt;&gt;"",D328,#REF!)+1,"")</f>
        <v/>
      </c>
      <c r="E329" s="73"/>
      <c r="F329" s="73"/>
      <c r="G329" s="122"/>
      <c r="H329" s="104"/>
      <c r="I329" s="73"/>
      <c r="J329" s="73"/>
      <c r="K329" s="202"/>
      <c r="L329" s="75" t="str">
        <f t="shared" si="33"/>
        <v/>
      </c>
      <c r="M329" s="75"/>
      <c r="N329" s="75" t="str">
        <f t="shared" si="34"/>
        <v/>
      </c>
      <c r="O329" s="204" t="str">
        <f t="shared" si="30"/>
        <v/>
      </c>
      <c r="P329" s="8"/>
      <c r="Q329" s="8"/>
      <c r="R329" s="8"/>
      <c r="S329" s="8"/>
    </row>
    <row r="330" spans="1:19" x14ac:dyDescent="0.25">
      <c r="A330" s="197">
        <f t="shared" si="31"/>
        <v>0</v>
      </c>
      <c r="B330" s="76" t="str">
        <f t="shared" si="32"/>
        <v/>
      </c>
      <c r="C330" s="77" t="str">
        <f>IF(G330&lt;&gt;"",IFERROR(ROUND(VLOOKUP(G330,ProductList!J:AO,31,FALSE),0),""),"")</f>
        <v/>
      </c>
      <c r="D330" s="73" t="str">
        <f>IF(E330&lt;&gt;"",IF(D329&lt;&gt;"",D329,#REF!)+1,"")</f>
        <v/>
      </c>
      <c r="E330" s="73"/>
      <c r="F330" s="73"/>
      <c r="G330" s="122"/>
      <c r="H330" s="104"/>
      <c r="I330" s="73"/>
      <c r="J330" s="73"/>
      <c r="K330" s="202"/>
      <c r="L330" s="75" t="str">
        <f t="shared" si="33"/>
        <v/>
      </c>
      <c r="M330" s="75"/>
      <c r="N330" s="75" t="str">
        <f t="shared" si="34"/>
        <v/>
      </c>
      <c r="O330" s="204" t="str">
        <f t="shared" si="30"/>
        <v/>
      </c>
      <c r="P330" s="8"/>
      <c r="Q330" s="8"/>
      <c r="R330" s="8"/>
      <c r="S330" s="8"/>
    </row>
    <row r="331" spans="1:19" x14ac:dyDescent="0.25">
      <c r="A331" s="197">
        <f t="shared" si="31"/>
        <v>0</v>
      </c>
      <c r="B331" s="76" t="str">
        <f t="shared" si="32"/>
        <v/>
      </c>
      <c r="C331" s="77" t="str">
        <f>IF(G331&lt;&gt;"",IFERROR(ROUND(VLOOKUP(G331,ProductList!J:AO,31,FALSE),0),""),"")</f>
        <v/>
      </c>
      <c r="D331" s="73" t="str">
        <f>IF(E331&lt;&gt;"",IF(D330&lt;&gt;"",D330,#REF!)+1,"")</f>
        <v/>
      </c>
      <c r="E331" s="73"/>
      <c r="F331" s="73"/>
      <c r="G331" s="122"/>
      <c r="H331" s="104"/>
      <c r="I331" s="73"/>
      <c r="J331" s="73"/>
      <c r="K331" s="202"/>
      <c r="L331" s="75" t="str">
        <f t="shared" si="33"/>
        <v/>
      </c>
      <c r="M331" s="75"/>
      <c r="N331" s="75" t="str">
        <f t="shared" si="34"/>
        <v/>
      </c>
      <c r="O331" s="204" t="str">
        <f t="shared" si="30"/>
        <v/>
      </c>
      <c r="P331" s="8"/>
      <c r="Q331" s="8"/>
      <c r="R331" s="8"/>
      <c r="S331" s="8"/>
    </row>
    <row r="332" spans="1:19" x14ac:dyDescent="0.25">
      <c r="A332" s="197">
        <f t="shared" si="31"/>
        <v>0</v>
      </c>
      <c r="B332" s="76" t="str">
        <f t="shared" si="32"/>
        <v/>
      </c>
      <c r="C332" s="77" t="str">
        <f>IF(G332&lt;&gt;"",IFERROR(ROUND(VLOOKUP(G332,ProductList!J:AO,31,FALSE),0),""),"")</f>
        <v/>
      </c>
      <c r="D332" s="73" t="str">
        <f>IF(E332&lt;&gt;"",IF(D331&lt;&gt;"",D331,#REF!)+1,"")</f>
        <v/>
      </c>
      <c r="E332" s="73"/>
      <c r="F332" s="73"/>
      <c r="G332" s="122"/>
      <c r="H332" s="104"/>
      <c r="I332" s="73"/>
      <c r="J332" s="73"/>
      <c r="K332" s="202"/>
      <c r="L332" s="75" t="str">
        <f t="shared" si="33"/>
        <v/>
      </c>
      <c r="M332" s="75"/>
      <c r="N332" s="75" t="str">
        <f t="shared" si="34"/>
        <v/>
      </c>
      <c r="O332" s="204" t="str">
        <f t="shared" si="30"/>
        <v/>
      </c>
      <c r="P332" s="8"/>
      <c r="Q332" s="8"/>
      <c r="R332" s="8"/>
      <c r="S332" s="8"/>
    </row>
    <row r="333" spans="1:19" x14ac:dyDescent="0.25">
      <c r="A333" s="197">
        <f t="shared" si="31"/>
        <v>0</v>
      </c>
      <c r="B333" s="76" t="str">
        <f t="shared" si="32"/>
        <v/>
      </c>
      <c r="C333" s="77" t="str">
        <f>IF(G333&lt;&gt;"",IFERROR(ROUND(VLOOKUP(G333,ProductList!J:AO,31,FALSE),0),""),"")</f>
        <v/>
      </c>
      <c r="D333" s="73" t="str">
        <f>IF(E333&lt;&gt;"",IF(D332&lt;&gt;"",D332,#REF!)+1,"")</f>
        <v/>
      </c>
      <c r="E333" s="73"/>
      <c r="F333" s="73"/>
      <c r="G333" s="122"/>
      <c r="H333" s="104"/>
      <c r="I333" s="73"/>
      <c r="J333" s="73"/>
      <c r="K333" s="202"/>
      <c r="L333" s="75" t="str">
        <f t="shared" si="33"/>
        <v/>
      </c>
      <c r="M333" s="75"/>
      <c r="N333" s="75" t="str">
        <f t="shared" si="34"/>
        <v/>
      </c>
      <c r="O333" s="204" t="str">
        <f t="shared" si="30"/>
        <v/>
      </c>
      <c r="P333" s="8"/>
      <c r="Q333" s="8"/>
      <c r="R333" s="8"/>
      <c r="S333" s="8"/>
    </row>
    <row r="334" spans="1:19" x14ac:dyDescent="0.25">
      <c r="A334" s="197">
        <f t="shared" si="31"/>
        <v>0</v>
      </c>
      <c r="B334" s="76" t="str">
        <f t="shared" si="32"/>
        <v/>
      </c>
      <c r="C334" s="77" t="str">
        <f>IF(G334&lt;&gt;"",IFERROR(ROUND(VLOOKUP(G334,ProductList!J:AO,31,FALSE),0),""),"")</f>
        <v/>
      </c>
      <c r="D334" s="73" t="str">
        <f>IF(E334&lt;&gt;"",IF(D333&lt;&gt;"",D333,#REF!)+1,"")</f>
        <v/>
      </c>
      <c r="E334" s="73"/>
      <c r="F334" s="73"/>
      <c r="G334" s="122"/>
      <c r="H334" s="104"/>
      <c r="I334" s="73"/>
      <c r="J334" s="73"/>
      <c r="K334" s="202"/>
      <c r="L334" s="75" t="str">
        <f t="shared" si="33"/>
        <v/>
      </c>
      <c r="M334" s="75"/>
      <c r="N334" s="75" t="str">
        <f t="shared" si="34"/>
        <v/>
      </c>
      <c r="O334" s="204" t="str">
        <f t="shared" ref="O334:O397" si="35">IF(AND(K334&lt;&gt;"",M334&lt;&gt;""),K334-M334,IF(K334&lt;&gt;"",K334,""))</f>
        <v/>
      </c>
      <c r="P334" s="8"/>
      <c r="Q334" s="8"/>
      <c r="R334" s="8"/>
      <c r="S334" s="8"/>
    </row>
    <row r="335" spans="1:19" x14ac:dyDescent="0.25">
      <c r="A335" s="197">
        <f t="shared" si="31"/>
        <v>0</v>
      </c>
      <c r="B335" s="76" t="str">
        <f t="shared" si="32"/>
        <v/>
      </c>
      <c r="C335" s="77" t="str">
        <f>IF(G335&lt;&gt;"",IFERROR(ROUND(VLOOKUP(G335,ProductList!J:AO,31,FALSE),0),""),"")</f>
        <v/>
      </c>
      <c r="D335" s="73" t="str">
        <f>IF(E335&lt;&gt;"",IF(D334&lt;&gt;"",D334,#REF!)+1,"")</f>
        <v/>
      </c>
      <c r="E335" s="73"/>
      <c r="F335" s="73"/>
      <c r="G335" s="122"/>
      <c r="H335" s="104"/>
      <c r="I335" s="73"/>
      <c r="J335" s="73"/>
      <c r="K335" s="202"/>
      <c r="L335" s="75" t="str">
        <f t="shared" si="33"/>
        <v/>
      </c>
      <c r="M335" s="75"/>
      <c r="N335" s="75" t="str">
        <f t="shared" si="34"/>
        <v/>
      </c>
      <c r="O335" s="204" t="str">
        <f t="shared" si="35"/>
        <v/>
      </c>
      <c r="P335" s="8"/>
      <c r="Q335" s="8"/>
      <c r="R335" s="8"/>
      <c r="S335" s="8"/>
    </row>
    <row r="336" spans="1:19" x14ac:dyDescent="0.25">
      <c r="A336" s="197">
        <f t="shared" si="31"/>
        <v>0</v>
      </c>
      <c r="B336" s="76" t="str">
        <f t="shared" si="32"/>
        <v/>
      </c>
      <c r="C336" s="77" t="str">
        <f>IF(G336&lt;&gt;"",IFERROR(ROUND(VLOOKUP(G336,ProductList!J:AO,31,FALSE),0),""),"")</f>
        <v/>
      </c>
      <c r="D336" s="73" t="str">
        <f>IF(E336&lt;&gt;"",IF(D335&lt;&gt;"",D335,#REF!)+1,"")</f>
        <v/>
      </c>
      <c r="E336" s="73"/>
      <c r="F336" s="73"/>
      <c r="G336" s="122"/>
      <c r="H336" s="104"/>
      <c r="I336" s="73"/>
      <c r="J336" s="73"/>
      <c r="K336" s="202"/>
      <c r="L336" s="75" t="str">
        <f t="shared" si="33"/>
        <v/>
      </c>
      <c r="M336" s="75"/>
      <c r="N336" s="75" t="str">
        <f t="shared" si="34"/>
        <v/>
      </c>
      <c r="O336" s="204" t="str">
        <f t="shared" si="35"/>
        <v/>
      </c>
      <c r="P336" s="8"/>
      <c r="Q336" s="8"/>
      <c r="R336" s="8"/>
      <c r="S336" s="8"/>
    </row>
    <row r="337" spans="1:19" x14ac:dyDescent="0.25">
      <c r="A337" s="197">
        <f t="shared" si="31"/>
        <v>0</v>
      </c>
      <c r="B337" s="76" t="str">
        <f t="shared" si="32"/>
        <v/>
      </c>
      <c r="C337" s="77" t="str">
        <f>IF(G337&lt;&gt;"",IFERROR(ROUND(VLOOKUP(G337,ProductList!J:AO,31,FALSE),0),""),"")</f>
        <v/>
      </c>
      <c r="D337" s="73" t="str">
        <f>IF(E337&lt;&gt;"",IF(D336&lt;&gt;"",D336,#REF!)+1,"")</f>
        <v/>
      </c>
      <c r="E337" s="73"/>
      <c r="F337" s="73"/>
      <c r="G337" s="122"/>
      <c r="H337" s="104"/>
      <c r="I337" s="73"/>
      <c r="J337" s="73"/>
      <c r="K337" s="202"/>
      <c r="L337" s="75" t="str">
        <f t="shared" si="33"/>
        <v/>
      </c>
      <c r="M337" s="75"/>
      <c r="N337" s="75" t="str">
        <f t="shared" si="34"/>
        <v/>
      </c>
      <c r="O337" s="204" t="str">
        <f t="shared" si="35"/>
        <v/>
      </c>
      <c r="P337" s="8"/>
      <c r="Q337" s="8"/>
      <c r="R337" s="8"/>
      <c r="S337" s="8"/>
    </row>
    <row r="338" spans="1:19" x14ac:dyDescent="0.25">
      <c r="A338" s="197">
        <f t="shared" si="31"/>
        <v>0</v>
      </c>
      <c r="B338" s="76" t="str">
        <f t="shared" si="32"/>
        <v/>
      </c>
      <c r="C338" s="77" t="str">
        <f>IF(G338&lt;&gt;"",IFERROR(ROUND(VLOOKUP(G338,ProductList!J:AO,31,FALSE),0),""),"")</f>
        <v/>
      </c>
      <c r="D338" s="73" t="str">
        <f>IF(E338&lt;&gt;"",IF(D337&lt;&gt;"",D337,#REF!)+1,"")</f>
        <v/>
      </c>
      <c r="E338" s="73"/>
      <c r="F338" s="73"/>
      <c r="G338" s="122"/>
      <c r="H338" s="104"/>
      <c r="I338" s="73"/>
      <c r="J338" s="73"/>
      <c r="K338" s="202"/>
      <c r="L338" s="75" t="str">
        <f t="shared" si="33"/>
        <v/>
      </c>
      <c r="M338" s="75"/>
      <c r="N338" s="75" t="str">
        <f t="shared" si="34"/>
        <v/>
      </c>
      <c r="O338" s="204" t="str">
        <f t="shared" si="35"/>
        <v/>
      </c>
      <c r="P338" s="8"/>
      <c r="Q338" s="8"/>
      <c r="R338" s="8"/>
      <c r="S338" s="8"/>
    </row>
    <row r="339" spans="1:19" x14ac:dyDescent="0.25">
      <c r="A339" s="197">
        <f t="shared" si="31"/>
        <v>0</v>
      </c>
      <c r="B339" s="76" t="str">
        <f t="shared" si="32"/>
        <v/>
      </c>
      <c r="C339" s="77" t="str">
        <f>IF(G339&lt;&gt;"",IFERROR(ROUND(VLOOKUP(G339,ProductList!J:AO,31,FALSE),0),""),"")</f>
        <v/>
      </c>
      <c r="D339" s="73" t="str">
        <f>IF(E339&lt;&gt;"",IF(D338&lt;&gt;"",D338,#REF!)+1,"")</f>
        <v/>
      </c>
      <c r="E339" s="73"/>
      <c r="F339" s="73"/>
      <c r="G339" s="122"/>
      <c r="H339" s="104"/>
      <c r="I339" s="73"/>
      <c r="J339" s="73"/>
      <c r="K339" s="202"/>
      <c r="L339" s="75" t="str">
        <f t="shared" si="33"/>
        <v/>
      </c>
      <c r="M339" s="75"/>
      <c r="N339" s="75" t="str">
        <f t="shared" si="34"/>
        <v/>
      </c>
      <c r="O339" s="204" t="str">
        <f t="shared" si="35"/>
        <v/>
      </c>
      <c r="P339" s="8"/>
      <c r="Q339" s="8"/>
      <c r="R339" s="8"/>
      <c r="S339" s="8"/>
    </row>
    <row r="340" spans="1:19" x14ac:dyDescent="0.25">
      <c r="A340" s="197">
        <f t="shared" si="31"/>
        <v>0</v>
      </c>
      <c r="B340" s="76" t="str">
        <f t="shared" si="32"/>
        <v/>
      </c>
      <c r="C340" s="77" t="str">
        <f>IF(G340&lt;&gt;"",IFERROR(ROUND(VLOOKUP(G340,ProductList!J:AO,31,FALSE),0),""),"")</f>
        <v/>
      </c>
      <c r="D340" s="73" t="str">
        <f>IF(E340&lt;&gt;"",IF(D339&lt;&gt;"",D339,#REF!)+1,"")</f>
        <v/>
      </c>
      <c r="E340" s="73"/>
      <c r="F340" s="73"/>
      <c r="G340" s="122"/>
      <c r="H340" s="104"/>
      <c r="I340" s="73"/>
      <c r="J340" s="73"/>
      <c r="K340" s="202"/>
      <c r="L340" s="75" t="str">
        <f t="shared" si="33"/>
        <v/>
      </c>
      <c r="M340" s="75"/>
      <c r="N340" s="75" t="str">
        <f t="shared" si="34"/>
        <v/>
      </c>
      <c r="O340" s="204" t="str">
        <f t="shared" si="35"/>
        <v/>
      </c>
      <c r="P340" s="8"/>
      <c r="Q340" s="8"/>
      <c r="R340" s="8"/>
      <c r="S340" s="8"/>
    </row>
    <row r="341" spans="1:19" x14ac:dyDescent="0.25">
      <c r="A341" s="197">
        <f t="shared" si="31"/>
        <v>0</v>
      </c>
      <c r="B341" s="76" t="str">
        <f t="shared" si="32"/>
        <v/>
      </c>
      <c r="C341" s="77" t="str">
        <f>IF(G341&lt;&gt;"",IFERROR(ROUND(VLOOKUP(G341,ProductList!J:AO,31,FALSE),0),""),"")</f>
        <v/>
      </c>
      <c r="D341" s="73" t="str">
        <f>IF(E341&lt;&gt;"",IF(D340&lt;&gt;"",D340,#REF!)+1,"")</f>
        <v/>
      </c>
      <c r="E341" s="73"/>
      <c r="F341" s="73"/>
      <c r="G341" s="122"/>
      <c r="H341" s="104"/>
      <c r="I341" s="73"/>
      <c r="J341" s="73"/>
      <c r="K341" s="202"/>
      <c r="L341" s="75" t="str">
        <f t="shared" si="33"/>
        <v/>
      </c>
      <c r="M341" s="75"/>
      <c r="N341" s="75" t="str">
        <f t="shared" si="34"/>
        <v/>
      </c>
      <c r="O341" s="204" t="str">
        <f t="shared" si="35"/>
        <v/>
      </c>
      <c r="P341" s="8"/>
      <c r="Q341" s="8"/>
      <c r="R341" s="8"/>
      <c r="S341" s="8"/>
    </row>
    <row r="342" spans="1:19" x14ac:dyDescent="0.25">
      <c r="A342" s="197">
        <f t="shared" si="31"/>
        <v>0</v>
      </c>
      <c r="B342" s="76" t="str">
        <f t="shared" si="32"/>
        <v/>
      </c>
      <c r="C342" s="77" t="str">
        <f>IF(G342&lt;&gt;"",IFERROR(ROUND(VLOOKUP(G342,ProductList!J:AO,31,FALSE),0),""),"")</f>
        <v/>
      </c>
      <c r="D342" s="73" t="str">
        <f>IF(E342&lt;&gt;"",IF(D341&lt;&gt;"",D341,#REF!)+1,"")</f>
        <v/>
      </c>
      <c r="E342" s="73"/>
      <c r="F342" s="73"/>
      <c r="G342" s="122"/>
      <c r="H342" s="104"/>
      <c r="I342" s="73"/>
      <c r="J342" s="73"/>
      <c r="K342" s="202"/>
      <c r="L342" s="75" t="str">
        <f t="shared" si="33"/>
        <v/>
      </c>
      <c r="M342" s="75"/>
      <c r="N342" s="75" t="str">
        <f t="shared" si="34"/>
        <v/>
      </c>
      <c r="O342" s="204" t="str">
        <f t="shared" si="35"/>
        <v/>
      </c>
      <c r="P342" s="8"/>
      <c r="Q342" s="8"/>
      <c r="R342" s="8"/>
      <c r="S342" s="8"/>
    </row>
    <row r="343" spans="1:19" x14ac:dyDescent="0.25">
      <c r="A343" s="197">
        <f t="shared" si="31"/>
        <v>0</v>
      </c>
      <c r="B343" s="76" t="str">
        <f t="shared" si="32"/>
        <v/>
      </c>
      <c r="C343" s="77" t="str">
        <f>IF(G343&lt;&gt;"",IFERROR(ROUND(VLOOKUP(G343,ProductList!J:AO,31,FALSE),0),""),"")</f>
        <v/>
      </c>
      <c r="D343" s="73" t="str">
        <f>IF(E343&lt;&gt;"",IF(D342&lt;&gt;"",D342,#REF!)+1,"")</f>
        <v/>
      </c>
      <c r="E343" s="73"/>
      <c r="F343" s="73"/>
      <c r="G343" s="122"/>
      <c r="H343" s="104"/>
      <c r="I343" s="73"/>
      <c r="J343" s="73"/>
      <c r="K343" s="202"/>
      <c r="L343" s="75" t="str">
        <f t="shared" si="33"/>
        <v/>
      </c>
      <c r="M343" s="75"/>
      <c r="N343" s="75" t="str">
        <f t="shared" si="34"/>
        <v/>
      </c>
      <c r="O343" s="204" t="str">
        <f t="shared" si="35"/>
        <v/>
      </c>
      <c r="P343" s="8"/>
      <c r="Q343" s="8"/>
      <c r="R343" s="8"/>
      <c r="S343" s="8"/>
    </row>
    <row r="344" spans="1:19" x14ac:dyDescent="0.25">
      <c r="A344" s="197">
        <f t="shared" si="31"/>
        <v>0</v>
      </c>
      <c r="B344" s="76" t="str">
        <f t="shared" si="32"/>
        <v/>
      </c>
      <c r="C344" s="77" t="str">
        <f>IF(G344&lt;&gt;"",IFERROR(ROUND(VLOOKUP(G344,ProductList!J:AO,31,FALSE),0),""),"")</f>
        <v/>
      </c>
      <c r="D344" s="73" t="str">
        <f>IF(E344&lt;&gt;"",IF(D343&lt;&gt;"",D343,#REF!)+1,"")</f>
        <v/>
      </c>
      <c r="E344" s="73"/>
      <c r="F344" s="73"/>
      <c r="G344" s="122"/>
      <c r="H344" s="104"/>
      <c r="I344" s="73"/>
      <c r="J344" s="73"/>
      <c r="K344" s="202"/>
      <c r="L344" s="75" t="str">
        <f t="shared" si="33"/>
        <v/>
      </c>
      <c r="M344" s="75"/>
      <c r="N344" s="75" t="str">
        <f t="shared" si="34"/>
        <v/>
      </c>
      <c r="O344" s="204" t="str">
        <f t="shared" si="35"/>
        <v/>
      </c>
      <c r="P344" s="8"/>
      <c r="Q344" s="8"/>
      <c r="R344" s="8"/>
      <c r="S344" s="8"/>
    </row>
    <row r="345" spans="1:19" x14ac:dyDescent="0.25">
      <c r="A345" s="197">
        <f t="shared" si="31"/>
        <v>0</v>
      </c>
      <c r="B345" s="76" t="str">
        <f t="shared" si="32"/>
        <v/>
      </c>
      <c r="C345" s="77" t="str">
        <f>IF(G345&lt;&gt;"",IFERROR(ROUND(VLOOKUP(G345,ProductList!J:AO,31,FALSE),0),""),"")</f>
        <v/>
      </c>
      <c r="D345" s="73" t="str">
        <f>IF(E345&lt;&gt;"",IF(D344&lt;&gt;"",D344,#REF!)+1,"")</f>
        <v/>
      </c>
      <c r="E345" s="73"/>
      <c r="F345" s="73"/>
      <c r="G345" s="122"/>
      <c r="H345" s="104"/>
      <c r="I345" s="73"/>
      <c r="J345" s="73"/>
      <c r="K345" s="202"/>
      <c r="L345" s="75" t="str">
        <f t="shared" si="33"/>
        <v/>
      </c>
      <c r="M345" s="75"/>
      <c r="N345" s="75" t="str">
        <f t="shared" si="34"/>
        <v/>
      </c>
      <c r="O345" s="204" t="str">
        <f t="shared" si="35"/>
        <v/>
      </c>
      <c r="P345" s="8"/>
      <c r="Q345" s="8"/>
      <c r="R345" s="8"/>
      <c r="S345" s="8"/>
    </row>
    <row r="346" spans="1:19" x14ac:dyDescent="0.25">
      <c r="A346" s="197">
        <f t="shared" si="31"/>
        <v>0</v>
      </c>
      <c r="B346" s="76" t="str">
        <f t="shared" si="32"/>
        <v/>
      </c>
      <c r="C346" s="77" t="str">
        <f>IF(G346&lt;&gt;"",IFERROR(ROUND(VLOOKUP(G346,ProductList!J:AO,31,FALSE),0),""),"")</f>
        <v/>
      </c>
      <c r="D346" s="73" t="str">
        <f>IF(E346&lt;&gt;"",IF(D345&lt;&gt;"",D345,#REF!)+1,"")</f>
        <v/>
      </c>
      <c r="E346" s="73"/>
      <c r="F346" s="73"/>
      <c r="G346" s="122"/>
      <c r="H346" s="104"/>
      <c r="I346" s="73"/>
      <c r="J346" s="73"/>
      <c r="K346" s="202"/>
      <c r="L346" s="75" t="str">
        <f t="shared" si="33"/>
        <v/>
      </c>
      <c r="M346" s="75"/>
      <c r="N346" s="75" t="str">
        <f t="shared" si="34"/>
        <v/>
      </c>
      <c r="O346" s="204" t="str">
        <f t="shared" si="35"/>
        <v/>
      </c>
      <c r="P346" s="8"/>
      <c r="Q346" s="8"/>
      <c r="R346" s="8"/>
      <c r="S346" s="8"/>
    </row>
    <row r="347" spans="1:19" x14ac:dyDescent="0.25">
      <c r="A347" s="197">
        <f t="shared" si="31"/>
        <v>0</v>
      </c>
      <c r="B347" s="76" t="str">
        <f t="shared" si="32"/>
        <v/>
      </c>
      <c r="C347" s="77" t="str">
        <f>IF(G347&lt;&gt;"",IFERROR(ROUND(VLOOKUP(G347,ProductList!J:AO,31,FALSE),0),""),"")</f>
        <v/>
      </c>
      <c r="D347" s="73" t="str">
        <f>IF(E347&lt;&gt;"",IF(D346&lt;&gt;"",D346,#REF!)+1,"")</f>
        <v/>
      </c>
      <c r="E347" s="73"/>
      <c r="F347" s="73"/>
      <c r="G347" s="122"/>
      <c r="H347" s="104"/>
      <c r="I347" s="73"/>
      <c r="J347" s="73"/>
      <c r="K347" s="202"/>
      <c r="L347" s="75" t="str">
        <f t="shared" si="33"/>
        <v/>
      </c>
      <c r="M347" s="75"/>
      <c r="N347" s="75" t="str">
        <f t="shared" si="34"/>
        <v/>
      </c>
      <c r="O347" s="204" t="str">
        <f t="shared" si="35"/>
        <v/>
      </c>
      <c r="P347" s="8"/>
      <c r="Q347" s="8"/>
      <c r="R347" s="8"/>
      <c r="S347" s="8"/>
    </row>
    <row r="348" spans="1:19" x14ac:dyDescent="0.25">
      <c r="A348" s="197">
        <f t="shared" si="31"/>
        <v>0</v>
      </c>
      <c r="B348" s="76" t="str">
        <f t="shared" si="32"/>
        <v/>
      </c>
      <c r="C348" s="77" t="str">
        <f>IF(G348&lt;&gt;"",IFERROR(ROUND(VLOOKUP(G348,ProductList!J:AO,31,FALSE),0),""),"")</f>
        <v/>
      </c>
      <c r="D348" s="73" t="str">
        <f>IF(E348&lt;&gt;"",IF(D347&lt;&gt;"",D347,#REF!)+1,"")</f>
        <v/>
      </c>
      <c r="E348" s="73"/>
      <c r="F348" s="73"/>
      <c r="G348" s="122"/>
      <c r="H348" s="104"/>
      <c r="I348" s="73"/>
      <c r="J348" s="73"/>
      <c r="K348" s="202"/>
      <c r="L348" s="75" t="str">
        <f t="shared" si="33"/>
        <v/>
      </c>
      <c r="M348" s="75"/>
      <c r="N348" s="75" t="str">
        <f t="shared" si="34"/>
        <v/>
      </c>
      <c r="O348" s="204" t="str">
        <f t="shared" si="35"/>
        <v/>
      </c>
      <c r="P348" s="8"/>
      <c r="Q348" s="8"/>
      <c r="R348" s="8"/>
      <c r="S348" s="8"/>
    </row>
    <row r="349" spans="1:19" x14ac:dyDescent="0.25">
      <c r="A349" s="197">
        <f t="shared" si="31"/>
        <v>0</v>
      </c>
      <c r="B349" s="76" t="str">
        <f t="shared" si="32"/>
        <v/>
      </c>
      <c r="C349" s="77" t="str">
        <f>IF(G349&lt;&gt;"",IFERROR(ROUND(VLOOKUP(G349,ProductList!J:AO,31,FALSE),0),""),"")</f>
        <v/>
      </c>
      <c r="D349" s="73" t="str">
        <f>IF(E349&lt;&gt;"",IF(D348&lt;&gt;"",D348,#REF!)+1,"")</f>
        <v/>
      </c>
      <c r="E349" s="73"/>
      <c r="F349" s="73"/>
      <c r="G349" s="122"/>
      <c r="H349" s="104"/>
      <c r="I349" s="73"/>
      <c r="J349" s="73"/>
      <c r="K349" s="202"/>
      <c r="L349" s="75" t="str">
        <f t="shared" si="33"/>
        <v/>
      </c>
      <c r="M349" s="75"/>
      <c r="N349" s="75" t="str">
        <f t="shared" si="34"/>
        <v/>
      </c>
      <c r="O349" s="204" t="str">
        <f t="shared" si="35"/>
        <v/>
      </c>
      <c r="P349" s="8"/>
      <c r="Q349" s="8"/>
      <c r="R349" s="8"/>
      <c r="S349" s="8"/>
    </row>
    <row r="350" spans="1:19" x14ac:dyDescent="0.25">
      <c r="A350" s="197">
        <f t="shared" si="31"/>
        <v>0</v>
      </c>
      <c r="B350" s="76" t="str">
        <f t="shared" si="32"/>
        <v/>
      </c>
      <c r="C350" s="77" t="str">
        <f>IF(G350&lt;&gt;"",IFERROR(ROUND(VLOOKUP(G350,ProductList!J:AO,31,FALSE),0),""),"")</f>
        <v/>
      </c>
      <c r="D350" s="73" t="str">
        <f>IF(E350&lt;&gt;"",IF(D349&lt;&gt;"",D349,#REF!)+1,"")</f>
        <v/>
      </c>
      <c r="E350" s="73"/>
      <c r="F350" s="73"/>
      <c r="G350" s="122"/>
      <c r="H350" s="104"/>
      <c r="I350" s="73"/>
      <c r="J350" s="73"/>
      <c r="K350" s="202"/>
      <c r="L350" s="75" t="str">
        <f t="shared" si="33"/>
        <v/>
      </c>
      <c r="M350" s="75"/>
      <c r="N350" s="75" t="str">
        <f t="shared" si="34"/>
        <v/>
      </c>
      <c r="O350" s="204" t="str">
        <f t="shared" si="35"/>
        <v/>
      </c>
      <c r="P350" s="8"/>
      <c r="Q350" s="8"/>
      <c r="R350" s="8"/>
      <c r="S350" s="8"/>
    </row>
    <row r="351" spans="1:19" x14ac:dyDescent="0.25">
      <c r="A351" s="197">
        <f t="shared" si="31"/>
        <v>0</v>
      </c>
      <c r="B351" s="76" t="str">
        <f t="shared" si="32"/>
        <v/>
      </c>
      <c r="C351" s="77" t="str">
        <f>IF(G351&lt;&gt;"",IFERROR(ROUND(VLOOKUP(G351,ProductList!J:AO,31,FALSE),0),""),"")</f>
        <v/>
      </c>
      <c r="D351" s="73" t="str">
        <f>IF(E351&lt;&gt;"",IF(D350&lt;&gt;"",D350,#REF!)+1,"")</f>
        <v/>
      </c>
      <c r="E351" s="73"/>
      <c r="F351" s="73"/>
      <c r="G351" s="122"/>
      <c r="H351" s="104"/>
      <c r="I351" s="73"/>
      <c r="J351" s="73"/>
      <c r="K351" s="202"/>
      <c r="L351" s="75" t="str">
        <f t="shared" si="33"/>
        <v/>
      </c>
      <c r="M351" s="75"/>
      <c r="N351" s="75" t="str">
        <f t="shared" si="34"/>
        <v/>
      </c>
      <c r="O351" s="204" t="str">
        <f t="shared" si="35"/>
        <v/>
      </c>
      <c r="P351" s="8"/>
      <c r="Q351" s="8"/>
      <c r="R351" s="8"/>
      <c r="S351" s="8"/>
    </row>
    <row r="352" spans="1:19" x14ac:dyDescent="0.25">
      <c r="A352" s="197">
        <f t="shared" si="31"/>
        <v>0</v>
      </c>
      <c r="B352" s="76" t="str">
        <f t="shared" si="32"/>
        <v/>
      </c>
      <c r="C352" s="77" t="str">
        <f>IF(G352&lt;&gt;"",IFERROR(ROUND(VLOOKUP(G352,ProductList!J:AO,31,FALSE),0),""),"")</f>
        <v/>
      </c>
      <c r="D352" s="73" t="str">
        <f>IF(E352&lt;&gt;"",IF(D351&lt;&gt;"",D351,#REF!)+1,"")</f>
        <v/>
      </c>
      <c r="E352" s="73"/>
      <c r="F352" s="73"/>
      <c r="G352" s="122"/>
      <c r="H352" s="104"/>
      <c r="I352" s="73"/>
      <c r="J352" s="73"/>
      <c r="K352" s="202"/>
      <c r="L352" s="75" t="str">
        <f t="shared" si="33"/>
        <v/>
      </c>
      <c r="M352" s="75"/>
      <c r="N352" s="75" t="str">
        <f t="shared" si="34"/>
        <v/>
      </c>
      <c r="O352" s="204" t="str">
        <f t="shared" si="35"/>
        <v/>
      </c>
      <c r="P352" s="8"/>
      <c r="Q352" s="8"/>
      <c r="R352" s="8"/>
      <c r="S352" s="8"/>
    </row>
    <row r="353" spans="1:19" x14ac:dyDescent="0.25">
      <c r="A353" s="197">
        <f t="shared" si="31"/>
        <v>0</v>
      </c>
      <c r="B353" s="76" t="str">
        <f t="shared" si="32"/>
        <v/>
      </c>
      <c r="C353" s="77" t="str">
        <f>IF(G353&lt;&gt;"",IFERROR(ROUND(VLOOKUP(G353,ProductList!J:AO,31,FALSE),0),""),"")</f>
        <v/>
      </c>
      <c r="D353" s="73" t="str">
        <f>IF(E353&lt;&gt;"",IF(D352&lt;&gt;"",D352,#REF!)+1,"")</f>
        <v/>
      </c>
      <c r="E353" s="73"/>
      <c r="F353" s="73"/>
      <c r="G353" s="122"/>
      <c r="H353" s="104"/>
      <c r="I353" s="73"/>
      <c r="J353" s="73"/>
      <c r="K353" s="202"/>
      <c r="L353" s="75" t="str">
        <f t="shared" si="33"/>
        <v/>
      </c>
      <c r="M353" s="75"/>
      <c r="N353" s="75" t="str">
        <f t="shared" si="34"/>
        <v/>
      </c>
      <c r="O353" s="204" t="str">
        <f t="shared" si="35"/>
        <v/>
      </c>
      <c r="P353" s="8"/>
      <c r="Q353" s="8"/>
      <c r="R353" s="8"/>
      <c r="S353" s="8"/>
    </row>
    <row r="354" spans="1:19" x14ac:dyDescent="0.25">
      <c r="A354" s="197">
        <f t="shared" si="31"/>
        <v>0</v>
      </c>
      <c r="B354" s="76" t="str">
        <f t="shared" si="32"/>
        <v/>
      </c>
      <c r="C354" s="77" t="str">
        <f>IF(G354&lt;&gt;"",IFERROR(ROUND(VLOOKUP(G354,ProductList!J:AO,31,FALSE),0),""),"")</f>
        <v/>
      </c>
      <c r="D354" s="73" t="str">
        <f>IF(E354&lt;&gt;"",IF(D353&lt;&gt;"",D353,#REF!)+1,"")</f>
        <v/>
      </c>
      <c r="E354" s="73"/>
      <c r="F354" s="73"/>
      <c r="G354" s="122"/>
      <c r="H354" s="104"/>
      <c r="I354" s="73"/>
      <c r="J354" s="73"/>
      <c r="K354" s="202"/>
      <c r="L354" s="75" t="str">
        <f t="shared" si="33"/>
        <v/>
      </c>
      <c r="M354" s="75"/>
      <c r="N354" s="75" t="str">
        <f t="shared" si="34"/>
        <v/>
      </c>
      <c r="O354" s="204" t="str">
        <f t="shared" si="35"/>
        <v/>
      </c>
      <c r="P354" s="8"/>
      <c r="Q354" s="8"/>
      <c r="R354" s="8"/>
      <c r="S354" s="8"/>
    </row>
    <row r="355" spans="1:19" x14ac:dyDescent="0.25">
      <c r="A355" s="197">
        <f t="shared" si="31"/>
        <v>0</v>
      </c>
      <c r="B355" s="76" t="str">
        <f t="shared" si="32"/>
        <v/>
      </c>
      <c r="C355" s="77" t="str">
        <f>IF(G355&lt;&gt;"",IFERROR(ROUND(VLOOKUP(G355,ProductList!J:AO,31,FALSE),0),""),"")</f>
        <v/>
      </c>
      <c r="D355" s="73" t="str">
        <f>IF(E355&lt;&gt;"",IF(D354&lt;&gt;"",D354,#REF!)+1,"")</f>
        <v/>
      </c>
      <c r="E355" s="73"/>
      <c r="F355" s="73"/>
      <c r="G355" s="122"/>
      <c r="H355" s="104"/>
      <c r="I355" s="73"/>
      <c r="J355" s="73"/>
      <c r="K355" s="202"/>
      <c r="L355" s="75" t="str">
        <f t="shared" si="33"/>
        <v/>
      </c>
      <c r="M355" s="75"/>
      <c r="N355" s="75" t="str">
        <f t="shared" si="34"/>
        <v/>
      </c>
      <c r="O355" s="204" t="str">
        <f t="shared" si="35"/>
        <v/>
      </c>
      <c r="P355" s="8"/>
      <c r="Q355" s="8"/>
      <c r="R355" s="8"/>
      <c r="S355" s="8"/>
    </row>
    <row r="356" spans="1:19" x14ac:dyDescent="0.25">
      <c r="A356" s="197">
        <f t="shared" si="31"/>
        <v>0</v>
      </c>
      <c r="B356" s="76" t="str">
        <f t="shared" si="32"/>
        <v/>
      </c>
      <c r="C356" s="77" t="str">
        <f>IF(G356&lt;&gt;"",IFERROR(ROUND(VLOOKUP(G356,ProductList!J:AO,31,FALSE),0),""),"")</f>
        <v/>
      </c>
      <c r="D356" s="73" t="str">
        <f>IF(E356&lt;&gt;"",IF(D355&lt;&gt;"",D355,#REF!)+1,"")</f>
        <v/>
      </c>
      <c r="E356" s="73"/>
      <c r="F356" s="73"/>
      <c r="G356" s="122"/>
      <c r="H356" s="104"/>
      <c r="I356" s="73"/>
      <c r="J356" s="73"/>
      <c r="K356" s="202"/>
      <c r="L356" s="75" t="str">
        <f t="shared" si="33"/>
        <v/>
      </c>
      <c r="M356" s="75"/>
      <c r="N356" s="75" t="str">
        <f t="shared" si="34"/>
        <v/>
      </c>
      <c r="O356" s="204" t="str">
        <f t="shared" si="35"/>
        <v/>
      </c>
      <c r="P356" s="8"/>
      <c r="Q356" s="8"/>
      <c r="R356" s="8"/>
      <c r="S356" s="8"/>
    </row>
    <row r="357" spans="1:19" x14ac:dyDescent="0.25">
      <c r="A357" s="197">
        <f t="shared" si="31"/>
        <v>0</v>
      </c>
      <c r="B357" s="76" t="str">
        <f t="shared" si="32"/>
        <v/>
      </c>
      <c r="C357" s="77" t="str">
        <f>IF(G357&lt;&gt;"",IFERROR(ROUND(VLOOKUP(G357,ProductList!J:AO,31,FALSE),0),""),"")</f>
        <v/>
      </c>
      <c r="D357" s="73" t="str">
        <f>IF(E357&lt;&gt;"",IF(D356&lt;&gt;"",D356,#REF!)+1,"")</f>
        <v/>
      </c>
      <c r="E357" s="73"/>
      <c r="F357" s="73"/>
      <c r="G357" s="122"/>
      <c r="H357" s="104"/>
      <c r="I357" s="73"/>
      <c r="J357" s="73"/>
      <c r="K357" s="202"/>
      <c r="L357" s="75" t="str">
        <f t="shared" si="33"/>
        <v/>
      </c>
      <c r="M357" s="75"/>
      <c r="N357" s="75" t="str">
        <f t="shared" si="34"/>
        <v/>
      </c>
      <c r="O357" s="204" t="str">
        <f t="shared" si="35"/>
        <v/>
      </c>
      <c r="P357" s="8"/>
      <c r="Q357" s="8"/>
      <c r="R357" s="8"/>
      <c r="S357" s="8"/>
    </row>
    <row r="358" spans="1:19" x14ac:dyDescent="0.25">
      <c r="A358" s="197">
        <f t="shared" si="31"/>
        <v>0</v>
      </c>
      <c r="B358" s="76" t="str">
        <f t="shared" si="32"/>
        <v/>
      </c>
      <c r="C358" s="77" t="str">
        <f>IF(G358&lt;&gt;"",IFERROR(ROUND(VLOOKUP(G358,ProductList!J:AO,31,FALSE),0),""),"")</f>
        <v/>
      </c>
      <c r="D358" s="73" t="str">
        <f>IF(E358&lt;&gt;"",IF(D357&lt;&gt;"",D357,#REF!)+1,"")</f>
        <v/>
      </c>
      <c r="E358" s="73"/>
      <c r="F358" s="73"/>
      <c r="G358" s="122"/>
      <c r="H358" s="104"/>
      <c r="I358" s="73"/>
      <c r="J358" s="73"/>
      <c r="K358" s="202"/>
      <c r="L358" s="75" t="str">
        <f t="shared" si="33"/>
        <v/>
      </c>
      <c r="M358" s="75"/>
      <c r="N358" s="75" t="str">
        <f t="shared" si="34"/>
        <v/>
      </c>
      <c r="O358" s="204" t="str">
        <f t="shared" si="35"/>
        <v/>
      </c>
      <c r="P358" s="8"/>
      <c r="Q358" s="8"/>
      <c r="R358" s="8"/>
      <c r="S358" s="8"/>
    </row>
    <row r="359" spans="1:19" x14ac:dyDescent="0.25">
      <c r="A359" s="197">
        <f t="shared" si="31"/>
        <v>0</v>
      </c>
      <c r="B359" s="76" t="str">
        <f t="shared" si="32"/>
        <v/>
      </c>
      <c r="C359" s="77" t="str">
        <f>IF(G359&lt;&gt;"",IFERROR(ROUND(VLOOKUP(G359,ProductList!J:AO,31,FALSE),0),""),"")</f>
        <v/>
      </c>
      <c r="D359" s="73" t="str">
        <f>IF(E359&lt;&gt;"",IF(D358&lt;&gt;"",D358,#REF!)+1,"")</f>
        <v/>
      </c>
      <c r="E359" s="73"/>
      <c r="F359" s="73"/>
      <c r="G359" s="122"/>
      <c r="H359" s="104"/>
      <c r="I359" s="73"/>
      <c r="J359" s="73"/>
      <c r="K359" s="202"/>
      <c r="L359" s="75" t="str">
        <f t="shared" si="33"/>
        <v/>
      </c>
      <c r="M359" s="75"/>
      <c r="N359" s="75" t="str">
        <f t="shared" si="34"/>
        <v/>
      </c>
      <c r="O359" s="204" t="str">
        <f t="shared" si="35"/>
        <v/>
      </c>
      <c r="P359" s="8"/>
      <c r="Q359" s="8"/>
      <c r="R359" s="8"/>
      <c r="S359" s="8"/>
    </row>
    <row r="360" spans="1:19" x14ac:dyDescent="0.25">
      <c r="A360" s="197">
        <f t="shared" si="31"/>
        <v>0</v>
      </c>
      <c r="B360" s="76" t="str">
        <f t="shared" si="32"/>
        <v/>
      </c>
      <c r="C360" s="77" t="str">
        <f>IF(G360&lt;&gt;"",IFERROR(ROUND(VLOOKUP(G360,ProductList!J:AO,31,FALSE),0),""),"")</f>
        <v/>
      </c>
      <c r="D360" s="73" t="str">
        <f>IF(E360&lt;&gt;"",IF(D359&lt;&gt;"",D359,#REF!)+1,"")</f>
        <v/>
      </c>
      <c r="E360" s="73"/>
      <c r="F360" s="73"/>
      <c r="G360" s="122"/>
      <c r="H360" s="104"/>
      <c r="I360" s="73"/>
      <c r="J360" s="73"/>
      <c r="K360" s="202"/>
      <c r="L360" s="75" t="str">
        <f t="shared" si="33"/>
        <v/>
      </c>
      <c r="M360" s="75"/>
      <c r="N360" s="75" t="str">
        <f t="shared" si="34"/>
        <v/>
      </c>
      <c r="O360" s="204" t="str">
        <f t="shared" si="35"/>
        <v/>
      </c>
      <c r="P360" s="8"/>
      <c r="Q360" s="8"/>
      <c r="R360" s="8"/>
      <c r="S360" s="8"/>
    </row>
    <row r="361" spans="1:19" x14ac:dyDescent="0.25">
      <c r="A361" s="197">
        <f t="shared" si="31"/>
        <v>0</v>
      </c>
      <c r="B361" s="76" t="str">
        <f t="shared" si="32"/>
        <v/>
      </c>
      <c r="C361" s="77" t="str">
        <f>IF(G361&lt;&gt;"",IFERROR(ROUND(VLOOKUP(G361,ProductList!J:AO,31,FALSE),0),""),"")</f>
        <v/>
      </c>
      <c r="D361" s="73" t="str">
        <f>IF(E361&lt;&gt;"",IF(D360&lt;&gt;"",D360,#REF!)+1,"")</f>
        <v/>
      </c>
      <c r="E361" s="73"/>
      <c r="F361" s="73"/>
      <c r="G361" s="122"/>
      <c r="H361" s="104"/>
      <c r="I361" s="73"/>
      <c r="J361" s="73"/>
      <c r="K361" s="202"/>
      <c r="L361" s="75" t="str">
        <f t="shared" si="33"/>
        <v/>
      </c>
      <c r="M361" s="75"/>
      <c r="N361" s="75" t="str">
        <f t="shared" si="34"/>
        <v/>
      </c>
      <c r="O361" s="204" t="str">
        <f t="shared" si="35"/>
        <v/>
      </c>
      <c r="P361" s="8"/>
      <c r="Q361" s="8"/>
      <c r="R361" s="8"/>
      <c r="S361" s="8"/>
    </row>
    <row r="362" spans="1:19" x14ac:dyDescent="0.25">
      <c r="A362" s="197">
        <f t="shared" si="31"/>
        <v>0</v>
      </c>
      <c r="B362" s="76" t="str">
        <f t="shared" si="32"/>
        <v/>
      </c>
      <c r="C362" s="77" t="str">
        <f>IF(G362&lt;&gt;"",IFERROR(ROUND(VLOOKUP(G362,ProductList!J:AO,31,FALSE),0),""),"")</f>
        <v/>
      </c>
      <c r="D362" s="73" t="str">
        <f>IF(E362&lt;&gt;"",IF(D361&lt;&gt;"",D361,#REF!)+1,"")</f>
        <v/>
      </c>
      <c r="E362" s="73"/>
      <c r="F362" s="73"/>
      <c r="G362" s="122"/>
      <c r="H362" s="104"/>
      <c r="I362" s="73"/>
      <c r="J362" s="73"/>
      <c r="K362" s="202"/>
      <c r="L362" s="75" t="str">
        <f t="shared" si="33"/>
        <v/>
      </c>
      <c r="M362" s="75"/>
      <c r="N362" s="75" t="str">
        <f t="shared" si="34"/>
        <v/>
      </c>
      <c r="O362" s="204" t="str">
        <f t="shared" si="35"/>
        <v/>
      </c>
      <c r="P362" s="8"/>
      <c r="Q362" s="8"/>
      <c r="R362" s="8"/>
      <c r="S362" s="8"/>
    </row>
    <row r="363" spans="1:19" x14ac:dyDescent="0.25">
      <c r="A363" s="197">
        <f t="shared" si="31"/>
        <v>0</v>
      </c>
      <c r="B363" s="76" t="str">
        <f t="shared" si="32"/>
        <v/>
      </c>
      <c r="C363" s="77" t="str">
        <f>IF(G363&lt;&gt;"",IFERROR(ROUND(VLOOKUP(G363,ProductList!J:AO,31,FALSE),0),""),"")</f>
        <v/>
      </c>
      <c r="D363" s="73" t="str">
        <f>IF(E363&lt;&gt;"",IF(D362&lt;&gt;"",D362,#REF!)+1,"")</f>
        <v/>
      </c>
      <c r="E363" s="73"/>
      <c r="F363" s="73"/>
      <c r="G363" s="122"/>
      <c r="H363" s="104"/>
      <c r="I363" s="73"/>
      <c r="J363" s="73"/>
      <c r="K363" s="202"/>
      <c r="L363" s="75" t="str">
        <f t="shared" si="33"/>
        <v/>
      </c>
      <c r="M363" s="75"/>
      <c r="N363" s="75" t="str">
        <f t="shared" si="34"/>
        <v/>
      </c>
      <c r="O363" s="204" t="str">
        <f t="shared" si="35"/>
        <v/>
      </c>
      <c r="P363" s="8"/>
      <c r="Q363" s="8"/>
      <c r="R363" s="8"/>
      <c r="S363" s="8"/>
    </row>
    <row r="364" spans="1:19" x14ac:dyDescent="0.25">
      <c r="A364" s="197">
        <f t="shared" si="31"/>
        <v>0</v>
      </c>
      <c r="B364" s="76" t="str">
        <f t="shared" si="32"/>
        <v/>
      </c>
      <c r="C364" s="77" t="str">
        <f>IF(G364&lt;&gt;"",IFERROR(ROUND(VLOOKUP(G364,ProductList!J:AO,31,FALSE),0),""),"")</f>
        <v/>
      </c>
      <c r="D364" s="73" t="str">
        <f>IF(E364&lt;&gt;"",IF(D363&lt;&gt;"",D363,#REF!)+1,"")</f>
        <v/>
      </c>
      <c r="E364" s="73"/>
      <c r="F364" s="73"/>
      <c r="G364" s="122"/>
      <c r="H364" s="104"/>
      <c r="I364" s="73"/>
      <c r="J364" s="73"/>
      <c r="K364" s="202"/>
      <c r="L364" s="75" t="str">
        <f t="shared" si="33"/>
        <v/>
      </c>
      <c r="M364" s="75"/>
      <c r="N364" s="75" t="str">
        <f t="shared" si="34"/>
        <v/>
      </c>
      <c r="O364" s="204" t="str">
        <f t="shared" si="35"/>
        <v/>
      </c>
      <c r="P364" s="8"/>
      <c r="Q364" s="8"/>
      <c r="R364" s="8"/>
      <c r="S364" s="8"/>
    </row>
    <row r="365" spans="1:19" x14ac:dyDescent="0.25">
      <c r="A365" s="197">
        <f t="shared" si="31"/>
        <v>0</v>
      </c>
      <c r="B365" s="76" t="str">
        <f t="shared" si="32"/>
        <v/>
      </c>
      <c r="C365" s="77" t="str">
        <f>IF(G365&lt;&gt;"",IFERROR(ROUND(VLOOKUP(G365,ProductList!J:AO,31,FALSE),0),""),"")</f>
        <v/>
      </c>
      <c r="D365" s="73" t="str">
        <f>IF(E365&lt;&gt;"",IF(D364&lt;&gt;"",D364,#REF!)+1,"")</f>
        <v/>
      </c>
      <c r="E365" s="73"/>
      <c r="F365" s="73"/>
      <c r="G365" s="122"/>
      <c r="H365" s="104"/>
      <c r="I365" s="73"/>
      <c r="J365" s="73"/>
      <c r="K365" s="202"/>
      <c r="L365" s="75" t="str">
        <f t="shared" si="33"/>
        <v/>
      </c>
      <c r="M365" s="75"/>
      <c r="N365" s="75" t="str">
        <f t="shared" si="34"/>
        <v/>
      </c>
      <c r="O365" s="204" t="str">
        <f t="shared" si="35"/>
        <v/>
      </c>
      <c r="P365" s="8"/>
      <c r="Q365" s="8"/>
      <c r="R365" s="8"/>
      <c r="S365" s="8"/>
    </row>
    <row r="366" spans="1:19" x14ac:dyDescent="0.25">
      <c r="A366" s="197">
        <f t="shared" si="31"/>
        <v>0</v>
      </c>
      <c r="B366" s="76" t="str">
        <f t="shared" si="32"/>
        <v/>
      </c>
      <c r="C366" s="77" t="str">
        <f>IF(G366&lt;&gt;"",IFERROR(ROUND(VLOOKUP(G366,ProductList!J:AO,31,FALSE),0),""),"")</f>
        <v/>
      </c>
      <c r="D366" s="73" t="str">
        <f>IF(E366&lt;&gt;"",IF(D365&lt;&gt;"",D365,#REF!)+1,"")</f>
        <v/>
      </c>
      <c r="E366" s="73"/>
      <c r="F366" s="73"/>
      <c r="G366" s="122"/>
      <c r="H366" s="104"/>
      <c r="I366" s="73"/>
      <c r="J366" s="73"/>
      <c r="K366" s="202"/>
      <c r="L366" s="75" t="str">
        <f t="shared" si="33"/>
        <v/>
      </c>
      <c r="M366" s="75"/>
      <c r="N366" s="75" t="str">
        <f t="shared" si="34"/>
        <v/>
      </c>
      <c r="O366" s="204" t="str">
        <f t="shared" si="35"/>
        <v/>
      </c>
      <c r="P366" s="8"/>
      <c r="Q366" s="8"/>
      <c r="R366" s="8"/>
      <c r="S366" s="8"/>
    </row>
    <row r="367" spans="1:19" x14ac:dyDescent="0.25">
      <c r="A367" s="197">
        <f t="shared" si="31"/>
        <v>0</v>
      </c>
      <c r="B367" s="76" t="str">
        <f t="shared" si="32"/>
        <v/>
      </c>
      <c r="C367" s="77" t="str">
        <f>IF(G367&lt;&gt;"",IFERROR(ROUND(VLOOKUP(G367,ProductList!J:AO,31,FALSE),0),""),"")</f>
        <v/>
      </c>
      <c r="D367" s="73" t="str">
        <f>IF(E367&lt;&gt;"",IF(D366&lt;&gt;"",D366,#REF!)+1,"")</f>
        <v/>
      </c>
      <c r="E367" s="73"/>
      <c r="F367" s="73"/>
      <c r="G367" s="122"/>
      <c r="H367" s="104"/>
      <c r="I367" s="73"/>
      <c r="J367" s="73"/>
      <c r="K367" s="202"/>
      <c r="L367" s="75" t="str">
        <f t="shared" si="33"/>
        <v/>
      </c>
      <c r="M367" s="75"/>
      <c r="N367" s="75" t="str">
        <f t="shared" si="34"/>
        <v/>
      </c>
      <c r="O367" s="204" t="str">
        <f t="shared" si="35"/>
        <v/>
      </c>
      <c r="P367" s="8"/>
      <c r="Q367" s="8"/>
      <c r="R367" s="8"/>
      <c r="S367" s="8"/>
    </row>
    <row r="368" spans="1:19" x14ac:dyDescent="0.25">
      <c r="A368" s="197">
        <f t="shared" si="31"/>
        <v>0</v>
      </c>
      <c r="B368" s="76" t="str">
        <f t="shared" si="32"/>
        <v/>
      </c>
      <c r="C368" s="77" t="str">
        <f>IF(G368&lt;&gt;"",IFERROR(ROUND(VLOOKUP(G368,ProductList!J:AO,31,FALSE),0),""),"")</f>
        <v/>
      </c>
      <c r="D368" s="73" t="str">
        <f>IF(E368&lt;&gt;"",IF(D367&lt;&gt;"",D367,#REF!)+1,"")</f>
        <v/>
      </c>
      <c r="E368" s="73"/>
      <c r="F368" s="73"/>
      <c r="G368" s="122"/>
      <c r="H368" s="104"/>
      <c r="I368" s="73"/>
      <c r="J368" s="73"/>
      <c r="K368" s="202"/>
      <c r="L368" s="75" t="str">
        <f t="shared" si="33"/>
        <v/>
      </c>
      <c r="M368" s="75"/>
      <c r="N368" s="75" t="str">
        <f t="shared" si="34"/>
        <v/>
      </c>
      <c r="O368" s="204" t="str">
        <f t="shared" si="35"/>
        <v/>
      </c>
      <c r="P368" s="8"/>
      <c r="Q368" s="8"/>
      <c r="R368" s="8"/>
      <c r="S368" s="8"/>
    </row>
    <row r="369" spans="1:19" x14ac:dyDescent="0.25">
      <c r="A369" s="197">
        <f t="shared" si="31"/>
        <v>0</v>
      </c>
      <c r="B369" s="76" t="str">
        <f t="shared" si="32"/>
        <v/>
      </c>
      <c r="C369" s="77" t="str">
        <f>IF(G369&lt;&gt;"",IFERROR(ROUND(VLOOKUP(G369,ProductList!J:AO,31,FALSE),0),""),"")</f>
        <v/>
      </c>
      <c r="D369" s="73" t="str">
        <f>IF(E369&lt;&gt;"",IF(D368&lt;&gt;"",D368,#REF!)+1,"")</f>
        <v/>
      </c>
      <c r="E369" s="73"/>
      <c r="F369" s="73"/>
      <c r="G369" s="122"/>
      <c r="H369" s="104"/>
      <c r="I369" s="73"/>
      <c r="J369" s="73"/>
      <c r="K369" s="202"/>
      <c r="L369" s="75" t="str">
        <f t="shared" si="33"/>
        <v/>
      </c>
      <c r="M369" s="75"/>
      <c r="N369" s="75" t="str">
        <f t="shared" si="34"/>
        <v/>
      </c>
      <c r="O369" s="204" t="str">
        <f t="shared" si="35"/>
        <v/>
      </c>
      <c r="P369" s="8"/>
      <c r="Q369" s="8"/>
      <c r="R369" s="8"/>
      <c r="S369" s="8"/>
    </row>
    <row r="370" spans="1:19" x14ac:dyDescent="0.25">
      <c r="A370" s="197">
        <f t="shared" si="31"/>
        <v>0</v>
      </c>
      <c r="B370" s="76" t="str">
        <f t="shared" si="32"/>
        <v/>
      </c>
      <c r="C370" s="77" t="str">
        <f>IF(G370&lt;&gt;"",IFERROR(ROUND(VLOOKUP(G370,ProductList!J:AO,31,FALSE),0),""),"")</f>
        <v/>
      </c>
      <c r="D370" s="73" t="str">
        <f>IF(E370&lt;&gt;"",IF(D369&lt;&gt;"",D369,#REF!)+1,"")</f>
        <v/>
      </c>
      <c r="E370" s="73"/>
      <c r="F370" s="73"/>
      <c r="G370" s="122"/>
      <c r="H370" s="104"/>
      <c r="I370" s="73"/>
      <c r="J370" s="73"/>
      <c r="K370" s="202"/>
      <c r="L370" s="75" t="str">
        <f t="shared" si="33"/>
        <v/>
      </c>
      <c r="M370" s="75"/>
      <c r="N370" s="75" t="str">
        <f t="shared" si="34"/>
        <v/>
      </c>
      <c r="O370" s="204" t="str">
        <f t="shared" si="35"/>
        <v/>
      </c>
      <c r="P370" s="8"/>
      <c r="Q370" s="8"/>
      <c r="R370" s="8"/>
      <c r="S370" s="8"/>
    </row>
    <row r="371" spans="1:19" x14ac:dyDescent="0.25">
      <c r="A371" s="197">
        <f t="shared" si="31"/>
        <v>0</v>
      </c>
      <c r="B371" s="76" t="str">
        <f t="shared" si="32"/>
        <v/>
      </c>
      <c r="C371" s="77" t="str">
        <f>IF(G371&lt;&gt;"",IFERROR(ROUND(VLOOKUP(G371,ProductList!J:AO,31,FALSE),0),""),"")</f>
        <v/>
      </c>
      <c r="D371" s="73" t="str">
        <f>IF(E371&lt;&gt;"",IF(D370&lt;&gt;"",D370,#REF!)+1,"")</f>
        <v/>
      </c>
      <c r="E371" s="73"/>
      <c r="F371" s="73"/>
      <c r="G371" s="122"/>
      <c r="H371" s="104"/>
      <c r="I371" s="73"/>
      <c r="J371" s="73"/>
      <c r="K371" s="202"/>
      <c r="L371" s="75" t="str">
        <f t="shared" si="33"/>
        <v/>
      </c>
      <c r="M371" s="75"/>
      <c r="N371" s="75" t="str">
        <f t="shared" si="34"/>
        <v/>
      </c>
      <c r="O371" s="204" t="str">
        <f t="shared" si="35"/>
        <v/>
      </c>
      <c r="P371" s="8"/>
      <c r="Q371" s="8"/>
      <c r="R371" s="8"/>
      <c r="S371" s="8"/>
    </row>
    <row r="372" spans="1:19" x14ac:dyDescent="0.25">
      <c r="A372" s="197">
        <f t="shared" si="31"/>
        <v>0</v>
      </c>
      <c r="B372" s="76" t="str">
        <f t="shared" si="32"/>
        <v/>
      </c>
      <c r="C372" s="77" t="str">
        <f>IF(G372&lt;&gt;"",IFERROR(ROUND(VLOOKUP(G372,ProductList!J:AO,31,FALSE),0),""),"")</f>
        <v/>
      </c>
      <c r="D372" s="73" t="str">
        <f>IF(E372&lt;&gt;"",IF(D371&lt;&gt;"",D371,#REF!)+1,"")</f>
        <v/>
      </c>
      <c r="E372" s="73"/>
      <c r="F372" s="73"/>
      <c r="G372" s="122"/>
      <c r="H372" s="104"/>
      <c r="I372" s="73"/>
      <c r="J372" s="73"/>
      <c r="K372" s="202"/>
      <c r="L372" s="75" t="str">
        <f t="shared" si="33"/>
        <v/>
      </c>
      <c r="M372" s="75"/>
      <c r="N372" s="75" t="str">
        <f t="shared" si="34"/>
        <v/>
      </c>
      <c r="O372" s="204" t="str">
        <f t="shared" si="35"/>
        <v/>
      </c>
      <c r="P372" s="8"/>
      <c r="Q372" s="8"/>
      <c r="R372" s="8"/>
      <c r="S372" s="8"/>
    </row>
    <row r="373" spans="1:19" x14ac:dyDescent="0.25">
      <c r="A373" s="197">
        <f t="shared" si="31"/>
        <v>0</v>
      </c>
      <c r="B373" s="76" t="str">
        <f t="shared" si="32"/>
        <v/>
      </c>
      <c r="C373" s="77" t="str">
        <f>IF(G373&lt;&gt;"",IFERROR(ROUND(VLOOKUP(G373,ProductList!J:AO,31,FALSE),0),""),"")</f>
        <v/>
      </c>
      <c r="D373" s="73" t="str">
        <f>IF(E373&lt;&gt;"",IF(D372&lt;&gt;"",D372,#REF!)+1,"")</f>
        <v/>
      </c>
      <c r="E373" s="73"/>
      <c r="F373" s="73"/>
      <c r="G373" s="122"/>
      <c r="H373" s="104"/>
      <c r="I373" s="73"/>
      <c r="J373" s="73"/>
      <c r="K373" s="202"/>
      <c r="L373" s="75" t="str">
        <f t="shared" si="33"/>
        <v/>
      </c>
      <c r="M373" s="75"/>
      <c r="N373" s="75" t="str">
        <f t="shared" si="34"/>
        <v/>
      </c>
      <c r="O373" s="204" t="str">
        <f t="shared" si="35"/>
        <v/>
      </c>
      <c r="P373" s="8"/>
      <c r="Q373" s="8"/>
      <c r="R373" s="8"/>
      <c r="S373" s="8"/>
    </row>
    <row r="374" spans="1:19" x14ac:dyDescent="0.25">
      <c r="A374" s="197">
        <f t="shared" si="31"/>
        <v>0</v>
      </c>
      <c r="B374" s="76" t="str">
        <f t="shared" si="32"/>
        <v/>
      </c>
      <c r="C374" s="77" t="str">
        <f>IF(G374&lt;&gt;"",IFERROR(ROUND(VLOOKUP(G374,ProductList!J:AO,31,FALSE),0),""),"")</f>
        <v/>
      </c>
      <c r="D374" s="73" t="str">
        <f>IF(E374&lt;&gt;"",IF(D373&lt;&gt;"",D373,#REF!)+1,"")</f>
        <v/>
      </c>
      <c r="E374" s="73"/>
      <c r="F374" s="73"/>
      <c r="G374" s="122"/>
      <c r="H374" s="104"/>
      <c r="I374" s="73"/>
      <c r="J374" s="73"/>
      <c r="K374" s="202"/>
      <c r="L374" s="75" t="str">
        <f t="shared" si="33"/>
        <v/>
      </c>
      <c r="M374" s="75"/>
      <c r="N374" s="75" t="str">
        <f t="shared" si="34"/>
        <v/>
      </c>
      <c r="O374" s="204" t="str">
        <f t="shared" si="35"/>
        <v/>
      </c>
      <c r="P374" s="8"/>
      <c r="Q374" s="8"/>
      <c r="R374" s="8"/>
      <c r="S374" s="8"/>
    </row>
    <row r="375" spans="1:19" x14ac:dyDescent="0.25">
      <c r="A375" s="197">
        <f t="shared" si="31"/>
        <v>0</v>
      </c>
      <c r="B375" s="76" t="str">
        <f t="shared" si="32"/>
        <v/>
      </c>
      <c r="C375" s="77" t="str">
        <f>IF(G375&lt;&gt;"",IFERROR(ROUND(VLOOKUP(G375,ProductList!J:AO,31,FALSE),0),""),"")</f>
        <v/>
      </c>
      <c r="D375" s="73" t="str">
        <f>IF(E375&lt;&gt;"",IF(D374&lt;&gt;"",D374,#REF!)+1,"")</f>
        <v/>
      </c>
      <c r="E375" s="73"/>
      <c r="F375" s="73"/>
      <c r="G375" s="122"/>
      <c r="H375" s="104"/>
      <c r="I375" s="73"/>
      <c r="J375" s="73"/>
      <c r="K375" s="202"/>
      <c r="L375" s="75" t="str">
        <f t="shared" si="33"/>
        <v/>
      </c>
      <c r="M375" s="75"/>
      <c r="N375" s="75" t="str">
        <f t="shared" si="34"/>
        <v/>
      </c>
      <c r="O375" s="204" t="str">
        <f t="shared" si="35"/>
        <v/>
      </c>
      <c r="P375" s="8"/>
      <c r="Q375" s="8"/>
      <c r="R375" s="8"/>
      <c r="S375" s="8"/>
    </row>
    <row r="376" spans="1:19" x14ac:dyDescent="0.25">
      <c r="A376" s="197">
        <f t="shared" si="31"/>
        <v>0</v>
      </c>
      <c r="B376" s="76" t="str">
        <f t="shared" si="32"/>
        <v/>
      </c>
      <c r="C376" s="77" t="str">
        <f>IF(G376&lt;&gt;"",IFERROR(ROUND(VLOOKUP(G376,ProductList!J:AO,31,FALSE),0),""),"")</f>
        <v/>
      </c>
      <c r="D376" s="73" t="str">
        <f>IF(E376&lt;&gt;"",IF(D375&lt;&gt;"",D375,#REF!)+1,"")</f>
        <v/>
      </c>
      <c r="E376" s="73"/>
      <c r="F376" s="73"/>
      <c r="G376" s="122"/>
      <c r="H376" s="104"/>
      <c r="I376" s="73"/>
      <c r="J376" s="73"/>
      <c r="K376" s="202"/>
      <c r="L376" s="75" t="str">
        <f t="shared" si="33"/>
        <v/>
      </c>
      <c r="M376" s="75"/>
      <c r="N376" s="75" t="str">
        <f t="shared" si="34"/>
        <v/>
      </c>
      <c r="O376" s="204" t="str">
        <f t="shared" si="35"/>
        <v/>
      </c>
      <c r="P376" s="8"/>
      <c r="Q376" s="8"/>
      <c r="R376" s="8"/>
      <c r="S376" s="8"/>
    </row>
    <row r="377" spans="1:19" x14ac:dyDescent="0.25">
      <c r="A377" s="197">
        <f t="shared" si="31"/>
        <v>0</v>
      </c>
      <c r="B377" s="76" t="str">
        <f t="shared" si="32"/>
        <v/>
      </c>
      <c r="C377" s="77" t="str">
        <f>IF(G377&lt;&gt;"",IFERROR(ROUND(VLOOKUP(G377,ProductList!J:AO,31,FALSE),0),""),"")</f>
        <v/>
      </c>
      <c r="D377" s="73" t="str">
        <f>IF(E377&lt;&gt;"",IF(D376&lt;&gt;"",D376,#REF!)+1,"")</f>
        <v/>
      </c>
      <c r="E377" s="73"/>
      <c r="F377" s="73"/>
      <c r="G377" s="122"/>
      <c r="H377" s="104"/>
      <c r="I377" s="73"/>
      <c r="J377" s="73"/>
      <c r="K377" s="202"/>
      <c r="L377" s="75" t="str">
        <f t="shared" si="33"/>
        <v/>
      </c>
      <c r="M377" s="75"/>
      <c r="N377" s="75" t="str">
        <f t="shared" si="34"/>
        <v/>
      </c>
      <c r="O377" s="204" t="str">
        <f t="shared" si="35"/>
        <v/>
      </c>
      <c r="P377" s="8"/>
      <c r="Q377" s="8"/>
      <c r="R377" s="8"/>
      <c r="S377" s="8"/>
    </row>
    <row r="378" spans="1:19" x14ac:dyDescent="0.25">
      <c r="A378" s="197">
        <f t="shared" si="31"/>
        <v>0</v>
      </c>
      <c r="B378" s="76" t="str">
        <f t="shared" si="32"/>
        <v/>
      </c>
      <c r="C378" s="77" t="str">
        <f>IF(G378&lt;&gt;"",IFERROR(ROUND(VLOOKUP(G378,ProductList!J:AO,31,FALSE),0),""),"")</f>
        <v/>
      </c>
      <c r="D378" s="73" t="str">
        <f>IF(E378&lt;&gt;"",IF(D377&lt;&gt;"",D377,#REF!)+1,"")</f>
        <v/>
      </c>
      <c r="E378" s="73"/>
      <c r="F378" s="73"/>
      <c r="G378" s="122"/>
      <c r="H378" s="104"/>
      <c r="I378" s="73"/>
      <c r="J378" s="73"/>
      <c r="K378" s="202"/>
      <c r="L378" s="75" t="str">
        <f t="shared" si="33"/>
        <v/>
      </c>
      <c r="M378" s="75"/>
      <c r="N378" s="75" t="str">
        <f t="shared" si="34"/>
        <v/>
      </c>
      <c r="O378" s="204" t="str">
        <f t="shared" si="35"/>
        <v/>
      </c>
      <c r="P378" s="8"/>
      <c r="Q378" s="8"/>
      <c r="R378" s="8"/>
      <c r="S378" s="8"/>
    </row>
    <row r="379" spans="1:19" x14ac:dyDescent="0.25">
      <c r="A379" s="197">
        <f t="shared" si="31"/>
        <v>0</v>
      </c>
      <c r="B379" s="76" t="str">
        <f t="shared" si="32"/>
        <v/>
      </c>
      <c r="C379" s="77" t="str">
        <f>IF(G379&lt;&gt;"",IFERROR(ROUND(VLOOKUP(G379,ProductList!J:AO,31,FALSE),0),""),"")</f>
        <v/>
      </c>
      <c r="D379" s="73" t="str">
        <f>IF(E379&lt;&gt;"",IF(D378&lt;&gt;"",D378,#REF!)+1,"")</f>
        <v/>
      </c>
      <c r="E379" s="73"/>
      <c r="F379" s="73"/>
      <c r="G379" s="122"/>
      <c r="H379" s="104"/>
      <c r="I379" s="73"/>
      <c r="J379" s="73"/>
      <c r="K379" s="202"/>
      <c r="L379" s="75" t="str">
        <f t="shared" si="33"/>
        <v/>
      </c>
      <c r="M379" s="75"/>
      <c r="N379" s="75" t="str">
        <f t="shared" si="34"/>
        <v/>
      </c>
      <c r="O379" s="204" t="str">
        <f t="shared" si="35"/>
        <v/>
      </c>
      <c r="P379" s="8"/>
      <c r="Q379" s="8"/>
      <c r="R379" s="8"/>
      <c r="S379" s="8"/>
    </row>
    <row r="380" spans="1:19" x14ac:dyDescent="0.25">
      <c r="A380" s="197">
        <f t="shared" si="31"/>
        <v>0</v>
      </c>
      <c r="B380" s="76" t="str">
        <f t="shared" si="32"/>
        <v/>
      </c>
      <c r="C380" s="77" t="str">
        <f>IF(G380&lt;&gt;"",IFERROR(ROUND(VLOOKUP(G380,ProductList!J:AO,31,FALSE),0),""),"")</f>
        <v/>
      </c>
      <c r="D380" s="73" t="str">
        <f>IF(E380&lt;&gt;"",IF(D379&lt;&gt;"",D379,#REF!)+1,"")</f>
        <v/>
      </c>
      <c r="E380" s="73"/>
      <c r="F380" s="73"/>
      <c r="G380" s="122"/>
      <c r="H380" s="104"/>
      <c r="I380" s="73"/>
      <c r="J380" s="73"/>
      <c r="K380" s="202"/>
      <c r="L380" s="75" t="str">
        <f t="shared" si="33"/>
        <v/>
      </c>
      <c r="M380" s="75"/>
      <c r="N380" s="75" t="str">
        <f t="shared" si="34"/>
        <v/>
      </c>
      <c r="O380" s="204" t="str">
        <f t="shared" si="35"/>
        <v/>
      </c>
      <c r="P380" s="8"/>
      <c r="Q380" s="8"/>
      <c r="R380" s="8"/>
      <c r="S380" s="8"/>
    </row>
    <row r="381" spans="1:19" x14ac:dyDescent="0.25">
      <c r="A381" s="197">
        <f t="shared" si="31"/>
        <v>0</v>
      </c>
      <c r="B381" s="76" t="str">
        <f t="shared" si="32"/>
        <v/>
      </c>
      <c r="C381" s="77" t="str">
        <f>IF(G381&lt;&gt;"",IFERROR(ROUND(VLOOKUP(G381,ProductList!J:AO,31,FALSE),0),""),"")</f>
        <v/>
      </c>
      <c r="D381" s="73" t="str">
        <f>IF(E381&lt;&gt;"",IF(D380&lt;&gt;"",D380,#REF!)+1,"")</f>
        <v/>
      </c>
      <c r="E381" s="73"/>
      <c r="F381" s="73"/>
      <c r="G381" s="122"/>
      <c r="H381" s="104"/>
      <c r="I381" s="73"/>
      <c r="J381" s="73"/>
      <c r="K381" s="202"/>
      <c r="L381" s="75" t="str">
        <f t="shared" si="33"/>
        <v/>
      </c>
      <c r="M381" s="75"/>
      <c r="N381" s="75" t="str">
        <f t="shared" si="34"/>
        <v/>
      </c>
      <c r="O381" s="204" t="str">
        <f t="shared" si="35"/>
        <v/>
      </c>
      <c r="P381" s="8"/>
      <c r="Q381" s="8"/>
      <c r="R381" s="8"/>
      <c r="S381" s="8"/>
    </row>
    <row r="382" spans="1:19" x14ac:dyDescent="0.25">
      <c r="A382" s="197">
        <f t="shared" si="31"/>
        <v>0</v>
      </c>
      <c r="B382" s="76" t="str">
        <f t="shared" si="32"/>
        <v/>
      </c>
      <c r="C382" s="77" t="str">
        <f>IF(G382&lt;&gt;"",IFERROR(ROUND(VLOOKUP(G382,ProductList!J:AO,31,FALSE),0),""),"")</f>
        <v/>
      </c>
      <c r="D382" s="73" t="str">
        <f>IF(E382&lt;&gt;"",IF(D381&lt;&gt;"",D381,#REF!)+1,"")</f>
        <v/>
      </c>
      <c r="E382" s="73"/>
      <c r="F382" s="73"/>
      <c r="G382" s="122"/>
      <c r="H382" s="104"/>
      <c r="I382" s="73"/>
      <c r="J382" s="73"/>
      <c r="K382" s="202"/>
      <c r="L382" s="75" t="str">
        <f t="shared" si="33"/>
        <v/>
      </c>
      <c r="M382" s="75"/>
      <c r="N382" s="75" t="str">
        <f t="shared" si="34"/>
        <v/>
      </c>
      <c r="O382" s="204" t="str">
        <f t="shared" si="35"/>
        <v/>
      </c>
      <c r="P382" s="8"/>
      <c r="Q382" s="8"/>
      <c r="R382" s="8"/>
      <c r="S382" s="8"/>
    </row>
    <row r="383" spans="1:19" x14ac:dyDescent="0.25">
      <c r="A383" s="197">
        <f t="shared" si="31"/>
        <v>0</v>
      </c>
      <c r="B383" s="76" t="str">
        <f t="shared" si="32"/>
        <v/>
      </c>
      <c r="C383" s="77" t="str">
        <f>IF(G383&lt;&gt;"",IFERROR(ROUND(VLOOKUP(G383,ProductList!J:AO,31,FALSE),0),""),"")</f>
        <v/>
      </c>
      <c r="D383" s="73" t="str">
        <f>IF(E383&lt;&gt;"",IF(D382&lt;&gt;"",D382,#REF!)+1,"")</f>
        <v/>
      </c>
      <c r="E383" s="73"/>
      <c r="F383" s="73"/>
      <c r="G383" s="122"/>
      <c r="H383" s="104"/>
      <c r="I383" s="73"/>
      <c r="J383" s="73"/>
      <c r="K383" s="202"/>
      <c r="L383" s="75" t="str">
        <f t="shared" si="33"/>
        <v/>
      </c>
      <c r="M383" s="75"/>
      <c r="N383" s="75" t="str">
        <f t="shared" si="34"/>
        <v/>
      </c>
      <c r="O383" s="204" t="str">
        <f t="shared" si="35"/>
        <v/>
      </c>
      <c r="P383" s="8"/>
      <c r="Q383" s="8"/>
      <c r="R383" s="8"/>
      <c r="S383" s="8"/>
    </row>
    <row r="384" spans="1:19" x14ac:dyDescent="0.25">
      <c r="A384" s="197">
        <f t="shared" si="31"/>
        <v>0</v>
      </c>
      <c r="B384" s="76" t="str">
        <f t="shared" si="32"/>
        <v/>
      </c>
      <c r="C384" s="77" t="str">
        <f>IF(G384&lt;&gt;"",IFERROR(ROUND(VLOOKUP(G384,ProductList!J:AO,31,FALSE),0),""),"")</f>
        <v/>
      </c>
      <c r="D384" s="73" t="str">
        <f>IF(E384&lt;&gt;"",IF(D383&lt;&gt;"",D383,#REF!)+1,"")</f>
        <v/>
      </c>
      <c r="E384" s="73"/>
      <c r="F384" s="73"/>
      <c r="G384" s="122"/>
      <c r="H384" s="104"/>
      <c r="I384" s="73"/>
      <c r="J384" s="73"/>
      <c r="K384" s="202"/>
      <c r="L384" s="75" t="str">
        <f t="shared" si="33"/>
        <v/>
      </c>
      <c r="M384" s="75"/>
      <c r="N384" s="75" t="str">
        <f t="shared" si="34"/>
        <v/>
      </c>
      <c r="O384" s="204" t="str">
        <f t="shared" si="35"/>
        <v/>
      </c>
      <c r="P384" s="8"/>
      <c r="Q384" s="8"/>
      <c r="R384" s="8"/>
      <c r="S384" s="8"/>
    </row>
    <row r="385" spans="1:19" x14ac:dyDescent="0.25">
      <c r="A385" s="197">
        <f t="shared" si="31"/>
        <v>0</v>
      </c>
      <c r="B385" s="76" t="str">
        <f t="shared" si="32"/>
        <v/>
      </c>
      <c r="C385" s="77" t="str">
        <f>IF(G385&lt;&gt;"",IFERROR(ROUND(VLOOKUP(G385,ProductList!J:AO,31,FALSE),0),""),"")</f>
        <v/>
      </c>
      <c r="D385" s="73" t="str">
        <f>IF(E385&lt;&gt;"",IF(D384&lt;&gt;"",D384,#REF!)+1,"")</f>
        <v/>
      </c>
      <c r="E385" s="73"/>
      <c r="F385" s="73"/>
      <c r="G385" s="122"/>
      <c r="H385" s="104"/>
      <c r="I385" s="73"/>
      <c r="J385" s="73"/>
      <c r="K385" s="202"/>
      <c r="L385" s="75" t="str">
        <f t="shared" si="33"/>
        <v/>
      </c>
      <c r="M385" s="75"/>
      <c r="N385" s="75" t="str">
        <f t="shared" si="34"/>
        <v/>
      </c>
      <c r="O385" s="204" t="str">
        <f t="shared" si="35"/>
        <v/>
      </c>
      <c r="P385" s="8"/>
      <c r="Q385" s="8"/>
      <c r="R385" s="8"/>
      <c r="S385" s="8"/>
    </row>
    <row r="386" spans="1:19" x14ac:dyDescent="0.25">
      <c r="A386" s="197">
        <f t="shared" si="31"/>
        <v>0</v>
      </c>
      <c r="B386" s="76" t="str">
        <f t="shared" si="32"/>
        <v/>
      </c>
      <c r="C386" s="77" t="str">
        <f>IF(G386&lt;&gt;"",IFERROR(ROUND(VLOOKUP(G386,ProductList!J:AO,31,FALSE),0),""),"")</f>
        <v/>
      </c>
      <c r="D386" s="73" t="str">
        <f>IF(E386&lt;&gt;"",IF(D385&lt;&gt;"",D385,#REF!)+1,"")</f>
        <v/>
      </c>
      <c r="E386" s="73"/>
      <c r="F386" s="73"/>
      <c r="G386" s="122"/>
      <c r="H386" s="104"/>
      <c r="I386" s="73"/>
      <c r="J386" s="73"/>
      <c r="K386" s="202"/>
      <c r="L386" s="75" t="str">
        <f t="shared" si="33"/>
        <v/>
      </c>
      <c r="M386" s="75"/>
      <c r="N386" s="75" t="str">
        <f t="shared" si="34"/>
        <v/>
      </c>
      <c r="O386" s="204" t="str">
        <f t="shared" si="35"/>
        <v/>
      </c>
      <c r="P386" s="8"/>
      <c r="Q386" s="8"/>
      <c r="R386" s="8"/>
      <c r="S386" s="8"/>
    </row>
    <row r="387" spans="1:19" x14ac:dyDescent="0.25">
      <c r="A387" s="197">
        <f t="shared" si="31"/>
        <v>0</v>
      </c>
      <c r="B387" s="76" t="str">
        <f t="shared" si="32"/>
        <v/>
      </c>
      <c r="C387" s="77" t="str">
        <f>IF(G387&lt;&gt;"",IFERROR(ROUND(VLOOKUP(G387,ProductList!J:AO,31,FALSE),0),""),"")</f>
        <v/>
      </c>
      <c r="D387" s="73" t="str">
        <f>IF(E387&lt;&gt;"",IF(D386&lt;&gt;"",D386,#REF!)+1,"")</f>
        <v/>
      </c>
      <c r="E387" s="73"/>
      <c r="F387" s="73"/>
      <c r="G387" s="122"/>
      <c r="H387" s="104"/>
      <c r="I387" s="73"/>
      <c r="J387" s="73"/>
      <c r="K387" s="202"/>
      <c r="L387" s="75" t="str">
        <f t="shared" si="33"/>
        <v/>
      </c>
      <c r="M387" s="75"/>
      <c r="N387" s="75" t="str">
        <f t="shared" si="34"/>
        <v/>
      </c>
      <c r="O387" s="204" t="str">
        <f t="shared" si="35"/>
        <v/>
      </c>
      <c r="P387" s="8"/>
      <c r="Q387" s="8"/>
      <c r="R387" s="8"/>
      <c r="S387" s="8"/>
    </row>
    <row r="388" spans="1:19" x14ac:dyDescent="0.25">
      <c r="A388" s="197">
        <f t="shared" si="31"/>
        <v>0</v>
      </c>
      <c r="B388" s="76" t="str">
        <f t="shared" si="32"/>
        <v/>
      </c>
      <c r="C388" s="77" t="str">
        <f>IF(G388&lt;&gt;"",IFERROR(ROUND(VLOOKUP(G388,ProductList!J:AO,31,FALSE),0),""),"")</f>
        <v/>
      </c>
      <c r="D388" s="73" t="str">
        <f>IF(E388&lt;&gt;"",IF(D387&lt;&gt;"",D387,#REF!)+1,"")</f>
        <v/>
      </c>
      <c r="E388" s="73"/>
      <c r="F388" s="73"/>
      <c r="G388" s="122"/>
      <c r="H388" s="104"/>
      <c r="I388" s="73"/>
      <c r="J388" s="73"/>
      <c r="K388" s="202"/>
      <c r="L388" s="75" t="str">
        <f t="shared" si="33"/>
        <v/>
      </c>
      <c r="M388" s="75"/>
      <c r="N388" s="75" t="str">
        <f t="shared" si="34"/>
        <v/>
      </c>
      <c r="O388" s="204" t="str">
        <f t="shared" si="35"/>
        <v/>
      </c>
      <c r="P388" s="8"/>
      <c r="Q388" s="8"/>
      <c r="R388" s="8"/>
      <c r="S388" s="8"/>
    </row>
    <row r="389" spans="1:19" x14ac:dyDescent="0.25">
      <c r="A389" s="197">
        <f t="shared" ref="A389:A452" si="36">IF(AND(E389&lt;&gt;""),IF(A388&lt;&gt;"",A388,0)+1,A388)</f>
        <v>0</v>
      </c>
      <c r="B389" s="76" t="str">
        <f t="shared" si="32"/>
        <v/>
      </c>
      <c r="C389" s="77" t="str">
        <f>IF(G389&lt;&gt;"",IFERROR(ROUND(VLOOKUP(G389,ProductList!J:AO,31,FALSE),0),""),"")</f>
        <v/>
      </c>
      <c r="D389" s="73" t="str">
        <f>IF(E389&lt;&gt;"",IF(D388&lt;&gt;"",D388,#REF!)+1,"")</f>
        <v/>
      </c>
      <c r="E389" s="73"/>
      <c r="F389" s="73"/>
      <c r="G389" s="122"/>
      <c r="H389" s="104"/>
      <c r="I389" s="73"/>
      <c r="J389" s="73"/>
      <c r="K389" s="202"/>
      <c r="L389" s="75" t="str">
        <f t="shared" si="33"/>
        <v/>
      </c>
      <c r="M389" s="75"/>
      <c r="N389" s="75" t="str">
        <f t="shared" si="34"/>
        <v/>
      </c>
      <c r="O389" s="204" t="str">
        <f t="shared" si="35"/>
        <v/>
      </c>
      <c r="P389" s="8"/>
      <c r="Q389" s="8"/>
      <c r="R389" s="8"/>
      <c r="S389" s="8"/>
    </row>
    <row r="390" spans="1:19" x14ac:dyDescent="0.25">
      <c r="A390" s="197">
        <f t="shared" si="36"/>
        <v>0</v>
      </c>
      <c r="B390" s="76" t="str">
        <f t="shared" ref="B390:B453" si="37">IF(AND(L390&lt;&gt;"",F390&lt;&gt;""),ROUND((((L390-F390)*100)/F390),2),"")</f>
        <v/>
      </c>
      <c r="C390" s="77" t="str">
        <f>IF(G390&lt;&gt;"",IFERROR(ROUND(VLOOKUP(G390,ProductList!J:AO,31,FALSE),0),""),"")</f>
        <v/>
      </c>
      <c r="D390" s="73" t="str">
        <f>IF(E390&lt;&gt;"",IF(D389&lt;&gt;"",D389,#REF!)+1,"")</f>
        <v/>
      </c>
      <c r="E390" s="73"/>
      <c r="F390" s="73"/>
      <c r="G390" s="122"/>
      <c r="H390" s="104"/>
      <c r="I390" s="73"/>
      <c r="J390" s="73"/>
      <c r="K390" s="202"/>
      <c r="L390" s="75" t="str">
        <f t="shared" ref="L390:L453" si="38">IF(AND(J390&lt;&gt;"",K390&lt;&gt;""),K390*J390,"")</f>
        <v/>
      </c>
      <c r="M390" s="75"/>
      <c r="N390" s="75" t="str">
        <f t="shared" ref="N390:N453" si="39">IF(AND(M390&lt;&gt;"",J390&lt;&gt;""),M390*J390,"")</f>
        <v/>
      </c>
      <c r="O390" s="204" t="str">
        <f t="shared" si="35"/>
        <v/>
      </c>
      <c r="P390" s="8"/>
      <c r="Q390" s="8"/>
      <c r="R390" s="8"/>
      <c r="S390" s="8"/>
    </row>
    <row r="391" spans="1:19" x14ac:dyDescent="0.25">
      <c r="A391" s="197">
        <f t="shared" si="36"/>
        <v>0</v>
      </c>
      <c r="B391" s="76" t="str">
        <f t="shared" si="37"/>
        <v/>
      </c>
      <c r="C391" s="77" t="str">
        <f>IF(G391&lt;&gt;"",IFERROR(ROUND(VLOOKUP(G391,ProductList!J:AO,31,FALSE),0),""),"")</f>
        <v/>
      </c>
      <c r="D391" s="73" t="str">
        <f>IF(E391&lt;&gt;"",IF(D390&lt;&gt;"",D390,#REF!)+1,"")</f>
        <v/>
      </c>
      <c r="E391" s="73"/>
      <c r="F391" s="73"/>
      <c r="G391" s="122"/>
      <c r="H391" s="104"/>
      <c r="I391" s="73"/>
      <c r="J391" s="73"/>
      <c r="K391" s="202"/>
      <c r="L391" s="75" t="str">
        <f t="shared" si="38"/>
        <v/>
      </c>
      <c r="M391" s="75"/>
      <c r="N391" s="75" t="str">
        <f t="shared" si="39"/>
        <v/>
      </c>
      <c r="O391" s="204" t="str">
        <f t="shared" si="35"/>
        <v/>
      </c>
      <c r="P391" s="8"/>
      <c r="Q391" s="8"/>
      <c r="R391" s="8"/>
      <c r="S391" s="8"/>
    </row>
    <row r="392" spans="1:19" x14ac:dyDescent="0.25">
      <c r="A392" s="197">
        <f t="shared" si="36"/>
        <v>0</v>
      </c>
      <c r="B392" s="76" t="str">
        <f t="shared" si="37"/>
        <v/>
      </c>
      <c r="C392" s="77" t="str">
        <f>IF(G392&lt;&gt;"",IFERROR(ROUND(VLOOKUP(G392,ProductList!J:AO,31,FALSE),0),""),"")</f>
        <v/>
      </c>
      <c r="D392" s="73" t="str">
        <f>IF(E392&lt;&gt;"",IF(D391&lt;&gt;"",D391,#REF!)+1,"")</f>
        <v/>
      </c>
      <c r="E392" s="73"/>
      <c r="F392" s="73"/>
      <c r="G392" s="122"/>
      <c r="H392" s="104"/>
      <c r="I392" s="73"/>
      <c r="J392" s="73"/>
      <c r="K392" s="202"/>
      <c r="L392" s="75" t="str">
        <f t="shared" si="38"/>
        <v/>
      </c>
      <c r="M392" s="75"/>
      <c r="N392" s="75" t="str">
        <f t="shared" si="39"/>
        <v/>
      </c>
      <c r="O392" s="204" t="str">
        <f t="shared" si="35"/>
        <v/>
      </c>
      <c r="P392" s="8"/>
      <c r="Q392" s="8"/>
      <c r="R392" s="8"/>
      <c r="S392" s="8"/>
    </row>
    <row r="393" spans="1:19" x14ac:dyDescent="0.25">
      <c r="A393" s="197">
        <f t="shared" si="36"/>
        <v>0</v>
      </c>
      <c r="B393" s="76" t="str">
        <f t="shared" si="37"/>
        <v/>
      </c>
      <c r="C393" s="77" t="str">
        <f>IF(G393&lt;&gt;"",IFERROR(ROUND(VLOOKUP(G393,ProductList!J:AO,31,FALSE),0),""),"")</f>
        <v/>
      </c>
      <c r="D393" s="73" t="str">
        <f>IF(E393&lt;&gt;"",IF(D392&lt;&gt;"",D392,#REF!)+1,"")</f>
        <v/>
      </c>
      <c r="E393" s="73"/>
      <c r="F393" s="73"/>
      <c r="G393" s="122"/>
      <c r="H393" s="104"/>
      <c r="I393" s="73"/>
      <c r="J393" s="73"/>
      <c r="K393" s="202"/>
      <c r="L393" s="75" t="str">
        <f t="shared" si="38"/>
        <v/>
      </c>
      <c r="M393" s="75"/>
      <c r="N393" s="75" t="str">
        <f t="shared" si="39"/>
        <v/>
      </c>
      <c r="O393" s="204" t="str">
        <f t="shared" si="35"/>
        <v/>
      </c>
      <c r="P393" s="8"/>
      <c r="Q393" s="8"/>
      <c r="R393" s="8"/>
      <c r="S393" s="8"/>
    </row>
    <row r="394" spans="1:19" x14ac:dyDescent="0.25">
      <c r="A394" s="197">
        <f t="shared" si="36"/>
        <v>0</v>
      </c>
      <c r="B394" s="76" t="str">
        <f t="shared" si="37"/>
        <v/>
      </c>
      <c r="C394" s="77" t="str">
        <f>IF(G394&lt;&gt;"",IFERROR(ROUND(VLOOKUP(G394,ProductList!J:AO,31,FALSE),0),""),"")</f>
        <v/>
      </c>
      <c r="D394" s="73" t="str">
        <f>IF(E394&lt;&gt;"",IF(D393&lt;&gt;"",D393,#REF!)+1,"")</f>
        <v/>
      </c>
      <c r="E394" s="73"/>
      <c r="F394" s="73"/>
      <c r="G394" s="122"/>
      <c r="H394" s="104"/>
      <c r="I394" s="73"/>
      <c r="J394" s="73"/>
      <c r="K394" s="202"/>
      <c r="L394" s="75" t="str">
        <f t="shared" si="38"/>
        <v/>
      </c>
      <c r="M394" s="75"/>
      <c r="N394" s="75" t="str">
        <f t="shared" si="39"/>
        <v/>
      </c>
      <c r="O394" s="204" t="str">
        <f t="shared" si="35"/>
        <v/>
      </c>
      <c r="P394" s="8"/>
      <c r="Q394" s="8"/>
      <c r="R394" s="8"/>
      <c r="S394" s="8"/>
    </row>
    <row r="395" spans="1:19" x14ac:dyDescent="0.25">
      <c r="A395" s="197">
        <f t="shared" si="36"/>
        <v>0</v>
      </c>
      <c r="B395" s="76" t="str">
        <f t="shared" si="37"/>
        <v/>
      </c>
      <c r="C395" s="77" t="str">
        <f>IF(G395&lt;&gt;"",IFERROR(ROUND(VLOOKUP(G395,ProductList!J:AO,31,FALSE),0),""),"")</f>
        <v/>
      </c>
      <c r="D395" s="73" t="str">
        <f>IF(E395&lt;&gt;"",IF(D394&lt;&gt;"",D394,#REF!)+1,"")</f>
        <v/>
      </c>
      <c r="E395" s="73"/>
      <c r="F395" s="73"/>
      <c r="G395" s="122"/>
      <c r="H395" s="104"/>
      <c r="I395" s="73"/>
      <c r="J395" s="73"/>
      <c r="K395" s="202"/>
      <c r="L395" s="75" t="str">
        <f t="shared" si="38"/>
        <v/>
      </c>
      <c r="M395" s="75"/>
      <c r="N395" s="75" t="str">
        <f t="shared" si="39"/>
        <v/>
      </c>
      <c r="O395" s="204" t="str">
        <f t="shared" si="35"/>
        <v/>
      </c>
      <c r="P395" s="8"/>
      <c r="Q395" s="8"/>
      <c r="R395" s="8"/>
      <c r="S395" s="8"/>
    </row>
    <row r="396" spans="1:19" x14ac:dyDescent="0.25">
      <c r="A396" s="197">
        <f t="shared" si="36"/>
        <v>0</v>
      </c>
      <c r="B396" s="76" t="str">
        <f t="shared" si="37"/>
        <v/>
      </c>
      <c r="C396" s="77" t="str">
        <f>IF(G396&lt;&gt;"",IFERROR(ROUND(VLOOKUP(G396,ProductList!J:AO,31,FALSE),0),""),"")</f>
        <v/>
      </c>
      <c r="D396" s="73" t="str">
        <f>IF(E396&lt;&gt;"",IF(D395&lt;&gt;"",D395,#REF!)+1,"")</f>
        <v/>
      </c>
      <c r="E396" s="73"/>
      <c r="F396" s="73"/>
      <c r="G396" s="122"/>
      <c r="H396" s="104"/>
      <c r="I396" s="73"/>
      <c r="J396" s="73"/>
      <c r="K396" s="202"/>
      <c r="L396" s="75" t="str">
        <f t="shared" si="38"/>
        <v/>
      </c>
      <c r="M396" s="75"/>
      <c r="N396" s="75" t="str">
        <f t="shared" si="39"/>
        <v/>
      </c>
      <c r="O396" s="204" t="str">
        <f t="shared" si="35"/>
        <v/>
      </c>
      <c r="P396" s="8"/>
      <c r="Q396" s="8"/>
      <c r="R396" s="8"/>
      <c r="S396" s="8"/>
    </row>
    <row r="397" spans="1:19" x14ac:dyDescent="0.25">
      <c r="A397" s="197">
        <f t="shared" si="36"/>
        <v>0</v>
      </c>
      <c r="B397" s="76" t="str">
        <f t="shared" si="37"/>
        <v/>
      </c>
      <c r="C397" s="77" t="str">
        <f>IF(G397&lt;&gt;"",IFERROR(ROUND(VLOOKUP(G397,ProductList!J:AO,31,FALSE),0),""),"")</f>
        <v/>
      </c>
      <c r="D397" s="73" t="str">
        <f>IF(E397&lt;&gt;"",IF(D396&lt;&gt;"",D396,#REF!)+1,"")</f>
        <v/>
      </c>
      <c r="E397" s="73"/>
      <c r="F397" s="73"/>
      <c r="G397" s="122"/>
      <c r="H397" s="104"/>
      <c r="I397" s="73"/>
      <c r="J397" s="73"/>
      <c r="K397" s="202"/>
      <c r="L397" s="75" t="str">
        <f t="shared" si="38"/>
        <v/>
      </c>
      <c r="M397" s="75"/>
      <c r="N397" s="75" t="str">
        <f t="shared" si="39"/>
        <v/>
      </c>
      <c r="O397" s="204" t="str">
        <f t="shared" si="35"/>
        <v/>
      </c>
      <c r="P397" s="8"/>
      <c r="Q397" s="8"/>
      <c r="R397" s="8"/>
      <c r="S397" s="8"/>
    </row>
    <row r="398" spans="1:19" x14ac:dyDescent="0.25">
      <c r="A398" s="197">
        <f t="shared" si="36"/>
        <v>0</v>
      </c>
      <c r="B398" s="76" t="str">
        <f t="shared" si="37"/>
        <v/>
      </c>
      <c r="C398" s="77" t="str">
        <f>IF(G398&lt;&gt;"",IFERROR(ROUND(VLOOKUP(G398,ProductList!J:AO,31,FALSE),0),""),"")</f>
        <v/>
      </c>
      <c r="D398" s="73" t="str">
        <f>IF(E398&lt;&gt;"",IF(D397&lt;&gt;"",D397,#REF!)+1,"")</f>
        <v/>
      </c>
      <c r="E398" s="73"/>
      <c r="F398" s="73"/>
      <c r="G398" s="122"/>
      <c r="H398" s="104"/>
      <c r="I398" s="73"/>
      <c r="J398" s="73"/>
      <c r="K398" s="202"/>
      <c r="L398" s="75" t="str">
        <f t="shared" si="38"/>
        <v/>
      </c>
      <c r="M398" s="75"/>
      <c r="N398" s="75" t="str">
        <f t="shared" si="39"/>
        <v/>
      </c>
      <c r="O398" s="204" t="str">
        <f t="shared" ref="O398:O461" si="40">IF(AND(K398&lt;&gt;"",M398&lt;&gt;""),K398-M398,IF(K398&lt;&gt;"",K398,""))</f>
        <v/>
      </c>
      <c r="P398" s="8"/>
      <c r="Q398" s="8"/>
      <c r="R398" s="8"/>
      <c r="S398" s="8"/>
    </row>
    <row r="399" spans="1:19" x14ac:dyDescent="0.25">
      <c r="A399" s="197">
        <f t="shared" si="36"/>
        <v>0</v>
      </c>
      <c r="B399" s="76" t="str">
        <f t="shared" si="37"/>
        <v/>
      </c>
      <c r="C399" s="77" t="str">
        <f>IF(G399&lt;&gt;"",IFERROR(ROUND(VLOOKUP(G399,ProductList!J:AO,31,FALSE),0),""),"")</f>
        <v/>
      </c>
      <c r="D399" s="73" t="str">
        <f>IF(E399&lt;&gt;"",IF(D398&lt;&gt;"",D398,#REF!)+1,"")</f>
        <v/>
      </c>
      <c r="E399" s="73"/>
      <c r="F399" s="73"/>
      <c r="G399" s="122"/>
      <c r="H399" s="104"/>
      <c r="I399" s="73"/>
      <c r="J399" s="73"/>
      <c r="K399" s="202"/>
      <c r="L399" s="75" t="str">
        <f t="shared" si="38"/>
        <v/>
      </c>
      <c r="M399" s="75"/>
      <c r="N399" s="75" t="str">
        <f t="shared" si="39"/>
        <v/>
      </c>
      <c r="O399" s="204" t="str">
        <f t="shared" si="40"/>
        <v/>
      </c>
      <c r="P399" s="8"/>
      <c r="Q399" s="8"/>
      <c r="R399" s="8"/>
      <c r="S399" s="8"/>
    </row>
    <row r="400" spans="1:19" x14ac:dyDescent="0.25">
      <c r="A400" s="197">
        <f t="shared" si="36"/>
        <v>0</v>
      </c>
      <c r="B400" s="76" t="str">
        <f t="shared" si="37"/>
        <v/>
      </c>
      <c r="C400" s="77" t="str">
        <f>IF(G400&lt;&gt;"",IFERROR(ROUND(VLOOKUP(G400,ProductList!J:AO,31,FALSE),0),""),"")</f>
        <v/>
      </c>
      <c r="D400" s="73" t="str">
        <f>IF(E400&lt;&gt;"",IF(D399&lt;&gt;"",D399,#REF!)+1,"")</f>
        <v/>
      </c>
      <c r="E400" s="73"/>
      <c r="F400" s="73"/>
      <c r="G400" s="122"/>
      <c r="H400" s="104"/>
      <c r="I400" s="73"/>
      <c r="J400" s="73"/>
      <c r="K400" s="202"/>
      <c r="L400" s="75" t="str">
        <f t="shared" si="38"/>
        <v/>
      </c>
      <c r="M400" s="75"/>
      <c r="N400" s="75" t="str">
        <f t="shared" si="39"/>
        <v/>
      </c>
      <c r="O400" s="204" t="str">
        <f t="shared" si="40"/>
        <v/>
      </c>
      <c r="P400" s="8"/>
      <c r="Q400" s="8"/>
      <c r="R400" s="8"/>
      <c r="S400" s="8"/>
    </row>
    <row r="401" spans="1:19" x14ac:dyDescent="0.25">
      <c r="A401" s="197">
        <f t="shared" si="36"/>
        <v>0</v>
      </c>
      <c r="B401" s="76" t="str">
        <f t="shared" si="37"/>
        <v/>
      </c>
      <c r="C401" s="77" t="str">
        <f>IF(G401&lt;&gt;"",IFERROR(ROUND(VLOOKUP(G401,ProductList!J:AO,31,FALSE),0),""),"")</f>
        <v/>
      </c>
      <c r="D401" s="73" t="str">
        <f>IF(E401&lt;&gt;"",IF(D400&lt;&gt;"",D400,#REF!)+1,"")</f>
        <v/>
      </c>
      <c r="E401" s="73"/>
      <c r="F401" s="73"/>
      <c r="G401" s="122"/>
      <c r="H401" s="104"/>
      <c r="I401" s="73"/>
      <c r="J401" s="73"/>
      <c r="K401" s="202"/>
      <c r="L401" s="75" t="str">
        <f t="shared" si="38"/>
        <v/>
      </c>
      <c r="M401" s="75"/>
      <c r="N401" s="75" t="str">
        <f t="shared" si="39"/>
        <v/>
      </c>
      <c r="O401" s="204" t="str">
        <f t="shared" si="40"/>
        <v/>
      </c>
      <c r="P401" s="8"/>
      <c r="Q401" s="8"/>
      <c r="R401" s="8"/>
      <c r="S401" s="8"/>
    </row>
    <row r="402" spans="1:19" x14ac:dyDescent="0.25">
      <c r="A402" s="197">
        <f t="shared" si="36"/>
        <v>0</v>
      </c>
      <c r="B402" s="76" t="str">
        <f t="shared" si="37"/>
        <v/>
      </c>
      <c r="C402" s="77" t="str">
        <f>IF(G402&lt;&gt;"",IFERROR(ROUND(VLOOKUP(G402,ProductList!J:AO,31,FALSE),0),""),"")</f>
        <v/>
      </c>
      <c r="D402" s="73" t="str">
        <f>IF(E402&lt;&gt;"",IF(D401&lt;&gt;"",D401,#REF!)+1,"")</f>
        <v/>
      </c>
      <c r="E402" s="73"/>
      <c r="F402" s="73"/>
      <c r="G402" s="122"/>
      <c r="H402" s="104"/>
      <c r="I402" s="73"/>
      <c r="J402" s="73"/>
      <c r="K402" s="202"/>
      <c r="L402" s="75" t="str">
        <f t="shared" si="38"/>
        <v/>
      </c>
      <c r="M402" s="75"/>
      <c r="N402" s="75" t="str">
        <f t="shared" si="39"/>
        <v/>
      </c>
      <c r="O402" s="204" t="str">
        <f t="shared" si="40"/>
        <v/>
      </c>
      <c r="P402" s="8"/>
      <c r="Q402" s="8"/>
      <c r="R402" s="8"/>
      <c r="S402" s="8"/>
    </row>
    <row r="403" spans="1:19" x14ac:dyDescent="0.25">
      <c r="A403" s="197">
        <f t="shared" si="36"/>
        <v>0</v>
      </c>
      <c r="B403" s="76" t="str">
        <f t="shared" si="37"/>
        <v/>
      </c>
      <c r="C403" s="77" t="str">
        <f>IF(G403&lt;&gt;"",IFERROR(ROUND(VLOOKUP(G403,ProductList!J:AO,31,FALSE),0),""),"")</f>
        <v/>
      </c>
      <c r="D403" s="73" t="str">
        <f>IF(E403&lt;&gt;"",IF(D402&lt;&gt;"",D402,#REF!)+1,"")</f>
        <v/>
      </c>
      <c r="E403" s="73"/>
      <c r="F403" s="73"/>
      <c r="G403" s="122"/>
      <c r="H403" s="104"/>
      <c r="I403" s="73"/>
      <c r="J403" s="73"/>
      <c r="K403" s="202"/>
      <c r="L403" s="75" t="str">
        <f t="shared" si="38"/>
        <v/>
      </c>
      <c r="M403" s="75"/>
      <c r="N403" s="75" t="str">
        <f t="shared" si="39"/>
        <v/>
      </c>
      <c r="O403" s="204" t="str">
        <f t="shared" si="40"/>
        <v/>
      </c>
      <c r="P403" s="8"/>
      <c r="Q403" s="8"/>
      <c r="R403" s="8"/>
      <c r="S403" s="8"/>
    </row>
    <row r="404" spans="1:19" x14ac:dyDescent="0.25">
      <c r="A404" s="197">
        <f t="shared" si="36"/>
        <v>0</v>
      </c>
      <c r="B404" s="76" t="str">
        <f t="shared" si="37"/>
        <v/>
      </c>
      <c r="C404" s="77" t="str">
        <f>IF(G404&lt;&gt;"",IFERROR(ROUND(VLOOKUP(G404,ProductList!J:AO,31,FALSE),0),""),"")</f>
        <v/>
      </c>
      <c r="D404" s="73" t="str">
        <f>IF(E404&lt;&gt;"",IF(D403&lt;&gt;"",D403,#REF!)+1,"")</f>
        <v/>
      </c>
      <c r="E404" s="73"/>
      <c r="F404" s="73"/>
      <c r="G404" s="122"/>
      <c r="H404" s="104"/>
      <c r="I404" s="73"/>
      <c r="J404" s="73"/>
      <c r="K404" s="202"/>
      <c r="L404" s="75" t="str">
        <f t="shared" si="38"/>
        <v/>
      </c>
      <c r="M404" s="75"/>
      <c r="N404" s="75" t="str">
        <f t="shared" si="39"/>
        <v/>
      </c>
      <c r="O404" s="204" t="str">
        <f t="shared" si="40"/>
        <v/>
      </c>
      <c r="P404" s="8"/>
      <c r="Q404" s="8"/>
      <c r="R404" s="8"/>
      <c r="S404" s="8"/>
    </row>
    <row r="405" spans="1:19" x14ac:dyDescent="0.25">
      <c r="A405" s="197">
        <f t="shared" si="36"/>
        <v>0</v>
      </c>
      <c r="B405" s="76" t="str">
        <f t="shared" si="37"/>
        <v/>
      </c>
      <c r="C405" s="77" t="str">
        <f>IF(G405&lt;&gt;"",IFERROR(ROUND(VLOOKUP(G405,ProductList!J:AO,31,FALSE),0),""),"")</f>
        <v/>
      </c>
      <c r="D405" s="73" t="str">
        <f>IF(E405&lt;&gt;"",IF(D404&lt;&gt;"",D404,#REF!)+1,"")</f>
        <v/>
      </c>
      <c r="E405" s="73"/>
      <c r="F405" s="73"/>
      <c r="G405" s="122"/>
      <c r="H405" s="104"/>
      <c r="I405" s="73"/>
      <c r="J405" s="73"/>
      <c r="K405" s="202"/>
      <c r="L405" s="75" t="str">
        <f t="shared" si="38"/>
        <v/>
      </c>
      <c r="M405" s="75"/>
      <c r="N405" s="75" t="str">
        <f t="shared" si="39"/>
        <v/>
      </c>
      <c r="O405" s="204" t="str">
        <f t="shared" si="40"/>
        <v/>
      </c>
      <c r="P405" s="8"/>
      <c r="Q405" s="8"/>
      <c r="R405" s="8"/>
      <c r="S405" s="8"/>
    </row>
    <row r="406" spans="1:19" x14ac:dyDescent="0.25">
      <c r="A406" s="197">
        <f t="shared" si="36"/>
        <v>0</v>
      </c>
      <c r="B406" s="76" t="str">
        <f t="shared" si="37"/>
        <v/>
      </c>
      <c r="C406" s="77" t="str">
        <f>IF(G406&lt;&gt;"",IFERROR(ROUND(VLOOKUP(G406,ProductList!J:AO,31,FALSE),0),""),"")</f>
        <v/>
      </c>
      <c r="D406" s="73" t="str">
        <f>IF(E406&lt;&gt;"",IF(D405&lt;&gt;"",D405,#REF!)+1,"")</f>
        <v/>
      </c>
      <c r="E406" s="73"/>
      <c r="F406" s="73"/>
      <c r="G406" s="122"/>
      <c r="H406" s="104"/>
      <c r="I406" s="73"/>
      <c r="J406" s="73"/>
      <c r="K406" s="202"/>
      <c r="L406" s="75" t="str">
        <f t="shared" si="38"/>
        <v/>
      </c>
      <c r="M406" s="75"/>
      <c r="N406" s="75" t="str">
        <f t="shared" si="39"/>
        <v/>
      </c>
      <c r="O406" s="204" t="str">
        <f t="shared" si="40"/>
        <v/>
      </c>
      <c r="P406" s="8"/>
      <c r="Q406" s="8"/>
      <c r="R406" s="8"/>
      <c r="S406" s="8"/>
    </row>
    <row r="407" spans="1:19" x14ac:dyDescent="0.25">
      <c r="A407" s="197">
        <f t="shared" si="36"/>
        <v>0</v>
      </c>
      <c r="B407" s="76" t="str">
        <f t="shared" si="37"/>
        <v/>
      </c>
      <c r="C407" s="77" t="str">
        <f>IF(G407&lt;&gt;"",IFERROR(ROUND(VLOOKUP(G407,ProductList!J:AO,31,FALSE),0),""),"")</f>
        <v/>
      </c>
      <c r="D407" s="73" t="str">
        <f>IF(E407&lt;&gt;"",IF(D406&lt;&gt;"",D406,#REF!)+1,"")</f>
        <v/>
      </c>
      <c r="E407" s="73"/>
      <c r="F407" s="73"/>
      <c r="G407" s="122"/>
      <c r="H407" s="104"/>
      <c r="I407" s="73"/>
      <c r="J407" s="73"/>
      <c r="K407" s="202"/>
      <c r="L407" s="75" t="str">
        <f t="shared" si="38"/>
        <v/>
      </c>
      <c r="M407" s="75"/>
      <c r="N407" s="75" t="str">
        <f t="shared" si="39"/>
        <v/>
      </c>
      <c r="O407" s="204" t="str">
        <f t="shared" si="40"/>
        <v/>
      </c>
      <c r="P407" s="8"/>
      <c r="Q407" s="8"/>
      <c r="R407" s="8"/>
      <c r="S407" s="8"/>
    </row>
    <row r="408" spans="1:19" x14ac:dyDescent="0.25">
      <c r="A408" s="197">
        <f t="shared" si="36"/>
        <v>0</v>
      </c>
      <c r="B408" s="76" t="str">
        <f t="shared" si="37"/>
        <v/>
      </c>
      <c r="C408" s="77" t="str">
        <f>IF(G408&lt;&gt;"",IFERROR(ROUND(VLOOKUP(G408,ProductList!J:AO,31,FALSE),0),""),"")</f>
        <v/>
      </c>
      <c r="D408" s="73" t="str">
        <f>IF(E408&lt;&gt;"",IF(D407&lt;&gt;"",D407,#REF!)+1,"")</f>
        <v/>
      </c>
      <c r="E408" s="73"/>
      <c r="F408" s="73"/>
      <c r="G408" s="122"/>
      <c r="H408" s="104"/>
      <c r="I408" s="73"/>
      <c r="J408" s="73"/>
      <c r="K408" s="202"/>
      <c r="L408" s="75" t="str">
        <f t="shared" si="38"/>
        <v/>
      </c>
      <c r="M408" s="75"/>
      <c r="N408" s="75" t="str">
        <f t="shared" si="39"/>
        <v/>
      </c>
      <c r="O408" s="204" t="str">
        <f t="shared" si="40"/>
        <v/>
      </c>
      <c r="P408" s="8"/>
      <c r="Q408" s="8"/>
      <c r="R408" s="8"/>
      <c r="S408" s="8"/>
    </row>
    <row r="409" spans="1:19" x14ac:dyDescent="0.25">
      <c r="A409" s="197">
        <f t="shared" si="36"/>
        <v>0</v>
      </c>
      <c r="B409" s="76" t="str">
        <f t="shared" si="37"/>
        <v/>
      </c>
      <c r="C409" s="77" t="str">
        <f>IF(G409&lt;&gt;"",IFERROR(ROUND(VLOOKUP(G409,ProductList!J:AO,31,FALSE),0),""),"")</f>
        <v/>
      </c>
      <c r="D409" s="73" t="str">
        <f>IF(E409&lt;&gt;"",IF(D408&lt;&gt;"",D408,#REF!)+1,"")</f>
        <v/>
      </c>
      <c r="E409" s="73"/>
      <c r="F409" s="73"/>
      <c r="G409" s="122"/>
      <c r="H409" s="104"/>
      <c r="I409" s="73"/>
      <c r="J409" s="73"/>
      <c r="K409" s="202"/>
      <c r="L409" s="75" t="str">
        <f t="shared" si="38"/>
        <v/>
      </c>
      <c r="M409" s="75"/>
      <c r="N409" s="75" t="str">
        <f t="shared" si="39"/>
        <v/>
      </c>
      <c r="O409" s="204" t="str">
        <f t="shared" si="40"/>
        <v/>
      </c>
      <c r="P409" s="8"/>
      <c r="Q409" s="8"/>
      <c r="R409" s="8"/>
      <c r="S409" s="8"/>
    </row>
    <row r="410" spans="1:19" x14ac:dyDescent="0.25">
      <c r="A410" s="197">
        <f t="shared" si="36"/>
        <v>0</v>
      </c>
      <c r="B410" s="76" t="str">
        <f t="shared" si="37"/>
        <v/>
      </c>
      <c r="C410" s="77" t="str">
        <f>IF(G410&lt;&gt;"",IFERROR(ROUND(VLOOKUP(G410,ProductList!J:AO,31,FALSE),0),""),"")</f>
        <v/>
      </c>
      <c r="D410" s="73" t="str">
        <f>IF(E410&lt;&gt;"",IF(D409&lt;&gt;"",D409,#REF!)+1,"")</f>
        <v/>
      </c>
      <c r="E410" s="73"/>
      <c r="F410" s="73"/>
      <c r="G410" s="122"/>
      <c r="H410" s="104"/>
      <c r="I410" s="73"/>
      <c r="J410" s="73"/>
      <c r="K410" s="202"/>
      <c r="L410" s="75" t="str">
        <f t="shared" si="38"/>
        <v/>
      </c>
      <c r="M410" s="75"/>
      <c r="N410" s="75" t="str">
        <f t="shared" si="39"/>
        <v/>
      </c>
      <c r="O410" s="204" t="str">
        <f t="shared" si="40"/>
        <v/>
      </c>
      <c r="P410" s="8"/>
      <c r="Q410" s="8"/>
      <c r="R410" s="8"/>
      <c r="S410" s="8"/>
    </row>
    <row r="411" spans="1:19" x14ac:dyDescent="0.25">
      <c r="A411" s="197">
        <f t="shared" si="36"/>
        <v>0</v>
      </c>
      <c r="B411" s="76" t="str">
        <f t="shared" si="37"/>
        <v/>
      </c>
      <c r="C411" s="77" t="str">
        <f>IF(G411&lt;&gt;"",IFERROR(ROUND(VLOOKUP(G411,ProductList!J:AO,31,FALSE),0),""),"")</f>
        <v/>
      </c>
      <c r="D411" s="73" t="str">
        <f>IF(E411&lt;&gt;"",IF(D410&lt;&gt;"",D410,#REF!)+1,"")</f>
        <v/>
      </c>
      <c r="E411" s="73"/>
      <c r="F411" s="73"/>
      <c r="G411" s="122"/>
      <c r="H411" s="104"/>
      <c r="I411" s="73"/>
      <c r="J411" s="73"/>
      <c r="K411" s="202"/>
      <c r="L411" s="75" t="str">
        <f t="shared" si="38"/>
        <v/>
      </c>
      <c r="M411" s="75"/>
      <c r="N411" s="75" t="str">
        <f t="shared" si="39"/>
        <v/>
      </c>
      <c r="O411" s="204" t="str">
        <f t="shared" si="40"/>
        <v/>
      </c>
      <c r="P411" s="8"/>
      <c r="Q411" s="8"/>
      <c r="R411" s="8"/>
      <c r="S411" s="8"/>
    </row>
    <row r="412" spans="1:19" x14ac:dyDescent="0.25">
      <c r="A412" s="197">
        <f t="shared" si="36"/>
        <v>0</v>
      </c>
      <c r="B412" s="76" t="str">
        <f t="shared" si="37"/>
        <v/>
      </c>
      <c r="C412" s="77" t="str">
        <f>IF(G412&lt;&gt;"",IFERROR(ROUND(VLOOKUP(G412,ProductList!J:AO,31,FALSE),0),""),"")</f>
        <v/>
      </c>
      <c r="D412" s="73" t="str">
        <f>IF(E412&lt;&gt;"",IF(D411&lt;&gt;"",D411,#REF!)+1,"")</f>
        <v/>
      </c>
      <c r="E412" s="73"/>
      <c r="F412" s="73"/>
      <c r="G412" s="122"/>
      <c r="H412" s="104"/>
      <c r="I412" s="73"/>
      <c r="J412" s="73"/>
      <c r="K412" s="202"/>
      <c r="L412" s="75" t="str">
        <f t="shared" si="38"/>
        <v/>
      </c>
      <c r="M412" s="75"/>
      <c r="N412" s="75" t="str">
        <f t="shared" si="39"/>
        <v/>
      </c>
      <c r="O412" s="204" t="str">
        <f t="shared" si="40"/>
        <v/>
      </c>
      <c r="P412" s="8"/>
      <c r="Q412" s="8"/>
      <c r="R412" s="8"/>
      <c r="S412" s="8"/>
    </row>
    <row r="413" spans="1:19" x14ac:dyDescent="0.25">
      <c r="A413" s="197">
        <f t="shared" si="36"/>
        <v>0</v>
      </c>
      <c r="B413" s="76" t="str">
        <f t="shared" si="37"/>
        <v/>
      </c>
      <c r="C413" s="77" t="str">
        <f>IF(G413&lt;&gt;"",IFERROR(ROUND(VLOOKUP(G413,ProductList!J:AO,31,FALSE),0),""),"")</f>
        <v/>
      </c>
      <c r="D413" s="73" t="str">
        <f>IF(E413&lt;&gt;"",IF(D412&lt;&gt;"",D412,#REF!)+1,"")</f>
        <v/>
      </c>
      <c r="E413" s="73"/>
      <c r="F413" s="73"/>
      <c r="G413" s="122"/>
      <c r="H413" s="104"/>
      <c r="I413" s="73"/>
      <c r="J413" s="73"/>
      <c r="K413" s="202"/>
      <c r="L413" s="75" t="str">
        <f t="shared" si="38"/>
        <v/>
      </c>
      <c r="M413" s="75"/>
      <c r="N413" s="75" t="str">
        <f t="shared" si="39"/>
        <v/>
      </c>
      <c r="O413" s="204" t="str">
        <f t="shared" si="40"/>
        <v/>
      </c>
      <c r="P413" s="8"/>
      <c r="Q413" s="8"/>
      <c r="R413" s="8"/>
      <c r="S413" s="8"/>
    </row>
    <row r="414" spans="1:19" x14ac:dyDescent="0.25">
      <c r="A414" s="197">
        <f t="shared" si="36"/>
        <v>0</v>
      </c>
      <c r="B414" s="76" t="str">
        <f t="shared" si="37"/>
        <v/>
      </c>
      <c r="C414" s="77" t="str">
        <f>IF(G414&lt;&gt;"",IFERROR(ROUND(VLOOKUP(G414,ProductList!J:AO,31,FALSE),0),""),"")</f>
        <v/>
      </c>
      <c r="D414" s="73" t="str">
        <f>IF(E414&lt;&gt;"",IF(D413&lt;&gt;"",D413,#REF!)+1,"")</f>
        <v/>
      </c>
      <c r="E414" s="73"/>
      <c r="F414" s="73"/>
      <c r="G414" s="122"/>
      <c r="H414" s="104"/>
      <c r="I414" s="73"/>
      <c r="J414" s="73"/>
      <c r="K414" s="202"/>
      <c r="L414" s="75" t="str">
        <f t="shared" si="38"/>
        <v/>
      </c>
      <c r="M414" s="75"/>
      <c r="N414" s="75" t="str">
        <f t="shared" si="39"/>
        <v/>
      </c>
      <c r="O414" s="204" t="str">
        <f t="shared" si="40"/>
        <v/>
      </c>
      <c r="P414" s="8"/>
      <c r="Q414" s="8"/>
      <c r="R414" s="8"/>
      <c r="S414" s="8"/>
    </row>
    <row r="415" spans="1:19" x14ac:dyDescent="0.25">
      <c r="A415" s="197">
        <f t="shared" si="36"/>
        <v>0</v>
      </c>
      <c r="B415" s="76" t="str">
        <f t="shared" si="37"/>
        <v/>
      </c>
      <c r="C415" s="77" t="str">
        <f>IF(G415&lt;&gt;"",IFERROR(ROUND(VLOOKUP(G415,ProductList!J:AO,31,FALSE),0),""),"")</f>
        <v/>
      </c>
      <c r="D415" s="73" t="str">
        <f>IF(E415&lt;&gt;"",IF(D414&lt;&gt;"",D414,#REF!)+1,"")</f>
        <v/>
      </c>
      <c r="E415" s="73"/>
      <c r="F415" s="73"/>
      <c r="G415" s="122"/>
      <c r="H415" s="104"/>
      <c r="I415" s="73"/>
      <c r="J415" s="73"/>
      <c r="K415" s="202"/>
      <c r="L415" s="75" t="str">
        <f t="shared" si="38"/>
        <v/>
      </c>
      <c r="M415" s="75"/>
      <c r="N415" s="75" t="str">
        <f t="shared" si="39"/>
        <v/>
      </c>
      <c r="O415" s="204" t="str">
        <f t="shared" si="40"/>
        <v/>
      </c>
      <c r="P415" s="8"/>
      <c r="Q415" s="8"/>
      <c r="R415" s="8"/>
      <c r="S415" s="8"/>
    </row>
    <row r="416" spans="1:19" x14ac:dyDescent="0.25">
      <c r="A416" s="197">
        <f t="shared" si="36"/>
        <v>0</v>
      </c>
      <c r="B416" s="76" t="str">
        <f t="shared" si="37"/>
        <v/>
      </c>
      <c r="C416" s="77" t="str">
        <f>IF(G416&lt;&gt;"",IFERROR(ROUND(VLOOKUP(G416,ProductList!J:AO,31,FALSE),0),""),"")</f>
        <v/>
      </c>
      <c r="D416" s="73" t="str">
        <f>IF(E416&lt;&gt;"",IF(D415&lt;&gt;"",D415,#REF!)+1,"")</f>
        <v/>
      </c>
      <c r="E416" s="73"/>
      <c r="F416" s="73"/>
      <c r="G416" s="122"/>
      <c r="H416" s="104"/>
      <c r="I416" s="73"/>
      <c r="J416" s="73"/>
      <c r="K416" s="202"/>
      <c r="L416" s="75" t="str">
        <f t="shared" si="38"/>
        <v/>
      </c>
      <c r="M416" s="75"/>
      <c r="N416" s="75" t="str">
        <f t="shared" si="39"/>
        <v/>
      </c>
      <c r="O416" s="204" t="str">
        <f t="shared" si="40"/>
        <v/>
      </c>
      <c r="P416" s="8"/>
      <c r="Q416" s="8"/>
      <c r="R416" s="8"/>
      <c r="S416" s="8"/>
    </row>
    <row r="417" spans="1:19" x14ac:dyDescent="0.25">
      <c r="A417" s="197">
        <f t="shared" si="36"/>
        <v>0</v>
      </c>
      <c r="B417" s="76" t="str">
        <f t="shared" si="37"/>
        <v/>
      </c>
      <c r="C417" s="77" t="str">
        <f>IF(G417&lt;&gt;"",IFERROR(ROUND(VLOOKUP(G417,ProductList!J:AO,31,FALSE),0),""),"")</f>
        <v/>
      </c>
      <c r="D417" s="73" t="str">
        <f>IF(E417&lt;&gt;"",IF(D416&lt;&gt;"",D416,#REF!)+1,"")</f>
        <v/>
      </c>
      <c r="E417" s="73"/>
      <c r="F417" s="73"/>
      <c r="G417" s="122"/>
      <c r="H417" s="104"/>
      <c r="I417" s="73"/>
      <c r="J417" s="73"/>
      <c r="K417" s="202"/>
      <c r="L417" s="75" t="str">
        <f t="shared" si="38"/>
        <v/>
      </c>
      <c r="M417" s="75"/>
      <c r="N417" s="75" t="str">
        <f t="shared" si="39"/>
        <v/>
      </c>
      <c r="O417" s="204" t="str">
        <f t="shared" si="40"/>
        <v/>
      </c>
      <c r="P417" s="8"/>
      <c r="Q417" s="8"/>
      <c r="R417" s="8"/>
      <c r="S417" s="8"/>
    </row>
    <row r="418" spans="1:19" x14ac:dyDescent="0.25">
      <c r="A418" s="197">
        <f t="shared" si="36"/>
        <v>0</v>
      </c>
      <c r="B418" s="76" t="str">
        <f t="shared" si="37"/>
        <v/>
      </c>
      <c r="C418" s="77" t="str">
        <f>IF(G418&lt;&gt;"",IFERROR(ROUND(VLOOKUP(G418,ProductList!J:AO,31,FALSE),0),""),"")</f>
        <v/>
      </c>
      <c r="D418" s="73" t="str">
        <f>IF(E418&lt;&gt;"",IF(D417&lt;&gt;"",D417,#REF!)+1,"")</f>
        <v/>
      </c>
      <c r="E418" s="73"/>
      <c r="F418" s="73"/>
      <c r="G418" s="122"/>
      <c r="H418" s="104"/>
      <c r="I418" s="73"/>
      <c r="J418" s="73"/>
      <c r="K418" s="202"/>
      <c r="L418" s="75" t="str">
        <f t="shared" si="38"/>
        <v/>
      </c>
      <c r="M418" s="75"/>
      <c r="N418" s="75" t="str">
        <f t="shared" si="39"/>
        <v/>
      </c>
      <c r="O418" s="204" t="str">
        <f t="shared" si="40"/>
        <v/>
      </c>
      <c r="P418" s="8"/>
      <c r="Q418" s="8"/>
      <c r="R418" s="8"/>
      <c r="S418" s="8"/>
    </row>
    <row r="419" spans="1:19" x14ac:dyDescent="0.25">
      <c r="A419" s="197">
        <f t="shared" si="36"/>
        <v>0</v>
      </c>
      <c r="B419" s="76" t="str">
        <f t="shared" si="37"/>
        <v/>
      </c>
      <c r="C419" s="77" t="str">
        <f>IF(G419&lt;&gt;"",IFERROR(ROUND(VLOOKUP(G419,ProductList!J:AO,31,FALSE),0),""),"")</f>
        <v/>
      </c>
      <c r="D419" s="73" t="str">
        <f>IF(E419&lt;&gt;"",IF(D418&lt;&gt;"",D418,#REF!)+1,"")</f>
        <v/>
      </c>
      <c r="E419" s="73"/>
      <c r="F419" s="73"/>
      <c r="G419" s="122"/>
      <c r="H419" s="104"/>
      <c r="I419" s="73"/>
      <c r="J419" s="73"/>
      <c r="K419" s="202"/>
      <c r="L419" s="75" t="str">
        <f t="shared" si="38"/>
        <v/>
      </c>
      <c r="M419" s="75"/>
      <c r="N419" s="75" t="str">
        <f t="shared" si="39"/>
        <v/>
      </c>
      <c r="O419" s="204" t="str">
        <f t="shared" si="40"/>
        <v/>
      </c>
      <c r="P419" s="8"/>
      <c r="Q419" s="8"/>
      <c r="R419" s="8"/>
      <c r="S419" s="8"/>
    </row>
    <row r="420" spans="1:19" x14ac:dyDescent="0.25">
      <c r="A420" s="197">
        <f t="shared" si="36"/>
        <v>0</v>
      </c>
      <c r="B420" s="76" t="str">
        <f t="shared" si="37"/>
        <v/>
      </c>
      <c r="C420" s="77" t="str">
        <f>IF(G420&lt;&gt;"",IFERROR(ROUND(VLOOKUP(G420,ProductList!J:AO,31,FALSE),0),""),"")</f>
        <v/>
      </c>
      <c r="D420" s="73" t="str">
        <f>IF(E420&lt;&gt;"",IF(D419&lt;&gt;"",D419,#REF!)+1,"")</f>
        <v/>
      </c>
      <c r="E420" s="73"/>
      <c r="F420" s="73"/>
      <c r="G420" s="122"/>
      <c r="H420" s="104"/>
      <c r="I420" s="73"/>
      <c r="J420" s="73"/>
      <c r="K420" s="202"/>
      <c r="L420" s="75" t="str">
        <f t="shared" si="38"/>
        <v/>
      </c>
      <c r="M420" s="75"/>
      <c r="N420" s="75" t="str">
        <f t="shared" si="39"/>
        <v/>
      </c>
      <c r="O420" s="204" t="str">
        <f t="shared" si="40"/>
        <v/>
      </c>
      <c r="P420" s="8"/>
      <c r="Q420" s="8"/>
      <c r="R420" s="8"/>
      <c r="S420" s="8"/>
    </row>
    <row r="421" spans="1:19" x14ac:dyDescent="0.25">
      <c r="A421" s="197">
        <f t="shared" si="36"/>
        <v>0</v>
      </c>
      <c r="B421" s="76" t="str">
        <f t="shared" si="37"/>
        <v/>
      </c>
      <c r="C421" s="77" t="str">
        <f>IF(G421&lt;&gt;"",IFERROR(ROUND(VLOOKUP(G421,ProductList!J:AO,31,FALSE),0),""),"")</f>
        <v/>
      </c>
      <c r="D421" s="73" t="str">
        <f>IF(E421&lt;&gt;"",IF(D420&lt;&gt;"",D420,#REF!)+1,"")</f>
        <v/>
      </c>
      <c r="E421" s="73"/>
      <c r="F421" s="73"/>
      <c r="G421" s="122"/>
      <c r="H421" s="104"/>
      <c r="I421" s="73"/>
      <c r="J421" s="73"/>
      <c r="K421" s="202"/>
      <c r="L421" s="75" t="str">
        <f t="shared" si="38"/>
        <v/>
      </c>
      <c r="M421" s="75"/>
      <c r="N421" s="75" t="str">
        <f t="shared" si="39"/>
        <v/>
      </c>
      <c r="O421" s="204" t="str">
        <f t="shared" si="40"/>
        <v/>
      </c>
      <c r="P421" s="8"/>
      <c r="Q421" s="8"/>
      <c r="R421" s="8"/>
      <c r="S421" s="8"/>
    </row>
    <row r="422" spans="1:19" x14ac:dyDescent="0.25">
      <c r="A422" s="197">
        <f t="shared" si="36"/>
        <v>0</v>
      </c>
      <c r="B422" s="76" t="str">
        <f t="shared" si="37"/>
        <v/>
      </c>
      <c r="C422" s="77" t="str">
        <f>IF(G422&lt;&gt;"",IFERROR(ROUND(VLOOKUP(G422,ProductList!J:AO,31,FALSE),0),""),"")</f>
        <v/>
      </c>
      <c r="D422" s="73" t="str">
        <f>IF(E422&lt;&gt;"",IF(D421&lt;&gt;"",D421,#REF!)+1,"")</f>
        <v/>
      </c>
      <c r="E422" s="73"/>
      <c r="F422" s="73"/>
      <c r="G422" s="122"/>
      <c r="H422" s="104"/>
      <c r="I422" s="73"/>
      <c r="J422" s="73"/>
      <c r="K422" s="202"/>
      <c r="L422" s="75" t="str">
        <f t="shared" si="38"/>
        <v/>
      </c>
      <c r="M422" s="75"/>
      <c r="N422" s="75" t="str">
        <f t="shared" si="39"/>
        <v/>
      </c>
      <c r="O422" s="204" t="str">
        <f t="shared" si="40"/>
        <v/>
      </c>
      <c r="P422" s="8"/>
      <c r="Q422" s="8"/>
      <c r="R422" s="8"/>
      <c r="S422" s="8"/>
    </row>
    <row r="423" spans="1:19" x14ac:dyDescent="0.25">
      <c r="A423" s="197">
        <f t="shared" si="36"/>
        <v>0</v>
      </c>
      <c r="B423" s="76" t="str">
        <f t="shared" si="37"/>
        <v/>
      </c>
      <c r="C423" s="77" t="str">
        <f>IF(G423&lt;&gt;"",IFERROR(ROUND(VLOOKUP(G423,ProductList!J:AO,31,FALSE),0),""),"")</f>
        <v/>
      </c>
      <c r="D423" s="73" t="str">
        <f>IF(E423&lt;&gt;"",IF(D422&lt;&gt;"",D422,#REF!)+1,"")</f>
        <v/>
      </c>
      <c r="E423" s="73"/>
      <c r="F423" s="73"/>
      <c r="G423" s="122"/>
      <c r="H423" s="104"/>
      <c r="I423" s="73"/>
      <c r="J423" s="73"/>
      <c r="K423" s="202"/>
      <c r="L423" s="75" t="str">
        <f t="shared" si="38"/>
        <v/>
      </c>
      <c r="M423" s="75"/>
      <c r="N423" s="75" t="str">
        <f t="shared" si="39"/>
        <v/>
      </c>
      <c r="O423" s="204" t="str">
        <f t="shared" si="40"/>
        <v/>
      </c>
      <c r="P423" s="8"/>
      <c r="Q423" s="8"/>
      <c r="R423" s="8"/>
      <c r="S423" s="8"/>
    </row>
    <row r="424" spans="1:19" x14ac:dyDescent="0.25">
      <c r="A424" s="197">
        <f t="shared" si="36"/>
        <v>0</v>
      </c>
      <c r="B424" s="76" t="str">
        <f t="shared" si="37"/>
        <v/>
      </c>
      <c r="C424" s="77" t="str">
        <f>IF(G424&lt;&gt;"",IFERROR(ROUND(VLOOKUP(G424,ProductList!J:AO,31,FALSE),0),""),"")</f>
        <v/>
      </c>
      <c r="D424" s="73" t="str">
        <f>IF(E424&lt;&gt;"",IF(D423&lt;&gt;"",D423,#REF!)+1,"")</f>
        <v/>
      </c>
      <c r="E424" s="73"/>
      <c r="F424" s="73"/>
      <c r="G424" s="122"/>
      <c r="H424" s="104"/>
      <c r="I424" s="73"/>
      <c r="J424" s="73"/>
      <c r="K424" s="202"/>
      <c r="L424" s="75" t="str">
        <f t="shared" si="38"/>
        <v/>
      </c>
      <c r="M424" s="75"/>
      <c r="N424" s="75" t="str">
        <f t="shared" si="39"/>
        <v/>
      </c>
      <c r="O424" s="204" t="str">
        <f t="shared" si="40"/>
        <v/>
      </c>
      <c r="P424" s="8"/>
      <c r="Q424" s="8"/>
      <c r="R424" s="8"/>
      <c r="S424" s="8"/>
    </row>
    <row r="425" spans="1:19" x14ac:dyDescent="0.25">
      <c r="A425" s="197">
        <f t="shared" si="36"/>
        <v>0</v>
      </c>
      <c r="B425" s="76" t="str">
        <f t="shared" si="37"/>
        <v/>
      </c>
      <c r="C425" s="77" t="str">
        <f>IF(G425&lt;&gt;"",IFERROR(ROUND(VLOOKUP(G425,ProductList!J:AO,31,FALSE),0),""),"")</f>
        <v/>
      </c>
      <c r="D425" s="73" t="str">
        <f>IF(E425&lt;&gt;"",IF(D424&lt;&gt;"",D424,#REF!)+1,"")</f>
        <v/>
      </c>
      <c r="E425" s="73"/>
      <c r="F425" s="73"/>
      <c r="G425" s="122"/>
      <c r="H425" s="104"/>
      <c r="I425" s="73"/>
      <c r="J425" s="73"/>
      <c r="K425" s="202"/>
      <c r="L425" s="75" t="str">
        <f t="shared" si="38"/>
        <v/>
      </c>
      <c r="M425" s="75"/>
      <c r="N425" s="75" t="str">
        <f t="shared" si="39"/>
        <v/>
      </c>
      <c r="O425" s="204" t="str">
        <f t="shared" si="40"/>
        <v/>
      </c>
      <c r="P425" s="8"/>
      <c r="Q425" s="8"/>
      <c r="R425" s="8"/>
      <c r="S425" s="8"/>
    </row>
    <row r="426" spans="1:19" x14ac:dyDescent="0.25">
      <c r="A426" s="197">
        <f t="shared" si="36"/>
        <v>0</v>
      </c>
      <c r="B426" s="76" t="str">
        <f t="shared" si="37"/>
        <v/>
      </c>
      <c r="C426" s="77" t="str">
        <f>IF(G426&lt;&gt;"",IFERROR(ROUND(VLOOKUP(G426,ProductList!J:AO,31,FALSE),0),""),"")</f>
        <v/>
      </c>
      <c r="D426" s="73" t="str">
        <f>IF(E426&lt;&gt;"",IF(D425&lt;&gt;"",D425,#REF!)+1,"")</f>
        <v/>
      </c>
      <c r="E426" s="73"/>
      <c r="F426" s="73"/>
      <c r="G426" s="122"/>
      <c r="H426" s="104"/>
      <c r="I426" s="73"/>
      <c r="J426" s="73"/>
      <c r="K426" s="202"/>
      <c r="L426" s="75" t="str">
        <f t="shared" si="38"/>
        <v/>
      </c>
      <c r="M426" s="75"/>
      <c r="N426" s="75" t="str">
        <f t="shared" si="39"/>
        <v/>
      </c>
      <c r="O426" s="204" t="str">
        <f t="shared" si="40"/>
        <v/>
      </c>
      <c r="P426" s="8"/>
      <c r="Q426" s="8"/>
      <c r="R426" s="8"/>
      <c r="S426" s="8"/>
    </row>
    <row r="427" spans="1:19" x14ac:dyDescent="0.25">
      <c r="A427" s="197">
        <f t="shared" si="36"/>
        <v>0</v>
      </c>
      <c r="B427" s="76" t="str">
        <f t="shared" si="37"/>
        <v/>
      </c>
      <c r="C427" s="77" t="str">
        <f>IF(G427&lt;&gt;"",IFERROR(ROUND(VLOOKUP(G427,ProductList!J:AO,31,FALSE),0),""),"")</f>
        <v/>
      </c>
      <c r="D427" s="73" t="str">
        <f>IF(E427&lt;&gt;"",IF(D426&lt;&gt;"",D426,#REF!)+1,"")</f>
        <v/>
      </c>
      <c r="E427" s="73"/>
      <c r="F427" s="73"/>
      <c r="G427" s="122"/>
      <c r="H427" s="104"/>
      <c r="I427" s="73"/>
      <c r="J427" s="73"/>
      <c r="K427" s="202"/>
      <c r="L427" s="75" t="str">
        <f t="shared" si="38"/>
        <v/>
      </c>
      <c r="M427" s="75"/>
      <c r="N427" s="75" t="str">
        <f t="shared" si="39"/>
        <v/>
      </c>
      <c r="O427" s="204" t="str">
        <f t="shared" si="40"/>
        <v/>
      </c>
      <c r="P427" s="8"/>
      <c r="Q427" s="8"/>
      <c r="R427" s="8"/>
      <c r="S427" s="8"/>
    </row>
    <row r="428" spans="1:19" x14ac:dyDescent="0.25">
      <c r="A428" s="197">
        <f t="shared" si="36"/>
        <v>0</v>
      </c>
      <c r="B428" s="76" t="str">
        <f t="shared" si="37"/>
        <v/>
      </c>
      <c r="C428" s="77" t="str">
        <f>IF(G428&lt;&gt;"",IFERROR(ROUND(VLOOKUP(G428,ProductList!J:AO,31,FALSE),0),""),"")</f>
        <v/>
      </c>
      <c r="D428" s="73" t="str">
        <f>IF(E428&lt;&gt;"",IF(D427&lt;&gt;"",D427,#REF!)+1,"")</f>
        <v/>
      </c>
      <c r="E428" s="73"/>
      <c r="F428" s="73"/>
      <c r="G428" s="122"/>
      <c r="H428" s="104"/>
      <c r="I428" s="73"/>
      <c r="J428" s="73"/>
      <c r="K428" s="202"/>
      <c r="L428" s="75" t="str">
        <f t="shared" si="38"/>
        <v/>
      </c>
      <c r="M428" s="75"/>
      <c r="N428" s="75" t="str">
        <f t="shared" si="39"/>
        <v/>
      </c>
      <c r="O428" s="204" t="str">
        <f t="shared" si="40"/>
        <v/>
      </c>
      <c r="P428" s="8"/>
      <c r="Q428" s="8"/>
      <c r="R428" s="8"/>
      <c r="S428" s="8"/>
    </row>
    <row r="429" spans="1:19" x14ac:dyDescent="0.25">
      <c r="A429" s="197">
        <f t="shared" si="36"/>
        <v>0</v>
      </c>
      <c r="B429" s="76" t="str">
        <f t="shared" si="37"/>
        <v/>
      </c>
      <c r="C429" s="77" t="str">
        <f>IF(G429&lt;&gt;"",IFERROR(ROUND(VLOOKUP(G429,ProductList!J:AO,31,FALSE),0),""),"")</f>
        <v/>
      </c>
      <c r="D429" s="73" t="str">
        <f>IF(E429&lt;&gt;"",IF(D428&lt;&gt;"",D428,#REF!)+1,"")</f>
        <v/>
      </c>
      <c r="E429" s="73"/>
      <c r="F429" s="73"/>
      <c r="G429" s="122"/>
      <c r="H429" s="104"/>
      <c r="I429" s="73"/>
      <c r="J429" s="73"/>
      <c r="K429" s="202"/>
      <c r="L429" s="75" t="str">
        <f t="shared" si="38"/>
        <v/>
      </c>
      <c r="M429" s="75"/>
      <c r="N429" s="75" t="str">
        <f t="shared" si="39"/>
        <v/>
      </c>
      <c r="O429" s="204" t="str">
        <f t="shared" si="40"/>
        <v/>
      </c>
      <c r="P429" s="8"/>
      <c r="Q429" s="8"/>
      <c r="R429" s="8"/>
      <c r="S429" s="8"/>
    </row>
    <row r="430" spans="1:19" x14ac:dyDescent="0.25">
      <c r="A430" s="197">
        <f t="shared" si="36"/>
        <v>0</v>
      </c>
      <c r="B430" s="76" t="str">
        <f t="shared" si="37"/>
        <v/>
      </c>
      <c r="C430" s="77" t="str">
        <f>IF(G430&lt;&gt;"",IFERROR(ROUND(VLOOKUP(G430,ProductList!J:AO,31,FALSE),0),""),"")</f>
        <v/>
      </c>
      <c r="D430" s="73" t="str">
        <f>IF(E430&lt;&gt;"",IF(D429&lt;&gt;"",D429,#REF!)+1,"")</f>
        <v/>
      </c>
      <c r="E430" s="73"/>
      <c r="F430" s="73"/>
      <c r="G430" s="122"/>
      <c r="H430" s="104"/>
      <c r="I430" s="73"/>
      <c r="J430" s="73"/>
      <c r="K430" s="202"/>
      <c r="L430" s="75" t="str">
        <f t="shared" si="38"/>
        <v/>
      </c>
      <c r="M430" s="75"/>
      <c r="N430" s="75" t="str">
        <f t="shared" si="39"/>
        <v/>
      </c>
      <c r="O430" s="204" t="str">
        <f t="shared" si="40"/>
        <v/>
      </c>
      <c r="P430" s="8"/>
      <c r="Q430" s="8"/>
      <c r="R430" s="8"/>
      <c r="S430" s="8"/>
    </row>
    <row r="431" spans="1:19" x14ac:dyDescent="0.25">
      <c r="A431" s="197">
        <f t="shared" si="36"/>
        <v>0</v>
      </c>
      <c r="B431" s="76" t="str">
        <f t="shared" si="37"/>
        <v/>
      </c>
      <c r="C431" s="77" t="str">
        <f>IF(G431&lt;&gt;"",IFERROR(ROUND(VLOOKUP(G431,ProductList!J:AO,31,FALSE),0),""),"")</f>
        <v/>
      </c>
      <c r="D431" s="73" t="str">
        <f>IF(E431&lt;&gt;"",IF(D430&lt;&gt;"",D430,#REF!)+1,"")</f>
        <v/>
      </c>
      <c r="E431" s="73"/>
      <c r="F431" s="73"/>
      <c r="G431" s="122"/>
      <c r="H431" s="104"/>
      <c r="I431" s="73"/>
      <c r="J431" s="73"/>
      <c r="K431" s="202"/>
      <c r="L431" s="75" t="str">
        <f t="shared" si="38"/>
        <v/>
      </c>
      <c r="M431" s="75"/>
      <c r="N431" s="75" t="str">
        <f t="shared" si="39"/>
        <v/>
      </c>
      <c r="O431" s="204" t="str">
        <f t="shared" si="40"/>
        <v/>
      </c>
      <c r="P431" s="8"/>
      <c r="Q431" s="8"/>
      <c r="R431" s="8"/>
      <c r="S431" s="8"/>
    </row>
    <row r="432" spans="1:19" x14ac:dyDescent="0.25">
      <c r="A432" s="197">
        <f t="shared" si="36"/>
        <v>0</v>
      </c>
      <c r="B432" s="76" t="str">
        <f t="shared" si="37"/>
        <v/>
      </c>
      <c r="C432" s="77" t="str">
        <f>IF(G432&lt;&gt;"",IFERROR(ROUND(VLOOKUP(G432,ProductList!J:AO,31,FALSE),0),""),"")</f>
        <v/>
      </c>
      <c r="D432" s="73" t="str">
        <f>IF(E432&lt;&gt;"",IF(D431&lt;&gt;"",D431,#REF!)+1,"")</f>
        <v/>
      </c>
      <c r="E432" s="73"/>
      <c r="F432" s="73"/>
      <c r="G432" s="122"/>
      <c r="H432" s="104"/>
      <c r="I432" s="73"/>
      <c r="J432" s="73"/>
      <c r="K432" s="202"/>
      <c r="L432" s="75" t="str">
        <f t="shared" si="38"/>
        <v/>
      </c>
      <c r="M432" s="75"/>
      <c r="N432" s="75" t="str">
        <f t="shared" si="39"/>
        <v/>
      </c>
      <c r="O432" s="204" t="str">
        <f t="shared" si="40"/>
        <v/>
      </c>
      <c r="P432" s="8"/>
      <c r="Q432" s="8"/>
      <c r="R432" s="8"/>
      <c r="S432" s="8"/>
    </row>
    <row r="433" spans="1:19" x14ac:dyDescent="0.25">
      <c r="A433" s="197">
        <f t="shared" si="36"/>
        <v>0</v>
      </c>
      <c r="B433" s="76" t="str">
        <f t="shared" si="37"/>
        <v/>
      </c>
      <c r="C433" s="77" t="str">
        <f>IF(G433&lt;&gt;"",IFERROR(ROUND(VLOOKUP(G433,ProductList!J:AO,31,FALSE),0),""),"")</f>
        <v/>
      </c>
      <c r="D433" s="73" t="str">
        <f>IF(E433&lt;&gt;"",IF(D432&lt;&gt;"",D432,#REF!)+1,"")</f>
        <v/>
      </c>
      <c r="E433" s="73"/>
      <c r="F433" s="73"/>
      <c r="G433" s="122"/>
      <c r="H433" s="104"/>
      <c r="I433" s="73"/>
      <c r="J433" s="73"/>
      <c r="K433" s="202"/>
      <c r="L433" s="75" t="str">
        <f t="shared" si="38"/>
        <v/>
      </c>
      <c r="M433" s="75"/>
      <c r="N433" s="75" t="str">
        <f t="shared" si="39"/>
        <v/>
      </c>
      <c r="O433" s="204" t="str">
        <f t="shared" si="40"/>
        <v/>
      </c>
      <c r="P433" s="8"/>
      <c r="Q433" s="8"/>
      <c r="R433" s="8"/>
      <c r="S433" s="8"/>
    </row>
    <row r="434" spans="1:19" x14ac:dyDescent="0.25">
      <c r="A434" s="197">
        <f t="shared" si="36"/>
        <v>0</v>
      </c>
      <c r="B434" s="76" t="str">
        <f t="shared" si="37"/>
        <v/>
      </c>
      <c r="C434" s="77" t="str">
        <f>IF(G434&lt;&gt;"",IFERROR(ROUND(VLOOKUP(G434,ProductList!J:AO,31,FALSE),0),""),"")</f>
        <v/>
      </c>
      <c r="D434" s="73" t="str">
        <f>IF(E434&lt;&gt;"",IF(D433&lt;&gt;"",D433,#REF!)+1,"")</f>
        <v/>
      </c>
      <c r="E434" s="73"/>
      <c r="F434" s="73"/>
      <c r="G434" s="122"/>
      <c r="H434" s="104"/>
      <c r="I434" s="73"/>
      <c r="J434" s="73"/>
      <c r="K434" s="202"/>
      <c r="L434" s="75" t="str">
        <f t="shared" si="38"/>
        <v/>
      </c>
      <c r="M434" s="75"/>
      <c r="N434" s="75" t="str">
        <f t="shared" si="39"/>
        <v/>
      </c>
      <c r="O434" s="204" t="str">
        <f t="shared" si="40"/>
        <v/>
      </c>
      <c r="P434" s="8"/>
      <c r="Q434" s="8"/>
      <c r="R434" s="8"/>
      <c r="S434" s="8"/>
    </row>
    <row r="435" spans="1:19" x14ac:dyDescent="0.25">
      <c r="A435" s="197">
        <f t="shared" si="36"/>
        <v>0</v>
      </c>
      <c r="B435" s="76" t="str">
        <f t="shared" si="37"/>
        <v/>
      </c>
      <c r="C435" s="77" t="str">
        <f>IF(G435&lt;&gt;"",IFERROR(ROUND(VLOOKUP(G435,ProductList!J:AO,31,FALSE),0),""),"")</f>
        <v/>
      </c>
      <c r="D435" s="73" t="str">
        <f>IF(E435&lt;&gt;"",IF(D434&lt;&gt;"",D434,#REF!)+1,"")</f>
        <v/>
      </c>
      <c r="E435" s="73"/>
      <c r="F435" s="73"/>
      <c r="G435" s="122"/>
      <c r="H435" s="104"/>
      <c r="I435" s="73"/>
      <c r="J435" s="73"/>
      <c r="K435" s="202"/>
      <c r="L435" s="75" t="str">
        <f t="shared" si="38"/>
        <v/>
      </c>
      <c r="M435" s="75"/>
      <c r="N435" s="75" t="str">
        <f t="shared" si="39"/>
        <v/>
      </c>
      <c r="O435" s="204" t="str">
        <f t="shared" si="40"/>
        <v/>
      </c>
      <c r="P435" s="8"/>
      <c r="Q435" s="8"/>
      <c r="R435" s="8"/>
      <c r="S435" s="8"/>
    </row>
    <row r="436" spans="1:19" x14ac:dyDescent="0.25">
      <c r="A436" s="197">
        <f t="shared" si="36"/>
        <v>0</v>
      </c>
      <c r="B436" s="76" t="str">
        <f t="shared" si="37"/>
        <v/>
      </c>
      <c r="C436" s="77" t="str">
        <f>IF(G436&lt;&gt;"",IFERROR(ROUND(VLOOKUP(G436,ProductList!J:AO,31,FALSE),0),""),"")</f>
        <v/>
      </c>
      <c r="D436" s="73" t="str">
        <f>IF(E436&lt;&gt;"",IF(D435&lt;&gt;"",D435,#REF!)+1,"")</f>
        <v/>
      </c>
      <c r="E436" s="73"/>
      <c r="F436" s="73"/>
      <c r="G436" s="122"/>
      <c r="H436" s="104"/>
      <c r="I436" s="73"/>
      <c r="J436" s="73"/>
      <c r="K436" s="202"/>
      <c r="L436" s="75" t="str">
        <f t="shared" si="38"/>
        <v/>
      </c>
      <c r="M436" s="75"/>
      <c r="N436" s="75" t="str">
        <f t="shared" si="39"/>
        <v/>
      </c>
      <c r="O436" s="204" t="str">
        <f t="shared" si="40"/>
        <v/>
      </c>
      <c r="P436" s="8"/>
      <c r="Q436" s="8"/>
      <c r="R436" s="8"/>
      <c r="S436" s="8"/>
    </row>
    <row r="437" spans="1:19" x14ac:dyDescent="0.25">
      <c r="A437" s="197">
        <f t="shared" si="36"/>
        <v>0</v>
      </c>
      <c r="B437" s="76" t="str">
        <f t="shared" si="37"/>
        <v/>
      </c>
      <c r="C437" s="77" t="str">
        <f>IF(G437&lt;&gt;"",IFERROR(ROUND(VLOOKUP(G437,ProductList!J:AO,31,FALSE),0),""),"")</f>
        <v/>
      </c>
      <c r="D437" s="73" t="str">
        <f>IF(E437&lt;&gt;"",IF(D436&lt;&gt;"",D436,#REF!)+1,"")</f>
        <v/>
      </c>
      <c r="E437" s="73"/>
      <c r="F437" s="73"/>
      <c r="G437" s="122"/>
      <c r="H437" s="104"/>
      <c r="I437" s="73"/>
      <c r="J437" s="73"/>
      <c r="K437" s="202"/>
      <c r="L437" s="75" t="str">
        <f t="shared" si="38"/>
        <v/>
      </c>
      <c r="M437" s="75"/>
      <c r="N437" s="75" t="str">
        <f t="shared" si="39"/>
        <v/>
      </c>
      <c r="O437" s="204" t="str">
        <f t="shared" si="40"/>
        <v/>
      </c>
      <c r="P437" s="8"/>
      <c r="Q437" s="8"/>
      <c r="R437" s="8"/>
      <c r="S437" s="8"/>
    </row>
    <row r="438" spans="1:19" x14ac:dyDescent="0.25">
      <c r="A438" s="197">
        <f t="shared" si="36"/>
        <v>0</v>
      </c>
      <c r="B438" s="76" t="str">
        <f t="shared" si="37"/>
        <v/>
      </c>
      <c r="C438" s="77" t="str">
        <f>IF(G438&lt;&gt;"",IFERROR(ROUND(VLOOKUP(G438,ProductList!J:AO,31,FALSE),0),""),"")</f>
        <v/>
      </c>
      <c r="D438" s="73" t="str">
        <f>IF(E438&lt;&gt;"",IF(D437&lt;&gt;"",D437,#REF!)+1,"")</f>
        <v/>
      </c>
      <c r="E438" s="73"/>
      <c r="F438" s="73"/>
      <c r="G438" s="122"/>
      <c r="H438" s="104"/>
      <c r="I438" s="73"/>
      <c r="J438" s="73"/>
      <c r="K438" s="202"/>
      <c r="L438" s="75" t="str">
        <f t="shared" si="38"/>
        <v/>
      </c>
      <c r="M438" s="75"/>
      <c r="N438" s="75" t="str">
        <f t="shared" si="39"/>
        <v/>
      </c>
      <c r="O438" s="204" t="str">
        <f t="shared" si="40"/>
        <v/>
      </c>
      <c r="P438" s="8"/>
      <c r="Q438" s="8"/>
      <c r="R438" s="8"/>
      <c r="S438" s="8"/>
    </row>
    <row r="439" spans="1:19" x14ac:dyDescent="0.25">
      <c r="A439" s="197">
        <f t="shared" si="36"/>
        <v>0</v>
      </c>
      <c r="B439" s="76" t="str">
        <f t="shared" si="37"/>
        <v/>
      </c>
      <c r="C439" s="77" t="str">
        <f>IF(G439&lt;&gt;"",IFERROR(ROUND(VLOOKUP(G439,ProductList!J:AO,31,FALSE),0),""),"")</f>
        <v/>
      </c>
      <c r="D439" s="73" t="str">
        <f>IF(E439&lt;&gt;"",IF(D438&lt;&gt;"",D438,#REF!)+1,"")</f>
        <v/>
      </c>
      <c r="E439" s="73"/>
      <c r="F439" s="73"/>
      <c r="G439" s="122"/>
      <c r="H439" s="104"/>
      <c r="I439" s="73"/>
      <c r="J439" s="73"/>
      <c r="K439" s="202"/>
      <c r="L439" s="75" t="str">
        <f t="shared" si="38"/>
        <v/>
      </c>
      <c r="M439" s="75"/>
      <c r="N439" s="75" t="str">
        <f t="shared" si="39"/>
        <v/>
      </c>
      <c r="O439" s="204" t="str">
        <f t="shared" si="40"/>
        <v/>
      </c>
      <c r="P439" s="8"/>
      <c r="Q439" s="8"/>
      <c r="R439" s="8"/>
      <c r="S439" s="8"/>
    </row>
    <row r="440" spans="1:19" x14ac:dyDescent="0.25">
      <c r="A440" s="197">
        <f t="shared" si="36"/>
        <v>0</v>
      </c>
      <c r="B440" s="76" t="str">
        <f t="shared" si="37"/>
        <v/>
      </c>
      <c r="C440" s="77" t="str">
        <f>IF(G440&lt;&gt;"",IFERROR(ROUND(VLOOKUP(G440,ProductList!J:AO,31,FALSE),0),""),"")</f>
        <v/>
      </c>
      <c r="D440" s="73" t="str">
        <f>IF(E440&lt;&gt;"",IF(D439&lt;&gt;"",D439,#REF!)+1,"")</f>
        <v/>
      </c>
      <c r="E440" s="73"/>
      <c r="F440" s="73"/>
      <c r="G440" s="122"/>
      <c r="H440" s="104"/>
      <c r="I440" s="73"/>
      <c r="J440" s="73"/>
      <c r="K440" s="202"/>
      <c r="L440" s="75" t="str">
        <f t="shared" si="38"/>
        <v/>
      </c>
      <c r="M440" s="75"/>
      <c r="N440" s="75" t="str">
        <f t="shared" si="39"/>
        <v/>
      </c>
      <c r="O440" s="204" t="str">
        <f t="shared" si="40"/>
        <v/>
      </c>
      <c r="P440" s="8"/>
      <c r="Q440" s="8"/>
      <c r="R440" s="8"/>
      <c r="S440" s="8"/>
    </row>
    <row r="441" spans="1:19" x14ac:dyDescent="0.25">
      <c r="A441" s="197">
        <f t="shared" si="36"/>
        <v>0</v>
      </c>
      <c r="B441" s="76" t="str">
        <f t="shared" si="37"/>
        <v/>
      </c>
      <c r="C441" s="77" t="str">
        <f>IF(G441&lt;&gt;"",IFERROR(ROUND(VLOOKUP(G441,ProductList!J:AO,31,FALSE),0),""),"")</f>
        <v/>
      </c>
      <c r="D441" s="73" t="str">
        <f>IF(E441&lt;&gt;"",IF(D440&lt;&gt;"",D440,#REF!)+1,"")</f>
        <v/>
      </c>
      <c r="E441" s="73"/>
      <c r="F441" s="73"/>
      <c r="G441" s="122"/>
      <c r="H441" s="104"/>
      <c r="I441" s="73"/>
      <c r="J441" s="73"/>
      <c r="K441" s="202"/>
      <c r="L441" s="75" t="str">
        <f t="shared" si="38"/>
        <v/>
      </c>
      <c r="M441" s="75"/>
      <c r="N441" s="75" t="str">
        <f t="shared" si="39"/>
        <v/>
      </c>
      <c r="O441" s="204" t="str">
        <f t="shared" si="40"/>
        <v/>
      </c>
      <c r="P441" s="8"/>
      <c r="Q441" s="8"/>
      <c r="R441" s="8"/>
      <c r="S441" s="8"/>
    </row>
    <row r="442" spans="1:19" x14ac:dyDescent="0.25">
      <c r="A442" s="197">
        <f t="shared" si="36"/>
        <v>0</v>
      </c>
      <c r="B442" s="76" t="str">
        <f t="shared" si="37"/>
        <v/>
      </c>
      <c r="C442" s="77" t="str">
        <f>IF(G442&lt;&gt;"",IFERROR(ROUND(VLOOKUP(G442,ProductList!J:AO,31,FALSE),0),""),"")</f>
        <v/>
      </c>
      <c r="D442" s="73" t="str">
        <f>IF(E442&lt;&gt;"",IF(D441&lt;&gt;"",D441,#REF!)+1,"")</f>
        <v/>
      </c>
      <c r="E442" s="73"/>
      <c r="F442" s="73"/>
      <c r="G442" s="122"/>
      <c r="H442" s="104"/>
      <c r="I442" s="73"/>
      <c r="J442" s="73"/>
      <c r="K442" s="202"/>
      <c r="L442" s="75" t="str">
        <f t="shared" si="38"/>
        <v/>
      </c>
      <c r="M442" s="75"/>
      <c r="N442" s="75" t="str">
        <f t="shared" si="39"/>
        <v/>
      </c>
      <c r="O442" s="204" t="str">
        <f t="shared" si="40"/>
        <v/>
      </c>
      <c r="P442" s="8"/>
      <c r="Q442" s="8"/>
      <c r="R442" s="8"/>
      <c r="S442" s="8"/>
    </row>
    <row r="443" spans="1:19" x14ac:dyDescent="0.25">
      <c r="A443" s="197">
        <f t="shared" si="36"/>
        <v>0</v>
      </c>
      <c r="B443" s="76" t="str">
        <f t="shared" si="37"/>
        <v/>
      </c>
      <c r="C443" s="77" t="str">
        <f>IF(G443&lt;&gt;"",IFERROR(ROUND(VLOOKUP(G443,ProductList!J:AO,31,FALSE),0),""),"")</f>
        <v/>
      </c>
      <c r="D443" s="73" t="str">
        <f>IF(E443&lt;&gt;"",IF(D442&lt;&gt;"",D442,#REF!)+1,"")</f>
        <v/>
      </c>
      <c r="E443" s="73"/>
      <c r="F443" s="73"/>
      <c r="G443" s="122"/>
      <c r="H443" s="104"/>
      <c r="I443" s="73"/>
      <c r="J443" s="73"/>
      <c r="K443" s="202"/>
      <c r="L443" s="75" t="str">
        <f t="shared" si="38"/>
        <v/>
      </c>
      <c r="M443" s="75"/>
      <c r="N443" s="75" t="str">
        <f t="shared" si="39"/>
        <v/>
      </c>
      <c r="O443" s="204" t="str">
        <f t="shared" si="40"/>
        <v/>
      </c>
      <c r="P443" s="8"/>
      <c r="Q443" s="8"/>
      <c r="R443" s="8"/>
      <c r="S443" s="8"/>
    </row>
    <row r="444" spans="1:19" x14ac:dyDescent="0.25">
      <c r="A444" s="197">
        <f t="shared" si="36"/>
        <v>0</v>
      </c>
      <c r="B444" s="76" t="str">
        <f t="shared" si="37"/>
        <v/>
      </c>
      <c r="C444" s="77" t="str">
        <f>IF(G444&lt;&gt;"",IFERROR(ROUND(VLOOKUP(G444,ProductList!J:AO,31,FALSE),0),""),"")</f>
        <v/>
      </c>
      <c r="D444" s="73" t="str">
        <f>IF(E444&lt;&gt;"",IF(D443&lt;&gt;"",D443,#REF!)+1,"")</f>
        <v/>
      </c>
      <c r="E444" s="73"/>
      <c r="F444" s="73"/>
      <c r="G444" s="122"/>
      <c r="H444" s="104"/>
      <c r="I444" s="73"/>
      <c r="J444" s="73"/>
      <c r="K444" s="202"/>
      <c r="L444" s="75" t="str">
        <f t="shared" si="38"/>
        <v/>
      </c>
      <c r="M444" s="75"/>
      <c r="N444" s="75" t="str">
        <f t="shared" si="39"/>
        <v/>
      </c>
      <c r="O444" s="204" t="str">
        <f t="shared" si="40"/>
        <v/>
      </c>
      <c r="P444" s="8"/>
      <c r="Q444" s="8"/>
      <c r="R444" s="8"/>
      <c r="S444" s="8"/>
    </row>
    <row r="445" spans="1:19" x14ac:dyDescent="0.25">
      <c r="A445" s="197">
        <f t="shared" si="36"/>
        <v>0</v>
      </c>
      <c r="B445" s="76" t="str">
        <f t="shared" si="37"/>
        <v/>
      </c>
      <c r="C445" s="77" t="str">
        <f>IF(G445&lt;&gt;"",IFERROR(ROUND(VLOOKUP(G445,ProductList!J:AO,31,FALSE),0),""),"")</f>
        <v/>
      </c>
      <c r="D445" s="73" t="str">
        <f>IF(E445&lt;&gt;"",IF(D444&lt;&gt;"",D444,#REF!)+1,"")</f>
        <v/>
      </c>
      <c r="E445" s="73"/>
      <c r="F445" s="73"/>
      <c r="G445" s="122"/>
      <c r="H445" s="104"/>
      <c r="I445" s="73"/>
      <c r="J445" s="73"/>
      <c r="K445" s="202"/>
      <c r="L445" s="75" t="str">
        <f t="shared" si="38"/>
        <v/>
      </c>
      <c r="M445" s="75"/>
      <c r="N445" s="75" t="str">
        <f t="shared" si="39"/>
        <v/>
      </c>
      <c r="O445" s="204" t="str">
        <f t="shared" si="40"/>
        <v/>
      </c>
      <c r="P445" s="8"/>
      <c r="Q445" s="8"/>
      <c r="R445" s="8"/>
      <c r="S445" s="8"/>
    </row>
    <row r="446" spans="1:19" x14ac:dyDescent="0.25">
      <c r="A446" s="197">
        <f t="shared" si="36"/>
        <v>0</v>
      </c>
      <c r="B446" s="76" t="str">
        <f t="shared" si="37"/>
        <v/>
      </c>
      <c r="C446" s="77" t="str">
        <f>IF(G446&lt;&gt;"",IFERROR(ROUND(VLOOKUP(G446,ProductList!J:AO,31,FALSE),0),""),"")</f>
        <v/>
      </c>
      <c r="D446" s="73" t="str">
        <f>IF(E446&lt;&gt;"",IF(D445&lt;&gt;"",D445,#REF!)+1,"")</f>
        <v/>
      </c>
      <c r="E446" s="73"/>
      <c r="F446" s="73"/>
      <c r="G446" s="122"/>
      <c r="H446" s="104"/>
      <c r="I446" s="73"/>
      <c r="J446" s="73"/>
      <c r="K446" s="202"/>
      <c r="L446" s="75" t="str">
        <f t="shared" si="38"/>
        <v/>
      </c>
      <c r="M446" s="75"/>
      <c r="N446" s="75" t="str">
        <f t="shared" si="39"/>
        <v/>
      </c>
      <c r="O446" s="204" t="str">
        <f t="shared" si="40"/>
        <v/>
      </c>
      <c r="P446" s="8"/>
      <c r="Q446" s="8"/>
      <c r="R446" s="8"/>
      <c r="S446" s="8"/>
    </row>
    <row r="447" spans="1:19" x14ac:dyDescent="0.25">
      <c r="A447" s="197">
        <f t="shared" si="36"/>
        <v>0</v>
      </c>
      <c r="B447" s="76" t="str">
        <f t="shared" si="37"/>
        <v/>
      </c>
      <c r="C447" s="77" t="str">
        <f>IF(G447&lt;&gt;"",IFERROR(ROUND(VLOOKUP(G447,ProductList!J:AO,31,FALSE),0),""),"")</f>
        <v/>
      </c>
      <c r="D447" s="73" t="str">
        <f>IF(E447&lt;&gt;"",IF(D446&lt;&gt;"",D446,#REF!)+1,"")</f>
        <v/>
      </c>
      <c r="E447" s="73"/>
      <c r="F447" s="73"/>
      <c r="G447" s="122"/>
      <c r="H447" s="104"/>
      <c r="I447" s="73"/>
      <c r="J447" s="73"/>
      <c r="K447" s="202"/>
      <c r="L447" s="75" t="str">
        <f t="shared" si="38"/>
        <v/>
      </c>
      <c r="M447" s="75"/>
      <c r="N447" s="75" t="str">
        <f t="shared" si="39"/>
        <v/>
      </c>
      <c r="O447" s="204" t="str">
        <f t="shared" si="40"/>
        <v/>
      </c>
      <c r="P447" s="8"/>
      <c r="Q447" s="8"/>
      <c r="R447" s="8"/>
      <c r="S447" s="8"/>
    </row>
    <row r="448" spans="1:19" x14ac:dyDescent="0.25">
      <c r="A448" s="197">
        <f t="shared" si="36"/>
        <v>0</v>
      </c>
      <c r="B448" s="76" t="str">
        <f t="shared" si="37"/>
        <v/>
      </c>
      <c r="C448" s="77" t="str">
        <f>IF(G448&lt;&gt;"",IFERROR(ROUND(VLOOKUP(G448,ProductList!J:AO,31,FALSE),0),""),"")</f>
        <v/>
      </c>
      <c r="D448" s="73" t="str">
        <f>IF(E448&lt;&gt;"",IF(D447&lt;&gt;"",D447,#REF!)+1,"")</f>
        <v/>
      </c>
      <c r="E448" s="73"/>
      <c r="F448" s="73"/>
      <c r="G448" s="122"/>
      <c r="H448" s="104"/>
      <c r="I448" s="73"/>
      <c r="J448" s="73"/>
      <c r="K448" s="202"/>
      <c r="L448" s="75" t="str">
        <f t="shared" si="38"/>
        <v/>
      </c>
      <c r="M448" s="75"/>
      <c r="N448" s="75" t="str">
        <f t="shared" si="39"/>
        <v/>
      </c>
      <c r="O448" s="204" t="str">
        <f t="shared" si="40"/>
        <v/>
      </c>
      <c r="P448" s="8"/>
      <c r="Q448" s="8"/>
      <c r="R448" s="8"/>
      <c r="S448" s="8"/>
    </row>
    <row r="449" spans="1:19" x14ac:dyDescent="0.25">
      <c r="A449" s="197">
        <f t="shared" si="36"/>
        <v>0</v>
      </c>
      <c r="B449" s="76" t="str">
        <f t="shared" si="37"/>
        <v/>
      </c>
      <c r="C449" s="77" t="str">
        <f>IF(G449&lt;&gt;"",IFERROR(ROUND(VLOOKUP(G449,ProductList!J:AO,31,FALSE),0),""),"")</f>
        <v/>
      </c>
      <c r="D449" s="73" t="str">
        <f>IF(E449&lt;&gt;"",IF(D448&lt;&gt;"",D448,#REF!)+1,"")</f>
        <v/>
      </c>
      <c r="E449" s="73"/>
      <c r="F449" s="73"/>
      <c r="G449" s="122"/>
      <c r="H449" s="104"/>
      <c r="I449" s="73"/>
      <c r="J449" s="73"/>
      <c r="K449" s="202"/>
      <c r="L449" s="75" t="str">
        <f t="shared" si="38"/>
        <v/>
      </c>
      <c r="M449" s="75"/>
      <c r="N449" s="75" t="str">
        <f t="shared" si="39"/>
        <v/>
      </c>
      <c r="O449" s="204" t="str">
        <f t="shared" si="40"/>
        <v/>
      </c>
      <c r="P449" s="8"/>
      <c r="Q449" s="8"/>
      <c r="R449" s="8"/>
      <c r="S449" s="8"/>
    </row>
    <row r="450" spans="1:19" x14ac:dyDescent="0.25">
      <c r="A450" s="197">
        <f t="shared" si="36"/>
        <v>0</v>
      </c>
      <c r="B450" s="76" t="str">
        <f t="shared" si="37"/>
        <v/>
      </c>
      <c r="C450" s="77" t="str">
        <f>IF(G450&lt;&gt;"",IFERROR(ROUND(VLOOKUP(G450,ProductList!J:AO,31,FALSE),0),""),"")</f>
        <v/>
      </c>
      <c r="D450" s="73" t="str">
        <f>IF(E450&lt;&gt;"",IF(D449&lt;&gt;"",D449,#REF!)+1,"")</f>
        <v/>
      </c>
      <c r="E450" s="73"/>
      <c r="F450" s="73"/>
      <c r="G450" s="122"/>
      <c r="H450" s="104"/>
      <c r="I450" s="73"/>
      <c r="J450" s="73"/>
      <c r="K450" s="202"/>
      <c r="L450" s="75" t="str">
        <f t="shared" si="38"/>
        <v/>
      </c>
      <c r="M450" s="75"/>
      <c r="N450" s="75" t="str">
        <f t="shared" si="39"/>
        <v/>
      </c>
      <c r="O450" s="204" t="str">
        <f t="shared" si="40"/>
        <v/>
      </c>
      <c r="P450" s="8"/>
      <c r="Q450" s="8"/>
      <c r="R450" s="8"/>
      <c r="S450" s="8"/>
    </row>
    <row r="451" spans="1:19" x14ac:dyDescent="0.25">
      <c r="A451" s="197">
        <f t="shared" si="36"/>
        <v>0</v>
      </c>
      <c r="B451" s="76" t="str">
        <f t="shared" si="37"/>
        <v/>
      </c>
      <c r="C451" s="77" t="str">
        <f>IF(G451&lt;&gt;"",IFERROR(ROUND(VLOOKUP(G451,ProductList!J:AO,31,FALSE),0),""),"")</f>
        <v/>
      </c>
      <c r="D451" s="73" t="str">
        <f>IF(E451&lt;&gt;"",IF(D450&lt;&gt;"",D450,#REF!)+1,"")</f>
        <v/>
      </c>
      <c r="E451" s="73"/>
      <c r="F451" s="73"/>
      <c r="G451" s="122"/>
      <c r="H451" s="104"/>
      <c r="I451" s="73"/>
      <c r="J451" s="73"/>
      <c r="K451" s="202"/>
      <c r="L451" s="75" t="str">
        <f t="shared" si="38"/>
        <v/>
      </c>
      <c r="M451" s="75"/>
      <c r="N451" s="75" t="str">
        <f t="shared" si="39"/>
        <v/>
      </c>
      <c r="O451" s="204" t="str">
        <f t="shared" si="40"/>
        <v/>
      </c>
      <c r="P451" s="8"/>
      <c r="Q451" s="8"/>
      <c r="R451" s="8"/>
      <c r="S451" s="8"/>
    </row>
    <row r="452" spans="1:19" x14ac:dyDescent="0.25">
      <c r="A452" s="197">
        <f t="shared" si="36"/>
        <v>0</v>
      </c>
      <c r="B452" s="76" t="str">
        <f t="shared" si="37"/>
        <v/>
      </c>
      <c r="C452" s="77" t="str">
        <f>IF(G452&lt;&gt;"",IFERROR(ROUND(VLOOKUP(G452,ProductList!J:AO,31,FALSE),0),""),"")</f>
        <v/>
      </c>
      <c r="D452" s="73" t="str">
        <f>IF(E452&lt;&gt;"",IF(D451&lt;&gt;"",D451,#REF!)+1,"")</f>
        <v/>
      </c>
      <c r="E452" s="73"/>
      <c r="F452" s="73"/>
      <c r="G452" s="122"/>
      <c r="H452" s="104"/>
      <c r="I452" s="73"/>
      <c r="J452" s="73"/>
      <c r="K452" s="202"/>
      <c r="L452" s="75" t="str">
        <f t="shared" si="38"/>
        <v/>
      </c>
      <c r="M452" s="75"/>
      <c r="N452" s="75" t="str">
        <f t="shared" si="39"/>
        <v/>
      </c>
      <c r="O452" s="204" t="str">
        <f t="shared" si="40"/>
        <v/>
      </c>
      <c r="P452" s="8"/>
      <c r="Q452" s="8"/>
      <c r="R452" s="8"/>
      <c r="S452" s="8"/>
    </row>
    <row r="453" spans="1:19" x14ac:dyDescent="0.25">
      <c r="A453" s="197">
        <f t="shared" ref="A453:A498" si="41">IF(AND(E453&lt;&gt;""),IF(A452&lt;&gt;"",A452,0)+1,A452)</f>
        <v>0</v>
      </c>
      <c r="B453" s="76" t="str">
        <f t="shared" si="37"/>
        <v/>
      </c>
      <c r="C453" s="77" t="str">
        <f>IF(G453&lt;&gt;"",IFERROR(ROUND(VLOOKUP(G453,ProductList!J:AO,31,FALSE),0),""),"")</f>
        <v/>
      </c>
      <c r="D453" s="73" t="str">
        <f>IF(E453&lt;&gt;"",IF(D452&lt;&gt;"",D452,#REF!)+1,"")</f>
        <v/>
      </c>
      <c r="E453" s="73"/>
      <c r="F453" s="73"/>
      <c r="G453" s="122"/>
      <c r="H453" s="104"/>
      <c r="I453" s="73"/>
      <c r="J453" s="73"/>
      <c r="K453" s="202"/>
      <c r="L453" s="75" t="str">
        <f t="shared" si="38"/>
        <v/>
      </c>
      <c r="M453" s="75"/>
      <c r="N453" s="75" t="str">
        <f t="shared" si="39"/>
        <v/>
      </c>
      <c r="O453" s="204" t="str">
        <f t="shared" si="40"/>
        <v/>
      </c>
      <c r="P453" s="8"/>
      <c r="Q453" s="8"/>
      <c r="R453" s="8"/>
      <c r="S453" s="8"/>
    </row>
    <row r="454" spans="1:19" x14ac:dyDescent="0.25">
      <c r="A454" s="197">
        <f t="shared" si="41"/>
        <v>0</v>
      </c>
      <c r="B454" s="76" t="str">
        <f t="shared" ref="B454:B498" si="42">IF(AND(L454&lt;&gt;"",F454&lt;&gt;""),ROUND((((L454-F454)*100)/F454),2),"")</f>
        <v/>
      </c>
      <c r="C454" s="77" t="str">
        <f>IF(G454&lt;&gt;"",IFERROR(ROUND(VLOOKUP(G454,ProductList!J:AO,31,FALSE),0),""),"")</f>
        <v/>
      </c>
      <c r="D454" s="73" t="str">
        <f>IF(E454&lt;&gt;"",IF(D453&lt;&gt;"",D453,#REF!)+1,"")</f>
        <v/>
      </c>
      <c r="E454" s="73"/>
      <c r="F454" s="73"/>
      <c r="G454" s="122"/>
      <c r="H454" s="104"/>
      <c r="I454" s="73"/>
      <c r="J454" s="73"/>
      <c r="K454" s="202"/>
      <c r="L454" s="75" t="str">
        <f t="shared" ref="L454:L498" si="43">IF(AND(J454&lt;&gt;"",K454&lt;&gt;""),K454*J454,"")</f>
        <v/>
      </c>
      <c r="M454" s="75"/>
      <c r="N454" s="75" t="str">
        <f t="shared" ref="N454:N498" si="44">IF(AND(M454&lt;&gt;"",J454&lt;&gt;""),M454*J454,"")</f>
        <v/>
      </c>
      <c r="O454" s="204" t="str">
        <f t="shared" si="40"/>
        <v/>
      </c>
      <c r="P454" s="8"/>
      <c r="Q454" s="8"/>
      <c r="R454" s="8"/>
      <c r="S454" s="8"/>
    </row>
    <row r="455" spans="1:19" x14ac:dyDescent="0.25">
      <c r="A455" s="197">
        <f t="shared" si="41"/>
        <v>0</v>
      </c>
      <c r="B455" s="76" t="str">
        <f t="shared" si="42"/>
        <v/>
      </c>
      <c r="C455" s="77" t="str">
        <f>IF(G455&lt;&gt;"",IFERROR(ROUND(VLOOKUP(G455,ProductList!J:AO,31,FALSE),0),""),"")</f>
        <v/>
      </c>
      <c r="D455" s="73" t="str">
        <f>IF(E455&lt;&gt;"",IF(D454&lt;&gt;"",D454,#REF!)+1,"")</f>
        <v/>
      </c>
      <c r="E455" s="73"/>
      <c r="F455" s="73"/>
      <c r="G455" s="122"/>
      <c r="H455" s="104"/>
      <c r="I455" s="73"/>
      <c r="J455" s="73"/>
      <c r="K455" s="202"/>
      <c r="L455" s="75" t="str">
        <f t="shared" si="43"/>
        <v/>
      </c>
      <c r="M455" s="75"/>
      <c r="N455" s="75" t="str">
        <f t="shared" si="44"/>
        <v/>
      </c>
      <c r="O455" s="204" t="str">
        <f t="shared" si="40"/>
        <v/>
      </c>
      <c r="P455" s="8"/>
      <c r="Q455" s="8"/>
      <c r="R455" s="8"/>
      <c r="S455" s="8"/>
    </row>
    <row r="456" spans="1:19" x14ac:dyDescent="0.25">
      <c r="A456" s="197">
        <f t="shared" si="41"/>
        <v>0</v>
      </c>
      <c r="B456" s="76" t="str">
        <f t="shared" si="42"/>
        <v/>
      </c>
      <c r="C456" s="77" t="str">
        <f>IF(G456&lt;&gt;"",IFERROR(ROUND(VLOOKUP(G456,ProductList!J:AO,31,FALSE),0),""),"")</f>
        <v/>
      </c>
      <c r="D456" s="73" t="str">
        <f>IF(E456&lt;&gt;"",IF(D455&lt;&gt;"",D455,#REF!)+1,"")</f>
        <v/>
      </c>
      <c r="E456" s="73"/>
      <c r="F456" s="73"/>
      <c r="G456" s="122"/>
      <c r="H456" s="104"/>
      <c r="I456" s="73"/>
      <c r="J456" s="73"/>
      <c r="K456" s="202"/>
      <c r="L456" s="75" t="str">
        <f t="shared" si="43"/>
        <v/>
      </c>
      <c r="M456" s="75"/>
      <c r="N456" s="75" t="str">
        <f t="shared" si="44"/>
        <v/>
      </c>
      <c r="O456" s="204" t="str">
        <f t="shared" si="40"/>
        <v/>
      </c>
      <c r="P456" s="8"/>
      <c r="Q456" s="8"/>
      <c r="R456" s="8"/>
      <c r="S456" s="8"/>
    </row>
    <row r="457" spans="1:19" x14ac:dyDescent="0.25">
      <c r="A457" s="197">
        <f t="shared" si="41"/>
        <v>0</v>
      </c>
      <c r="B457" s="76" t="str">
        <f t="shared" si="42"/>
        <v/>
      </c>
      <c r="C457" s="77" t="str">
        <f>IF(G457&lt;&gt;"",IFERROR(ROUND(VLOOKUP(G457,ProductList!J:AO,31,FALSE),0),""),"")</f>
        <v/>
      </c>
      <c r="D457" s="73" t="str">
        <f>IF(E457&lt;&gt;"",IF(D456&lt;&gt;"",D456,#REF!)+1,"")</f>
        <v/>
      </c>
      <c r="E457" s="73"/>
      <c r="F457" s="73"/>
      <c r="G457" s="122"/>
      <c r="H457" s="104"/>
      <c r="I457" s="73"/>
      <c r="J457" s="73"/>
      <c r="K457" s="202"/>
      <c r="L457" s="75" t="str">
        <f t="shared" si="43"/>
        <v/>
      </c>
      <c r="M457" s="75"/>
      <c r="N457" s="75" t="str">
        <f t="shared" si="44"/>
        <v/>
      </c>
      <c r="O457" s="204" t="str">
        <f t="shared" si="40"/>
        <v/>
      </c>
      <c r="P457" s="8"/>
      <c r="Q457" s="8"/>
      <c r="R457" s="8"/>
      <c r="S457" s="8"/>
    </row>
    <row r="458" spans="1:19" x14ac:dyDescent="0.25">
      <c r="A458" s="197">
        <f t="shared" si="41"/>
        <v>0</v>
      </c>
      <c r="B458" s="76" t="str">
        <f t="shared" si="42"/>
        <v/>
      </c>
      <c r="C458" s="77" t="str">
        <f>IF(G458&lt;&gt;"",IFERROR(ROUND(VLOOKUP(G458,ProductList!J:AO,31,FALSE),0),""),"")</f>
        <v/>
      </c>
      <c r="D458" s="73" t="str">
        <f>IF(E458&lt;&gt;"",IF(D457&lt;&gt;"",D457,#REF!)+1,"")</f>
        <v/>
      </c>
      <c r="E458" s="73"/>
      <c r="F458" s="73"/>
      <c r="G458" s="122"/>
      <c r="H458" s="104"/>
      <c r="I458" s="73"/>
      <c r="J458" s="73"/>
      <c r="K458" s="202"/>
      <c r="L458" s="75" t="str">
        <f t="shared" si="43"/>
        <v/>
      </c>
      <c r="M458" s="75"/>
      <c r="N458" s="75" t="str">
        <f t="shared" si="44"/>
        <v/>
      </c>
      <c r="O458" s="204" t="str">
        <f t="shared" si="40"/>
        <v/>
      </c>
      <c r="P458" s="8"/>
      <c r="Q458" s="8"/>
      <c r="R458" s="8"/>
      <c r="S458" s="8"/>
    </row>
    <row r="459" spans="1:19" x14ac:dyDescent="0.25">
      <c r="A459" s="197">
        <f t="shared" si="41"/>
        <v>0</v>
      </c>
      <c r="B459" s="76" t="str">
        <f t="shared" si="42"/>
        <v/>
      </c>
      <c r="C459" s="77" t="str">
        <f>IF(G459&lt;&gt;"",IFERROR(ROUND(VLOOKUP(G459,ProductList!J:AO,31,FALSE),0),""),"")</f>
        <v/>
      </c>
      <c r="D459" s="73" t="str">
        <f>IF(E459&lt;&gt;"",IF(D458&lt;&gt;"",D458,#REF!)+1,"")</f>
        <v/>
      </c>
      <c r="E459" s="73"/>
      <c r="F459" s="73"/>
      <c r="G459" s="122"/>
      <c r="H459" s="104"/>
      <c r="I459" s="73"/>
      <c r="J459" s="73"/>
      <c r="K459" s="202"/>
      <c r="L459" s="75" t="str">
        <f t="shared" si="43"/>
        <v/>
      </c>
      <c r="M459" s="75"/>
      <c r="N459" s="75" t="str">
        <f t="shared" si="44"/>
        <v/>
      </c>
      <c r="O459" s="204" t="str">
        <f t="shared" si="40"/>
        <v/>
      </c>
      <c r="P459" s="8"/>
      <c r="Q459" s="8"/>
      <c r="R459" s="8"/>
      <c r="S459" s="8"/>
    </row>
    <row r="460" spans="1:19" x14ac:dyDescent="0.25">
      <c r="A460" s="197">
        <f t="shared" si="41"/>
        <v>0</v>
      </c>
      <c r="B460" s="76" t="str">
        <f t="shared" si="42"/>
        <v/>
      </c>
      <c r="C460" s="77" t="str">
        <f>IF(G460&lt;&gt;"",IFERROR(ROUND(VLOOKUP(G460,ProductList!J:AO,31,FALSE),0),""),"")</f>
        <v/>
      </c>
      <c r="D460" s="73" t="str">
        <f>IF(E460&lt;&gt;"",IF(D459&lt;&gt;"",D459,#REF!)+1,"")</f>
        <v/>
      </c>
      <c r="E460" s="73"/>
      <c r="F460" s="73"/>
      <c r="G460" s="122"/>
      <c r="H460" s="104"/>
      <c r="I460" s="73"/>
      <c r="J460" s="73"/>
      <c r="K460" s="202"/>
      <c r="L460" s="75" t="str">
        <f t="shared" si="43"/>
        <v/>
      </c>
      <c r="M460" s="75"/>
      <c r="N460" s="75" t="str">
        <f t="shared" si="44"/>
        <v/>
      </c>
      <c r="O460" s="204" t="str">
        <f t="shared" si="40"/>
        <v/>
      </c>
      <c r="P460" s="8"/>
      <c r="Q460" s="8"/>
      <c r="R460" s="8"/>
      <c r="S460" s="8"/>
    </row>
    <row r="461" spans="1:19" x14ac:dyDescent="0.25">
      <c r="A461" s="197">
        <f t="shared" si="41"/>
        <v>0</v>
      </c>
      <c r="B461" s="76" t="str">
        <f t="shared" si="42"/>
        <v/>
      </c>
      <c r="C461" s="77" t="str">
        <f>IF(G461&lt;&gt;"",IFERROR(ROUND(VLOOKUP(G461,ProductList!J:AO,31,FALSE),0),""),"")</f>
        <v/>
      </c>
      <c r="D461" s="73" t="str">
        <f>IF(E461&lt;&gt;"",IF(D460&lt;&gt;"",D460,#REF!)+1,"")</f>
        <v/>
      </c>
      <c r="E461" s="73"/>
      <c r="F461" s="73"/>
      <c r="G461" s="122"/>
      <c r="H461" s="104"/>
      <c r="I461" s="73"/>
      <c r="J461" s="73"/>
      <c r="K461" s="202"/>
      <c r="L461" s="75" t="str">
        <f t="shared" si="43"/>
        <v/>
      </c>
      <c r="M461" s="75"/>
      <c r="N461" s="75" t="str">
        <f t="shared" si="44"/>
        <v/>
      </c>
      <c r="O461" s="204" t="str">
        <f t="shared" si="40"/>
        <v/>
      </c>
      <c r="P461" s="8"/>
      <c r="Q461" s="8"/>
      <c r="R461" s="8"/>
      <c r="S461" s="8"/>
    </row>
    <row r="462" spans="1:19" x14ac:dyDescent="0.25">
      <c r="A462" s="197">
        <f t="shared" si="41"/>
        <v>0</v>
      </c>
      <c r="B462" s="76" t="str">
        <f t="shared" si="42"/>
        <v/>
      </c>
      <c r="C462" s="77" t="str">
        <f>IF(G462&lt;&gt;"",IFERROR(ROUND(VLOOKUP(G462,ProductList!J:AO,31,FALSE),0),""),"")</f>
        <v/>
      </c>
      <c r="D462" s="73" t="str">
        <f>IF(E462&lt;&gt;"",IF(D461&lt;&gt;"",D461,#REF!)+1,"")</f>
        <v/>
      </c>
      <c r="E462" s="73"/>
      <c r="F462" s="73"/>
      <c r="G462" s="122"/>
      <c r="H462" s="104"/>
      <c r="I462" s="73"/>
      <c r="J462" s="73"/>
      <c r="K462" s="202"/>
      <c r="L462" s="75" t="str">
        <f t="shared" si="43"/>
        <v/>
      </c>
      <c r="M462" s="75"/>
      <c r="N462" s="75" t="str">
        <f t="shared" si="44"/>
        <v/>
      </c>
      <c r="O462" s="204" t="str">
        <f t="shared" ref="O462:O498" si="45">IF(AND(K462&lt;&gt;"",M462&lt;&gt;""),K462-M462,IF(K462&lt;&gt;"",K462,""))</f>
        <v/>
      </c>
      <c r="P462" s="8"/>
      <c r="Q462" s="8"/>
      <c r="R462" s="8"/>
      <c r="S462" s="8"/>
    </row>
    <row r="463" spans="1:19" x14ac:dyDescent="0.25">
      <c r="A463" s="197">
        <f t="shared" si="41"/>
        <v>0</v>
      </c>
      <c r="B463" s="76" t="str">
        <f t="shared" si="42"/>
        <v/>
      </c>
      <c r="C463" s="77" t="str">
        <f>IF(G463&lt;&gt;"",IFERROR(ROUND(VLOOKUP(G463,ProductList!J:AO,31,FALSE),0),""),"")</f>
        <v/>
      </c>
      <c r="D463" s="73" t="str">
        <f>IF(E463&lt;&gt;"",IF(D462&lt;&gt;"",D462,#REF!)+1,"")</f>
        <v/>
      </c>
      <c r="E463" s="73"/>
      <c r="F463" s="73"/>
      <c r="G463" s="122"/>
      <c r="H463" s="104"/>
      <c r="I463" s="73"/>
      <c r="J463" s="73"/>
      <c r="K463" s="202"/>
      <c r="L463" s="75" t="str">
        <f t="shared" si="43"/>
        <v/>
      </c>
      <c r="M463" s="75"/>
      <c r="N463" s="75" t="str">
        <f t="shared" si="44"/>
        <v/>
      </c>
      <c r="O463" s="204" t="str">
        <f t="shared" si="45"/>
        <v/>
      </c>
      <c r="P463" s="8"/>
      <c r="Q463" s="8"/>
      <c r="R463" s="8"/>
      <c r="S463" s="8"/>
    </row>
    <row r="464" spans="1:19" x14ac:dyDescent="0.25">
      <c r="A464" s="197">
        <f t="shared" si="41"/>
        <v>0</v>
      </c>
      <c r="B464" s="76" t="str">
        <f t="shared" si="42"/>
        <v/>
      </c>
      <c r="C464" s="77" t="str">
        <f>IF(G464&lt;&gt;"",IFERROR(ROUND(VLOOKUP(G464,ProductList!J:AO,31,FALSE),0),""),"")</f>
        <v/>
      </c>
      <c r="D464" s="73" t="str">
        <f>IF(E464&lt;&gt;"",IF(D463&lt;&gt;"",D463,#REF!)+1,"")</f>
        <v/>
      </c>
      <c r="E464" s="73"/>
      <c r="F464" s="73"/>
      <c r="G464" s="122"/>
      <c r="H464" s="104"/>
      <c r="I464" s="73"/>
      <c r="J464" s="73"/>
      <c r="K464" s="202"/>
      <c r="L464" s="75" t="str">
        <f t="shared" si="43"/>
        <v/>
      </c>
      <c r="M464" s="75"/>
      <c r="N464" s="75" t="str">
        <f t="shared" si="44"/>
        <v/>
      </c>
      <c r="O464" s="204" t="str">
        <f t="shared" si="45"/>
        <v/>
      </c>
      <c r="P464" s="8"/>
      <c r="Q464" s="8"/>
      <c r="R464" s="8"/>
      <c r="S464" s="8"/>
    </row>
    <row r="465" spans="1:19" x14ac:dyDescent="0.25">
      <c r="A465" s="197">
        <f t="shared" si="41"/>
        <v>0</v>
      </c>
      <c r="B465" s="76" t="str">
        <f t="shared" si="42"/>
        <v/>
      </c>
      <c r="C465" s="77" t="str">
        <f>IF(G465&lt;&gt;"",IFERROR(ROUND(VLOOKUP(G465,ProductList!J:AO,31,FALSE),0),""),"")</f>
        <v/>
      </c>
      <c r="D465" s="73" t="str">
        <f>IF(E465&lt;&gt;"",IF(D464&lt;&gt;"",D464,#REF!)+1,"")</f>
        <v/>
      </c>
      <c r="E465" s="73"/>
      <c r="F465" s="73"/>
      <c r="G465" s="122"/>
      <c r="H465" s="104"/>
      <c r="I465" s="73"/>
      <c r="J465" s="73"/>
      <c r="K465" s="202"/>
      <c r="L465" s="75" t="str">
        <f t="shared" si="43"/>
        <v/>
      </c>
      <c r="M465" s="75"/>
      <c r="N465" s="75" t="str">
        <f t="shared" si="44"/>
        <v/>
      </c>
      <c r="O465" s="204" t="str">
        <f t="shared" si="45"/>
        <v/>
      </c>
      <c r="P465" s="8"/>
      <c r="Q465" s="8"/>
      <c r="R465" s="8"/>
      <c r="S465" s="8"/>
    </row>
    <row r="466" spans="1:19" x14ac:dyDescent="0.25">
      <c r="A466" s="197">
        <f t="shared" si="41"/>
        <v>0</v>
      </c>
      <c r="B466" s="76" t="str">
        <f t="shared" si="42"/>
        <v/>
      </c>
      <c r="C466" s="77" t="str">
        <f>IF(G466&lt;&gt;"",IFERROR(ROUND(VLOOKUP(G466,ProductList!J:AO,31,FALSE),0),""),"")</f>
        <v/>
      </c>
      <c r="D466" s="73" t="str">
        <f>IF(E466&lt;&gt;"",IF(D465&lt;&gt;"",D465,#REF!)+1,"")</f>
        <v/>
      </c>
      <c r="E466" s="73"/>
      <c r="F466" s="73"/>
      <c r="G466" s="122"/>
      <c r="H466" s="104"/>
      <c r="I466" s="73"/>
      <c r="J466" s="73"/>
      <c r="K466" s="202"/>
      <c r="L466" s="75" t="str">
        <f t="shared" si="43"/>
        <v/>
      </c>
      <c r="M466" s="75"/>
      <c r="N466" s="75" t="str">
        <f t="shared" si="44"/>
        <v/>
      </c>
      <c r="O466" s="204" t="str">
        <f t="shared" si="45"/>
        <v/>
      </c>
      <c r="P466" s="8"/>
      <c r="Q466" s="8"/>
      <c r="R466" s="8"/>
      <c r="S466" s="8"/>
    </row>
    <row r="467" spans="1:19" x14ac:dyDescent="0.25">
      <c r="A467" s="197">
        <f t="shared" si="41"/>
        <v>0</v>
      </c>
      <c r="B467" s="76" t="str">
        <f t="shared" si="42"/>
        <v/>
      </c>
      <c r="C467" s="77" t="str">
        <f>IF(G467&lt;&gt;"",IFERROR(ROUND(VLOOKUP(G467,ProductList!J:AO,31,FALSE),0),""),"")</f>
        <v/>
      </c>
      <c r="D467" s="73" t="str">
        <f>IF(E467&lt;&gt;"",IF(D466&lt;&gt;"",D466,#REF!)+1,"")</f>
        <v/>
      </c>
      <c r="E467" s="73"/>
      <c r="F467" s="73"/>
      <c r="G467" s="122"/>
      <c r="H467" s="104"/>
      <c r="I467" s="73"/>
      <c r="J467" s="73"/>
      <c r="K467" s="202"/>
      <c r="L467" s="75" t="str">
        <f t="shared" si="43"/>
        <v/>
      </c>
      <c r="M467" s="75"/>
      <c r="N467" s="75" t="str">
        <f t="shared" si="44"/>
        <v/>
      </c>
      <c r="O467" s="204" t="str">
        <f t="shared" si="45"/>
        <v/>
      </c>
      <c r="P467" s="8"/>
      <c r="Q467" s="8"/>
      <c r="R467" s="8"/>
      <c r="S467" s="8"/>
    </row>
    <row r="468" spans="1:19" x14ac:dyDescent="0.25">
      <c r="A468" s="197">
        <f t="shared" si="41"/>
        <v>0</v>
      </c>
      <c r="B468" s="76" t="str">
        <f t="shared" si="42"/>
        <v/>
      </c>
      <c r="C468" s="77" t="str">
        <f>IF(G468&lt;&gt;"",IFERROR(ROUND(VLOOKUP(G468,ProductList!J:AO,31,FALSE),0),""),"")</f>
        <v/>
      </c>
      <c r="D468" s="73" t="str">
        <f>IF(E468&lt;&gt;"",IF(D467&lt;&gt;"",D467,#REF!)+1,"")</f>
        <v/>
      </c>
      <c r="E468" s="73"/>
      <c r="F468" s="73"/>
      <c r="G468" s="122"/>
      <c r="H468" s="104"/>
      <c r="I468" s="73"/>
      <c r="J468" s="73"/>
      <c r="K468" s="202"/>
      <c r="L468" s="75" t="str">
        <f t="shared" si="43"/>
        <v/>
      </c>
      <c r="M468" s="75"/>
      <c r="N468" s="75" t="str">
        <f t="shared" si="44"/>
        <v/>
      </c>
      <c r="O468" s="204" t="str">
        <f t="shared" si="45"/>
        <v/>
      </c>
      <c r="P468" s="8"/>
      <c r="Q468" s="8"/>
      <c r="R468" s="8"/>
      <c r="S468" s="8"/>
    </row>
    <row r="469" spans="1:19" x14ac:dyDescent="0.25">
      <c r="A469" s="197">
        <f t="shared" si="41"/>
        <v>0</v>
      </c>
      <c r="B469" s="76" t="str">
        <f t="shared" si="42"/>
        <v/>
      </c>
      <c r="C469" s="77" t="str">
        <f>IF(G469&lt;&gt;"",IFERROR(ROUND(VLOOKUP(G469,ProductList!J:AO,31,FALSE),0),""),"")</f>
        <v/>
      </c>
      <c r="D469" s="73" t="str">
        <f>IF(E469&lt;&gt;"",IF(D468&lt;&gt;"",D468,#REF!)+1,"")</f>
        <v/>
      </c>
      <c r="E469" s="73"/>
      <c r="F469" s="73"/>
      <c r="G469" s="122"/>
      <c r="H469" s="104"/>
      <c r="I469" s="73"/>
      <c r="J469" s="73"/>
      <c r="K469" s="202"/>
      <c r="L469" s="75" t="str">
        <f t="shared" si="43"/>
        <v/>
      </c>
      <c r="M469" s="75"/>
      <c r="N469" s="75" t="str">
        <f t="shared" si="44"/>
        <v/>
      </c>
      <c r="O469" s="204" t="str">
        <f t="shared" si="45"/>
        <v/>
      </c>
      <c r="P469" s="8"/>
      <c r="Q469" s="8"/>
      <c r="R469" s="8"/>
      <c r="S469" s="8"/>
    </row>
    <row r="470" spans="1:19" x14ac:dyDescent="0.25">
      <c r="A470" s="197">
        <f t="shared" si="41"/>
        <v>0</v>
      </c>
      <c r="B470" s="76" t="str">
        <f t="shared" si="42"/>
        <v/>
      </c>
      <c r="C470" s="77" t="str">
        <f>IF(G470&lt;&gt;"",IFERROR(ROUND(VLOOKUP(G470,ProductList!J:AO,31,FALSE),0),""),"")</f>
        <v/>
      </c>
      <c r="D470" s="73" t="str">
        <f>IF(E470&lt;&gt;"",IF(D469&lt;&gt;"",D469,#REF!)+1,"")</f>
        <v/>
      </c>
      <c r="E470" s="73"/>
      <c r="F470" s="73"/>
      <c r="G470" s="122"/>
      <c r="H470" s="104"/>
      <c r="I470" s="73"/>
      <c r="J470" s="73"/>
      <c r="K470" s="202"/>
      <c r="L470" s="75" t="str">
        <f t="shared" si="43"/>
        <v/>
      </c>
      <c r="M470" s="75"/>
      <c r="N470" s="75" t="str">
        <f t="shared" si="44"/>
        <v/>
      </c>
      <c r="O470" s="204" t="str">
        <f t="shared" si="45"/>
        <v/>
      </c>
      <c r="P470" s="8"/>
      <c r="Q470" s="8"/>
      <c r="R470" s="8"/>
      <c r="S470" s="8"/>
    </row>
    <row r="471" spans="1:19" x14ac:dyDescent="0.25">
      <c r="A471" s="197">
        <f t="shared" si="41"/>
        <v>0</v>
      </c>
      <c r="B471" s="76" t="str">
        <f t="shared" si="42"/>
        <v/>
      </c>
      <c r="C471" s="77" t="str">
        <f>IF(G471&lt;&gt;"",IFERROR(ROUND(VLOOKUP(G471,ProductList!J:AO,31,FALSE),0),""),"")</f>
        <v/>
      </c>
      <c r="D471" s="73" t="str">
        <f>IF(E471&lt;&gt;"",IF(D470&lt;&gt;"",D470,#REF!)+1,"")</f>
        <v/>
      </c>
      <c r="E471" s="73"/>
      <c r="F471" s="73"/>
      <c r="G471" s="122"/>
      <c r="H471" s="104"/>
      <c r="I471" s="73"/>
      <c r="J471" s="73"/>
      <c r="K471" s="202"/>
      <c r="L471" s="75" t="str">
        <f t="shared" si="43"/>
        <v/>
      </c>
      <c r="M471" s="75"/>
      <c r="N471" s="75" t="str">
        <f t="shared" si="44"/>
        <v/>
      </c>
      <c r="O471" s="204" t="str">
        <f t="shared" si="45"/>
        <v/>
      </c>
      <c r="P471" s="8"/>
      <c r="Q471" s="8"/>
      <c r="R471" s="8"/>
      <c r="S471" s="8"/>
    </row>
    <row r="472" spans="1:19" x14ac:dyDescent="0.25">
      <c r="A472" s="197">
        <f t="shared" si="41"/>
        <v>0</v>
      </c>
      <c r="B472" s="76" t="str">
        <f t="shared" si="42"/>
        <v/>
      </c>
      <c r="C472" s="77" t="str">
        <f>IF(G472&lt;&gt;"",IFERROR(ROUND(VLOOKUP(G472,ProductList!J:AO,31,FALSE),0),""),"")</f>
        <v/>
      </c>
      <c r="D472" s="73" t="str">
        <f>IF(E472&lt;&gt;"",IF(D471&lt;&gt;"",D471,#REF!)+1,"")</f>
        <v/>
      </c>
      <c r="E472" s="73"/>
      <c r="F472" s="73"/>
      <c r="G472" s="122"/>
      <c r="H472" s="104"/>
      <c r="I472" s="73"/>
      <c r="J472" s="73"/>
      <c r="K472" s="202"/>
      <c r="L472" s="75" t="str">
        <f t="shared" si="43"/>
        <v/>
      </c>
      <c r="M472" s="75"/>
      <c r="N472" s="75" t="str">
        <f t="shared" si="44"/>
        <v/>
      </c>
      <c r="O472" s="204" t="str">
        <f t="shared" si="45"/>
        <v/>
      </c>
      <c r="P472" s="8"/>
      <c r="Q472" s="8"/>
      <c r="R472" s="8"/>
      <c r="S472" s="8"/>
    </row>
    <row r="473" spans="1:19" x14ac:dyDescent="0.25">
      <c r="A473" s="197">
        <f t="shared" si="41"/>
        <v>0</v>
      </c>
      <c r="B473" s="76" t="str">
        <f t="shared" si="42"/>
        <v/>
      </c>
      <c r="C473" s="77" t="str">
        <f>IF(G473&lt;&gt;"",IFERROR(ROUND(VLOOKUP(G473,ProductList!J:AO,31,FALSE),0),""),"")</f>
        <v/>
      </c>
      <c r="D473" s="73" t="str">
        <f>IF(E473&lt;&gt;"",IF(D472&lt;&gt;"",D472,#REF!)+1,"")</f>
        <v/>
      </c>
      <c r="E473" s="73"/>
      <c r="F473" s="73"/>
      <c r="G473" s="122"/>
      <c r="H473" s="104"/>
      <c r="I473" s="73"/>
      <c r="J473" s="73"/>
      <c r="K473" s="202"/>
      <c r="L473" s="75" t="str">
        <f t="shared" si="43"/>
        <v/>
      </c>
      <c r="M473" s="75"/>
      <c r="N473" s="75" t="str">
        <f t="shared" si="44"/>
        <v/>
      </c>
      <c r="O473" s="204" t="str">
        <f t="shared" si="45"/>
        <v/>
      </c>
      <c r="P473" s="8"/>
      <c r="Q473" s="8"/>
      <c r="R473" s="8"/>
      <c r="S473" s="8"/>
    </row>
    <row r="474" spans="1:19" x14ac:dyDescent="0.25">
      <c r="A474" s="197">
        <f t="shared" si="41"/>
        <v>0</v>
      </c>
      <c r="B474" s="76" t="str">
        <f t="shared" si="42"/>
        <v/>
      </c>
      <c r="C474" s="77" t="str">
        <f>IF(G474&lt;&gt;"",IFERROR(ROUND(VLOOKUP(G474,ProductList!J:AO,31,FALSE),0),""),"")</f>
        <v/>
      </c>
      <c r="D474" s="73" t="str">
        <f>IF(E474&lt;&gt;"",IF(D473&lt;&gt;"",D473,#REF!)+1,"")</f>
        <v/>
      </c>
      <c r="E474" s="73"/>
      <c r="F474" s="73"/>
      <c r="G474" s="122"/>
      <c r="H474" s="104"/>
      <c r="I474" s="73"/>
      <c r="J474" s="73"/>
      <c r="K474" s="202"/>
      <c r="L474" s="75" t="str">
        <f t="shared" si="43"/>
        <v/>
      </c>
      <c r="M474" s="75"/>
      <c r="N474" s="75" t="str">
        <f t="shared" si="44"/>
        <v/>
      </c>
      <c r="O474" s="204" t="str">
        <f t="shared" si="45"/>
        <v/>
      </c>
      <c r="P474" s="8"/>
      <c r="Q474" s="8"/>
      <c r="R474" s="8"/>
      <c r="S474" s="8"/>
    </row>
    <row r="475" spans="1:19" x14ac:dyDescent="0.25">
      <c r="A475" s="197">
        <f t="shared" si="41"/>
        <v>0</v>
      </c>
      <c r="B475" s="76" t="str">
        <f t="shared" si="42"/>
        <v/>
      </c>
      <c r="C475" s="77" t="str">
        <f>IF(G475&lt;&gt;"",IFERROR(ROUND(VLOOKUP(G475,ProductList!J:AO,31,FALSE),0),""),"")</f>
        <v/>
      </c>
      <c r="D475" s="73" t="str">
        <f>IF(E475&lt;&gt;"",IF(D474&lt;&gt;"",D474,#REF!)+1,"")</f>
        <v/>
      </c>
      <c r="E475" s="73"/>
      <c r="F475" s="73"/>
      <c r="G475" s="122"/>
      <c r="H475" s="104"/>
      <c r="I475" s="73"/>
      <c r="J475" s="73"/>
      <c r="K475" s="202"/>
      <c r="L475" s="75" t="str">
        <f t="shared" si="43"/>
        <v/>
      </c>
      <c r="M475" s="75"/>
      <c r="N475" s="75" t="str">
        <f t="shared" si="44"/>
        <v/>
      </c>
      <c r="O475" s="204" t="str">
        <f t="shared" si="45"/>
        <v/>
      </c>
      <c r="P475" s="8"/>
      <c r="Q475" s="8"/>
      <c r="R475" s="8"/>
      <c r="S475" s="8"/>
    </row>
    <row r="476" spans="1:19" x14ac:dyDescent="0.25">
      <c r="A476" s="197">
        <f t="shared" si="41"/>
        <v>0</v>
      </c>
      <c r="B476" s="76" t="str">
        <f t="shared" si="42"/>
        <v/>
      </c>
      <c r="C476" s="77" t="str">
        <f>IF(G476&lt;&gt;"",IFERROR(ROUND(VLOOKUP(G476,ProductList!J:AO,31,FALSE),0),""),"")</f>
        <v/>
      </c>
      <c r="D476" s="73" t="str">
        <f>IF(E476&lt;&gt;"",IF(D475&lt;&gt;"",D475,#REF!)+1,"")</f>
        <v/>
      </c>
      <c r="E476" s="73"/>
      <c r="F476" s="73"/>
      <c r="G476" s="122"/>
      <c r="H476" s="104"/>
      <c r="I476" s="73"/>
      <c r="J476" s="73"/>
      <c r="K476" s="202"/>
      <c r="L476" s="75" t="str">
        <f t="shared" si="43"/>
        <v/>
      </c>
      <c r="M476" s="75"/>
      <c r="N476" s="75" t="str">
        <f t="shared" si="44"/>
        <v/>
      </c>
      <c r="O476" s="204" t="str">
        <f t="shared" si="45"/>
        <v/>
      </c>
      <c r="P476" s="8"/>
      <c r="Q476" s="8"/>
      <c r="R476" s="8"/>
      <c r="S476" s="8"/>
    </row>
    <row r="477" spans="1:19" x14ac:dyDescent="0.25">
      <c r="A477" s="197">
        <f t="shared" si="41"/>
        <v>0</v>
      </c>
      <c r="B477" s="76" t="str">
        <f t="shared" si="42"/>
        <v/>
      </c>
      <c r="C477" s="77" t="str">
        <f>IF(G477&lt;&gt;"",IFERROR(ROUND(VLOOKUP(G477,ProductList!J:AO,31,FALSE),0),""),"")</f>
        <v/>
      </c>
      <c r="D477" s="73" t="str">
        <f>IF(E477&lt;&gt;"",IF(D476&lt;&gt;"",D476,#REF!)+1,"")</f>
        <v/>
      </c>
      <c r="E477" s="73"/>
      <c r="F477" s="73"/>
      <c r="G477" s="122"/>
      <c r="H477" s="104"/>
      <c r="I477" s="73"/>
      <c r="J477" s="73"/>
      <c r="K477" s="202"/>
      <c r="L477" s="75" t="str">
        <f t="shared" si="43"/>
        <v/>
      </c>
      <c r="M477" s="75"/>
      <c r="N477" s="75" t="str">
        <f t="shared" si="44"/>
        <v/>
      </c>
      <c r="O477" s="204" t="str">
        <f t="shared" si="45"/>
        <v/>
      </c>
      <c r="P477" s="8"/>
      <c r="Q477" s="8"/>
      <c r="R477" s="8"/>
      <c r="S477" s="8"/>
    </row>
    <row r="478" spans="1:19" x14ac:dyDescent="0.25">
      <c r="A478" s="197">
        <f t="shared" si="41"/>
        <v>0</v>
      </c>
      <c r="B478" s="76" t="str">
        <f t="shared" si="42"/>
        <v/>
      </c>
      <c r="C478" s="77" t="str">
        <f>IF(G478&lt;&gt;"",IFERROR(ROUND(VLOOKUP(G478,ProductList!J:AO,31,FALSE),0),""),"")</f>
        <v/>
      </c>
      <c r="D478" s="73" t="str">
        <f>IF(E478&lt;&gt;"",IF(D477&lt;&gt;"",D477,#REF!)+1,"")</f>
        <v/>
      </c>
      <c r="E478" s="73"/>
      <c r="F478" s="73"/>
      <c r="G478" s="122"/>
      <c r="H478" s="104"/>
      <c r="I478" s="73"/>
      <c r="J478" s="73"/>
      <c r="K478" s="202"/>
      <c r="L478" s="75" t="str">
        <f t="shared" si="43"/>
        <v/>
      </c>
      <c r="M478" s="75"/>
      <c r="N478" s="75" t="str">
        <f t="shared" si="44"/>
        <v/>
      </c>
      <c r="O478" s="204" t="str">
        <f t="shared" si="45"/>
        <v/>
      </c>
      <c r="P478" s="8"/>
      <c r="Q478" s="8"/>
      <c r="R478" s="8"/>
      <c r="S478" s="8"/>
    </row>
    <row r="479" spans="1:19" x14ac:dyDescent="0.25">
      <c r="A479" s="197">
        <f t="shared" si="41"/>
        <v>0</v>
      </c>
      <c r="B479" s="76" t="str">
        <f t="shared" si="42"/>
        <v/>
      </c>
      <c r="C479" s="77" t="str">
        <f>IF(G479&lt;&gt;"",IFERROR(ROUND(VLOOKUP(G479,ProductList!J:AO,31,FALSE),0),""),"")</f>
        <v/>
      </c>
      <c r="D479" s="73" t="str">
        <f>IF(E479&lt;&gt;"",IF(D478&lt;&gt;"",D478,#REF!)+1,"")</f>
        <v/>
      </c>
      <c r="E479" s="73"/>
      <c r="F479" s="73"/>
      <c r="G479" s="122"/>
      <c r="H479" s="104"/>
      <c r="I479" s="73"/>
      <c r="J479" s="73"/>
      <c r="K479" s="202"/>
      <c r="L479" s="75" t="str">
        <f t="shared" si="43"/>
        <v/>
      </c>
      <c r="M479" s="75"/>
      <c r="N479" s="75" t="str">
        <f t="shared" si="44"/>
        <v/>
      </c>
      <c r="O479" s="204" t="str">
        <f t="shared" si="45"/>
        <v/>
      </c>
      <c r="P479" s="8"/>
      <c r="Q479" s="8"/>
      <c r="R479" s="8"/>
      <c r="S479" s="8"/>
    </row>
    <row r="480" spans="1:19" x14ac:dyDescent="0.25">
      <c r="A480" s="197">
        <f t="shared" si="41"/>
        <v>0</v>
      </c>
      <c r="B480" s="76" t="str">
        <f t="shared" si="42"/>
        <v/>
      </c>
      <c r="C480" s="77" t="str">
        <f>IF(G480&lt;&gt;"",IFERROR(ROUND(VLOOKUP(G480,ProductList!J:AO,31,FALSE),0),""),"")</f>
        <v/>
      </c>
      <c r="D480" s="73" t="str">
        <f>IF(E480&lt;&gt;"",IF(D479&lt;&gt;"",D479,#REF!)+1,"")</f>
        <v/>
      </c>
      <c r="E480" s="73"/>
      <c r="F480" s="73"/>
      <c r="G480" s="122"/>
      <c r="H480" s="104"/>
      <c r="I480" s="73"/>
      <c r="J480" s="73"/>
      <c r="K480" s="202"/>
      <c r="L480" s="75" t="str">
        <f t="shared" si="43"/>
        <v/>
      </c>
      <c r="M480" s="75"/>
      <c r="N480" s="75" t="str">
        <f t="shared" si="44"/>
        <v/>
      </c>
      <c r="O480" s="204" t="str">
        <f t="shared" si="45"/>
        <v/>
      </c>
      <c r="P480" s="8"/>
      <c r="Q480" s="8"/>
      <c r="R480" s="8"/>
      <c r="S480" s="8"/>
    </row>
    <row r="481" spans="1:19" x14ac:dyDescent="0.25">
      <c r="A481" s="197">
        <f t="shared" si="41"/>
        <v>0</v>
      </c>
      <c r="B481" s="76" t="str">
        <f t="shared" si="42"/>
        <v/>
      </c>
      <c r="C481" s="77" t="str">
        <f>IF(G481&lt;&gt;"",IFERROR(ROUND(VLOOKUP(G481,ProductList!J:AO,31,FALSE),0),""),"")</f>
        <v/>
      </c>
      <c r="D481" s="73" t="str">
        <f>IF(E481&lt;&gt;"",IF(D480&lt;&gt;"",D480,#REF!)+1,"")</f>
        <v/>
      </c>
      <c r="E481" s="73"/>
      <c r="F481" s="73"/>
      <c r="G481" s="122"/>
      <c r="H481" s="104"/>
      <c r="I481" s="73"/>
      <c r="J481" s="73"/>
      <c r="K481" s="202"/>
      <c r="L481" s="75" t="str">
        <f t="shared" si="43"/>
        <v/>
      </c>
      <c r="M481" s="75"/>
      <c r="N481" s="75" t="str">
        <f t="shared" si="44"/>
        <v/>
      </c>
      <c r="O481" s="204" t="str">
        <f t="shared" si="45"/>
        <v/>
      </c>
      <c r="P481" s="8"/>
      <c r="Q481" s="8"/>
      <c r="R481" s="8"/>
      <c r="S481" s="8"/>
    </row>
    <row r="482" spans="1:19" x14ac:dyDescent="0.25">
      <c r="A482" s="197">
        <f t="shared" si="41"/>
        <v>0</v>
      </c>
      <c r="B482" s="76" t="str">
        <f t="shared" si="42"/>
        <v/>
      </c>
      <c r="C482" s="77" t="str">
        <f>IF(G482&lt;&gt;"",IFERROR(ROUND(VLOOKUP(G482,ProductList!J:AO,31,FALSE),0),""),"")</f>
        <v/>
      </c>
      <c r="D482" s="73" t="str">
        <f>IF(E482&lt;&gt;"",IF(D481&lt;&gt;"",D481,#REF!)+1,"")</f>
        <v/>
      </c>
      <c r="E482" s="73"/>
      <c r="F482" s="73"/>
      <c r="G482" s="122"/>
      <c r="H482" s="104"/>
      <c r="I482" s="73"/>
      <c r="J482" s="73"/>
      <c r="K482" s="202"/>
      <c r="L482" s="75" t="str">
        <f t="shared" si="43"/>
        <v/>
      </c>
      <c r="M482" s="75"/>
      <c r="N482" s="75" t="str">
        <f t="shared" si="44"/>
        <v/>
      </c>
      <c r="O482" s="204" t="str">
        <f t="shared" si="45"/>
        <v/>
      </c>
      <c r="P482" s="8"/>
      <c r="Q482" s="8"/>
      <c r="R482" s="8"/>
      <c r="S482" s="8"/>
    </row>
    <row r="483" spans="1:19" x14ac:dyDescent="0.25">
      <c r="A483" s="197">
        <f t="shared" si="41"/>
        <v>0</v>
      </c>
      <c r="B483" s="76" t="str">
        <f t="shared" si="42"/>
        <v/>
      </c>
      <c r="C483" s="77" t="str">
        <f>IF(G483&lt;&gt;"",IFERROR(ROUND(VLOOKUP(G483,ProductList!J:AO,31,FALSE),0),""),"")</f>
        <v/>
      </c>
      <c r="D483" s="73" t="str">
        <f>IF(E483&lt;&gt;"",IF(D482&lt;&gt;"",D482,#REF!)+1,"")</f>
        <v/>
      </c>
      <c r="E483" s="73"/>
      <c r="F483" s="73"/>
      <c r="G483" s="122"/>
      <c r="H483" s="104"/>
      <c r="I483" s="73"/>
      <c r="J483" s="73"/>
      <c r="K483" s="202"/>
      <c r="L483" s="75" t="str">
        <f t="shared" si="43"/>
        <v/>
      </c>
      <c r="M483" s="75"/>
      <c r="N483" s="75" t="str">
        <f t="shared" si="44"/>
        <v/>
      </c>
      <c r="O483" s="204" t="str">
        <f t="shared" si="45"/>
        <v/>
      </c>
      <c r="P483" s="8"/>
      <c r="Q483" s="8"/>
      <c r="R483" s="8"/>
      <c r="S483" s="8"/>
    </row>
    <row r="484" spans="1:19" x14ac:dyDescent="0.25">
      <c r="A484" s="197">
        <f t="shared" si="41"/>
        <v>0</v>
      </c>
      <c r="B484" s="76" t="str">
        <f t="shared" si="42"/>
        <v/>
      </c>
      <c r="C484" s="77" t="str">
        <f>IF(G484&lt;&gt;"",IFERROR(ROUND(VLOOKUP(G484,ProductList!J:AO,31,FALSE),0),""),"")</f>
        <v/>
      </c>
      <c r="D484" s="73" t="str">
        <f>IF(E484&lt;&gt;"",IF(D483&lt;&gt;"",D483,#REF!)+1,"")</f>
        <v/>
      </c>
      <c r="E484" s="73"/>
      <c r="F484" s="73"/>
      <c r="G484" s="122"/>
      <c r="H484" s="104"/>
      <c r="I484" s="73"/>
      <c r="J484" s="73"/>
      <c r="K484" s="202"/>
      <c r="L484" s="75" t="str">
        <f t="shared" si="43"/>
        <v/>
      </c>
      <c r="M484" s="75"/>
      <c r="N484" s="75" t="str">
        <f t="shared" si="44"/>
        <v/>
      </c>
      <c r="O484" s="204" t="str">
        <f t="shared" si="45"/>
        <v/>
      </c>
      <c r="P484" s="8"/>
      <c r="Q484" s="8"/>
      <c r="R484" s="8"/>
      <c r="S484" s="8"/>
    </row>
    <row r="485" spans="1:19" x14ac:dyDescent="0.25">
      <c r="A485" s="197">
        <f t="shared" si="41"/>
        <v>0</v>
      </c>
      <c r="B485" s="76" t="str">
        <f t="shared" si="42"/>
        <v/>
      </c>
      <c r="C485" s="77" t="str">
        <f>IF(G485&lt;&gt;"",IFERROR(ROUND(VLOOKUP(G485,ProductList!J:AO,31,FALSE),0),""),"")</f>
        <v/>
      </c>
      <c r="D485" s="73" t="str">
        <f>IF(E485&lt;&gt;"",IF(D484&lt;&gt;"",D484,#REF!)+1,"")</f>
        <v/>
      </c>
      <c r="E485" s="73"/>
      <c r="F485" s="73"/>
      <c r="G485" s="122"/>
      <c r="H485" s="104"/>
      <c r="I485" s="73"/>
      <c r="J485" s="73"/>
      <c r="K485" s="202"/>
      <c r="L485" s="75" t="str">
        <f t="shared" si="43"/>
        <v/>
      </c>
      <c r="M485" s="75"/>
      <c r="N485" s="75" t="str">
        <f t="shared" si="44"/>
        <v/>
      </c>
      <c r="O485" s="204" t="str">
        <f t="shared" si="45"/>
        <v/>
      </c>
      <c r="P485" s="8"/>
      <c r="Q485" s="8"/>
      <c r="R485" s="8"/>
      <c r="S485" s="8"/>
    </row>
    <row r="486" spans="1:19" x14ac:dyDescent="0.25">
      <c r="A486" s="197">
        <f t="shared" si="41"/>
        <v>0</v>
      </c>
      <c r="B486" s="76" t="str">
        <f t="shared" si="42"/>
        <v/>
      </c>
      <c r="C486" s="77" t="str">
        <f>IF(G486&lt;&gt;"",IFERROR(ROUND(VLOOKUP(G486,ProductList!J:AO,31,FALSE),0),""),"")</f>
        <v/>
      </c>
      <c r="D486" s="73" t="str">
        <f>IF(E486&lt;&gt;"",IF(D485&lt;&gt;"",D485,#REF!)+1,"")</f>
        <v/>
      </c>
      <c r="E486" s="73"/>
      <c r="F486" s="73"/>
      <c r="G486" s="122"/>
      <c r="H486" s="104"/>
      <c r="I486" s="73"/>
      <c r="J486" s="73"/>
      <c r="K486" s="202"/>
      <c r="L486" s="75" t="str">
        <f t="shared" si="43"/>
        <v/>
      </c>
      <c r="M486" s="75"/>
      <c r="N486" s="75" t="str">
        <f t="shared" si="44"/>
        <v/>
      </c>
      <c r="O486" s="204" t="str">
        <f t="shared" si="45"/>
        <v/>
      </c>
      <c r="P486" s="8"/>
      <c r="Q486" s="8"/>
      <c r="R486" s="8"/>
      <c r="S486" s="8"/>
    </row>
    <row r="487" spans="1:19" x14ac:dyDescent="0.25">
      <c r="A487" s="197">
        <f t="shared" si="41"/>
        <v>0</v>
      </c>
      <c r="B487" s="76" t="str">
        <f t="shared" si="42"/>
        <v/>
      </c>
      <c r="C487" s="77" t="str">
        <f>IF(G487&lt;&gt;"",IFERROR(ROUND(VLOOKUP(G487,ProductList!J:AO,31,FALSE),0),""),"")</f>
        <v/>
      </c>
      <c r="D487" s="73" t="str">
        <f>IF(E487&lt;&gt;"",IF(D486&lt;&gt;"",D486,#REF!)+1,"")</f>
        <v/>
      </c>
      <c r="E487" s="73"/>
      <c r="F487" s="73"/>
      <c r="G487" s="122"/>
      <c r="H487" s="104"/>
      <c r="I487" s="73"/>
      <c r="J487" s="73"/>
      <c r="K487" s="202"/>
      <c r="L487" s="75" t="str">
        <f t="shared" si="43"/>
        <v/>
      </c>
      <c r="M487" s="75"/>
      <c r="N487" s="75" t="str">
        <f t="shared" si="44"/>
        <v/>
      </c>
      <c r="O487" s="204" t="str">
        <f t="shared" si="45"/>
        <v/>
      </c>
      <c r="P487" s="8"/>
      <c r="Q487" s="8"/>
      <c r="R487" s="8"/>
      <c r="S487" s="8"/>
    </row>
    <row r="488" spans="1:19" x14ac:dyDescent="0.25">
      <c r="A488" s="197">
        <f t="shared" si="41"/>
        <v>0</v>
      </c>
      <c r="B488" s="76" t="str">
        <f t="shared" si="42"/>
        <v/>
      </c>
      <c r="C488" s="77" t="str">
        <f>IF(G488&lt;&gt;"",IFERROR(ROUND(VLOOKUP(G488,ProductList!J:AO,31,FALSE),0),""),"")</f>
        <v/>
      </c>
      <c r="D488" s="73" t="str">
        <f>IF(E488&lt;&gt;"",IF(D487&lt;&gt;"",D487,#REF!)+1,"")</f>
        <v/>
      </c>
      <c r="E488" s="73"/>
      <c r="F488" s="73"/>
      <c r="G488" s="122"/>
      <c r="H488" s="104"/>
      <c r="I488" s="73"/>
      <c r="J488" s="73"/>
      <c r="K488" s="202"/>
      <c r="L488" s="75" t="str">
        <f t="shared" si="43"/>
        <v/>
      </c>
      <c r="M488" s="75"/>
      <c r="N488" s="75" t="str">
        <f t="shared" si="44"/>
        <v/>
      </c>
      <c r="O488" s="204" t="str">
        <f t="shared" si="45"/>
        <v/>
      </c>
      <c r="P488" s="8"/>
      <c r="Q488" s="8"/>
      <c r="R488" s="8"/>
      <c r="S488" s="8"/>
    </row>
    <row r="489" spans="1:19" x14ac:dyDescent="0.25">
      <c r="A489" s="197">
        <f t="shared" si="41"/>
        <v>0</v>
      </c>
      <c r="B489" s="76" t="str">
        <f t="shared" si="42"/>
        <v/>
      </c>
      <c r="C489" s="77" t="str">
        <f>IF(G489&lt;&gt;"",IFERROR(ROUND(VLOOKUP(G489,ProductList!J:AO,31,FALSE),0),""),"")</f>
        <v/>
      </c>
      <c r="D489" s="73" t="str">
        <f>IF(E489&lt;&gt;"",IF(D488&lt;&gt;"",D488,#REF!)+1,"")</f>
        <v/>
      </c>
      <c r="E489" s="73"/>
      <c r="F489" s="73"/>
      <c r="G489" s="122"/>
      <c r="H489" s="104"/>
      <c r="I489" s="73"/>
      <c r="J489" s="73"/>
      <c r="K489" s="202"/>
      <c r="L489" s="75" t="str">
        <f t="shared" si="43"/>
        <v/>
      </c>
      <c r="M489" s="75"/>
      <c r="N489" s="75" t="str">
        <f t="shared" si="44"/>
        <v/>
      </c>
      <c r="O489" s="204" t="str">
        <f t="shared" si="45"/>
        <v/>
      </c>
      <c r="P489" s="8"/>
      <c r="Q489" s="8"/>
      <c r="R489" s="8"/>
      <c r="S489" s="8"/>
    </row>
    <row r="490" spans="1:19" x14ac:dyDescent="0.25">
      <c r="A490" s="197">
        <f t="shared" si="41"/>
        <v>0</v>
      </c>
      <c r="B490" s="76" t="str">
        <f t="shared" si="42"/>
        <v/>
      </c>
      <c r="C490" s="77" t="str">
        <f>IF(G490&lt;&gt;"",IFERROR(ROUND(VLOOKUP(G490,ProductList!J:AO,31,FALSE),0),""),"")</f>
        <v/>
      </c>
      <c r="D490" s="73" t="str">
        <f>IF(E490&lt;&gt;"",IF(D489&lt;&gt;"",D489,#REF!)+1,"")</f>
        <v/>
      </c>
      <c r="E490" s="73"/>
      <c r="F490" s="73"/>
      <c r="G490" s="122"/>
      <c r="H490" s="104"/>
      <c r="I490" s="73"/>
      <c r="J490" s="73"/>
      <c r="K490" s="202"/>
      <c r="L490" s="75" t="str">
        <f t="shared" si="43"/>
        <v/>
      </c>
      <c r="M490" s="75"/>
      <c r="N490" s="75" t="str">
        <f t="shared" si="44"/>
        <v/>
      </c>
      <c r="O490" s="204" t="str">
        <f t="shared" si="45"/>
        <v/>
      </c>
      <c r="P490" s="8"/>
      <c r="Q490" s="8"/>
      <c r="R490" s="8"/>
      <c r="S490" s="8"/>
    </row>
    <row r="491" spans="1:19" x14ac:dyDescent="0.25">
      <c r="A491" s="197">
        <f t="shared" si="41"/>
        <v>0</v>
      </c>
      <c r="B491" s="76" t="str">
        <f t="shared" si="42"/>
        <v/>
      </c>
      <c r="C491" s="77" t="str">
        <f>IF(G491&lt;&gt;"",IFERROR(ROUND(VLOOKUP(G491,ProductList!J:AO,31,FALSE),0),""),"")</f>
        <v/>
      </c>
      <c r="D491" s="73" t="str">
        <f>IF(E491&lt;&gt;"",IF(D490&lt;&gt;"",D490,#REF!)+1,"")</f>
        <v/>
      </c>
      <c r="E491" s="73"/>
      <c r="F491" s="73"/>
      <c r="G491" s="122"/>
      <c r="H491" s="104"/>
      <c r="I491" s="73"/>
      <c r="J491" s="73"/>
      <c r="K491" s="202"/>
      <c r="L491" s="75" t="str">
        <f t="shared" si="43"/>
        <v/>
      </c>
      <c r="M491" s="75"/>
      <c r="N491" s="75" t="str">
        <f t="shared" si="44"/>
        <v/>
      </c>
      <c r="O491" s="204" t="str">
        <f t="shared" si="45"/>
        <v/>
      </c>
      <c r="P491" s="8"/>
      <c r="Q491" s="8"/>
      <c r="R491" s="8"/>
      <c r="S491" s="8"/>
    </row>
    <row r="492" spans="1:19" x14ac:dyDescent="0.25">
      <c r="A492" s="197">
        <f t="shared" si="41"/>
        <v>0</v>
      </c>
      <c r="B492" s="76" t="str">
        <f t="shared" si="42"/>
        <v/>
      </c>
      <c r="C492" s="77" t="str">
        <f>IF(G492&lt;&gt;"",IFERROR(ROUND(VLOOKUP(G492,ProductList!J:AO,31,FALSE),0),""),"")</f>
        <v/>
      </c>
      <c r="D492" s="73" t="str">
        <f>IF(E492&lt;&gt;"",IF(D491&lt;&gt;"",D491,#REF!)+1,"")</f>
        <v/>
      </c>
      <c r="E492" s="73"/>
      <c r="F492" s="73"/>
      <c r="G492" s="122"/>
      <c r="H492" s="104"/>
      <c r="I492" s="73"/>
      <c r="J492" s="73"/>
      <c r="K492" s="202"/>
      <c r="L492" s="75" t="str">
        <f t="shared" si="43"/>
        <v/>
      </c>
      <c r="M492" s="75"/>
      <c r="N492" s="75" t="str">
        <f t="shared" si="44"/>
        <v/>
      </c>
      <c r="O492" s="204" t="str">
        <f t="shared" si="45"/>
        <v/>
      </c>
      <c r="P492" s="8"/>
      <c r="Q492" s="8"/>
      <c r="R492" s="8"/>
      <c r="S492" s="8"/>
    </row>
    <row r="493" spans="1:19" x14ac:dyDescent="0.25">
      <c r="A493" s="197">
        <f t="shared" si="41"/>
        <v>0</v>
      </c>
      <c r="B493" s="76" t="str">
        <f t="shared" si="42"/>
        <v/>
      </c>
      <c r="C493" s="77" t="str">
        <f>IF(G493&lt;&gt;"",IFERROR(ROUND(VLOOKUP(G493,ProductList!J:AO,31,FALSE),0),""),"")</f>
        <v/>
      </c>
      <c r="D493" s="73" t="str">
        <f>IF(E493&lt;&gt;"",IF(D492&lt;&gt;"",D492,#REF!)+1,"")</f>
        <v/>
      </c>
      <c r="E493" s="73"/>
      <c r="F493" s="73"/>
      <c r="G493" s="122"/>
      <c r="H493" s="104"/>
      <c r="I493" s="73"/>
      <c r="J493" s="73"/>
      <c r="K493" s="202"/>
      <c r="L493" s="75" t="str">
        <f t="shared" si="43"/>
        <v/>
      </c>
      <c r="M493" s="75"/>
      <c r="N493" s="75" t="str">
        <f t="shared" si="44"/>
        <v/>
      </c>
      <c r="O493" s="204" t="str">
        <f t="shared" si="45"/>
        <v/>
      </c>
      <c r="P493" s="8"/>
      <c r="Q493" s="8"/>
      <c r="R493" s="8"/>
      <c r="S493" s="8"/>
    </row>
    <row r="494" spans="1:19" x14ac:dyDescent="0.25">
      <c r="A494" s="197">
        <f t="shared" si="41"/>
        <v>0</v>
      </c>
      <c r="B494" s="76" t="str">
        <f t="shared" si="42"/>
        <v/>
      </c>
      <c r="C494" s="77" t="str">
        <f>IF(G494&lt;&gt;"",IFERROR(ROUND(VLOOKUP(G494,ProductList!J:AO,31,FALSE),0),""),"")</f>
        <v/>
      </c>
      <c r="D494" s="73" t="str">
        <f>IF(E494&lt;&gt;"",IF(D493&lt;&gt;"",D493,#REF!)+1,"")</f>
        <v/>
      </c>
      <c r="E494" s="73"/>
      <c r="F494" s="73"/>
      <c r="G494" s="122"/>
      <c r="H494" s="104"/>
      <c r="I494" s="73"/>
      <c r="J494" s="73"/>
      <c r="K494" s="202"/>
      <c r="L494" s="75" t="str">
        <f t="shared" si="43"/>
        <v/>
      </c>
      <c r="M494" s="75"/>
      <c r="N494" s="75" t="str">
        <f t="shared" si="44"/>
        <v/>
      </c>
      <c r="O494" s="204" t="str">
        <f t="shared" si="45"/>
        <v/>
      </c>
      <c r="P494" s="8"/>
      <c r="Q494" s="8"/>
      <c r="R494" s="8"/>
      <c r="S494" s="8"/>
    </row>
    <row r="495" spans="1:19" x14ac:dyDescent="0.25">
      <c r="A495" s="197">
        <f t="shared" si="41"/>
        <v>0</v>
      </c>
      <c r="B495" s="76" t="str">
        <f t="shared" si="42"/>
        <v/>
      </c>
      <c r="C495" s="77" t="str">
        <f>IF(G495&lt;&gt;"",IFERROR(ROUND(VLOOKUP(G495,ProductList!J:AO,31,FALSE),0),""),"")</f>
        <v/>
      </c>
      <c r="D495" s="73" t="str">
        <f>IF(E495&lt;&gt;"",IF(D494&lt;&gt;"",D494,#REF!)+1,"")</f>
        <v/>
      </c>
      <c r="E495" s="73"/>
      <c r="F495" s="73"/>
      <c r="G495" s="122"/>
      <c r="H495" s="104"/>
      <c r="I495" s="73"/>
      <c r="J495" s="73"/>
      <c r="K495" s="202"/>
      <c r="L495" s="75" t="str">
        <f t="shared" si="43"/>
        <v/>
      </c>
      <c r="M495" s="75"/>
      <c r="N495" s="75" t="str">
        <f t="shared" si="44"/>
        <v/>
      </c>
      <c r="O495" s="204" t="str">
        <f t="shared" si="45"/>
        <v/>
      </c>
      <c r="P495" s="8"/>
      <c r="Q495" s="8"/>
      <c r="R495" s="8"/>
      <c r="S495" s="8"/>
    </row>
    <row r="496" spans="1:19" x14ac:dyDescent="0.25">
      <c r="A496" s="197">
        <f t="shared" si="41"/>
        <v>0</v>
      </c>
      <c r="B496" s="76" t="str">
        <f t="shared" si="42"/>
        <v/>
      </c>
      <c r="C496" s="77" t="str">
        <f>IF(G496&lt;&gt;"",IFERROR(ROUND(VLOOKUP(G496,ProductList!J:AO,31,FALSE),0),""),"")</f>
        <v/>
      </c>
      <c r="D496" s="73" t="str">
        <f>IF(E496&lt;&gt;"",IF(D495&lt;&gt;"",D495,#REF!)+1,"")</f>
        <v/>
      </c>
      <c r="E496" s="73"/>
      <c r="F496" s="73"/>
      <c r="G496" s="122"/>
      <c r="H496" s="104"/>
      <c r="I496" s="73"/>
      <c r="J496" s="73"/>
      <c r="K496" s="202"/>
      <c r="L496" s="75" t="str">
        <f t="shared" si="43"/>
        <v/>
      </c>
      <c r="M496" s="75"/>
      <c r="N496" s="75" t="str">
        <f t="shared" si="44"/>
        <v/>
      </c>
      <c r="O496" s="204" t="str">
        <f t="shared" si="45"/>
        <v/>
      </c>
      <c r="P496" s="8"/>
      <c r="Q496" s="8"/>
      <c r="R496" s="8"/>
      <c r="S496" s="8"/>
    </row>
    <row r="497" spans="1:19" x14ac:dyDescent="0.25">
      <c r="A497" s="197">
        <f t="shared" si="41"/>
        <v>0</v>
      </c>
      <c r="B497" s="76" t="str">
        <f t="shared" si="42"/>
        <v/>
      </c>
      <c r="C497" s="77" t="str">
        <f>IF(G497&lt;&gt;"",IFERROR(ROUND(VLOOKUP(G497,ProductList!J:AO,31,FALSE),0),""),"")</f>
        <v/>
      </c>
      <c r="D497" s="73" t="str">
        <f>IF(E497&lt;&gt;"",IF(D496&lt;&gt;"",D496,#REF!)+1,"")</f>
        <v/>
      </c>
      <c r="E497" s="73"/>
      <c r="F497" s="73"/>
      <c r="G497" s="122"/>
      <c r="H497" s="104"/>
      <c r="I497" s="73"/>
      <c r="J497" s="73"/>
      <c r="K497" s="202"/>
      <c r="L497" s="75" t="str">
        <f t="shared" si="43"/>
        <v/>
      </c>
      <c r="M497" s="75"/>
      <c r="N497" s="75" t="str">
        <f t="shared" si="44"/>
        <v/>
      </c>
      <c r="O497" s="204" t="str">
        <f t="shared" si="45"/>
        <v/>
      </c>
      <c r="P497" s="8"/>
      <c r="Q497" s="8"/>
      <c r="R497" s="8"/>
      <c r="S497" s="8"/>
    </row>
    <row r="498" spans="1:19" x14ac:dyDescent="0.25">
      <c r="A498" s="197">
        <f t="shared" si="41"/>
        <v>0</v>
      </c>
      <c r="B498" s="76" t="str">
        <f t="shared" si="42"/>
        <v/>
      </c>
      <c r="C498" s="77" t="str">
        <f>IF(G498&lt;&gt;"",IFERROR(ROUND(VLOOKUP(G498,ProductList!J:AO,31,FALSE),0),""),"")</f>
        <v/>
      </c>
      <c r="D498" s="73" t="str">
        <f>IF(E498&lt;&gt;"",IF(D497&lt;&gt;"",D497,#REF!)+1,"")</f>
        <v/>
      </c>
      <c r="E498" s="73"/>
      <c r="F498" s="73"/>
      <c r="G498" s="122"/>
      <c r="H498" s="104"/>
      <c r="I498" s="73"/>
      <c r="J498" s="73"/>
      <c r="K498" s="202"/>
      <c r="L498" s="75" t="str">
        <f t="shared" si="43"/>
        <v/>
      </c>
      <c r="M498" s="75"/>
      <c r="N498" s="75" t="str">
        <f t="shared" si="44"/>
        <v/>
      </c>
      <c r="O498" s="204" t="str">
        <f t="shared" si="45"/>
        <v/>
      </c>
      <c r="P498" s="8"/>
      <c r="Q498" s="8"/>
      <c r="R498" s="8"/>
      <c r="S498" s="8"/>
    </row>
    <row r="499" spans="1:19" x14ac:dyDescent="0.25">
      <c r="B499" s="12"/>
      <c r="C499" s="12"/>
      <c r="G499" s="123"/>
      <c r="K499" s="12"/>
      <c r="L499" s="12"/>
      <c r="M499" s="12"/>
      <c r="N499" s="12"/>
    </row>
    <row r="500" spans="1:19" x14ac:dyDescent="0.25">
      <c r="B500" s="12"/>
      <c r="C500" s="12"/>
      <c r="G500" s="123"/>
      <c r="K500" s="12"/>
      <c r="L500" s="12"/>
      <c r="M500" s="12"/>
      <c r="N500" s="12"/>
    </row>
    <row r="501" spans="1:19" x14ac:dyDescent="0.25">
      <c r="B501" s="12"/>
      <c r="C501" s="12"/>
      <c r="G501" s="123"/>
      <c r="K501" s="12"/>
      <c r="L501" s="12"/>
      <c r="M501" s="12"/>
      <c r="N501" s="12"/>
    </row>
    <row r="502" spans="1:19" x14ac:dyDescent="0.25">
      <c r="B502" s="12"/>
      <c r="C502" s="12"/>
      <c r="G502" s="123"/>
      <c r="K502" s="12"/>
      <c r="L502" s="12"/>
      <c r="M502" s="12"/>
      <c r="N502" s="12"/>
    </row>
    <row r="503" spans="1:19" x14ac:dyDescent="0.25">
      <c r="B503" s="12"/>
      <c r="C503" s="12"/>
      <c r="G503" s="123"/>
      <c r="K503" s="12"/>
      <c r="L503" s="12"/>
      <c r="M503" s="12"/>
      <c r="N503" s="12"/>
    </row>
    <row r="504" spans="1:19" x14ac:dyDescent="0.25">
      <c r="B504" s="12"/>
      <c r="C504" s="12"/>
      <c r="G504" s="123"/>
      <c r="K504" s="12"/>
      <c r="L504" s="12"/>
      <c r="M504" s="12"/>
      <c r="N504" s="12"/>
    </row>
    <row r="505" spans="1:19" x14ac:dyDescent="0.25">
      <c r="B505" s="12"/>
      <c r="C505" s="12"/>
      <c r="G505" s="123"/>
      <c r="K505" s="12"/>
      <c r="L505" s="12"/>
      <c r="M505" s="12"/>
      <c r="N505" s="12"/>
    </row>
    <row r="506" spans="1:19" x14ac:dyDescent="0.25">
      <c r="B506" s="12"/>
      <c r="C506" s="12"/>
      <c r="G506" s="123"/>
      <c r="K506" s="12"/>
      <c r="L506" s="12"/>
      <c r="M506" s="12"/>
      <c r="N506" s="12"/>
    </row>
  </sheetData>
  <mergeCells count="2">
    <mergeCell ref="D1:E1"/>
    <mergeCell ref="D2:J2"/>
  </mergeCells>
  <conditionalFormatting sqref="B4:B498">
    <cfRule type="cellIs" dxfId="7" priority="3" operator="between">
      <formula>0</formula>
      <formula>5</formula>
    </cfRule>
    <cfRule type="cellIs" priority="3" operator="equal">
      <formula>""""""</formula>
    </cfRule>
    <cfRule type="cellIs" dxfId="6" priority="4" operator="greaterThan">
      <formula>5</formula>
    </cfRule>
    <cfRule type="cellIs" dxfId="5" priority="5" operator="lessThan">
      <formula>0</formula>
    </cfRule>
  </conditionalFormatting>
  <conditionalFormatting sqref="K4:K498">
    <cfRule type="expression" dxfId="4" priority="6">
      <formula>$C4&gt;$K4</formula>
    </cfRule>
  </conditionalFormatting>
  <conditionalFormatting sqref="O4:O500">
    <cfRule type="expression" dxfId="3" priority="2">
      <formula>$O4&lt;&gt;$K4</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2CC4-19F9-40EA-820B-72FF78A0C18E}">
  <dimension ref="A1:L506"/>
  <sheetViews>
    <sheetView workbookViewId="0">
      <pane ySplit="3" topLeftCell="A4" activePane="bottomLeft" state="frozen"/>
      <selection pane="bottomLeft" activeCell="K5" sqref="K5:K498"/>
    </sheetView>
  </sheetViews>
  <sheetFormatPr defaultColWidth="9.140625" defaultRowHeight="15" x14ac:dyDescent="0.25"/>
  <cols>
    <col min="1" max="1" width="6" style="197" bestFit="1" customWidth="1"/>
    <col min="2" max="2" width="9.42578125" style="14" bestFit="1" customWidth="1"/>
    <col min="3" max="3" width="29" style="14" bestFit="1" customWidth="1"/>
    <col min="4" max="4" width="43.5703125" style="273" bestFit="1" customWidth="1"/>
    <col min="5" max="5" width="15.42578125" style="124" bestFit="1" customWidth="1"/>
    <col min="6" max="7" width="10.42578125" style="1" customWidth="1"/>
    <col min="8" max="9" width="10.42578125" style="17" customWidth="1"/>
    <col min="10" max="16384" width="9.140625" style="1"/>
  </cols>
  <sheetData>
    <row r="1" spans="1:12" s="14" customFormat="1" x14ac:dyDescent="0.25">
      <c r="A1" s="196"/>
      <c r="B1" s="427"/>
      <c r="C1" s="427"/>
      <c r="D1" s="427"/>
      <c r="E1" s="13"/>
    </row>
    <row r="2" spans="1:12" ht="15" customHeight="1" x14ac:dyDescent="0.25">
      <c r="B2" s="430" t="s">
        <v>334</v>
      </c>
      <c r="C2" s="431"/>
      <c r="D2" s="431"/>
      <c r="E2" s="431"/>
      <c r="F2" s="431"/>
      <c r="G2" s="431"/>
      <c r="H2" s="431"/>
      <c r="I2" s="432"/>
    </row>
    <row r="3" spans="1:12" s="2" customFormat="1" ht="45" customHeight="1" x14ac:dyDescent="0.25">
      <c r="A3" s="198"/>
      <c r="B3" s="3" t="s">
        <v>21</v>
      </c>
      <c r="C3" s="3" t="s">
        <v>470</v>
      </c>
      <c r="D3" s="74" t="s">
        <v>0</v>
      </c>
      <c r="E3" s="3" t="s">
        <v>283</v>
      </c>
      <c r="F3" s="433" t="s">
        <v>282</v>
      </c>
      <c r="G3" s="434"/>
      <c r="H3" s="31" t="s">
        <v>479</v>
      </c>
      <c r="I3" s="31" t="s">
        <v>478</v>
      </c>
      <c r="J3" s="2" t="s">
        <v>217</v>
      </c>
      <c r="K3" s="2" t="s">
        <v>486</v>
      </c>
      <c r="L3" s="2" t="s">
        <v>487</v>
      </c>
    </row>
    <row r="4" spans="1:12" s="79" customFormat="1" x14ac:dyDescent="0.25">
      <c r="A4" s="197">
        <v>0</v>
      </c>
      <c r="B4" s="78"/>
      <c r="C4" s="78"/>
      <c r="D4" s="103"/>
      <c r="E4" s="121"/>
      <c r="F4" s="78"/>
      <c r="G4" s="202"/>
      <c r="H4" s="75" t="str">
        <f>IF(AND(F4&lt;&gt;"",G4&lt;&gt;""),G4*F4,"")</f>
        <v/>
      </c>
      <c r="I4" s="75" t="str">
        <f>IF(AND(G4&lt;&gt;"",H4&lt;&gt;""),H4*G4,"")</f>
        <v/>
      </c>
    </row>
    <row r="5" spans="1:12" x14ac:dyDescent="0.25">
      <c r="A5" s="304"/>
      <c r="B5" s="73" cm="1">
        <f t="array" ref="B5:E70">IFERROR(
  _xlfn.SORTBY(
    _xlfn.CHOOSECOLS(
      _xlfn._xlws.FILTER(ProductList!B5:BE493, (ProductList!H5:H493="NO")*(ProductList!B5:B493&lt;&gt;""), ""),
      1,3,9,5
    ),
    INDEX(
      _xlfn._xlws.FILTER(ProductList!B5:BE493, (ProductList!H5:H493="NO")*(ProductList!B5:B493&lt;&gt;"")),
      ,1
    ),
    1
  ),
  ""
)</f>
        <v>1</v>
      </c>
      <c r="C5" s="73">
        <v>0</v>
      </c>
      <c r="D5" s="104" t="str">
        <v>SPECIAL CHILLI POWDER - 200 G</v>
      </c>
      <c r="E5" s="122" t="str">
        <v>09042190</v>
      </c>
      <c r="F5" s="73">
        <f>IF(G5="KGS",IF(B5&lt;&gt;"",IFERROR(VLOOKUP(B5,ProductList!B:AO,21,FALSE),""),""),IF(D5&lt;&gt;"",IFERROR(VLOOKUP(B5,ProductList!B:AO,24,FALSE),""),""))</f>
        <v>100</v>
      </c>
      <c r="G5" s="6" t="s">
        <v>216</v>
      </c>
      <c r="H5" s="75">
        <f>IF(G5="KGS",IF(B5&lt;&gt;"",IFERROR(ROUND(VLOOKUP(B5,ProductList!B:BG,58,FALSE),3),""),""),IF(B5&lt;&gt;"",IFERROR(ROUND(VLOOKUP(B5,ProductList!B:BG,57,FALSE),3),""),""))</f>
        <v>0.54800000000000004</v>
      </c>
      <c r="I5" s="75">
        <f>IF(AND(F5&lt;&gt;"",H5&lt;&gt;""),ROUND(F5*H5,2),"")</f>
        <v>54.8</v>
      </c>
      <c r="J5" s="1">
        <f>IFERROR(VLOOKUP(B5,ProductList!B:AO,21,FALSE),"")</f>
        <v>20</v>
      </c>
      <c r="K5" s="1">
        <f>IF(G5="KGS",IF(D5&lt;&gt;"",IFERROR(ROUND(VLOOKUP(D5,ProductList!J:BG,47,FALSE),3),""),""),IF(D5&lt;&gt;"",IFERROR(ROUND(VLOOKUP(D5,ProductList!J:BG,46,FALSE),3),""),""))</f>
        <v>0.45</v>
      </c>
      <c r="L5" s="1">
        <f>IF(AND(K5&lt;&gt;"",F5&lt;&gt;""),K5*F5,"")</f>
        <v>45</v>
      </c>
    </row>
    <row r="6" spans="1:12" x14ac:dyDescent="0.25">
      <c r="A6" s="304"/>
      <c r="B6" s="73">
        <v>2</v>
      </c>
      <c r="C6" s="73">
        <v>0</v>
      </c>
      <c r="D6" s="104" t="str">
        <v>SPECIAL CHILLI POWDER - 500 G</v>
      </c>
      <c r="E6" s="122" t="str">
        <v>09042190</v>
      </c>
      <c r="F6" s="73">
        <f>IF(G6="KGS",IF(B6&lt;&gt;"",IFERROR(VLOOKUP(B6,ProductList!B:AO,21,FALSE),""),""),IF(D6&lt;&gt;"",IFERROR(VLOOKUP(B6,ProductList!B:AO,24,FALSE),""),""))</f>
        <v>1200</v>
      </c>
      <c r="G6" s="6" t="s">
        <v>216</v>
      </c>
      <c r="H6" s="75">
        <f>IF(G6="KGS",IF(B6&lt;&gt;"",IFERROR(ROUND(VLOOKUP(B6,ProductList!B:BG,58,FALSE),3),""),""),IF(B6&lt;&gt;"",IFERROR(ROUND(VLOOKUP(B6,ProductList!B:BG,57,FALSE),3),""),""))</f>
        <v>1.369</v>
      </c>
      <c r="I6" s="75">
        <f t="shared" ref="I6:I69" si="0">IF(AND(F6&lt;&gt;"",H6&lt;&gt;""),ROUND(F6*H6,2),"")</f>
        <v>1642.8</v>
      </c>
      <c r="J6" s="1">
        <f>IFERROR(VLOOKUP(B6,ProductList!B:AO,21,FALSE),"")</f>
        <v>600</v>
      </c>
      <c r="K6" s="1">
        <f>IF(G6="KGS",IF(D6&lt;&gt;"",IFERROR(ROUND(VLOOKUP(D6,ProductList!J:BG,47,FALSE),3),""),""),IF(D6&lt;&gt;"",IFERROR(ROUND(VLOOKUP(D6,ProductList!J:BG,46,FALSE),3),""),""))</f>
        <v>1.1240000000000001</v>
      </c>
      <c r="L6" s="1">
        <f t="shared" ref="L6:L69" si="1">IF(AND(K6&lt;&gt;"",F6&lt;&gt;""),K6*F6,"")</f>
        <v>1348.8000000000002</v>
      </c>
    </row>
    <row r="7" spans="1:12" x14ac:dyDescent="0.25">
      <c r="A7" s="304"/>
      <c r="B7" s="73">
        <v>3</v>
      </c>
      <c r="C7" s="73">
        <v>0</v>
      </c>
      <c r="D7" s="104" t="str">
        <v>RAGI FLOUR 500 G</v>
      </c>
      <c r="E7" s="122" t="str">
        <v>11029020</v>
      </c>
      <c r="F7" s="73">
        <f>IF(G7="KGS",IF(B7&lt;&gt;"",IFERROR(VLOOKUP(B7,ProductList!B:AO,21,FALSE),""),""),IF(D7&lt;&gt;"",IFERROR(VLOOKUP(B7,ProductList!B:AO,24,FALSE),""),""))</f>
        <v>200</v>
      </c>
      <c r="G7" s="6" t="s">
        <v>216</v>
      </c>
      <c r="H7" s="75">
        <f>IF(G7="KGS",IF(B7&lt;&gt;"",IFERROR(ROUND(VLOOKUP(B7,ProductList!B:BG,58,FALSE),3),""),""),IF(B7&lt;&gt;"",IFERROR(ROUND(VLOOKUP(B7,ProductList!B:BG,57,FALSE),3),""),""))</f>
        <v>0.33</v>
      </c>
      <c r="I7" s="75">
        <f t="shared" si="0"/>
        <v>66</v>
      </c>
      <c r="J7" s="1">
        <f>IFERROR(VLOOKUP(B7,ProductList!B:AO,21,FALSE),"")</f>
        <v>100</v>
      </c>
      <c r="K7" s="1">
        <f>IF(G7="KGS",IF(D7&lt;&gt;"",IFERROR(ROUND(VLOOKUP(D7,ProductList!J:BG,47,FALSE),3),""),""),IF(D7&lt;&gt;"",IFERROR(ROUND(VLOOKUP(D7,ProductList!J:BG,46,FALSE),3),""),""))</f>
        <v>0.27100000000000002</v>
      </c>
      <c r="L7" s="1">
        <f t="shared" si="1"/>
        <v>54.2</v>
      </c>
    </row>
    <row r="8" spans="1:12" x14ac:dyDescent="0.25">
      <c r="A8" s="304"/>
      <c r="B8" s="73">
        <v>4</v>
      </c>
      <c r="C8" s="73">
        <v>0</v>
      </c>
      <c r="D8" s="104" t="str">
        <v xml:space="preserve">DANIYA POWDER - 500 G </v>
      </c>
      <c r="E8" s="122" t="str">
        <v>09092200</v>
      </c>
      <c r="F8" s="73">
        <f>IF(G8="KGS",IF(B8&lt;&gt;"",IFERROR(VLOOKUP(B8,ProductList!B:AO,21,FALSE),""),""),IF(D8&lt;&gt;"",IFERROR(VLOOKUP(B8,ProductList!B:AO,24,FALSE),""),""))</f>
        <v>400</v>
      </c>
      <c r="G8" s="6" t="s">
        <v>216</v>
      </c>
      <c r="H8" s="75">
        <f>IF(G8="KGS",IF(B8&lt;&gt;"",IFERROR(ROUND(VLOOKUP(B8,ProductList!B:BG,58,FALSE),3),""),""),IF(B8&lt;&gt;"",IFERROR(ROUND(VLOOKUP(B8,ProductList!B:BG,57,FALSE),3),""),""))</f>
        <v>1.133</v>
      </c>
      <c r="I8" s="75">
        <f t="shared" si="0"/>
        <v>453.2</v>
      </c>
      <c r="J8" s="1">
        <f>IFERROR(VLOOKUP(B8,ProductList!B:AO,21,FALSE),"")</f>
        <v>200</v>
      </c>
      <c r="K8" s="1">
        <f>IF(G8="KGS",IF(D8&lt;&gt;"",IFERROR(ROUND(VLOOKUP(D8,ProductList!J:BG,47,FALSE),3),""),""),IF(D8&lt;&gt;"",IFERROR(ROUND(VLOOKUP(D8,ProductList!J:BG,46,FALSE),3),""),""))</f>
        <v>1.163</v>
      </c>
      <c r="L8" s="1">
        <f t="shared" si="1"/>
        <v>465.2</v>
      </c>
    </row>
    <row r="9" spans="1:12" x14ac:dyDescent="0.25">
      <c r="A9" s="304"/>
      <c r="B9" s="73">
        <v>5</v>
      </c>
      <c r="C9" s="73">
        <v>0</v>
      </c>
      <c r="D9" s="104" t="str">
        <v>HEALTH MIX 200 G</v>
      </c>
      <c r="E9" s="122" t="str">
        <v>21069099</v>
      </c>
      <c r="F9" s="73">
        <f>IF(G9="KGS",IF(B9&lt;&gt;"",IFERROR(VLOOKUP(B9,ProductList!B:AO,21,FALSE),""),""),IF(D9&lt;&gt;"",IFERROR(VLOOKUP(B9,ProductList!B:AO,24,FALSE),""),""))</f>
        <v>520</v>
      </c>
      <c r="G9" s="6" t="s">
        <v>216</v>
      </c>
      <c r="H9" s="75">
        <f>IF(G9="KGS",IF(B9&lt;&gt;"",IFERROR(ROUND(VLOOKUP(B9,ProductList!B:BG,58,FALSE),3),""),""),IF(B9&lt;&gt;"",IFERROR(ROUND(VLOOKUP(B9,ProductList!B:BG,57,FALSE),3),""),""))</f>
        <v>0.52500000000000002</v>
      </c>
      <c r="I9" s="75">
        <f t="shared" si="0"/>
        <v>273</v>
      </c>
      <c r="J9" s="1">
        <f>IFERROR(VLOOKUP(B9,ProductList!B:AO,21,FALSE),"")</f>
        <v>104</v>
      </c>
      <c r="K9" s="1">
        <f>IF(G9="KGS",IF(D9&lt;&gt;"",IFERROR(ROUND(VLOOKUP(D9,ProductList!J:BG,47,FALSE),3),""),""),IF(D9&lt;&gt;"",IFERROR(ROUND(VLOOKUP(D9,ProductList!J:BG,46,FALSE),3),""),""))</f>
        <v>0.43099999999999999</v>
      </c>
      <c r="L9" s="1">
        <f t="shared" si="1"/>
        <v>224.12</v>
      </c>
    </row>
    <row r="10" spans="1:12" x14ac:dyDescent="0.25">
      <c r="A10" s="304"/>
      <c r="B10" s="73">
        <v>6</v>
      </c>
      <c r="C10" s="73">
        <v>0</v>
      </c>
      <c r="D10" s="104" t="str">
        <v>ASAFOETIDA POWDER 50 G</v>
      </c>
      <c r="E10" s="122" t="str">
        <v>13012000</v>
      </c>
      <c r="F10" s="73">
        <f>IF(G10="KGS",IF(B10&lt;&gt;"",IFERROR(VLOOKUP(B10,ProductList!B:AO,21,FALSE),""),""),IF(D10&lt;&gt;"",IFERROR(VLOOKUP(B10,ProductList!B:AO,24,FALSE),""),""))</f>
        <v>1200</v>
      </c>
      <c r="G10" s="6" t="s">
        <v>216</v>
      </c>
      <c r="H10" s="75">
        <f>IF(G10="KGS",IF(B10&lt;&gt;"",IFERROR(ROUND(VLOOKUP(B10,ProductList!B:BG,58,FALSE),3),""),""),IF(B10&lt;&gt;"",IFERROR(ROUND(VLOOKUP(B10,ProductList!B:BG,57,FALSE),3),""),""))</f>
        <v>0.59099999999999997</v>
      </c>
      <c r="I10" s="75">
        <f t="shared" si="0"/>
        <v>709.2</v>
      </c>
      <c r="J10" s="1">
        <f>IFERROR(VLOOKUP(B10,ProductList!B:AO,21,FALSE),"")</f>
        <v>60</v>
      </c>
      <c r="K10" s="1">
        <f>IF(G10="KGS",IF(D10&lt;&gt;"",IFERROR(ROUND(VLOOKUP(D10,ProductList!J:BG,47,FALSE),3),""),""),IF(D10&lt;&gt;"",IFERROR(ROUND(VLOOKUP(D10,ProductList!J:BG,46,FALSE),3),""),""))</f>
        <v>0.48499999999999999</v>
      </c>
      <c r="L10" s="1">
        <f t="shared" si="1"/>
        <v>582</v>
      </c>
    </row>
    <row r="11" spans="1:12" x14ac:dyDescent="0.25">
      <c r="A11" s="304"/>
      <c r="B11" s="73">
        <v>7</v>
      </c>
      <c r="C11" s="73">
        <v>0</v>
      </c>
      <c r="D11" s="104" t="str">
        <v>ROYAL PAYASAMMIX 175 G</v>
      </c>
      <c r="E11" s="122" t="str">
        <v>21069099</v>
      </c>
      <c r="F11" s="73">
        <f>IF(G11="KGS",IF(B11&lt;&gt;"",IFERROR(VLOOKUP(B11,ProductList!B:AO,21,FALSE),""),""),IF(D11&lt;&gt;"",IFERROR(VLOOKUP(B11,ProductList!B:AO,24,FALSE),""),""))</f>
        <v>400</v>
      </c>
      <c r="G11" s="6" t="s">
        <v>216</v>
      </c>
      <c r="H11" s="75">
        <f>IF(G11="KGS",IF(B11&lt;&gt;"",IFERROR(ROUND(VLOOKUP(B11,ProductList!B:BG,58,FALSE),3),""),""),IF(B11&lt;&gt;"",IFERROR(ROUND(VLOOKUP(B11,ProductList!B:BG,57,FALSE),3),""),""))</f>
        <v>0.46899999999999997</v>
      </c>
      <c r="I11" s="75">
        <f t="shared" si="0"/>
        <v>187.6</v>
      </c>
      <c r="J11" s="1">
        <f>IFERROR(VLOOKUP(B11,ProductList!B:AO,21,FALSE),"")</f>
        <v>70</v>
      </c>
      <c r="K11" s="1">
        <f>IF(G11="KGS",IF(D11&lt;&gt;"",IFERROR(ROUND(VLOOKUP(D11,ProductList!J:BG,47,FALSE),3),""),""),IF(D11&lt;&gt;"",IFERROR(ROUND(VLOOKUP(D11,ProductList!J:BG,46,FALSE),3),""),""))</f>
        <v>0.38500000000000001</v>
      </c>
      <c r="L11" s="1">
        <f t="shared" si="1"/>
        <v>154</v>
      </c>
    </row>
    <row r="12" spans="1:12" x14ac:dyDescent="0.25">
      <c r="A12" s="304"/>
      <c r="B12" s="73">
        <v>8</v>
      </c>
      <c r="C12" s="73">
        <v>0</v>
      </c>
      <c r="D12" s="104" t="str">
        <v>PANI PURI KIT FAMILY 266 G</v>
      </c>
      <c r="E12" s="122" t="str">
        <v>21069060</v>
      </c>
      <c r="F12" s="73">
        <f>IF(G12="KGS",IF(B12&lt;&gt;"",IFERROR(VLOOKUP(B12,ProductList!B:AO,21,FALSE),""),""),IF(D12&lt;&gt;"",IFERROR(VLOOKUP(B12,ProductList!B:AO,24,FALSE),""),""))</f>
        <v>440</v>
      </c>
      <c r="G12" s="6" t="s">
        <v>216</v>
      </c>
      <c r="H12" s="75">
        <f>IF(G12="KGS",IF(B12&lt;&gt;"",IFERROR(ROUND(VLOOKUP(B12,ProductList!B:BG,58,FALSE),3),""),""),IF(B12&lt;&gt;"",IFERROR(ROUND(VLOOKUP(B12,ProductList!B:BG,57,FALSE),3),""),""))</f>
        <v>0.53700000000000003</v>
      </c>
      <c r="I12" s="75">
        <f t="shared" si="0"/>
        <v>236.28</v>
      </c>
      <c r="J12" s="1">
        <f>IFERROR(VLOOKUP(B12,ProductList!B:AO,21,FALSE),"")</f>
        <v>117.04</v>
      </c>
      <c r="K12" s="1">
        <f>IF(G12="KGS",IF(D12&lt;&gt;"",IFERROR(ROUND(VLOOKUP(D12,ProductList!J:BG,47,FALSE),3),""),""),IF(D12&lt;&gt;"",IFERROR(ROUND(VLOOKUP(D12,ProductList!J:BG,46,FALSE),3),""),""))</f>
        <v>0.441</v>
      </c>
      <c r="L12" s="1">
        <f t="shared" si="1"/>
        <v>194.04</v>
      </c>
    </row>
    <row r="13" spans="1:12" x14ac:dyDescent="0.25">
      <c r="A13" s="304"/>
      <c r="B13" s="73">
        <v>9</v>
      </c>
      <c r="C13" s="73">
        <v>0</v>
      </c>
      <c r="D13" s="104" t="str">
        <v>CUT MANGO PICKLE 200 G</v>
      </c>
      <c r="E13" s="122" t="str">
        <v>20019000</v>
      </c>
      <c r="F13" s="73">
        <f>IF(G13="KGS",IF(B13&lt;&gt;"",IFERROR(VLOOKUP(B13,ProductList!B:AO,21,FALSE),""),""),IF(D13&lt;&gt;"",IFERROR(VLOOKUP(B13,ProductList!B:AO,24,FALSE),""),""))</f>
        <v>1290</v>
      </c>
      <c r="G13" s="6" t="s">
        <v>216</v>
      </c>
      <c r="H13" s="75">
        <f>IF(G13="KGS",IF(B13&lt;&gt;"",IFERROR(ROUND(VLOOKUP(B13,ProductList!B:BG,58,FALSE),3),""),""),IF(B13&lt;&gt;"",IFERROR(ROUND(VLOOKUP(B13,ProductList!B:BG,57,FALSE),3),""),""))</f>
        <v>0.3</v>
      </c>
      <c r="I13" s="75">
        <f t="shared" si="0"/>
        <v>387</v>
      </c>
      <c r="J13" s="1">
        <f>IFERROR(VLOOKUP(B13,ProductList!B:AO,21,FALSE),"")</f>
        <v>258</v>
      </c>
      <c r="K13" s="1">
        <f>IF(G13="KGS",IF(D13&lt;&gt;"",IFERROR(ROUND(VLOOKUP(D13,ProductList!J:BG,47,FALSE),3),""),""),IF(D13&lt;&gt;"",IFERROR(ROUND(VLOOKUP(D13,ProductList!J:BG,46,FALSE),3),""),""))</f>
        <v>0.247</v>
      </c>
      <c r="L13" s="1">
        <f t="shared" si="1"/>
        <v>318.63</v>
      </c>
    </row>
    <row r="14" spans="1:12" x14ac:dyDescent="0.25">
      <c r="A14" s="304"/>
      <c r="B14" s="73">
        <v>10</v>
      </c>
      <c r="C14" s="73">
        <v>0</v>
      </c>
      <c r="D14" s="104" t="str">
        <v>LEMON PICKLE 200 G</v>
      </c>
      <c r="E14" s="122" t="str">
        <v>20019000</v>
      </c>
      <c r="F14" s="73">
        <f>IF(G14="KGS",IF(B14&lt;&gt;"",IFERROR(VLOOKUP(B14,ProductList!B:AO,21,FALSE),""),""),IF(D14&lt;&gt;"",IFERROR(VLOOKUP(B14,ProductList!B:AO,24,FALSE),""),""))</f>
        <v>1290</v>
      </c>
      <c r="G14" s="6" t="s">
        <v>216</v>
      </c>
      <c r="H14" s="75">
        <f>IF(G14="KGS",IF(B14&lt;&gt;"",IFERROR(ROUND(VLOOKUP(B14,ProductList!B:BG,58,FALSE),3),""),""),IF(B14&lt;&gt;"",IFERROR(ROUND(VLOOKUP(B14,ProductList!B:BG,57,FALSE),3),""),""))</f>
        <v>0.3</v>
      </c>
      <c r="I14" s="75">
        <f t="shared" si="0"/>
        <v>387</v>
      </c>
      <c r="J14" s="1">
        <f>IFERROR(VLOOKUP(B14,ProductList!B:AO,21,FALSE),"")</f>
        <v>258</v>
      </c>
      <c r="K14" s="1">
        <f>IF(G14="KGS",IF(D14&lt;&gt;"",IFERROR(ROUND(VLOOKUP(D14,ProductList!J:BG,47,FALSE),3),""),""),IF(D14&lt;&gt;"",IFERROR(ROUND(VLOOKUP(D14,ProductList!J:BG,46,FALSE),3),""),""))</f>
        <v>0.247</v>
      </c>
      <c r="L14" s="1">
        <f t="shared" si="1"/>
        <v>318.63</v>
      </c>
    </row>
    <row r="15" spans="1:12" x14ac:dyDescent="0.25">
      <c r="A15" s="304"/>
      <c r="B15" s="73">
        <v>11</v>
      </c>
      <c r="C15" s="73">
        <v>0</v>
      </c>
      <c r="D15" s="104" t="str">
        <v>GARLIC PICKLE 200 G</v>
      </c>
      <c r="E15" s="122" t="str">
        <v>20019000</v>
      </c>
      <c r="F15" s="73">
        <f>IF(G15="KGS",IF(B15&lt;&gt;"",IFERROR(VLOOKUP(B15,ProductList!B:AO,21,FALSE),""),""),IF(D15&lt;&gt;"",IFERROR(VLOOKUP(B15,ProductList!B:AO,24,FALSE),""),""))</f>
        <v>1290</v>
      </c>
      <c r="G15" s="6" t="s">
        <v>216</v>
      </c>
      <c r="H15" s="75">
        <f>IF(G15="KGS",IF(B15&lt;&gt;"",IFERROR(ROUND(VLOOKUP(B15,ProductList!B:BG,58,FALSE),3),""),""),IF(B15&lt;&gt;"",IFERROR(ROUND(VLOOKUP(B15,ProductList!B:BG,57,FALSE),3),""),""))</f>
        <v>0.32200000000000001</v>
      </c>
      <c r="I15" s="75">
        <f t="shared" si="0"/>
        <v>415.38</v>
      </c>
      <c r="J15" s="1">
        <f>IFERROR(VLOOKUP(B15,ProductList!B:AO,21,FALSE),"")</f>
        <v>258</v>
      </c>
      <c r="K15" s="1">
        <f>IF(G15="KGS",IF(D15&lt;&gt;"",IFERROR(ROUND(VLOOKUP(D15,ProductList!J:BG,47,FALSE),3),""),""),IF(D15&lt;&gt;"",IFERROR(ROUND(VLOOKUP(D15,ProductList!J:BG,46,FALSE),3),""),""))</f>
        <v>0.26400000000000001</v>
      </c>
      <c r="L15" s="1">
        <f t="shared" si="1"/>
        <v>340.56</v>
      </c>
    </row>
    <row r="16" spans="1:12" x14ac:dyDescent="0.25">
      <c r="A16" s="304"/>
      <c r="B16" s="73">
        <v>12</v>
      </c>
      <c r="C16" s="73">
        <v>0</v>
      </c>
      <c r="D16" s="104" t="str">
        <v>MIXED VEG PICKLE 200 G</v>
      </c>
      <c r="E16" s="122" t="str">
        <v>20019000</v>
      </c>
      <c r="F16" s="73">
        <f>IF(G16="KGS",IF(B16&lt;&gt;"",IFERROR(VLOOKUP(B16,ProductList!B:AO,21,FALSE),""),""),IF(D16&lt;&gt;"",IFERROR(VLOOKUP(B16,ProductList!B:AO,24,FALSE),""),""))</f>
        <v>480</v>
      </c>
      <c r="G16" s="6" t="s">
        <v>216</v>
      </c>
      <c r="H16" s="75">
        <f>IF(G16="KGS",IF(B16&lt;&gt;"",IFERROR(ROUND(VLOOKUP(B16,ProductList!B:BG,58,FALSE),3),""),""),IF(B16&lt;&gt;"",IFERROR(ROUND(VLOOKUP(B16,ProductList!B:BG,57,FALSE),3),""),""))</f>
        <v>0.26800000000000002</v>
      </c>
      <c r="I16" s="75">
        <f t="shared" si="0"/>
        <v>128.63999999999999</v>
      </c>
      <c r="J16" s="1">
        <f>IFERROR(VLOOKUP(B16,ProductList!B:AO,21,FALSE),"")</f>
        <v>96</v>
      </c>
      <c r="K16" s="1">
        <f>IF(G16="KGS",IF(D16&lt;&gt;"",IFERROR(ROUND(VLOOKUP(D16,ProductList!J:BG,47,FALSE),3),""),""),IF(D16&lt;&gt;"",IFERROR(ROUND(VLOOKUP(D16,ProductList!J:BG,46,FALSE),3),""),""))</f>
        <v>0.22</v>
      </c>
      <c r="L16" s="1">
        <f t="shared" si="1"/>
        <v>105.6</v>
      </c>
    </row>
    <row r="17" spans="1:12" x14ac:dyDescent="0.25">
      <c r="A17" s="304"/>
      <c r="B17" s="73">
        <v>13</v>
      </c>
      <c r="C17" s="73">
        <v>0</v>
      </c>
      <c r="D17" s="104" t="str">
        <v>MANGOTHOKKU PICKLE 200 G</v>
      </c>
      <c r="E17" s="122" t="str">
        <v>20019000</v>
      </c>
      <c r="F17" s="73">
        <f>IF(G17="KGS",IF(B17&lt;&gt;"",IFERROR(VLOOKUP(B17,ProductList!B:AO,21,FALSE),""),""),IF(D17&lt;&gt;"",IFERROR(VLOOKUP(B17,ProductList!B:AO,24,FALSE),""),""))</f>
        <v>150</v>
      </c>
      <c r="G17" s="6" t="s">
        <v>216</v>
      </c>
      <c r="H17" s="75">
        <f>IF(G17="KGS",IF(B17&lt;&gt;"",IFERROR(ROUND(VLOOKUP(B17,ProductList!B:BG,58,FALSE),3),""),""),IF(B17&lt;&gt;"",IFERROR(ROUND(VLOOKUP(B17,ProductList!B:BG,57,FALSE),3),""),""))</f>
        <v>0.26800000000000002</v>
      </c>
      <c r="I17" s="75">
        <f t="shared" si="0"/>
        <v>40.200000000000003</v>
      </c>
      <c r="J17" s="1">
        <f>IFERROR(VLOOKUP(B17,ProductList!B:AO,21,FALSE),"")</f>
        <v>30</v>
      </c>
      <c r="K17" s="1">
        <f>IF(G17="KGS",IF(D17&lt;&gt;"",IFERROR(ROUND(VLOOKUP(D17,ProductList!J:BG,47,FALSE),3),""),""),IF(D17&lt;&gt;"",IFERROR(ROUND(VLOOKUP(D17,ProductList!J:BG,46,FALSE),3),""),""))</f>
        <v>0.22</v>
      </c>
      <c r="L17" s="1">
        <f t="shared" si="1"/>
        <v>33</v>
      </c>
    </row>
    <row r="18" spans="1:12" x14ac:dyDescent="0.25">
      <c r="A18" s="304"/>
      <c r="B18" s="73">
        <v>14</v>
      </c>
      <c r="C18" s="73">
        <v>0</v>
      </c>
      <c r="D18" s="104" t="str">
        <v>SAKTHI MUTTON MASALA 50G</v>
      </c>
      <c r="E18" s="122" t="str">
        <v>21069099</v>
      </c>
      <c r="F18" s="73">
        <f>IF(G18="KGS",IF(B18&lt;&gt;"",IFERROR(VLOOKUP(B18,ProductList!B:AO,21,FALSE),""),""),IF(D18&lt;&gt;"",IFERROR(VLOOKUP(B18,ProductList!B:AO,24,FALSE),""),""))</f>
        <v>600</v>
      </c>
      <c r="G18" s="6" t="s">
        <v>216</v>
      </c>
      <c r="H18" s="75">
        <f>IF(G18="KGS",IF(B18&lt;&gt;"",IFERROR(ROUND(VLOOKUP(B18,ProductList!B:BG,58,FALSE),3),""),""),IF(B18&lt;&gt;"",IFERROR(ROUND(VLOOKUP(B18,ProductList!B:BG,57,FALSE),3),""),""))</f>
        <v>0.224</v>
      </c>
      <c r="I18" s="75">
        <f t="shared" si="0"/>
        <v>134.4</v>
      </c>
      <c r="J18" s="1">
        <f>IFERROR(VLOOKUP(B18,ProductList!B:AO,21,FALSE),"")</f>
        <v>30</v>
      </c>
      <c r="K18" s="1">
        <f>IF(G18="KGS",IF(D18&lt;&gt;"",IFERROR(ROUND(VLOOKUP(D18,ProductList!J:BG,47,FALSE),3),""),""),IF(D18&lt;&gt;"",IFERROR(ROUND(VLOOKUP(D18,ProductList!J:BG,46,FALSE),3),""),""))</f>
        <v>0.184</v>
      </c>
      <c r="L18" s="1">
        <f t="shared" si="1"/>
        <v>110.39999999999999</v>
      </c>
    </row>
    <row r="19" spans="1:12" x14ac:dyDescent="0.25">
      <c r="A19" s="304"/>
      <c r="B19" s="73">
        <v>15</v>
      </c>
      <c r="C19" s="73">
        <v>0</v>
      </c>
      <c r="D19" s="104" t="str">
        <v>SAKTHI RASAM POWER 50G</v>
      </c>
      <c r="E19" s="122" t="str">
        <v>21069099</v>
      </c>
      <c r="F19" s="73">
        <f>IF(G19="KGS",IF(B19&lt;&gt;"",IFERROR(VLOOKUP(B19,ProductList!B:AO,21,FALSE),""),""),IF(D19&lt;&gt;"",IFERROR(VLOOKUP(B19,ProductList!B:AO,24,FALSE),""),""))</f>
        <v>600</v>
      </c>
      <c r="G19" s="6" t="s">
        <v>216</v>
      </c>
      <c r="H19" s="75">
        <f>IF(G19="KGS",IF(B19&lt;&gt;"",IFERROR(ROUND(VLOOKUP(B19,ProductList!B:BG,58,FALSE),3),""),""),IF(B19&lt;&gt;"",IFERROR(ROUND(VLOOKUP(B19,ProductList!B:BG,57,FALSE),3),""),""))</f>
        <v>0.25</v>
      </c>
      <c r="I19" s="75">
        <f t="shared" si="0"/>
        <v>150</v>
      </c>
      <c r="J19" s="1">
        <f>IFERROR(VLOOKUP(B19,ProductList!B:AO,21,FALSE),"")</f>
        <v>30</v>
      </c>
      <c r="K19" s="1">
        <f>IF(G19="KGS",IF(D19&lt;&gt;"",IFERROR(ROUND(VLOOKUP(D19,ProductList!J:BG,47,FALSE),3),""),""),IF(D19&lt;&gt;"",IFERROR(ROUND(VLOOKUP(D19,ProductList!J:BG,46,FALSE),3),""),""))</f>
        <v>0.20499999999999999</v>
      </c>
      <c r="L19" s="1">
        <f t="shared" si="1"/>
        <v>122.99999999999999</v>
      </c>
    </row>
    <row r="20" spans="1:12" x14ac:dyDescent="0.25">
      <c r="A20" s="304"/>
      <c r="B20" s="73">
        <v>16</v>
      </c>
      <c r="C20" s="73">
        <v>0</v>
      </c>
      <c r="D20" s="104" t="str">
        <v>SAKTHI CURRY MASAL POWDER 50G</v>
      </c>
      <c r="E20" s="122" t="str">
        <v>21069099</v>
      </c>
      <c r="F20" s="73">
        <f>IF(G20="KGS",IF(B20&lt;&gt;"",IFERROR(VLOOKUP(B20,ProductList!B:AO,21,FALSE),""),""),IF(D20&lt;&gt;"",IFERROR(VLOOKUP(B20,ProductList!B:AO,24,FALSE),""),""))</f>
        <v>30</v>
      </c>
      <c r="G20" s="6" t="s">
        <v>217</v>
      </c>
      <c r="H20" s="75">
        <f>IF(G20="KGS",IF(B20&lt;&gt;"",IFERROR(ROUND(VLOOKUP(B20,ProductList!B:BG,58,FALSE),3),""),""),IF(B20&lt;&gt;"",IFERROR(ROUND(VLOOKUP(B20,ProductList!B:BG,57,FALSE),3),""),""))</f>
        <v>4.3860000000000001</v>
      </c>
      <c r="I20" s="75">
        <f t="shared" si="0"/>
        <v>131.58000000000001</v>
      </c>
      <c r="J20" s="1">
        <f>IFERROR(VLOOKUP(B20,ProductList!B:AO,21,FALSE),"")</f>
        <v>30</v>
      </c>
      <c r="K20" s="1">
        <f>IF(G20="KGS",IF(D20&lt;&gt;"",IFERROR(ROUND(VLOOKUP(D20,ProductList!J:BG,47,FALSE),3),""),""),IF(D20&lt;&gt;"",IFERROR(ROUND(VLOOKUP(D20,ProductList!J:BG,46,FALSE),3),""),""))</f>
        <v>3.601</v>
      </c>
      <c r="L20" s="1">
        <f t="shared" si="1"/>
        <v>108.03</v>
      </c>
    </row>
    <row r="21" spans="1:12" x14ac:dyDescent="0.25">
      <c r="A21" s="304"/>
      <c r="B21" s="73">
        <v>17</v>
      </c>
      <c r="C21" s="73">
        <v>0</v>
      </c>
      <c r="D21" s="104" t="str">
        <v>SAKTHI FISH CURRY MASALA 50G</v>
      </c>
      <c r="E21" s="122" t="str">
        <v>21069099</v>
      </c>
      <c r="F21" s="73">
        <f>IF(G21="KGS",IF(B21&lt;&gt;"",IFERROR(VLOOKUP(B21,ProductList!B:AO,21,FALSE),""),""),IF(D21&lt;&gt;"",IFERROR(VLOOKUP(B21,ProductList!B:AO,24,FALSE),""),""))</f>
        <v>600</v>
      </c>
      <c r="G21" s="6" t="s">
        <v>216</v>
      </c>
      <c r="H21" s="75">
        <f>IF(G21="KGS",IF(B21&lt;&gt;"",IFERROR(ROUND(VLOOKUP(B21,ProductList!B:BG,58,FALSE),3),""),""),IF(B21&lt;&gt;"",IFERROR(ROUND(VLOOKUP(B21,ProductList!B:BG,57,FALSE),3),""),""))</f>
        <v>0.17100000000000001</v>
      </c>
      <c r="I21" s="75">
        <f t="shared" si="0"/>
        <v>102.6</v>
      </c>
      <c r="J21" s="1">
        <f>IFERROR(VLOOKUP(B21,ProductList!B:AO,21,FALSE),"")</f>
        <v>30</v>
      </c>
      <c r="K21" s="1">
        <f>IF(G21="KGS",IF(D21&lt;&gt;"",IFERROR(ROUND(VLOOKUP(D21,ProductList!J:BG,47,FALSE),3),""),""),IF(D21&lt;&gt;"",IFERROR(ROUND(VLOOKUP(D21,ProductList!J:BG,46,FALSE),3),""),""))</f>
        <v>0.14000000000000001</v>
      </c>
      <c r="L21" s="1">
        <f t="shared" si="1"/>
        <v>84.000000000000014</v>
      </c>
    </row>
    <row r="22" spans="1:12" x14ac:dyDescent="0.25">
      <c r="A22" s="304"/>
      <c r="B22" s="73">
        <v>18</v>
      </c>
      <c r="C22" s="73">
        <v>0</v>
      </c>
      <c r="D22" s="104" t="str">
        <v>SAKTHI FISH FRY 50G</v>
      </c>
      <c r="E22" s="122" t="str">
        <v>21069099</v>
      </c>
      <c r="F22" s="73">
        <f>IF(G22="KGS",IF(B22&lt;&gt;"",IFERROR(VLOOKUP(B22,ProductList!B:AO,21,FALSE),""),""),IF(D22&lt;&gt;"",IFERROR(VLOOKUP(B22,ProductList!B:AO,24,FALSE),""),""))</f>
        <v>600</v>
      </c>
      <c r="G22" s="6" t="s">
        <v>216</v>
      </c>
      <c r="H22" s="75">
        <f>IF(G22="KGS",IF(B22&lt;&gt;"",IFERROR(ROUND(VLOOKUP(B22,ProductList!B:BG,58,FALSE),3),""),""),IF(B22&lt;&gt;"",IFERROR(ROUND(VLOOKUP(B22,ProductList!B:BG,57,FALSE),3),""),""))</f>
        <v>0.23699999999999999</v>
      </c>
      <c r="I22" s="75">
        <f t="shared" si="0"/>
        <v>142.19999999999999</v>
      </c>
      <c r="J22" s="1">
        <f>IFERROR(VLOOKUP(B22,ProductList!B:AO,21,FALSE),"")</f>
        <v>30</v>
      </c>
      <c r="K22" s="1">
        <f>IF(G22="KGS",IF(D22&lt;&gt;"",IFERROR(ROUND(VLOOKUP(D22,ProductList!J:BG,47,FALSE),3),""),""),IF(D22&lt;&gt;"",IFERROR(ROUND(VLOOKUP(D22,ProductList!J:BG,46,FALSE),3),""),""))</f>
        <v>0.19500000000000001</v>
      </c>
      <c r="L22" s="1">
        <f t="shared" si="1"/>
        <v>117</v>
      </c>
    </row>
    <row r="23" spans="1:12" x14ac:dyDescent="0.25">
      <c r="A23" s="304"/>
      <c r="B23" s="73">
        <v>19</v>
      </c>
      <c r="C23" s="73">
        <v>0</v>
      </c>
      <c r="D23" s="104" t="str">
        <v>SAKTHI IDLI CHILLI POWDER 50G</v>
      </c>
      <c r="E23" s="122" t="str">
        <v>21069099</v>
      </c>
      <c r="F23" s="73">
        <f>IF(G23="KGS",IF(B23&lt;&gt;"",IFERROR(VLOOKUP(B23,ProductList!B:AO,21,FALSE),""),""),IF(D23&lt;&gt;"",IFERROR(VLOOKUP(B23,ProductList!B:AO,24,FALSE),""),""))</f>
        <v>1200</v>
      </c>
      <c r="G23" s="6" t="s">
        <v>216</v>
      </c>
      <c r="H23" s="75">
        <f>IF(G23="KGS",IF(B23&lt;&gt;"",IFERROR(ROUND(VLOOKUP(B23,ProductList!B:BG,58,FALSE),3),""),""),IF(B23&lt;&gt;"",IFERROR(ROUND(VLOOKUP(B23,ProductList!B:BG,57,FALSE),3),""),""))</f>
        <v>0.13800000000000001</v>
      </c>
      <c r="I23" s="75">
        <f t="shared" si="0"/>
        <v>165.6</v>
      </c>
      <c r="J23" s="1">
        <f>IFERROR(VLOOKUP(B23,ProductList!B:AO,21,FALSE),"")</f>
        <v>60</v>
      </c>
      <c r="K23" s="1">
        <f>IF(G23="KGS",IF(D23&lt;&gt;"",IFERROR(ROUND(VLOOKUP(D23,ProductList!J:BG,47,FALSE),3),""),""),IF(D23&lt;&gt;"",IFERROR(ROUND(VLOOKUP(D23,ProductList!J:BG,46,FALSE),3),""),""))</f>
        <v>0.113</v>
      </c>
      <c r="L23" s="1">
        <f t="shared" si="1"/>
        <v>135.6</v>
      </c>
    </row>
    <row r="24" spans="1:12" x14ac:dyDescent="0.25">
      <c r="A24" s="304"/>
      <c r="B24" s="73">
        <v>20</v>
      </c>
      <c r="C24" s="73">
        <v>0</v>
      </c>
      <c r="D24" s="104" t="str">
        <v>SAKTHI CORIANDER POWDER 500G</v>
      </c>
      <c r="E24" s="122" t="str">
        <v>09092200</v>
      </c>
      <c r="F24" s="73">
        <f>IF(G24="KGS",IF(B24&lt;&gt;"",IFERROR(VLOOKUP(B24,ProductList!B:AO,21,FALSE),""),""),IF(D24&lt;&gt;"",IFERROR(VLOOKUP(B24,ProductList!B:AO,24,FALSE),""),""))</f>
        <v>2520</v>
      </c>
      <c r="G24" s="6" t="s">
        <v>216</v>
      </c>
      <c r="H24" s="75">
        <f>IF(G24="KGS",IF(B24&lt;&gt;"",IFERROR(ROUND(VLOOKUP(B24,ProductList!B:BG,58,FALSE),3),""),""),IF(B24&lt;&gt;"",IFERROR(ROUND(VLOOKUP(B24,ProductList!B:BG,57,FALSE),3),""),""))</f>
        <v>1.341</v>
      </c>
      <c r="I24" s="75">
        <f t="shared" si="0"/>
        <v>3379.32</v>
      </c>
      <c r="J24" s="1">
        <f>IFERROR(VLOOKUP(B24,ProductList!B:AO,21,FALSE),"")</f>
        <v>1260</v>
      </c>
      <c r="K24" s="1">
        <f>IF(G24="KGS",IF(D24&lt;&gt;"",IFERROR(ROUND(VLOOKUP(D24,ProductList!J:BG,47,FALSE),3),""),""),IF(D24&lt;&gt;"",IFERROR(ROUND(VLOOKUP(D24,ProductList!J:BG,46,FALSE),3),""),""))</f>
        <v>1.377</v>
      </c>
      <c r="L24" s="1">
        <f t="shared" si="1"/>
        <v>3470.04</v>
      </c>
    </row>
    <row r="25" spans="1:12" x14ac:dyDescent="0.25">
      <c r="A25" s="304"/>
      <c r="B25" s="73">
        <v>21</v>
      </c>
      <c r="C25" s="73">
        <v>0</v>
      </c>
      <c r="D25" s="104" t="str">
        <v>SAKTHI CHILLI POWDER 500G</v>
      </c>
      <c r="E25" s="122" t="str">
        <v>09042190</v>
      </c>
      <c r="F25" s="73">
        <f>IF(G25="KGS",IF(B25&lt;&gt;"",IFERROR(VLOOKUP(B25,ProductList!B:AO,21,FALSE),""),""),IF(D25&lt;&gt;"",IFERROR(VLOOKUP(B25,ProductList!B:AO,24,FALSE),""),""))</f>
        <v>900</v>
      </c>
      <c r="G25" s="6" t="s">
        <v>216</v>
      </c>
      <c r="H25" s="75">
        <f>IF(G25="KGS",IF(B25&lt;&gt;"",IFERROR(ROUND(VLOOKUP(B25,ProductList!B:BG,58,FALSE),3),""),""),IF(B25&lt;&gt;"",IFERROR(ROUND(VLOOKUP(B25,ProductList!B:BG,57,FALSE),3),""),""))</f>
        <v>1.5449999999999999</v>
      </c>
      <c r="I25" s="75">
        <f t="shared" si="0"/>
        <v>1390.5</v>
      </c>
      <c r="J25" s="1">
        <f>IFERROR(VLOOKUP(B25,ProductList!B:AO,21,FALSE),"")</f>
        <v>450</v>
      </c>
      <c r="K25" s="1">
        <f>IF(G25="KGS",IF(D25&lt;&gt;"",IFERROR(ROUND(VLOOKUP(D25,ProductList!J:BG,47,FALSE),3),""),""),IF(D25&lt;&gt;"",IFERROR(ROUND(VLOOKUP(D25,ProductList!J:BG,46,FALSE),3),""),""))</f>
        <v>1.2689999999999999</v>
      </c>
      <c r="L25" s="1">
        <f t="shared" si="1"/>
        <v>1142.0999999999999</v>
      </c>
    </row>
    <row r="26" spans="1:12" x14ac:dyDescent="0.25">
      <c r="A26" s="304"/>
      <c r="B26" s="73">
        <v>22</v>
      </c>
      <c r="C26" s="73">
        <v>0</v>
      </c>
      <c r="D26" s="104" t="str">
        <v>OATS 400 G</v>
      </c>
      <c r="E26" s="122" t="str">
        <v>11042200</v>
      </c>
      <c r="F26" s="73">
        <f>IF(G26="KGS",IF(B26&lt;&gt;"",IFERROR(VLOOKUP(B26,ProductList!B:AO,21,FALSE),""),""),IF(D26&lt;&gt;"",IFERROR(VLOOKUP(B26,ProductList!B:AO,24,FALSE),""),""))</f>
        <v>240</v>
      </c>
      <c r="G26" s="6" t="s">
        <v>216</v>
      </c>
      <c r="H26" s="75">
        <f>IF(G26="KGS",IF(B26&lt;&gt;"",IFERROR(ROUND(VLOOKUP(B26,ProductList!B:BG,58,FALSE),3),""),""),IF(B26&lt;&gt;"",IFERROR(ROUND(VLOOKUP(B26,ProductList!B:BG,57,FALSE),3),""),""))</f>
        <v>0.68300000000000005</v>
      </c>
      <c r="I26" s="75">
        <f t="shared" si="0"/>
        <v>163.92</v>
      </c>
      <c r="J26" s="1">
        <f>IFERROR(VLOOKUP(B26,ProductList!B:AO,21,FALSE),"")</f>
        <v>96</v>
      </c>
      <c r="K26" s="1">
        <f>IF(G26="KGS",IF(D26&lt;&gt;"",IFERROR(ROUND(VLOOKUP(D26,ProductList!J:BG,47,FALSE),3),""),""),IF(D26&lt;&gt;"",IFERROR(ROUND(VLOOKUP(D26,ProductList!J:BG,46,FALSE),3),""),""))</f>
        <v>0.56100000000000005</v>
      </c>
      <c r="L26" s="1">
        <f t="shared" si="1"/>
        <v>134.64000000000001</v>
      </c>
    </row>
    <row r="27" spans="1:12" x14ac:dyDescent="0.25">
      <c r="A27" s="304"/>
      <c r="B27" s="73">
        <v>23</v>
      </c>
      <c r="C27" s="73">
        <v>0</v>
      </c>
      <c r="D27" s="104" t="str">
        <v>OATS 1 KG</v>
      </c>
      <c r="E27" s="122" t="str">
        <v>11042200</v>
      </c>
      <c r="F27" s="73">
        <f>IF(G27="KGS",IF(B27&lt;&gt;"",IFERROR(VLOOKUP(B27,ProductList!B:AO,21,FALSE),""),""),IF(D27&lt;&gt;"",IFERROR(VLOOKUP(B27,ProductList!B:AO,24,FALSE),""),""))</f>
        <v>120</v>
      </c>
      <c r="G27" s="6" t="s">
        <v>216</v>
      </c>
      <c r="H27" s="75">
        <f>IF(G27="KGS",IF(B27&lt;&gt;"",IFERROR(ROUND(VLOOKUP(B27,ProductList!B:BG,58,FALSE),3),""),""),IF(B27&lt;&gt;"",IFERROR(ROUND(VLOOKUP(B27,ProductList!B:BG,57,FALSE),3),""),""))</f>
        <v>1.6279999999999999</v>
      </c>
      <c r="I27" s="75">
        <f t="shared" si="0"/>
        <v>195.36</v>
      </c>
      <c r="J27" s="1">
        <f>IFERROR(VLOOKUP(B27,ProductList!B:AO,21,FALSE),"")</f>
        <v>120</v>
      </c>
      <c r="K27" s="1">
        <f>IF(G27="KGS",IF(D27&lt;&gt;"",IFERROR(ROUND(VLOOKUP(D27,ProductList!J:BG,47,FALSE),3),""),""),IF(D27&lt;&gt;"",IFERROR(ROUND(VLOOKUP(D27,ProductList!J:BG,46,FALSE),3),""),""))</f>
        <v>1.337</v>
      </c>
      <c r="L27" s="1">
        <f t="shared" si="1"/>
        <v>160.44</v>
      </c>
    </row>
    <row r="28" spans="1:12" x14ac:dyDescent="0.25">
      <c r="A28" s="304"/>
      <c r="B28" s="73">
        <v>24</v>
      </c>
      <c r="C28" s="73">
        <v>0</v>
      </c>
      <c r="D28" s="104" t="str">
        <v>APPALAM 100G X 200PCS (EACH 15 KGS)</v>
      </c>
      <c r="E28" s="122" t="str">
        <v>21069060</v>
      </c>
      <c r="F28" s="73">
        <f>IF(G28="KGS",IF(B28&lt;&gt;"",IFERROR(VLOOKUP(B28,ProductList!B:AO,21,FALSE),""),""),IF(D28&lt;&gt;"",IFERROR(VLOOKUP(B28,ProductList!B:AO,24,FALSE),""),""))</f>
        <v>2250</v>
      </c>
      <c r="G28" s="6" t="s">
        <v>216</v>
      </c>
      <c r="H28" s="75">
        <f>IF(G28="KGS",IF(B28&lt;&gt;"",IFERROR(ROUND(VLOOKUP(B28,ProductList!B:BG,58,FALSE),3),""),""),IF(B28&lt;&gt;"",IFERROR(ROUND(VLOOKUP(B28,ProductList!B:BG,57,FALSE),3),""),""))</f>
        <v>0.17899999999999999</v>
      </c>
      <c r="I28" s="75">
        <f t="shared" si="0"/>
        <v>402.75</v>
      </c>
      <c r="J28" s="1">
        <f>IFERROR(VLOOKUP(B28,ProductList!B:AO,21,FALSE),"")</f>
        <v>225</v>
      </c>
      <c r="K28" s="1">
        <f>IF(G28="KGS",IF(D28&lt;&gt;"",IFERROR(ROUND(VLOOKUP(D28,ProductList!J:BG,47,FALSE),3),""),""),IF(D28&lt;&gt;"",IFERROR(ROUND(VLOOKUP(D28,ProductList!J:BG,46,FALSE),3),""),""))</f>
        <v>0.14699999999999999</v>
      </c>
      <c r="L28" s="1">
        <f t="shared" si="1"/>
        <v>330.75</v>
      </c>
    </row>
    <row r="29" spans="1:12" x14ac:dyDescent="0.25">
      <c r="A29" s="304"/>
      <c r="B29" s="73">
        <v>25</v>
      </c>
      <c r="C29" s="73">
        <v>0</v>
      </c>
      <c r="D29" s="104" t="str">
        <v>APPALAM 200G X 75PCS (EACH 15 KGS)</v>
      </c>
      <c r="E29" s="122" t="str">
        <v>21069060</v>
      </c>
      <c r="F29" s="73">
        <f>IF(G29="KGS",IF(B29&lt;&gt;"",IFERROR(VLOOKUP(B29,ProductList!B:AO,21,FALSE),""),""),IF(D29&lt;&gt;"",IFERROR(VLOOKUP(B29,ProductList!B:AO,24,FALSE),""),""))</f>
        <v>375</v>
      </c>
      <c r="G29" s="6" t="s">
        <v>216</v>
      </c>
      <c r="H29" s="75">
        <f>IF(G29="KGS",IF(B29&lt;&gt;"",IFERROR(ROUND(VLOOKUP(B29,ProductList!B:BG,58,FALSE),3),""),""),IF(B29&lt;&gt;"",IFERROR(ROUND(VLOOKUP(B29,ProductList!B:BG,57,FALSE),3),""),""))</f>
        <v>0.35699999999999998</v>
      </c>
      <c r="I29" s="75">
        <f t="shared" si="0"/>
        <v>133.88</v>
      </c>
      <c r="J29" s="1">
        <f>IFERROR(VLOOKUP(B29,ProductList!B:AO,21,FALSE),"")</f>
        <v>75</v>
      </c>
      <c r="K29" s="1">
        <f>IF(G29="KGS",IF(D29&lt;&gt;"",IFERROR(ROUND(VLOOKUP(D29,ProductList!J:BG,47,FALSE),3),""),""),IF(D29&lt;&gt;"",IFERROR(ROUND(VLOOKUP(D29,ProductList!J:BG,46,FALSE),3),""),""))</f>
        <v>0.29299999999999998</v>
      </c>
      <c r="L29" s="1">
        <f t="shared" si="1"/>
        <v>109.875</v>
      </c>
    </row>
    <row r="30" spans="1:12" x14ac:dyDescent="0.25">
      <c r="A30" s="304"/>
      <c r="B30" s="73">
        <v>26</v>
      </c>
      <c r="C30" s="73">
        <v>0</v>
      </c>
      <c r="D30" s="104" t="str">
        <v>GHEE 100 ML</v>
      </c>
      <c r="E30" s="122" t="str">
        <v>04059000</v>
      </c>
      <c r="F30" s="73">
        <f>IF(G30="KGS",IF(B30&lt;&gt;"",IFERROR(VLOOKUP(B30,ProductList!B:AO,21,FALSE),""),""),IF(D30&lt;&gt;"",IFERROR(VLOOKUP(B30,ProductList!B:AO,24,FALSE),""),""))</f>
        <v>1800</v>
      </c>
      <c r="G30" s="6" t="s">
        <v>216</v>
      </c>
      <c r="H30" s="75">
        <f>IF(G30="KGS",IF(B30&lt;&gt;"",IFERROR(ROUND(VLOOKUP(B30,ProductList!B:BG,58,FALSE),3),""),""),IF(B30&lt;&gt;"",IFERROR(ROUND(VLOOKUP(B30,ProductList!B:BG,57,FALSE),3),""),""))</f>
        <v>0.879</v>
      </c>
      <c r="I30" s="75">
        <f t="shared" si="0"/>
        <v>1582.2</v>
      </c>
      <c r="J30" s="1">
        <f>IFERROR(VLOOKUP(B30,ProductList!B:AO,21,FALSE),"")</f>
        <v>180</v>
      </c>
      <c r="K30" s="1">
        <f>IF(G30="KGS",IF(D30&lt;&gt;"",IFERROR(ROUND(VLOOKUP(D30,ProductList!J:BG,47,FALSE),3),""),""),IF(D30&lt;&gt;"",IFERROR(ROUND(VLOOKUP(D30,ProductList!J:BG,46,FALSE),3),""),""))</f>
        <v>0.90200000000000002</v>
      </c>
      <c r="L30" s="1">
        <f t="shared" si="1"/>
        <v>1623.6000000000001</v>
      </c>
    </row>
    <row r="31" spans="1:12" x14ac:dyDescent="0.25">
      <c r="A31" s="304"/>
      <c r="B31" s="73">
        <v>27</v>
      </c>
      <c r="C31" s="73">
        <v>0</v>
      </c>
      <c r="D31" s="104" t="str">
        <v>GHEE 200 ML</v>
      </c>
      <c r="E31" s="122" t="str">
        <v>04059000</v>
      </c>
      <c r="F31" s="73">
        <f>IF(G31="KGS",IF(B31&lt;&gt;"",IFERROR(VLOOKUP(B31,ProductList!B:AO,21,FALSE),""),""),IF(D31&lt;&gt;"",IFERROR(VLOOKUP(B31,ProductList!B:AO,24,FALSE),""),""))</f>
        <v>900</v>
      </c>
      <c r="G31" s="6" t="s">
        <v>216</v>
      </c>
      <c r="H31" s="75">
        <f>IF(G31="KGS",IF(B31&lt;&gt;"",IFERROR(ROUND(VLOOKUP(B31,ProductList!B:BG,58,FALSE),3),""),""),IF(B31&lt;&gt;"",IFERROR(ROUND(VLOOKUP(B31,ProductList!B:BG,57,FALSE),3),""),""))</f>
        <v>1.714</v>
      </c>
      <c r="I31" s="75">
        <f t="shared" si="0"/>
        <v>1542.6</v>
      </c>
      <c r="J31" s="1">
        <f>IFERROR(VLOOKUP(B31,ProductList!B:AO,21,FALSE),"")</f>
        <v>180</v>
      </c>
      <c r="K31" s="1">
        <f>IF(G31="KGS",IF(D31&lt;&gt;"",IFERROR(ROUND(VLOOKUP(D31,ProductList!J:BG,47,FALSE),3),""),""),IF(D31&lt;&gt;"",IFERROR(ROUND(VLOOKUP(D31,ProductList!J:BG,46,FALSE),3),""),""))</f>
        <v>1.76</v>
      </c>
      <c r="L31" s="1">
        <f t="shared" si="1"/>
        <v>1584</v>
      </c>
    </row>
    <row r="32" spans="1:12" x14ac:dyDescent="0.25">
      <c r="A32" s="304"/>
      <c r="B32" s="73">
        <v>28</v>
      </c>
      <c r="C32" s="73">
        <v>0</v>
      </c>
      <c r="D32" s="104" t="str">
        <v>CUT MANGO PICKLE 300G</v>
      </c>
      <c r="E32" s="122" t="str">
        <v>20019000</v>
      </c>
      <c r="F32" s="73">
        <f>IF(G32="KGS",IF(B32&lt;&gt;"",IFERROR(VLOOKUP(B32,ProductList!B:AO,21,FALSE),""),""),IF(D32&lt;&gt;"",IFERROR(VLOOKUP(B32,ProductList!B:AO,24,FALSE),""),""))</f>
        <v>450</v>
      </c>
      <c r="G32" s="6" t="s">
        <v>216</v>
      </c>
      <c r="H32" s="75">
        <f>IF(G32="KGS",IF(B32&lt;&gt;"",IFERROR(ROUND(VLOOKUP(B32,ProductList!B:BG,58,FALSE),3),""),""),IF(B32&lt;&gt;"",IFERROR(ROUND(VLOOKUP(B32,ProductList!B:BG,57,FALSE),3),""),""))</f>
        <v>0.66200000000000003</v>
      </c>
      <c r="I32" s="75">
        <f t="shared" si="0"/>
        <v>297.89999999999998</v>
      </c>
      <c r="J32" s="1">
        <f>IFERROR(VLOOKUP(B32,ProductList!B:AO,21,FALSE),"")</f>
        <v>135</v>
      </c>
      <c r="K32" s="1">
        <f>IF(G32="KGS",IF(D32&lt;&gt;"",IFERROR(ROUND(VLOOKUP(D32,ProductList!J:BG,47,FALSE),3),""),""),IF(D32&lt;&gt;"",IFERROR(ROUND(VLOOKUP(D32,ProductList!J:BG,46,FALSE),3),""),""))</f>
        <v>0.54300000000000004</v>
      </c>
      <c r="L32" s="1">
        <f t="shared" si="1"/>
        <v>244.35000000000002</v>
      </c>
    </row>
    <row r="33" spans="1:12" x14ac:dyDescent="0.25">
      <c r="A33" s="304"/>
      <c r="B33" s="73">
        <v>29</v>
      </c>
      <c r="C33" s="73">
        <v>0</v>
      </c>
      <c r="D33" s="104" t="str">
        <v>LEMON PICKLE 300 G</v>
      </c>
      <c r="E33" s="122" t="str">
        <v>20019000</v>
      </c>
      <c r="F33" s="73">
        <f>IF(G33="KGS",IF(B33&lt;&gt;"",IFERROR(VLOOKUP(B33,ProductList!B:AO,21,FALSE),""),""),IF(D33&lt;&gt;"",IFERROR(VLOOKUP(B33,ProductList!B:AO,24,FALSE),""),""))</f>
        <v>330</v>
      </c>
      <c r="G33" s="6" t="s">
        <v>216</v>
      </c>
      <c r="H33" s="75">
        <f>IF(G33="KGS",IF(B33&lt;&gt;"",IFERROR(ROUND(VLOOKUP(B33,ProductList!B:BG,58,FALSE),3),""),""),IF(B33&lt;&gt;"",IFERROR(ROUND(VLOOKUP(B33,ProductList!B:BG,57,FALSE),3),""),""))</f>
        <v>0.60199999999999998</v>
      </c>
      <c r="I33" s="75">
        <f t="shared" si="0"/>
        <v>198.66</v>
      </c>
      <c r="J33" s="1">
        <f>IFERROR(VLOOKUP(B33,ProductList!B:AO,21,FALSE),"")</f>
        <v>99</v>
      </c>
      <c r="K33" s="1">
        <f>IF(G33="KGS",IF(D33&lt;&gt;"",IFERROR(ROUND(VLOOKUP(D33,ProductList!J:BG,47,FALSE),3),""),""),IF(D33&lt;&gt;"",IFERROR(ROUND(VLOOKUP(D33,ProductList!J:BG,46,FALSE),3),""),""))</f>
        <v>0.49399999999999999</v>
      </c>
      <c r="L33" s="1">
        <f t="shared" si="1"/>
        <v>163.02000000000001</v>
      </c>
    </row>
    <row r="34" spans="1:12" x14ac:dyDescent="0.25">
      <c r="A34" s="304"/>
      <c r="B34" s="73">
        <v>30</v>
      </c>
      <c r="C34" s="73">
        <v>0</v>
      </c>
      <c r="D34" s="104" t="str">
        <v>MIXED VEG PICKLE 300 G</v>
      </c>
      <c r="E34" s="122" t="str">
        <v>20019000</v>
      </c>
      <c r="F34" s="73">
        <f>IF(G34="KGS",IF(B34&lt;&gt;"",IFERROR(VLOOKUP(B34,ProductList!B:AO,21,FALSE),""),""),IF(D34&lt;&gt;"",IFERROR(VLOOKUP(B34,ProductList!B:AO,24,FALSE),""),""))</f>
        <v>480</v>
      </c>
      <c r="G34" s="6" t="s">
        <v>216</v>
      </c>
      <c r="H34" s="75">
        <f>IF(G34="KGS",IF(B34&lt;&gt;"",IFERROR(ROUND(VLOOKUP(B34,ProductList!B:BG,58,FALSE),3),""),""),IF(B34&lt;&gt;"",IFERROR(ROUND(VLOOKUP(B34,ProductList!B:BG,57,FALSE),3),""),""))</f>
        <v>0.51700000000000002</v>
      </c>
      <c r="I34" s="75">
        <f t="shared" si="0"/>
        <v>248.16</v>
      </c>
      <c r="J34" s="1">
        <f>IFERROR(VLOOKUP(B34,ProductList!B:AO,21,FALSE),"")</f>
        <v>144</v>
      </c>
      <c r="K34" s="1">
        <f>IF(G34="KGS",IF(D34&lt;&gt;"",IFERROR(ROUND(VLOOKUP(D34,ProductList!J:BG,47,FALSE),3),""),""),IF(D34&lt;&gt;"",IFERROR(ROUND(VLOOKUP(D34,ProductList!J:BG,46,FALSE),3),""),""))</f>
        <v>0.42499999999999999</v>
      </c>
      <c r="L34" s="1">
        <f t="shared" si="1"/>
        <v>204</v>
      </c>
    </row>
    <row r="35" spans="1:12" x14ac:dyDescent="0.25">
      <c r="A35" s="304"/>
      <c r="B35" s="73">
        <v>31</v>
      </c>
      <c r="C35" s="73">
        <v>0</v>
      </c>
      <c r="D35" s="104" t="str">
        <v>TAMARIND 500 G</v>
      </c>
      <c r="E35" s="122" t="str">
        <v>08134090</v>
      </c>
      <c r="F35" s="73">
        <f>IF(G35="KGS",IF(B35&lt;&gt;"",IFERROR(VLOOKUP(B35,ProductList!B:AO,21,FALSE),""),""),IF(D35&lt;&gt;"",IFERROR(VLOOKUP(B35,ProductList!B:AO,24,FALSE),""),""))</f>
        <v>400</v>
      </c>
      <c r="G35" s="6" t="s">
        <v>216</v>
      </c>
      <c r="H35" s="75">
        <f>IF(G35="KGS",IF(B35&lt;&gt;"",IFERROR(ROUND(VLOOKUP(B35,ProductList!B:BG,58,FALSE),3),""),""),IF(B35&lt;&gt;"",IFERROR(ROUND(VLOOKUP(B35,ProductList!B:BG,57,FALSE),3),""),""))</f>
        <v>0.998</v>
      </c>
      <c r="I35" s="75">
        <f t="shared" si="0"/>
        <v>399.2</v>
      </c>
      <c r="J35" s="1">
        <f>IFERROR(VLOOKUP(B35,ProductList!B:AO,21,FALSE),"")</f>
        <v>200</v>
      </c>
      <c r="K35" s="1">
        <f>IF(G35="KGS",IF(D35&lt;&gt;"",IFERROR(ROUND(VLOOKUP(D35,ProductList!J:BG,47,FALSE),3),""),""),IF(D35&lt;&gt;"",IFERROR(ROUND(VLOOKUP(D35,ProductList!J:BG,46,FALSE),3),""),""))</f>
        <v>0.81899999999999995</v>
      </c>
      <c r="L35" s="1">
        <f t="shared" si="1"/>
        <v>327.59999999999997</v>
      </c>
    </row>
    <row r="36" spans="1:12" x14ac:dyDescent="0.25">
      <c r="A36" s="304"/>
      <c r="B36" s="73">
        <v>32</v>
      </c>
      <c r="C36" s="73">
        <v>0</v>
      </c>
      <c r="D36" s="104" t="str">
        <v>BASMATI RICE 1 KG</v>
      </c>
      <c r="E36" s="122" t="str">
        <v>10063011</v>
      </c>
      <c r="F36" s="73">
        <f>IF(G36="KGS",IF(B36&lt;&gt;"",IFERROR(VLOOKUP(B36,ProductList!B:AO,21,FALSE),""),""),IF(D36&lt;&gt;"",IFERROR(VLOOKUP(B36,ProductList!B:AO,24,FALSE),""),""))</f>
        <v>3150</v>
      </c>
      <c r="G36" s="6" t="s">
        <v>216</v>
      </c>
      <c r="H36" s="75">
        <f>IF(G36="KGS",IF(B36&lt;&gt;"",IFERROR(ROUND(VLOOKUP(B36,ProductList!B:BG,58,FALSE),3),""),""),IF(B36&lt;&gt;"",IFERROR(ROUND(VLOOKUP(B36,ProductList!B:BG,57,FALSE),3),""),""))</f>
        <v>1.8879999999999999</v>
      </c>
      <c r="I36" s="75">
        <f t="shared" si="0"/>
        <v>5947.2</v>
      </c>
      <c r="J36" s="1">
        <f>IFERROR(VLOOKUP(B36,ProductList!B:AO,21,FALSE),"")</f>
        <v>3150</v>
      </c>
      <c r="K36" s="1">
        <f>IF(G36="KGS",IF(D36&lt;&gt;"",IFERROR(ROUND(VLOOKUP(D36,ProductList!J:BG,47,FALSE),3),""),""),IF(D36&lt;&gt;"",IFERROR(ROUND(VLOOKUP(D36,ProductList!J:BG,46,FALSE),3),""),""))</f>
        <v>1.55</v>
      </c>
      <c r="L36" s="1">
        <f t="shared" si="1"/>
        <v>4882.5</v>
      </c>
    </row>
    <row r="37" spans="1:12" x14ac:dyDescent="0.25">
      <c r="A37" s="304"/>
      <c r="B37" s="73">
        <v>33</v>
      </c>
      <c r="C37" s="73">
        <v>0</v>
      </c>
      <c r="D37" s="104" t="str">
        <v>BASMATI RICE 1 KG</v>
      </c>
      <c r="E37" s="122" t="str">
        <v>10063011</v>
      </c>
      <c r="F37" s="73">
        <f>IF(G37="KGS",IF(B37&lt;&gt;"",IFERROR(VLOOKUP(B37,ProductList!B:AO,21,FALSE),""),""),IF(D37&lt;&gt;"",IFERROR(VLOOKUP(B37,ProductList!B:AO,24,FALSE),""),""))</f>
        <v>500</v>
      </c>
      <c r="G37" s="6" t="s">
        <v>216</v>
      </c>
      <c r="H37" s="75">
        <f>IF(G37="KGS",IF(B37&lt;&gt;"",IFERROR(ROUND(VLOOKUP(B37,ProductList!B:BG,58,FALSE),3),""),""),IF(B37&lt;&gt;"",IFERROR(ROUND(VLOOKUP(B37,ProductList!B:BG,57,FALSE),3),""),""))</f>
        <v>2.2069999999999999</v>
      </c>
      <c r="I37" s="75">
        <f t="shared" si="0"/>
        <v>1103.5</v>
      </c>
      <c r="J37" s="1">
        <f>IFERROR(VLOOKUP(B37,ProductList!B:AO,21,FALSE),"")</f>
        <v>500</v>
      </c>
      <c r="K37" s="1">
        <f>IF(G37="KGS",IF(D37&lt;&gt;"",IFERROR(ROUND(VLOOKUP(D37,ProductList!J:BG,47,FALSE),3),""),""),IF(D37&lt;&gt;"",IFERROR(ROUND(VLOOKUP(D37,ProductList!J:BG,46,FALSE),3),""),""))</f>
        <v>1.55</v>
      </c>
      <c r="L37" s="1">
        <f t="shared" si="1"/>
        <v>775</v>
      </c>
    </row>
    <row r="38" spans="1:12" x14ac:dyDescent="0.25">
      <c r="A38" s="304"/>
      <c r="B38" s="73">
        <v>34</v>
      </c>
      <c r="C38" s="73">
        <v>0</v>
      </c>
      <c r="D38" s="104" t="str">
        <v>SATTVAM GHEE  1 LT</v>
      </c>
      <c r="E38" s="122" t="str">
        <v>04059000</v>
      </c>
      <c r="F38" s="73">
        <f>IF(G38="KGS",IF(B38&lt;&gt;"",IFERROR(VLOOKUP(B38,ProductList!B:AO,21,FALSE),""),""),IF(D38&lt;&gt;"",IFERROR(VLOOKUP(B38,ProductList!B:AO,24,FALSE),""),""))</f>
        <v>18</v>
      </c>
      <c r="G38" s="6" t="s">
        <v>216</v>
      </c>
      <c r="H38" s="75">
        <f>IF(G38="KGS",IF(B38&lt;&gt;"",IFERROR(ROUND(VLOOKUP(B38,ProductList!B:BG,58,FALSE),3),""),""),IF(B38&lt;&gt;"",IFERROR(ROUND(VLOOKUP(B38,ProductList!B:BG,57,FALSE),3),""),""))</f>
        <v>7.2729999999999997</v>
      </c>
      <c r="I38" s="75">
        <f t="shared" si="0"/>
        <v>130.91</v>
      </c>
      <c r="J38" s="1">
        <f>IFERROR(VLOOKUP(B38,ProductList!B:AO,21,FALSE),"")</f>
        <v>18</v>
      </c>
      <c r="K38" s="1">
        <f>IF(G38="KGS",IF(D38&lt;&gt;"",IFERROR(ROUND(VLOOKUP(D38,ProductList!J:BG,47,FALSE),3),""),""),IF(D38&lt;&gt;"",IFERROR(ROUND(VLOOKUP(D38,ProductList!J:BG,46,FALSE),3),""),""))</f>
        <v>7.4660000000000002</v>
      </c>
      <c r="L38" s="1">
        <f t="shared" si="1"/>
        <v>134.38800000000001</v>
      </c>
    </row>
    <row r="39" spans="1:12" x14ac:dyDescent="0.25">
      <c r="A39" s="304"/>
      <c r="B39" s="73">
        <v>35</v>
      </c>
      <c r="C39" s="73">
        <v>0</v>
      </c>
      <c r="D39" s="104" t="str">
        <v>PAYASAM MIX 75 G</v>
      </c>
      <c r="E39" s="122" t="str">
        <v>21069099</v>
      </c>
      <c r="F39" s="73">
        <f>IF(G39="KGS",IF(B39&lt;&gt;"",IFERROR(VLOOKUP(B39,ProductList!B:AO,21,FALSE),""),""),IF(D39&lt;&gt;"",IFERROR(VLOOKUP(B39,ProductList!B:AO,24,FALSE),""),""))</f>
        <v>1920</v>
      </c>
      <c r="G39" s="6" t="s">
        <v>216</v>
      </c>
      <c r="H39" s="75">
        <f>IF(G39="KGS",IF(B39&lt;&gt;"",IFERROR(ROUND(VLOOKUP(B39,ProductList!B:BG,58,FALSE),3),""),""),IF(B39&lt;&gt;"",IFERROR(ROUND(VLOOKUP(B39,ProductList!B:BG,57,FALSE),3),""),""))</f>
        <v>0.14000000000000001</v>
      </c>
      <c r="I39" s="75">
        <f t="shared" si="0"/>
        <v>268.8</v>
      </c>
      <c r="J39" s="1">
        <f>IFERROR(VLOOKUP(B39,ProductList!B:AO,21,FALSE),"")</f>
        <v>144</v>
      </c>
      <c r="K39" s="1">
        <f>IF(G39="KGS",IF(D39&lt;&gt;"",IFERROR(ROUND(VLOOKUP(D39,ProductList!J:BG,47,FALSE),3),""),""),IF(D39&lt;&gt;"",IFERROR(ROUND(VLOOKUP(D39,ProductList!J:BG,46,FALSE),3),""),""))</f>
        <v>0.115</v>
      </c>
      <c r="L39" s="1">
        <f t="shared" si="1"/>
        <v>220.8</v>
      </c>
    </row>
    <row r="40" spans="1:12" x14ac:dyDescent="0.25">
      <c r="A40" s="304"/>
      <c r="B40" s="73">
        <v>36</v>
      </c>
      <c r="C40" s="73">
        <v>0</v>
      </c>
      <c r="D40" s="104" t="str">
        <v>MAGGI MASALA 66 G</v>
      </c>
      <c r="E40" s="122" t="str">
        <v>21069099</v>
      </c>
      <c r="F40" s="73">
        <f>IF(G40="KGS",IF(B40&lt;&gt;"",IFERROR(VLOOKUP(B40,ProductList!B:AO,21,FALSE),""),""),IF(D40&lt;&gt;"",IFERROR(VLOOKUP(B40,ProductList!B:AO,24,FALSE),""),""))</f>
        <v>60000</v>
      </c>
      <c r="G40" s="6" t="s">
        <v>216</v>
      </c>
      <c r="H40" s="75">
        <f>IF(G40="KGS",IF(B40&lt;&gt;"",IFERROR(ROUND(VLOOKUP(B40,ProductList!B:BG,58,FALSE),3),""),""),IF(B40&lt;&gt;"",IFERROR(ROUND(VLOOKUP(B40,ProductList!B:BG,57,FALSE),3),""),""))</f>
        <v>1E-3</v>
      </c>
      <c r="I40" s="75">
        <f t="shared" si="0"/>
        <v>60</v>
      </c>
      <c r="J40" s="1">
        <f>IFERROR(VLOOKUP(B40,ProductList!B:AO,21,FALSE),"")</f>
        <v>360</v>
      </c>
      <c r="K40" s="1">
        <f>IF(G40="KGS",IF(D40&lt;&gt;"",IFERROR(ROUND(VLOOKUP(D40,ProductList!J:BG,47,FALSE),3),""),""),IF(D40&lt;&gt;"",IFERROR(ROUND(VLOOKUP(D40,ProductList!J:BG,46,FALSE),3),""),""))</f>
        <v>1E-3</v>
      </c>
      <c r="L40" s="1">
        <f t="shared" si="1"/>
        <v>60</v>
      </c>
    </row>
    <row r="41" spans="1:12" x14ac:dyDescent="0.25">
      <c r="A41" s="304"/>
      <c r="B41" s="73">
        <v>37</v>
      </c>
      <c r="C41" s="73">
        <v>0</v>
      </c>
      <c r="D41" s="104" t="str">
        <v>SEERAGA RICE 1 KG</v>
      </c>
      <c r="E41" s="122" t="str">
        <v>10063011</v>
      </c>
      <c r="F41" s="73">
        <f>IF(G41="KGS",IF(B41&lt;&gt;"",IFERROR(VLOOKUP(B41,ProductList!B:AO,21,FALSE),""),""),IF(D41&lt;&gt;"",IFERROR(VLOOKUP(B41,ProductList!B:AO,24,FALSE),""),""))</f>
        <v>60</v>
      </c>
      <c r="G41" s="6" t="s">
        <v>216</v>
      </c>
      <c r="H41" s="75">
        <f>IF(G41="KGS",IF(B41&lt;&gt;"",IFERROR(ROUND(VLOOKUP(B41,ProductList!B:BG,58,FALSE),3),""),""),IF(B41&lt;&gt;"",IFERROR(ROUND(VLOOKUP(B41,ProductList!B:BG,57,FALSE),3),""),""))</f>
        <v>1.788</v>
      </c>
      <c r="I41" s="75">
        <f t="shared" si="0"/>
        <v>107.28</v>
      </c>
      <c r="J41" s="1">
        <f>IFERROR(VLOOKUP(B41,ProductList!B:AO,21,FALSE),"")</f>
        <v>60</v>
      </c>
      <c r="K41" s="1">
        <f>IF(G41="KGS",IF(D41&lt;&gt;"",IFERROR(ROUND(VLOOKUP(D41,ProductList!J:BG,47,FALSE),3),""),""),IF(D41&lt;&gt;"",IFERROR(ROUND(VLOOKUP(D41,ProductList!J:BG,46,FALSE),3),""),""))</f>
        <v>1.468</v>
      </c>
      <c r="L41" s="1">
        <f t="shared" si="1"/>
        <v>88.08</v>
      </c>
    </row>
    <row r="42" spans="1:12" x14ac:dyDescent="0.25">
      <c r="A42" s="304"/>
      <c r="B42" s="73">
        <v>38</v>
      </c>
      <c r="C42" s="73">
        <v>0</v>
      </c>
      <c r="D42" s="104" t="str">
        <v>BASMATI RICE 1 KG</v>
      </c>
      <c r="E42" s="122" t="str">
        <v>10063011</v>
      </c>
      <c r="F42" s="73">
        <f>IF(G42="KGS",IF(B42&lt;&gt;"",IFERROR(VLOOKUP(B42,ProductList!B:AO,21,FALSE),""),""),IF(D42&lt;&gt;"",IFERROR(VLOOKUP(B42,ProductList!B:AO,24,FALSE),""),""))</f>
        <v>1050</v>
      </c>
      <c r="G42" s="6" t="s">
        <v>216</v>
      </c>
      <c r="H42" s="75">
        <f>IF(G42="KGS",IF(B42&lt;&gt;"",IFERROR(ROUND(VLOOKUP(B42,ProductList!B:BG,58,FALSE),3),""),""),IF(B42&lt;&gt;"",IFERROR(ROUND(VLOOKUP(B42,ProductList!B:BG,57,FALSE),3),""),""))</f>
        <v>1.899</v>
      </c>
      <c r="I42" s="75">
        <f t="shared" si="0"/>
        <v>1993.95</v>
      </c>
      <c r="J42" s="1">
        <f>IFERROR(VLOOKUP(B42,ProductList!B:AO,21,FALSE),"")</f>
        <v>1050</v>
      </c>
      <c r="K42" s="1">
        <f>IF(G42="KGS",IF(D42&lt;&gt;"",IFERROR(ROUND(VLOOKUP(D42,ProductList!J:BG,47,FALSE),3),""),""),IF(D42&lt;&gt;"",IFERROR(ROUND(VLOOKUP(D42,ProductList!J:BG,46,FALSE),3),""),""))</f>
        <v>1.55</v>
      </c>
      <c r="L42" s="1">
        <f t="shared" si="1"/>
        <v>1627.5</v>
      </c>
    </row>
    <row r="43" spans="1:12" x14ac:dyDescent="0.25">
      <c r="A43" s="304"/>
      <c r="B43" s="73">
        <v>39</v>
      </c>
      <c r="C43" s="73">
        <v>0</v>
      </c>
      <c r="D43" s="104" t="str">
        <v xml:space="preserve">POPALAR APPALAM </v>
      </c>
      <c r="E43" s="122" t="str">
        <v>21069060</v>
      </c>
      <c r="F43" s="73">
        <f>IF(G43="KGS",IF(B43&lt;&gt;"",IFERROR(VLOOKUP(B43,ProductList!B:AO,21,FALSE),""),""),IF(D43&lt;&gt;"",IFERROR(VLOOKUP(B43,ProductList!B:AO,24,FALSE),""),""))</f>
        <v>300</v>
      </c>
      <c r="G43" s="6" t="s">
        <v>216</v>
      </c>
      <c r="H43" s="75">
        <f>IF(G43="KGS",IF(B43&lt;&gt;"",IFERROR(ROUND(VLOOKUP(B43,ProductList!B:BG,58,FALSE),3),""),""),IF(B43&lt;&gt;"",IFERROR(ROUND(VLOOKUP(B43,ProductList!B:BG,57,FALSE),3),""),""))</f>
        <v>1.2629999999999999</v>
      </c>
      <c r="I43" s="75">
        <f t="shared" si="0"/>
        <v>378.9</v>
      </c>
      <c r="J43" s="1">
        <f>IFERROR(VLOOKUP(B43,ProductList!B:AO,21,FALSE),"")</f>
        <v>60</v>
      </c>
      <c r="K43" s="1">
        <f>IF(G43="KGS",IF(D43&lt;&gt;"",IFERROR(ROUND(VLOOKUP(D43,ProductList!J:BG,47,FALSE),3),""),""),IF(D43&lt;&gt;"",IFERROR(ROUND(VLOOKUP(D43,ProductList!J:BG,46,FALSE),3),""),""))</f>
        <v>1.0369999999999999</v>
      </c>
      <c r="L43" s="1">
        <f t="shared" si="1"/>
        <v>311.09999999999997</v>
      </c>
    </row>
    <row r="44" spans="1:12" x14ac:dyDescent="0.25">
      <c r="A44" s="304"/>
      <c r="B44" s="73">
        <v>40</v>
      </c>
      <c r="C44" s="73">
        <v>0</v>
      </c>
      <c r="D44" s="104" t="str">
        <v xml:space="preserve">GIFT BAGS </v>
      </c>
      <c r="E44" s="122" t="str">
        <v>48194090</v>
      </c>
      <c r="F44" s="73">
        <f>IF(G44="KGS",IF(B44&lt;&gt;"",IFERROR(VLOOKUP(B44,ProductList!B:AO,21,FALSE),""),""),IF(D44&lt;&gt;"",IFERROR(VLOOKUP(B44,ProductList!B:AO,24,FALSE),""),""))</f>
        <v>1</v>
      </c>
      <c r="G44" s="6" t="s">
        <v>216</v>
      </c>
      <c r="H44" s="75">
        <f>IF(G44="KGS",IF(B44&lt;&gt;"",IFERROR(ROUND(VLOOKUP(B44,ProductList!B:BG,58,FALSE),3),""),""),IF(B44&lt;&gt;"",IFERROR(ROUND(VLOOKUP(B44,ProductList!B:BG,57,FALSE),3),""),""))</f>
        <v>5</v>
      </c>
      <c r="I44" s="75">
        <f t="shared" si="0"/>
        <v>5</v>
      </c>
      <c r="J44" s="1">
        <f>IFERROR(VLOOKUP(B44,ProductList!B:AO,21,FALSE),"")</f>
        <v>9.5</v>
      </c>
      <c r="K44" s="1">
        <f>IF(G44="KGS",IF(D44&lt;&gt;"",IFERROR(ROUND(VLOOKUP(D44,ProductList!J:BG,47,FALSE),3),""),""),IF(D44&lt;&gt;"",IFERROR(ROUND(VLOOKUP(D44,ProductList!J:BG,46,FALSE),3),""),""))</f>
        <v>4.0999999999999996</v>
      </c>
      <c r="L44" s="1">
        <f t="shared" si="1"/>
        <v>4.0999999999999996</v>
      </c>
    </row>
    <row r="45" spans="1:12" x14ac:dyDescent="0.25">
      <c r="A45" s="304"/>
      <c r="B45" s="73">
        <v>41</v>
      </c>
      <c r="C45" s="73">
        <v>0</v>
      </c>
      <c r="D45" s="104" t="str">
        <v>PLATES</v>
      </c>
      <c r="E45" s="122" t="str">
        <v>73239900</v>
      </c>
      <c r="F45" s="73">
        <f>IF(G45="KGS",IF(B45&lt;&gt;"",IFERROR(VLOOKUP(B45,ProductList!B:AO,21,FALSE),""),""),IF(D45&lt;&gt;"",IFERROR(VLOOKUP(B45,ProductList!B:AO,24,FALSE),""),""))</f>
        <v>500</v>
      </c>
      <c r="G45" s="6" t="s">
        <v>216</v>
      </c>
      <c r="H45" s="75">
        <f>IF(G45="KGS",IF(B45&lt;&gt;"",IFERROR(ROUND(VLOOKUP(B45,ProductList!B:BG,58,FALSE),3),""),""),IF(B45&lt;&gt;"",IFERROR(ROUND(VLOOKUP(B45,ProductList!B:BG,57,FALSE),3),""),""))</f>
        <v>0.55200000000000005</v>
      </c>
      <c r="I45" s="75">
        <f t="shared" si="0"/>
        <v>276</v>
      </c>
      <c r="J45" s="1">
        <f>IFERROR(VLOOKUP(B45,ProductList!B:AO,21,FALSE),"")</f>
        <v>52</v>
      </c>
      <c r="K45" s="1">
        <f>IF(G45="KGS",IF(D45&lt;&gt;"",IFERROR(ROUND(VLOOKUP(D45,ProductList!J:BG,47,FALSE),3),""),""),IF(D45&lt;&gt;"",IFERROR(ROUND(VLOOKUP(D45,ProductList!J:BG,46,FALSE),3),""),""))</f>
        <v>0.45300000000000001</v>
      </c>
      <c r="L45" s="1">
        <f t="shared" si="1"/>
        <v>226.5</v>
      </c>
    </row>
    <row r="46" spans="1:12" x14ac:dyDescent="0.25">
      <c r="A46" s="304"/>
      <c r="B46" s="73">
        <v>42</v>
      </c>
      <c r="C46" s="73">
        <v>0</v>
      </c>
      <c r="D46" s="104" t="str">
        <v>CORNFLAKES MIXTURE STANDY POUCH 200 GM</v>
      </c>
      <c r="E46" s="122" t="str">
        <v>21069099</v>
      </c>
      <c r="F46" s="73">
        <f>IF(G46="KGS",IF(B46&lt;&gt;"",IFERROR(VLOOKUP(B46,ProductList!B:AO,21,FALSE),""),""),IF(D46&lt;&gt;"",IFERROR(VLOOKUP(B46,ProductList!B:AO,24,FALSE),""),""))</f>
        <v>96</v>
      </c>
      <c r="G46" s="6" t="s">
        <v>216</v>
      </c>
      <c r="H46" s="75">
        <f>IF(G46="KGS",IF(B46&lt;&gt;"",IFERROR(ROUND(VLOOKUP(B46,ProductList!B:BG,58,FALSE),3),""),""),IF(B46&lt;&gt;"",IFERROR(ROUND(VLOOKUP(B46,ProductList!B:BG,57,FALSE),3),""),""))</f>
        <v>0.69</v>
      </c>
      <c r="I46" s="75">
        <f t="shared" si="0"/>
        <v>66.239999999999995</v>
      </c>
      <c r="J46" s="1">
        <f>IFERROR(VLOOKUP(B46,ProductList!B:AO,21,FALSE),"")</f>
        <v>19.2</v>
      </c>
      <c r="K46" s="1">
        <f>IF(G46="KGS",IF(D46&lt;&gt;"",IFERROR(ROUND(VLOOKUP(D46,ProductList!J:BG,47,FALSE),3),""),""),IF(D46&lt;&gt;"",IFERROR(ROUND(VLOOKUP(D46,ProductList!J:BG,46,FALSE),3),""),""))</f>
        <v>0.56699999999999995</v>
      </c>
      <c r="L46" s="1">
        <f t="shared" si="1"/>
        <v>54.431999999999995</v>
      </c>
    </row>
    <row r="47" spans="1:12" x14ac:dyDescent="0.25">
      <c r="A47" s="304"/>
      <c r="B47" s="73">
        <v>43</v>
      </c>
      <c r="C47" s="73">
        <v>0</v>
      </c>
      <c r="D47" s="104" t="str">
        <v xml:space="preserve">BHUJIA SEV 200 GM </v>
      </c>
      <c r="E47" s="122" t="str">
        <v>21069099</v>
      </c>
      <c r="F47" s="73">
        <f>IF(G47="KGS",IF(B47&lt;&gt;"",IFERROR(VLOOKUP(B47,ProductList!B:AO,21,FALSE),""),""),IF(D47&lt;&gt;"",IFERROR(VLOOKUP(B47,ProductList!B:AO,24,FALSE),""),""))</f>
        <v>300</v>
      </c>
      <c r="G47" s="6" t="s">
        <v>216</v>
      </c>
      <c r="H47" s="75">
        <f>IF(G47="KGS",IF(B47&lt;&gt;"",IFERROR(ROUND(VLOOKUP(B47,ProductList!B:BG,58,FALSE),3),""),""),IF(B47&lt;&gt;"",IFERROR(ROUND(VLOOKUP(B47,ProductList!B:BG,57,FALSE),3),""),""))</f>
        <v>0.52</v>
      </c>
      <c r="I47" s="75">
        <f t="shared" si="0"/>
        <v>156</v>
      </c>
      <c r="J47" s="1">
        <f>IFERROR(VLOOKUP(B47,ProductList!B:AO,21,FALSE),"")</f>
        <v>60</v>
      </c>
      <c r="K47" s="1">
        <f>IF(G47="KGS",IF(D47&lt;&gt;"",IFERROR(ROUND(VLOOKUP(D47,ProductList!J:BG,47,FALSE),3),""),""),IF(D47&lt;&gt;"",IFERROR(ROUND(VLOOKUP(D47,ProductList!J:BG,46,FALSE),3),""),""))</f>
        <v>0.42699999999999999</v>
      </c>
      <c r="L47" s="1">
        <f t="shared" si="1"/>
        <v>128.1</v>
      </c>
    </row>
    <row r="48" spans="1:12" x14ac:dyDescent="0.25">
      <c r="A48" s="304"/>
      <c r="B48" s="73">
        <v>44</v>
      </c>
      <c r="C48" s="73">
        <v>0</v>
      </c>
      <c r="D48" s="104" t="str">
        <v xml:space="preserve">BHELPURI 270 GM </v>
      </c>
      <c r="E48" s="122" t="str">
        <v>21069099</v>
      </c>
      <c r="F48" s="73">
        <f>IF(G48="KGS",IF(B48&lt;&gt;"",IFERROR(VLOOKUP(B48,ProductList!B:AO,21,FALSE),""),""),IF(D48&lt;&gt;"",IFERROR(VLOOKUP(B48,ProductList!B:AO,24,FALSE),""),""))</f>
        <v>240</v>
      </c>
      <c r="G48" s="6" t="s">
        <v>216</v>
      </c>
      <c r="H48" s="75">
        <f>IF(G48="KGS",IF(B48&lt;&gt;"",IFERROR(ROUND(VLOOKUP(B48,ProductList!B:BG,58,FALSE),3),""),""),IF(B48&lt;&gt;"",IFERROR(ROUND(VLOOKUP(B48,ProductList!B:BG,57,FALSE),3),""),""))</f>
        <v>0.61</v>
      </c>
      <c r="I48" s="75">
        <f t="shared" si="0"/>
        <v>146.4</v>
      </c>
      <c r="J48" s="1">
        <f>IFERROR(VLOOKUP(B48,ProductList!B:AO,21,FALSE),"")</f>
        <v>64.800000000000011</v>
      </c>
      <c r="K48" s="1">
        <f>IF(G48="KGS",IF(D48&lt;&gt;"",IFERROR(ROUND(VLOOKUP(D48,ProductList!J:BG,47,FALSE),3),""),""),IF(D48&lt;&gt;"",IFERROR(ROUND(VLOOKUP(D48,ProductList!J:BG,46,FALSE),3),""),""))</f>
        <v>0.501</v>
      </c>
      <c r="L48" s="1">
        <f t="shared" si="1"/>
        <v>120.24</v>
      </c>
    </row>
    <row r="49" spans="1:12" x14ac:dyDescent="0.25">
      <c r="A49" s="304"/>
      <c r="B49" s="73">
        <v>45</v>
      </c>
      <c r="C49" s="73">
        <v>0</v>
      </c>
      <c r="D49" s="104" t="str">
        <v xml:space="preserve">KHARI BOONDI 200 GM </v>
      </c>
      <c r="E49" s="122" t="str">
        <v>21069099</v>
      </c>
      <c r="F49" s="73">
        <f>IF(G49="KGS",IF(B49&lt;&gt;"",IFERROR(VLOOKUP(B49,ProductList!B:AO,21,FALSE),""),""),IF(D49&lt;&gt;"",IFERROR(VLOOKUP(B49,ProductList!B:AO,24,FALSE),""),""))</f>
        <v>240</v>
      </c>
      <c r="G49" s="6" t="s">
        <v>216</v>
      </c>
      <c r="H49" s="75">
        <f>IF(G49="KGS",IF(B49&lt;&gt;"",IFERROR(ROUND(VLOOKUP(B49,ProductList!B:BG,58,FALSE),3),""),""),IF(B49&lt;&gt;"",IFERROR(ROUND(VLOOKUP(B49,ProductList!B:BG,57,FALSE),3),""),""))</f>
        <v>0.48</v>
      </c>
      <c r="I49" s="75">
        <f t="shared" si="0"/>
        <v>115.2</v>
      </c>
      <c r="J49" s="1">
        <f>IFERROR(VLOOKUP(B49,ProductList!B:AO,21,FALSE),"")</f>
        <v>48</v>
      </c>
      <c r="K49" s="1">
        <f>IF(G49="KGS",IF(D49&lt;&gt;"",IFERROR(ROUND(VLOOKUP(D49,ProductList!J:BG,47,FALSE),3),""),""),IF(D49&lt;&gt;"",IFERROR(ROUND(VLOOKUP(D49,ProductList!J:BG,46,FALSE),3),""),""))</f>
        <v>0.39400000000000002</v>
      </c>
      <c r="L49" s="1">
        <f t="shared" si="1"/>
        <v>94.56</v>
      </c>
    </row>
    <row r="50" spans="1:12" x14ac:dyDescent="0.25">
      <c r="A50" s="304"/>
      <c r="B50" s="73">
        <v>46</v>
      </c>
      <c r="C50" s="73">
        <v>0</v>
      </c>
      <c r="D50" s="104" t="str">
        <v xml:space="preserve">NAVRATAN MIX 200 GM </v>
      </c>
      <c r="E50" s="122" t="str">
        <v>21069099</v>
      </c>
      <c r="F50" s="73">
        <f>IF(G50="KGS",IF(B50&lt;&gt;"",IFERROR(VLOOKUP(B50,ProductList!B:AO,21,FALSE),""),""),IF(D50&lt;&gt;"",IFERROR(VLOOKUP(B50,ProductList!B:AO,24,FALSE),""),""))</f>
        <v>120</v>
      </c>
      <c r="G50" s="6" t="s">
        <v>216</v>
      </c>
      <c r="H50" s="75">
        <f>IF(G50="KGS",IF(B50&lt;&gt;"",IFERROR(ROUND(VLOOKUP(B50,ProductList!B:BG,58,FALSE),3),""),""),IF(B50&lt;&gt;"",IFERROR(ROUND(VLOOKUP(B50,ProductList!B:BG,57,FALSE),3),""),""))</f>
        <v>0.52</v>
      </c>
      <c r="I50" s="75">
        <f t="shared" si="0"/>
        <v>62.4</v>
      </c>
      <c r="J50" s="1">
        <f>IFERROR(VLOOKUP(B50,ProductList!B:AO,21,FALSE),"")</f>
        <v>24</v>
      </c>
      <c r="K50" s="1">
        <f>IF(G50="KGS",IF(D50&lt;&gt;"",IFERROR(ROUND(VLOOKUP(D50,ProductList!J:BG,47,FALSE),3),""),""),IF(D50&lt;&gt;"",IFERROR(ROUND(VLOOKUP(D50,ProductList!J:BG,46,FALSE),3),""),""))</f>
        <v>0.42699999999999999</v>
      </c>
      <c r="L50" s="1">
        <f t="shared" si="1"/>
        <v>51.24</v>
      </c>
    </row>
    <row r="51" spans="1:12" x14ac:dyDescent="0.25">
      <c r="A51" s="304"/>
      <c r="B51" s="73">
        <v>47</v>
      </c>
      <c r="C51" s="73">
        <v>0</v>
      </c>
      <c r="D51" s="104" t="str">
        <v xml:space="preserve">ALL IN ONE 200 GM </v>
      </c>
      <c r="E51" s="122" t="str">
        <v>21069099</v>
      </c>
      <c r="F51" s="73">
        <f>IF(G51="KGS",IF(B51&lt;&gt;"",IFERROR(VLOOKUP(B51,ProductList!B:AO,21,FALSE),""),""),IF(D51&lt;&gt;"",IFERROR(VLOOKUP(B51,ProductList!B:AO,24,FALSE),""),""))</f>
        <v>300</v>
      </c>
      <c r="G51" s="6" t="s">
        <v>216</v>
      </c>
      <c r="H51" s="75">
        <f>IF(G51="KGS",IF(B51&lt;&gt;"",IFERROR(ROUND(VLOOKUP(B51,ProductList!B:BG,58,FALSE),3),""),""),IF(B51&lt;&gt;"",IFERROR(ROUND(VLOOKUP(B51,ProductList!B:BG,57,FALSE),3),""),""))</f>
        <v>0.52</v>
      </c>
      <c r="I51" s="75">
        <f t="shared" si="0"/>
        <v>156</v>
      </c>
      <c r="J51" s="1">
        <f>IFERROR(VLOOKUP(B51,ProductList!B:AO,21,FALSE),"")</f>
        <v>60</v>
      </c>
      <c r="K51" s="1">
        <f>IF(G51="KGS",IF(D51&lt;&gt;"",IFERROR(ROUND(VLOOKUP(D51,ProductList!J:BG,47,FALSE),3),""),""),IF(D51&lt;&gt;"",IFERROR(ROUND(VLOOKUP(D51,ProductList!J:BG,46,FALSE),3),""),""))</f>
        <v>0.42699999999999999</v>
      </c>
      <c r="L51" s="1">
        <f t="shared" si="1"/>
        <v>128.1</v>
      </c>
    </row>
    <row r="52" spans="1:12" x14ac:dyDescent="0.25">
      <c r="A52" s="304"/>
      <c r="B52" s="73">
        <v>48</v>
      </c>
      <c r="C52" s="73">
        <v>0</v>
      </c>
      <c r="D52" s="104" t="str">
        <v xml:space="preserve">ALOO BHUJIA 200GM </v>
      </c>
      <c r="E52" s="122" t="str">
        <v>21069099</v>
      </c>
      <c r="F52" s="73">
        <f>IF(G52="KGS",IF(B52&lt;&gt;"",IFERROR(VLOOKUP(B52,ProductList!B:AO,21,FALSE),""),""),IF(D52&lt;&gt;"",IFERROR(VLOOKUP(B52,ProductList!B:AO,24,FALSE),""),""))</f>
        <v>150</v>
      </c>
      <c r="G52" s="6" t="s">
        <v>216</v>
      </c>
      <c r="H52" s="75">
        <f>IF(G52="KGS",IF(B52&lt;&gt;"",IFERROR(ROUND(VLOOKUP(B52,ProductList!B:BG,58,FALSE),3),""),""),IF(B52&lt;&gt;"",IFERROR(ROUND(VLOOKUP(B52,ProductList!B:BG,57,FALSE),3),""),""))</f>
        <v>0.48</v>
      </c>
      <c r="I52" s="75">
        <f t="shared" si="0"/>
        <v>72</v>
      </c>
      <c r="J52" s="1">
        <f>IFERROR(VLOOKUP(B52,ProductList!B:AO,21,FALSE),"")</f>
        <v>30</v>
      </c>
      <c r="K52" s="1">
        <f>IF(G52="KGS",IF(D52&lt;&gt;"",IFERROR(ROUND(VLOOKUP(D52,ProductList!J:BG,47,FALSE),3),""),""),IF(D52&lt;&gt;"",IFERROR(ROUND(VLOOKUP(D52,ProductList!J:BG,46,FALSE),3),""),""))</f>
        <v>0.39400000000000002</v>
      </c>
      <c r="L52" s="1">
        <f t="shared" si="1"/>
        <v>59.1</v>
      </c>
    </row>
    <row r="53" spans="1:12" x14ac:dyDescent="0.25">
      <c r="A53" s="304"/>
      <c r="B53" s="73">
        <v>49</v>
      </c>
      <c r="C53" s="73">
        <v>0</v>
      </c>
      <c r="D53" s="104" t="str">
        <v xml:space="preserve">KHATTA MEETHA 200 GM </v>
      </c>
      <c r="E53" s="122" t="str">
        <v>21069099</v>
      </c>
      <c r="F53" s="73">
        <f>IF(G53="KGS",IF(B53&lt;&gt;"",IFERROR(VLOOKUP(B53,ProductList!B:AO,21,FALSE),""),""),IF(D53&lt;&gt;"",IFERROR(VLOOKUP(B53,ProductList!B:AO,24,FALSE),""),""))</f>
        <v>150</v>
      </c>
      <c r="G53" s="6" t="s">
        <v>216</v>
      </c>
      <c r="H53" s="75">
        <f>IF(G53="KGS",IF(B53&lt;&gt;"",IFERROR(ROUND(VLOOKUP(B53,ProductList!B:BG,58,FALSE),3),""),""),IF(B53&lt;&gt;"",IFERROR(ROUND(VLOOKUP(B53,ProductList!B:BG,57,FALSE),3),""),""))</f>
        <v>0.43</v>
      </c>
      <c r="I53" s="75">
        <f t="shared" si="0"/>
        <v>64.5</v>
      </c>
      <c r="J53" s="1">
        <f>IFERROR(VLOOKUP(B53,ProductList!B:AO,21,FALSE),"")</f>
        <v>30</v>
      </c>
      <c r="K53" s="1">
        <f>IF(G53="KGS",IF(D53&lt;&gt;"",IFERROR(ROUND(VLOOKUP(D53,ProductList!J:BG,47,FALSE),3),""),""),IF(D53&lt;&gt;"",IFERROR(ROUND(VLOOKUP(D53,ProductList!J:BG,46,FALSE),3),""),""))</f>
        <v>0.35299999999999998</v>
      </c>
      <c r="L53" s="1">
        <f t="shared" si="1"/>
        <v>52.949999999999996</v>
      </c>
    </row>
    <row r="54" spans="1:12" x14ac:dyDescent="0.25">
      <c r="A54" s="304"/>
      <c r="B54" s="73">
        <v>50</v>
      </c>
      <c r="C54" s="73">
        <v>0</v>
      </c>
      <c r="D54" s="104" t="str">
        <v xml:space="preserve">SALTED PEANUTS 200 GM </v>
      </c>
      <c r="E54" s="122" t="str">
        <v>21069099</v>
      </c>
      <c r="F54" s="73">
        <f>IF(G54="KGS",IF(B54&lt;&gt;"",IFERROR(VLOOKUP(B54,ProductList!B:AO,21,FALSE),""),""),IF(D54&lt;&gt;"",IFERROR(VLOOKUP(B54,ProductList!B:AO,24,FALSE),""),""))</f>
        <v>240</v>
      </c>
      <c r="G54" s="6" t="s">
        <v>216</v>
      </c>
      <c r="H54" s="75">
        <f>IF(G54="KGS",IF(B54&lt;&gt;"",IFERROR(ROUND(VLOOKUP(B54,ProductList!B:BG,58,FALSE),3),""),""),IF(B54&lt;&gt;"",IFERROR(ROUND(VLOOKUP(B54,ProductList!B:BG,57,FALSE),3),""),""))</f>
        <v>0.48</v>
      </c>
      <c r="I54" s="75">
        <f t="shared" si="0"/>
        <v>115.2</v>
      </c>
      <c r="J54" s="1">
        <f>IFERROR(VLOOKUP(B54,ProductList!B:AO,21,FALSE),"")</f>
        <v>48</v>
      </c>
      <c r="K54" s="1">
        <f>IF(G54="KGS",IF(D54&lt;&gt;"",IFERROR(ROUND(VLOOKUP(D54,ProductList!J:BG,47,FALSE),3),""),""),IF(D54&lt;&gt;"",IFERROR(ROUND(VLOOKUP(D54,ProductList!J:BG,46,FALSE),3),""),""))</f>
        <v>0.39400000000000002</v>
      </c>
      <c r="L54" s="1">
        <f t="shared" si="1"/>
        <v>94.56</v>
      </c>
    </row>
    <row r="55" spans="1:12" x14ac:dyDescent="0.25">
      <c r="A55" s="304"/>
      <c r="B55" s="73">
        <v>51</v>
      </c>
      <c r="C55" s="73">
        <v>0</v>
      </c>
      <c r="D55" s="104" t="str">
        <v xml:space="preserve">DAL BIJI 200 GM </v>
      </c>
      <c r="E55" s="122" t="str">
        <v>21069099</v>
      </c>
      <c r="F55" s="73">
        <f>IF(G55="KGS",IF(B55&lt;&gt;"",IFERROR(VLOOKUP(B55,ProductList!B:AO,21,FALSE),""),""),IF(D55&lt;&gt;"",IFERROR(VLOOKUP(B55,ProductList!B:AO,24,FALSE),""),""))</f>
        <v>72</v>
      </c>
      <c r="G55" s="6" t="s">
        <v>216</v>
      </c>
      <c r="H55" s="75">
        <f>IF(G55="KGS",IF(B55&lt;&gt;"",IFERROR(ROUND(VLOOKUP(B55,ProductList!B:BG,58,FALSE),3),""),""),IF(B55&lt;&gt;"",IFERROR(ROUND(VLOOKUP(B55,ProductList!B:BG,57,FALSE),3),""),""))</f>
        <v>0.43</v>
      </c>
      <c r="I55" s="75">
        <f t="shared" si="0"/>
        <v>30.96</v>
      </c>
      <c r="J55" s="1">
        <f>IFERROR(VLOOKUP(B55,ProductList!B:AO,21,FALSE),"")</f>
        <v>14.399999999999999</v>
      </c>
      <c r="K55" s="1">
        <f>IF(G55="KGS",IF(D55&lt;&gt;"",IFERROR(ROUND(VLOOKUP(D55,ProductList!J:BG,47,FALSE),3),""),""),IF(D55&lt;&gt;"",IFERROR(ROUND(VLOOKUP(D55,ProductList!J:BG,46,FALSE),3),""),""))</f>
        <v>0.35299999999999998</v>
      </c>
      <c r="L55" s="1">
        <f t="shared" si="1"/>
        <v>25.415999999999997</v>
      </c>
    </row>
    <row r="56" spans="1:12" x14ac:dyDescent="0.25">
      <c r="A56" s="304"/>
      <c r="B56" s="73">
        <v>52</v>
      </c>
      <c r="C56" s="73">
        <v>0</v>
      </c>
      <c r="D56" s="104" t="str">
        <v xml:space="preserve">GOLDEN MIXTURE 200 GM </v>
      </c>
      <c r="E56" s="122" t="str">
        <v>21069099</v>
      </c>
      <c r="F56" s="73">
        <f>IF(G56="KGS",IF(B56&lt;&gt;"",IFERROR(VLOOKUP(B56,ProductList!B:AO,21,FALSE),""),""),IF(D56&lt;&gt;"",IFERROR(VLOOKUP(B56,ProductList!B:AO,24,FALSE),""),""))</f>
        <v>48</v>
      </c>
      <c r="G56" s="6" t="s">
        <v>216</v>
      </c>
      <c r="H56" s="75">
        <f>IF(G56="KGS",IF(B56&lt;&gt;"",IFERROR(ROUND(VLOOKUP(B56,ProductList!B:BG,58,FALSE),3),""),""),IF(B56&lt;&gt;"",IFERROR(ROUND(VLOOKUP(B56,ProductList!B:BG,57,FALSE),3),""),""))</f>
        <v>0.43</v>
      </c>
      <c r="I56" s="75">
        <f t="shared" si="0"/>
        <v>20.64</v>
      </c>
      <c r="J56" s="1">
        <f>IFERROR(VLOOKUP(B56,ProductList!B:AO,21,FALSE),"")</f>
        <v>9.6</v>
      </c>
      <c r="K56" s="1">
        <f>IF(G56="KGS",IF(D56&lt;&gt;"",IFERROR(ROUND(VLOOKUP(D56,ProductList!J:BG,47,FALSE),3),""),""),IF(D56&lt;&gt;"",IFERROR(ROUND(VLOOKUP(D56,ProductList!J:BG,46,FALSE),3),""),""))</f>
        <v>0.35299999999999998</v>
      </c>
      <c r="L56" s="1">
        <f t="shared" si="1"/>
        <v>16.943999999999999</v>
      </c>
    </row>
    <row r="57" spans="1:12" x14ac:dyDescent="0.25">
      <c r="A57" s="304"/>
      <c r="B57" s="73">
        <v>53</v>
      </c>
      <c r="C57" s="73">
        <v>0</v>
      </c>
      <c r="D57" s="104" t="str">
        <v xml:space="preserve">MURUKKU (CHAKOLI) 200 GM </v>
      </c>
      <c r="E57" s="122" t="str">
        <v>21069099</v>
      </c>
      <c r="F57" s="73">
        <f>IF(G57="KGS",IF(B57&lt;&gt;"",IFERROR(VLOOKUP(B57,ProductList!B:AO,21,FALSE),""),""),IF(D57&lt;&gt;"",IFERROR(VLOOKUP(B57,ProductList!B:AO,24,FALSE),""),""))</f>
        <v>48</v>
      </c>
      <c r="G57" s="6" t="s">
        <v>216</v>
      </c>
      <c r="H57" s="75">
        <f>IF(G57="KGS",IF(B57&lt;&gt;"",IFERROR(ROUND(VLOOKUP(B57,ProductList!B:BG,58,FALSE),3),""),""),IF(B57&lt;&gt;"",IFERROR(ROUND(VLOOKUP(B57,ProductList!B:BG,57,FALSE),3),""),""))</f>
        <v>0.56000000000000005</v>
      </c>
      <c r="I57" s="75">
        <f t="shared" si="0"/>
        <v>26.88</v>
      </c>
      <c r="J57" s="1">
        <f>IFERROR(VLOOKUP(B57,ProductList!B:AO,21,FALSE),"")</f>
        <v>9.6</v>
      </c>
      <c r="K57" s="1">
        <f>IF(G57="KGS",IF(D57&lt;&gt;"",IFERROR(ROUND(VLOOKUP(D57,ProductList!J:BG,47,FALSE),3),""),""),IF(D57&lt;&gt;"",IFERROR(ROUND(VLOOKUP(D57,ProductList!J:BG,46,FALSE),3),""),""))</f>
        <v>0.46</v>
      </c>
      <c r="L57" s="1">
        <f t="shared" si="1"/>
        <v>22.080000000000002</v>
      </c>
    </row>
    <row r="58" spans="1:12" x14ac:dyDescent="0.25">
      <c r="A58" s="304"/>
      <c r="B58" s="73">
        <v>54</v>
      </c>
      <c r="C58" s="73">
        <v>0</v>
      </c>
      <c r="D58" s="104" t="str">
        <v xml:space="preserve">PUNJABI TADKA 200 GM </v>
      </c>
      <c r="E58" s="122" t="str">
        <v>21069099</v>
      </c>
      <c r="F58" s="73">
        <f>IF(G58="KGS",IF(B58&lt;&gt;"",IFERROR(VLOOKUP(B58,ProductList!B:AO,21,FALSE),""),""),IF(D58&lt;&gt;"",IFERROR(VLOOKUP(B58,ProductList!B:AO,24,FALSE),""),""))</f>
        <v>72</v>
      </c>
      <c r="G58" s="6" t="s">
        <v>216</v>
      </c>
      <c r="H58" s="75">
        <f>IF(G58="KGS",IF(B58&lt;&gt;"",IFERROR(ROUND(VLOOKUP(B58,ProductList!B:BG,58,FALSE),3),""),""),IF(B58&lt;&gt;"",IFERROR(ROUND(VLOOKUP(B58,ProductList!B:BG,57,FALSE),3),""),""))</f>
        <v>0.48</v>
      </c>
      <c r="I58" s="75">
        <f t="shared" si="0"/>
        <v>34.56</v>
      </c>
      <c r="J58" s="1">
        <f>IFERROR(VLOOKUP(B58,ProductList!B:AO,21,FALSE),"")</f>
        <v>14.399999999999999</v>
      </c>
      <c r="K58" s="1">
        <f>IF(G58="KGS",IF(D58&lt;&gt;"",IFERROR(ROUND(VLOOKUP(D58,ProductList!J:BG,47,FALSE),3),""),""),IF(D58&lt;&gt;"",IFERROR(ROUND(VLOOKUP(D58,ProductList!J:BG,46,FALSE),3),""),""))</f>
        <v>0.39400000000000002</v>
      </c>
      <c r="L58" s="1">
        <f t="shared" si="1"/>
        <v>28.368000000000002</v>
      </c>
    </row>
    <row r="59" spans="1:12" x14ac:dyDescent="0.25">
      <c r="A59" s="304"/>
      <c r="B59" s="73">
        <v>55</v>
      </c>
      <c r="C59" s="73">
        <v>0</v>
      </c>
      <c r="D59" s="104" t="str">
        <v xml:space="preserve">RATLAMI SEV 200 GM </v>
      </c>
      <c r="E59" s="122" t="str">
        <v>21069099</v>
      </c>
      <c r="F59" s="73">
        <f>IF(G59="KGS",IF(B59&lt;&gt;"",IFERROR(VLOOKUP(B59,ProductList!B:AO,21,FALSE),""),""),IF(D59&lt;&gt;"",IFERROR(VLOOKUP(B59,ProductList!B:AO,24,FALSE),""),""))</f>
        <v>120</v>
      </c>
      <c r="G59" s="6" t="s">
        <v>216</v>
      </c>
      <c r="H59" s="75">
        <f>IF(G59="KGS",IF(B59&lt;&gt;"",IFERROR(ROUND(VLOOKUP(B59,ProductList!B:BG,58,FALSE),3),""),""),IF(B59&lt;&gt;"",IFERROR(ROUND(VLOOKUP(B59,ProductList!B:BG,57,FALSE),3),""),""))</f>
        <v>0.43</v>
      </c>
      <c r="I59" s="75">
        <f t="shared" si="0"/>
        <v>51.6</v>
      </c>
      <c r="J59" s="1">
        <f>IFERROR(VLOOKUP(B59,ProductList!B:AO,21,FALSE),"")</f>
        <v>24</v>
      </c>
      <c r="K59" s="1">
        <f>IF(G59="KGS",IF(D59&lt;&gt;"",IFERROR(ROUND(VLOOKUP(D59,ProductList!J:BG,47,FALSE),3),""),""),IF(D59&lt;&gt;"",IFERROR(ROUND(VLOOKUP(D59,ProductList!J:BG,46,FALSE),3),""),""))</f>
        <v>0.35299999999999998</v>
      </c>
      <c r="L59" s="1">
        <f t="shared" si="1"/>
        <v>42.36</v>
      </c>
    </row>
    <row r="60" spans="1:12" x14ac:dyDescent="0.25">
      <c r="A60" s="304"/>
      <c r="B60" s="73">
        <v>56</v>
      </c>
      <c r="C60" s="73">
        <v>0</v>
      </c>
      <c r="D60" s="104" t="str">
        <v xml:space="preserve">PAPAD CHAVANU 200 GM </v>
      </c>
      <c r="E60" s="122" t="str">
        <v>21069099</v>
      </c>
      <c r="F60" s="73">
        <f>IF(G60="KGS",IF(B60&lt;&gt;"",IFERROR(VLOOKUP(B60,ProductList!B:AO,21,FALSE),""),""),IF(D60&lt;&gt;"",IFERROR(VLOOKUP(B60,ProductList!B:AO,24,FALSE),""),""))</f>
        <v>48</v>
      </c>
      <c r="G60" s="6" t="s">
        <v>216</v>
      </c>
      <c r="H60" s="75">
        <f>IF(G60="KGS",IF(B60&lt;&gt;"",IFERROR(ROUND(VLOOKUP(B60,ProductList!B:BG,58,FALSE),3),""),""),IF(B60&lt;&gt;"",IFERROR(ROUND(VLOOKUP(B60,ProductList!B:BG,57,FALSE),3),""),""))</f>
        <v>0.39</v>
      </c>
      <c r="I60" s="75">
        <f t="shared" si="0"/>
        <v>18.72</v>
      </c>
      <c r="J60" s="1">
        <f>IFERROR(VLOOKUP(B60,ProductList!B:AO,21,FALSE),"")</f>
        <v>9.6</v>
      </c>
      <c r="K60" s="1">
        <f>IF(G60="KGS",IF(D60&lt;&gt;"",IFERROR(ROUND(VLOOKUP(D60,ProductList!J:BG,47,FALSE),3),""),""),IF(D60&lt;&gt;"",IFERROR(ROUND(VLOOKUP(D60,ProductList!J:BG,46,FALSE),3),""),""))</f>
        <v>0.32</v>
      </c>
      <c r="L60" s="1">
        <f t="shared" si="1"/>
        <v>15.36</v>
      </c>
    </row>
    <row r="61" spans="1:12" x14ac:dyDescent="0.25">
      <c r="A61" s="304"/>
      <c r="B61" s="73">
        <v>57</v>
      </c>
      <c r="C61" s="73">
        <v>0</v>
      </c>
      <c r="D61" s="104" t="str">
        <v xml:space="preserve">PANCHRATAN MIXTURE 200 GM </v>
      </c>
      <c r="E61" s="122" t="str">
        <v>21069099</v>
      </c>
      <c r="F61" s="73">
        <f>IF(G61="KGS",IF(B61&lt;&gt;"",IFERROR(VLOOKUP(B61,ProductList!B:AO,21,FALSE),""),""),IF(D61&lt;&gt;"",IFERROR(VLOOKUP(B61,ProductList!B:AO,24,FALSE),""),""))</f>
        <v>120</v>
      </c>
      <c r="G61" s="6" t="s">
        <v>216</v>
      </c>
      <c r="H61" s="75">
        <f>IF(G61="KGS",IF(B61&lt;&gt;"",IFERROR(ROUND(VLOOKUP(B61,ProductList!B:BG,58,FALSE),3),""),""),IF(B61&lt;&gt;"",IFERROR(ROUND(VLOOKUP(B61,ProductList!B:BG,57,FALSE),3),""),""))</f>
        <v>0.78</v>
      </c>
      <c r="I61" s="75">
        <f t="shared" si="0"/>
        <v>93.6</v>
      </c>
      <c r="J61" s="1">
        <f>IFERROR(VLOOKUP(B61,ProductList!B:AO,21,FALSE),"")</f>
        <v>24</v>
      </c>
      <c r="K61" s="1">
        <f>IF(G61="KGS",IF(D61&lt;&gt;"",IFERROR(ROUND(VLOOKUP(D61,ProductList!J:BG,47,FALSE),3),""),""),IF(D61&lt;&gt;"",IFERROR(ROUND(VLOOKUP(D61,ProductList!J:BG,46,FALSE),3),""),""))</f>
        <v>0.64100000000000001</v>
      </c>
      <c r="L61" s="1">
        <f t="shared" si="1"/>
        <v>76.92</v>
      </c>
    </row>
    <row r="62" spans="1:12" x14ac:dyDescent="0.25">
      <c r="A62" s="304"/>
      <c r="B62" s="73">
        <v>58</v>
      </c>
      <c r="C62" s="73">
        <v>0</v>
      </c>
      <c r="D62" s="104" t="str">
        <v xml:space="preserve">MINI SAMOSA 200 GM </v>
      </c>
      <c r="E62" s="122" t="str">
        <v>21069099</v>
      </c>
      <c r="F62" s="73">
        <f>IF(G62="KGS",IF(B62&lt;&gt;"",IFERROR(VLOOKUP(B62,ProductList!B:AO,21,FALSE),""),""),IF(D62&lt;&gt;"",IFERROR(VLOOKUP(B62,ProductList!B:AO,24,FALSE),""),""))</f>
        <v>20</v>
      </c>
      <c r="G62" s="6" t="s">
        <v>216</v>
      </c>
      <c r="H62" s="75">
        <f>IF(G62="KGS",IF(B62&lt;&gt;"",IFERROR(ROUND(VLOOKUP(B62,ProductList!B:BG,58,FALSE),3),""),""),IF(B62&lt;&gt;"",IFERROR(ROUND(VLOOKUP(B62,ProductList!B:BG,57,FALSE),3),""),""))</f>
        <v>0.56000000000000005</v>
      </c>
      <c r="I62" s="75">
        <f t="shared" si="0"/>
        <v>11.2</v>
      </c>
      <c r="J62" s="1">
        <f>IFERROR(VLOOKUP(B62,ProductList!B:AO,21,FALSE),"")</f>
        <v>4</v>
      </c>
      <c r="K62" s="1">
        <f>IF(G62="KGS",IF(D62&lt;&gt;"",IFERROR(ROUND(VLOOKUP(D62,ProductList!J:BG,47,FALSE),3),""),""),IF(D62&lt;&gt;"",IFERROR(ROUND(VLOOKUP(D62,ProductList!J:BG,46,FALSE),3),""),""))</f>
        <v>0.46</v>
      </c>
      <c r="L62" s="1">
        <f t="shared" si="1"/>
        <v>9.2000000000000011</v>
      </c>
    </row>
    <row r="63" spans="1:12" x14ac:dyDescent="0.25">
      <c r="A63" s="304"/>
      <c r="B63" s="73">
        <v>59</v>
      </c>
      <c r="C63" s="73">
        <v>0</v>
      </c>
      <c r="D63" s="104" t="str">
        <v xml:space="preserve">MINI BHAKARWADI 200 GM </v>
      </c>
      <c r="E63" s="122" t="str">
        <v>21069099</v>
      </c>
      <c r="F63" s="73">
        <f>IF(G63="KGS",IF(B63&lt;&gt;"",IFERROR(VLOOKUP(B63,ProductList!B:AO,21,FALSE),""),""),IF(D63&lt;&gt;"",IFERROR(VLOOKUP(B63,ProductList!B:AO,24,FALSE),""),""))</f>
        <v>48</v>
      </c>
      <c r="G63" s="6" t="s">
        <v>216</v>
      </c>
      <c r="H63" s="75">
        <f>IF(G63="KGS",IF(B63&lt;&gt;"",IFERROR(ROUND(VLOOKUP(B63,ProductList!B:BG,58,FALSE),3),""),""),IF(B63&lt;&gt;"",IFERROR(ROUND(VLOOKUP(B63,ProductList!B:BG,57,FALSE),3),""),""))</f>
        <v>0.56000000000000005</v>
      </c>
      <c r="I63" s="75">
        <f t="shared" si="0"/>
        <v>26.88</v>
      </c>
      <c r="J63" s="1">
        <f>IFERROR(VLOOKUP(B63,ProductList!B:AO,21,FALSE),"")</f>
        <v>9.6</v>
      </c>
      <c r="K63" s="1">
        <f>IF(G63="KGS",IF(D63&lt;&gt;"",IFERROR(ROUND(VLOOKUP(D63,ProductList!J:BG,47,FALSE),3),""),""),IF(D63&lt;&gt;"",IFERROR(ROUND(VLOOKUP(D63,ProductList!J:BG,46,FALSE),3),""),""))</f>
        <v>0.46</v>
      </c>
      <c r="L63" s="1">
        <f t="shared" si="1"/>
        <v>22.080000000000002</v>
      </c>
    </row>
    <row r="64" spans="1:12" x14ac:dyDescent="0.25">
      <c r="A64" s="304"/>
      <c r="B64" s="73">
        <v>60</v>
      </c>
      <c r="C64" s="73">
        <v>0</v>
      </c>
      <c r="D64" s="104" t="str">
        <v xml:space="preserve">GOL KACHAURI 200 GM </v>
      </c>
      <c r="E64" s="122" t="str">
        <v>21069099</v>
      </c>
      <c r="F64" s="73">
        <f>IF(G64="KGS",IF(B64&lt;&gt;"",IFERROR(VLOOKUP(B64,ProductList!B:AO,21,FALSE),""),""),IF(D64&lt;&gt;"",IFERROR(VLOOKUP(B64,ProductList!B:AO,24,FALSE),""),""))</f>
        <v>20</v>
      </c>
      <c r="G64" s="6" t="s">
        <v>216</v>
      </c>
      <c r="H64" s="75">
        <f>IF(G64="KGS",IF(B64&lt;&gt;"",IFERROR(ROUND(VLOOKUP(B64,ProductList!B:BG,58,FALSE),3),""),""),IF(B64&lt;&gt;"",IFERROR(ROUND(VLOOKUP(B64,ProductList!B:BG,57,FALSE),3),""),""))</f>
        <v>0.61</v>
      </c>
      <c r="I64" s="75">
        <f t="shared" si="0"/>
        <v>12.2</v>
      </c>
      <c r="J64" s="1">
        <f>IFERROR(VLOOKUP(B64,ProductList!B:AO,21,FALSE),"")</f>
        <v>4</v>
      </c>
      <c r="K64" s="1">
        <f>IF(G64="KGS",IF(D64&lt;&gt;"",IFERROR(ROUND(VLOOKUP(D64,ProductList!J:BG,47,FALSE),3),""),""),IF(D64&lt;&gt;"",IFERROR(ROUND(VLOOKUP(D64,ProductList!J:BG,46,FALSE),3),""),""))</f>
        <v>0.501</v>
      </c>
      <c r="L64" s="1">
        <f t="shared" si="1"/>
        <v>10.02</v>
      </c>
    </row>
    <row r="65" spans="1:12" x14ac:dyDescent="0.25">
      <c r="A65" s="304"/>
      <c r="B65" s="73">
        <v>61</v>
      </c>
      <c r="C65" s="73">
        <v>0</v>
      </c>
      <c r="D65" s="104" t="str">
        <v xml:space="preserve">GATHIYA 200 GM </v>
      </c>
      <c r="E65" s="122" t="str">
        <v>21069099</v>
      </c>
      <c r="F65" s="73">
        <f>IF(G65="KGS",IF(B65&lt;&gt;"",IFERROR(VLOOKUP(B65,ProductList!B:AO,21,FALSE),""),""),IF(D65&lt;&gt;"",IFERROR(VLOOKUP(B65,ProductList!B:AO,24,FALSE),""),""))</f>
        <v>72</v>
      </c>
      <c r="G65" s="6" t="s">
        <v>216</v>
      </c>
      <c r="H65" s="75">
        <f>IF(G65="KGS",IF(B65&lt;&gt;"",IFERROR(ROUND(VLOOKUP(B65,ProductList!B:BG,58,FALSE),3),""),""),IF(B65&lt;&gt;"",IFERROR(ROUND(VLOOKUP(B65,ProductList!B:BG,57,FALSE),3),""),""))</f>
        <v>0.39</v>
      </c>
      <c r="I65" s="75">
        <f t="shared" si="0"/>
        <v>28.08</v>
      </c>
      <c r="J65" s="1">
        <f>IFERROR(VLOOKUP(B65,ProductList!B:AO,21,FALSE),"")</f>
        <v>14.399999999999999</v>
      </c>
      <c r="K65" s="1">
        <f>IF(G65="KGS",IF(D65&lt;&gt;"",IFERROR(ROUND(VLOOKUP(D65,ProductList!J:BG,47,FALSE),3),""),""),IF(D65&lt;&gt;"",IFERROR(ROUND(VLOOKUP(D65,ProductList!J:BG,46,FALSE),3),""),""))</f>
        <v>0.32</v>
      </c>
      <c r="L65" s="1">
        <f t="shared" si="1"/>
        <v>23.04</v>
      </c>
    </row>
    <row r="66" spans="1:12" x14ac:dyDescent="0.25">
      <c r="A66" s="304"/>
      <c r="B66" s="73">
        <v>62</v>
      </c>
      <c r="C66" s="73">
        <v>0</v>
      </c>
      <c r="D66" s="104" t="str">
        <v xml:space="preserve">FINE SEV 150 GM </v>
      </c>
      <c r="E66" s="122" t="str">
        <v>21069099</v>
      </c>
      <c r="F66" s="73">
        <f>IF(G66="KGS",IF(B66&lt;&gt;"",IFERROR(VLOOKUP(B66,ProductList!B:AO,21,FALSE),""),""),IF(D66&lt;&gt;"",IFERROR(VLOOKUP(B66,ProductList!B:AO,24,FALSE),""),""))</f>
        <v>160</v>
      </c>
      <c r="G66" s="6" t="s">
        <v>216</v>
      </c>
      <c r="H66" s="75">
        <f>IF(G66="KGS",IF(B66&lt;&gt;"",IFERROR(ROUND(VLOOKUP(B66,ProductList!B:BG,58,FALSE),3),""),""),IF(B66&lt;&gt;"",IFERROR(ROUND(VLOOKUP(B66,ProductList!B:BG,57,FALSE),3),""),""))</f>
        <v>0.26</v>
      </c>
      <c r="I66" s="75">
        <f t="shared" si="0"/>
        <v>41.6</v>
      </c>
      <c r="J66" s="1">
        <f>IFERROR(VLOOKUP(B66,ProductList!B:AO,21,FALSE),"")</f>
        <v>24</v>
      </c>
      <c r="K66" s="1">
        <f>IF(G66="KGS",IF(D66&lt;&gt;"",IFERROR(ROUND(VLOOKUP(D66,ProductList!J:BG,47,FALSE),3),""),""),IF(D66&lt;&gt;"",IFERROR(ROUND(VLOOKUP(D66,ProductList!J:BG,46,FALSE),3),""),""))</f>
        <v>0.21299999999999999</v>
      </c>
      <c r="L66" s="1">
        <f t="shared" si="1"/>
        <v>34.08</v>
      </c>
    </row>
    <row r="67" spans="1:12" x14ac:dyDescent="0.25">
      <c r="A67" s="304"/>
      <c r="B67" s="73">
        <v>63</v>
      </c>
      <c r="C67" s="73">
        <v>0</v>
      </c>
      <c r="D67" s="104" t="str">
        <v xml:space="preserve">MIXTURE 200 GM </v>
      </c>
      <c r="E67" s="122" t="str">
        <v>21069099</v>
      </c>
      <c r="F67" s="73">
        <f>IF(G67="KGS",IF(B67&lt;&gt;"",IFERROR(VLOOKUP(B67,ProductList!B:AO,21,FALSE),""),""),IF(D67&lt;&gt;"",IFERROR(VLOOKUP(B67,ProductList!B:AO,24,FALSE),""),""))</f>
        <v>120</v>
      </c>
      <c r="G67" s="6" t="s">
        <v>216</v>
      </c>
      <c r="H67" s="75">
        <f>IF(G67="KGS",IF(B67&lt;&gt;"",IFERROR(ROUND(VLOOKUP(B67,ProductList!B:BG,58,FALSE),3),""),""),IF(B67&lt;&gt;"",IFERROR(ROUND(VLOOKUP(B67,ProductList!B:BG,57,FALSE),3),""),""))</f>
        <v>0.39</v>
      </c>
      <c r="I67" s="75">
        <f t="shared" si="0"/>
        <v>46.8</v>
      </c>
      <c r="J67" s="1">
        <f>IFERROR(VLOOKUP(B67,ProductList!B:AO,21,FALSE),"")</f>
        <v>24</v>
      </c>
      <c r="K67" s="1">
        <f>IF(G67="KGS",IF(D67&lt;&gt;"",IFERROR(ROUND(VLOOKUP(D67,ProductList!J:BG,47,FALSE),3),""),""),IF(D67&lt;&gt;"",IFERROR(ROUND(VLOOKUP(D67,ProductList!J:BG,46,FALSE),3),""),""))</f>
        <v>0.32</v>
      </c>
      <c r="L67" s="1">
        <f t="shared" si="1"/>
        <v>38.4</v>
      </c>
    </row>
    <row r="68" spans="1:12" x14ac:dyDescent="0.25">
      <c r="A68" s="304"/>
      <c r="B68" s="73">
        <v>64</v>
      </c>
      <c r="C68" s="73">
        <v>0</v>
      </c>
      <c r="D68" s="104" t="str">
        <v xml:space="preserve">SOYA STICKS 200 GM </v>
      </c>
      <c r="E68" s="122" t="str">
        <v>21069099</v>
      </c>
      <c r="F68" s="73">
        <f>IF(G68="KGS",IF(B68&lt;&gt;"",IFERROR(VLOOKUP(B68,ProductList!B:AO,21,FALSE),""),""),IF(D68&lt;&gt;"",IFERROR(VLOOKUP(B68,ProductList!B:AO,24,FALSE),""),""))</f>
        <v>60</v>
      </c>
      <c r="G68" s="6" t="s">
        <v>216</v>
      </c>
      <c r="H68" s="75">
        <f>IF(G68="KGS",IF(B68&lt;&gt;"",IFERROR(ROUND(VLOOKUP(B68,ProductList!B:BG,58,FALSE),3),""),""),IF(B68&lt;&gt;"",IFERROR(ROUND(VLOOKUP(B68,ProductList!B:BG,57,FALSE),3),""),""))</f>
        <v>0.39</v>
      </c>
      <c r="I68" s="75">
        <f t="shared" si="0"/>
        <v>23.4</v>
      </c>
      <c r="J68" s="1">
        <f>IFERROR(VLOOKUP(B68,ProductList!B:AO,21,FALSE),"")</f>
        <v>12</v>
      </c>
      <c r="K68" s="1">
        <f>IF(G68="KGS",IF(D68&lt;&gt;"",IFERROR(ROUND(VLOOKUP(D68,ProductList!J:BG,47,FALSE),3),""),""),IF(D68&lt;&gt;"",IFERROR(ROUND(VLOOKUP(D68,ProductList!J:BG,46,FALSE),3),""),""))</f>
        <v>0.32</v>
      </c>
      <c r="L68" s="1">
        <f t="shared" si="1"/>
        <v>19.2</v>
      </c>
    </row>
    <row r="69" spans="1:12" x14ac:dyDescent="0.25">
      <c r="A69" s="304"/>
      <c r="B69" s="73">
        <v>65</v>
      </c>
      <c r="C69" s="73">
        <v>0</v>
      </c>
      <c r="D69" s="104" t="str">
        <v xml:space="preserve">RASGULLA 1KG </v>
      </c>
      <c r="E69" s="122" t="str">
        <v>21069099</v>
      </c>
      <c r="F69" s="73">
        <f>IF(G69="KGS",IF(B69&lt;&gt;"",IFERROR(VLOOKUP(B69,ProductList!B:AO,21,FALSE),""),""),IF(D69&lt;&gt;"",IFERROR(VLOOKUP(B69,ProductList!B:AO,24,FALSE),""),""))</f>
        <v>180</v>
      </c>
      <c r="G69" s="6" t="s">
        <v>216</v>
      </c>
      <c r="H69" s="75">
        <f>IF(G69="KGS",IF(B69&lt;&gt;"",IFERROR(ROUND(VLOOKUP(B69,ProductList!B:BG,58,FALSE),3),""),""),IF(B69&lt;&gt;"",IFERROR(ROUND(VLOOKUP(B69,ProductList!B:BG,57,FALSE),3),""),""))</f>
        <v>1.95</v>
      </c>
      <c r="I69" s="75">
        <f t="shared" si="0"/>
        <v>351</v>
      </c>
      <c r="J69" s="1">
        <f>IFERROR(VLOOKUP(B69,ProductList!B:AO,21,FALSE),"")</f>
        <v>180</v>
      </c>
      <c r="K69" s="1">
        <f>IF(G69="KGS",IF(D69&lt;&gt;"",IFERROR(ROUND(VLOOKUP(D69,ProductList!J:BG,47,FALSE),3),""),""),IF(D69&lt;&gt;"",IFERROR(ROUND(VLOOKUP(D69,ProductList!J:BG,46,FALSE),3),""),""))</f>
        <v>1.601</v>
      </c>
      <c r="L69" s="1">
        <f t="shared" si="1"/>
        <v>288.18</v>
      </c>
    </row>
    <row r="70" spans="1:12" x14ac:dyDescent="0.25">
      <c r="A70" s="304"/>
      <c r="B70" s="73">
        <v>66</v>
      </c>
      <c r="C70" s="73">
        <v>0</v>
      </c>
      <c r="D70" s="104" t="str">
        <v>BIKANERI MED PAPAD(MM)200 GM</v>
      </c>
      <c r="E70" s="122" t="str">
        <v>21069099</v>
      </c>
      <c r="F70" s="73">
        <f>IF(G70="KGS",IF(B70&lt;&gt;"",IFERROR(VLOOKUP(B70,ProductList!B:AO,21,FALSE),""),""),IF(D70&lt;&gt;"",IFERROR(VLOOKUP(B70,ProductList!B:AO,24,FALSE),""),""))</f>
        <v>960</v>
      </c>
      <c r="G70" s="6" t="s">
        <v>216</v>
      </c>
      <c r="H70" s="75">
        <f>IF(G70="KGS",IF(B70&lt;&gt;"",IFERROR(ROUND(VLOOKUP(B70,ProductList!B:BG,58,FALSE),3),""),""),IF(B70&lt;&gt;"",IFERROR(ROUND(VLOOKUP(B70,ProductList!B:BG,57,FALSE),3),""),""))</f>
        <v>0.61</v>
      </c>
      <c r="I70" s="75">
        <f t="shared" ref="I70:I133" si="2">IF(AND(F70&lt;&gt;"",H70&lt;&gt;""),ROUND(F70*H70,2),"")</f>
        <v>585.6</v>
      </c>
      <c r="J70" s="1">
        <f>IFERROR(VLOOKUP(B70,ProductList!B:AO,21,FALSE),"")</f>
        <v>192</v>
      </c>
      <c r="K70" s="1">
        <f>IF(G70="KGS",IF(D70&lt;&gt;"",IFERROR(ROUND(VLOOKUP(D70,ProductList!J:BG,47,FALSE),3),""),""),IF(D70&lt;&gt;"",IFERROR(ROUND(VLOOKUP(D70,ProductList!J:BG,46,FALSE),3),""),""))</f>
        <v>0.501</v>
      </c>
      <c r="L70" s="1">
        <f t="shared" ref="L70:L133" si="3">IF(AND(K70&lt;&gt;"",F70&lt;&gt;""),K70*F70,"")</f>
        <v>480.96</v>
      </c>
    </row>
    <row r="71" spans="1:12" x14ac:dyDescent="0.25">
      <c r="A71" s="304"/>
      <c r="B71" s="73"/>
      <c r="C71" s="73"/>
      <c r="D71" s="104"/>
      <c r="E71" s="122"/>
      <c r="F71" s="73" t="str">
        <f>IF(G71="KGS",IF(B71&lt;&gt;"",IFERROR(VLOOKUP(B71,ProductList!B:AO,21,FALSE),""),""),IF(D71&lt;&gt;"",IFERROR(VLOOKUP(B71,ProductList!B:AO,24,FALSE),""),""))</f>
        <v/>
      </c>
      <c r="G71" s="6" t="s">
        <v>216</v>
      </c>
      <c r="H71" s="75" t="str">
        <f>IF(G71="KGS",IF(B71&lt;&gt;"",IFERROR(ROUND(VLOOKUP(B71,ProductList!B:BG,58,FALSE),3),""),""),IF(B71&lt;&gt;"",IFERROR(ROUND(VLOOKUP(B71,ProductList!B:BG,57,FALSE),3),""),""))</f>
        <v/>
      </c>
      <c r="I71" s="75" t="str">
        <f t="shared" si="2"/>
        <v/>
      </c>
      <c r="J71" s="1" t="str">
        <f>IFERROR(VLOOKUP(B71,ProductList!B:AO,21,FALSE),"")</f>
        <v/>
      </c>
      <c r="K71" s="1" t="str">
        <f>IF(G71="KGS",IF(D71&lt;&gt;"",IFERROR(ROUND(VLOOKUP(D71,ProductList!J:BG,47,FALSE),3),""),""),IF(D71&lt;&gt;"",IFERROR(ROUND(VLOOKUP(D71,ProductList!J:BG,46,FALSE),3),""),""))</f>
        <v/>
      </c>
      <c r="L71" s="1" t="str">
        <f t="shared" si="3"/>
        <v/>
      </c>
    </row>
    <row r="72" spans="1:12" x14ac:dyDescent="0.25">
      <c r="A72" s="304"/>
      <c r="B72" s="73"/>
      <c r="C72" s="73"/>
      <c r="D72" s="104"/>
      <c r="E72" s="122"/>
      <c r="F72" s="73" t="str">
        <f>IF(G72="KGS",IF(B72&lt;&gt;"",IFERROR(VLOOKUP(B72,ProductList!B:AO,21,FALSE),""),""),IF(D72&lt;&gt;"",IFERROR(VLOOKUP(B72,ProductList!B:AO,24,FALSE),""),""))</f>
        <v/>
      </c>
      <c r="G72" s="6" t="s">
        <v>216</v>
      </c>
      <c r="H72" s="75" t="str">
        <f>IF(G72="KGS",IF(B72&lt;&gt;"",IFERROR(ROUND(VLOOKUP(B72,ProductList!B:BG,58,FALSE),3),""),""),IF(B72&lt;&gt;"",IFERROR(ROUND(VLOOKUP(B72,ProductList!B:BG,57,FALSE),3),""),""))</f>
        <v/>
      </c>
      <c r="I72" s="75" t="str">
        <f t="shared" si="2"/>
        <v/>
      </c>
      <c r="J72" s="1" t="str">
        <f>IFERROR(VLOOKUP(B72,ProductList!B:AO,21,FALSE),"")</f>
        <v/>
      </c>
      <c r="K72" s="1" t="str">
        <f>IF(G72="KGS",IF(D72&lt;&gt;"",IFERROR(ROUND(VLOOKUP(D72,ProductList!J:BG,47,FALSE),3),""),""),IF(D72&lt;&gt;"",IFERROR(ROUND(VLOOKUP(D72,ProductList!J:BG,46,FALSE),3),""),""))</f>
        <v/>
      </c>
      <c r="L72" s="1" t="str">
        <f t="shared" si="3"/>
        <v/>
      </c>
    </row>
    <row r="73" spans="1:12" x14ac:dyDescent="0.25">
      <c r="A73" s="304"/>
      <c r="B73" s="73"/>
      <c r="C73" s="73"/>
      <c r="D73" s="104"/>
      <c r="E73" s="122"/>
      <c r="F73" s="73" t="str">
        <f>IF(G73="KGS",IF(B73&lt;&gt;"",IFERROR(VLOOKUP(B73,ProductList!B:AO,21,FALSE),""),""),IF(D73&lt;&gt;"",IFERROR(VLOOKUP(B73,ProductList!B:AO,24,FALSE),""),""))</f>
        <v/>
      </c>
      <c r="G73" s="6" t="s">
        <v>216</v>
      </c>
      <c r="H73" s="75" t="str">
        <f>IF(G73="KGS",IF(B73&lt;&gt;"",IFERROR(ROUND(VLOOKUP(B73,ProductList!B:BG,58,FALSE),3),""),""),IF(B73&lt;&gt;"",IFERROR(ROUND(VLOOKUP(B73,ProductList!B:BG,57,FALSE),3),""),""))</f>
        <v/>
      </c>
      <c r="I73" s="75" t="str">
        <f t="shared" si="2"/>
        <v/>
      </c>
      <c r="J73" s="1" t="str">
        <f>IFERROR(VLOOKUP(B73,ProductList!B:AO,21,FALSE),"")</f>
        <v/>
      </c>
      <c r="K73" s="1" t="str">
        <f>IF(G73="KGS",IF(D73&lt;&gt;"",IFERROR(ROUND(VLOOKUP(D73,ProductList!J:BG,47,FALSE),3),""),""),IF(D73&lt;&gt;"",IFERROR(ROUND(VLOOKUP(D73,ProductList!J:BG,46,FALSE),3),""),""))</f>
        <v/>
      </c>
      <c r="L73" s="1" t="str">
        <f t="shared" si="3"/>
        <v/>
      </c>
    </row>
    <row r="74" spans="1:12" x14ac:dyDescent="0.25">
      <c r="A74" s="304"/>
      <c r="B74" s="73"/>
      <c r="C74" s="73"/>
      <c r="D74" s="104"/>
      <c r="E74" s="122"/>
      <c r="F74" s="73" t="str">
        <f>IF(G74="KGS",IF(B74&lt;&gt;"",IFERROR(VLOOKUP(B74,ProductList!B:AO,21,FALSE),""),""),IF(D74&lt;&gt;"",IFERROR(VLOOKUP(B74,ProductList!B:AO,24,FALSE),""),""))</f>
        <v/>
      </c>
      <c r="G74" s="6" t="s">
        <v>216</v>
      </c>
      <c r="H74" s="75" t="str">
        <f>IF(G74="KGS",IF(B74&lt;&gt;"",IFERROR(ROUND(VLOOKUP(B74,ProductList!B:BG,58,FALSE),3),""),""),IF(B74&lt;&gt;"",IFERROR(ROUND(VLOOKUP(B74,ProductList!B:BG,57,FALSE),3),""),""))</f>
        <v/>
      </c>
      <c r="I74" s="75" t="str">
        <f t="shared" si="2"/>
        <v/>
      </c>
      <c r="J74" s="1" t="str">
        <f>IFERROR(VLOOKUP(B74,ProductList!B:AO,21,FALSE),"")</f>
        <v/>
      </c>
      <c r="K74" s="1" t="str">
        <f>IF(G74="KGS",IF(D74&lt;&gt;"",IFERROR(ROUND(VLOOKUP(D74,ProductList!J:BG,47,FALSE),3),""),""),IF(D74&lt;&gt;"",IFERROR(ROUND(VLOOKUP(D74,ProductList!J:BG,46,FALSE),3),""),""))</f>
        <v/>
      </c>
      <c r="L74" s="1" t="str">
        <f t="shared" si="3"/>
        <v/>
      </c>
    </row>
    <row r="75" spans="1:12" x14ac:dyDescent="0.25">
      <c r="A75" s="304"/>
      <c r="B75" s="73"/>
      <c r="C75" s="73"/>
      <c r="D75" s="104"/>
      <c r="E75" s="122"/>
      <c r="F75" s="73" t="str">
        <f>IF(G75="KGS",IF(B75&lt;&gt;"",IFERROR(VLOOKUP(B75,ProductList!B:AO,21,FALSE),""),""),IF(D75&lt;&gt;"",IFERROR(VLOOKUP(B75,ProductList!B:AO,24,FALSE),""),""))</f>
        <v/>
      </c>
      <c r="G75" s="6" t="s">
        <v>216</v>
      </c>
      <c r="H75" s="75" t="str">
        <f>IF(G75="KGS",IF(B75&lt;&gt;"",IFERROR(ROUND(VLOOKUP(B75,ProductList!B:BG,58,FALSE),3),""),""),IF(B75&lt;&gt;"",IFERROR(ROUND(VLOOKUP(B75,ProductList!B:BG,57,FALSE),3),""),""))</f>
        <v/>
      </c>
      <c r="I75" s="75" t="str">
        <f t="shared" si="2"/>
        <v/>
      </c>
      <c r="J75" s="1" t="str">
        <f>IFERROR(VLOOKUP(B75,ProductList!B:AO,21,FALSE),"")</f>
        <v/>
      </c>
      <c r="K75" s="1" t="str">
        <f>IF(G75="KGS",IF(D75&lt;&gt;"",IFERROR(ROUND(VLOOKUP(D75,ProductList!J:BG,47,FALSE),3),""),""),IF(D75&lt;&gt;"",IFERROR(ROUND(VLOOKUP(D75,ProductList!J:BG,46,FALSE),3),""),""))</f>
        <v/>
      </c>
      <c r="L75" s="1" t="str">
        <f t="shared" si="3"/>
        <v/>
      </c>
    </row>
    <row r="76" spans="1:12" x14ac:dyDescent="0.25">
      <c r="A76" s="304"/>
      <c r="B76" s="73"/>
      <c r="C76" s="73"/>
      <c r="D76" s="104"/>
      <c r="E76" s="122"/>
      <c r="F76" s="73" t="str">
        <f>IF(G76="KGS",IF(B76&lt;&gt;"",IFERROR(VLOOKUP(B76,ProductList!B:AO,21,FALSE),""),""),IF(D76&lt;&gt;"",IFERROR(VLOOKUP(B76,ProductList!B:AO,24,FALSE),""),""))</f>
        <v/>
      </c>
      <c r="G76" s="6" t="s">
        <v>216</v>
      </c>
      <c r="H76" s="75" t="str">
        <f>IF(G76="KGS",IF(B76&lt;&gt;"",IFERROR(ROUND(VLOOKUP(B76,ProductList!B:BG,58,FALSE),3),""),""),IF(B76&lt;&gt;"",IFERROR(ROUND(VLOOKUP(B76,ProductList!B:BG,57,FALSE),3),""),""))</f>
        <v/>
      </c>
      <c r="I76" s="75" t="str">
        <f t="shared" si="2"/>
        <v/>
      </c>
      <c r="J76" s="1" t="str">
        <f>IFERROR(VLOOKUP(B76,ProductList!B:AO,21,FALSE),"")</f>
        <v/>
      </c>
      <c r="K76" s="1" t="str">
        <f>IF(G76="KGS",IF(D76&lt;&gt;"",IFERROR(ROUND(VLOOKUP(D76,ProductList!J:BG,47,FALSE),3),""),""),IF(D76&lt;&gt;"",IFERROR(ROUND(VLOOKUP(D76,ProductList!J:BG,46,FALSE),3),""),""))</f>
        <v/>
      </c>
      <c r="L76" s="1" t="str">
        <f t="shared" si="3"/>
        <v/>
      </c>
    </row>
    <row r="77" spans="1:12" x14ac:dyDescent="0.25">
      <c r="A77" s="304"/>
      <c r="B77" s="73"/>
      <c r="C77" s="73"/>
      <c r="D77" s="104"/>
      <c r="E77" s="122"/>
      <c r="F77" s="73" t="str">
        <f>IF(G77="KGS",IF(B77&lt;&gt;"",IFERROR(VLOOKUP(B77,ProductList!B:AO,21,FALSE),""),""),IF(D77&lt;&gt;"",IFERROR(VLOOKUP(B77,ProductList!B:AO,24,FALSE),""),""))</f>
        <v/>
      </c>
      <c r="G77" s="6" t="s">
        <v>216</v>
      </c>
      <c r="H77" s="75" t="str">
        <f>IF(G77="KGS",IF(B77&lt;&gt;"",IFERROR(ROUND(VLOOKUP(B77,ProductList!B:BG,58,FALSE),3),""),""),IF(B77&lt;&gt;"",IFERROR(ROUND(VLOOKUP(B77,ProductList!B:BG,57,FALSE),3),""),""))</f>
        <v/>
      </c>
      <c r="I77" s="75" t="str">
        <f t="shared" si="2"/>
        <v/>
      </c>
      <c r="J77" s="1" t="str">
        <f>IFERROR(VLOOKUP(B77,ProductList!B:AO,21,FALSE),"")</f>
        <v/>
      </c>
      <c r="K77" s="1" t="str">
        <f>IF(G77="KGS",IF(D77&lt;&gt;"",IFERROR(ROUND(VLOOKUP(D77,ProductList!J:BG,47,FALSE),3),""),""),IF(D77&lt;&gt;"",IFERROR(ROUND(VLOOKUP(D77,ProductList!J:BG,46,FALSE),3),""),""))</f>
        <v/>
      </c>
      <c r="L77" s="1" t="str">
        <f t="shared" si="3"/>
        <v/>
      </c>
    </row>
    <row r="78" spans="1:12" x14ac:dyDescent="0.25">
      <c r="A78" s="304"/>
      <c r="B78" s="73"/>
      <c r="C78" s="73"/>
      <c r="D78" s="104"/>
      <c r="E78" s="122"/>
      <c r="F78" s="73" t="str">
        <f>IF(G78="KGS",IF(B78&lt;&gt;"",IFERROR(VLOOKUP(B78,ProductList!B:AO,21,FALSE),""),""),IF(D78&lt;&gt;"",IFERROR(VLOOKUP(B78,ProductList!B:AO,24,FALSE),""),""))</f>
        <v/>
      </c>
      <c r="G78" s="6" t="s">
        <v>216</v>
      </c>
      <c r="H78" s="75" t="str">
        <f>IF(G78="KGS",IF(B78&lt;&gt;"",IFERROR(ROUND(VLOOKUP(B78,ProductList!B:BG,58,FALSE),3),""),""),IF(B78&lt;&gt;"",IFERROR(ROUND(VLOOKUP(B78,ProductList!B:BG,57,FALSE),3),""),""))</f>
        <v/>
      </c>
      <c r="I78" s="75" t="str">
        <f t="shared" si="2"/>
        <v/>
      </c>
      <c r="J78" s="1" t="str">
        <f>IFERROR(VLOOKUP(B78,ProductList!B:AO,21,FALSE),"")</f>
        <v/>
      </c>
      <c r="K78" s="1" t="str">
        <f>IF(G78="KGS",IF(D78&lt;&gt;"",IFERROR(ROUND(VLOOKUP(D78,ProductList!J:BG,47,FALSE),3),""),""),IF(D78&lt;&gt;"",IFERROR(ROUND(VLOOKUP(D78,ProductList!J:BG,46,FALSE),3),""),""))</f>
        <v/>
      </c>
      <c r="L78" s="1" t="str">
        <f t="shared" si="3"/>
        <v/>
      </c>
    </row>
    <row r="79" spans="1:12" x14ac:dyDescent="0.25">
      <c r="A79" s="304"/>
      <c r="B79" s="73"/>
      <c r="C79" s="73"/>
      <c r="D79" s="104"/>
      <c r="E79" s="122"/>
      <c r="F79" s="73" t="str">
        <f>IF(G79="KGS",IF(B79&lt;&gt;"",IFERROR(VLOOKUP(B79,ProductList!B:AO,21,FALSE),""),""),IF(D79&lt;&gt;"",IFERROR(VLOOKUP(B79,ProductList!B:AO,24,FALSE),""),""))</f>
        <v/>
      </c>
      <c r="G79" s="6" t="s">
        <v>216</v>
      </c>
      <c r="H79" s="75" t="str">
        <f>IF(G79="KGS",IF(B79&lt;&gt;"",IFERROR(ROUND(VLOOKUP(B79,ProductList!B:BG,58,FALSE),3),""),""),IF(B79&lt;&gt;"",IFERROR(ROUND(VLOOKUP(B79,ProductList!B:BG,57,FALSE),3),""),""))</f>
        <v/>
      </c>
      <c r="I79" s="75" t="str">
        <f t="shared" si="2"/>
        <v/>
      </c>
      <c r="J79" s="1" t="str">
        <f>IFERROR(VLOOKUP(B79,ProductList!B:AO,21,FALSE),"")</f>
        <v/>
      </c>
      <c r="K79" s="1" t="str">
        <f>IF(G79="KGS",IF(D79&lt;&gt;"",IFERROR(ROUND(VLOOKUP(D79,ProductList!J:BG,47,FALSE),3),""),""),IF(D79&lt;&gt;"",IFERROR(ROUND(VLOOKUP(D79,ProductList!J:BG,46,FALSE),3),""),""))</f>
        <v/>
      </c>
      <c r="L79" s="1" t="str">
        <f t="shared" si="3"/>
        <v/>
      </c>
    </row>
    <row r="80" spans="1:12" x14ac:dyDescent="0.25">
      <c r="A80" s="304"/>
      <c r="B80" s="73"/>
      <c r="C80" s="73"/>
      <c r="D80" s="104"/>
      <c r="E80" s="122"/>
      <c r="F80" s="73" t="str">
        <f>IF(G80="KGS",IF(B80&lt;&gt;"",IFERROR(VLOOKUP(B80,ProductList!B:AO,21,FALSE),""),""),IF(D80&lt;&gt;"",IFERROR(VLOOKUP(B80,ProductList!B:AO,24,FALSE),""),""))</f>
        <v/>
      </c>
      <c r="G80" s="6" t="s">
        <v>216</v>
      </c>
      <c r="H80" s="75" t="str">
        <f>IF(G80="KGS",IF(B80&lt;&gt;"",IFERROR(ROUND(VLOOKUP(B80,ProductList!B:BG,58,FALSE),3),""),""),IF(B80&lt;&gt;"",IFERROR(ROUND(VLOOKUP(B80,ProductList!B:BG,57,FALSE),3),""),""))</f>
        <v/>
      </c>
      <c r="I80" s="75" t="str">
        <f t="shared" si="2"/>
        <v/>
      </c>
      <c r="J80" s="1" t="str">
        <f>IFERROR(VLOOKUP(B80,ProductList!B:AO,21,FALSE),"")</f>
        <v/>
      </c>
      <c r="K80" s="1" t="str">
        <f>IF(G80="KGS",IF(D80&lt;&gt;"",IFERROR(ROUND(VLOOKUP(D80,ProductList!J:BG,47,FALSE),3),""),""),IF(D80&lt;&gt;"",IFERROR(ROUND(VLOOKUP(D80,ProductList!J:BG,46,FALSE),3),""),""))</f>
        <v/>
      </c>
      <c r="L80" s="1" t="str">
        <f t="shared" si="3"/>
        <v/>
      </c>
    </row>
    <row r="81" spans="1:12" x14ac:dyDescent="0.25">
      <c r="A81" s="304"/>
      <c r="B81" s="73"/>
      <c r="C81" s="73"/>
      <c r="D81" s="104"/>
      <c r="E81" s="122"/>
      <c r="F81" s="73" t="str">
        <f>IF(G81="KGS",IF(B81&lt;&gt;"",IFERROR(VLOOKUP(B81,ProductList!B:AO,21,FALSE),""),""),IF(D81&lt;&gt;"",IFERROR(VLOOKUP(B81,ProductList!B:AO,24,FALSE),""),""))</f>
        <v/>
      </c>
      <c r="G81" s="6" t="s">
        <v>216</v>
      </c>
      <c r="H81" s="75" t="str">
        <f>IF(G81="KGS",IF(B81&lt;&gt;"",IFERROR(ROUND(VLOOKUP(B81,ProductList!B:BG,58,FALSE),3),""),""),IF(B81&lt;&gt;"",IFERROR(ROUND(VLOOKUP(B81,ProductList!B:BG,57,FALSE),3),""),""))</f>
        <v/>
      </c>
      <c r="I81" s="75" t="str">
        <f t="shared" si="2"/>
        <v/>
      </c>
      <c r="J81" s="1" t="str">
        <f>IFERROR(VLOOKUP(B81,ProductList!B:AO,21,FALSE),"")</f>
        <v/>
      </c>
      <c r="K81" s="1" t="str">
        <f>IF(G81="KGS",IF(D81&lt;&gt;"",IFERROR(ROUND(VLOOKUP(D81,ProductList!J:BG,47,FALSE),3),""),""),IF(D81&lt;&gt;"",IFERROR(ROUND(VLOOKUP(D81,ProductList!J:BG,46,FALSE),3),""),""))</f>
        <v/>
      </c>
      <c r="L81" s="1" t="str">
        <f t="shared" si="3"/>
        <v/>
      </c>
    </row>
    <row r="82" spans="1:12" x14ac:dyDescent="0.25">
      <c r="A82" s="304"/>
      <c r="B82" s="73"/>
      <c r="C82" s="73"/>
      <c r="D82" s="104"/>
      <c r="E82" s="122"/>
      <c r="F82" s="73" t="str">
        <f>IF(G82="KGS",IF(B82&lt;&gt;"",IFERROR(VLOOKUP(B82,ProductList!B:AO,21,FALSE),""),""),IF(D82&lt;&gt;"",IFERROR(VLOOKUP(B82,ProductList!B:AO,24,FALSE),""),""))</f>
        <v/>
      </c>
      <c r="G82" s="6" t="s">
        <v>216</v>
      </c>
      <c r="H82" s="75" t="str">
        <f>IF(G82="KGS",IF(B82&lt;&gt;"",IFERROR(ROUND(VLOOKUP(B82,ProductList!B:BG,58,FALSE),3),""),""),IF(B82&lt;&gt;"",IFERROR(ROUND(VLOOKUP(B82,ProductList!B:BG,57,FALSE),3),""),""))</f>
        <v/>
      </c>
      <c r="I82" s="75" t="str">
        <f t="shared" si="2"/>
        <v/>
      </c>
      <c r="J82" s="1" t="str">
        <f>IFERROR(VLOOKUP(B82,ProductList!B:AO,21,FALSE),"")</f>
        <v/>
      </c>
      <c r="K82" s="1" t="str">
        <f>IF(G82="KGS",IF(D82&lt;&gt;"",IFERROR(ROUND(VLOOKUP(D82,ProductList!J:BG,47,FALSE),3),""),""),IF(D82&lt;&gt;"",IFERROR(ROUND(VLOOKUP(D82,ProductList!J:BG,46,FALSE),3),""),""))</f>
        <v/>
      </c>
      <c r="L82" s="1" t="str">
        <f t="shared" si="3"/>
        <v/>
      </c>
    </row>
    <row r="83" spans="1:12" x14ac:dyDescent="0.25">
      <c r="A83" s="304"/>
      <c r="B83" s="73"/>
      <c r="C83" s="73"/>
      <c r="D83" s="104"/>
      <c r="E83" s="122"/>
      <c r="F83" s="73" t="str">
        <f>IF(G83="KGS",IF(B83&lt;&gt;"",IFERROR(VLOOKUP(B83,ProductList!B:AO,21,FALSE),""),""),IF(D83&lt;&gt;"",IFERROR(VLOOKUP(B83,ProductList!B:AO,24,FALSE),""),""))</f>
        <v/>
      </c>
      <c r="G83" s="6" t="s">
        <v>216</v>
      </c>
      <c r="H83" s="75" t="str">
        <f>IF(G83="KGS",IF(B83&lt;&gt;"",IFERROR(ROUND(VLOOKUP(B83,ProductList!B:BG,58,FALSE),3),""),""),IF(B83&lt;&gt;"",IFERROR(ROUND(VLOOKUP(B83,ProductList!B:BG,57,FALSE),3),""),""))</f>
        <v/>
      </c>
      <c r="I83" s="75" t="str">
        <f t="shared" si="2"/>
        <v/>
      </c>
      <c r="J83" s="1" t="str">
        <f>IFERROR(VLOOKUP(B83,ProductList!B:AO,21,FALSE),"")</f>
        <v/>
      </c>
      <c r="K83" s="1" t="str">
        <f>IF(G83="KGS",IF(D83&lt;&gt;"",IFERROR(ROUND(VLOOKUP(D83,ProductList!J:BG,47,FALSE),3),""),""),IF(D83&lt;&gt;"",IFERROR(ROUND(VLOOKUP(D83,ProductList!J:BG,46,FALSE),3),""),""))</f>
        <v/>
      </c>
      <c r="L83" s="1" t="str">
        <f t="shared" si="3"/>
        <v/>
      </c>
    </row>
    <row r="84" spans="1:12" x14ac:dyDescent="0.25">
      <c r="A84" s="304"/>
      <c r="B84" s="73"/>
      <c r="C84" s="73"/>
      <c r="D84" s="104"/>
      <c r="E84" s="122"/>
      <c r="F84" s="73" t="str">
        <f>IF(G84="KGS",IF(B84&lt;&gt;"",IFERROR(VLOOKUP(B84,ProductList!B:AO,21,FALSE),""),""),IF(D84&lt;&gt;"",IFERROR(VLOOKUP(B84,ProductList!B:AO,24,FALSE),""),""))</f>
        <v/>
      </c>
      <c r="G84" s="6" t="s">
        <v>216</v>
      </c>
      <c r="H84" s="75" t="str">
        <f>IF(G84="KGS",IF(B84&lt;&gt;"",IFERROR(ROUND(VLOOKUP(B84,ProductList!B:BG,58,FALSE),3),""),""),IF(B84&lt;&gt;"",IFERROR(ROUND(VLOOKUP(B84,ProductList!B:BG,57,FALSE),3),""),""))</f>
        <v/>
      </c>
      <c r="I84" s="75" t="str">
        <f t="shared" si="2"/>
        <v/>
      </c>
      <c r="J84" s="1" t="str">
        <f>IFERROR(VLOOKUP(B84,ProductList!B:AO,21,FALSE),"")</f>
        <v/>
      </c>
      <c r="K84" s="1" t="str">
        <f>IF(G84="KGS",IF(D84&lt;&gt;"",IFERROR(ROUND(VLOOKUP(D84,ProductList!J:BG,47,FALSE),3),""),""),IF(D84&lt;&gt;"",IFERROR(ROUND(VLOOKUP(D84,ProductList!J:BG,46,FALSE),3),""),""))</f>
        <v/>
      </c>
      <c r="L84" s="1" t="str">
        <f t="shared" si="3"/>
        <v/>
      </c>
    </row>
    <row r="85" spans="1:12" x14ac:dyDescent="0.25">
      <c r="A85" s="304"/>
      <c r="B85" s="73"/>
      <c r="C85" s="73"/>
      <c r="D85" s="104"/>
      <c r="E85" s="122"/>
      <c r="F85" s="73" t="str">
        <f>IF(G85="KGS",IF(B85&lt;&gt;"",IFERROR(VLOOKUP(B85,ProductList!B:AO,21,FALSE),""),""),IF(D85&lt;&gt;"",IFERROR(VLOOKUP(B85,ProductList!B:AO,24,FALSE),""),""))</f>
        <v/>
      </c>
      <c r="G85" s="6" t="s">
        <v>216</v>
      </c>
      <c r="H85" s="75" t="str">
        <f>IF(G85="KGS",IF(B85&lt;&gt;"",IFERROR(ROUND(VLOOKUP(B85,ProductList!B:BG,58,FALSE),3),""),""),IF(B85&lt;&gt;"",IFERROR(ROUND(VLOOKUP(B85,ProductList!B:BG,57,FALSE),3),""),""))</f>
        <v/>
      </c>
      <c r="I85" s="75" t="str">
        <f t="shared" si="2"/>
        <v/>
      </c>
      <c r="J85" s="1" t="str">
        <f>IFERROR(VLOOKUP(B85,ProductList!B:AO,21,FALSE),"")</f>
        <v/>
      </c>
      <c r="K85" s="1" t="str">
        <f>IF(G85="KGS",IF(D85&lt;&gt;"",IFERROR(ROUND(VLOOKUP(D85,ProductList!J:BG,47,FALSE),3),""),""),IF(D85&lt;&gt;"",IFERROR(ROUND(VLOOKUP(D85,ProductList!J:BG,46,FALSE),3),""),""))</f>
        <v/>
      </c>
      <c r="L85" s="1" t="str">
        <f t="shared" si="3"/>
        <v/>
      </c>
    </row>
    <row r="86" spans="1:12" x14ac:dyDescent="0.25">
      <c r="A86" s="304"/>
      <c r="B86" s="73"/>
      <c r="C86" s="73"/>
      <c r="D86" s="104"/>
      <c r="E86" s="122"/>
      <c r="F86" s="73" t="str">
        <f>IF(G86="KGS",IF(B86&lt;&gt;"",IFERROR(VLOOKUP(B86,ProductList!B:AO,21,FALSE),""),""),IF(D86&lt;&gt;"",IFERROR(VLOOKUP(B86,ProductList!B:AO,24,FALSE),""),""))</f>
        <v/>
      </c>
      <c r="G86" s="6" t="s">
        <v>216</v>
      </c>
      <c r="H86" s="75" t="str">
        <f>IF(G86="KGS",IF(B86&lt;&gt;"",IFERROR(ROUND(VLOOKUP(B86,ProductList!B:BG,58,FALSE),3),""),""),IF(B86&lt;&gt;"",IFERROR(ROUND(VLOOKUP(B86,ProductList!B:BG,57,FALSE),3),""),""))</f>
        <v/>
      </c>
      <c r="I86" s="75" t="str">
        <f t="shared" si="2"/>
        <v/>
      </c>
      <c r="J86" s="1" t="str">
        <f>IFERROR(VLOOKUP(B86,ProductList!B:AO,21,FALSE),"")</f>
        <v/>
      </c>
      <c r="K86" s="1" t="str">
        <f>IF(G86="KGS",IF(D86&lt;&gt;"",IFERROR(ROUND(VLOOKUP(D86,ProductList!J:BG,47,FALSE),3),""),""),IF(D86&lt;&gt;"",IFERROR(ROUND(VLOOKUP(D86,ProductList!J:BG,46,FALSE),3),""),""))</f>
        <v/>
      </c>
      <c r="L86" s="1" t="str">
        <f t="shared" si="3"/>
        <v/>
      </c>
    </row>
    <row r="87" spans="1:12" x14ac:dyDescent="0.25">
      <c r="A87" s="304"/>
      <c r="B87" s="73"/>
      <c r="C87" s="73"/>
      <c r="D87" s="104"/>
      <c r="E87" s="122"/>
      <c r="F87" s="73" t="str">
        <f>IF(G87="KGS",IF(B87&lt;&gt;"",IFERROR(VLOOKUP(B87,ProductList!B:AO,21,FALSE),""),""),IF(D87&lt;&gt;"",IFERROR(VLOOKUP(B87,ProductList!B:AO,24,FALSE),""),""))</f>
        <v/>
      </c>
      <c r="G87" s="6" t="s">
        <v>216</v>
      </c>
      <c r="H87" s="75" t="str">
        <f>IF(G87="KGS",IF(B87&lt;&gt;"",IFERROR(ROUND(VLOOKUP(B87,ProductList!B:BG,58,FALSE),3),""),""),IF(B87&lt;&gt;"",IFERROR(ROUND(VLOOKUP(B87,ProductList!B:BG,57,FALSE),3),""),""))</f>
        <v/>
      </c>
      <c r="I87" s="75" t="str">
        <f t="shared" si="2"/>
        <v/>
      </c>
      <c r="J87" s="1" t="str">
        <f>IFERROR(VLOOKUP(B87,ProductList!B:AO,21,FALSE),"")</f>
        <v/>
      </c>
      <c r="K87" s="1" t="str">
        <f>IF(G87="KGS",IF(D87&lt;&gt;"",IFERROR(ROUND(VLOOKUP(D87,ProductList!J:BG,47,FALSE),3),""),""),IF(D87&lt;&gt;"",IFERROR(ROUND(VLOOKUP(D87,ProductList!J:BG,46,FALSE),3),""),""))</f>
        <v/>
      </c>
      <c r="L87" s="1" t="str">
        <f t="shared" si="3"/>
        <v/>
      </c>
    </row>
    <row r="88" spans="1:12" x14ac:dyDescent="0.25">
      <c r="A88" s="304"/>
      <c r="B88" s="73"/>
      <c r="C88" s="73"/>
      <c r="D88" s="104"/>
      <c r="E88" s="122"/>
      <c r="F88" s="73" t="str">
        <f>IF(G88="KGS",IF(B88&lt;&gt;"",IFERROR(VLOOKUP(B88,ProductList!B:AO,21,FALSE),""),""),IF(D88&lt;&gt;"",IFERROR(VLOOKUP(B88,ProductList!B:AO,24,FALSE),""),""))</f>
        <v/>
      </c>
      <c r="G88" s="6" t="s">
        <v>216</v>
      </c>
      <c r="H88" s="75" t="str">
        <f>IF(G88="KGS",IF(B88&lt;&gt;"",IFERROR(ROUND(VLOOKUP(B88,ProductList!B:BG,58,FALSE),3),""),""),IF(B88&lt;&gt;"",IFERROR(ROUND(VLOOKUP(B88,ProductList!B:BG,57,FALSE),3),""),""))</f>
        <v/>
      </c>
      <c r="I88" s="75" t="str">
        <f t="shared" si="2"/>
        <v/>
      </c>
      <c r="J88" s="1" t="str">
        <f>IFERROR(VLOOKUP(B88,ProductList!B:AO,21,FALSE),"")</f>
        <v/>
      </c>
      <c r="K88" s="1" t="str">
        <f>IF(G88="KGS",IF(D88&lt;&gt;"",IFERROR(ROUND(VLOOKUP(D88,ProductList!J:BG,47,FALSE),3),""),""),IF(D88&lt;&gt;"",IFERROR(ROUND(VLOOKUP(D88,ProductList!J:BG,46,FALSE),3),""),""))</f>
        <v/>
      </c>
      <c r="L88" s="1" t="str">
        <f t="shared" si="3"/>
        <v/>
      </c>
    </row>
    <row r="89" spans="1:12" x14ac:dyDescent="0.25">
      <c r="A89" s="304"/>
      <c r="B89" s="73"/>
      <c r="C89" s="73"/>
      <c r="D89" s="104"/>
      <c r="E89" s="122"/>
      <c r="F89" s="73" t="str">
        <f>IF(G89="KGS",IF(B89&lt;&gt;"",IFERROR(VLOOKUP(B89,ProductList!B:AO,21,FALSE),""),""),IF(D89&lt;&gt;"",IFERROR(VLOOKUP(B89,ProductList!B:AO,24,FALSE),""),""))</f>
        <v/>
      </c>
      <c r="G89" s="6" t="s">
        <v>216</v>
      </c>
      <c r="H89" s="75" t="str">
        <f>IF(G89="KGS",IF(B89&lt;&gt;"",IFERROR(ROUND(VLOOKUP(B89,ProductList!B:BG,58,FALSE),3),""),""),IF(B89&lt;&gt;"",IFERROR(ROUND(VLOOKUP(B89,ProductList!B:BG,57,FALSE),3),""),""))</f>
        <v/>
      </c>
      <c r="I89" s="75" t="str">
        <f t="shared" si="2"/>
        <v/>
      </c>
      <c r="J89" s="1" t="str">
        <f>IFERROR(VLOOKUP(B89,ProductList!B:AO,21,FALSE),"")</f>
        <v/>
      </c>
      <c r="K89" s="1" t="str">
        <f>IF(G89="KGS",IF(D89&lt;&gt;"",IFERROR(ROUND(VLOOKUP(D89,ProductList!J:BG,47,FALSE),3),""),""),IF(D89&lt;&gt;"",IFERROR(ROUND(VLOOKUP(D89,ProductList!J:BG,46,FALSE),3),""),""))</f>
        <v/>
      </c>
      <c r="L89" s="1" t="str">
        <f t="shared" si="3"/>
        <v/>
      </c>
    </row>
    <row r="90" spans="1:12" x14ac:dyDescent="0.25">
      <c r="A90" s="304"/>
      <c r="B90" s="73"/>
      <c r="C90" s="73"/>
      <c r="D90" s="104"/>
      <c r="E90" s="122"/>
      <c r="F90" s="73" t="str">
        <f>IF(G90="KGS",IF(B90&lt;&gt;"",IFERROR(VLOOKUP(B90,ProductList!B:AO,21,FALSE),""),""),IF(D90&lt;&gt;"",IFERROR(VLOOKUP(B90,ProductList!B:AO,24,FALSE),""),""))</f>
        <v/>
      </c>
      <c r="G90" s="6" t="s">
        <v>216</v>
      </c>
      <c r="H90" s="75" t="str">
        <f>IF(G90="KGS",IF(B90&lt;&gt;"",IFERROR(ROUND(VLOOKUP(B90,ProductList!B:BG,58,FALSE),3),""),""),IF(B90&lt;&gt;"",IFERROR(ROUND(VLOOKUP(B90,ProductList!B:BG,57,FALSE),3),""),""))</f>
        <v/>
      </c>
      <c r="I90" s="75" t="str">
        <f t="shared" si="2"/>
        <v/>
      </c>
      <c r="J90" s="1" t="str">
        <f>IFERROR(VLOOKUP(B90,ProductList!B:AO,21,FALSE),"")</f>
        <v/>
      </c>
      <c r="K90" s="1" t="str">
        <f>IF(G90="KGS",IF(D90&lt;&gt;"",IFERROR(ROUND(VLOOKUP(D90,ProductList!J:BG,47,FALSE),3),""),""),IF(D90&lt;&gt;"",IFERROR(ROUND(VLOOKUP(D90,ProductList!J:BG,46,FALSE),3),""),""))</f>
        <v/>
      </c>
      <c r="L90" s="1" t="str">
        <f t="shared" si="3"/>
        <v/>
      </c>
    </row>
    <row r="91" spans="1:12" x14ac:dyDescent="0.25">
      <c r="A91" s="304"/>
      <c r="B91" s="73"/>
      <c r="C91" s="73"/>
      <c r="D91" s="104"/>
      <c r="E91" s="122"/>
      <c r="F91" s="73" t="str">
        <f>IF(G91="KGS",IF(B91&lt;&gt;"",IFERROR(VLOOKUP(B91,ProductList!B:AO,21,FALSE),""),""),IF(D91&lt;&gt;"",IFERROR(VLOOKUP(B91,ProductList!B:AO,24,FALSE),""),""))</f>
        <v/>
      </c>
      <c r="G91" s="6" t="s">
        <v>216</v>
      </c>
      <c r="H91" s="75" t="str">
        <f>IF(G91="KGS",IF(B91&lt;&gt;"",IFERROR(ROUND(VLOOKUP(B91,ProductList!B:BG,58,FALSE),3),""),""),IF(B91&lt;&gt;"",IFERROR(ROUND(VLOOKUP(B91,ProductList!B:BG,57,FALSE),3),""),""))</f>
        <v/>
      </c>
      <c r="I91" s="75" t="str">
        <f t="shared" si="2"/>
        <v/>
      </c>
      <c r="J91" s="1" t="str">
        <f>IFERROR(VLOOKUP(B91,ProductList!B:AO,21,FALSE),"")</f>
        <v/>
      </c>
      <c r="K91" s="1" t="str">
        <f>IF(G91="KGS",IF(D91&lt;&gt;"",IFERROR(ROUND(VLOOKUP(D91,ProductList!J:BG,47,FALSE),3),""),""),IF(D91&lt;&gt;"",IFERROR(ROUND(VLOOKUP(D91,ProductList!J:BG,46,FALSE),3),""),""))</f>
        <v/>
      </c>
      <c r="L91" s="1" t="str">
        <f t="shared" si="3"/>
        <v/>
      </c>
    </row>
    <row r="92" spans="1:12" x14ac:dyDescent="0.25">
      <c r="A92" s="304"/>
      <c r="B92" s="73"/>
      <c r="C92" s="73"/>
      <c r="D92" s="104"/>
      <c r="E92" s="122"/>
      <c r="F92" s="73" t="str">
        <f>IF(G92="KGS",IF(B92&lt;&gt;"",IFERROR(VLOOKUP(B92,ProductList!B:AO,21,FALSE),""),""),IF(D92&lt;&gt;"",IFERROR(VLOOKUP(B92,ProductList!B:AO,24,FALSE),""),""))</f>
        <v/>
      </c>
      <c r="G92" s="6" t="s">
        <v>216</v>
      </c>
      <c r="H92" s="75" t="str">
        <f>IF(G92="KGS",IF(B92&lt;&gt;"",IFERROR(ROUND(VLOOKUP(B92,ProductList!B:BG,58,FALSE),3),""),""),IF(B92&lt;&gt;"",IFERROR(ROUND(VLOOKUP(B92,ProductList!B:BG,57,FALSE),3),""),""))</f>
        <v/>
      </c>
      <c r="I92" s="75" t="str">
        <f t="shared" si="2"/>
        <v/>
      </c>
      <c r="J92" s="1" t="str">
        <f>IFERROR(VLOOKUP(B92,ProductList!B:AO,21,FALSE),"")</f>
        <v/>
      </c>
      <c r="K92" s="1" t="str">
        <f>IF(G92="KGS",IF(D92&lt;&gt;"",IFERROR(ROUND(VLOOKUP(D92,ProductList!J:BG,47,FALSE),3),""),""),IF(D92&lt;&gt;"",IFERROR(ROUND(VLOOKUP(D92,ProductList!J:BG,46,FALSE),3),""),""))</f>
        <v/>
      </c>
      <c r="L92" s="1" t="str">
        <f t="shared" si="3"/>
        <v/>
      </c>
    </row>
    <row r="93" spans="1:12" x14ac:dyDescent="0.25">
      <c r="A93" s="304"/>
      <c r="B93" s="73"/>
      <c r="C93" s="73"/>
      <c r="D93" s="104"/>
      <c r="E93" s="122"/>
      <c r="F93" s="73" t="str">
        <f>IF(G93="KGS",IF(B93&lt;&gt;"",IFERROR(VLOOKUP(B93,ProductList!B:AO,21,FALSE),""),""),IF(D93&lt;&gt;"",IFERROR(VLOOKUP(B93,ProductList!B:AO,24,FALSE),""),""))</f>
        <v/>
      </c>
      <c r="G93" s="6" t="s">
        <v>216</v>
      </c>
      <c r="H93" s="75" t="str">
        <f>IF(G93="KGS",IF(B93&lt;&gt;"",IFERROR(ROUND(VLOOKUP(B93,ProductList!B:BG,58,FALSE),3),""),""),IF(B93&lt;&gt;"",IFERROR(ROUND(VLOOKUP(B93,ProductList!B:BG,57,FALSE),3),""),""))</f>
        <v/>
      </c>
      <c r="I93" s="75" t="str">
        <f t="shared" si="2"/>
        <v/>
      </c>
      <c r="J93" s="1" t="str">
        <f>IFERROR(VLOOKUP(B93,ProductList!B:AO,21,FALSE),"")</f>
        <v/>
      </c>
      <c r="K93" s="1" t="str">
        <f>IF(G93="KGS",IF(D93&lt;&gt;"",IFERROR(ROUND(VLOOKUP(D93,ProductList!J:BG,47,FALSE),3),""),""),IF(D93&lt;&gt;"",IFERROR(ROUND(VLOOKUP(D93,ProductList!J:BG,46,FALSE),3),""),""))</f>
        <v/>
      </c>
      <c r="L93" s="1" t="str">
        <f t="shared" si="3"/>
        <v/>
      </c>
    </row>
    <row r="94" spans="1:12" x14ac:dyDescent="0.25">
      <c r="A94" s="304"/>
      <c r="B94" s="73"/>
      <c r="C94" s="73"/>
      <c r="D94" s="104"/>
      <c r="E94" s="122"/>
      <c r="F94" s="73" t="str">
        <f>IF(G94="KGS",IF(B94&lt;&gt;"",IFERROR(VLOOKUP(B94,ProductList!B:AO,21,FALSE),""),""),IF(D94&lt;&gt;"",IFERROR(VLOOKUP(B94,ProductList!B:AO,24,FALSE),""),""))</f>
        <v/>
      </c>
      <c r="G94" s="6" t="s">
        <v>216</v>
      </c>
      <c r="H94" s="75" t="str">
        <f>IF(G94="KGS",IF(B94&lt;&gt;"",IFERROR(ROUND(VLOOKUP(B94,ProductList!B:BG,58,FALSE),3),""),""),IF(B94&lt;&gt;"",IFERROR(ROUND(VLOOKUP(B94,ProductList!B:BG,57,FALSE),3),""),""))</f>
        <v/>
      </c>
      <c r="I94" s="75" t="str">
        <f t="shared" si="2"/>
        <v/>
      </c>
      <c r="J94" s="1" t="str">
        <f>IFERROR(VLOOKUP(B94,ProductList!B:AO,21,FALSE),"")</f>
        <v/>
      </c>
      <c r="K94" s="1" t="str">
        <f>IF(G94="KGS",IF(D94&lt;&gt;"",IFERROR(ROUND(VLOOKUP(D94,ProductList!J:BG,47,FALSE),3),""),""),IF(D94&lt;&gt;"",IFERROR(ROUND(VLOOKUP(D94,ProductList!J:BG,46,FALSE),3),""),""))</f>
        <v/>
      </c>
      <c r="L94" s="1" t="str">
        <f t="shared" si="3"/>
        <v/>
      </c>
    </row>
    <row r="95" spans="1:12" x14ac:dyDescent="0.25">
      <c r="A95" s="304"/>
      <c r="B95" s="73"/>
      <c r="C95" s="73"/>
      <c r="D95" s="104"/>
      <c r="E95" s="122"/>
      <c r="F95" s="73" t="str">
        <f>IF(G95="KGS",IF(B95&lt;&gt;"",IFERROR(VLOOKUP(B95,ProductList!B:AO,21,FALSE),""),""),IF(D95&lt;&gt;"",IFERROR(VLOOKUP(B95,ProductList!B:AO,24,FALSE),""),""))</f>
        <v/>
      </c>
      <c r="G95" s="6" t="s">
        <v>216</v>
      </c>
      <c r="H95" s="75" t="str">
        <f>IF(G95="KGS",IF(B95&lt;&gt;"",IFERROR(ROUND(VLOOKUP(B95,ProductList!B:BG,58,FALSE),3),""),""),IF(B95&lt;&gt;"",IFERROR(ROUND(VLOOKUP(B95,ProductList!B:BG,57,FALSE),3),""),""))</f>
        <v/>
      </c>
      <c r="I95" s="75" t="str">
        <f t="shared" si="2"/>
        <v/>
      </c>
      <c r="J95" s="1" t="str">
        <f>IFERROR(VLOOKUP(B95,ProductList!B:AO,21,FALSE),"")</f>
        <v/>
      </c>
      <c r="K95" s="1" t="str">
        <f>IF(G95="KGS",IF(D95&lt;&gt;"",IFERROR(ROUND(VLOOKUP(D95,ProductList!J:BG,47,FALSE),3),""),""),IF(D95&lt;&gt;"",IFERROR(ROUND(VLOOKUP(D95,ProductList!J:BG,46,FALSE),3),""),""))</f>
        <v/>
      </c>
      <c r="L95" s="1" t="str">
        <f t="shared" si="3"/>
        <v/>
      </c>
    </row>
    <row r="96" spans="1:12" x14ac:dyDescent="0.25">
      <c r="A96" s="304"/>
      <c r="B96" s="73"/>
      <c r="C96" s="73"/>
      <c r="D96" s="104"/>
      <c r="E96" s="122"/>
      <c r="F96" s="73" t="str">
        <f>IF(G96="KGS",IF(B96&lt;&gt;"",IFERROR(VLOOKUP(B96,ProductList!B:AO,21,FALSE),""),""),IF(D96&lt;&gt;"",IFERROR(VLOOKUP(B96,ProductList!B:AO,24,FALSE),""),""))</f>
        <v/>
      </c>
      <c r="G96" s="6" t="s">
        <v>216</v>
      </c>
      <c r="H96" s="75" t="str">
        <f>IF(G96="KGS",IF(B96&lt;&gt;"",IFERROR(ROUND(VLOOKUP(B96,ProductList!B:BG,58,FALSE),3),""),""),IF(B96&lt;&gt;"",IFERROR(ROUND(VLOOKUP(B96,ProductList!B:BG,57,FALSE),3),""),""))</f>
        <v/>
      </c>
      <c r="I96" s="75" t="str">
        <f t="shared" si="2"/>
        <v/>
      </c>
      <c r="J96" s="1" t="str">
        <f>IFERROR(VLOOKUP(B96,ProductList!B:AO,21,FALSE),"")</f>
        <v/>
      </c>
      <c r="K96" s="1" t="str">
        <f>IF(G96="KGS",IF(D96&lt;&gt;"",IFERROR(ROUND(VLOOKUP(D96,ProductList!J:BG,47,FALSE),3),""),""),IF(D96&lt;&gt;"",IFERROR(ROUND(VLOOKUP(D96,ProductList!J:BG,46,FALSE),3),""),""))</f>
        <v/>
      </c>
      <c r="L96" s="1" t="str">
        <f t="shared" si="3"/>
        <v/>
      </c>
    </row>
    <row r="97" spans="1:12" x14ac:dyDescent="0.25">
      <c r="A97" s="304"/>
      <c r="B97" s="73"/>
      <c r="C97" s="73"/>
      <c r="D97" s="104"/>
      <c r="E97" s="122"/>
      <c r="F97" s="73" t="str">
        <f>IF(G97="KGS",IF(B97&lt;&gt;"",IFERROR(VLOOKUP(B97,ProductList!B:AO,21,FALSE),""),""),IF(D97&lt;&gt;"",IFERROR(VLOOKUP(B97,ProductList!B:AO,24,FALSE),""),""))</f>
        <v/>
      </c>
      <c r="G97" s="6" t="s">
        <v>216</v>
      </c>
      <c r="H97" s="75" t="str">
        <f>IF(G97="KGS",IF(B97&lt;&gt;"",IFERROR(ROUND(VLOOKUP(B97,ProductList!B:BG,58,FALSE),3),""),""),IF(B97&lt;&gt;"",IFERROR(ROUND(VLOOKUP(B97,ProductList!B:BG,57,FALSE),3),""),""))</f>
        <v/>
      </c>
      <c r="I97" s="75" t="str">
        <f t="shared" si="2"/>
        <v/>
      </c>
      <c r="J97" s="1" t="str">
        <f>IFERROR(VLOOKUP(B97,ProductList!B:AO,21,FALSE),"")</f>
        <v/>
      </c>
      <c r="K97" s="1" t="str">
        <f>IF(G97="KGS",IF(D97&lt;&gt;"",IFERROR(ROUND(VLOOKUP(D97,ProductList!J:BG,47,FALSE),3),""),""),IF(D97&lt;&gt;"",IFERROR(ROUND(VLOOKUP(D97,ProductList!J:BG,46,FALSE),3),""),""))</f>
        <v/>
      </c>
      <c r="L97" s="1" t="str">
        <f t="shared" si="3"/>
        <v/>
      </c>
    </row>
    <row r="98" spans="1:12" x14ac:dyDescent="0.25">
      <c r="A98" s="304"/>
      <c r="B98" s="73"/>
      <c r="C98" s="73"/>
      <c r="D98" s="104"/>
      <c r="E98" s="122"/>
      <c r="F98" s="73" t="str">
        <f>IF(G98="KGS",IF(B98&lt;&gt;"",IFERROR(VLOOKUP(B98,ProductList!B:AO,21,FALSE),""),""),IF(D98&lt;&gt;"",IFERROR(VLOOKUP(B98,ProductList!B:AO,24,FALSE),""),""))</f>
        <v/>
      </c>
      <c r="G98" s="6" t="s">
        <v>216</v>
      </c>
      <c r="H98" s="75" t="str">
        <f>IF(G98="KGS",IF(B98&lt;&gt;"",IFERROR(ROUND(VLOOKUP(B98,ProductList!B:BG,58,FALSE),3),""),""),IF(B98&lt;&gt;"",IFERROR(ROUND(VLOOKUP(B98,ProductList!B:BG,57,FALSE),3),""),""))</f>
        <v/>
      </c>
      <c r="I98" s="75" t="str">
        <f t="shared" si="2"/>
        <v/>
      </c>
      <c r="J98" s="1" t="str">
        <f>IFERROR(VLOOKUP(B98,ProductList!B:AO,21,FALSE),"")</f>
        <v/>
      </c>
      <c r="K98" s="1" t="str">
        <f>IF(G98="KGS",IF(D98&lt;&gt;"",IFERROR(ROUND(VLOOKUP(D98,ProductList!J:BG,47,FALSE),3),""),""),IF(D98&lt;&gt;"",IFERROR(ROUND(VLOOKUP(D98,ProductList!J:BG,46,FALSE),3),""),""))</f>
        <v/>
      </c>
      <c r="L98" s="1" t="str">
        <f t="shared" si="3"/>
        <v/>
      </c>
    </row>
    <row r="99" spans="1:12" x14ac:dyDescent="0.25">
      <c r="A99" s="304"/>
      <c r="B99" s="73"/>
      <c r="C99" s="73"/>
      <c r="D99" s="104"/>
      <c r="E99" s="122"/>
      <c r="F99" s="73" t="str">
        <f>IF(G99="KGS",IF(B99&lt;&gt;"",IFERROR(VLOOKUP(B99,ProductList!B:AO,21,FALSE),""),""),IF(D99&lt;&gt;"",IFERROR(VLOOKUP(B99,ProductList!B:AO,24,FALSE),""),""))</f>
        <v/>
      </c>
      <c r="G99" s="6" t="s">
        <v>216</v>
      </c>
      <c r="H99" s="75" t="str">
        <f>IF(G99="KGS",IF(B99&lt;&gt;"",IFERROR(ROUND(VLOOKUP(B99,ProductList!B:BG,58,FALSE),3),""),""),IF(B99&lt;&gt;"",IFERROR(ROUND(VLOOKUP(B99,ProductList!B:BG,57,FALSE),3),""),""))</f>
        <v/>
      </c>
      <c r="I99" s="75" t="str">
        <f t="shared" si="2"/>
        <v/>
      </c>
      <c r="J99" s="1" t="str">
        <f>IFERROR(VLOOKUP(B99,ProductList!B:AO,21,FALSE),"")</f>
        <v/>
      </c>
      <c r="K99" s="1" t="str">
        <f>IF(G99="KGS",IF(D99&lt;&gt;"",IFERROR(ROUND(VLOOKUP(D99,ProductList!J:BG,47,FALSE),3),""),""),IF(D99&lt;&gt;"",IFERROR(ROUND(VLOOKUP(D99,ProductList!J:BG,46,FALSE),3),""),""))</f>
        <v/>
      </c>
      <c r="L99" s="1" t="str">
        <f t="shared" si="3"/>
        <v/>
      </c>
    </row>
    <row r="100" spans="1:12" x14ac:dyDescent="0.25">
      <c r="A100" s="304"/>
      <c r="B100" s="73"/>
      <c r="C100" s="73"/>
      <c r="D100" s="104"/>
      <c r="E100" s="122"/>
      <c r="F100" s="73" t="str">
        <f>IF(G100="KGS",IF(B100&lt;&gt;"",IFERROR(VLOOKUP(B100,ProductList!B:AO,21,FALSE),""),""),IF(D100&lt;&gt;"",IFERROR(VLOOKUP(B100,ProductList!B:AO,24,FALSE),""),""))</f>
        <v/>
      </c>
      <c r="G100" s="6" t="s">
        <v>216</v>
      </c>
      <c r="H100" s="75" t="str">
        <f>IF(G100="KGS",IF(B100&lt;&gt;"",IFERROR(ROUND(VLOOKUP(B100,ProductList!B:BG,58,FALSE),3),""),""),IF(B100&lt;&gt;"",IFERROR(ROUND(VLOOKUP(B100,ProductList!B:BG,57,FALSE),3),""),""))</f>
        <v/>
      </c>
      <c r="I100" s="75" t="str">
        <f t="shared" si="2"/>
        <v/>
      </c>
      <c r="J100" s="1" t="str">
        <f>IFERROR(VLOOKUP(B100,ProductList!B:AO,21,FALSE),"")</f>
        <v/>
      </c>
      <c r="K100" s="1" t="str">
        <f>IF(G100="KGS",IF(D100&lt;&gt;"",IFERROR(ROUND(VLOOKUP(D100,ProductList!J:BG,47,FALSE),3),""),""),IF(D100&lt;&gt;"",IFERROR(ROUND(VLOOKUP(D100,ProductList!J:BG,46,FALSE),3),""),""))</f>
        <v/>
      </c>
      <c r="L100" s="1" t="str">
        <f t="shared" si="3"/>
        <v/>
      </c>
    </row>
    <row r="101" spans="1:12" x14ac:dyDescent="0.25">
      <c r="A101" s="304"/>
      <c r="B101" s="73"/>
      <c r="C101" s="73"/>
      <c r="D101" s="104"/>
      <c r="E101" s="122"/>
      <c r="F101" s="73" t="str">
        <f>IF(G101="KGS",IF(B101&lt;&gt;"",IFERROR(VLOOKUP(B101,ProductList!B:AO,21,FALSE),""),""),IF(D101&lt;&gt;"",IFERROR(VLOOKUP(B101,ProductList!B:AO,24,FALSE),""),""))</f>
        <v/>
      </c>
      <c r="G101" s="6" t="s">
        <v>216</v>
      </c>
      <c r="H101" s="75" t="str">
        <f>IF(G101="KGS",IF(B101&lt;&gt;"",IFERROR(ROUND(VLOOKUP(B101,ProductList!B:BG,58,FALSE),3),""),""),IF(B101&lt;&gt;"",IFERROR(ROUND(VLOOKUP(B101,ProductList!B:BG,57,FALSE),3),""),""))</f>
        <v/>
      </c>
      <c r="I101" s="75" t="str">
        <f t="shared" si="2"/>
        <v/>
      </c>
      <c r="J101" s="1" t="str">
        <f>IFERROR(VLOOKUP(B101,ProductList!B:AO,21,FALSE),"")</f>
        <v/>
      </c>
      <c r="K101" s="1" t="str">
        <f>IF(G101="KGS",IF(D101&lt;&gt;"",IFERROR(ROUND(VLOOKUP(D101,ProductList!J:BG,47,FALSE),3),""),""),IF(D101&lt;&gt;"",IFERROR(ROUND(VLOOKUP(D101,ProductList!J:BG,46,FALSE),3),""),""))</f>
        <v/>
      </c>
      <c r="L101" s="1" t="str">
        <f t="shared" si="3"/>
        <v/>
      </c>
    </row>
    <row r="102" spans="1:12" x14ac:dyDescent="0.25">
      <c r="A102" s="304"/>
      <c r="B102" s="73"/>
      <c r="C102" s="73"/>
      <c r="D102" s="104"/>
      <c r="E102" s="122"/>
      <c r="F102" s="73" t="str">
        <f>IF(G102="KGS",IF(B102&lt;&gt;"",IFERROR(VLOOKUP(B102,ProductList!B:AO,21,FALSE),""),""),IF(D102&lt;&gt;"",IFERROR(VLOOKUP(B102,ProductList!B:AO,24,FALSE),""),""))</f>
        <v/>
      </c>
      <c r="G102" s="6" t="s">
        <v>216</v>
      </c>
      <c r="H102" s="75" t="str">
        <f>IF(G102="KGS",IF(B102&lt;&gt;"",IFERROR(ROUND(VLOOKUP(B102,ProductList!B:BG,58,FALSE),3),""),""),IF(B102&lt;&gt;"",IFERROR(ROUND(VLOOKUP(B102,ProductList!B:BG,57,FALSE),3),""),""))</f>
        <v/>
      </c>
      <c r="I102" s="75" t="str">
        <f t="shared" si="2"/>
        <v/>
      </c>
      <c r="J102" s="1" t="str">
        <f>IFERROR(VLOOKUP(B102,ProductList!B:AO,21,FALSE),"")</f>
        <v/>
      </c>
      <c r="K102" s="1" t="str">
        <f>IF(G102="KGS",IF(D102&lt;&gt;"",IFERROR(ROUND(VLOOKUP(D102,ProductList!J:BG,47,FALSE),3),""),""),IF(D102&lt;&gt;"",IFERROR(ROUND(VLOOKUP(D102,ProductList!J:BG,46,FALSE),3),""),""))</f>
        <v/>
      </c>
      <c r="L102" s="1" t="str">
        <f t="shared" si="3"/>
        <v/>
      </c>
    </row>
    <row r="103" spans="1:12" x14ac:dyDescent="0.25">
      <c r="A103" s="304"/>
      <c r="B103" s="73"/>
      <c r="C103" s="73"/>
      <c r="D103" s="104"/>
      <c r="E103" s="122"/>
      <c r="F103" s="73" t="str">
        <f>IF(G103="KGS",IF(B103&lt;&gt;"",IFERROR(VLOOKUP(B103,ProductList!B:AO,21,FALSE),""),""),IF(D103&lt;&gt;"",IFERROR(VLOOKUP(B103,ProductList!B:AO,24,FALSE),""),""))</f>
        <v/>
      </c>
      <c r="G103" s="6" t="s">
        <v>216</v>
      </c>
      <c r="H103" s="75" t="str">
        <f>IF(G103="KGS",IF(B103&lt;&gt;"",IFERROR(ROUND(VLOOKUP(B103,ProductList!B:BG,58,FALSE),3),""),""),IF(B103&lt;&gt;"",IFERROR(ROUND(VLOOKUP(B103,ProductList!B:BG,57,FALSE),3),""),""))</f>
        <v/>
      </c>
      <c r="I103" s="75" t="str">
        <f t="shared" si="2"/>
        <v/>
      </c>
      <c r="J103" s="1" t="str">
        <f>IFERROR(VLOOKUP(B103,ProductList!B:AO,21,FALSE),"")</f>
        <v/>
      </c>
      <c r="K103" s="1" t="str">
        <f>IF(G103="KGS",IF(D103&lt;&gt;"",IFERROR(ROUND(VLOOKUP(D103,ProductList!J:BG,47,FALSE),3),""),""),IF(D103&lt;&gt;"",IFERROR(ROUND(VLOOKUP(D103,ProductList!J:BG,46,FALSE),3),""),""))</f>
        <v/>
      </c>
      <c r="L103" s="1" t="str">
        <f t="shared" si="3"/>
        <v/>
      </c>
    </row>
    <row r="104" spans="1:12" x14ac:dyDescent="0.25">
      <c r="A104" s="304"/>
      <c r="B104" s="73"/>
      <c r="C104" s="73"/>
      <c r="D104" s="104"/>
      <c r="E104" s="122"/>
      <c r="F104" s="73" t="str">
        <f>IF(G104="KGS",IF(B104&lt;&gt;"",IFERROR(VLOOKUP(B104,ProductList!B:AO,21,FALSE),""),""),IF(D104&lt;&gt;"",IFERROR(VLOOKUP(B104,ProductList!B:AO,24,FALSE),""),""))</f>
        <v/>
      </c>
      <c r="G104" s="6" t="s">
        <v>216</v>
      </c>
      <c r="H104" s="75" t="str">
        <f>IF(G104="KGS",IF(B104&lt;&gt;"",IFERROR(ROUND(VLOOKUP(B104,ProductList!B:BG,58,FALSE),3),""),""),IF(B104&lt;&gt;"",IFERROR(ROUND(VLOOKUP(B104,ProductList!B:BG,57,FALSE),3),""),""))</f>
        <v/>
      </c>
      <c r="I104" s="75" t="str">
        <f t="shared" si="2"/>
        <v/>
      </c>
      <c r="J104" s="1" t="str">
        <f>IFERROR(VLOOKUP(B104,ProductList!B:AO,21,FALSE),"")</f>
        <v/>
      </c>
      <c r="K104" s="1" t="str">
        <f>IF(G104="KGS",IF(D104&lt;&gt;"",IFERROR(ROUND(VLOOKUP(D104,ProductList!J:BG,47,FALSE),3),""),""),IF(D104&lt;&gt;"",IFERROR(ROUND(VLOOKUP(D104,ProductList!J:BG,46,FALSE),3),""),""))</f>
        <v/>
      </c>
      <c r="L104" s="1" t="str">
        <f t="shared" si="3"/>
        <v/>
      </c>
    </row>
    <row r="105" spans="1:12" x14ac:dyDescent="0.25">
      <c r="A105" s="304"/>
      <c r="B105" s="73"/>
      <c r="C105" s="73"/>
      <c r="D105" s="104"/>
      <c r="E105" s="122"/>
      <c r="F105" s="73" t="str">
        <f>IF(G105="KGS",IF(B105&lt;&gt;"",IFERROR(VLOOKUP(B105,ProductList!B:AO,21,FALSE),""),""),IF(D105&lt;&gt;"",IFERROR(VLOOKUP(B105,ProductList!B:AO,24,FALSE),""),""))</f>
        <v/>
      </c>
      <c r="G105" s="6" t="s">
        <v>216</v>
      </c>
      <c r="H105" s="75" t="str">
        <f>IF(G105="KGS",IF(B105&lt;&gt;"",IFERROR(ROUND(VLOOKUP(B105,ProductList!B:BG,58,FALSE),3),""),""),IF(B105&lt;&gt;"",IFERROR(ROUND(VLOOKUP(B105,ProductList!B:BG,57,FALSE),3),""),""))</f>
        <v/>
      </c>
      <c r="I105" s="75" t="str">
        <f t="shared" si="2"/>
        <v/>
      </c>
      <c r="J105" s="1" t="str">
        <f>IFERROR(VLOOKUP(B105,ProductList!B:AO,21,FALSE),"")</f>
        <v/>
      </c>
      <c r="K105" s="1" t="str">
        <f>IF(G105="KGS",IF(D105&lt;&gt;"",IFERROR(ROUND(VLOOKUP(D105,ProductList!J:BG,47,FALSE),3),""),""),IF(D105&lt;&gt;"",IFERROR(ROUND(VLOOKUP(D105,ProductList!J:BG,46,FALSE),3),""),""))</f>
        <v/>
      </c>
      <c r="L105" s="1" t="str">
        <f t="shared" si="3"/>
        <v/>
      </c>
    </row>
    <row r="106" spans="1:12" x14ac:dyDescent="0.25">
      <c r="A106" s="304"/>
      <c r="B106" s="73"/>
      <c r="C106" s="73"/>
      <c r="D106" s="104"/>
      <c r="E106" s="122"/>
      <c r="F106" s="73" t="str">
        <f>IF(G106="KGS",IF(B106&lt;&gt;"",IFERROR(VLOOKUP(B106,ProductList!B:AO,21,FALSE),""),""),IF(D106&lt;&gt;"",IFERROR(VLOOKUP(B106,ProductList!B:AO,24,FALSE),""),""))</f>
        <v/>
      </c>
      <c r="G106" s="6" t="s">
        <v>216</v>
      </c>
      <c r="H106" s="75" t="str">
        <f>IF(G106="KGS",IF(B106&lt;&gt;"",IFERROR(ROUND(VLOOKUP(B106,ProductList!B:BG,58,FALSE),3),""),""),IF(B106&lt;&gt;"",IFERROR(ROUND(VLOOKUP(B106,ProductList!B:BG,57,FALSE),3),""),""))</f>
        <v/>
      </c>
      <c r="I106" s="75" t="str">
        <f t="shared" si="2"/>
        <v/>
      </c>
      <c r="J106" s="1" t="str">
        <f>IFERROR(VLOOKUP(B106,ProductList!B:AO,21,FALSE),"")</f>
        <v/>
      </c>
      <c r="K106" s="1" t="str">
        <f>IF(G106="KGS",IF(D106&lt;&gt;"",IFERROR(ROUND(VLOOKUP(D106,ProductList!J:BG,47,FALSE),3),""),""),IF(D106&lt;&gt;"",IFERROR(ROUND(VLOOKUP(D106,ProductList!J:BG,46,FALSE),3),""),""))</f>
        <v/>
      </c>
      <c r="L106" s="1" t="str">
        <f t="shared" si="3"/>
        <v/>
      </c>
    </row>
    <row r="107" spans="1:12" x14ac:dyDescent="0.25">
      <c r="A107" s="304"/>
      <c r="B107" s="73"/>
      <c r="C107" s="73"/>
      <c r="D107" s="104"/>
      <c r="E107" s="122"/>
      <c r="F107" s="73" t="str">
        <f>IF(G107="KGS",IF(B107&lt;&gt;"",IFERROR(VLOOKUP(B107,ProductList!B:AO,21,FALSE),""),""),IF(D107&lt;&gt;"",IFERROR(VLOOKUP(B107,ProductList!B:AO,24,FALSE),""),""))</f>
        <v/>
      </c>
      <c r="G107" s="6" t="s">
        <v>216</v>
      </c>
      <c r="H107" s="75" t="str">
        <f>IF(G107="KGS",IF(B107&lt;&gt;"",IFERROR(ROUND(VLOOKUP(B107,ProductList!B:BG,58,FALSE),3),""),""),IF(B107&lt;&gt;"",IFERROR(ROUND(VLOOKUP(B107,ProductList!B:BG,57,FALSE),3),""),""))</f>
        <v/>
      </c>
      <c r="I107" s="75" t="str">
        <f t="shared" si="2"/>
        <v/>
      </c>
      <c r="J107" s="1" t="str">
        <f>IFERROR(VLOOKUP(B107,ProductList!B:AO,21,FALSE),"")</f>
        <v/>
      </c>
      <c r="K107" s="1" t="str">
        <f>IF(G107="KGS",IF(D107&lt;&gt;"",IFERROR(ROUND(VLOOKUP(D107,ProductList!J:BG,47,FALSE),3),""),""),IF(D107&lt;&gt;"",IFERROR(ROUND(VLOOKUP(D107,ProductList!J:BG,46,FALSE),3),""),""))</f>
        <v/>
      </c>
      <c r="L107" s="1" t="str">
        <f t="shared" si="3"/>
        <v/>
      </c>
    </row>
    <row r="108" spans="1:12" x14ac:dyDescent="0.25">
      <c r="A108" s="304"/>
      <c r="B108" s="73"/>
      <c r="C108" s="73"/>
      <c r="D108" s="104"/>
      <c r="E108" s="122"/>
      <c r="F108" s="73" t="str">
        <f>IF(G108="KGS",IF(B108&lt;&gt;"",IFERROR(VLOOKUP(B108,ProductList!B:AO,21,FALSE),""),""),IF(D108&lt;&gt;"",IFERROR(VLOOKUP(B108,ProductList!B:AO,24,FALSE),""),""))</f>
        <v/>
      </c>
      <c r="G108" s="6" t="s">
        <v>216</v>
      </c>
      <c r="H108" s="75" t="str">
        <f>IF(G108="KGS",IF(B108&lt;&gt;"",IFERROR(ROUND(VLOOKUP(B108,ProductList!B:BG,58,FALSE),3),""),""),IF(B108&lt;&gt;"",IFERROR(ROUND(VLOOKUP(B108,ProductList!B:BG,57,FALSE),3),""),""))</f>
        <v/>
      </c>
      <c r="I108" s="75" t="str">
        <f t="shared" si="2"/>
        <v/>
      </c>
      <c r="J108" s="1" t="str">
        <f>IFERROR(VLOOKUP(B108,ProductList!B:AO,21,FALSE),"")</f>
        <v/>
      </c>
      <c r="K108" s="1" t="str">
        <f>IF(G108="KGS",IF(D108&lt;&gt;"",IFERROR(ROUND(VLOOKUP(D108,ProductList!J:BG,47,FALSE),3),""),""),IF(D108&lt;&gt;"",IFERROR(ROUND(VLOOKUP(D108,ProductList!J:BG,46,FALSE),3),""),""))</f>
        <v/>
      </c>
      <c r="L108" s="1" t="str">
        <f t="shared" si="3"/>
        <v/>
      </c>
    </row>
    <row r="109" spans="1:12" x14ac:dyDescent="0.25">
      <c r="A109" s="304"/>
      <c r="B109" s="73"/>
      <c r="C109" s="73"/>
      <c r="D109" s="104"/>
      <c r="E109" s="122"/>
      <c r="F109" s="73" t="str">
        <f>IF(G109="KGS",IF(B109&lt;&gt;"",IFERROR(VLOOKUP(B109,ProductList!B:AO,21,FALSE),""),""),IF(D109&lt;&gt;"",IFERROR(VLOOKUP(B109,ProductList!B:AO,24,FALSE),""),""))</f>
        <v/>
      </c>
      <c r="G109" s="6" t="s">
        <v>216</v>
      </c>
      <c r="H109" s="75" t="str">
        <f>IF(G109="KGS",IF(B109&lt;&gt;"",IFERROR(ROUND(VLOOKUP(B109,ProductList!B:BG,58,FALSE),3),""),""),IF(B109&lt;&gt;"",IFERROR(ROUND(VLOOKUP(B109,ProductList!B:BG,57,FALSE),3),""),""))</f>
        <v/>
      </c>
      <c r="I109" s="75" t="str">
        <f t="shared" si="2"/>
        <v/>
      </c>
      <c r="J109" s="1" t="str">
        <f>IFERROR(VLOOKUP(B109,ProductList!B:AO,21,FALSE),"")</f>
        <v/>
      </c>
      <c r="K109" s="1" t="str">
        <f>IF(G109="KGS",IF(D109&lt;&gt;"",IFERROR(ROUND(VLOOKUP(D109,ProductList!J:BG,47,FALSE),3),""),""),IF(D109&lt;&gt;"",IFERROR(ROUND(VLOOKUP(D109,ProductList!J:BG,46,FALSE),3),""),""))</f>
        <v/>
      </c>
      <c r="L109" s="1" t="str">
        <f t="shared" si="3"/>
        <v/>
      </c>
    </row>
    <row r="110" spans="1:12" x14ac:dyDescent="0.25">
      <c r="A110" s="304"/>
      <c r="B110" s="73"/>
      <c r="C110" s="73"/>
      <c r="D110" s="104"/>
      <c r="E110" s="122"/>
      <c r="F110" s="73" t="str">
        <f>IF(G110="KGS",IF(B110&lt;&gt;"",IFERROR(VLOOKUP(B110,ProductList!B:AO,21,FALSE),""),""),IF(D110&lt;&gt;"",IFERROR(VLOOKUP(B110,ProductList!B:AO,24,FALSE),""),""))</f>
        <v/>
      </c>
      <c r="G110" s="6" t="s">
        <v>216</v>
      </c>
      <c r="H110" s="75" t="str">
        <f>IF(G110="KGS",IF(B110&lt;&gt;"",IFERROR(ROUND(VLOOKUP(B110,ProductList!B:BG,58,FALSE),3),""),""),IF(B110&lt;&gt;"",IFERROR(ROUND(VLOOKUP(B110,ProductList!B:BG,57,FALSE),3),""),""))</f>
        <v/>
      </c>
      <c r="I110" s="75" t="str">
        <f t="shared" si="2"/>
        <v/>
      </c>
      <c r="J110" s="1" t="str">
        <f>IFERROR(VLOOKUP(B110,ProductList!B:AO,21,FALSE),"")</f>
        <v/>
      </c>
      <c r="K110" s="1" t="str">
        <f>IF(G110="KGS",IF(D110&lt;&gt;"",IFERROR(ROUND(VLOOKUP(D110,ProductList!J:BG,47,FALSE),3),""),""),IF(D110&lt;&gt;"",IFERROR(ROUND(VLOOKUP(D110,ProductList!J:BG,46,FALSE),3),""),""))</f>
        <v/>
      </c>
      <c r="L110" s="1" t="str">
        <f t="shared" si="3"/>
        <v/>
      </c>
    </row>
    <row r="111" spans="1:12" x14ac:dyDescent="0.25">
      <c r="A111" s="304"/>
      <c r="B111" s="73"/>
      <c r="C111" s="73"/>
      <c r="D111" s="104"/>
      <c r="E111" s="122"/>
      <c r="F111" s="73" t="str">
        <f>IF(G111="KGS",IF(B111&lt;&gt;"",IFERROR(VLOOKUP(B111,ProductList!B:AO,21,FALSE),""),""),IF(D111&lt;&gt;"",IFERROR(VLOOKUP(B111,ProductList!B:AO,24,FALSE),""),""))</f>
        <v/>
      </c>
      <c r="G111" s="6" t="s">
        <v>216</v>
      </c>
      <c r="H111" s="75" t="str">
        <f>IF(G111="KGS",IF(B111&lt;&gt;"",IFERROR(ROUND(VLOOKUP(B111,ProductList!B:BG,58,FALSE),3),""),""),IF(B111&lt;&gt;"",IFERROR(ROUND(VLOOKUP(B111,ProductList!B:BG,57,FALSE),3),""),""))</f>
        <v/>
      </c>
      <c r="I111" s="75" t="str">
        <f t="shared" si="2"/>
        <v/>
      </c>
      <c r="J111" s="1" t="str">
        <f>IFERROR(VLOOKUP(B111,ProductList!B:AO,21,FALSE),"")</f>
        <v/>
      </c>
      <c r="K111" s="1" t="str">
        <f>IF(G111="KGS",IF(D111&lt;&gt;"",IFERROR(ROUND(VLOOKUP(D111,ProductList!J:BG,47,FALSE),3),""),""),IF(D111&lt;&gt;"",IFERROR(ROUND(VLOOKUP(D111,ProductList!J:BG,46,FALSE),3),""),""))</f>
        <v/>
      </c>
      <c r="L111" s="1" t="str">
        <f t="shared" si="3"/>
        <v/>
      </c>
    </row>
    <row r="112" spans="1:12" x14ac:dyDescent="0.25">
      <c r="A112" s="304"/>
      <c r="B112" s="73"/>
      <c r="C112" s="73"/>
      <c r="D112" s="104"/>
      <c r="E112" s="122"/>
      <c r="F112" s="73" t="str">
        <f>IF(G112="KGS",IF(B112&lt;&gt;"",IFERROR(VLOOKUP(B112,ProductList!B:AO,21,FALSE),""),""),IF(D112&lt;&gt;"",IFERROR(VLOOKUP(B112,ProductList!B:AO,24,FALSE),""),""))</f>
        <v/>
      </c>
      <c r="G112" s="6" t="s">
        <v>216</v>
      </c>
      <c r="H112" s="75" t="str">
        <f>IF(G112="KGS",IF(B112&lt;&gt;"",IFERROR(ROUND(VLOOKUP(B112,ProductList!B:BG,58,FALSE),3),""),""),IF(B112&lt;&gt;"",IFERROR(ROUND(VLOOKUP(B112,ProductList!B:BG,57,FALSE),3),""),""))</f>
        <v/>
      </c>
      <c r="I112" s="75" t="str">
        <f t="shared" si="2"/>
        <v/>
      </c>
      <c r="J112" s="1" t="str">
        <f>IFERROR(VLOOKUP(B112,ProductList!B:AO,21,FALSE),"")</f>
        <v/>
      </c>
      <c r="K112" s="1" t="str">
        <f>IF(G112="KGS",IF(D112&lt;&gt;"",IFERROR(ROUND(VLOOKUP(D112,ProductList!J:BG,47,FALSE),3),""),""),IF(D112&lt;&gt;"",IFERROR(ROUND(VLOOKUP(D112,ProductList!J:BG,46,FALSE),3),""),""))</f>
        <v/>
      </c>
      <c r="L112" s="1" t="str">
        <f t="shared" si="3"/>
        <v/>
      </c>
    </row>
    <row r="113" spans="1:12" x14ac:dyDescent="0.25">
      <c r="A113" s="304"/>
      <c r="B113" s="73"/>
      <c r="C113" s="73"/>
      <c r="D113" s="104"/>
      <c r="E113" s="122"/>
      <c r="F113" s="73" t="str">
        <f>IF(G113="KGS",IF(B113&lt;&gt;"",IFERROR(VLOOKUP(B113,ProductList!B:AO,21,FALSE),""),""),IF(D113&lt;&gt;"",IFERROR(VLOOKUP(B113,ProductList!B:AO,24,FALSE),""),""))</f>
        <v/>
      </c>
      <c r="G113" s="6" t="s">
        <v>216</v>
      </c>
      <c r="H113" s="75" t="str">
        <f>IF(G113="KGS",IF(B113&lt;&gt;"",IFERROR(ROUND(VLOOKUP(B113,ProductList!B:BG,58,FALSE),3),""),""),IF(B113&lt;&gt;"",IFERROR(ROUND(VLOOKUP(B113,ProductList!B:BG,57,FALSE),3),""),""))</f>
        <v/>
      </c>
      <c r="I113" s="75" t="str">
        <f t="shared" si="2"/>
        <v/>
      </c>
      <c r="J113" s="1" t="str">
        <f>IFERROR(VLOOKUP(B113,ProductList!B:AO,21,FALSE),"")</f>
        <v/>
      </c>
      <c r="K113" s="1" t="str">
        <f>IF(G113="KGS",IF(D113&lt;&gt;"",IFERROR(ROUND(VLOOKUP(D113,ProductList!J:BG,47,FALSE),3),""),""),IF(D113&lt;&gt;"",IFERROR(ROUND(VLOOKUP(D113,ProductList!J:BG,46,FALSE),3),""),""))</f>
        <v/>
      </c>
      <c r="L113" s="1" t="str">
        <f t="shared" si="3"/>
        <v/>
      </c>
    </row>
    <row r="114" spans="1:12" x14ac:dyDescent="0.25">
      <c r="A114" s="304"/>
      <c r="B114" s="73"/>
      <c r="C114" s="73"/>
      <c r="D114" s="104"/>
      <c r="E114" s="122"/>
      <c r="F114" s="73" t="str">
        <f>IF(G114="KGS",IF(B114&lt;&gt;"",IFERROR(VLOOKUP(B114,ProductList!B:AO,21,FALSE),""),""),IF(D114&lt;&gt;"",IFERROR(VLOOKUP(B114,ProductList!B:AO,24,FALSE),""),""))</f>
        <v/>
      </c>
      <c r="G114" s="6" t="s">
        <v>216</v>
      </c>
      <c r="H114" s="75" t="str">
        <f>IF(G114="KGS",IF(B114&lt;&gt;"",IFERROR(ROUND(VLOOKUP(B114,ProductList!B:BG,58,FALSE),3),""),""),IF(B114&lt;&gt;"",IFERROR(ROUND(VLOOKUP(B114,ProductList!B:BG,57,FALSE),3),""),""))</f>
        <v/>
      </c>
      <c r="I114" s="75" t="str">
        <f t="shared" si="2"/>
        <v/>
      </c>
      <c r="J114" s="1" t="str">
        <f>IFERROR(VLOOKUP(B114,ProductList!B:AO,21,FALSE),"")</f>
        <v/>
      </c>
      <c r="K114" s="1" t="str">
        <f>IF(G114="KGS",IF(D114&lt;&gt;"",IFERROR(ROUND(VLOOKUP(D114,ProductList!J:BG,47,FALSE),3),""),""),IF(D114&lt;&gt;"",IFERROR(ROUND(VLOOKUP(D114,ProductList!J:BG,46,FALSE),3),""),""))</f>
        <v/>
      </c>
      <c r="L114" s="1" t="str">
        <f t="shared" si="3"/>
        <v/>
      </c>
    </row>
    <row r="115" spans="1:12" x14ac:dyDescent="0.25">
      <c r="A115" s="304"/>
      <c r="B115" s="73"/>
      <c r="C115" s="73"/>
      <c r="D115" s="104"/>
      <c r="E115" s="122"/>
      <c r="F115" s="73" t="str">
        <f>IF(G115="KGS",IF(B115&lt;&gt;"",IFERROR(VLOOKUP(B115,ProductList!B:AO,21,FALSE),""),""),IF(D115&lt;&gt;"",IFERROR(VLOOKUP(B115,ProductList!B:AO,24,FALSE),""),""))</f>
        <v/>
      </c>
      <c r="G115" s="6" t="s">
        <v>216</v>
      </c>
      <c r="H115" s="75" t="str">
        <f>IF(G115="KGS",IF(B115&lt;&gt;"",IFERROR(ROUND(VLOOKUP(B115,ProductList!B:BG,58,FALSE),3),""),""),IF(B115&lt;&gt;"",IFERROR(ROUND(VLOOKUP(B115,ProductList!B:BG,57,FALSE),3),""),""))</f>
        <v/>
      </c>
      <c r="I115" s="75" t="str">
        <f t="shared" si="2"/>
        <v/>
      </c>
      <c r="J115" s="1" t="str">
        <f>IFERROR(VLOOKUP(B115,ProductList!B:AO,21,FALSE),"")</f>
        <v/>
      </c>
      <c r="K115" s="1" t="str">
        <f>IF(G115="KGS",IF(D115&lt;&gt;"",IFERROR(ROUND(VLOOKUP(D115,ProductList!J:BG,47,FALSE),3),""),""),IF(D115&lt;&gt;"",IFERROR(ROUND(VLOOKUP(D115,ProductList!J:BG,46,FALSE),3),""),""))</f>
        <v/>
      </c>
      <c r="L115" s="1" t="str">
        <f t="shared" si="3"/>
        <v/>
      </c>
    </row>
    <row r="116" spans="1:12" x14ac:dyDescent="0.25">
      <c r="A116" s="304"/>
      <c r="B116" s="73"/>
      <c r="C116" s="73"/>
      <c r="D116" s="104"/>
      <c r="E116" s="122"/>
      <c r="F116" s="73" t="str">
        <f>IF(G116="KGS",IF(B116&lt;&gt;"",IFERROR(VLOOKUP(B116,ProductList!B:AO,21,FALSE),""),""),IF(D116&lt;&gt;"",IFERROR(VLOOKUP(B116,ProductList!B:AO,24,FALSE),""),""))</f>
        <v/>
      </c>
      <c r="G116" s="6" t="s">
        <v>216</v>
      </c>
      <c r="H116" s="75" t="str">
        <f>IF(G116="KGS",IF(B116&lt;&gt;"",IFERROR(ROUND(VLOOKUP(B116,ProductList!B:BG,58,FALSE),3),""),""),IF(B116&lt;&gt;"",IFERROR(ROUND(VLOOKUP(B116,ProductList!B:BG,57,FALSE),3),""),""))</f>
        <v/>
      </c>
      <c r="I116" s="75" t="str">
        <f t="shared" si="2"/>
        <v/>
      </c>
      <c r="J116" s="1" t="str">
        <f>IFERROR(VLOOKUP(B116,ProductList!B:AO,21,FALSE),"")</f>
        <v/>
      </c>
      <c r="K116" s="1" t="str">
        <f>IF(G116="KGS",IF(D116&lt;&gt;"",IFERROR(ROUND(VLOOKUP(D116,ProductList!J:BG,47,FALSE),3),""),""),IF(D116&lt;&gt;"",IFERROR(ROUND(VLOOKUP(D116,ProductList!J:BG,46,FALSE),3),""),""))</f>
        <v/>
      </c>
      <c r="L116" s="1" t="str">
        <f t="shared" si="3"/>
        <v/>
      </c>
    </row>
    <row r="117" spans="1:12" x14ac:dyDescent="0.25">
      <c r="A117" s="304"/>
      <c r="B117" s="73"/>
      <c r="C117" s="73"/>
      <c r="D117" s="104"/>
      <c r="E117" s="122"/>
      <c r="F117" s="73" t="str">
        <f>IF(G117="KGS",IF(B117&lt;&gt;"",IFERROR(VLOOKUP(B117,ProductList!B:AO,21,FALSE),""),""),IF(D117&lt;&gt;"",IFERROR(VLOOKUP(B117,ProductList!B:AO,24,FALSE),""),""))</f>
        <v/>
      </c>
      <c r="G117" s="6" t="s">
        <v>216</v>
      </c>
      <c r="H117" s="75" t="str">
        <f>IF(G117="KGS",IF(B117&lt;&gt;"",IFERROR(ROUND(VLOOKUP(B117,ProductList!B:BG,58,FALSE),3),""),""),IF(B117&lt;&gt;"",IFERROR(ROUND(VLOOKUP(B117,ProductList!B:BG,57,FALSE),3),""),""))</f>
        <v/>
      </c>
      <c r="I117" s="75" t="str">
        <f t="shared" si="2"/>
        <v/>
      </c>
      <c r="J117" s="1" t="str">
        <f>IFERROR(VLOOKUP(B117,ProductList!B:AO,21,FALSE),"")</f>
        <v/>
      </c>
      <c r="K117" s="1" t="str">
        <f>IF(G117="KGS",IF(D117&lt;&gt;"",IFERROR(ROUND(VLOOKUP(D117,ProductList!J:BG,47,FALSE),3),""),""),IF(D117&lt;&gt;"",IFERROR(ROUND(VLOOKUP(D117,ProductList!J:BG,46,FALSE),3),""),""))</f>
        <v/>
      </c>
      <c r="L117" s="1" t="str">
        <f t="shared" si="3"/>
        <v/>
      </c>
    </row>
    <row r="118" spans="1:12" x14ac:dyDescent="0.25">
      <c r="A118" s="304"/>
      <c r="B118" s="73"/>
      <c r="C118" s="73"/>
      <c r="D118" s="104"/>
      <c r="E118" s="122"/>
      <c r="F118" s="73" t="str">
        <f>IF(G118="KGS",IF(B118&lt;&gt;"",IFERROR(VLOOKUP(B118,ProductList!B:AO,21,FALSE),""),""),IF(D118&lt;&gt;"",IFERROR(VLOOKUP(B118,ProductList!B:AO,24,FALSE),""),""))</f>
        <v/>
      </c>
      <c r="G118" s="6" t="s">
        <v>216</v>
      </c>
      <c r="H118" s="75" t="str">
        <f>IF(G118="KGS",IF(B118&lt;&gt;"",IFERROR(ROUND(VLOOKUP(B118,ProductList!B:BG,58,FALSE),3),""),""),IF(B118&lt;&gt;"",IFERROR(ROUND(VLOOKUP(B118,ProductList!B:BG,57,FALSE),3),""),""))</f>
        <v/>
      </c>
      <c r="I118" s="75" t="str">
        <f t="shared" si="2"/>
        <v/>
      </c>
      <c r="J118" s="1" t="str">
        <f>IFERROR(VLOOKUP(B118,ProductList!B:AO,21,FALSE),"")</f>
        <v/>
      </c>
      <c r="K118" s="1" t="str">
        <f>IF(G118="KGS",IF(D118&lt;&gt;"",IFERROR(ROUND(VLOOKUP(D118,ProductList!J:BG,47,FALSE),3),""),""),IF(D118&lt;&gt;"",IFERROR(ROUND(VLOOKUP(D118,ProductList!J:BG,46,FALSE),3),""),""))</f>
        <v/>
      </c>
      <c r="L118" s="1" t="str">
        <f t="shared" si="3"/>
        <v/>
      </c>
    </row>
    <row r="119" spans="1:12" x14ac:dyDescent="0.25">
      <c r="A119" s="304"/>
      <c r="B119" s="73"/>
      <c r="C119" s="73"/>
      <c r="D119" s="104"/>
      <c r="E119" s="122"/>
      <c r="F119" s="73" t="str">
        <f>IF(G119="KGS",IF(B119&lt;&gt;"",IFERROR(VLOOKUP(B119,ProductList!B:AO,21,FALSE),""),""),IF(D119&lt;&gt;"",IFERROR(VLOOKUP(B119,ProductList!B:AO,24,FALSE),""),""))</f>
        <v/>
      </c>
      <c r="G119" s="6" t="s">
        <v>216</v>
      </c>
      <c r="H119" s="75" t="str">
        <f>IF(G119="KGS",IF(B119&lt;&gt;"",IFERROR(ROUND(VLOOKUP(B119,ProductList!B:BG,58,FALSE),3),""),""),IF(B119&lt;&gt;"",IFERROR(ROUND(VLOOKUP(B119,ProductList!B:BG,57,FALSE),3),""),""))</f>
        <v/>
      </c>
      <c r="I119" s="75" t="str">
        <f t="shared" si="2"/>
        <v/>
      </c>
      <c r="J119" s="1" t="str">
        <f>IFERROR(VLOOKUP(B119,ProductList!B:AO,21,FALSE),"")</f>
        <v/>
      </c>
      <c r="K119" s="1" t="str">
        <f>IF(G119="KGS",IF(D119&lt;&gt;"",IFERROR(ROUND(VLOOKUP(D119,ProductList!J:BG,47,FALSE),3),""),""),IF(D119&lt;&gt;"",IFERROR(ROUND(VLOOKUP(D119,ProductList!J:BG,46,FALSE),3),""),""))</f>
        <v/>
      </c>
      <c r="L119" s="1" t="str">
        <f t="shared" si="3"/>
        <v/>
      </c>
    </row>
    <row r="120" spans="1:12" x14ac:dyDescent="0.25">
      <c r="A120" s="304"/>
      <c r="B120" s="73"/>
      <c r="C120" s="73"/>
      <c r="D120" s="104"/>
      <c r="E120" s="122"/>
      <c r="F120" s="73" t="str">
        <f>IF(G120="KGS",IF(B120&lt;&gt;"",IFERROR(VLOOKUP(B120,ProductList!B:AO,21,FALSE),""),""),IF(D120&lt;&gt;"",IFERROR(VLOOKUP(B120,ProductList!B:AO,24,FALSE),""),""))</f>
        <v/>
      </c>
      <c r="G120" s="6" t="s">
        <v>216</v>
      </c>
      <c r="H120" s="75" t="str">
        <f>IF(G120="KGS",IF(B120&lt;&gt;"",IFERROR(ROUND(VLOOKUP(B120,ProductList!B:BG,58,FALSE),3),""),""),IF(B120&lt;&gt;"",IFERROR(ROUND(VLOOKUP(B120,ProductList!B:BG,57,FALSE),3),""),""))</f>
        <v/>
      </c>
      <c r="I120" s="75" t="str">
        <f t="shared" si="2"/>
        <v/>
      </c>
      <c r="J120" s="1" t="str">
        <f>IFERROR(VLOOKUP(B120,ProductList!B:AO,21,FALSE),"")</f>
        <v/>
      </c>
      <c r="K120" s="1" t="str">
        <f>IF(G120="KGS",IF(D120&lt;&gt;"",IFERROR(ROUND(VLOOKUP(D120,ProductList!J:BG,47,FALSE),3),""),""),IF(D120&lt;&gt;"",IFERROR(ROUND(VLOOKUP(D120,ProductList!J:BG,46,FALSE),3),""),""))</f>
        <v/>
      </c>
      <c r="L120" s="1" t="str">
        <f t="shared" si="3"/>
        <v/>
      </c>
    </row>
    <row r="121" spans="1:12" x14ac:dyDescent="0.25">
      <c r="A121" s="304"/>
      <c r="B121" s="73"/>
      <c r="C121" s="73"/>
      <c r="D121" s="104"/>
      <c r="E121" s="122"/>
      <c r="F121" s="73" t="str">
        <f>IF(G121="KGS",IF(B121&lt;&gt;"",IFERROR(VLOOKUP(B121,ProductList!B:AO,21,FALSE),""),""),IF(D121&lt;&gt;"",IFERROR(VLOOKUP(B121,ProductList!B:AO,24,FALSE),""),""))</f>
        <v/>
      </c>
      <c r="G121" s="6" t="s">
        <v>216</v>
      </c>
      <c r="H121" s="75" t="str">
        <f>IF(G121="KGS",IF(B121&lt;&gt;"",IFERROR(ROUND(VLOOKUP(B121,ProductList!B:BG,58,FALSE),3),""),""),IF(B121&lt;&gt;"",IFERROR(ROUND(VLOOKUP(B121,ProductList!B:BG,57,FALSE),3),""),""))</f>
        <v/>
      </c>
      <c r="I121" s="75" t="str">
        <f t="shared" si="2"/>
        <v/>
      </c>
      <c r="J121" s="1" t="str">
        <f>IFERROR(VLOOKUP(B121,ProductList!B:AO,21,FALSE),"")</f>
        <v/>
      </c>
      <c r="K121" s="1" t="str">
        <f>IF(G121="KGS",IF(D121&lt;&gt;"",IFERROR(ROUND(VLOOKUP(D121,ProductList!J:BG,47,FALSE),3),""),""),IF(D121&lt;&gt;"",IFERROR(ROUND(VLOOKUP(D121,ProductList!J:BG,46,FALSE),3),""),""))</f>
        <v/>
      </c>
      <c r="L121" s="1" t="str">
        <f t="shared" si="3"/>
        <v/>
      </c>
    </row>
    <row r="122" spans="1:12" x14ac:dyDescent="0.25">
      <c r="A122" s="304"/>
      <c r="B122" s="73"/>
      <c r="C122" s="73"/>
      <c r="D122" s="104"/>
      <c r="E122" s="122"/>
      <c r="F122" s="73" t="str">
        <f>IF(G122="KGS",IF(B122&lt;&gt;"",IFERROR(VLOOKUP(B122,ProductList!B:AO,21,FALSE),""),""),IF(D122&lt;&gt;"",IFERROR(VLOOKUP(B122,ProductList!B:AO,24,FALSE),""),""))</f>
        <v/>
      </c>
      <c r="G122" s="6" t="s">
        <v>216</v>
      </c>
      <c r="H122" s="75" t="str">
        <f>IF(G122="KGS",IF(B122&lt;&gt;"",IFERROR(ROUND(VLOOKUP(B122,ProductList!B:BG,58,FALSE),3),""),""),IF(B122&lt;&gt;"",IFERROR(ROUND(VLOOKUP(B122,ProductList!B:BG,57,FALSE),3),""),""))</f>
        <v/>
      </c>
      <c r="I122" s="75" t="str">
        <f t="shared" si="2"/>
        <v/>
      </c>
      <c r="J122" s="1" t="str">
        <f>IFERROR(VLOOKUP(B122,ProductList!B:AO,21,FALSE),"")</f>
        <v/>
      </c>
      <c r="K122" s="1" t="str">
        <f>IF(G122="KGS",IF(D122&lt;&gt;"",IFERROR(ROUND(VLOOKUP(D122,ProductList!J:BG,47,FALSE),3),""),""),IF(D122&lt;&gt;"",IFERROR(ROUND(VLOOKUP(D122,ProductList!J:BG,46,FALSE),3),""),""))</f>
        <v/>
      </c>
      <c r="L122" s="1" t="str">
        <f t="shared" si="3"/>
        <v/>
      </c>
    </row>
    <row r="123" spans="1:12" x14ac:dyDescent="0.25">
      <c r="A123" s="304"/>
      <c r="B123" s="73"/>
      <c r="C123" s="73"/>
      <c r="D123" s="104"/>
      <c r="E123" s="122"/>
      <c r="F123" s="73" t="str">
        <f>IF(G123="KGS",IF(B123&lt;&gt;"",IFERROR(VLOOKUP(B123,ProductList!B:AO,21,FALSE),""),""),IF(D123&lt;&gt;"",IFERROR(VLOOKUP(B123,ProductList!B:AO,24,FALSE),""),""))</f>
        <v/>
      </c>
      <c r="G123" s="6" t="s">
        <v>216</v>
      </c>
      <c r="H123" s="75" t="str">
        <f>IF(G123="KGS",IF(B123&lt;&gt;"",IFERROR(ROUND(VLOOKUP(B123,ProductList!B:BG,58,FALSE),3),""),""),IF(B123&lt;&gt;"",IFERROR(ROUND(VLOOKUP(B123,ProductList!B:BG,57,FALSE),3),""),""))</f>
        <v/>
      </c>
      <c r="I123" s="75" t="str">
        <f t="shared" si="2"/>
        <v/>
      </c>
      <c r="J123" s="1" t="str">
        <f>IFERROR(VLOOKUP(B123,ProductList!B:AO,21,FALSE),"")</f>
        <v/>
      </c>
      <c r="K123" s="1" t="str">
        <f>IF(G123="KGS",IF(D123&lt;&gt;"",IFERROR(ROUND(VLOOKUP(D123,ProductList!J:BG,47,FALSE),3),""),""),IF(D123&lt;&gt;"",IFERROR(ROUND(VLOOKUP(D123,ProductList!J:BG,46,FALSE),3),""),""))</f>
        <v/>
      </c>
      <c r="L123" s="1" t="str">
        <f t="shared" si="3"/>
        <v/>
      </c>
    </row>
    <row r="124" spans="1:12" x14ac:dyDescent="0.25">
      <c r="A124" s="304"/>
      <c r="B124" s="73"/>
      <c r="C124" s="73"/>
      <c r="D124" s="104"/>
      <c r="E124" s="122"/>
      <c r="F124" s="73" t="str">
        <f>IF(G124="KGS",IF(B124&lt;&gt;"",IFERROR(VLOOKUP(B124,ProductList!B:AO,21,FALSE),""),""),IF(D124&lt;&gt;"",IFERROR(VLOOKUP(B124,ProductList!B:AO,24,FALSE),""),""))</f>
        <v/>
      </c>
      <c r="G124" s="6" t="s">
        <v>216</v>
      </c>
      <c r="H124" s="75" t="str">
        <f>IF(G124="KGS",IF(B124&lt;&gt;"",IFERROR(ROUND(VLOOKUP(B124,ProductList!B:BG,58,FALSE),3),""),""),IF(B124&lt;&gt;"",IFERROR(ROUND(VLOOKUP(B124,ProductList!B:BG,57,FALSE),3),""),""))</f>
        <v/>
      </c>
      <c r="I124" s="75" t="str">
        <f t="shared" si="2"/>
        <v/>
      </c>
      <c r="J124" s="1" t="str">
        <f>IFERROR(VLOOKUP(B124,ProductList!B:AO,21,FALSE),"")</f>
        <v/>
      </c>
      <c r="K124" s="1" t="str">
        <f>IF(G124="KGS",IF(D124&lt;&gt;"",IFERROR(ROUND(VLOOKUP(D124,ProductList!J:BG,47,FALSE),3),""),""),IF(D124&lt;&gt;"",IFERROR(ROUND(VLOOKUP(D124,ProductList!J:BG,46,FALSE),3),""),""))</f>
        <v/>
      </c>
      <c r="L124" s="1" t="str">
        <f t="shared" si="3"/>
        <v/>
      </c>
    </row>
    <row r="125" spans="1:12" x14ac:dyDescent="0.25">
      <c r="A125" s="304"/>
      <c r="B125" s="73"/>
      <c r="C125" s="73"/>
      <c r="D125" s="104"/>
      <c r="E125" s="122"/>
      <c r="F125" s="73" t="str">
        <f>IF(G125="KGS",IF(B125&lt;&gt;"",IFERROR(VLOOKUP(B125,ProductList!B:AO,21,FALSE),""),""),IF(D125&lt;&gt;"",IFERROR(VLOOKUP(B125,ProductList!B:AO,24,FALSE),""),""))</f>
        <v/>
      </c>
      <c r="G125" s="6" t="s">
        <v>216</v>
      </c>
      <c r="H125" s="75" t="str">
        <f>IF(G125="KGS",IF(B125&lt;&gt;"",IFERROR(ROUND(VLOOKUP(B125,ProductList!B:BG,58,FALSE),3),""),""),IF(B125&lt;&gt;"",IFERROR(ROUND(VLOOKUP(B125,ProductList!B:BG,57,FALSE),3),""),""))</f>
        <v/>
      </c>
      <c r="I125" s="75" t="str">
        <f t="shared" si="2"/>
        <v/>
      </c>
      <c r="J125" s="1" t="str">
        <f>IFERROR(VLOOKUP(B125,ProductList!B:AO,21,FALSE),"")</f>
        <v/>
      </c>
      <c r="K125" s="1" t="str">
        <f>IF(G125="KGS",IF(D125&lt;&gt;"",IFERROR(ROUND(VLOOKUP(D125,ProductList!J:BG,47,FALSE),3),""),""),IF(D125&lt;&gt;"",IFERROR(ROUND(VLOOKUP(D125,ProductList!J:BG,46,FALSE),3),""),""))</f>
        <v/>
      </c>
      <c r="L125" s="1" t="str">
        <f t="shared" si="3"/>
        <v/>
      </c>
    </row>
    <row r="126" spans="1:12" x14ac:dyDescent="0.25">
      <c r="A126" s="304"/>
      <c r="B126" s="73"/>
      <c r="C126" s="73"/>
      <c r="D126" s="104"/>
      <c r="E126" s="122"/>
      <c r="F126" s="73" t="str">
        <f>IF(G126="KGS",IF(B126&lt;&gt;"",IFERROR(VLOOKUP(B126,ProductList!B:AO,21,FALSE),""),""),IF(D126&lt;&gt;"",IFERROR(VLOOKUP(B126,ProductList!B:AO,24,FALSE),""),""))</f>
        <v/>
      </c>
      <c r="G126" s="6" t="s">
        <v>216</v>
      </c>
      <c r="H126" s="75" t="str">
        <f>IF(G126="KGS",IF(B126&lt;&gt;"",IFERROR(ROUND(VLOOKUP(B126,ProductList!B:BG,58,FALSE),3),""),""),IF(B126&lt;&gt;"",IFERROR(ROUND(VLOOKUP(B126,ProductList!B:BG,57,FALSE),3),""),""))</f>
        <v/>
      </c>
      <c r="I126" s="75" t="str">
        <f t="shared" si="2"/>
        <v/>
      </c>
      <c r="J126" s="1" t="str">
        <f>IFERROR(VLOOKUP(B126,ProductList!B:AO,21,FALSE),"")</f>
        <v/>
      </c>
      <c r="K126" s="1" t="str">
        <f>IF(G126="KGS",IF(D126&lt;&gt;"",IFERROR(ROUND(VLOOKUP(D126,ProductList!J:BG,47,FALSE),3),""),""),IF(D126&lt;&gt;"",IFERROR(ROUND(VLOOKUP(D126,ProductList!J:BG,46,FALSE),3),""),""))</f>
        <v/>
      </c>
      <c r="L126" s="1" t="str">
        <f t="shared" si="3"/>
        <v/>
      </c>
    </row>
    <row r="127" spans="1:12" x14ac:dyDescent="0.25">
      <c r="A127" s="304"/>
      <c r="B127" s="73"/>
      <c r="C127" s="73"/>
      <c r="D127" s="104"/>
      <c r="E127" s="122"/>
      <c r="F127" s="73" t="str">
        <f>IF(G127="KGS",IF(B127&lt;&gt;"",IFERROR(VLOOKUP(B127,ProductList!B:AO,21,FALSE),""),""),IF(D127&lt;&gt;"",IFERROR(VLOOKUP(B127,ProductList!B:AO,24,FALSE),""),""))</f>
        <v/>
      </c>
      <c r="G127" s="6" t="s">
        <v>216</v>
      </c>
      <c r="H127" s="75" t="str">
        <f>IF(G127="KGS",IF(B127&lt;&gt;"",IFERROR(ROUND(VLOOKUP(B127,ProductList!B:BG,58,FALSE),3),""),""),IF(B127&lt;&gt;"",IFERROR(ROUND(VLOOKUP(B127,ProductList!B:BG,57,FALSE),3),""),""))</f>
        <v/>
      </c>
      <c r="I127" s="75" t="str">
        <f t="shared" si="2"/>
        <v/>
      </c>
      <c r="J127" s="1" t="str">
        <f>IFERROR(VLOOKUP(B127,ProductList!B:AO,21,FALSE),"")</f>
        <v/>
      </c>
      <c r="K127" s="1" t="str">
        <f>IF(G127="KGS",IF(D127&lt;&gt;"",IFERROR(ROUND(VLOOKUP(D127,ProductList!J:BG,47,FALSE),3),""),""),IF(D127&lt;&gt;"",IFERROR(ROUND(VLOOKUP(D127,ProductList!J:BG,46,FALSE),3),""),""))</f>
        <v/>
      </c>
      <c r="L127" s="1" t="str">
        <f t="shared" si="3"/>
        <v/>
      </c>
    </row>
    <row r="128" spans="1:12" x14ac:dyDescent="0.25">
      <c r="A128" s="304"/>
      <c r="B128" s="73"/>
      <c r="C128" s="73"/>
      <c r="D128" s="104"/>
      <c r="E128" s="122"/>
      <c r="F128" s="73" t="str">
        <f>IF(G128="KGS",IF(B128&lt;&gt;"",IFERROR(VLOOKUP(B128,ProductList!B:AO,21,FALSE),""),""),IF(D128&lt;&gt;"",IFERROR(VLOOKUP(B128,ProductList!B:AO,24,FALSE),""),""))</f>
        <v/>
      </c>
      <c r="G128" s="6" t="s">
        <v>216</v>
      </c>
      <c r="H128" s="75" t="str">
        <f>IF(G128="KGS",IF(B128&lt;&gt;"",IFERROR(ROUND(VLOOKUP(B128,ProductList!B:BG,58,FALSE),3),""),""),IF(B128&lt;&gt;"",IFERROR(ROUND(VLOOKUP(B128,ProductList!B:BG,57,FALSE),3),""),""))</f>
        <v/>
      </c>
      <c r="I128" s="75" t="str">
        <f t="shared" si="2"/>
        <v/>
      </c>
      <c r="J128" s="1" t="str">
        <f>IFERROR(VLOOKUP(B128,ProductList!B:AO,21,FALSE),"")</f>
        <v/>
      </c>
      <c r="K128" s="1" t="str">
        <f>IF(G128="KGS",IF(D128&lt;&gt;"",IFERROR(ROUND(VLOOKUP(D128,ProductList!J:BG,47,FALSE),3),""),""),IF(D128&lt;&gt;"",IFERROR(ROUND(VLOOKUP(D128,ProductList!J:BG,46,FALSE),3),""),""))</f>
        <v/>
      </c>
      <c r="L128" s="1" t="str">
        <f t="shared" si="3"/>
        <v/>
      </c>
    </row>
    <row r="129" spans="1:12" x14ac:dyDescent="0.25">
      <c r="A129" s="304"/>
      <c r="B129" s="73"/>
      <c r="C129" s="73"/>
      <c r="D129" s="104"/>
      <c r="E129" s="122"/>
      <c r="F129" s="73" t="str">
        <f>IF(G129="KGS",IF(B129&lt;&gt;"",IFERROR(VLOOKUP(B129,ProductList!B:AO,21,FALSE),""),""),IF(D129&lt;&gt;"",IFERROR(VLOOKUP(B129,ProductList!B:AO,24,FALSE),""),""))</f>
        <v/>
      </c>
      <c r="G129" s="6" t="s">
        <v>216</v>
      </c>
      <c r="H129" s="75" t="str">
        <f>IF(G129="KGS",IF(B129&lt;&gt;"",IFERROR(ROUND(VLOOKUP(B129,ProductList!B:BG,58,FALSE),3),""),""),IF(B129&lt;&gt;"",IFERROR(ROUND(VLOOKUP(B129,ProductList!B:BG,57,FALSE),3),""),""))</f>
        <v/>
      </c>
      <c r="I129" s="75" t="str">
        <f t="shared" si="2"/>
        <v/>
      </c>
      <c r="J129" s="1" t="str">
        <f>IFERROR(VLOOKUP(B129,ProductList!B:AO,21,FALSE),"")</f>
        <v/>
      </c>
      <c r="K129" s="1" t="str">
        <f>IF(G129="KGS",IF(D129&lt;&gt;"",IFERROR(ROUND(VLOOKUP(D129,ProductList!J:BG,47,FALSE),3),""),""),IF(D129&lt;&gt;"",IFERROR(ROUND(VLOOKUP(D129,ProductList!J:BG,46,FALSE),3),""),""))</f>
        <v/>
      </c>
      <c r="L129" s="1" t="str">
        <f t="shared" si="3"/>
        <v/>
      </c>
    </row>
    <row r="130" spans="1:12" x14ac:dyDescent="0.25">
      <c r="A130" s="304"/>
      <c r="B130" s="73"/>
      <c r="C130" s="73"/>
      <c r="D130" s="104"/>
      <c r="E130" s="122"/>
      <c r="F130" s="73" t="str">
        <f>IF(G130="KGS",IF(B130&lt;&gt;"",IFERROR(VLOOKUP(B130,ProductList!B:AO,21,FALSE),""),""),IF(D130&lt;&gt;"",IFERROR(VLOOKUP(B130,ProductList!B:AO,24,FALSE),""),""))</f>
        <v/>
      </c>
      <c r="G130" s="6" t="s">
        <v>216</v>
      </c>
      <c r="H130" s="75" t="str">
        <f>IF(G130="KGS",IF(B130&lt;&gt;"",IFERROR(ROUND(VLOOKUP(B130,ProductList!B:BG,58,FALSE),3),""),""),IF(B130&lt;&gt;"",IFERROR(ROUND(VLOOKUP(B130,ProductList!B:BG,57,FALSE),3),""),""))</f>
        <v/>
      </c>
      <c r="I130" s="75" t="str">
        <f t="shared" si="2"/>
        <v/>
      </c>
      <c r="J130" s="1" t="str">
        <f>IFERROR(VLOOKUP(B130,ProductList!B:AO,21,FALSE),"")</f>
        <v/>
      </c>
      <c r="K130" s="1" t="str">
        <f>IF(G130="KGS",IF(D130&lt;&gt;"",IFERROR(ROUND(VLOOKUP(D130,ProductList!J:BG,47,FALSE),3),""),""),IF(D130&lt;&gt;"",IFERROR(ROUND(VLOOKUP(D130,ProductList!J:BG,46,FALSE),3),""),""))</f>
        <v/>
      </c>
      <c r="L130" s="1" t="str">
        <f t="shared" si="3"/>
        <v/>
      </c>
    </row>
    <row r="131" spans="1:12" x14ac:dyDescent="0.25">
      <c r="A131" s="304"/>
      <c r="B131" s="73"/>
      <c r="C131" s="73"/>
      <c r="D131" s="104"/>
      <c r="E131" s="122"/>
      <c r="F131" s="73" t="str">
        <f>IF(G131="KGS",IF(B131&lt;&gt;"",IFERROR(VLOOKUP(B131,ProductList!B:AO,21,FALSE),""),""),IF(D131&lt;&gt;"",IFERROR(VLOOKUP(B131,ProductList!B:AO,24,FALSE),""),""))</f>
        <v/>
      </c>
      <c r="G131" s="6" t="s">
        <v>216</v>
      </c>
      <c r="H131" s="75" t="str">
        <f>IF(G131="KGS",IF(B131&lt;&gt;"",IFERROR(ROUND(VLOOKUP(B131,ProductList!B:BG,58,FALSE),3),""),""),IF(B131&lt;&gt;"",IFERROR(ROUND(VLOOKUP(B131,ProductList!B:BG,57,FALSE),3),""),""))</f>
        <v/>
      </c>
      <c r="I131" s="75" t="str">
        <f t="shared" si="2"/>
        <v/>
      </c>
      <c r="J131" s="1" t="str">
        <f>IFERROR(VLOOKUP(B131,ProductList!B:AO,21,FALSE),"")</f>
        <v/>
      </c>
      <c r="K131" s="1" t="str">
        <f>IF(G131="KGS",IF(D131&lt;&gt;"",IFERROR(ROUND(VLOOKUP(D131,ProductList!J:BG,47,FALSE),3),""),""),IF(D131&lt;&gt;"",IFERROR(ROUND(VLOOKUP(D131,ProductList!J:BG,46,FALSE),3),""),""))</f>
        <v/>
      </c>
      <c r="L131" s="1" t="str">
        <f t="shared" si="3"/>
        <v/>
      </c>
    </row>
    <row r="132" spans="1:12" x14ac:dyDescent="0.25">
      <c r="A132" s="304"/>
      <c r="B132" s="73"/>
      <c r="C132" s="73"/>
      <c r="D132" s="104"/>
      <c r="E132" s="122"/>
      <c r="F132" s="73" t="str">
        <f>IF(G132="KGS",IF(B132&lt;&gt;"",IFERROR(VLOOKUP(B132,ProductList!B:AO,21,FALSE),""),""),IF(D132&lt;&gt;"",IFERROR(VLOOKUP(B132,ProductList!B:AO,24,FALSE),""),""))</f>
        <v/>
      </c>
      <c r="G132" s="6" t="s">
        <v>216</v>
      </c>
      <c r="H132" s="75" t="str">
        <f>IF(G132="KGS",IF(B132&lt;&gt;"",IFERROR(ROUND(VLOOKUP(B132,ProductList!B:BG,58,FALSE),3),""),""),IF(B132&lt;&gt;"",IFERROR(ROUND(VLOOKUP(B132,ProductList!B:BG,57,FALSE),3),""),""))</f>
        <v/>
      </c>
      <c r="I132" s="75" t="str">
        <f t="shared" si="2"/>
        <v/>
      </c>
      <c r="J132" s="1" t="str">
        <f>IFERROR(VLOOKUP(B132,ProductList!B:AO,21,FALSE),"")</f>
        <v/>
      </c>
      <c r="K132" s="1" t="str">
        <f>IF(G132="KGS",IF(D132&lt;&gt;"",IFERROR(ROUND(VLOOKUP(D132,ProductList!J:BG,47,FALSE),3),""),""),IF(D132&lt;&gt;"",IFERROR(ROUND(VLOOKUP(D132,ProductList!J:BG,46,FALSE),3),""),""))</f>
        <v/>
      </c>
      <c r="L132" s="1" t="str">
        <f t="shared" si="3"/>
        <v/>
      </c>
    </row>
    <row r="133" spans="1:12" x14ac:dyDescent="0.25">
      <c r="A133" s="304"/>
      <c r="B133" s="73"/>
      <c r="C133" s="73"/>
      <c r="D133" s="104"/>
      <c r="E133" s="122"/>
      <c r="F133" s="73" t="str">
        <f>IF(G133="KGS",IF(B133&lt;&gt;"",IFERROR(VLOOKUP(B133,ProductList!B:AO,21,FALSE),""),""),IF(D133&lt;&gt;"",IFERROR(VLOOKUP(B133,ProductList!B:AO,24,FALSE),""),""))</f>
        <v/>
      </c>
      <c r="G133" s="6" t="s">
        <v>216</v>
      </c>
      <c r="H133" s="75" t="str">
        <f>IF(G133="KGS",IF(B133&lt;&gt;"",IFERROR(ROUND(VLOOKUP(B133,ProductList!B:BG,58,FALSE),3),""),""),IF(B133&lt;&gt;"",IFERROR(ROUND(VLOOKUP(B133,ProductList!B:BG,57,FALSE),3),""),""))</f>
        <v/>
      </c>
      <c r="I133" s="75" t="str">
        <f t="shared" si="2"/>
        <v/>
      </c>
      <c r="J133" s="1" t="str">
        <f>IFERROR(VLOOKUP(B133,ProductList!B:AO,21,FALSE),"")</f>
        <v/>
      </c>
      <c r="K133" s="1" t="str">
        <f>IF(G133="KGS",IF(D133&lt;&gt;"",IFERROR(ROUND(VLOOKUP(D133,ProductList!J:BG,47,FALSE),3),""),""),IF(D133&lt;&gt;"",IFERROR(ROUND(VLOOKUP(D133,ProductList!J:BG,46,FALSE),3),""),""))</f>
        <v/>
      </c>
      <c r="L133" s="1" t="str">
        <f t="shared" si="3"/>
        <v/>
      </c>
    </row>
    <row r="134" spans="1:12" x14ac:dyDescent="0.25">
      <c r="A134" s="304"/>
      <c r="B134" s="73"/>
      <c r="C134" s="73"/>
      <c r="D134" s="104"/>
      <c r="E134" s="122"/>
      <c r="F134" s="73" t="str">
        <f>IF(G134="KGS",IF(B134&lt;&gt;"",IFERROR(VLOOKUP(B134,ProductList!B:AO,21,FALSE),""),""),IF(D134&lt;&gt;"",IFERROR(VLOOKUP(B134,ProductList!B:AO,24,FALSE),""),""))</f>
        <v/>
      </c>
      <c r="G134" s="6" t="s">
        <v>216</v>
      </c>
      <c r="H134" s="75" t="str">
        <f>IF(G134="KGS",IF(B134&lt;&gt;"",IFERROR(ROUND(VLOOKUP(B134,ProductList!B:BG,58,FALSE),3),""),""),IF(B134&lt;&gt;"",IFERROR(ROUND(VLOOKUP(B134,ProductList!B:BG,57,FALSE),3),""),""))</f>
        <v/>
      </c>
      <c r="I134" s="75" t="str">
        <f t="shared" ref="I134:I197" si="4">IF(AND(F134&lt;&gt;"",H134&lt;&gt;""),ROUND(F134*H134,2),"")</f>
        <v/>
      </c>
      <c r="J134" s="1" t="str">
        <f>IFERROR(VLOOKUP(B134,ProductList!B:AO,21,FALSE),"")</f>
        <v/>
      </c>
      <c r="K134" s="1" t="str">
        <f>IF(G134="KGS",IF(D134&lt;&gt;"",IFERROR(ROUND(VLOOKUP(D134,ProductList!J:BG,47,FALSE),3),""),""),IF(D134&lt;&gt;"",IFERROR(ROUND(VLOOKUP(D134,ProductList!J:BG,46,FALSE),3),""),""))</f>
        <v/>
      </c>
      <c r="L134" s="1" t="str">
        <f t="shared" ref="L134:L197" si="5">IF(AND(K134&lt;&gt;"",F134&lt;&gt;""),K134*F134,"")</f>
        <v/>
      </c>
    </row>
    <row r="135" spans="1:12" x14ac:dyDescent="0.25">
      <c r="A135" s="304"/>
      <c r="B135" s="73"/>
      <c r="C135" s="73"/>
      <c r="D135" s="104"/>
      <c r="E135" s="122"/>
      <c r="F135" s="73" t="str">
        <f>IF(G135="KGS",IF(B135&lt;&gt;"",IFERROR(VLOOKUP(B135,ProductList!B:AO,21,FALSE),""),""),IF(D135&lt;&gt;"",IFERROR(VLOOKUP(B135,ProductList!B:AO,24,FALSE),""),""))</f>
        <v/>
      </c>
      <c r="G135" s="6" t="s">
        <v>216</v>
      </c>
      <c r="H135" s="75" t="str">
        <f>IF(G135="KGS",IF(B135&lt;&gt;"",IFERROR(ROUND(VLOOKUP(B135,ProductList!B:BG,58,FALSE),3),""),""),IF(B135&lt;&gt;"",IFERROR(ROUND(VLOOKUP(B135,ProductList!B:BG,57,FALSE),3),""),""))</f>
        <v/>
      </c>
      <c r="I135" s="75" t="str">
        <f t="shared" si="4"/>
        <v/>
      </c>
      <c r="J135" s="1" t="str">
        <f>IFERROR(VLOOKUP(B135,ProductList!B:AO,21,FALSE),"")</f>
        <v/>
      </c>
      <c r="K135" s="1" t="str">
        <f>IF(G135="KGS",IF(D135&lt;&gt;"",IFERROR(ROUND(VLOOKUP(D135,ProductList!J:BG,47,FALSE),3),""),""),IF(D135&lt;&gt;"",IFERROR(ROUND(VLOOKUP(D135,ProductList!J:BG,46,FALSE),3),""),""))</f>
        <v/>
      </c>
      <c r="L135" s="1" t="str">
        <f t="shared" si="5"/>
        <v/>
      </c>
    </row>
    <row r="136" spans="1:12" x14ac:dyDescent="0.25">
      <c r="A136" s="304"/>
      <c r="B136" s="73"/>
      <c r="C136" s="73"/>
      <c r="D136" s="104"/>
      <c r="E136" s="122"/>
      <c r="F136" s="73" t="str">
        <f>IF(G136="KGS",IF(B136&lt;&gt;"",IFERROR(VLOOKUP(B136,ProductList!B:AO,21,FALSE),""),""),IF(D136&lt;&gt;"",IFERROR(VLOOKUP(B136,ProductList!B:AO,24,FALSE),""),""))</f>
        <v/>
      </c>
      <c r="G136" s="6" t="s">
        <v>216</v>
      </c>
      <c r="H136" s="75" t="str">
        <f>IF(G136="KGS",IF(B136&lt;&gt;"",IFERROR(ROUND(VLOOKUP(B136,ProductList!B:BG,58,FALSE),3),""),""),IF(B136&lt;&gt;"",IFERROR(ROUND(VLOOKUP(B136,ProductList!B:BG,57,FALSE),3),""),""))</f>
        <v/>
      </c>
      <c r="I136" s="75" t="str">
        <f t="shared" si="4"/>
        <v/>
      </c>
      <c r="J136" s="1" t="str">
        <f>IFERROR(VLOOKUP(B136,ProductList!B:AO,21,FALSE),"")</f>
        <v/>
      </c>
      <c r="K136" s="1" t="str">
        <f>IF(G136="KGS",IF(D136&lt;&gt;"",IFERROR(ROUND(VLOOKUP(D136,ProductList!J:BG,47,FALSE),3),""),""),IF(D136&lt;&gt;"",IFERROR(ROUND(VLOOKUP(D136,ProductList!J:BG,46,FALSE),3),""),""))</f>
        <v/>
      </c>
      <c r="L136" s="1" t="str">
        <f t="shared" si="5"/>
        <v/>
      </c>
    </row>
    <row r="137" spans="1:12" x14ac:dyDescent="0.25">
      <c r="A137" s="304"/>
      <c r="B137" s="73"/>
      <c r="C137" s="73"/>
      <c r="D137" s="104"/>
      <c r="E137" s="122"/>
      <c r="F137" s="73" t="str">
        <f>IF(G137="KGS",IF(B137&lt;&gt;"",IFERROR(VLOOKUP(B137,ProductList!B:AO,21,FALSE),""),""),IF(D137&lt;&gt;"",IFERROR(VLOOKUP(B137,ProductList!B:AO,24,FALSE),""),""))</f>
        <v/>
      </c>
      <c r="G137" s="6" t="s">
        <v>216</v>
      </c>
      <c r="H137" s="75" t="str">
        <f>IF(G137="KGS",IF(B137&lt;&gt;"",IFERROR(ROUND(VLOOKUP(B137,ProductList!B:BG,58,FALSE),3),""),""),IF(B137&lt;&gt;"",IFERROR(ROUND(VLOOKUP(B137,ProductList!B:BG,57,FALSE),3),""),""))</f>
        <v/>
      </c>
      <c r="I137" s="75" t="str">
        <f t="shared" si="4"/>
        <v/>
      </c>
      <c r="J137" s="1" t="str">
        <f>IFERROR(VLOOKUP(B137,ProductList!B:AO,21,FALSE),"")</f>
        <v/>
      </c>
      <c r="K137" s="1" t="str">
        <f>IF(G137="KGS",IF(D137&lt;&gt;"",IFERROR(ROUND(VLOOKUP(D137,ProductList!J:BG,47,FALSE),3),""),""),IF(D137&lt;&gt;"",IFERROR(ROUND(VLOOKUP(D137,ProductList!J:BG,46,FALSE),3),""),""))</f>
        <v/>
      </c>
      <c r="L137" s="1" t="str">
        <f t="shared" si="5"/>
        <v/>
      </c>
    </row>
    <row r="138" spans="1:12" x14ac:dyDescent="0.25">
      <c r="A138" s="304"/>
      <c r="B138" s="73"/>
      <c r="C138" s="73"/>
      <c r="D138" s="104"/>
      <c r="E138" s="122"/>
      <c r="F138" s="73" t="str">
        <f>IF(G138="KGS",IF(B138&lt;&gt;"",IFERROR(VLOOKUP(B138,ProductList!B:AO,21,FALSE),""),""),IF(D138&lt;&gt;"",IFERROR(VLOOKUP(B138,ProductList!B:AO,24,FALSE),""),""))</f>
        <v/>
      </c>
      <c r="G138" s="6" t="s">
        <v>216</v>
      </c>
      <c r="H138" s="75" t="str">
        <f>IF(G138="KGS",IF(B138&lt;&gt;"",IFERROR(ROUND(VLOOKUP(B138,ProductList!B:BG,58,FALSE),3),""),""),IF(B138&lt;&gt;"",IFERROR(ROUND(VLOOKUP(B138,ProductList!B:BG,57,FALSE),3),""),""))</f>
        <v/>
      </c>
      <c r="I138" s="75" t="str">
        <f t="shared" si="4"/>
        <v/>
      </c>
      <c r="J138" s="1" t="str">
        <f>IFERROR(VLOOKUP(B138,ProductList!B:AO,21,FALSE),"")</f>
        <v/>
      </c>
      <c r="K138" s="1" t="str">
        <f>IF(G138="KGS",IF(D138&lt;&gt;"",IFERROR(ROUND(VLOOKUP(D138,ProductList!J:BG,47,FALSE),3),""),""),IF(D138&lt;&gt;"",IFERROR(ROUND(VLOOKUP(D138,ProductList!J:BG,46,FALSE),3),""),""))</f>
        <v/>
      </c>
      <c r="L138" s="1" t="str">
        <f t="shared" si="5"/>
        <v/>
      </c>
    </row>
    <row r="139" spans="1:12" x14ac:dyDescent="0.25">
      <c r="A139" s="304"/>
      <c r="B139" s="73"/>
      <c r="C139" s="73"/>
      <c r="D139" s="104"/>
      <c r="E139" s="122"/>
      <c r="F139" s="73" t="str">
        <f>IF(G139="KGS",IF(B139&lt;&gt;"",IFERROR(VLOOKUP(B139,ProductList!B:AO,21,FALSE),""),""),IF(D139&lt;&gt;"",IFERROR(VLOOKUP(B139,ProductList!B:AO,24,FALSE),""),""))</f>
        <v/>
      </c>
      <c r="G139" s="6" t="s">
        <v>216</v>
      </c>
      <c r="H139" s="75" t="str">
        <f>IF(G139="KGS",IF(B139&lt;&gt;"",IFERROR(ROUND(VLOOKUP(B139,ProductList!B:BG,58,FALSE),3),""),""),IF(B139&lt;&gt;"",IFERROR(ROUND(VLOOKUP(B139,ProductList!B:BG,57,FALSE),3),""),""))</f>
        <v/>
      </c>
      <c r="I139" s="75" t="str">
        <f t="shared" si="4"/>
        <v/>
      </c>
      <c r="J139" s="1" t="str">
        <f>IFERROR(VLOOKUP(B139,ProductList!B:AO,21,FALSE),"")</f>
        <v/>
      </c>
      <c r="K139" s="1" t="str">
        <f>IF(G139="KGS",IF(D139&lt;&gt;"",IFERROR(ROUND(VLOOKUP(D139,ProductList!J:BG,47,FALSE),3),""),""),IF(D139&lt;&gt;"",IFERROR(ROUND(VLOOKUP(D139,ProductList!J:BG,46,FALSE),3),""),""))</f>
        <v/>
      </c>
      <c r="L139" s="1" t="str">
        <f t="shared" si="5"/>
        <v/>
      </c>
    </row>
    <row r="140" spans="1:12" x14ac:dyDescent="0.25">
      <c r="A140" s="304"/>
      <c r="B140" s="73"/>
      <c r="C140" s="73"/>
      <c r="D140" s="104"/>
      <c r="E140" s="122"/>
      <c r="F140" s="73" t="str">
        <f>IF(G140="KGS",IF(B140&lt;&gt;"",IFERROR(VLOOKUP(B140,ProductList!B:AO,21,FALSE),""),""),IF(D140&lt;&gt;"",IFERROR(VLOOKUP(B140,ProductList!B:AO,24,FALSE),""),""))</f>
        <v/>
      </c>
      <c r="G140" s="6" t="s">
        <v>216</v>
      </c>
      <c r="H140" s="75" t="str">
        <f>IF(G140="KGS",IF(B140&lt;&gt;"",IFERROR(ROUND(VLOOKUP(B140,ProductList!B:BG,58,FALSE),3),""),""),IF(B140&lt;&gt;"",IFERROR(ROUND(VLOOKUP(B140,ProductList!B:BG,57,FALSE),3),""),""))</f>
        <v/>
      </c>
      <c r="I140" s="75" t="str">
        <f t="shared" si="4"/>
        <v/>
      </c>
      <c r="J140" s="1" t="str">
        <f>IFERROR(VLOOKUP(B140,ProductList!B:AO,21,FALSE),"")</f>
        <v/>
      </c>
      <c r="K140" s="1" t="str">
        <f>IF(G140="KGS",IF(D140&lt;&gt;"",IFERROR(ROUND(VLOOKUP(D140,ProductList!J:BG,47,FALSE),3),""),""),IF(D140&lt;&gt;"",IFERROR(ROUND(VLOOKUP(D140,ProductList!J:BG,46,FALSE),3),""),""))</f>
        <v/>
      </c>
      <c r="L140" s="1" t="str">
        <f t="shared" si="5"/>
        <v/>
      </c>
    </row>
    <row r="141" spans="1:12" x14ac:dyDescent="0.25">
      <c r="A141" s="304"/>
      <c r="B141" s="73"/>
      <c r="C141" s="73"/>
      <c r="D141" s="104"/>
      <c r="E141" s="122"/>
      <c r="F141" s="73" t="str">
        <f>IF(G141="KGS",IF(B141&lt;&gt;"",IFERROR(VLOOKUP(B141,ProductList!B:AO,21,FALSE),""),""),IF(D141&lt;&gt;"",IFERROR(VLOOKUP(B141,ProductList!B:AO,24,FALSE),""),""))</f>
        <v/>
      </c>
      <c r="G141" s="6" t="s">
        <v>216</v>
      </c>
      <c r="H141" s="75" t="str">
        <f>IF(G141="KGS",IF(B141&lt;&gt;"",IFERROR(ROUND(VLOOKUP(B141,ProductList!B:BG,58,FALSE),3),""),""),IF(B141&lt;&gt;"",IFERROR(ROUND(VLOOKUP(B141,ProductList!B:BG,57,FALSE),3),""),""))</f>
        <v/>
      </c>
      <c r="I141" s="75" t="str">
        <f t="shared" si="4"/>
        <v/>
      </c>
      <c r="J141" s="1" t="str">
        <f>IFERROR(VLOOKUP(B141,ProductList!B:AO,21,FALSE),"")</f>
        <v/>
      </c>
      <c r="K141" s="1" t="str">
        <f>IF(G141="KGS",IF(D141&lt;&gt;"",IFERROR(ROUND(VLOOKUP(D141,ProductList!J:BG,47,FALSE),3),""),""),IF(D141&lt;&gt;"",IFERROR(ROUND(VLOOKUP(D141,ProductList!J:BG,46,FALSE),3),""),""))</f>
        <v/>
      </c>
      <c r="L141" s="1" t="str">
        <f t="shared" si="5"/>
        <v/>
      </c>
    </row>
    <row r="142" spans="1:12" x14ac:dyDescent="0.25">
      <c r="A142" s="304"/>
      <c r="B142" s="73"/>
      <c r="C142" s="73"/>
      <c r="D142" s="104"/>
      <c r="E142" s="122"/>
      <c r="F142" s="73" t="str">
        <f>IF(G142="KGS",IF(B142&lt;&gt;"",IFERROR(VLOOKUP(B142,ProductList!B:AO,21,FALSE),""),""),IF(D142&lt;&gt;"",IFERROR(VLOOKUP(B142,ProductList!B:AO,24,FALSE),""),""))</f>
        <v/>
      </c>
      <c r="G142" s="6" t="s">
        <v>216</v>
      </c>
      <c r="H142" s="75" t="str">
        <f>IF(G142="KGS",IF(B142&lt;&gt;"",IFERROR(ROUND(VLOOKUP(B142,ProductList!B:BG,58,FALSE),3),""),""),IF(B142&lt;&gt;"",IFERROR(ROUND(VLOOKUP(B142,ProductList!B:BG,57,FALSE),3),""),""))</f>
        <v/>
      </c>
      <c r="I142" s="75" t="str">
        <f t="shared" si="4"/>
        <v/>
      </c>
      <c r="J142" s="1" t="str">
        <f>IFERROR(VLOOKUP(B142,ProductList!B:AO,21,FALSE),"")</f>
        <v/>
      </c>
      <c r="K142" s="1" t="str">
        <f>IF(G142="KGS",IF(D142&lt;&gt;"",IFERROR(ROUND(VLOOKUP(D142,ProductList!J:BG,47,FALSE),3),""),""),IF(D142&lt;&gt;"",IFERROR(ROUND(VLOOKUP(D142,ProductList!J:BG,46,FALSE),3),""),""))</f>
        <v/>
      </c>
      <c r="L142" s="1" t="str">
        <f t="shared" si="5"/>
        <v/>
      </c>
    </row>
    <row r="143" spans="1:12" x14ac:dyDescent="0.25">
      <c r="A143" s="304"/>
      <c r="B143" s="73"/>
      <c r="C143" s="73"/>
      <c r="D143" s="104"/>
      <c r="E143" s="122"/>
      <c r="F143" s="73" t="str">
        <f>IF(G143="KGS",IF(B143&lt;&gt;"",IFERROR(VLOOKUP(B143,ProductList!B:AO,21,FALSE),""),""),IF(D143&lt;&gt;"",IFERROR(VLOOKUP(B143,ProductList!B:AO,24,FALSE),""),""))</f>
        <v/>
      </c>
      <c r="G143" s="6"/>
      <c r="H143" s="75" t="str">
        <f>IF(G143="KGS",IF(B143&lt;&gt;"",IFERROR(ROUND(VLOOKUP(B143,ProductList!B:BG,58,FALSE),3),""),""),IF(B143&lt;&gt;"",IFERROR(ROUND(VLOOKUP(B143,ProductList!B:BG,57,FALSE),3),""),""))</f>
        <v/>
      </c>
      <c r="I143" s="75" t="str">
        <f t="shared" si="4"/>
        <v/>
      </c>
      <c r="J143" s="1" t="str">
        <f>IFERROR(VLOOKUP(B143,ProductList!B:AO,21,FALSE),"")</f>
        <v/>
      </c>
      <c r="K143" s="1" t="str">
        <f>IF(G143="KGS",IF(D143&lt;&gt;"",IFERROR(ROUND(VLOOKUP(D143,ProductList!J:BG,47,FALSE),3),""),""),IF(D143&lt;&gt;"",IFERROR(ROUND(VLOOKUP(D143,ProductList!J:BG,46,FALSE),3),""),""))</f>
        <v/>
      </c>
      <c r="L143" s="1" t="str">
        <f t="shared" si="5"/>
        <v/>
      </c>
    </row>
    <row r="144" spans="1:12" x14ac:dyDescent="0.25">
      <c r="A144" s="304"/>
      <c r="B144" s="73"/>
      <c r="C144" s="73"/>
      <c r="D144" s="104"/>
      <c r="E144" s="122"/>
      <c r="F144" s="73" t="str">
        <f>IF(G144="KGS",IF(B144&lt;&gt;"",IFERROR(VLOOKUP(B144,ProductList!B:AO,21,FALSE),""),""),IF(D144&lt;&gt;"",IFERROR(VLOOKUP(B144,ProductList!B:AO,24,FALSE),""),""))</f>
        <v/>
      </c>
      <c r="G144" s="6"/>
      <c r="H144" s="75" t="str">
        <f>IF(G144="KGS",IF(B144&lt;&gt;"",IFERROR(ROUND(VLOOKUP(B144,ProductList!B:BG,58,FALSE),3),""),""),IF(B144&lt;&gt;"",IFERROR(ROUND(VLOOKUP(B144,ProductList!B:BG,57,FALSE),3),""),""))</f>
        <v/>
      </c>
      <c r="I144" s="75" t="str">
        <f t="shared" si="4"/>
        <v/>
      </c>
      <c r="J144" s="1" t="str">
        <f>IFERROR(VLOOKUP(B144,ProductList!B:AO,21,FALSE),"")</f>
        <v/>
      </c>
      <c r="K144" s="1" t="str">
        <f>IF(G144="KGS",IF(D144&lt;&gt;"",IFERROR(ROUND(VLOOKUP(D144,ProductList!J:BG,47,FALSE),3),""),""),IF(D144&lt;&gt;"",IFERROR(ROUND(VLOOKUP(D144,ProductList!J:BG,46,FALSE),3),""),""))</f>
        <v/>
      </c>
      <c r="L144" s="1" t="str">
        <f t="shared" si="5"/>
        <v/>
      </c>
    </row>
    <row r="145" spans="1:12" x14ac:dyDescent="0.25">
      <c r="A145" s="304"/>
      <c r="B145" s="73"/>
      <c r="C145" s="73"/>
      <c r="D145" s="104"/>
      <c r="E145" s="122"/>
      <c r="F145" s="73" t="str">
        <f>IF(G145="KGS",IF(B145&lt;&gt;"",IFERROR(VLOOKUP(B145,ProductList!B:AO,21,FALSE),""),""),IF(D145&lt;&gt;"",IFERROR(VLOOKUP(B145,ProductList!B:AO,24,FALSE),""),""))</f>
        <v/>
      </c>
      <c r="G145" s="6"/>
      <c r="H145" s="75" t="str">
        <f>IF(G145="KGS",IF(B145&lt;&gt;"",IFERROR(ROUND(VLOOKUP(B145,ProductList!B:BG,58,FALSE),3),""),""),IF(B145&lt;&gt;"",IFERROR(ROUND(VLOOKUP(B145,ProductList!B:BG,57,FALSE),3),""),""))</f>
        <v/>
      </c>
      <c r="I145" s="75" t="str">
        <f t="shared" si="4"/>
        <v/>
      </c>
      <c r="J145" s="1" t="str">
        <f>IFERROR(VLOOKUP(B145,ProductList!B:AO,21,FALSE),"")</f>
        <v/>
      </c>
      <c r="K145" s="1" t="str">
        <f>IF(G145="KGS",IF(D145&lt;&gt;"",IFERROR(ROUND(VLOOKUP(D145,ProductList!J:BG,47,FALSE),3),""),""),IF(D145&lt;&gt;"",IFERROR(ROUND(VLOOKUP(D145,ProductList!J:BG,46,FALSE),3),""),""))</f>
        <v/>
      </c>
      <c r="L145" s="1" t="str">
        <f t="shared" si="5"/>
        <v/>
      </c>
    </row>
    <row r="146" spans="1:12" x14ac:dyDescent="0.25">
      <c r="A146" s="304"/>
      <c r="B146" s="73"/>
      <c r="C146" s="73"/>
      <c r="D146" s="104"/>
      <c r="E146" s="122"/>
      <c r="F146" s="73" t="str">
        <f>IF(G146="KGS",IF(B146&lt;&gt;"",IFERROR(VLOOKUP(B146,ProductList!B:AO,21,FALSE),""),""),IF(D146&lt;&gt;"",IFERROR(VLOOKUP(B146,ProductList!B:AO,24,FALSE),""),""))</f>
        <v/>
      </c>
      <c r="G146" s="6"/>
      <c r="H146" s="75" t="str">
        <f>IF(G146="KGS",IF(B146&lt;&gt;"",IFERROR(ROUND(VLOOKUP(B146,ProductList!B:BG,58,FALSE),3),""),""),IF(B146&lt;&gt;"",IFERROR(ROUND(VLOOKUP(B146,ProductList!B:BG,57,FALSE),3),""),""))</f>
        <v/>
      </c>
      <c r="I146" s="75" t="str">
        <f t="shared" si="4"/>
        <v/>
      </c>
      <c r="J146" s="1" t="str">
        <f>IFERROR(VLOOKUP(B146,ProductList!B:AO,21,FALSE),"")</f>
        <v/>
      </c>
      <c r="K146" s="1" t="str">
        <f>IF(G146="KGS",IF(D146&lt;&gt;"",IFERROR(ROUND(VLOOKUP(D146,ProductList!J:BG,47,FALSE),3),""),""),IF(D146&lt;&gt;"",IFERROR(ROUND(VLOOKUP(D146,ProductList!J:BG,46,FALSE),3),""),""))</f>
        <v/>
      </c>
      <c r="L146" s="1" t="str">
        <f t="shared" si="5"/>
        <v/>
      </c>
    </row>
    <row r="147" spans="1:12" x14ac:dyDescent="0.25">
      <c r="A147" s="304"/>
      <c r="B147" s="73"/>
      <c r="C147" s="73"/>
      <c r="D147" s="104"/>
      <c r="E147" s="122"/>
      <c r="F147" s="73" t="str">
        <f>IF(G147="KGS",IF(B147&lt;&gt;"",IFERROR(VLOOKUP(B147,ProductList!B:AO,21,FALSE),""),""),IF(D147&lt;&gt;"",IFERROR(VLOOKUP(B147,ProductList!B:AO,24,FALSE),""),""))</f>
        <v/>
      </c>
      <c r="G147" s="6"/>
      <c r="H147" s="75" t="str">
        <f>IF(G147="KGS",IF(B147&lt;&gt;"",IFERROR(ROUND(VLOOKUP(B147,ProductList!B:BG,58,FALSE),3),""),""),IF(B147&lt;&gt;"",IFERROR(ROUND(VLOOKUP(B147,ProductList!B:BG,57,FALSE),3),""),""))</f>
        <v/>
      </c>
      <c r="I147" s="75" t="str">
        <f t="shared" si="4"/>
        <v/>
      </c>
      <c r="J147" s="1" t="str">
        <f>IFERROR(VLOOKUP(B147,ProductList!B:AO,21,FALSE),"")</f>
        <v/>
      </c>
      <c r="K147" s="1" t="str">
        <f>IF(G147="KGS",IF(D147&lt;&gt;"",IFERROR(ROUND(VLOOKUP(D147,ProductList!J:BG,47,FALSE),3),""),""),IF(D147&lt;&gt;"",IFERROR(ROUND(VLOOKUP(D147,ProductList!J:BG,46,FALSE),3),""),""))</f>
        <v/>
      </c>
      <c r="L147" s="1" t="str">
        <f t="shared" si="5"/>
        <v/>
      </c>
    </row>
    <row r="148" spans="1:12" x14ac:dyDescent="0.25">
      <c r="A148" s="304"/>
      <c r="B148" s="73"/>
      <c r="C148" s="73"/>
      <c r="D148" s="104"/>
      <c r="E148" s="122"/>
      <c r="F148" s="73" t="str">
        <f>IF(G148="KGS",IF(B148&lt;&gt;"",IFERROR(VLOOKUP(B148,ProductList!B:AO,21,FALSE),""),""),IF(D148&lt;&gt;"",IFERROR(VLOOKUP(B148,ProductList!B:AO,24,FALSE),""),""))</f>
        <v/>
      </c>
      <c r="G148" s="6"/>
      <c r="H148" s="75" t="str">
        <f>IF(G148="KGS",IF(B148&lt;&gt;"",IFERROR(ROUND(VLOOKUP(B148,ProductList!B:BG,58,FALSE),3),""),""),IF(B148&lt;&gt;"",IFERROR(ROUND(VLOOKUP(B148,ProductList!B:BG,57,FALSE),3),""),""))</f>
        <v/>
      </c>
      <c r="I148" s="75" t="str">
        <f t="shared" si="4"/>
        <v/>
      </c>
      <c r="J148" s="1" t="str">
        <f>IFERROR(VLOOKUP(B148,ProductList!B:AO,21,FALSE),"")</f>
        <v/>
      </c>
      <c r="K148" s="1" t="str">
        <f>IF(G148="KGS",IF(D148&lt;&gt;"",IFERROR(ROUND(VLOOKUP(D148,ProductList!J:BG,47,FALSE),3),""),""),IF(D148&lt;&gt;"",IFERROR(ROUND(VLOOKUP(D148,ProductList!J:BG,46,FALSE),3),""),""))</f>
        <v/>
      </c>
      <c r="L148" s="1" t="str">
        <f t="shared" si="5"/>
        <v/>
      </c>
    </row>
    <row r="149" spans="1:12" x14ac:dyDescent="0.25">
      <c r="A149" s="304"/>
      <c r="B149" s="73"/>
      <c r="C149" s="73"/>
      <c r="D149" s="104"/>
      <c r="E149" s="122"/>
      <c r="F149" s="73" t="str">
        <f>IF(G149="KGS",IF(B149&lt;&gt;"",IFERROR(VLOOKUP(B149,ProductList!B:AO,21,FALSE),""),""),IF(D149&lt;&gt;"",IFERROR(VLOOKUP(B149,ProductList!B:AO,24,FALSE),""),""))</f>
        <v/>
      </c>
      <c r="G149" s="6"/>
      <c r="H149" s="75" t="str">
        <f>IF(G149="KGS",IF(B149&lt;&gt;"",IFERROR(ROUND(VLOOKUP(B149,ProductList!B:BG,58,FALSE),3),""),""),IF(B149&lt;&gt;"",IFERROR(ROUND(VLOOKUP(B149,ProductList!B:BG,57,FALSE),3),""),""))</f>
        <v/>
      </c>
      <c r="I149" s="75" t="str">
        <f t="shared" si="4"/>
        <v/>
      </c>
      <c r="J149" s="1" t="str">
        <f>IFERROR(VLOOKUP(B149,ProductList!B:AO,21,FALSE),"")</f>
        <v/>
      </c>
      <c r="K149" s="1" t="str">
        <f>IF(G149="KGS",IF(D149&lt;&gt;"",IFERROR(ROUND(VLOOKUP(D149,ProductList!J:BG,47,FALSE),3),""),""),IF(D149&lt;&gt;"",IFERROR(ROUND(VLOOKUP(D149,ProductList!J:BG,46,FALSE),3),""),""))</f>
        <v/>
      </c>
      <c r="L149" s="1" t="str">
        <f t="shared" si="5"/>
        <v/>
      </c>
    </row>
    <row r="150" spans="1:12" x14ac:dyDescent="0.25">
      <c r="A150" s="304"/>
      <c r="B150" s="73"/>
      <c r="C150" s="73"/>
      <c r="D150" s="104"/>
      <c r="E150" s="122"/>
      <c r="F150" s="73" t="str">
        <f>IF(G150="KGS",IF(B150&lt;&gt;"",IFERROR(VLOOKUP(B150,ProductList!B:AO,21,FALSE),""),""),IF(D150&lt;&gt;"",IFERROR(VLOOKUP(B150,ProductList!B:AO,24,FALSE),""),""))</f>
        <v/>
      </c>
      <c r="G150" s="6"/>
      <c r="H150" s="75" t="str">
        <f>IF(G150="KGS",IF(B150&lt;&gt;"",IFERROR(ROUND(VLOOKUP(B150,ProductList!B:BG,58,FALSE),3),""),""),IF(B150&lt;&gt;"",IFERROR(ROUND(VLOOKUP(B150,ProductList!B:BG,57,FALSE),3),""),""))</f>
        <v/>
      </c>
      <c r="I150" s="75" t="str">
        <f t="shared" si="4"/>
        <v/>
      </c>
      <c r="J150" s="1" t="str">
        <f>IFERROR(VLOOKUP(B150,ProductList!B:AO,21,FALSE),"")</f>
        <v/>
      </c>
      <c r="K150" s="1" t="str">
        <f>IF(G150="KGS",IF(D150&lt;&gt;"",IFERROR(ROUND(VLOOKUP(D150,ProductList!J:BG,47,FALSE),3),""),""),IF(D150&lt;&gt;"",IFERROR(ROUND(VLOOKUP(D150,ProductList!J:BG,46,FALSE),3),""),""))</f>
        <v/>
      </c>
      <c r="L150" s="1" t="str">
        <f t="shared" si="5"/>
        <v/>
      </c>
    </row>
    <row r="151" spans="1:12" x14ac:dyDescent="0.25">
      <c r="A151" s="304"/>
      <c r="B151" s="73"/>
      <c r="C151" s="73"/>
      <c r="D151" s="104"/>
      <c r="E151" s="122"/>
      <c r="F151" s="73" t="str">
        <f>IF(G151="KGS",IF(B151&lt;&gt;"",IFERROR(VLOOKUP(B151,ProductList!B:AO,21,FALSE),""),""),IF(D151&lt;&gt;"",IFERROR(VLOOKUP(B151,ProductList!B:AO,24,FALSE),""),""))</f>
        <v/>
      </c>
      <c r="G151" s="6"/>
      <c r="H151" s="75" t="str">
        <f>IF(G151="KGS",IF(B151&lt;&gt;"",IFERROR(ROUND(VLOOKUP(B151,ProductList!B:BG,58,FALSE),3),""),""),IF(B151&lt;&gt;"",IFERROR(ROUND(VLOOKUP(B151,ProductList!B:BG,57,FALSE),3),""),""))</f>
        <v/>
      </c>
      <c r="I151" s="75" t="str">
        <f t="shared" si="4"/>
        <v/>
      </c>
      <c r="J151" s="1" t="str">
        <f>IFERROR(VLOOKUP(B151,ProductList!B:AO,21,FALSE),"")</f>
        <v/>
      </c>
      <c r="K151" s="1" t="str">
        <f>IF(G151="KGS",IF(D151&lt;&gt;"",IFERROR(ROUND(VLOOKUP(D151,ProductList!J:BG,47,FALSE),3),""),""),IF(D151&lt;&gt;"",IFERROR(ROUND(VLOOKUP(D151,ProductList!J:BG,46,FALSE),3),""),""))</f>
        <v/>
      </c>
      <c r="L151" s="1" t="str">
        <f t="shared" si="5"/>
        <v/>
      </c>
    </row>
    <row r="152" spans="1:12" x14ac:dyDescent="0.25">
      <c r="A152" s="304"/>
      <c r="B152" s="73"/>
      <c r="C152" s="73"/>
      <c r="D152" s="104"/>
      <c r="E152" s="122"/>
      <c r="F152" s="73" t="str">
        <f>IF(G152="KGS",IF(B152&lt;&gt;"",IFERROR(VLOOKUP(B152,ProductList!B:AO,21,FALSE),""),""),IF(D152&lt;&gt;"",IFERROR(VLOOKUP(B152,ProductList!B:AO,24,FALSE),""),""))</f>
        <v/>
      </c>
      <c r="G152" s="6"/>
      <c r="H152" s="75" t="str">
        <f>IF(G152="KGS",IF(B152&lt;&gt;"",IFERROR(ROUND(VLOOKUP(B152,ProductList!B:BG,58,FALSE),3),""),""),IF(B152&lt;&gt;"",IFERROR(ROUND(VLOOKUP(B152,ProductList!B:BG,57,FALSE),3),""),""))</f>
        <v/>
      </c>
      <c r="I152" s="75" t="str">
        <f t="shared" si="4"/>
        <v/>
      </c>
      <c r="J152" s="1" t="str">
        <f>IFERROR(VLOOKUP(B152,ProductList!B:AO,21,FALSE),"")</f>
        <v/>
      </c>
      <c r="K152" s="1" t="str">
        <f>IF(G152="KGS",IF(D152&lt;&gt;"",IFERROR(ROUND(VLOOKUP(D152,ProductList!J:BG,47,FALSE),3),""),""),IF(D152&lt;&gt;"",IFERROR(ROUND(VLOOKUP(D152,ProductList!J:BG,46,FALSE),3),""),""))</f>
        <v/>
      </c>
      <c r="L152" s="1" t="str">
        <f t="shared" si="5"/>
        <v/>
      </c>
    </row>
    <row r="153" spans="1:12" x14ac:dyDescent="0.25">
      <c r="A153" s="304"/>
      <c r="B153" s="73"/>
      <c r="C153" s="73"/>
      <c r="D153" s="104"/>
      <c r="E153" s="122"/>
      <c r="F153" s="73" t="str">
        <f>IF(G153="KGS",IF(B153&lt;&gt;"",IFERROR(VLOOKUP(B153,ProductList!B:AO,21,FALSE),""),""),IF(D153&lt;&gt;"",IFERROR(VLOOKUP(B153,ProductList!B:AO,24,FALSE),""),""))</f>
        <v/>
      </c>
      <c r="G153" s="6"/>
      <c r="H153" s="75" t="str">
        <f>IF(G153="KGS",IF(B153&lt;&gt;"",IFERROR(ROUND(VLOOKUP(B153,ProductList!B:BG,58,FALSE),3),""),""),IF(B153&lt;&gt;"",IFERROR(ROUND(VLOOKUP(B153,ProductList!B:BG,57,FALSE),3),""),""))</f>
        <v/>
      </c>
      <c r="I153" s="75" t="str">
        <f t="shared" si="4"/>
        <v/>
      </c>
      <c r="J153" s="1" t="str">
        <f>IFERROR(VLOOKUP(B153,ProductList!B:AO,21,FALSE),"")</f>
        <v/>
      </c>
      <c r="K153" s="1" t="str">
        <f>IF(G153="KGS",IF(D153&lt;&gt;"",IFERROR(ROUND(VLOOKUP(D153,ProductList!J:BG,47,FALSE),3),""),""),IF(D153&lt;&gt;"",IFERROR(ROUND(VLOOKUP(D153,ProductList!J:BG,46,FALSE),3),""),""))</f>
        <v/>
      </c>
      <c r="L153" s="1" t="str">
        <f t="shared" si="5"/>
        <v/>
      </c>
    </row>
    <row r="154" spans="1:12" x14ac:dyDescent="0.25">
      <c r="A154" s="304"/>
      <c r="B154" s="73"/>
      <c r="C154" s="73"/>
      <c r="D154" s="104"/>
      <c r="E154" s="122"/>
      <c r="F154" s="73" t="str">
        <f>IF(G154="KGS",IF(B154&lt;&gt;"",IFERROR(VLOOKUP(B154,ProductList!B:AO,21,FALSE),""),""),IF(D154&lt;&gt;"",IFERROR(VLOOKUP(B154,ProductList!B:AO,24,FALSE),""),""))</f>
        <v/>
      </c>
      <c r="G154" s="6"/>
      <c r="H154" s="75" t="str">
        <f>IF(G154="KGS",IF(B154&lt;&gt;"",IFERROR(ROUND(VLOOKUP(B154,ProductList!B:BG,58,FALSE),3),""),""),IF(B154&lt;&gt;"",IFERROR(ROUND(VLOOKUP(B154,ProductList!B:BG,57,FALSE),3),""),""))</f>
        <v/>
      </c>
      <c r="I154" s="75" t="str">
        <f t="shared" si="4"/>
        <v/>
      </c>
      <c r="J154" s="1" t="str">
        <f>IFERROR(VLOOKUP(B154,ProductList!B:AO,21,FALSE),"")</f>
        <v/>
      </c>
      <c r="K154" s="1" t="str">
        <f>IF(G154="KGS",IF(D154&lt;&gt;"",IFERROR(ROUND(VLOOKUP(D154,ProductList!J:BG,47,FALSE),3),""),""),IF(D154&lt;&gt;"",IFERROR(ROUND(VLOOKUP(D154,ProductList!J:BG,46,FALSE),3),""),""))</f>
        <v/>
      </c>
      <c r="L154" s="1" t="str">
        <f t="shared" si="5"/>
        <v/>
      </c>
    </row>
    <row r="155" spans="1:12" x14ac:dyDescent="0.25">
      <c r="A155" s="304"/>
      <c r="B155" s="73"/>
      <c r="C155" s="73"/>
      <c r="D155" s="104"/>
      <c r="E155" s="122"/>
      <c r="F155" s="73" t="str">
        <f>IF(G155="KGS",IF(B155&lt;&gt;"",IFERROR(VLOOKUP(B155,ProductList!B:AO,21,FALSE),""),""),IF(D155&lt;&gt;"",IFERROR(VLOOKUP(B155,ProductList!B:AO,24,FALSE),""),""))</f>
        <v/>
      </c>
      <c r="G155" s="6"/>
      <c r="H155" s="75" t="str">
        <f>IF(G155="KGS",IF(B155&lt;&gt;"",IFERROR(ROUND(VLOOKUP(B155,ProductList!B:BG,58,FALSE),3),""),""),IF(B155&lt;&gt;"",IFERROR(ROUND(VLOOKUP(B155,ProductList!B:BG,57,FALSE),3),""),""))</f>
        <v/>
      </c>
      <c r="I155" s="75" t="str">
        <f t="shared" si="4"/>
        <v/>
      </c>
      <c r="J155" s="1" t="str">
        <f>IFERROR(VLOOKUP(B155,ProductList!B:AO,21,FALSE),"")</f>
        <v/>
      </c>
      <c r="K155" s="1" t="str">
        <f>IF(G155="KGS",IF(D155&lt;&gt;"",IFERROR(ROUND(VLOOKUP(D155,ProductList!J:BG,47,FALSE),3),""),""),IF(D155&lt;&gt;"",IFERROR(ROUND(VLOOKUP(D155,ProductList!J:BG,46,FALSE),3),""),""))</f>
        <v/>
      </c>
      <c r="L155" s="1" t="str">
        <f t="shared" si="5"/>
        <v/>
      </c>
    </row>
    <row r="156" spans="1:12" x14ac:dyDescent="0.25">
      <c r="A156" s="304"/>
      <c r="B156" s="73"/>
      <c r="C156" s="73"/>
      <c r="D156" s="104"/>
      <c r="E156" s="122"/>
      <c r="F156" s="73" t="str">
        <f>IF(G156="KGS",IF(B156&lt;&gt;"",IFERROR(VLOOKUP(B156,ProductList!B:AO,21,FALSE),""),""),IF(D156&lt;&gt;"",IFERROR(VLOOKUP(B156,ProductList!B:AO,24,FALSE),""),""))</f>
        <v/>
      </c>
      <c r="G156" s="6"/>
      <c r="H156" s="75" t="str">
        <f>IF(G156="KGS",IF(B156&lt;&gt;"",IFERROR(ROUND(VLOOKUP(B156,ProductList!B:BG,58,FALSE),3),""),""),IF(B156&lt;&gt;"",IFERROR(ROUND(VLOOKUP(B156,ProductList!B:BG,57,FALSE),3),""),""))</f>
        <v/>
      </c>
      <c r="I156" s="75" t="str">
        <f t="shared" si="4"/>
        <v/>
      </c>
      <c r="J156" s="1" t="str">
        <f>IFERROR(VLOOKUP(B156,ProductList!B:AO,21,FALSE),"")</f>
        <v/>
      </c>
      <c r="K156" s="1" t="str">
        <f>IF(G156="KGS",IF(D156&lt;&gt;"",IFERROR(ROUND(VLOOKUP(D156,ProductList!J:BG,47,FALSE),3),""),""),IF(D156&lt;&gt;"",IFERROR(ROUND(VLOOKUP(D156,ProductList!J:BG,46,FALSE),3),""),""))</f>
        <v/>
      </c>
      <c r="L156" s="1" t="str">
        <f t="shared" si="5"/>
        <v/>
      </c>
    </row>
    <row r="157" spans="1:12" x14ac:dyDescent="0.25">
      <c r="A157" s="304"/>
      <c r="B157" s="73"/>
      <c r="C157" s="73"/>
      <c r="D157" s="104"/>
      <c r="E157" s="122"/>
      <c r="F157" s="73" t="str">
        <f>IF(G157="KGS",IF(B157&lt;&gt;"",IFERROR(VLOOKUP(B157,ProductList!B:AO,21,FALSE),""),""),IF(D157&lt;&gt;"",IFERROR(VLOOKUP(B157,ProductList!B:AO,24,FALSE),""),""))</f>
        <v/>
      </c>
      <c r="G157" s="6"/>
      <c r="H157" s="75" t="str">
        <f>IF(G157="KGS",IF(B157&lt;&gt;"",IFERROR(ROUND(VLOOKUP(B157,ProductList!B:BG,58,FALSE),3),""),""),IF(B157&lt;&gt;"",IFERROR(ROUND(VLOOKUP(B157,ProductList!B:BG,57,FALSE),3),""),""))</f>
        <v/>
      </c>
      <c r="I157" s="75" t="str">
        <f t="shared" si="4"/>
        <v/>
      </c>
      <c r="J157" s="1" t="str">
        <f>IFERROR(VLOOKUP(B157,ProductList!B:AO,21,FALSE),"")</f>
        <v/>
      </c>
      <c r="K157" s="1" t="str">
        <f>IF(G157="KGS",IF(D157&lt;&gt;"",IFERROR(ROUND(VLOOKUP(D157,ProductList!J:BG,47,FALSE),3),""),""),IF(D157&lt;&gt;"",IFERROR(ROUND(VLOOKUP(D157,ProductList!J:BG,46,FALSE),3),""),""))</f>
        <v/>
      </c>
      <c r="L157" s="1" t="str">
        <f t="shared" si="5"/>
        <v/>
      </c>
    </row>
    <row r="158" spans="1:12" x14ac:dyDescent="0.25">
      <c r="A158" s="304"/>
      <c r="B158" s="73"/>
      <c r="C158" s="73"/>
      <c r="D158" s="104"/>
      <c r="E158" s="122"/>
      <c r="F158" s="73" t="str">
        <f>IF(G158="KGS",IF(B158&lt;&gt;"",IFERROR(VLOOKUP(B158,ProductList!B:AO,21,FALSE),""),""),IF(D158&lt;&gt;"",IFERROR(VLOOKUP(B158,ProductList!B:AO,24,FALSE),""),""))</f>
        <v/>
      </c>
      <c r="G158" s="6"/>
      <c r="H158" s="75" t="str">
        <f>IF(G158="KGS",IF(B158&lt;&gt;"",IFERROR(ROUND(VLOOKUP(B158,ProductList!B:BG,58,FALSE),3),""),""),IF(B158&lt;&gt;"",IFERROR(ROUND(VLOOKUP(B158,ProductList!B:BG,57,FALSE),3),""),""))</f>
        <v/>
      </c>
      <c r="I158" s="75" t="str">
        <f t="shared" si="4"/>
        <v/>
      </c>
      <c r="J158" s="1" t="str">
        <f>IFERROR(VLOOKUP(B158,ProductList!B:AO,21,FALSE),"")</f>
        <v/>
      </c>
      <c r="K158" s="1" t="str">
        <f>IF(G158="KGS",IF(D158&lt;&gt;"",IFERROR(ROUND(VLOOKUP(D158,ProductList!J:BG,47,FALSE),3),""),""),IF(D158&lt;&gt;"",IFERROR(ROUND(VLOOKUP(D158,ProductList!J:BG,46,FALSE),3),""),""))</f>
        <v/>
      </c>
      <c r="L158" s="1" t="str">
        <f t="shared" si="5"/>
        <v/>
      </c>
    </row>
    <row r="159" spans="1:12" x14ac:dyDescent="0.25">
      <c r="A159" s="304"/>
      <c r="B159" s="73"/>
      <c r="C159" s="73"/>
      <c r="D159" s="104"/>
      <c r="E159" s="122"/>
      <c r="F159" s="73" t="str">
        <f>IF(G159="KGS",IF(B159&lt;&gt;"",IFERROR(VLOOKUP(B159,ProductList!B:AO,21,FALSE),""),""),IF(D159&lt;&gt;"",IFERROR(VLOOKUP(B159,ProductList!B:AO,24,FALSE),""),""))</f>
        <v/>
      </c>
      <c r="G159" s="6"/>
      <c r="H159" s="75" t="str">
        <f>IF(G159="KGS",IF(B159&lt;&gt;"",IFERROR(ROUND(VLOOKUP(B159,ProductList!B:BG,58,FALSE),3),""),""),IF(B159&lt;&gt;"",IFERROR(ROUND(VLOOKUP(B159,ProductList!B:BG,57,FALSE),3),""),""))</f>
        <v/>
      </c>
      <c r="I159" s="75" t="str">
        <f t="shared" si="4"/>
        <v/>
      </c>
      <c r="J159" s="1" t="str">
        <f>IFERROR(VLOOKUP(B159,ProductList!B:AO,21,FALSE),"")</f>
        <v/>
      </c>
      <c r="K159" s="1" t="str">
        <f>IF(G159="KGS",IF(D159&lt;&gt;"",IFERROR(ROUND(VLOOKUP(D159,ProductList!J:BG,47,FALSE),3),""),""),IF(D159&lt;&gt;"",IFERROR(ROUND(VLOOKUP(D159,ProductList!J:BG,46,FALSE),3),""),""))</f>
        <v/>
      </c>
      <c r="L159" s="1" t="str">
        <f t="shared" si="5"/>
        <v/>
      </c>
    </row>
    <row r="160" spans="1:12" x14ac:dyDescent="0.25">
      <c r="A160" s="304"/>
      <c r="B160" s="73"/>
      <c r="C160" s="73"/>
      <c r="D160" s="104"/>
      <c r="E160" s="122"/>
      <c r="F160" s="73" t="str">
        <f>IF(G160="KGS",IF(B160&lt;&gt;"",IFERROR(VLOOKUP(B160,ProductList!B:AO,21,FALSE),""),""),IF(D160&lt;&gt;"",IFERROR(VLOOKUP(B160,ProductList!B:AO,24,FALSE),""),""))</f>
        <v/>
      </c>
      <c r="G160" s="6"/>
      <c r="H160" s="75" t="str">
        <f>IF(G160="KGS",IF(B160&lt;&gt;"",IFERROR(ROUND(VLOOKUP(B160,ProductList!B:BG,58,FALSE),3),""),""),IF(B160&lt;&gt;"",IFERROR(ROUND(VLOOKUP(B160,ProductList!B:BG,57,FALSE),3),""),""))</f>
        <v/>
      </c>
      <c r="I160" s="75" t="str">
        <f t="shared" si="4"/>
        <v/>
      </c>
      <c r="J160" s="1" t="str">
        <f>IFERROR(VLOOKUP(B160,ProductList!B:AO,21,FALSE),"")</f>
        <v/>
      </c>
      <c r="K160" s="1" t="str">
        <f>IF(G160="KGS",IF(D160&lt;&gt;"",IFERROR(ROUND(VLOOKUP(D160,ProductList!J:BG,47,FALSE),3),""),""),IF(D160&lt;&gt;"",IFERROR(ROUND(VLOOKUP(D160,ProductList!J:BG,46,FALSE),3),""),""))</f>
        <v/>
      </c>
      <c r="L160" s="1" t="str">
        <f t="shared" si="5"/>
        <v/>
      </c>
    </row>
    <row r="161" spans="1:12" x14ac:dyDescent="0.25">
      <c r="A161" s="304"/>
      <c r="B161" s="73"/>
      <c r="C161" s="73"/>
      <c r="D161" s="104"/>
      <c r="E161" s="122"/>
      <c r="F161" s="73" t="str">
        <f>IF(G161="KGS",IF(B161&lt;&gt;"",IFERROR(VLOOKUP(B161,ProductList!B:AO,21,FALSE),""),""),IF(D161&lt;&gt;"",IFERROR(VLOOKUP(B161,ProductList!B:AO,24,FALSE),""),""))</f>
        <v/>
      </c>
      <c r="G161" s="6"/>
      <c r="H161" s="75" t="str">
        <f>IF(G161="KGS",IF(B161&lt;&gt;"",IFERROR(ROUND(VLOOKUP(B161,ProductList!B:BG,58,FALSE),3),""),""),IF(B161&lt;&gt;"",IFERROR(ROUND(VLOOKUP(B161,ProductList!B:BG,57,FALSE),3),""),""))</f>
        <v/>
      </c>
      <c r="I161" s="75" t="str">
        <f t="shared" si="4"/>
        <v/>
      </c>
      <c r="J161" s="1" t="str">
        <f>IFERROR(VLOOKUP(B161,ProductList!B:AO,21,FALSE),"")</f>
        <v/>
      </c>
      <c r="K161" s="1" t="str">
        <f>IF(G161="KGS",IF(D161&lt;&gt;"",IFERROR(ROUND(VLOOKUP(D161,ProductList!J:BG,47,FALSE),3),""),""),IF(D161&lt;&gt;"",IFERROR(ROUND(VLOOKUP(D161,ProductList!J:BG,46,FALSE),3),""),""))</f>
        <v/>
      </c>
      <c r="L161" s="1" t="str">
        <f t="shared" si="5"/>
        <v/>
      </c>
    </row>
    <row r="162" spans="1:12" x14ac:dyDescent="0.25">
      <c r="A162" s="304"/>
      <c r="B162" s="73"/>
      <c r="C162" s="73"/>
      <c r="D162" s="104"/>
      <c r="E162" s="122"/>
      <c r="F162" s="73" t="str">
        <f>IF(G162="KGS",IF(B162&lt;&gt;"",IFERROR(VLOOKUP(B162,ProductList!B:AO,21,FALSE),""),""),IF(D162&lt;&gt;"",IFERROR(VLOOKUP(B162,ProductList!B:AO,24,FALSE),""),""))</f>
        <v/>
      </c>
      <c r="G162" s="6"/>
      <c r="H162" s="75" t="str">
        <f>IF(G162="KGS",IF(B162&lt;&gt;"",IFERROR(ROUND(VLOOKUP(B162,ProductList!B:BG,58,FALSE),3),""),""),IF(B162&lt;&gt;"",IFERROR(ROUND(VLOOKUP(B162,ProductList!B:BG,57,FALSE),3),""),""))</f>
        <v/>
      </c>
      <c r="I162" s="75" t="str">
        <f t="shared" si="4"/>
        <v/>
      </c>
      <c r="J162" s="1" t="str">
        <f>IFERROR(VLOOKUP(B162,ProductList!B:AO,21,FALSE),"")</f>
        <v/>
      </c>
      <c r="K162" s="1" t="str">
        <f>IF(G162="KGS",IF(D162&lt;&gt;"",IFERROR(ROUND(VLOOKUP(D162,ProductList!J:BG,47,FALSE),3),""),""),IF(D162&lt;&gt;"",IFERROR(ROUND(VLOOKUP(D162,ProductList!J:BG,46,FALSE),3),""),""))</f>
        <v/>
      </c>
      <c r="L162" s="1" t="str">
        <f t="shared" si="5"/>
        <v/>
      </c>
    </row>
    <row r="163" spans="1:12" x14ac:dyDescent="0.25">
      <c r="A163" s="304"/>
      <c r="B163" s="73"/>
      <c r="C163" s="73"/>
      <c r="D163" s="104"/>
      <c r="E163" s="122"/>
      <c r="F163" s="73" t="str">
        <f>IF(G163="KGS",IF(B163&lt;&gt;"",IFERROR(VLOOKUP(B163,ProductList!B:AO,21,FALSE),""),""),IF(D163&lt;&gt;"",IFERROR(VLOOKUP(B163,ProductList!B:AO,24,FALSE),""),""))</f>
        <v/>
      </c>
      <c r="G163" s="6"/>
      <c r="H163" s="75" t="str">
        <f>IF(G163="KGS",IF(B163&lt;&gt;"",IFERROR(ROUND(VLOOKUP(B163,ProductList!B:BG,58,FALSE),3),""),""),IF(B163&lt;&gt;"",IFERROR(ROUND(VLOOKUP(B163,ProductList!B:BG,57,FALSE),3),""),""))</f>
        <v/>
      </c>
      <c r="I163" s="75" t="str">
        <f t="shared" si="4"/>
        <v/>
      </c>
      <c r="J163" s="1" t="str">
        <f>IFERROR(VLOOKUP(B163,ProductList!B:AO,21,FALSE),"")</f>
        <v/>
      </c>
      <c r="K163" s="1" t="str">
        <f>IF(G163="KGS",IF(D163&lt;&gt;"",IFERROR(ROUND(VLOOKUP(D163,ProductList!J:BG,47,FALSE),3),""),""),IF(D163&lt;&gt;"",IFERROR(ROUND(VLOOKUP(D163,ProductList!J:BG,46,FALSE),3),""),""))</f>
        <v/>
      </c>
      <c r="L163" s="1" t="str">
        <f t="shared" si="5"/>
        <v/>
      </c>
    </row>
    <row r="164" spans="1:12" x14ac:dyDescent="0.25">
      <c r="A164" s="304"/>
      <c r="B164" s="73"/>
      <c r="C164" s="73"/>
      <c r="D164" s="104"/>
      <c r="E164" s="122"/>
      <c r="F164" s="73" t="str">
        <f>IF(G164="KGS",IF(B164&lt;&gt;"",IFERROR(VLOOKUP(B164,ProductList!B:AO,21,FALSE),""),""),IF(D164&lt;&gt;"",IFERROR(VLOOKUP(B164,ProductList!B:AO,24,FALSE),""),""))</f>
        <v/>
      </c>
      <c r="G164" s="6"/>
      <c r="H164" s="75" t="str">
        <f>IF(G164="KGS",IF(B164&lt;&gt;"",IFERROR(ROUND(VLOOKUP(B164,ProductList!B:BG,58,FALSE),3),""),""),IF(B164&lt;&gt;"",IFERROR(ROUND(VLOOKUP(B164,ProductList!B:BG,57,FALSE),3),""),""))</f>
        <v/>
      </c>
      <c r="I164" s="75" t="str">
        <f t="shared" si="4"/>
        <v/>
      </c>
      <c r="J164" s="1" t="str">
        <f>IFERROR(VLOOKUP(B164,ProductList!B:AO,21,FALSE),"")</f>
        <v/>
      </c>
      <c r="K164" s="1" t="str">
        <f>IF(G164="KGS",IF(D164&lt;&gt;"",IFERROR(ROUND(VLOOKUP(D164,ProductList!J:BG,47,FALSE),3),""),""),IF(D164&lt;&gt;"",IFERROR(ROUND(VLOOKUP(D164,ProductList!J:BG,46,FALSE),3),""),""))</f>
        <v/>
      </c>
      <c r="L164" s="1" t="str">
        <f t="shared" si="5"/>
        <v/>
      </c>
    </row>
    <row r="165" spans="1:12" x14ac:dyDescent="0.25">
      <c r="A165" s="304"/>
      <c r="B165" s="73"/>
      <c r="C165" s="73"/>
      <c r="D165" s="104"/>
      <c r="E165" s="122"/>
      <c r="F165" s="73" t="str">
        <f>IF(G165="KGS",IF(B165&lt;&gt;"",IFERROR(VLOOKUP(B165,ProductList!B:AO,21,FALSE),""),""),IF(D165&lt;&gt;"",IFERROR(VLOOKUP(B165,ProductList!B:AO,24,FALSE),""),""))</f>
        <v/>
      </c>
      <c r="G165" s="6"/>
      <c r="H165" s="75" t="str">
        <f>IF(G165="KGS",IF(B165&lt;&gt;"",IFERROR(ROUND(VLOOKUP(B165,ProductList!B:BG,58,FALSE),3),""),""),IF(B165&lt;&gt;"",IFERROR(ROUND(VLOOKUP(B165,ProductList!B:BG,57,FALSE),3),""),""))</f>
        <v/>
      </c>
      <c r="I165" s="75" t="str">
        <f t="shared" si="4"/>
        <v/>
      </c>
      <c r="J165" s="1" t="str">
        <f>IFERROR(VLOOKUP(B165,ProductList!B:AO,21,FALSE),"")</f>
        <v/>
      </c>
      <c r="K165" s="1" t="str">
        <f>IF(G165="KGS",IF(D165&lt;&gt;"",IFERROR(ROUND(VLOOKUP(D165,ProductList!J:BG,47,FALSE),3),""),""),IF(D165&lt;&gt;"",IFERROR(ROUND(VLOOKUP(D165,ProductList!J:BG,46,FALSE),3),""),""))</f>
        <v/>
      </c>
      <c r="L165" s="1" t="str">
        <f t="shared" si="5"/>
        <v/>
      </c>
    </row>
    <row r="166" spans="1:12" x14ac:dyDescent="0.25">
      <c r="A166" s="304"/>
      <c r="B166" s="73"/>
      <c r="C166" s="73"/>
      <c r="D166" s="104"/>
      <c r="E166" s="122"/>
      <c r="F166" s="73" t="str">
        <f>IF(G166="KGS",IF(B166&lt;&gt;"",IFERROR(VLOOKUP(B166,ProductList!B:AO,21,FALSE),""),""),IF(D166&lt;&gt;"",IFERROR(VLOOKUP(B166,ProductList!B:AO,24,FALSE),""),""))</f>
        <v/>
      </c>
      <c r="G166" s="6"/>
      <c r="H166" s="75" t="str">
        <f>IF(G166="KGS",IF(B166&lt;&gt;"",IFERROR(ROUND(VLOOKUP(B166,ProductList!B:BG,58,FALSE),3),""),""),IF(B166&lt;&gt;"",IFERROR(ROUND(VLOOKUP(B166,ProductList!B:BG,57,FALSE),3),""),""))</f>
        <v/>
      </c>
      <c r="I166" s="75" t="str">
        <f t="shared" si="4"/>
        <v/>
      </c>
      <c r="J166" s="1" t="str">
        <f>IFERROR(VLOOKUP(B166,ProductList!B:AO,21,FALSE),"")</f>
        <v/>
      </c>
      <c r="K166" s="1" t="str">
        <f>IF(G166="KGS",IF(D166&lt;&gt;"",IFERROR(ROUND(VLOOKUP(D166,ProductList!J:BG,47,FALSE),3),""),""),IF(D166&lt;&gt;"",IFERROR(ROUND(VLOOKUP(D166,ProductList!J:BG,46,FALSE),3),""),""))</f>
        <v/>
      </c>
      <c r="L166" s="1" t="str">
        <f t="shared" si="5"/>
        <v/>
      </c>
    </row>
    <row r="167" spans="1:12" x14ac:dyDescent="0.25">
      <c r="A167" s="304"/>
      <c r="B167" s="73"/>
      <c r="C167" s="73"/>
      <c r="D167" s="104"/>
      <c r="E167" s="122"/>
      <c r="F167" s="73" t="str">
        <f>IF(G167="KGS",IF(B167&lt;&gt;"",IFERROR(VLOOKUP(B167,ProductList!B:AO,21,FALSE),""),""),IF(D167&lt;&gt;"",IFERROR(VLOOKUP(B167,ProductList!B:AO,24,FALSE),""),""))</f>
        <v/>
      </c>
      <c r="G167" s="6"/>
      <c r="H167" s="75" t="str">
        <f>IF(G167="KGS",IF(B167&lt;&gt;"",IFERROR(ROUND(VLOOKUP(B167,ProductList!B:BG,58,FALSE),3),""),""),IF(B167&lt;&gt;"",IFERROR(ROUND(VLOOKUP(B167,ProductList!B:BG,57,FALSE),3),""),""))</f>
        <v/>
      </c>
      <c r="I167" s="75" t="str">
        <f t="shared" si="4"/>
        <v/>
      </c>
      <c r="J167" s="1" t="str">
        <f>IFERROR(VLOOKUP(B167,ProductList!B:AO,21,FALSE),"")</f>
        <v/>
      </c>
      <c r="K167" s="1" t="str">
        <f>IF(G167="KGS",IF(D167&lt;&gt;"",IFERROR(ROUND(VLOOKUP(D167,ProductList!J:BG,47,FALSE),3),""),""),IF(D167&lt;&gt;"",IFERROR(ROUND(VLOOKUP(D167,ProductList!J:BG,46,FALSE),3),""),""))</f>
        <v/>
      </c>
      <c r="L167" s="1" t="str">
        <f t="shared" si="5"/>
        <v/>
      </c>
    </row>
    <row r="168" spans="1:12" x14ac:dyDescent="0.25">
      <c r="A168" s="304"/>
      <c r="B168" s="73"/>
      <c r="C168" s="73"/>
      <c r="D168" s="104"/>
      <c r="E168" s="122"/>
      <c r="F168" s="73" t="str">
        <f>IF(G168="KGS",IF(B168&lt;&gt;"",IFERROR(VLOOKUP(B168,ProductList!B:AO,21,FALSE),""),""),IF(D168&lt;&gt;"",IFERROR(VLOOKUP(B168,ProductList!B:AO,24,FALSE),""),""))</f>
        <v/>
      </c>
      <c r="G168" s="6"/>
      <c r="H168" s="75" t="str">
        <f>IF(G168="KGS",IF(B168&lt;&gt;"",IFERROR(ROUND(VLOOKUP(B168,ProductList!B:BG,58,FALSE),3),""),""),IF(B168&lt;&gt;"",IFERROR(ROUND(VLOOKUP(B168,ProductList!B:BG,57,FALSE),3),""),""))</f>
        <v/>
      </c>
      <c r="I168" s="75" t="str">
        <f t="shared" si="4"/>
        <v/>
      </c>
      <c r="J168" s="1" t="str">
        <f>IFERROR(VLOOKUP(B168,ProductList!B:AO,21,FALSE),"")</f>
        <v/>
      </c>
      <c r="K168" s="1" t="str">
        <f>IF(G168="KGS",IF(D168&lt;&gt;"",IFERROR(ROUND(VLOOKUP(D168,ProductList!J:BG,47,FALSE),3),""),""),IF(D168&lt;&gt;"",IFERROR(ROUND(VLOOKUP(D168,ProductList!J:BG,46,FALSE),3),""),""))</f>
        <v/>
      </c>
      <c r="L168" s="1" t="str">
        <f t="shared" si="5"/>
        <v/>
      </c>
    </row>
    <row r="169" spans="1:12" x14ac:dyDescent="0.25">
      <c r="A169" s="304"/>
      <c r="B169" s="73"/>
      <c r="C169" s="73"/>
      <c r="D169" s="104"/>
      <c r="E169" s="122"/>
      <c r="F169" s="73" t="str">
        <f>IF(G169="KGS",IF(B169&lt;&gt;"",IFERROR(VLOOKUP(B169,ProductList!B:AO,21,FALSE),""),""),IF(D169&lt;&gt;"",IFERROR(VLOOKUP(B169,ProductList!B:AO,24,FALSE),""),""))</f>
        <v/>
      </c>
      <c r="G169" s="6"/>
      <c r="H169" s="75" t="str">
        <f>IF(G169="KGS",IF(B169&lt;&gt;"",IFERROR(ROUND(VLOOKUP(B169,ProductList!B:BG,58,FALSE),3),""),""),IF(B169&lt;&gt;"",IFERROR(ROUND(VLOOKUP(B169,ProductList!B:BG,57,FALSE),3),""),""))</f>
        <v/>
      </c>
      <c r="I169" s="75" t="str">
        <f t="shared" si="4"/>
        <v/>
      </c>
      <c r="J169" s="1" t="str">
        <f>IFERROR(VLOOKUP(B169,ProductList!B:AO,21,FALSE),"")</f>
        <v/>
      </c>
      <c r="K169" s="1" t="str">
        <f>IF(G169="KGS",IF(D169&lt;&gt;"",IFERROR(ROUND(VLOOKUP(D169,ProductList!J:BG,47,FALSE),3),""),""),IF(D169&lt;&gt;"",IFERROR(ROUND(VLOOKUP(D169,ProductList!J:BG,46,FALSE),3),""),""))</f>
        <v/>
      </c>
      <c r="L169" s="1" t="str">
        <f t="shared" si="5"/>
        <v/>
      </c>
    </row>
    <row r="170" spans="1:12" x14ac:dyDescent="0.25">
      <c r="A170" s="304"/>
      <c r="B170" s="73"/>
      <c r="C170" s="73"/>
      <c r="D170" s="104"/>
      <c r="E170" s="122"/>
      <c r="F170" s="73" t="str">
        <f>IF(G170="KGS",IF(B170&lt;&gt;"",IFERROR(VLOOKUP(B170,ProductList!B:AO,21,FALSE),""),""),IF(D170&lt;&gt;"",IFERROR(VLOOKUP(B170,ProductList!B:AO,24,FALSE),""),""))</f>
        <v/>
      </c>
      <c r="G170" s="6"/>
      <c r="H170" s="75" t="str">
        <f>IF(G170="KGS",IF(B170&lt;&gt;"",IFERROR(ROUND(VLOOKUP(B170,ProductList!B:BG,58,FALSE),3),""),""),IF(B170&lt;&gt;"",IFERROR(ROUND(VLOOKUP(B170,ProductList!B:BG,57,FALSE),3),""),""))</f>
        <v/>
      </c>
      <c r="I170" s="75" t="str">
        <f t="shared" si="4"/>
        <v/>
      </c>
      <c r="J170" s="1" t="str">
        <f>IFERROR(VLOOKUP(B170,ProductList!B:AO,21,FALSE),"")</f>
        <v/>
      </c>
      <c r="K170" s="1" t="str">
        <f>IF(G170="KGS",IF(D170&lt;&gt;"",IFERROR(ROUND(VLOOKUP(D170,ProductList!J:BG,47,FALSE),3),""),""),IF(D170&lt;&gt;"",IFERROR(ROUND(VLOOKUP(D170,ProductList!J:BG,46,FALSE),3),""),""))</f>
        <v/>
      </c>
      <c r="L170" s="1" t="str">
        <f t="shared" si="5"/>
        <v/>
      </c>
    </row>
    <row r="171" spans="1:12" x14ac:dyDescent="0.25">
      <c r="A171" s="304"/>
      <c r="B171" s="73"/>
      <c r="C171" s="73"/>
      <c r="D171" s="104"/>
      <c r="E171" s="122"/>
      <c r="F171" s="73" t="str">
        <f>IF(G171="KGS",IF(B171&lt;&gt;"",IFERROR(VLOOKUP(B171,ProductList!B:AO,21,FALSE),""),""),IF(D171&lt;&gt;"",IFERROR(VLOOKUP(B171,ProductList!B:AO,24,FALSE),""),""))</f>
        <v/>
      </c>
      <c r="G171" s="6"/>
      <c r="H171" s="75" t="str">
        <f>IF(G171="KGS",IF(B171&lt;&gt;"",IFERROR(ROUND(VLOOKUP(B171,ProductList!B:BG,58,FALSE),3),""),""),IF(B171&lt;&gt;"",IFERROR(ROUND(VLOOKUP(B171,ProductList!B:BG,57,FALSE),3),""),""))</f>
        <v/>
      </c>
      <c r="I171" s="75" t="str">
        <f t="shared" si="4"/>
        <v/>
      </c>
      <c r="J171" s="1" t="str">
        <f>IFERROR(VLOOKUP(B171,ProductList!B:AO,21,FALSE),"")</f>
        <v/>
      </c>
      <c r="K171" s="1" t="str">
        <f>IF(G171="KGS",IF(D171&lt;&gt;"",IFERROR(ROUND(VLOOKUP(D171,ProductList!J:BG,47,FALSE),3),""),""),IF(D171&lt;&gt;"",IFERROR(ROUND(VLOOKUP(D171,ProductList!J:BG,46,FALSE),3),""),""))</f>
        <v/>
      </c>
      <c r="L171" s="1" t="str">
        <f t="shared" si="5"/>
        <v/>
      </c>
    </row>
    <row r="172" spans="1:12" x14ac:dyDescent="0.25">
      <c r="A172" s="304"/>
      <c r="B172" s="73"/>
      <c r="C172" s="73"/>
      <c r="D172" s="104"/>
      <c r="E172" s="122"/>
      <c r="F172" s="73" t="str">
        <f>IF(G172="KGS",IF(B172&lt;&gt;"",IFERROR(VLOOKUP(B172,ProductList!B:AO,21,FALSE),""),""),IF(D172&lt;&gt;"",IFERROR(VLOOKUP(B172,ProductList!B:AO,24,FALSE),""),""))</f>
        <v/>
      </c>
      <c r="G172" s="6"/>
      <c r="H172" s="75" t="str">
        <f>IF(G172="KGS",IF(B172&lt;&gt;"",IFERROR(ROUND(VLOOKUP(B172,ProductList!B:BG,58,FALSE),3),""),""),IF(B172&lt;&gt;"",IFERROR(ROUND(VLOOKUP(B172,ProductList!B:BG,57,FALSE),3),""),""))</f>
        <v/>
      </c>
      <c r="I172" s="75" t="str">
        <f t="shared" si="4"/>
        <v/>
      </c>
      <c r="J172" s="1" t="str">
        <f>IFERROR(VLOOKUP(B172,ProductList!B:AO,21,FALSE),"")</f>
        <v/>
      </c>
      <c r="K172" s="1" t="str">
        <f>IF(G172="KGS",IF(D172&lt;&gt;"",IFERROR(ROUND(VLOOKUP(D172,ProductList!J:BG,47,FALSE),3),""),""),IF(D172&lt;&gt;"",IFERROR(ROUND(VLOOKUP(D172,ProductList!J:BG,46,FALSE),3),""),""))</f>
        <v/>
      </c>
      <c r="L172" s="1" t="str">
        <f t="shared" si="5"/>
        <v/>
      </c>
    </row>
    <row r="173" spans="1:12" x14ac:dyDescent="0.25">
      <c r="A173" s="304"/>
      <c r="B173" s="73"/>
      <c r="C173" s="73"/>
      <c r="D173" s="104"/>
      <c r="E173" s="122"/>
      <c r="F173" s="73" t="str">
        <f>IF(G173="KGS",IF(B173&lt;&gt;"",IFERROR(VLOOKUP(B173,ProductList!B:AO,21,FALSE),""),""),IF(D173&lt;&gt;"",IFERROR(VLOOKUP(B173,ProductList!B:AO,24,FALSE),""),""))</f>
        <v/>
      </c>
      <c r="G173" s="6"/>
      <c r="H173" s="75" t="str">
        <f>IF(G173="KGS",IF(B173&lt;&gt;"",IFERROR(ROUND(VLOOKUP(B173,ProductList!B:BG,58,FALSE),3),""),""),IF(B173&lt;&gt;"",IFERROR(ROUND(VLOOKUP(B173,ProductList!B:BG,57,FALSE),3),""),""))</f>
        <v/>
      </c>
      <c r="I173" s="75" t="str">
        <f t="shared" si="4"/>
        <v/>
      </c>
      <c r="J173" s="1" t="str">
        <f>IFERROR(VLOOKUP(B173,ProductList!B:AO,21,FALSE),"")</f>
        <v/>
      </c>
      <c r="K173" s="1" t="str">
        <f>IF(G173="KGS",IF(D173&lt;&gt;"",IFERROR(ROUND(VLOOKUP(D173,ProductList!J:BG,47,FALSE),3),""),""),IF(D173&lt;&gt;"",IFERROR(ROUND(VLOOKUP(D173,ProductList!J:BG,46,FALSE),3),""),""))</f>
        <v/>
      </c>
      <c r="L173" s="1" t="str">
        <f t="shared" si="5"/>
        <v/>
      </c>
    </row>
    <row r="174" spans="1:12" x14ac:dyDescent="0.25">
      <c r="A174" s="304"/>
      <c r="B174" s="73"/>
      <c r="C174" s="73"/>
      <c r="D174" s="104"/>
      <c r="E174" s="122"/>
      <c r="F174" s="73" t="str">
        <f>IF(G174="KGS",IF(B174&lt;&gt;"",IFERROR(VLOOKUP(B174,ProductList!B:AO,21,FALSE),""),""),IF(D174&lt;&gt;"",IFERROR(VLOOKUP(B174,ProductList!B:AO,24,FALSE),""),""))</f>
        <v/>
      </c>
      <c r="G174" s="6"/>
      <c r="H174" s="75" t="str">
        <f>IF(G174="KGS",IF(B174&lt;&gt;"",IFERROR(ROUND(VLOOKUP(B174,ProductList!B:BG,58,FALSE),3),""),""),IF(B174&lt;&gt;"",IFERROR(ROUND(VLOOKUP(B174,ProductList!B:BG,57,FALSE),3),""),""))</f>
        <v/>
      </c>
      <c r="I174" s="75" t="str">
        <f t="shared" si="4"/>
        <v/>
      </c>
      <c r="J174" s="1" t="str">
        <f>IFERROR(VLOOKUP(B174,ProductList!B:AO,21,FALSE),"")</f>
        <v/>
      </c>
      <c r="K174" s="1" t="str">
        <f>IF(G174="KGS",IF(D174&lt;&gt;"",IFERROR(ROUND(VLOOKUP(D174,ProductList!J:BG,47,FALSE),3),""),""),IF(D174&lt;&gt;"",IFERROR(ROUND(VLOOKUP(D174,ProductList!J:BG,46,FALSE),3),""),""))</f>
        <v/>
      </c>
      <c r="L174" s="1" t="str">
        <f t="shared" si="5"/>
        <v/>
      </c>
    </row>
    <row r="175" spans="1:12" x14ac:dyDescent="0.25">
      <c r="A175" s="304"/>
      <c r="B175" s="73"/>
      <c r="C175" s="73"/>
      <c r="D175" s="104"/>
      <c r="E175" s="122"/>
      <c r="F175" s="73" t="str">
        <f>IF(G175="KGS",IF(B175&lt;&gt;"",IFERROR(VLOOKUP(B175,ProductList!B:AO,21,FALSE),""),""),IF(D175&lt;&gt;"",IFERROR(VLOOKUP(B175,ProductList!B:AO,24,FALSE),""),""))</f>
        <v/>
      </c>
      <c r="G175" s="6"/>
      <c r="H175" s="75" t="str">
        <f>IF(G175="KGS",IF(B175&lt;&gt;"",IFERROR(ROUND(VLOOKUP(B175,ProductList!B:BG,58,FALSE),3),""),""),IF(B175&lt;&gt;"",IFERROR(ROUND(VLOOKUP(B175,ProductList!B:BG,57,FALSE),3),""),""))</f>
        <v/>
      </c>
      <c r="I175" s="75" t="str">
        <f t="shared" si="4"/>
        <v/>
      </c>
      <c r="J175" s="1" t="str">
        <f>IFERROR(VLOOKUP(B175,ProductList!B:AO,21,FALSE),"")</f>
        <v/>
      </c>
      <c r="K175" s="1" t="str">
        <f>IF(G175="KGS",IF(D175&lt;&gt;"",IFERROR(ROUND(VLOOKUP(D175,ProductList!J:BG,47,FALSE),3),""),""),IF(D175&lt;&gt;"",IFERROR(ROUND(VLOOKUP(D175,ProductList!J:BG,46,FALSE),3),""),""))</f>
        <v/>
      </c>
      <c r="L175" s="1" t="str">
        <f t="shared" si="5"/>
        <v/>
      </c>
    </row>
    <row r="176" spans="1:12" x14ac:dyDescent="0.25">
      <c r="A176" s="304"/>
      <c r="B176" s="73"/>
      <c r="C176" s="73"/>
      <c r="D176" s="104"/>
      <c r="E176" s="122"/>
      <c r="F176" s="73" t="str">
        <f>IF(G176="KGS",IF(B176&lt;&gt;"",IFERROR(VLOOKUP(B176,ProductList!B:AO,21,FALSE),""),""),IF(D176&lt;&gt;"",IFERROR(VLOOKUP(B176,ProductList!B:AO,24,FALSE),""),""))</f>
        <v/>
      </c>
      <c r="G176" s="6"/>
      <c r="H176" s="75" t="str">
        <f>IF(G176="KGS",IF(B176&lt;&gt;"",IFERROR(ROUND(VLOOKUP(B176,ProductList!B:BG,58,FALSE),3),""),""),IF(B176&lt;&gt;"",IFERROR(ROUND(VLOOKUP(B176,ProductList!B:BG,57,FALSE),3),""),""))</f>
        <v/>
      </c>
      <c r="I176" s="75" t="str">
        <f t="shared" si="4"/>
        <v/>
      </c>
      <c r="J176" s="1" t="str">
        <f>IFERROR(VLOOKUP(B176,ProductList!B:AO,21,FALSE),"")</f>
        <v/>
      </c>
      <c r="K176" s="1" t="str">
        <f>IF(G176="KGS",IF(D176&lt;&gt;"",IFERROR(ROUND(VLOOKUP(D176,ProductList!J:BG,47,FALSE),3),""),""),IF(D176&lt;&gt;"",IFERROR(ROUND(VLOOKUP(D176,ProductList!J:BG,46,FALSE),3),""),""))</f>
        <v/>
      </c>
      <c r="L176" s="1" t="str">
        <f t="shared" si="5"/>
        <v/>
      </c>
    </row>
    <row r="177" spans="1:12" x14ac:dyDescent="0.25">
      <c r="A177" s="304"/>
      <c r="B177" s="73"/>
      <c r="C177" s="73"/>
      <c r="D177" s="104"/>
      <c r="E177" s="122"/>
      <c r="F177" s="73" t="str">
        <f>IF(G177="KGS",IF(B177&lt;&gt;"",IFERROR(VLOOKUP(B177,ProductList!B:AO,21,FALSE),""),""),IF(D177&lt;&gt;"",IFERROR(VLOOKUP(B177,ProductList!B:AO,24,FALSE),""),""))</f>
        <v/>
      </c>
      <c r="G177" s="6"/>
      <c r="H177" s="75" t="str">
        <f>IF(G177="KGS",IF(B177&lt;&gt;"",IFERROR(ROUND(VLOOKUP(B177,ProductList!B:BG,58,FALSE),3),""),""),IF(B177&lt;&gt;"",IFERROR(ROUND(VLOOKUP(B177,ProductList!B:BG,57,FALSE),3),""),""))</f>
        <v/>
      </c>
      <c r="I177" s="75" t="str">
        <f t="shared" si="4"/>
        <v/>
      </c>
      <c r="J177" s="1" t="str">
        <f>IFERROR(VLOOKUP(B177,ProductList!B:AO,21,FALSE),"")</f>
        <v/>
      </c>
      <c r="K177" s="1" t="str">
        <f>IF(G177="KGS",IF(D177&lt;&gt;"",IFERROR(ROUND(VLOOKUP(D177,ProductList!J:BG,47,FALSE),3),""),""),IF(D177&lt;&gt;"",IFERROR(ROUND(VLOOKUP(D177,ProductList!J:BG,46,FALSE),3),""),""))</f>
        <v/>
      </c>
      <c r="L177" s="1" t="str">
        <f t="shared" si="5"/>
        <v/>
      </c>
    </row>
    <row r="178" spans="1:12" x14ac:dyDescent="0.25">
      <c r="A178" s="304"/>
      <c r="B178" s="73"/>
      <c r="C178" s="73"/>
      <c r="D178" s="104"/>
      <c r="E178" s="122"/>
      <c r="F178" s="73" t="str">
        <f>IF(G178="KGS",IF(B178&lt;&gt;"",IFERROR(VLOOKUP(B178,ProductList!B:AO,21,FALSE),""),""),IF(D178&lt;&gt;"",IFERROR(VLOOKUP(B178,ProductList!B:AO,24,FALSE),""),""))</f>
        <v/>
      </c>
      <c r="G178" s="6"/>
      <c r="H178" s="75" t="str">
        <f>IF(G178="KGS",IF(B178&lt;&gt;"",IFERROR(ROUND(VLOOKUP(B178,ProductList!B:BG,58,FALSE),3),""),""),IF(B178&lt;&gt;"",IFERROR(ROUND(VLOOKUP(B178,ProductList!B:BG,57,FALSE),3),""),""))</f>
        <v/>
      </c>
      <c r="I178" s="75" t="str">
        <f t="shared" si="4"/>
        <v/>
      </c>
      <c r="J178" s="1" t="str">
        <f>IFERROR(VLOOKUP(B178,ProductList!B:AO,21,FALSE),"")</f>
        <v/>
      </c>
      <c r="K178" s="1" t="str">
        <f>IF(G178="KGS",IF(D178&lt;&gt;"",IFERROR(ROUND(VLOOKUP(D178,ProductList!J:BG,47,FALSE),3),""),""),IF(D178&lt;&gt;"",IFERROR(ROUND(VLOOKUP(D178,ProductList!J:BG,46,FALSE),3),""),""))</f>
        <v/>
      </c>
      <c r="L178" s="1" t="str">
        <f t="shared" si="5"/>
        <v/>
      </c>
    </row>
    <row r="179" spans="1:12" x14ac:dyDescent="0.25">
      <c r="A179" s="304"/>
      <c r="B179" s="73"/>
      <c r="C179" s="73"/>
      <c r="D179" s="104"/>
      <c r="E179" s="122"/>
      <c r="F179" s="73" t="str">
        <f>IF(G179="KGS",IF(B179&lt;&gt;"",IFERROR(VLOOKUP(B179,ProductList!B:AO,21,FALSE),""),""),IF(D179&lt;&gt;"",IFERROR(VLOOKUP(B179,ProductList!B:AO,24,FALSE),""),""))</f>
        <v/>
      </c>
      <c r="G179" s="6"/>
      <c r="H179" s="75" t="str">
        <f>IF(G179="KGS",IF(B179&lt;&gt;"",IFERROR(ROUND(VLOOKUP(B179,ProductList!B:BG,58,FALSE),3),""),""),IF(B179&lt;&gt;"",IFERROR(ROUND(VLOOKUP(B179,ProductList!B:BG,57,FALSE),3),""),""))</f>
        <v/>
      </c>
      <c r="I179" s="75" t="str">
        <f t="shared" si="4"/>
        <v/>
      </c>
      <c r="J179" s="1" t="str">
        <f>IFERROR(VLOOKUP(B179,ProductList!B:AO,21,FALSE),"")</f>
        <v/>
      </c>
      <c r="K179" s="1" t="str">
        <f>IF(G179="KGS",IF(D179&lt;&gt;"",IFERROR(ROUND(VLOOKUP(D179,ProductList!J:BG,47,FALSE),3),""),""),IF(D179&lt;&gt;"",IFERROR(ROUND(VLOOKUP(D179,ProductList!J:BG,46,FALSE),3),""),""))</f>
        <v/>
      </c>
      <c r="L179" s="1" t="str">
        <f t="shared" si="5"/>
        <v/>
      </c>
    </row>
    <row r="180" spans="1:12" x14ac:dyDescent="0.25">
      <c r="A180" s="304"/>
      <c r="B180" s="73"/>
      <c r="C180" s="73"/>
      <c r="D180" s="104"/>
      <c r="E180" s="122"/>
      <c r="F180" s="73" t="str">
        <f>IF(G180="KGS",IF(B180&lt;&gt;"",IFERROR(VLOOKUP(B180,ProductList!B:AO,21,FALSE),""),""),IF(D180&lt;&gt;"",IFERROR(VLOOKUP(B180,ProductList!B:AO,24,FALSE),""),""))</f>
        <v/>
      </c>
      <c r="G180" s="6"/>
      <c r="H180" s="75" t="str">
        <f>IF(G180="KGS",IF(B180&lt;&gt;"",IFERROR(ROUND(VLOOKUP(B180,ProductList!B:BG,58,FALSE),3),""),""),IF(B180&lt;&gt;"",IFERROR(ROUND(VLOOKUP(B180,ProductList!B:BG,57,FALSE),3),""),""))</f>
        <v/>
      </c>
      <c r="I180" s="75" t="str">
        <f t="shared" si="4"/>
        <v/>
      </c>
      <c r="J180" s="1" t="str">
        <f>IFERROR(VLOOKUP(B180,ProductList!B:AO,21,FALSE),"")</f>
        <v/>
      </c>
      <c r="K180" s="1" t="str">
        <f>IF(G180="KGS",IF(D180&lt;&gt;"",IFERROR(ROUND(VLOOKUP(D180,ProductList!J:BG,47,FALSE),3),""),""),IF(D180&lt;&gt;"",IFERROR(ROUND(VLOOKUP(D180,ProductList!J:BG,46,FALSE),3),""),""))</f>
        <v/>
      </c>
      <c r="L180" s="1" t="str">
        <f t="shared" si="5"/>
        <v/>
      </c>
    </row>
    <row r="181" spans="1:12" x14ac:dyDescent="0.25">
      <c r="A181" s="304"/>
      <c r="B181" s="73"/>
      <c r="C181" s="73"/>
      <c r="D181" s="104"/>
      <c r="E181" s="122"/>
      <c r="F181" s="73" t="str">
        <f>IF(G181="KGS",IF(B181&lt;&gt;"",IFERROR(VLOOKUP(B181,ProductList!B:AO,21,FALSE),""),""),IF(D181&lt;&gt;"",IFERROR(VLOOKUP(B181,ProductList!B:AO,24,FALSE),""),""))</f>
        <v/>
      </c>
      <c r="G181" s="6"/>
      <c r="H181" s="75" t="str">
        <f>IF(G181="KGS",IF(B181&lt;&gt;"",IFERROR(ROUND(VLOOKUP(B181,ProductList!B:BG,58,FALSE),3),""),""),IF(B181&lt;&gt;"",IFERROR(ROUND(VLOOKUP(B181,ProductList!B:BG,57,FALSE),3),""),""))</f>
        <v/>
      </c>
      <c r="I181" s="75" t="str">
        <f t="shared" si="4"/>
        <v/>
      </c>
      <c r="J181" s="1" t="str">
        <f>IFERROR(VLOOKUP(B181,ProductList!B:AO,21,FALSE),"")</f>
        <v/>
      </c>
      <c r="K181" s="1" t="str">
        <f>IF(G181="KGS",IF(D181&lt;&gt;"",IFERROR(ROUND(VLOOKUP(D181,ProductList!J:BG,47,FALSE),3),""),""),IF(D181&lt;&gt;"",IFERROR(ROUND(VLOOKUP(D181,ProductList!J:BG,46,FALSE),3),""),""))</f>
        <v/>
      </c>
      <c r="L181" s="1" t="str">
        <f t="shared" si="5"/>
        <v/>
      </c>
    </row>
    <row r="182" spans="1:12" x14ac:dyDescent="0.25">
      <c r="A182" s="304"/>
      <c r="B182" s="73"/>
      <c r="C182" s="73"/>
      <c r="D182" s="104"/>
      <c r="E182" s="122"/>
      <c r="F182" s="73" t="str">
        <f>IF(G182="KGS",IF(B182&lt;&gt;"",IFERROR(VLOOKUP(B182,ProductList!B:AO,21,FALSE),""),""),IF(D182&lt;&gt;"",IFERROR(VLOOKUP(B182,ProductList!B:AO,24,FALSE),""),""))</f>
        <v/>
      </c>
      <c r="G182" s="6"/>
      <c r="H182" s="75" t="str">
        <f>IF(G182="KGS",IF(B182&lt;&gt;"",IFERROR(ROUND(VLOOKUP(B182,ProductList!B:BG,58,FALSE),3),""),""),IF(B182&lt;&gt;"",IFERROR(ROUND(VLOOKUP(B182,ProductList!B:BG,57,FALSE),3),""),""))</f>
        <v/>
      </c>
      <c r="I182" s="75" t="str">
        <f t="shared" si="4"/>
        <v/>
      </c>
      <c r="J182" s="1" t="str">
        <f>IFERROR(VLOOKUP(B182,ProductList!B:AO,21,FALSE),"")</f>
        <v/>
      </c>
      <c r="K182" s="1" t="str">
        <f>IF(G182="KGS",IF(D182&lt;&gt;"",IFERROR(ROUND(VLOOKUP(D182,ProductList!J:BG,47,FALSE),3),""),""),IF(D182&lt;&gt;"",IFERROR(ROUND(VLOOKUP(D182,ProductList!J:BG,46,FALSE),3),""),""))</f>
        <v/>
      </c>
      <c r="L182" s="1" t="str">
        <f t="shared" si="5"/>
        <v/>
      </c>
    </row>
    <row r="183" spans="1:12" x14ac:dyDescent="0.25">
      <c r="A183" s="304"/>
      <c r="B183" s="73"/>
      <c r="C183" s="73"/>
      <c r="D183" s="104"/>
      <c r="E183" s="122"/>
      <c r="F183" s="73" t="str">
        <f>IF(G183="KGS",IF(B183&lt;&gt;"",IFERROR(VLOOKUP(B183,ProductList!B:AO,21,FALSE),""),""),IF(D183&lt;&gt;"",IFERROR(VLOOKUP(B183,ProductList!B:AO,24,FALSE),""),""))</f>
        <v/>
      </c>
      <c r="G183" s="6"/>
      <c r="H183" s="75" t="str">
        <f>IF(G183="KGS",IF(B183&lt;&gt;"",IFERROR(ROUND(VLOOKUP(B183,ProductList!B:BG,58,FALSE),3),""),""),IF(B183&lt;&gt;"",IFERROR(ROUND(VLOOKUP(B183,ProductList!B:BG,57,FALSE),3),""),""))</f>
        <v/>
      </c>
      <c r="I183" s="75" t="str">
        <f t="shared" si="4"/>
        <v/>
      </c>
      <c r="J183" s="1" t="str">
        <f>IFERROR(VLOOKUP(B183,ProductList!B:AO,21,FALSE),"")</f>
        <v/>
      </c>
      <c r="K183" s="1" t="str">
        <f>IF(G183="KGS",IF(D183&lt;&gt;"",IFERROR(ROUND(VLOOKUP(D183,ProductList!J:BG,47,FALSE),3),""),""),IF(D183&lt;&gt;"",IFERROR(ROUND(VLOOKUP(D183,ProductList!J:BG,46,FALSE),3),""),""))</f>
        <v/>
      </c>
      <c r="L183" s="1" t="str">
        <f t="shared" si="5"/>
        <v/>
      </c>
    </row>
    <row r="184" spans="1:12" x14ac:dyDescent="0.25">
      <c r="A184" s="304"/>
      <c r="B184" s="73"/>
      <c r="C184" s="73"/>
      <c r="D184" s="104"/>
      <c r="E184" s="122"/>
      <c r="F184" s="73" t="str">
        <f>IF(G184="KGS",IF(B184&lt;&gt;"",IFERROR(VLOOKUP(B184,ProductList!B:AO,21,FALSE),""),""),IF(D184&lt;&gt;"",IFERROR(VLOOKUP(B184,ProductList!B:AO,24,FALSE),""),""))</f>
        <v/>
      </c>
      <c r="G184" s="6"/>
      <c r="H184" s="75" t="str">
        <f>IF(G184="KGS",IF(B184&lt;&gt;"",IFERROR(ROUND(VLOOKUP(B184,ProductList!B:BG,58,FALSE),3),""),""),IF(B184&lt;&gt;"",IFERROR(ROUND(VLOOKUP(B184,ProductList!B:BG,57,FALSE),3),""),""))</f>
        <v/>
      </c>
      <c r="I184" s="75" t="str">
        <f t="shared" si="4"/>
        <v/>
      </c>
      <c r="J184" s="1" t="str">
        <f>IFERROR(VLOOKUP(B184,ProductList!B:AO,21,FALSE),"")</f>
        <v/>
      </c>
      <c r="K184" s="1" t="str">
        <f>IF(G184="KGS",IF(D184&lt;&gt;"",IFERROR(ROUND(VLOOKUP(D184,ProductList!J:BG,47,FALSE),3),""),""),IF(D184&lt;&gt;"",IFERROR(ROUND(VLOOKUP(D184,ProductList!J:BG,46,FALSE),3),""),""))</f>
        <v/>
      </c>
      <c r="L184" s="1" t="str">
        <f t="shared" si="5"/>
        <v/>
      </c>
    </row>
    <row r="185" spans="1:12" x14ac:dyDescent="0.25">
      <c r="A185" s="304"/>
      <c r="B185" s="73"/>
      <c r="C185" s="73"/>
      <c r="D185" s="104"/>
      <c r="E185" s="122"/>
      <c r="F185" s="73" t="str">
        <f>IF(G185="KGS",IF(B185&lt;&gt;"",IFERROR(VLOOKUP(B185,ProductList!B:AO,21,FALSE),""),""),IF(D185&lt;&gt;"",IFERROR(VLOOKUP(B185,ProductList!B:AO,24,FALSE),""),""))</f>
        <v/>
      </c>
      <c r="G185" s="6"/>
      <c r="H185" s="75" t="str">
        <f>IF(G185="KGS",IF(B185&lt;&gt;"",IFERROR(ROUND(VLOOKUP(B185,ProductList!B:BG,58,FALSE),3),""),""),IF(B185&lt;&gt;"",IFERROR(ROUND(VLOOKUP(B185,ProductList!B:BG,57,FALSE),3),""),""))</f>
        <v/>
      </c>
      <c r="I185" s="75" t="str">
        <f t="shared" si="4"/>
        <v/>
      </c>
      <c r="J185" s="1" t="str">
        <f>IFERROR(VLOOKUP(B185,ProductList!B:AO,21,FALSE),"")</f>
        <v/>
      </c>
      <c r="K185" s="1" t="str">
        <f>IF(G185="KGS",IF(D185&lt;&gt;"",IFERROR(ROUND(VLOOKUP(D185,ProductList!J:BG,47,FALSE),3),""),""),IF(D185&lt;&gt;"",IFERROR(ROUND(VLOOKUP(D185,ProductList!J:BG,46,FALSE),3),""),""))</f>
        <v/>
      </c>
      <c r="L185" s="1" t="str">
        <f t="shared" si="5"/>
        <v/>
      </c>
    </row>
    <row r="186" spans="1:12" x14ac:dyDescent="0.25">
      <c r="A186" s="304"/>
      <c r="B186" s="73"/>
      <c r="C186" s="73"/>
      <c r="D186" s="104"/>
      <c r="E186" s="122"/>
      <c r="F186" s="73" t="str">
        <f>IF(G186="KGS",IF(B186&lt;&gt;"",IFERROR(VLOOKUP(B186,ProductList!B:AO,21,FALSE),""),""),IF(D186&lt;&gt;"",IFERROR(VLOOKUP(B186,ProductList!B:AO,24,FALSE),""),""))</f>
        <v/>
      </c>
      <c r="G186" s="6"/>
      <c r="H186" s="75" t="str">
        <f>IF(G186="KGS",IF(B186&lt;&gt;"",IFERROR(ROUND(VLOOKUP(B186,ProductList!B:BG,58,FALSE),3),""),""),IF(B186&lt;&gt;"",IFERROR(ROUND(VLOOKUP(B186,ProductList!B:BG,57,FALSE),3),""),""))</f>
        <v/>
      </c>
      <c r="I186" s="75" t="str">
        <f t="shared" si="4"/>
        <v/>
      </c>
      <c r="J186" s="1" t="str">
        <f>IFERROR(VLOOKUP(B186,ProductList!B:AO,21,FALSE),"")</f>
        <v/>
      </c>
      <c r="K186" s="1" t="str">
        <f>IF(G186="KGS",IF(D186&lt;&gt;"",IFERROR(ROUND(VLOOKUP(D186,ProductList!J:BG,47,FALSE),3),""),""),IF(D186&lt;&gt;"",IFERROR(ROUND(VLOOKUP(D186,ProductList!J:BG,46,FALSE),3),""),""))</f>
        <v/>
      </c>
      <c r="L186" s="1" t="str">
        <f t="shared" si="5"/>
        <v/>
      </c>
    </row>
    <row r="187" spans="1:12" x14ac:dyDescent="0.25">
      <c r="A187" s="304"/>
      <c r="B187" s="73"/>
      <c r="C187" s="73"/>
      <c r="D187" s="104"/>
      <c r="E187" s="122"/>
      <c r="F187" s="73" t="str">
        <f>IF(G187="KGS",IF(B187&lt;&gt;"",IFERROR(VLOOKUP(B187,ProductList!B:AO,21,FALSE),""),""),IF(D187&lt;&gt;"",IFERROR(VLOOKUP(B187,ProductList!B:AO,24,FALSE),""),""))</f>
        <v/>
      </c>
      <c r="G187" s="6"/>
      <c r="H187" s="75" t="str">
        <f>IF(G187="KGS",IF(B187&lt;&gt;"",IFERROR(ROUND(VLOOKUP(B187,ProductList!B:BG,58,FALSE),3),""),""),IF(B187&lt;&gt;"",IFERROR(ROUND(VLOOKUP(B187,ProductList!B:BG,57,FALSE),3),""),""))</f>
        <v/>
      </c>
      <c r="I187" s="75" t="str">
        <f t="shared" si="4"/>
        <v/>
      </c>
      <c r="J187" s="1" t="str">
        <f>IFERROR(VLOOKUP(B187,ProductList!B:AO,21,FALSE),"")</f>
        <v/>
      </c>
      <c r="K187" s="1" t="str">
        <f>IF(G187="KGS",IF(D187&lt;&gt;"",IFERROR(ROUND(VLOOKUP(D187,ProductList!J:BG,47,FALSE),3),""),""),IF(D187&lt;&gt;"",IFERROR(ROUND(VLOOKUP(D187,ProductList!J:BG,46,FALSE),3),""),""))</f>
        <v/>
      </c>
      <c r="L187" s="1" t="str">
        <f t="shared" si="5"/>
        <v/>
      </c>
    </row>
    <row r="188" spans="1:12" x14ac:dyDescent="0.25">
      <c r="A188" s="304"/>
      <c r="B188" s="73"/>
      <c r="C188" s="73"/>
      <c r="D188" s="104"/>
      <c r="E188" s="122"/>
      <c r="F188" s="73" t="str">
        <f>IF(G188="KGS",IF(B188&lt;&gt;"",IFERROR(VLOOKUP(B188,ProductList!B:AO,21,FALSE),""),""),IF(D188&lt;&gt;"",IFERROR(VLOOKUP(B188,ProductList!B:AO,24,FALSE),""),""))</f>
        <v/>
      </c>
      <c r="G188" s="6"/>
      <c r="H188" s="75" t="str">
        <f>IF(G188="KGS",IF(B188&lt;&gt;"",IFERROR(ROUND(VLOOKUP(B188,ProductList!B:BG,58,FALSE),3),""),""),IF(B188&lt;&gt;"",IFERROR(ROUND(VLOOKUP(B188,ProductList!B:BG,57,FALSE),3),""),""))</f>
        <v/>
      </c>
      <c r="I188" s="75" t="str">
        <f t="shared" si="4"/>
        <v/>
      </c>
      <c r="J188" s="1" t="str">
        <f>IFERROR(VLOOKUP(B188,ProductList!B:AO,21,FALSE),"")</f>
        <v/>
      </c>
      <c r="K188" s="1" t="str">
        <f>IF(G188="KGS",IF(D188&lt;&gt;"",IFERROR(ROUND(VLOOKUP(D188,ProductList!J:BG,47,FALSE),3),""),""),IF(D188&lt;&gt;"",IFERROR(ROUND(VLOOKUP(D188,ProductList!J:BG,46,FALSE),3),""),""))</f>
        <v/>
      </c>
      <c r="L188" s="1" t="str">
        <f t="shared" si="5"/>
        <v/>
      </c>
    </row>
    <row r="189" spans="1:12" x14ac:dyDescent="0.25">
      <c r="A189" s="304"/>
      <c r="B189" s="73"/>
      <c r="C189" s="73"/>
      <c r="D189" s="104"/>
      <c r="E189" s="122"/>
      <c r="F189" s="73" t="str">
        <f>IF(G189="KGS",IF(B189&lt;&gt;"",IFERROR(VLOOKUP(B189,ProductList!B:AO,21,FALSE),""),""),IF(D189&lt;&gt;"",IFERROR(VLOOKUP(B189,ProductList!B:AO,24,FALSE),""),""))</f>
        <v/>
      </c>
      <c r="G189" s="6"/>
      <c r="H189" s="75" t="str">
        <f>IF(G189="KGS",IF(B189&lt;&gt;"",IFERROR(ROUND(VLOOKUP(B189,ProductList!B:BG,58,FALSE),3),""),""),IF(B189&lt;&gt;"",IFERROR(ROUND(VLOOKUP(B189,ProductList!B:BG,57,FALSE),3),""),""))</f>
        <v/>
      </c>
      <c r="I189" s="75" t="str">
        <f t="shared" si="4"/>
        <v/>
      </c>
      <c r="J189" s="1" t="str">
        <f>IFERROR(VLOOKUP(B189,ProductList!B:AO,21,FALSE),"")</f>
        <v/>
      </c>
      <c r="K189" s="1" t="str">
        <f>IF(G189="KGS",IF(D189&lt;&gt;"",IFERROR(ROUND(VLOOKUP(D189,ProductList!J:BG,47,FALSE),3),""),""),IF(D189&lt;&gt;"",IFERROR(ROUND(VLOOKUP(D189,ProductList!J:BG,46,FALSE),3),""),""))</f>
        <v/>
      </c>
      <c r="L189" s="1" t="str">
        <f t="shared" si="5"/>
        <v/>
      </c>
    </row>
    <row r="190" spans="1:12" x14ac:dyDescent="0.25">
      <c r="A190" s="304"/>
      <c r="B190" s="73"/>
      <c r="C190" s="73"/>
      <c r="D190" s="104"/>
      <c r="E190" s="122"/>
      <c r="F190" s="73" t="str">
        <f>IF(G190="KGS",IF(B190&lt;&gt;"",IFERROR(VLOOKUP(B190,ProductList!B:AO,21,FALSE),""),""),IF(D190&lt;&gt;"",IFERROR(VLOOKUP(B190,ProductList!B:AO,24,FALSE),""),""))</f>
        <v/>
      </c>
      <c r="G190" s="6"/>
      <c r="H190" s="75" t="str">
        <f>IF(G190="KGS",IF(B190&lt;&gt;"",IFERROR(ROUND(VLOOKUP(B190,ProductList!B:BG,58,FALSE),3),""),""),IF(B190&lt;&gt;"",IFERROR(ROUND(VLOOKUP(B190,ProductList!B:BG,57,FALSE),3),""),""))</f>
        <v/>
      </c>
      <c r="I190" s="75" t="str">
        <f t="shared" si="4"/>
        <v/>
      </c>
      <c r="J190" s="1" t="str">
        <f>IFERROR(VLOOKUP(B190,ProductList!B:AO,21,FALSE),"")</f>
        <v/>
      </c>
      <c r="K190" s="1" t="str">
        <f>IF(G190="KGS",IF(D190&lt;&gt;"",IFERROR(ROUND(VLOOKUP(D190,ProductList!J:BG,47,FALSE),3),""),""),IF(D190&lt;&gt;"",IFERROR(ROUND(VLOOKUP(D190,ProductList!J:BG,46,FALSE),3),""),""))</f>
        <v/>
      </c>
      <c r="L190" s="1" t="str">
        <f t="shared" si="5"/>
        <v/>
      </c>
    </row>
    <row r="191" spans="1:12" x14ac:dyDescent="0.25">
      <c r="A191" s="304"/>
      <c r="B191" s="73"/>
      <c r="C191" s="73"/>
      <c r="D191" s="104"/>
      <c r="E191" s="122"/>
      <c r="F191" s="73" t="str">
        <f>IF(G191="KGS",IF(B191&lt;&gt;"",IFERROR(VLOOKUP(B191,ProductList!B:AO,21,FALSE),""),""),IF(D191&lt;&gt;"",IFERROR(VLOOKUP(B191,ProductList!B:AO,24,FALSE),""),""))</f>
        <v/>
      </c>
      <c r="G191" s="6"/>
      <c r="H191" s="75" t="str">
        <f>IF(G191="KGS",IF(B191&lt;&gt;"",IFERROR(ROUND(VLOOKUP(B191,ProductList!B:BG,58,FALSE),3),""),""),IF(B191&lt;&gt;"",IFERROR(ROUND(VLOOKUP(B191,ProductList!B:BG,57,FALSE),3),""),""))</f>
        <v/>
      </c>
      <c r="I191" s="75" t="str">
        <f t="shared" si="4"/>
        <v/>
      </c>
      <c r="J191" s="1" t="str">
        <f>IFERROR(VLOOKUP(B191,ProductList!B:AO,21,FALSE),"")</f>
        <v/>
      </c>
      <c r="K191" s="1" t="str">
        <f>IF(G191="KGS",IF(D191&lt;&gt;"",IFERROR(ROUND(VLOOKUP(D191,ProductList!J:BG,47,FALSE),3),""),""),IF(D191&lt;&gt;"",IFERROR(ROUND(VLOOKUP(D191,ProductList!J:BG,46,FALSE),3),""),""))</f>
        <v/>
      </c>
      <c r="L191" s="1" t="str">
        <f t="shared" si="5"/>
        <v/>
      </c>
    </row>
    <row r="192" spans="1:12" x14ac:dyDescent="0.25">
      <c r="A192" s="304"/>
      <c r="B192" s="73"/>
      <c r="C192" s="73"/>
      <c r="D192" s="104"/>
      <c r="E192" s="122"/>
      <c r="F192" s="73" t="str">
        <f>IF(G192="KGS",IF(B192&lt;&gt;"",IFERROR(VLOOKUP(B192,ProductList!B:AO,21,FALSE),""),""),IF(D192&lt;&gt;"",IFERROR(VLOOKUP(B192,ProductList!B:AO,24,FALSE),""),""))</f>
        <v/>
      </c>
      <c r="G192" s="6"/>
      <c r="H192" s="75" t="str">
        <f>IF(G192="KGS",IF(B192&lt;&gt;"",IFERROR(ROUND(VLOOKUP(B192,ProductList!B:BG,58,FALSE),3),""),""),IF(B192&lt;&gt;"",IFERROR(ROUND(VLOOKUP(B192,ProductList!B:BG,57,FALSE),3),""),""))</f>
        <v/>
      </c>
      <c r="I192" s="75" t="str">
        <f t="shared" si="4"/>
        <v/>
      </c>
      <c r="J192" s="1" t="str">
        <f>IFERROR(VLOOKUP(B192,ProductList!B:AO,21,FALSE),"")</f>
        <v/>
      </c>
      <c r="K192" s="1" t="str">
        <f>IF(G192="KGS",IF(D192&lt;&gt;"",IFERROR(ROUND(VLOOKUP(D192,ProductList!J:BG,47,FALSE),3),""),""),IF(D192&lt;&gt;"",IFERROR(ROUND(VLOOKUP(D192,ProductList!J:BG,46,FALSE),3),""),""))</f>
        <v/>
      </c>
      <c r="L192" s="1" t="str">
        <f t="shared" si="5"/>
        <v/>
      </c>
    </row>
    <row r="193" spans="1:12" x14ac:dyDescent="0.25">
      <c r="A193" s="304"/>
      <c r="B193" s="73"/>
      <c r="C193" s="73"/>
      <c r="D193" s="104"/>
      <c r="E193" s="122"/>
      <c r="F193" s="73" t="str">
        <f>IF(G193="KGS",IF(B193&lt;&gt;"",IFERROR(VLOOKUP(B193,ProductList!B:AO,21,FALSE),""),""),IF(D193&lt;&gt;"",IFERROR(VLOOKUP(B193,ProductList!B:AO,24,FALSE),""),""))</f>
        <v/>
      </c>
      <c r="G193" s="6"/>
      <c r="H193" s="75" t="str">
        <f>IF(G193="KGS",IF(B193&lt;&gt;"",IFERROR(ROUND(VLOOKUP(B193,ProductList!B:BG,58,FALSE),3),""),""),IF(B193&lt;&gt;"",IFERROR(ROUND(VLOOKUP(B193,ProductList!B:BG,57,FALSE),3),""),""))</f>
        <v/>
      </c>
      <c r="I193" s="75" t="str">
        <f t="shared" si="4"/>
        <v/>
      </c>
      <c r="J193" s="1" t="str">
        <f>IFERROR(VLOOKUP(B193,ProductList!B:AO,21,FALSE),"")</f>
        <v/>
      </c>
      <c r="K193" s="1" t="str">
        <f>IF(G193="KGS",IF(D193&lt;&gt;"",IFERROR(ROUND(VLOOKUP(D193,ProductList!J:BG,47,FALSE),3),""),""),IF(D193&lt;&gt;"",IFERROR(ROUND(VLOOKUP(D193,ProductList!J:BG,46,FALSE),3),""),""))</f>
        <v/>
      </c>
      <c r="L193" s="1" t="str">
        <f t="shared" si="5"/>
        <v/>
      </c>
    </row>
    <row r="194" spans="1:12" x14ac:dyDescent="0.25">
      <c r="A194" s="304"/>
      <c r="B194" s="73"/>
      <c r="C194" s="73"/>
      <c r="D194" s="104"/>
      <c r="E194" s="122"/>
      <c r="F194" s="73" t="str">
        <f>IF(G194="KGS",IF(B194&lt;&gt;"",IFERROR(VLOOKUP(B194,ProductList!B:AO,21,FALSE),""),""),IF(D194&lt;&gt;"",IFERROR(VLOOKUP(B194,ProductList!B:AO,24,FALSE),""),""))</f>
        <v/>
      </c>
      <c r="G194" s="6"/>
      <c r="H194" s="75" t="str">
        <f>IF(G194="KGS",IF(B194&lt;&gt;"",IFERROR(ROUND(VLOOKUP(B194,ProductList!B:BG,58,FALSE),3),""),""),IF(B194&lt;&gt;"",IFERROR(ROUND(VLOOKUP(B194,ProductList!B:BG,57,FALSE),3),""),""))</f>
        <v/>
      </c>
      <c r="I194" s="75" t="str">
        <f t="shared" si="4"/>
        <v/>
      </c>
      <c r="J194" s="1" t="str">
        <f>IFERROR(VLOOKUP(B194,ProductList!B:AO,21,FALSE),"")</f>
        <v/>
      </c>
      <c r="K194" s="1" t="str">
        <f>IF(G194="KGS",IF(D194&lt;&gt;"",IFERROR(ROUND(VLOOKUP(D194,ProductList!J:BG,47,FALSE),3),""),""),IF(D194&lt;&gt;"",IFERROR(ROUND(VLOOKUP(D194,ProductList!J:BG,46,FALSE),3),""),""))</f>
        <v/>
      </c>
      <c r="L194" s="1" t="str">
        <f t="shared" si="5"/>
        <v/>
      </c>
    </row>
    <row r="195" spans="1:12" x14ac:dyDescent="0.25">
      <c r="A195" s="304"/>
      <c r="B195" s="73"/>
      <c r="C195" s="73"/>
      <c r="D195" s="104"/>
      <c r="E195" s="122"/>
      <c r="F195" s="73" t="str">
        <f>IF(G195="KGS",IF(B195&lt;&gt;"",IFERROR(VLOOKUP(B195,ProductList!B:AO,21,FALSE),""),""),IF(D195&lt;&gt;"",IFERROR(VLOOKUP(B195,ProductList!B:AO,24,FALSE),""),""))</f>
        <v/>
      </c>
      <c r="G195" s="6"/>
      <c r="H195" s="75" t="str">
        <f>IF(G195="KGS",IF(B195&lt;&gt;"",IFERROR(ROUND(VLOOKUP(B195,ProductList!B:BG,58,FALSE),3),""),""),IF(B195&lt;&gt;"",IFERROR(ROUND(VLOOKUP(B195,ProductList!B:BG,57,FALSE),3),""),""))</f>
        <v/>
      </c>
      <c r="I195" s="75" t="str">
        <f t="shared" si="4"/>
        <v/>
      </c>
      <c r="J195" s="1" t="str">
        <f>IFERROR(VLOOKUP(B195,ProductList!B:AO,21,FALSE),"")</f>
        <v/>
      </c>
      <c r="K195" s="1" t="str">
        <f>IF(G195="KGS",IF(D195&lt;&gt;"",IFERROR(ROUND(VLOOKUP(D195,ProductList!J:BG,47,FALSE),3),""),""),IF(D195&lt;&gt;"",IFERROR(ROUND(VLOOKUP(D195,ProductList!J:BG,46,FALSE),3),""),""))</f>
        <v/>
      </c>
      <c r="L195" s="1" t="str">
        <f t="shared" si="5"/>
        <v/>
      </c>
    </row>
    <row r="196" spans="1:12" x14ac:dyDescent="0.25">
      <c r="A196" s="304"/>
      <c r="B196" s="73"/>
      <c r="C196" s="73"/>
      <c r="D196" s="104"/>
      <c r="E196" s="122"/>
      <c r="F196" s="73" t="str">
        <f>IF(G196="KGS",IF(B196&lt;&gt;"",IFERROR(VLOOKUP(B196,ProductList!B:AO,21,FALSE),""),""),IF(D196&lt;&gt;"",IFERROR(VLOOKUP(B196,ProductList!B:AO,24,FALSE),""),""))</f>
        <v/>
      </c>
      <c r="G196" s="6"/>
      <c r="H196" s="75" t="str">
        <f>IF(G196="KGS",IF(B196&lt;&gt;"",IFERROR(ROUND(VLOOKUP(B196,ProductList!B:BG,58,FALSE),3),""),""),IF(B196&lt;&gt;"",IFERROR(ROUND(VLOOKUP(B196,ProductList!B:BG,57,FALSE),3),""),""))</f>
        <v/>
      </c>
      <c r="I196" s="75" t="str">
        <f t="shared" si="4"/>
        <v/>
      </c>
      <c r="J196" s="1" t="str">
        <f>IFERROR(VLOOKUP(B196,ProductList!B:AO,21,FALSE),"")</f>
        <v/>
      </c>
      <c r="K196" s="1" t="str">
        <f>IF(G196="KGS",IF(D196&lt;&gt;"",IFERROR(ROUND(VLOOKUP(D196,ProductList!J:BG,47,FALSE),3),""),""),IF(D196&lt;&gt;"",IFERROR(ROUND(VLOOKUP(D196,ProductList!J:BG,46,FALSE),3),""),""))</f>
        <v/>
      </c>
      <c r="L196" s="1" t="str">
        <f t="shared" si="5"/>
        <v/>
      </c>
    </row>
    <row r="197" spans="1:12" x14ac:dyDescent="0.25">
      <c r="A197" s="304"/>
      <c r="B197" s="73"/>
      <c r="C197" s="73"/>
      <c r="D197" s="104"/>
      <c r="E197" s="122"/>
      <c r="F197" s="73" t="str">
        <f>IF(G197="KGS",IF(B197&lt;&gt;"",IFERROR(VLOOKUP(B197,ProductList!B:AO,21,FALSE),""),""),IF(D197&lt;&gt;"",IFERROR(VLOOKUP(B197,ProductList!B:AO,24,FALSE),""),""))</f>
        <v/>
      </c>
      <c r="G197" s="6"/>
      <c r="H197" s="75" t="str">
        <f>IF(G197="KGS",IF(B197&lt;&gt;"",IFERROR(ROUND(VLOOKUP(B197,ProductList!B:BG,58,FALSE),3),""),""),IF(B197&lt;&gt;"",IFERROR(ROUND(VLOOKUP(B197,ProductList!B:BG,57,FALSE),3),""),""))</f>
        <v/>
      </c>
      <c r="I197" s="75" t="str">
        <f t="shared" si="4"/>
        <v/>
      </c>
      <c r="J197" s="1" t="str">
        <f>IFERROR(VLOOKUP(B197,ProductList!B:AO,21,FALSE),"")</f>
        <v/>
      </c>
      <c r="K197" s="1" t="str">
        <f>IF(G197="KGS",IF(D197&lt;&gt;"",IFERROR(ROUND(VLOOKUP(D197,ProductList!J:BG,47,FALSE),3),""),""),IF(D197&lt;&gt;"",IFERROR(ROUND(VLOOKUP(D197,ProductList!J:BG,46,FALSE),3),""),""))</f>
        <v/>
      </c>
      <c r="L197" s="1" t="str">
        <f t="shared" si="5"/>
        <v/>
      </c>
    </row>
    <row r="198" spans="1:12" x14ac:dyDescent="0.25">
      <c r="A198" s="304"/>
      <c r="B198" s="73"/>
      <c r="C198" s="73"/>
      <c r="D198" s="104"/>
      <c r="E198" s="122"/>
      <c r="F198" s="73" t="str">
        <f>IF(G198="KGS",IF(B198&lt;&gt;"",IFERROR(VLOOKUP(B198,ProductList!B:AO,21,FALSE),""),""),IF(D198&lt;&gt;"",IFERROR(VLOOKUP(B198,ProductList!B:AO,24,FALSE),""),""))</f>
        <v/>
      </c>
      <c r="G198" s="6"/>
      <c r="H198" s="75" t="str">
        <f>IF(G198="KGS",IF(B198&lt;&gt;"",IFERROR(ROUND(VLOOKUP(B198,ProductList!B:BG,58,FALSE),3),""),""),IF(B198&lt;&gt;"",IFERROR(ROUND(VLOOKUP(B198,ProductList!B:BG,57,FALSE),3),""),""))</f>
        <v/>
      </c>
      <c r="I198" s="75" t="str">
        <f t="shared" ref="I198:I261" si="6">IF(AND(F198&lt;&gt;"",H198&lt;&gt;""),ROUND(F198*H198,2),"")</f>
        <v/>
      </c>
      <c r="J198" s="1" t="str">
        <f>IFERROR(VLOOKUP(B198,ProductList!B:AO,21,FALSE),"")</f>
        <v/>
      </c>
      <c r="K198" s="1" t="str">
        <f>IF(G198="KGS",IF(D198&lt;&gt;"",IFERROR(ROUND(VLOOKUP(D198,ProductList!J:BG,47,FALSE),3),""),""),IF(D198&lt;&gt;"",IFERROR(ROUND(VLOOKUP(D198,ProductList!J:BG,46,FALSE),3),""),""))</f>
        <v/>
      </c>
      <c r="L198" s="1" t="str">
        <f t="shared" ref="L198:L261" si="7">IF(AND(K198&lt;&gt;"",F198&lt;&gt;""),K198*F198,"")</f>
        <v/>
      </c>
    </row>
    <row r="199" spans="1:12" x14ac:dyDescent="0.25">
      <c r="A199" s="304"/>
      <c r="B199" s="73"/>
      <c r="C199" s="73"/>
      <c r="D199" s="104"/>
      <c r="E199" s="122"/>
      <c r="F199" s="73" t="str">
        <f>IF(G199="KGS",IF(B199&lt;&gt;"",IFERROR(VLOOKUP(B199,ProductList!B:AO,21,FALSE),""),""),IF(D199&lt;&gt;"",IFERROR(VLOOKUP(B199,ProductList!B:AO,24,FALSE),""),""))</f>
        <v/>
      </c>
      <c r="G199" s="202"/>
      <c r="H199" s="75" t="str">
        <f>IF(G199="KGS",IF(B199&lt;&gt;"",IFERROR(ROUND(VLOOKUP(B199,ProductList!B:BG,58,FALSE),3),""),""),IF(B199&lt;&gt;"",IFERROR(ROUND(VLOOKUP(B199,ProductList!B:BG,57,FALSE),3),""),""))</f>
        <v/>
      </c>
      <c r="I199" s="75" t="str">
        <f t="shared" si="6"/>
        <v/>
      </c>
      <c r="J199" s="1" t="str">
        <f>IFERROR(VLOOKUP(B199,ProductList!B:AO,21,FALSE),"")</f>
        <v/>
      </c>
      <c r="K199" s="1" t="str">
        <f>IF(G199="KGS",IF(D199&lt;&gt;"",IFERROR(ROUND(VLOOKUP(D199,ProductList!J:BG,47,FALSE),3),""),""),IF(D199&lt;&gt;"",IFERROR(ROUND(VLOOKUP(D199,ProductList!J:BG,46,FALSE),3),""),""))</f>
        <v/>
      </c>
      <c r="L199" s="1" t="str">
        <f t="shared" si="7"/>
        <v/>
      </c>
    </row>
    <row r="200" spans="1:12" x14ac:dyDescent="0.25">
      <c r="A200" s="304"/>
      <c r="B200" s="73"/>
      <c r="C200" s="73"/>
      <c r="D200" s="104"/>
      <c r="E200" s="122"/>
      <c r="F200" s="73" t="str">
        <f>IF(G200="KGS",IF(B200&lt;&gt;"",IFERROR(VLOOKUP(B200,ProductList!B:AO,21,FALSE),""),""),IF(D200&lt;&gt;"",IFERROR(VLOOKUP(B200,ProductList!B:AO,24,FALSE),""),""))</f>
        <v/>
      </c>
      <c r="G200" s="202"/>
      <c r="H200" s="75" t="str">
        <f>IF(G200="KGS",IF(B200&lt;&gt;"",IFERROR(ROUND(VLOOKUP(B200,ProductList!B:BG,58,FALSE),3),""),""),IF(B200&lt;&gt;"",IFERROR(ROUND(VLOOKUP(B200,ProductList!B:BG,57,FALSE),3),""),""))</f>
        <v/>
      </c>
      <c r="I200" s="75" t="str">
        <f t="shared" si="6"/>
        <v/>
      </c>
      <c r="J200" s="1" t="str">
        <f>IFERROR(VLOOKUP(B200,ProductList!B:AO,21,FALSE),"")</f>
        <v/>
      </c>
      <c r="K200" s="1" t="str">
        <f>IF(G200="KGS",IF(D200&lt;&gt;"",IFERROR(ROUND(VLOOKUP(D200,ProductList!J:BG,47,FALSE),3),""),""),IF(D200&lt;&gt;"",IFERROR(ROUND(VLOOKUP(D200,ProductList!J:BG,46,FALSE),3),""),""))</f>
        <v/>
      </c>
      <c r="L200" s="1" t="str">
        <f t="shared" si="7"/>
        <v/>
      </c>
    </row>
    <row r="201" spans="1:12" x14ac:dyDescent="0.25">
      <c r="A201" s="304"/>
      <c r="B201" s="73"/>
      <c r="C201" s="73"/>
      <c r="D201" s="104"/>
      <c r="E201" s="122"/>
      <c r="F201" s="73" t="str">
        <f>IF(G201="KGS",IF(B201&lt;&gt;"",IFERROR(VLOOKUP(B201,ProductList!B:AO,21,FALSE),""),""),IF(D201&lt;&gt;"",IFERROR(VLOOKUP(B201,ProductList!B:AO,24,FALSE),""),""))</f>
        <v/>
      </c>
      <c r="G201" s="202"/>
      <c r="H201" s="75" t="str">
        <f>IF(G201="KGS",IF(B201&lt;&gt;"",IFERROR(ROUND(VLOOKUP(B201,ProductList!B:BG,58,FALSE),3),""),""),IF(B201&lt;&gt;"",IFERROR(ROUND(VLOOKUP(B201,ProductList!B:BG,57,FALSE),3),""),""))</f>
        <v/>
      </c>
      <c r="I201" s="75" t="str">
        <f t="shared" si="6"/>
        <v/>
      </c>
      <c r="J201" s="1" t="str">
        <f>IFERROR(VLOOKUP(B201,ProductList!B:AO,21,FALSE),"")</f>
        <v/>
      </c>
      <c r="K201" s="1" t="str">
        <f>IF(G201="KGS",IF(D201&lt;&gt;"",IFERROR(ROUND(VLOOKUP(D201,ProductList!J:BG,47,FALSE),3),""),""),IF(D201&lt;&gt;"",IFERROR(ROUND(VLOOKUP(D201,ProductList!J:BG,46,FALSE),3),""),""))</f>
        <v/>
      </c>
      <c r="L201" s="1" t="str">
        <f t="shared" si="7"/>
        <v/>
      </c>
    </row>
    <row r="202" spans="1:12" x14ac:dyDescent="0.25">
      <c r="A202" s="304"/>
      <c r="B202" s="73"/>
      <c r="C202" s="73"/>
      <c r="D202" s="104"/>
      <c r="E202" s="122"/>
      <c r="F202" s="73" t="str">
        <f>IF(G202="KGS",IF(B202&lt;&gt;"",IFERROR(VLOOKUP(B202,ProductList!B:AO,21,FALSE),""),""),IF(D202&lt;&gt;"",IFERROR(VLOOKUP(B202,ProductList!B:AO,24,FALSE),""),""))</f>
        <v/>
      </c>
      <c r="G202" s="202"/>
      <c r="H202" s="75" t="str">
        <f>IF(G202="KGS",IF(B202&lt;&gt;"",IFERROR(ROUND(VLOOKUP(B202,ProductList!B:BG,58,FALSE),3),""),""),IF(B202&lt;&gt;"",IFERROR(ROUND(VLOOKUP(B202,ProductList!B:BG,57,FALSE),3),""),""))</f>
        <v/>
      </c>
      <c r="I202" s="75" t="str">
        <f t="shared" si="6"/>
        <v/>
      </c>
      <c r="J202" s="1" t="str">
        <f>IFERROR(VLOOKUP(B202,ProductList!B:AO,21,FALSE),"")</f>
        <v/>
      </c>
      <c r="K202" s="1" t="str">
        <f>IF(G202="KGS",IF(D202&lt;&gt;"",IFERROR(ROUND(VLOOKUP(D202,ProductList!J:BG,47,FALSE),3),""),""),IF(D202&lt;&gt;"",IFERROR(ROUND(VLOOKUP(D202,ProductList!J:BG,46,FALSE),3),""),""))</f>
        <v/>
      </c>
      <c r="L202" s="1" t="str">
        <f t="shared" si="7"/>
        <v/>
      </c>
    </row>
    <row r="203" spans="1:12" x14ac:dyDescent="0.25">
      <c r="A203" s="304"/>
      <c r="B203" s="73"/>
      <c r="C203" s="73"/>
      <c r="D203" s="104"/>
      <c r="E203" s="122"/>
      <c r="F203" s="73" t="str">
        <f>IF(G203="KGS",IF(B203&lt;&gt;"",IFERROR(VLOOKUP(B203,ProductList!B:AO,21,FALSE),""),""),IF(D203&lt;&gt;"",IFERROR(VLOOKUP(B203,ProductList!B:AO,24,FALSE),""),""))</f>
        <v/>
      </c>
      <c r="G203" s="202"/>
      <c r="H203" s="75" t="str">
        <f>IF(G203="KGS",IF(B203&lt;&gt;"",IFERROR(ROUND(VLOOKUP(B203,ProductList!B:BG,58,FALSE),3),""),""),IF(B203&lt;&gt;"",IFERROR(ROUND(VLOOKUP(B203,ProductList!B:BG,57,FALSE),3),""),""))</f>
        <v/>
      </c>
      <c r="I203" s="75" t="str">
        <f t="shared" si="6"/>
        <v/>
      </c>
      <c r="J203" s="1" t="str">
        <f>IFERROR(VLOOKUP(B203,ProductList!B:AO,21,FALSE),"")</f>
        <v/>
      </c>
      <c r="K203" s="1" t="str">
        <f>IF(G203="KGS",IF(D203&lt;&gt;"",IFERROR(ROUND(VLOOKUP(D203,ProductList!J:BG,47,FALSE),3),""),""),IF(D203&lt;&gt;"",IFERROR(ROUND(VLOOKUP(D203,ProductList!J:BG,46,FALSE),3),""),""))</f>
        <v/>
      </c>
      <c r="L203" s="1" t="str">
        <f t="shared" si="7"/>
        <v/>
      </c>
    </row>
    <row r="204" spans="1:12" x14ac:dyDescent="0.25">
      <c r="A204" s="304"/>
      <c r="B204" s="73"/>
      <c r="C204" s="73"/>
      <c r="D204" s="104"/>
      <c r="E204" s="122"/>
      <c r="F204" s="73" t="str">
        <f>IF(G204="KGS",IF(B204&lt;&gt;"",IFERROR(VLOOKUP(B204,ProductList!B:AO,21,FALSE),""),""),IF(D204&lt;&gt;"",IFERROR(VLOOKUP(B204,ProductList!B:AO,24,FALSE),""),""))</f>
        <v/>
      </c>
      <c r="G204" s="202"/>
      <c r="H204" s="75" t="str">
        <f>IF(G204="KGS",IF(B204&lt;&gt;"",IFERROR(ROUND(VLOOKUP(B204,ProductList!B:BG,58,FALSE),3),""),""),IF(B204&lt;&gt;"",IFERROR(ROUND(VLOOKUP(B204,ProductList!B:BG,57,FALSE),3),""),""))</f>
        <v/>
      </c>
      <c r="I204" s="75" t="str">
        <f t="shared" si="6"/>
        <v/>
      </c>
      <c r="J204" s="1" t="str">
        <f>IFERROR(VLOOKUP(B204,ProductList!B:AO,21,FALSE),"")</f>
        <v/>
      </c>
      <c r="K204" s="1" t="str">
        <f>IF(G204="KGS",IF(D204&lt;&gt;"",IFERROR(ROUND(VLOOKUP(D204,ProductList!J:BG,47,FALSE),3),""),""),IF(D204&lt;&gt;"",IFERROR(ROUND(VLOOKUP(D204,ProductList!J:BG,46,FALSE),3),""),""))</f>
        <v/>
      </c>
      <c r="L204" s="1" t="str">
        <f t="shared" si="7"/>
        <v/>
      </c>
    </row>
    <row r="205" spans="1:12" x14ac:dyDescent="0.25">
      <c r="A205" s="304"/>
      <c r="B205" s="73"/>
      <c r="C205" s="73"/>
      <c r="D205" s="104"/>
      <c r="E205" s="122"/>
      <c r="F205" s="73" t="str">
        <f>IF(G205="KGS",IF(B205&lt;&gt;"",IFERROR(VLOOKUP(B205,ProductList!B:AO,21,FALSE),""),""),IF(D205&lt;&gt;"",IFERROR(VLOOKUP(B205,ProductList!B:AO,24,FALSE),""),""))</f>
        <v/>
      </c>
      <c r="G205" s="202"/>
      <c r="H205" s="75" t="str">
        <f>IF(G205="KGS",IF(B205&lt;&gt;"",IFERROR(ROUND(VLOOKUP(B205,ProductList!B:BG,58,FALSE),3),""),""),IF(B205&lt;&gt;"",IFERROR(ROUND(VLOOKUP(B205,ProductList!B:BG,57,FALSE),3),""),""))</f>
        <v/>
      </c>
      <c r="I205" s="75" t="str">
        <f t="shared" si="6"/>
        <v/>
      </c>
      <c r="J205" s="1" t="str">
        <f>IFERROR(VLOOKUP(B205,ProductList!B:AO,21,FALSE),"")</f>
        <v/>
      </c>
      <c r="K205" s="1" t="str">
        <f>IF(G205="KGS",IF(D205&lt;&gt;"",IFERROR(ROUND(VLOOKUP(D205,ProductList!J:BG,47,FALSE),3),""),""),IF(D205&lt;&gt;"",IFERROR(ROUND(VLOOKUP(D205,ProductList!J:BG,46,FALSE),3),""),""))</f>
        <v/>
      </c>
      <c r="L205" s="1" t="str">
        <f t="shared" si="7"/>
        <v/>
      </c>
    </row>
    <row r="206" spans="1:12" x14ac:dyDescent="0.25">
      <c r="A206" s="304"/>
      <c r="B206" s="73"/>
      <c r="C206" s="73"/>
      <c r="D206" s="104"/>
      <c r="E206" s="122"/>
      <c r="F206" s="73" t="str">
        <f>IF(G206="KGS",IF(B206&lt;&gt;"",IFERROR(VLOOKUP(B206,ProductList!B:AO,21,FALSE),""),""),IF(D206&lt;&gt;"",IFERROR(VLOOKUP(B206,ProductList!B:AO,24,FALSE),""),""))</f>
        <v/>
      </c>
      <c r="G206" s="202"/>
      <c r="H206" s="75" t="str">
        <f>IF(G206="KGS",IF(B206&lt;&gt;"",IFERROR(ROUND(VLOOKUP(B206,ProductList!B:BG,58,FALSE),3),""),""),IF(B206&lt;&gt;"",IFERROR(ROUND(VLOOKUP(B206,ProductList!B:BG,57,FALSE),3),""),""))</f>
        <v/>
      </c>
      <c r="I206" s="75" t="str">
        <f t="shared" si="6"/>
        <v/>
      </c>
      <c r="J206" s="1" t="str">
        <f>IFERROR(VLOOKUP(B206,ProductList!B:AO,21,FALSE),"")</f>
        <v/>
      </c>
      <c r="K206" s="1" t="str">
        <f>IF(G206="KGS",IF(D206&lt;&gt;"",IFERROR(ROUND(VLOOKUP(D206,ProductList!J:BG,47,FALSE),3),""),""),IF(D206&lt;&gt;"",IFERROR(ROUND(VLOOKUP(D206,ProductList!J:BG,46,FALSE),3),""),""))</f>
        <v/>
      </c>
      <c r="L206" s="1" t="str">
        <f t="shared" si="7"/>
        <v/>
      </c>
    </row>
    <row r="207" spans="1:12" x14ac:dyDescent="0.25">
      <c r="A207" s="304"/>
      <c r="B207" s="73"/>
      <c r="C207" s="73"/>
      <c r="D207" s="104"/>
      <c r="E207" s="122"/>
      <c r="F207" s="73" t="str">
        <f>IF(G207="KGS",IF(B207&lt;&gt;"",IFERROR(VLOOKUP(B207,ProductList!B:AO,21,FALSE),""),""),IF(D207&lt;&gt;"",IFERROR(VLOOKUP(B207,ProductList!B:AO,24,FALSE),""),""))</f>
        <v/>
      </c>
      <c r="G207" s="202"/>
      <c r="H207" s="75" t="str">
        <f>IF(G207="KGS",IF(B207&lt;&gt;"",IFERROR(ROUND(VLOOKUP(B207,ProductList!B:BG,58,FALSE),3),""),""),IF(B207&lt;&gt;"",IFERROR(ROUND(VLOOKUP(B207,ProductList!B:BG,57,FALSE),3),""),""))</f>
        <v/>
      </c>
      <c r="I207" s="75" t="str">
        <f t="shared" si="6"/>
        <v/>
      </c>
      <c r="J207" s="1" t="str">
        <f>IFERROR(VLOOKUP(B207,ProductList!B:AO,21,FALSE),"")</f>
        <v/>
      </c>
      <c r="K207" s="1" t="str">
        <f>IF(G207="KGS",IF(D207&lt;&gt;"",IFERROR(ROUND(VLOOKUP(D207,ProductList!J:BG,47,FALSE),3),""),""),IF(D207&lt;&gt;"",IFERROR(ROUND(VLOOKUP(D207,ProductList!J:BG,46,FALSE),3),""),""))</f>
        <v/>
      </c>
      <c r="L207" s="1" t="str">
        <f t="shared" si="7"/>
        <v/>
      </c>
    </row>
    <row r="208" spans="1:12" x14ac:dyDescent="0.25">
      <c r="A208" s="304"/>
      <c r="B208" s="73"/>
      <c r="C208" s="73"/>
      <c r="D208" s="104"/>
      <c r="E208" s="122"/>
      <c r="F208" s="73" t="str">
        <f>IF(G208="KGS",IF(B208&lt;&gt;"",IFERROR(VLOOKUP(B208,ProductList!B:AO,21,FALSE),""),""),IF(D208&lt;&gt;"",IFERROR(VLOOKUP(B208,ProductList!B:AO,24,FALSE),""),""))</f>
        <v/>
      </c>
      <c r="G208" s="202"/>
      <c r="H208" s="75" t="str">
        <f>IF(G208="KGS",IF(B208&lt;&gt;"",IFERROR(ROUND(VLOOKUP(B208,ProductList!B:BG,58,FALSE),3),""),""),IF(B208&lt;&gt;"",IFERROR(ROUND(VLOOKUP(B208,ProductList!B:BG,57,FALSE),3),""),""))</f>
        <v/>
      </c>
      <c r="I208" s="75" t="str">
        <f t="shared" si="6"/>
        <v/>
      </c>
      <c r="J208" s="1" t="str">
        <f>IFERROR(VLOOKUP(B208,ProductList!B:AO,21,FALSE),"")</f>
        <v/>
      </c>
      <c r="K208" s="1" t="str">
        <f>IF(G208="KGS",IF(D208&lt;&gt;"",IFERROR(ROUND(VLOOKUP(D208,ProductList!J:BG,47,FALSE),3),""),""),IF(D208&lt;&gt;"",IFERROR(ROUND(VLOOKUP(D208,ProductList!J:BG,46,FALSE),3),""),""))</f>
        <v/>
      </c>
      <c r="L208" s="1" t="str">
        <f t="shared" si="7"/>
        <v/>
      </c>
    </row>
    <row r="209" spans="1:12" x14ac:dyDescent="0.25">
      <c r="A209" s="304"/>
      <c r="B209" s="73"/>
      <c r="C209" s="73"/>
      <c r="D209" s="104"/>
      <c r="E209" s="122"/>
      <c r="F209" s="73" t="str">
        <f>IF(G209="KGS",IF(B209&lt;&gt;"",IFERROR(VLOOKUP(B209,ProductList!B:AO,21,FALSE),""),""),IF(D209&lt;&gt;"",IFERROR(VLOOKUP(B209,ProductList!B:AO,24,FALSE),""),""))</f>
        <v/>
      </c>
      <c r="G209" s="202"/>
      <c r="H209" s="75" t="str">
        <f>IF(G209="KGS",IF(B209&lt;&gt;"",IFERROR(ROUND(VLOOKUP(B209,ProductList!B:BG,58,FALSE),3),""),""),IF(B209&lt;&gt;"",IFERROR(ROUND(VLOOKUP(B209,ProductList!B:BG,57,FALSE),3),""),""))</f>
        <v/>
      </c>
      <c r="I209" s="75" t="str">
        <f t="shared" si="6"/>
        <v/>
      </c>
      <c r="J209" s="1" t="str">
        <f>IFERROR(VLOOKUP(B209,ProductList!B:AO,21,FALSE),"")</f>
        <v/>
      </c>
      <c r="K209" s="1" t="str">
        <f>IF(G209="KGS",IF(D209&lt;&gt;"",IFERROR(ROUND(VLOOKUP(D209,ProductList!J:BG,47,FALSE),3),""),""),IF(D209&lt;&gt;"",IFERROR(ROUND(VLOOKUP(D209,ProductList!J:BG,46,FALSE),3),""),""))</f>
        <v/>
      </c>
      <c r="L209" s="1" t="str">
        <f t="shared" si="7"/>
        <v/>
      </c>
    </row>
    <row r="210" spans="1:12" x14ac:dyDescent="0.25">
      <c r="A210" s="304"/>
      <c r="B210" s="73"/>
      <c r="C210" s="73"/>
      <c r="D210" s="104"/>
      <c r="E210" s="122"/>
      <c r="F210" s="73" t="str">
        <f>IF(G210="KGS",IF(B210&lt;&gt;"",IFERROR(VLOOKUP(B210,ProductList!B:AO,21,FALSE),""),""),IF(D210&lt;&gt;"",IFERROR(VLOOKUP(B210,ProductList!B:AO,24,FALSE),""),""))</f>
        <v/>
      </c>
      <c r="G210" s="202"/>
      <c r="H210" s="75" t="str">
        <f>IF(G210="KGS",IF(B210&lt;&gt;"",IFERROR(ROUND(VLOOKUP(B210,ProductList!B:BG,58,FALSE),3),""),""),IF(B210&lt;&gt;"",IFERROR(ROUND(VLOOKUP(B210,ProductList!B:BG,57,FALSE),3),""),""))</f>
        <v/>
      </c>
      <c r="I210" s="75" t="str">
        <f t="shared" si="6"/>
        <v/>
      </c>
      <c r="J210" s="1" t="str">
        <f>IFERROR(VLOOKUP(B210,ProductList!B:AO,21,FALSE),"")</f>
        <v/>
      </c>
      <c r="K210" s="1" t="str">
        <f>IF(G210="KGS",IF(D210&lt;&gt;"",IFERROR(ROUND(VLOOKUP(D210,ProductList!J:BG,47,FALSE),3),""),""),IF(D210&lt;&gt;"",IFERROR(ROUND(VLOOKUP(D210,ProductList!J:BG,46,FALSE),3),""),""))</f>
        <v/>
      </c>
      <c r="L210" s="1" t="str">
        <f t="shared" si="7"/>
        <v/>
      </c>
    </row>
    <row r="211" spans="1:12" x14ac:dyDescent="0.25">
      <c r="A211" s="304"/>
      <c r="B211" s="73"/>
      <c r="C211" s="73"/>
      <c r="D211" s="104"/>
      <c r="E211" s="122"/>
      <c r="F211" s="73" t="str">
        <f>IF(G211="KGS",IF(B211&lt;&gt;"",IFERROR(VLOOKUP(B211,ProductList!B:AO,21,FALSE),""),""),IF(D211&lt;&gt;"",IFERROR(VLOOKUP(B211,ProductList!B:AO,24,FALSE),""),""))</f>
        <v/>
      </c>
      <c r="G211" s="202"/>
      <c r="H211" s="75" t="str">
        <f>IF(G211="KGS",IF(B211&lt;&gt;"",IFERROR(ROUND(VLOOKUP(B211,ProductList!B:BG,58,FALSE),3),""),""),IF(B211&lt;&gt;"",IFERROR(ROUND(VLOOKUP(B211,ProductList!B:BG,57,FALSE),3),""),""))</f>
        <v/>
      </c>
      <c r="I211" s="75" t="str">
        <f t="shared" si="6"/>
        <v/>
      </c>
      <c r="J211" s="1" t="str">
        <f>IFERROR(VLOOKUP(B211,ProductList!B:AO,21,FALSE),"")</f>
        <v/>
      </c>
      <c r="K211" s="1" t="str">
        <f>IF(G211="KGS",IF(D211&lt;&gt;"",IFERROR(ROUND(VLOOKUP(D211,ProductList!J:BG,47,FALSE),3),""),""),IF(D211&lt;&gt;"",IFERROR(ROUND(VLOOKUP(D211,ProductList!J:BG,46,FALSE),3),""),""))</f>
        <v/>
      </c>
      <c r="L211" s="1" t="str">
        <f t="shared" si="7"/>
        <v/>
      </c>
    </row>
    <row r="212" spans="1:12" x14ac:dyDescent="0.25">
      <c r="A212" s="304"/>
      <c r="B212" s="73"/>
      <c r="C212" s="73"/>
      <c r="D212" s="104"/>
      <c r="E212" s="122"/>
      <c r="F212" s="73" t="str">
        <f>IF(G212="KGS",IF(B212&lt;&gt;"",IFERROR(VLOOKUP(B212,ProductList!B:AO,21,FALSE),""),""),IF(D212&lt;&gt;"",IFERROR(VLOOKUP(B212,ProductList!B:AO,24,FALSE),""),""))</f>
        <v/>
      </c>
      <c r="G212" s="202"/>
      <c r="H212" s="75" t="str">
        <f>IF(G212="KGS",IF(B212&lt;&gt;"",IFERROR(ROUND(VLOOKUP(B212,ProductList!B:BG,58,FALSE),3),""),""),IF(B212&lt;&gt;"",IFERROR(ROUND(VLOOKUP(B212,ProductList!B:BG,57,FALSE),3),""),""))</f>
        <v/>
      </c>
      <c r="I212" s="75" t="str">
        <f t="shared" si="6"/>
        <v/>
      </c>
      <c r="J212" s="1" t="str">
        <f>IFERROR(VLOOKUP(B212,ProductList!B:AO,21,FALSE),"")</f>
        <v/>
      </c>
      <c r="K212" s="1" t="str">
        <f>IF(G212="KGS",IF(D212&lt;&gt;"",IFERROR(ROUND(VLOOKUP(D212,ProductList!J:BG,47,FALSE),3),""),""),IF(D212&lt;&gt;"",IFERROR(ROUND(VLOOKUP(D212,ProductList!J:BG,46,FALSE),3),""),""))</f>
        <v/>
      </c>
      <c r="L212" s="1" t="str">
        <f t="shared" si="7"/>
        <v/>
      </c>
    </row>
    <row r="213" spans="1:12" x14ac:dyDescent="0.25">
      <c r="A213" s="304"/>
      <c r="B213" s="73"/>
      <c r="C213" s="73"/>
      <c r="D213" s="104"/>
      <c r="E213" s="122"/>
      <c r="F213" s="73" t="str">
        <f>IF(G213="KGS",IF(B213&lt;&gt;"",IFERROR(VLOOKUP(B213,ProductList!B:AO,21,FALSE),""),""),IF(D213&lt;&gt;"",IFERROR(VLOOKUP(B213,ProductList!B:AO,24,FALSE),""),""))</f>
        <v/>
      </c>
      <c r="G213" s="202"/>
      <c r="H213" s="75" t="str">
        <f>IF(G213="KGS",IF(B213&lt;&gt;"",IFERROR(ROUND(VLOOKUP(B213,ProductList!B:BG,58,FALSE),3),""),""),IF(B213&lt;&gt;"",IFERROR(ROUND(VLOOKUP(B213,ProductList!B:BG,57,FALSE),3),""),""))</f>
        <v/>
      </c>
      <c r="I213" s="75" t="str">
        <f t="shared" si="6"/>
        <v/>
      </c>
      <c r="J213" s="1" t="str">
        <f>IFERROR(VLOOKUP(B213,ProductList!B:AO,21,FALSE),"")</f>
        <v/>
      </c>
      <c r="K213" s="1" t="str">
        <f>IF(G213="KGS",IF(D213&lt;&gt;"",IFERROR(ROUND(VLOOKUP(D213,ProductList!J:BG,47,FALSE),3),""),""),IF(D213&lt;&gt;"",IFERROR(ROUND(VLOOKUP(D213,ProductList!J:BG,46,FALSE),3),""),""))</f>
        <v/>
      </c>
      <c r="L213" s="1" t="str">
        <f t="shared" si="7"/>
        <v/>
      </c>
    </row>
    <row r="214" spans="1:12" x14ac:dyDescent="0.25">
      <c r="A214" s="304"/>
      <c r="B214" s="73"/>
      <c r="C214" s="73"/>
      <c r="D214" s="104"/>
      <c r="E214" s="122"/>
      <c r="F214" s="73" t="str">
        <f>IF(G214="KGS",IF(B214&lt;&gt;"",IFERROR(VLOOKUP(B214,ProductList!B:AO,21,FALSE),""),""),IF(D214&lt;&gt;"",IFERROR(VLOOKUP(B214,ProductList!B:AO,24,FALSE),""),""))</f>
        <v/>
      </c>
      <c r="G214" s="202"/>
      <c r="H214" s="75" t="str">
        <f>IF(G214="KGS",IF(B214&lt;&gt;"",IFERROR(ROUND(VLOOKUP(B214,ProductList!B:BG,58,FALSE),3),""),""),IF(B214&lt;&gt;"",IFERROR(ROUND(VLOOKUP(B214,ProductList!B:BG,57,FALSE),3),""),""))</f>
        <v/>
      </c>
      <c r="I214" s="75" t="str">
        <f t="shared" si="6"/>
        <v/>
      </c>
      <c r="J214" s="1" t="str">
        <f>IFERROR(VLOOKUP(B214,ProductList!B:AO,21,FALSE),"")</f>
        <v/>
      </c>
      <c r="K214" s="1" t="str">
        <f>IF(G214="KGS",IF(D214&lt;&gt;"",IFERROR(ROUND(VLOOKUP(D214,ProductList!J:BG,47,FALSE),3),""),""),IF(D214&lt;&gt;"",IFERROR(ROUND(VLOOKUP(D214,ProductList!J:BG,46,FALSE),3),""),""))</f>
        <v/>
      </c>
      <c r="L214" s="1" t="str">
        <f t="shared" si="7"/>
        <v/>
      </c>
    </row>
    <row r="215" spans="1:12" x14ac:dyDescent="0.25">
      <c r="A215" s="304"/>
      <c r="B215" s="73"/>
      <c r="C215" s="73"/>
      <c r="D215" s="104"/>
      <c r="E215" s="122"/>
      <c r="F215" s="73" t="str">
        <f>IF(G215="KGS",IF(B215&lt;&gt;"",IFERROR(VLOOKUP(B215,ProductList!B:AO,21,FALSE),""),""),IF(D215&lt;&gt;"",IFERROR(VLOOKUP(B215,ProductList!B:AO,24,FALSE),""),""))</f>
        <v/>
      </c>
      <c r="G215" s="202"/>
      <c r="H215" s="75" t="str">
        <f>IF(G215="KGS",IF(B215&lt;&gt;"",IFERROR(ROUND(VLOOKUP(B215,ProductList!B:BG,58,FALSE),3),""),""),IF(B215&lt;&gt;"",IFERROR(ROUND(VLOOKUP(B215,ProductList!B:BG,57,FALSE),3),""),""))</f>
        <v/>
      </c>
      <c r="I215" s="75" t="str">
        <f t="shared" si="6"/>
        <v/>
      </c>
      <c r="J215" s="1" t="str">
        <f>IFERROR(VLOOKUP(B215,ProductList!B:AO,21,FALSE),"")</f>
        <v/>
      </c>
      <c r="K215" s="1" t="str">
        <f>IF(G215="KGS",IF(D215&lt;&gt;"",IFERROR(ROUND(VLOOKUP(D215,ProductList!J:BG,47,FALSE),3),""),""),IF(D215&lt;&gt;"",IFERROR(ROUND(VLOOKUP(D215,ProductList!J:BG,46,FALSE),3),""),""))</f>
        <v/>
      </c>
      <c r="L215" s="1" t="str">
        <f t="shared" si="7"/>
        <v/>
      </c>
    </row>
    <row r="216" spans="1:12" x14ac:dyDescent="0.25">
      <c r="A216" s="304"/>
      <c r="B216" s="73"/>
      <c r="C216" s="73"/>
      <c r="D216" s="104"/>
      <c r="E216" s="122"/>
      <c r="F216" s="73" t="str">
        <f>IF(G216="KGS",IF(B216&lt;&gt;"",IFERROR(VLOOKUP(B216,ProductList!B:AO,21,FALSE),""),""),IF(D216&lt;&gt;"",IFERROR(VLOOKUP(B216,ProductList!B:AO,24,FALSE),""),""))</f>
        <v/>
      </c>
      <c r="G216" s="202"/>
      <c r="H216" s="75" t="str">
        <f>IF(G216="KGS",IF(B216&lt;&gt;"",IFERROR(ROUND(VLOOKUP(B216,ProductList!B:BG,58,FALSE),3),""),""),IF(B216&lt;&gt;"",IFERROR(ROUND(VLOOKUP(B216,ProductList!B:BG,57,FALSE),3),""),""))</f>
        <v/>
      </c>
      <c r="I216" s="75" t="str">
        <f t="shared" si="6"/>
        <v/>
      </c>
      <c r="J216" s="1" t="str">
        <f>IFERROR(VLOOKUP(B216,ProductList!B:AO,21,FALSE),"")</f>
        <v/>
      </c>
      <c r="K216" s="1" t="str">
        <f>IF(G216="KGS",IF(D216&lt;&gt;"",IFERROR(ROUND(VLOOKUP(D216,ProductList!J:BG,47,FALSE),3),""),""),IF(D216&lt;&gt;"",IFERROR(ROUND(VLOOKUP(D216,ProductList!J:BG,46,FALSE),3),""),""))</f>
        <v/>
      </c>
      <c r="L216" s="1" t="str">
        <f t="shared" si="7"/>
        <v/>
      </c>
    </row>
    <row r="217" spans="1:12" x14ac:dyDescent="0.25">
      <c r="A217" s="304"/>
      <c r="B217" s="73"/>
      <c r="C217" s="73"/>
      <c r="D217" s="104"/>
      <c r="E217" s="122"/>
      <c r="F217" s="73" t="str">
        <f>IF(G217="KGS",IF(B217&lt;&gt;"",IFERROR(VLOOKUP(B217,ProductList!B:AO,21,FALSE),""),""),IF(D217&lt;&gt;"",IFERROR(VLOOKUP(B217,ProductList!B:AO,24,FALSE),""),""))</f>
        <v/>
      </c>
      <c r="G217" s="202"/>
      <c r="H217" s="75" t="str">
        <f>IF(G217="KGS",IF(B217&lt;&gt;"",IFERROR(ROUND(VLOOKUP(B217,ProductList!B:BG,58,FALSE),3),""),""),IF(B217&lt;&gt;"",IFERROR(ROUND(VLOOKUP(B217,ProductList!B:BG,57,FALSE),3),""),""))</f>
        <v/>
      </c>
      <c r="I217" s="75" t="str">
        <f t="shared" si="6"/>
        <v/>
      </c>
      <c r="J217" s="1" t="str">
        <f>IFERROR(VLOOKUP(B217,ProductList!B:AO,21,FALSE),"")</f>
        <v/>
      </c>
      <c r="K217" s="1" t="str">
        <f>IF(G217="KGS",IF(D217&lt;&gt;"",IFERROR(ROUND(VLOOKUP(D217,ProductList!J:BG,47,FALSE),3),""),""),IF(D217&lt;&gt;"",IFERROR(ROUND(VLOOKUP(D217,ProductList!J:BG,46,FALSE),3),""),""))</f>
        <v/>
      </c>
      <c r="L217" s="1" t="str">
        <f t="shared" si="7"/>
        <v/>
      </c>
    </row>
    <row r="218" spans="1:12" x14ac:dyDescent="0.25">
      <c r="A218" s="304"/>
      <c r="B218" s="73"/>
      <c r="C218" s="73"/>
      <c r="D218" s="104"/>
      <c r="E218" s="122"/>
      <c r="F218" s="73" t="str">
        <f>IF(G218="KGS",IF(B218&lt;&gt;"",IFERROR(VLOOKUP(B218,ProductList!B:AO,21,FALSE),""),""),IF(D218&lt;&gt;"",IFERROR(VLOOKUP(B218,ProductList!B:AO,24,FALSE),""),""))</f>
        <v/>
      </c>
      <c r="G218" s="202"/>
      <c r="H218" s="75" t="str">
        <f>IF(G218="KGS",IF(B218&lt;&gt;"",IFERROR(ROUND(VLOOKUP(B218,ProductList!B:BG,58,FALSE),3),""),""),IF(B218&lt;&gt;"",IFERROR(ROUND(VLOOKUP(B218,ProductList!B:BG,57,FALSE),3),""),""))</f>
        <v/>
      </c>
      <c r="I218" s="75" t="str">
        <f t="shared" si="6"/>
        <v/>
      </c>
      <c r="J218" s="1" t="str">
        <f>IFERROR(VLOOKUP(B218,ProductList!B:AO,21,FALSE),"")</f>
        <v/>
      </c>
      <c r="K218" s="1" t="str">
        <f>IF(G218="KGS",IF(D218&lt;&gt;"",IFERROR(ROUND(VLOOKUP(D218,ProductList!J:BG,47,FALSE),3),""),""),IF(D218&lt;&gt;"",IFERROR(ROUND(VLOOKUP(D218,ProductList!J:BG,46,FALSE),3),""),""))</f>
        <v/>
      </c>
      <c r="L218" s="1" t="str">
        <f t="shared" si="7"/>
        <v/>
      </c>
    </row>
    <row r="219" spans="1:12" x14ac:dyDescent="0.25">
      <c r="A219" s="304"/>
      <c r="B219" s="73"/>
      <c r="C219" s="73"/>
      <c r="D219" s="104"/>
      <c r="E219" s="122"/>
      <c r="F219" s="73" t="str">
        <f>IF(G219="KGS",IF(B219&lt;&gt;"",IFERROR(VLOOKUP(B219,ProductList!B:AO,21,FALSE),""),""),IF(D219&lt;&gt;"",IFERROR(VLOOKUP(B219,ProductList!B:AO,24,FALSE),""),""))</f>
        <v/>
      </c>
      <c r="G219" s="202"/>
      <c r="H219" s="75" t="str">
        <f>IF(G219="KGS",IF(B219&lt;&gt;"",IFERROR(ROUND(VLOOKUP(B219,ProductList!B:BG,58,FALSE),3),""),""),IF(B219&lt;&gt;"",IFERROR(ROUND(VLOOKUP(B219,ProductList!B:BG,57,FALSE),3),""),""))</f>
        <v/>
      </c>
      <c r="I219" s="75" t="str">
        <f t="shared" si="6"/>
        <v/>
      </c>
      <c r="J219" s="1" t="str">
        <f>IFERROR(VLOOKUP(B219,ProductList!B:AO,21,FALSE),"")</f>
        <v/>
      </c>
      <c r="K219" s="1" t="str">
        <f>IF(G219="KGS",IF(D219&lt;&gt;"",IFERROR(ROUND(VLOOKUP(D219,ProductList!J:BG,47,FALSE),3),""),""),IF(D219&lt;&gt;"",IFERROR(ROUND(VLOOKUP(D219,ProductList!J:BG,46,FALSE),3),""),""))</f>
        <v/>
      </c>
      <c r="L219" s="1" t="str">
        <f t="shared" si="7"/>
        <v/>
      </c>
    </row>
    <row r="220" spans="1:12" x14ac:dyDescent="0.25">
      <c r="A220" s="304"/>
      <c r="B220" s="73"/>
      <c r="C220" s="73"/>
      <c r="D220" s="104"/>
      <c r="E220" s="122"/>
      <c r="F220" s="73" t="str">
        <f>IF(G220="KGS",IF(B220&lt;&gt;"",IFERROR(VLOOKUP(B220,ProductList!B:AO,21,FALSE),""),""),IF(D220&lt;&gt;"",IFERROR(VLOOKUP(B220,ProductList!B:AO,24,FALSE),""),""))</f>
        <v/>
      </c>
      <c r="G220" s="202"/>
      <c r="H220" s="75" t="str">
        <f>IF(G220="KGS",IF(B220&lt;&gt;"",IFERROR(ROUND(VLOOKUP(B220,ProductList!B:BG,58,FALSE),3),""),""),IF(B220&lt;&gt;"",IFERROR(ROUND(VLOOKUP(B220,ProductList!B:BG,57,FALSE),3),""),""))</f>
        <v/>
      </c>
      <c r="I220" s="75" t="str">
        <f t="shared" si="6"/>
        <v/>
      </c>
      <c r="J220" s="1" t="str">
        <f>IFERROR(VLOOKUP(B220,ProductList!B:AO,21,FALSE),"")</f>
        <v/>
      </c>
      <c r="K220" s="1" t="str">
        <f>IF(G220="KGS",IF(D220&lt;&gt;"",IFERROR(ROUND(VLOOKUP(D220,ProductList!J:BG,47,FALSE),3),""),""),IF(D220&lt;&gt;"",IFERROR(ROUND(VLOOKUP(D220,ProductList!J:BG,46,FALSE),3),""),""))</f>
        <v/>
      </c>
      <c r="L220" s="1" t="str">
        <f t="shared" si="7"/>
        <v/>
      </c>
    </row>
    <row r="221" spans="1:12" x14ac:dyDescent="0.25">
      <c r="A221" s="304"/>
      <c r="B221" s="73"/>
      <c r="C221" s="73"/>
      <c r="D221" s="104"/>
      <c r="E221" s="122"/>
      <c r="F221" s="73" t="str">
        <f>IF(G221="KGS",IF(B221&lt;&gt;"",IFERROR(VLOOKUP(B221,ProductList!B:AO,21,FALSE),""),""),IF(D221&lt;&gt;"",IFERROR(VLOOKUP(B221,ProductList!B:AO,24,FALSE),""),""))</f>
        <v/>
      </c>
      <c r="G221" s="202"/>
      <c r="H221" s="75" t="str">
        <f>IF(G221="KGS",IF(B221&lt;&gt;"",IFERROR(ROUND(VLOOKUP(B221,ProductList!B:BG,58,FALSE),3),""),""),IF(B221&lt;&gt;"",IFERROR(ROUND(VLOOKUP(B221,ProductList!B:BG,57,FALSE),3),""),""))</f>
        <v/>
      </c>
      <c r="I221" s="75" t="str">
        <f t="shared" si="6"/>
        <v/>
      </c>
      <c r="J221" s="1" t="str">
        <f>IFERROR(VLOOKUP(B221,ProductList!B:AO,21,FALSE),"")</f>
        <v/>
      </c>
      <c r="K221" s="1" t="str">
        <f>IF(G221="KGS",IF(D221&lt;&gt;"",IFERROR(ROUND(VLOOKUP(D221,ProductList!J:BG,47,FALSE),3),""),""),IF(D221&lt;&gt;"",IFERROR(ROUND(VLOOKUP(D221,ProductList!J:BG,46,FALSE),3),""),""))</f>
        <v/>
      </c>
      <c r="L221" s="1" t="str">
        <f t="shared" si="7"/>
        <v/>
      </c>
    </row>
    <row r="222" spans="1:12" x14ac:dyDescent="0.25">
      <c r="A222" s="304"/>
      <c r="B222" s="73"/>
      <c r="C222" s="73"/>
      <c r="D222" s="104"/>
      <c r="E222" s="122"/>
      <c r="F222" s="73" t="str">
        <f>IF(G222="KGS",IF(B222&lt;&gt;"",IFERROR(VLOOKUP(B222,ProductList!B:AO,21,FALSE),""),""),IF(D222&lt;&gt;"",IFERROR(VLOOKUP(B222,ProductList!B:AO,24,FALSE),""),""))</f>
        <v/>
      </c>
      <c r="G222" s="202"/>
      <c r="H222" s="75" t="str">
        <f>IF(G222="KGS",IF(B222&lt;&gt;"",IFERROR(ROUND(VLOOKUP(B222,ProductList!B:BG,58,FALSE),3),""),""),IF(B222&lt;&gt;"",IFERROR(ROUND(VLOOKUP(B222,ProductList!B:BG,57,FALSE),3),""),""))</f>
        <v/>
      </c>
      <c r="I222" s="75" t="str">
        <f t="shared" si="6"/>
        <v/>
      </c>
      <c r="J222" s="1" t="str">
        <f>IFERROR(VLOOKUP(B222,ProductList!B:AO,21,FALSE),"")</f>
        <v/>
      </c>
      <c r="K222" s="1" t="str">
        <f>IF(G222="KGS",IF(D222&lt;&gt;"",IFERROR(ROUND(VLOOKUP(D222,ProductList!J:BG,47,FALSE),3),""),""),IF(D222&lt;&gt;"",IFERROR(ROUND(VLOOKUP(D222,ProductList!J:BG,46,FALSE),3),""),""))</f>
        <v/>
      </c>
      <c r="L222" s="1" t="str">
        <f t="shared" si="7"/>
        <v/>
      </c>
    </row>
    <row r="223" spans="1:12" x14ac:dyDescent="0.25">
      <c r="A223" s="304"/>
      <c r="B223" s="73"/>
      <c r="C223" s="73"/>
      <c r="D223" s="104"/>
      <c r="E223" s="122"/>
      <c r="F223" s="73" t="str">
        <f>IF(G223="KGS",IF(B223&lt;&gt;"",IFERROR(VLOOKUP(B223,ProductList!B:AO,21,FALSE),""),""),IF(D223&lt;&gt;"",IFERROR(VLOOKUP(B223,ProductList!B:AO,24,FALSE),""),""))</f>
        <v/>
      </c>
      <c r="G223" s="202"/>
      <c r="H223" s="75" t="str">
        <f>IF(G223="KGS",IF(B223&lt;&gt;"",IFERROR(ROUND(VLOOKUP(B223,ProductList!B:BG,58,FALSE),3),""),""),IF(B223&lt;&gt;"",IFERROR(ROUND(VLOOKUP(B223,ProductList!B:BG,57,FALSE),3),""),""))</f>
        <v/>
      </c>
      <c r="I223" s="75" t="str">
        <f t="shared" si="6"/>
        <v/>
      </c>
      <c r="J223" s="1" t="str">
        <f>IFERROR(VLOOKUP(B223,ProductList!B:AO,21,FALSE),"")</f>
        <v/>
      </c>
      <c r="K223" s="1" t="str">
        <f>IF(G223="KGS",IF(D223&lt;&gt;"",IFERROR(ROUND(VLOOKUP(D223,ProductList!J:BG,47,FALSE),3),""),""),IF(D223&lt;&gt;"",IFERROR(ROUND(VLOOKUP(D223,ProductList!J:BG,46,FALSE),3),""),""))</f>
        <v/>
      </c>
      <c r="L223" s="1" t="str">
        <f t="shared" si="7"/>
        <v/>
      </c>
    </row>
    <row r="224" spans="1:12" x14ac:dyDescent="0.25">
      <c r="A224" s="304"/>
      <c r="B224" s="73"/>
      <c r="C224" s="73"/>
      <c r="D224" s="104"/>
      <c r="E224" s="122"/>
      <c r="F224" s="73" t="str">
        <f>IF(G224="KGS",IF(B224&lt;&gt;"",IFERROR(VLOOKUP(B224,ProductList!B:AO,21,FALSE),""),""),IF(D224&lt;&gt;"",IFERROR(VLOOKUP(B224,ProductList!B:AO,24,FALSE),""),""))</f>
        <v/>
      </c>
      <c r="G224" s="202"/>
      <c r="H224" s="75" t="str">
        <f>IF(G224="KGS",IF(B224&lt;&gt;"",IFERROR(ROUND(VLOOKUP(B224,ProductList!B:BG,58,FALSE),3),""),""),IF(B224&lt;&gt;"",IFERROR(ROUND(VLOOKUP(B224,ProductList!B:BG,57,FALSE),3),""),""))</f>
        <v/>
      </c>
      <c r="I224" s="75" t="str">
        <f t="shared" si="6"/>
        <v/>
      </c>
      <c r="J224" s="1" t="str">
        <f>IFERROR(VLOOKUP(B224,ProductList!B:AO,21,FALSE),"")</f>
        <v/>
      </c>
      <c r="K224" s="1" t="str">
        <f>IF(G224="KGS",IF(D224&lt;&gt;"",IFERROR(ROUND(VLOOKUP(D224,ProductList!J:BG,47,FALSE),3),""),""),IF(D224&lt;&gt;"",IFERROR(ROUND(VLOOKUP(D224,ProductList!J:BG,46,FALSE),3),""),""))</f>
        <v/>
      </c>
      <c r="L224" s="1" t="str">
        <f t="shared" si="7"/>
        <v/>
      </c>
    </row>
    <row r="225" spans="1:12" x14ac:dyDescent="0.25">
      <c r="A225" s="304"/>
      <c r="B225" s="73"/>
      <c r="C225" s="73"/>
      <c r="D225" s="104"/>
      <c r="E225" s="122"/>
      <c r="F225" s="73" t="str">
        <f>IF(G225="KGS",IF(B225&lt;&gt;"",IFERROR(VLOOKUP(B225,ProductList!B:AO,21,FALSE),""),""),IF(D225&lt;&gt;"",IFERROR(VLOOKUP(B225,ProductList!B:AO,24,FALSE),""),""))</f>
        <v/>
      </c>
      <c r="G225" s="202"/>
      <c r="H225" s="75" t="str">
        <f>IF(G225="KGS",IF(B225&lt;&gt;"",IFERROR(ROUND(VLOOKUP(B225,ProductList!B:BG,58,FALSE),3),""),""),IF(B225&lt;&gt;"",IFERROR(ROUND(VLOOKUP(B225,ProductList!B:BG,57,FALSE),3),""),""))</f>
        <v/>
      </c>
      <c r="I225" s="75" t="str">
        <f t="shared" si="6"/>
        <v/>
      </c>
      <c r="J225" s="1" t="str">
        <f>IFERROR(VLOOKUP(B225,ProductList!B:AO,21,FALSE),"")</f>
        <v/>
      </c>
      <c r="K225" s="1" t="str">
        <f>IF(G225="KGS",IF(D225&lt;&gt;"",IFERROR(ROUND(VLOOKUP(D225,ProductList!J:BG,47,FALSE),3),""),""),IF(D225&lt;&gt;"",IFERROR(ROUND(VLOOKUP(D225,ProductList!J:BG,46,FALSE),3),""),""))</f>
        <v/>
      </c>
      <c r="L225" s="1" t="str">
        <f t="shared" si="7"/>
        <v/>
      </c>
    </row>
    <row r="226" spans="1:12" x14ac:dyDescent="0.25">
      <c r="A226" s="304"/>
      <c r="B226" s="73"/>
      <c r="C226" s="73"/>
      <c r="D226" s="104"/>
      <c r="E226" s="122"/>
      <c r="F226" s="73" t="str">
        <f>IF(G226="KGS",IF(B226&lt;&gt;"",IFERROR(VLOOKUP(B226,ProductList!B:AO,21,FALSE),""),""),IF(D226&lt;&gt;"",IFERROR(VLOOKUP(B226,ProductList!B:AO,24,FALSE),""),""))</f>
        <v/>
      </c>
      <c r="G226" s="202"/>
      <c r="H226" s="75" t="str">
        <f>IF(G226="KGS",IF(B226&lt;&gt;"",IFERROR(ROUND(VLOOKUP(B226,ProductList!B:BG,58,FALSE),3),""),""),IF(B226&lt;&gt;"",IFERROR(ROUND(VLOOKUP(B226,ProductList!B:BG,57,FALSE),3),""),""))</f>
        <v/>
      </c>
      <c r="I226" s="75" t="str">
        <f t="shared" si="6"/>
        <v/>
      </c>
      <c r="J226" s="1" t="str">
        <f>IFERROR(VLOOKUP(B226,ProductList!B:AO,21,FALSE),"")</f>
        <v/>
      </c>
      <c r="K226" s="1" t="str">
        <f>IF(G226="KGS",IF(D226&lt;&gt;"",IFERROR(ROUND(VLOOKUP(D226,ProductList!J:BG,47,FALSE),3),""),""),IF(D226&lt;&gt;"",IFERROR(ROUND(VLOOKUP(D226,ProductList!J:BG,46,FALSE),3),""),""))</f>
        <v/>
      </c>
      <c r="L226" s="1" t="str">
        <f t="shared" si="7"/>
        <v/>
      </c>
    </row>
    <row r="227" spans="1:12" x14ac:dyDescent="0.25">
      <c r="A227" s="304"/>
      <c r="B227" s="73"/>
      <c r="C227" s="73"/>
      <c r="D227" s="104"/>
      <c r="E227" s="122"/>
      <c r="F227" s="73" t="str">
        <f>IF(G227="KGS",IF(B227&lt;&gt;"",IFERROR(VLOOKUP(B227,ProductList!B:AO,21,FALSE),""),""),IF(D227&lt;&gt;"",IFERROR(VLOOKUP(B227,ProductList!B:AO,24,FALSE),""),""))</f>
        <v/>
      </c>
      <c r="G227" s="202"/>
      <c r="H227" s="75" t="str">
        <f>IF(G227="KGS",IF(B227&lt;&gt;"",IFERROR(ROUND(VLOOKUP(B227,ProductList!B:BG,58,FALSE),3),""),""),IF(B227&lt;&gt;"",IFERROR(ROUND(VLOOKUP(B227,ProductList!B:BG,57,FALSE),3),""),""))</f>
        <v/>
      </c>
      <c r="I227" s="75" t="str">
        <f t="shared" si="6"/>
        <v/>
      </c>
      <c r="J227" s="1" t="str">
        <f>IFERROR(VLOOKUP(B227,ProductList!B:AO,21,FALSE),"")</f>
        <v/>
      </c>
      <c r="K227" s="1" t="str">
        <f>IF(G227="KGS",IF(D227&lt;&gt;"",IFERROR(ROUND(VLOOKUP(D227,ProductList!J:BG,47,FALSE),3),""),""),IF(D227&lt;&gt;"",IFERROR(ROUND(VLOOKUP(D227,ProductList!J:BG,46,FALSE),3),""),""))</f>
        <v/>
      </c>
      <c r="L227" s="1" t="str">
        <f t="shared" si="7"/>
        <v/>
      </c>
    </row>
    <row r="228" spans="1:12" x14ac:dyDescent="0.25">
      <c r="A228" s="304"/>
      <c r="B228" s="73"/>
      <c r="C228" s="73"/>
      <c r="D228" s="104"/>
      <c r="E228" s="122"/>
      <c r="F228" s="73" t="str">
        <f>IF(G228="KGS",IF(B228&lt;&gt;"",IFERROR(VLOOKUP(B228,ProductList!B:AO,21,FALSE),""),""),IF(D228&lt;&gt;"",IFERROR(VLOOKUP(B228,ProductList!B:AO,24,FALSE),""),""))</f>
        <v/>
      </c>
      <c r="G228" s="202"/>
      <c r="H228" s="75" t="str">
        <f>IF(G228="KGS",IF(B228&lt;&gt;"",IFERROR(ROUND(VLOOKUP(B228,ProductList!B:BG,58,FALSE),3),""),""),IF(B228&lt;&gt;"",IFERROR(ROUND(VLOOKUP(B228,ProductList!B:BG,57,FALSE),3),""),""))</f>
        <v/>
      </c>
      <c r="I228" s="75" t="str">
        <f t="shared" si="6"/>
        <v/>
      </c>
      <c r="J228" s="1" t="str">
        <f>IFERROR(VLOOKUP(B228,ProductList!B:AO,21,FALSE),"")</f>
        <v/>
      </c>
      <c r="K228" s="1" t="str">
        <f>IF(G228="KGS",IF(D228&lt;&gt;"",IFERROR(ROUND(VLOOKUP(D228,ProductList!J:BG,47,FALSE),3),""),""),IF(D228&lt;&gt;"",IFERROR(ROUND(VLOOKUP(D228,ProductList!J:BG,46,FALSE),3),""),""))</f>
        <v/>
      </c>
      <c r="L228" s="1" t="str">
        <f t="shared" si="7"/>
        <v/>
      </c>
    </row>
    <row r="229" spans="1:12" x14ac:dyDescent="0.25">
      <c r="A229" s="304"/>
      <c r="B229" s="73"/>
      <c r="C229" s="73"/>
      <c r="D229" s="104"/>
      <c r="E229" s="122"/>
      <c r="F229" s="73" t="str">
        <f>IF(G229="KGS",IF(B229&lt;&gt;"",IFERROR(VLOOKUP(B229,ProductList!B:AO,21,FALSE),""),""),IF(D229&lt;&gt;"",IFERROR(VLOOKUP(B229,ProductList!B:AO,24,FALSE),""),""))</f>
        <v/>
      </c>
      <c r="G229" s="202"/>
      <c r="H229" s="75" t="str">
        <f>IF(G229="KGS",IF(B229&lt;&gt;"",IFERROR(ROUND(VLOOKUP(B229,ProductList!B:BG,58,FALSE),3),""),""),IF(B229&lt;&gt;"",IFERROR(ROUND(VLOOKUP(B229,ProductList!B:BG,57,FALSE),3),""),""))</f>
        <v/>
      </c>
      <c r="I229" s="75" t="str">
        <f t="shared" si="6"/>
        <v/>
      </c>
      <c r="J229" s="1" t="str">
        <f>IFERROR(VLOOKUP(B229,ProductList!B:AO,21,FALSE),"")</f>
        <v/>
      </c>
      <c r="K229" s="1" t="str">
        <f>IF(G229="KGS",IF(D229&lt;&gt;"",IFERROR(ROUND(VLOOKUP(D229,ProductList!J:BG,47,FALSE),3),""),""),IF(D229&lt;&gt;"",IFERROR(ROUND(VLOOKUP(D229,ProductList!J:BG,46,FALSE),3),""),""))</f>
        <v/>
      </c>
      <c r="L229" s="1" t="str">
        <f t="shared" si="7"/>
        <v/>
      </c>
    </row>
    <row r="230" spans="1:12" x14ac:dyDescent="0.25">
      <c r="A230" s="304"/>
      <c r="B230" s="73"/>
      <c r="C230" s="73"/>
      <c r="D230" s="104"/>
      <c r="E230" s="122"/>
      <c r="F230" s="73" t="str">
        <f>IF(G230="KGS",IF(B230&lt;&gt;"",IFERROR(VLOOKUP(B230,ProductList!B:AO,21,FALSE),""),""),IF(D230&lt;&gt;"",IFERROR(VLOOKUP(B230,ProductList!B:AO,24,FALSE),""),""))</f>
        <v/>
      </c>
      <c r="G230" s="202"/>
      <c r="H230" s="75" t="str">
        <f>IF(G230="KGS",IF(B230&lt;&gt;"",IFERROR(ROUND(VLOOKUP(B230,ProductList!B:BG,58,FALSE),3),""),""),IF(B230&lt;&gt;"",IFERROR(ROUND(VLOOKUP(B230,ProductList!B:BG,57,FALSE),3),""),""))</f>
        <v/>
      </c>
      <c r="I230" s="75" t="str">
        <f t="shared" si="6"/>
        <v/>
      </c>
      <c r="J230" s="1" t="str">
        <f>IFERROR(VLOOKUP(B230,ProductList!B:AO,21,FALSE),"")</f>
        <v/>
      </c>
      <c r="K230" s="1" t="str">
        <f>IF(G230="KGS",IF(D230&lt;&gt;"",IFERROR(ROUND(VLOOKUP(D230,ProductList!J:BG,47,FALSE),3),""),""),IF(D230&lt;&gt;"",IFERROR(ROUND(VLOOKUP(D230,ProductList!J:BG,46,FALSE),3),""),""))</f>
        <v/>
      </c>
      <c r="L230" s="1" t="str">
        <f t="shared" si="7"/>
        <v/>
      </c>
    </row>
    <row r="231" spans="1:12" x14ac:dyDescent="0.25">
      <c r="A231" s="304"/>
      <c r="B231" s="73"/>
      <c r="C231" s="73"/>
      <c r="D231" s="104"/>
      <c r="E231" s="122"/>
      <c r="F231" s="73" t="str">
        <f>IF(G231="KGS",IF(B231&lt;&gt;"",IFERROR(VLOOKUP(B231,ProductList!B:AO,21,FALSE),""),""),IF(D231&lt;&gt;"",IFERROR(VLOOKUP(B231,ProductList!B:AO,24,FALSE),""),""))</f>
        <v/>
      </c>
      <c r="G231" s="202"/>
      <c r="H231" s="75" t="str">
        <f>IF(G231="KGS",IF(B231&lt;&gt;"",IFERROR(ROUND(VLOOKUP(B231,ProductList!B:BG,58,FALSE),3),""),""),IF(B231&lt;&gt;"",IFERROR(ROUND(VLOOKUP(B231,ProductList!B:BG,57,FALSE),3),""),""))</f>
        <v/>
      </c>
      <c r="I231" s="75" t="str">
        <f t="shared" si="6"/>
        <v/>
      </c>
      <c r="J231" s="1" t="str">
        <f>IFERROR(VLOOKUP(B231,ProductList!B:AO,21,FALSE),"")</f>
        <v/>
      </c>
      <c r="K231" s="1" t="str">
        <f>IF(G231="KGS",IF(D231&lt;&gt;"",IFERROR(ROUND(VLOOKUP(D231,ProductList!J:BG,47,FALSE),3),""),""),IF(D231&lt;&gt;"",IFERROR(ROUND(VLOOKUP(D231,ProductList!J:BG,46,FALSE),3),""),""))</f>
        <v/>
      </c>
      <c r="L231" s="1" t="str">
        <f t="shared" si="7"/>
        <v/>
      </c>
    </row>
    <row r="232" spans="1:12" x14ac:dyDescent="0.25">
      <c r="A232" s="304"/>
      <c r="B232" s="73"/>
      <c r="C232" s="73"/>
      <c r="D232" s="104"/>
      <c r="E232" s="122"/>
      <c r="F232" s="73" t="str">
        <f>IF(G232="KGS",IF(B232&lt;&gt;"",IFERROR(VLOOKUP(B232,ProductList!B:AO,21,FALSE),""),""),IF(D232&lt;&gt;"",IFERROR(VLOOKUP(B232,ProductList!B:AO,24,FALSE),""),""))</f>
        <v/>
      </c>
      <c r="G232" s="202"/>
      <c r="H232" s="75" t="str">
        <f>IF(G232="KGS",IF(B232&lt;&gt;"",IFERROR(ROUND(VLOOKUP(B232,ProductList!B:BG,58,FALSE),3),""),""),IF(B232&lt;&gt;"",IFERROR(ROUND(VLOOKUP(B232,ProductList!B:BG,57,FALSE),3),""),""))</f>
        <v/>
      </c>
      <c r="I232" s="75" t="str">
        <f t="shared" si="6"/>
        <v/>
      </c>
      <c r="J232" s="1" t="str">
        <f>IFERROR(VLOOKUP(B232,ProductList!B:AO,21,FALSE),"")</f>
        <v/>
      </c>
      <c r="K232" s="1" t="str">
        <f>IF(G232="KGS",IF(D232&lt;&gt;"",IFERROR(ROUND(VLOOKUP(D232,ProductList!J:BG,47,FALSE),3),""),""),IF(D232&lt;&gt;"",IFERROR(ROUND(VLOOKUP(D232,ProductList!J:BG,46,FALSE),3),""),""))</f>
        <v/>
      </c>
      <c r="L232" s="1" t="str">
        <f t="shared" si="7"/>
        <v/>
      </c>
    </row>
    <row r="233" spans="1:12" x14ac:dyDescent="0.25">
      <c r="A233" s="304"/>
      <c r="B233" s="73"/>
      <c r="C233" s="73"/>
      <c r="D233" s="104"/>
      <c r="E233" s="122"/>
      <c r="F233" s="73" t="str">
        <f>IF(G233="KGS",IF(B233&lt;&gt;"",IFERROR(VLOOKUP(B233,ProductList!B:AO,21,FALSE),""),""),IF(D233&lt;&gt;"",IFERROR(VLOOKUP(B233,ProductList!B:AO,24,FALSE),""),""))</f>
        <v/>
      </c>
      <c r="G233" s="202"/>
      <c r="H233" s="75" t="str">
        <f>IF(G233="KGS",IF(B233&lt;&gt;"",IFERROR(ROUND(VLOOKUP(B233,ProductList!B:BG,58,FALSE),3),""),""),IF(B233&lt;&gt;"",IFERROR(ROUND(VLOOKUP(B233,ProductList!B:BG,57,FALSE),3),""),""))</f>
        <v/>
      </c>
      <c r="I233" s="75" t="str">
        <f t="shared" si="6"/>
        <v/>
      </c>
      <c r="J233" s="1" t="str">
        <f>IFERROR(VLOOKUP(B233,ProductList!B:AO,21,FALSE),"")</f>
        <v/>
      </c>
      <c r="K233" s="1" t="str">
        <f>IF(G233="KGS",IF(D233&lt;&gt;"",IFERROR(ROUND(VLOOKUP(D233,ProductList!J:BG,47,FALSE),3),""),""),IF(D233&lt;&gt;"",IFERROR(ROUND(VLOOKUP(D233,ProductList!J:BG,46,FALSE),3),""),""))</f>
        <v/>
      </c>
      <c r="L233" s="1" t="str">
        <f t="shared" si="7"/>
        <v/>
      </c>
    </row>
    <row r="234" spans="1:12" x14ac:dyDescent="0.25">
      <c r="A234" s="304"/>
      <c r="B234" s="73"/>
      <c r="C234" s="73"/>
      <c r="D234" s="104"/>
      <c r="E234" s="122"/>
      <c r="F234" s="73" t="str">
        <f>IF(G234="KGS",IF(B234&lt;&gt;"",IFERROR(VLOOKUP(B234,ProductList!B:AO,21,FALSE),""),""),IF(D234&lt;&gt;"",IFERROR(VLOOKUP(B234,ProductList!B:AO,24,FALSE),""),""))</f>
        <v/>
      </c>
      <c r="G234" s="202"/>
      <c r="H234" s="75" t="str">
        <f>IF(G234="KGS",IF(B234&lt;&gt;"",IFERROR(ROUND(VLOOKUP(B234,ProductList!B:BG,58,FALSE),3),""),""),IF(B234&lt;&gt;"",IFERROR(ROUND(VLOOKUP(B234,ProductList!B:BG,57,FALSE),3),""),""))</f>
        <v/>
      </c>
      <c r="I234" s="75" t="str">
        <f t="shared" si="6"/>
        <v/>
      </c>
      <c r="J234" s="1" t="str">
        <f>IFERROR(VLOOKUP(B234,ProductList!B:AO,21,FALSE),"")</f>
        <v/>
      </c>
      <c r="K234" s="1" t="str">
        <f>IF(G234="KGS",IF(D234&lt;&gt;"",IFERROR(ROUND(VLOOKUP(D234,ProductList!J:BG,47,FALSE),3),""),""),IF(D234&lt;&gt;"",IFERROR(ROUND(VLOOKUP(D234,ProductList!J:BG,46,FALSE),3),""),""))</f>
        <v/>
      </c>
      <c r="L234" s="1" t="str">
        <f t="shared" si="7"/>
        <v/>
      </c>
    </row>
    <row r="235" spans="1:12" x14ac:dyDescent="0.25">
      <c r="A235" s="304"/>
      <c r="B235" s="73"/>
      <c r="C235" s="73"/>
      <c r="D235" s="104"/>
      <c r="E235" s="122"/>
      <c r="F235" s="73" t="str">
        <f>IF(G235="KGS",IF(B235&lt;&gt;"",IFERROR(VLOOKUP(B235,ProductList!B:AO,21,FALSE),""),""),IF(D235&lt;&gt;"",IFERROR(VLOOKUP(B235,ProductList!B:AO,24,FALSE),""),""))</f>
        <v/>
      </c>
      <c r="G235" s="202"/>
      <c r="H235" s="75" t="str">
        <f>IF(G235="KGS",IF(B235&lt;&gt;"",IFERROR(ROUND(VLOOKUP(B235,ProductList!B:BG,58,FALSE),3),""),""),IF(B235&lt;&gt;"",IFERROR(ROUND(VLOOKUP(B235,ProductList!B:BG,57,FALSE),3),""),""))</f>
        <v/>
      </c>
      <c r="I235" s="75" t="str">
        <f t="shared" si="6"/>
        <v/>
      </c>
      <c r="J235" s="1" t="str">
        <f>IFERROR(VLOOKUP(B235,ProductList!B:AO,21,FALSE),"")</f>
        <v/>
      </c>
      <c r="K235" s="1" t="str">
        <f>IF(G235="KGS",IF(D235&lt;&gt;"",IFERROR(ROUND(VLOOKUP(D235,ProductList!J:BG,47,FALSE),3),""),""),IF(D235&lt;&gt;"",IFERROR(ROUND(VLOOKUP(D235,ProductList!J:BG,46,FALSE),3),""),""))</f>
        <v/>
      </c>
      <c r="L235" s="1" t="str">
        <f t="shared" si="7"/>
        <v/>
      </c>
    </row>
    <row r="236" spans="1:12" x14ac:dyDescent="0.25">
      <c r="A236" s="304"/>
      <c r="B236" s="73"/>
      <c r="C236" s="73"/>
      <c r="D236" s="104"/>
      <c r="E236" s="122"/>
      <c r="F236" s="73" t="str">
        <f>IF(G236="KGS",IF(B236&lt;&gt;"",IFERROR(VLOOKUP(B236,ProductList!B:AO,21,FALSE),""),""),IF(D236&lt;&gt;"",IFERROR(VLOOKUP(B236,ProductList!B:AO,24,FALSE),""),""))</f>
        <v/>
      </c>
      <c r="G236" s="202"/>
      <c r="H236" s="75" t="str">
        <f>IF(G236="KGS",IF(B236&lt;&gt;"",IFERROR(ROUND(VLOOKUP(B236,ProductList!B:BG,58,FALSE),3),""),""),IF(B236&lt;&gt;"",IFERROR(ROUND(VLOOKUP(B236,ProductList!B:BG,57,FALSE),3),""),""))</f>
        <v/>
      </c>
      <c r="I236" s="75" t="str">
        <f t="shared" si="6"/>
        <v/>
      </c>
      <c r="J236" s="1" t="str">
        <f>IFERROR(VLOOKUP(B236,ProductList!B:AO,21,FALSE),"")</f>
        <v/>
      </c>
      <c r="K236" s="1" t="str">
        <f>IF(G236="KGS",IF(D236&lt;&gt;"",IFERROR(ROUND(VLOOKUP(D236,ProductList!J:BG,47,FALSE),3),""),""),IF(D236&lt;&gt;"",IFERROR(ROUND(VLOOKUP(D236,ProductList!J:BG,46,FALSE),3),""),""))</f>
        <v/>
      </c>
      <c r="L236" s="1" t="str">
        <f t="shared" si="7"/>
        <v/>
      </c>
    </row>
    <row r="237" spans="1:12" x14ac:dyDescent="0.25">
      <c r="A237" s="304"/>
      <c r="B237" s="73"/>
      <c r="C237" s="73"/>
      <c r="D237" s="104"/>
      <c r="E237" s="122"/>
      <c r="F237" s="73" t="str">
        <f>IF(G237="KGS",IF(B237&lt;&gt;"",IFERROR(VLOOKUP(B237,ProductList!B:AO,21,FALSE),""),""),IF(D237&lt;&gt;"",IFERROR(VLOOKUP(B237,ProductList!B:AO,24,FALSE),""),""))</f>
        <v/>
      </c>
      <c r="G237" s="202"/>
      <c r="H237" s="75" t="str">
        <f>IF(G237="KGS",IF(B237&lt;&gt;"",IFERROR(ROUND(VLOOKUP(B237,ProductList!B:BG,58,FALSE),3),""),""),IF(B237&lt;&gt;"",IFERROR(ROUND(VLOOKUP(B237,ProductList!B:BG,57,FALSE),3),""),""))</f>
        <v/>
      </c>
      <c r="I237" s="75" t="str">
        <f t="shared" si="6"/>
        <v/>
      </c>
      <c r="J237" s="1" t="str">
        <f>IFERROR(VLOOKUP(B237,ProductList!B:AO,21,FALSE),"")</f>
        <v/>
      </c>
      <c r="K237" s="1" t="str">
        <f>IF(G237="KGS",IF(D237&lt;&gt;"",IFERROR(ROUND(VLOOKUP(D237,ProductList!J:BG,47,FALSE),3),""),""),IF(D237&lt;&gt;"",IFERROR(ROUND(VLOOKUP(D237,ProductList!J:BG,46,FALSE),3),""),""))</f>
        <v/>
      </c>
      <c r="L237" s="1" t="str">
        <f t="shared" si="7"/>
        <v/>
      </c>
    </row>
    <row r="238" spans="1:12" x14ac:dyDescent="0.25">
      <c r="A238" s="304"/>
      <c r="B238" s="73"/>
      <c r="C238" s="73"/>
      <c r="D238" s="104"/>
      <c r="E238" s="122"/>
      <c r="F238" s="73" t="str">
        <f>IF(G238="KGS",IF(B238&lt;&gt;"",IFERROR(VLOOKUP(B238,ProductList!B:AO,21,FALSE),""),""),IF(D238&lt;&gt;"",IFERROR(VLOOKUP(B238,ProductList!B:AO,24,FALSE),""),""))</f>
        <v/>
      </c>
      <c r="G238" s="202"/>
      <c r="H238" s="75" t="str">
        <f>IF(G238="KGS",IF(B238&lt;&gt;"",IFERROR(ROUND(VLOOKUP(B238,ProductList!B:BG,58,FALSE),3),""),""),IF(B238&lt;&gt;"",IFERROR(ROUND(VLOOKUP(B238,ProductList!B:BG,57,FALSE),3),""),""))</f>
        <v/>
      </c>
      <c r="I238" s="75" t="str">
        <f t="shared" si="6"/>
        <v/>
      </c>
      <c r="J238" s="1" t="str">
        <f>IFERROR(VLOOKUP(B238,ProductList!B:AO,21,FALSE),"")</f>
        <v/>
      </c>
      <c r="K238" s="1" t="str">
        <f>IF(G238="KGS",IF(D238&lt;&gt;"",IFERROR(ROUND(VLOOKUP(D238,ProductList!J:BG,47,FALSE),3),""),""),IF(D238&lt;&gt;"",IFERROR(ROUND(VLOOKUP(D238,ProductList!J:BG,46,FALSE),3),""),""))</f>
        <v/>
      </c>
      <c r="L238" s="1" t="str">
        <f t="shared" si="7"/>
        <v/>
      </c>
    </row>
    <row r="239" spans="1:12" x14ac:dyDescent="0.25">
      <c r="A239" s="304"/>
      <c r="B239" s="73"/>
      <c r="C239" s="73"/>
      <c r="D239" s="104"/>
      <c r="E239" s="122"/>
      <c r="F239" s="73" t="str">
        <f>IF(G239="KGS",IF(B239&lt;&gt;"",IFERROR(VLOOKUP(B239,ProductList!B:AO,21,FALSE),""),""),IF(D239&lt;&gt;"",IFERROR(VLOOKUP(B239,ProductList!B:AO,24,FALSE),""),""))</f>
        <v/>
      </c>
      <c r="G239" s="202"/>
      <c r="H239" s="75" t="str">
        <f>IF(G239="KGS",IF(B239&lt;&gt;"",IFERROR(ROUND(VLOOKUP(B239,ProductList!B:BG,58,FALSE),3),""),""),IF(B239&lt;&gt;"",IFERROR(ROUND(VLOOKUP(B239,ProductList!B:BG,57,FALSE),3),""),""))</f>
        <v/>
      </c>
      <c r="I239" s="75" t="str">
        <f t="shared" si="6"/>
        <v/>
      </c>
      <c r="J239" s="1" t="str">
        <f>IFERROR(VLOOKUP(B239,ProductList!B:AO,21,FALSE),"")</f>
        <v/>
      </c>
      <c r="K239" s="1" t="str">
        <f>IF(G239="KGS",IF(D239&lt;&gt;"",IFERROR(ROUND(VLOOKUP(D239,ProductList!J:BG,47,FALSE),3),""),""),IF(D239&lt;&gt;"",IFERROR(ROUND(VLOOKUP(D239,ProductList!J:BG,46,FALSE),3),""),""))</f>
        <v/>
      </c>
      <c r="L239" s="1" t="str">
        <f t="shared" si="7"/>
        <v/>
      </c>
    </row>
    <row r="240" spans="1:12" x14ac:dyDescent="0.25">
      <c r="A240" s="304"/>
      <c r="B240" s="73"/>
      <c r="C240" s="73"/>
      <c r="D240" s="104"/>
      <c r="E240" s="122"/>
      <c r="F240" s="73" t="str">
        <f>IF(G240="KGS",IF(B240&lt;&gt;"",IFERROR(VLOOKUP(B240,ProductList!B:AO,21,FALSE),""),""),IF(D240&lt;&gt;"",IFERROR(VLOOKUP(B240,ProductList!B:AO,24,FALSE),""),""))</f>
        <v/>
      </c>
      <c r="G240" s="202"/>
      <c r="H240" s="75" t="str">
        <f>IF(G240="KGS",IF(B240&lt;&gt;"",IFERROR(ROUND(VLOOKUP(B240,ProductList!B:BG,58,FALSE),3),""),""),IF(B240&lt;&gt;"",IFERROR(ROUND(VLOOKUP(B240,ProductList!B:BG,57,FALSE),3),""),""))</f>
        <v/>
      </c>
      <c r="I240" s="75" t="str">
        <f t="shared" si="6"/>
        <v/>
      </c>
      <c r="J240" s="1" t="str">
        <f>IFERROR(VLOOKUP(B240,ProductList!B:AO,21,FALSE),"")</f>
        <v/>
      </c>
      <c r="K240" s="1" t="str">
        <f>IF(G240="KGS",IF(D240&lt;&gt;"",IFERROR(ROUND(VLOOKUP(D240,ProductList!J:BG,47,FALSE),3),""),""),IF(D240&lt;&gt;"",IFERROR(ROUND(VLOOKUP(D240,ProductList!J:BG,46,FALSE),3),""),""))</f>
        <v/>
      </c>
      <c r="L240" s="1" t="str">
        <f t="shared" si="7"/>
        <v/>
      </c>
    </row>
    <row r="241" spans="1:12" x14ac:dyDescent="0.25">
      <c r="A241" s="304"/>
      <c r="B241" s="73"/>
      <c r="C241" s="73"/>
      <c r="D241" s="104"/>
      <c r="E241" s="122"/>
      <c r="F241" s="73" t="str">
        <f>IF(G241="KGS",IF(B241&lt;&gt;"",IFERROR(VLOOKUP(B241,ProductList!B:AO,21,FALSE),""),""),IF(D241&lt;&gt;"",IFERROR(VLOOKUP(B241,ProductList!B:AO,24,FALSE),""),""))</f>
        <v/>
      </c>
      <c r="G241" s="202"/>
      <c r="H241" s="75" t="str">
        <f>IF(G241="KGS",IF(B241&lt;&gt;"",IFERROR(ROUND(VLOOKUP(B241,ProductList!B:BG,58,FALSE),3),""),""),IF(B241&lt;&gt;"",IFERROR(ROUND(VLOOKUP(B241,ProductList!B:BG,57,FALSE),3),""),""))</f>
        <v/>
      </c>
      <c r="I241" s="75" t="str">
        <f t="shared" si="6"/>
        <v/>
      </c>
      <c r="J241" s="1" t="str">
        <f>IFERROR(VLOOKUP(B241,ProductList!B:AO,21,FALSE),"")</f>
        <v/>
      </c>
      <c r="K241" s="1" t="str">
        <f>IF(G241="KGS",IF(D241&lt;&gt;"",IFERROR(ROUND(VLOOKUP(D241,ProductList!J:BG,47,FALSE),3),""),""),IF(D241&lt;&gt;"",IFERROR(ROUND(VLOOKUP(D241,ProductList!J:BG,46,FALSE),3),""),""))</f>
        <v/>
      </c>
      <c r="L241" s="1" t="str">
        <f t="shared" si="7"/>
        <v/>
      </c>
    </row>
    <row r="242" spans="1:12" x14ac:dyDescent="0.25">
      <c r="A242" s="304"/>
      <c r="B242" s="73"/>
      <c r="C242" s="73"/>
      <c r="D242" s="104"/>
      <c r="E242" s="122"/>
      <c r="F242" s="73" t="str">
        <f>IF(G242="KGS",IF(B242&lt;&gt;"",IFERROR(VLOOKUP(B242,ProductList!B:AO,21,FALSE),""),""),IF(D242&lt;&gt;"",IFERROR(VLOOKUP(B242,ProductList!B:AO,24,FALSE),""),""))</f>
        <v/>
      </c>
      <c r="G242" s="202"/>
      <c r="H242" s="75" t="str">
        <f>IF(G242="KGS",IF(B242&lt;&gt;"",IFERROR(ROUND(VLOOKUP(B242,ProductList!B:BG,58,FALSE),3),""),""),IF(B242&lt;&gt;"",IFERROR(ROUND(VLOOKUP(B242,ProductList!B:BG,57,FALSE),3),""),""))</f>
        <v/>
      </c>
      <c r="I242" s="75" t="str">
        <f t="shared" si="6"/>
        <v/>
      </c>
      <c r="J242" s="1" t="str">
        <f>IFERROR(VLOOKUP(B242,ProductList!B:AO,21,FALSE),"")</f>
        <v/>
      </c>
      <c r="K242" s="1" t="str">
        <f>IF(G242="KGS",IF(D242&lt;&gt;"",IFERROR(ROUND(VLOOKUP(D242,ProductList!J:BG,47,FALSE),3),""),""),IF(D242&lt;&gt;"",IFERROR(ROUND(VLOOKUP(D242,ProductList!J:BG,46,FALSE),3),""),""))</f>
        <v/>
      </c>
      <c r="L242" s="1" t="str">
        <f t="shared" si="7"/>
        <v/>
      </c>
    </row>
    <row r="243" spans="1:12" x14ac:dyDescent="0.25">
      <c r="A243" s="304"/>
      <c r="B243" s="73"/>
      <c r="C243" s="73"/>
      <c r="D243" s="104"/>
      <c r="E243" s="122"/>
      <c r="F243" s="73" t="str">
        <f>IF(G243="KGS",IF(B243&lt;&gt;"",IFERROR(VLOOKUP(B243,ProductList!B:AO,21,FALSE),""),""),IF(D243&lt;&gt;"",IFERROR(VLOOKUP(B243,ProductList!B:AO,24,FALSE),""),""))</f>
        <v/>
      </c>
      <c r="G243" s="202"/>
      <c r="H243" s="75" t="str">
        <f>IF(G243="KGS",IF(B243&lt;&gt;"",IFERROR(ROUND(VLOOKUP(B243,ProductList!B:BG,58,FALSE),3),""),""),IF(B243&lt;&gt;"",IFERROR(ROUND(VLOOKUP(B243,ProductList!B:BG,57,FALSE),3),""),""))</f>
        <v/>
      </c>
      <c r="I243" s="75" t="str">
        <f t="shared" si="6"/>
        <v/>
      </c>
      <c r="J243" s="1" t="str">
        <f>IFERROR(VLOOKUP(B243,ProductList!B:AO,21,FALSE),"")</f>
        <v/>
      </c>
      <c r="K243" s="1" t="str">
        <f>IF(G243="KGS",IF(D243&lt;&gt;"",IFERROR(ROUND(VLOOKUP(D243,ProductList!J:BG,47,FALSE),3),""),""),IF(D243&lt;&gt;"",IFERROR(ROUND(VLOOKUP(D243,ProductList!J:BG,46,FALSE),3),""),""))</f>
        <v/>
      </c>
      <c r="L243" s="1" t="str">
        <f t="shared" si="7"/>
        <v/>
      </c>
    </row>
    <row r="244" spans="1:12" x14ac:dyDescent="0.25">
      <c r="A244" s="304"/>
      <c r="B244" s="73"/>
      <c r="C244" s="73"/>
      <c r="D244" s="104"/>
      <c r="E244" s="122"/>
      <c r="F244" s="73" t="str">
        <f>IF(G244="KGS",IF(B244&lt;&gt;"",IFERROR(VLOOKUP(B244,ProductList!B:AO,21,FALSE),""),""),IF(D244&lt;&gt;"",IFERROR(VLOOKUP(B244,ProductList!B:AO,24,FALSE),""),""))</f>
        <v/>
      </c>
      <c r="G244" s="202"/>
      <c r="H244" s="75" t="str">
        <f>IF(G244="KGS",IF(B244&lt;&gt;"",IFERROR(ROUND(VLOOKUP(B244,ProductList!B:BG,58,FALSE),3),""),""),IF(B244&lt;&gt;"",IFERROR(ROUND(VLOOKUP(B244,ProductList!B:BG,57,FALSE),3),""),""))</f>
        <v/>
      </c>
      <c r="I244" s="75" t="str">
        <f t="shared" si="6"/>
        <v/>
      </c>
      <c r="J244" s="1" t="str">
        <f>IFERROR(VLOOKUP(B244,ProductList!B:AO,21,FALSE),"")</f>
        <v/>
      </c>
      <c r="K244" s="1" t="str">
        <f>IF(G244="KGS",IF(D244&lt;&gt;"",IFERROR(ROUND(VLOOKUP(D244,ProductList!J:BG,47,FALSE),3),""),""),IF(D244&lt;&gt;"",IFERROR(ROUND(VLOOKUP(D244,ProductList!J:BG,46,FALSE),3),""),""))</f>
        <v/>
      </c>
      <c r="L244" s="1" t="str">
        <f t="shared" si="7"/>
        <v/>
      </c>
    </row>
    <row r="245" spans="1:12" x14ac:dyDescent="0.25">
      <c r="A245" s="304"/>
      <c r="B245" s="73"/>
      <c r="C245" s="73"/>
      <c r="D245" s="104"/>
      <c r="E245" s="122"/>
      <c r="F245" s="73" t="str">
        <f>IF(G245="KGS",IF(B245&lt;&gt;"",IFERROR(VLOOKUP(B245,ProductList!B:AO,21,FALSE),""),""),IF(D245&lt;&gt;"",IFERROR(VLOOKUP(B245,ProductList!B:AO,24,FALSE),""),""))</f>
        <v/>
      </c>
      <c r="G245" s="202"/>
      <c r="H245" s="75" t="str">
        <f>IF(G245="KGS",IF(B245&lt;&gt;"",IFERROR(ROUND(VLOOKUP(B245,ProductList!B:BG,58,FALSE),3),""),""),IF(B245&lt;&gt;"",IFERROR(ROUND(VLOOKUP(B245,ProductList!B:BG,57,FALSE),3),""),""))</f>
        <v/>
      </c>
      <c r="I245" s="75" t="str">
        <f t="shared" si="6"/>
        <v/>
      </c>
      <c r="J245" s="1" t="str">
        <f>IFERROR(VLOOKUP(B245,ProductList!B:AO,21,FALSE),"")</f>
        <v/>
      </c>
      <c r="K245" s="1" t="str">
        <f>IF(G245="KGS",IF(D245&lt;&gt;"",IFERROR(ROUND(VLOOKUP(D245,ProductList!J:BG,47,FALSE),3),""),""),IF(D245&lt;&gt;"",IFERROR(ROUND(VLOOKUP(D245,ProductList!J:BG,46,FALSE),3),""),""))</f>
        <v/>
      </c>
      <c r="L245" s="1" t="str">
        <f t="shared" si="7"/>
        <v/>
      </c>
    </row>
    <row r="246" spans="1:12" x14ac:dyDescent="0.25">
      <c r="A246" s="304"/>
      <c r="B246" s="73"/>
      <c r="C246" s="73"/>
      <c r="D246" s="104"/>
      <c r="E246" s="122"/>
      <c r="F246" s="73" t="str">
        <f>IF(G246="KGS",IF(B246&lt;&gt;"",IFERROR(VLOOKUP(B246,ProductList!B:AO,21,FALSE),""),""),IF(D246&lt;&gt;"",IFERROR(VLOOKUP(B246,ProductList!B:AO,24,FALSE),""),""))</f>
        <v/>
      </c>
      <c r="G246" s="202"/>
      <c r="H246" s="75" t="str">
        <f>IF(G246="KGS",IF(B246&lt;&gt;"",IFERROR(ROUND(VLOOKUP(B246,ProductList!B:BG,58,FALSE),3),""),""),IF(B246&lt;&gt;"",IFERROR(ROUND(VLOOKUP(B246,ProductList!B:BG,57,FALSE),3),""),""))</f>
        <v/>
      </c>
      <c r="I246" s="75" t="str">
        <f t="shared" si="6"/>
        <v/>
      </c>
      <c r="J246" s="1" t="str">
        <f>IFERROR(VLOOKUP(B246,ProductList!B:AO,21,FALSE),"")</f>
        <v/>
      </c>
      <c r="K246" s="1" t="str">
        <f>IF(G246="KGS",IF(D246&lt;&gt;"",IFERROR(ROUND(VLOOKUP(D246,ProductList!J:BG,47,FALSE),3),""),""),IF(D246&lt;&gt;"",IFERROR(ROUND(VLOOKUP(D246,ProductList!J:BG,46,FALSE),3),""),""))</f>
        <v/>
      </c>
      <c r="L246" s="1" t="str">
        <f t="shared" si="7"/>
        <v/>
      </c>
    </row>
    <row r="247" spans="1:12" x14ac:dyDescent="0.25">
      <c r="A247" s="304"/>
      <c r="B247" s="73"/>
      <c r="C247" s="73"/>
      <c r="D247" s="104"/>
      <c r="E247" s="122"/>
      <c r="F247" s="73" t="str">
        <f>IF(G247="KGS",IF(B247&lt;&gt;"",IFERROR(VLOOKUP(B247,ProductList!B:AO,21,FALSE),""),""),IF(D247&lt;&gt;"",IFERROR(VLOOKUP(B247,ProductList!B:AO,24,FALSE),""),""))</f>
        <v/>
      </c>
      <c r="G247" s="202"/>
      <c r="H247" s="75" t="str">
        <f>IF(G247="KGS",IF(B247&lt;&gt;"",IFERROR(ROUND(VLOOKUP(B247,ProductList!B:BG,58,FALSE),3),""),""),IF(B247&lt;&gt;"",IFERROR(ROUND(VLOOKUP(B247,ProductList!B:BG,57,FALSE),3),""),""))</f>
        <v/>
      </c>
      <c r="I247" s="75" t="str">
        <f t="shared" si="6"/>
        <v/>
      </c>
      <c r="J247" s="1" t="str">
        <f>IFERROR(VLOOKUP(B247,ProductList!B:AO,21,FALSE),"")</f>
        <v/>
      </c>
      <c r="K247" s="1" t="str">
        <f>IF(G247="KGS",IF(D247&lt;&gt;"",IFERROR(ROUND(VLOOKUP(D247,ProductList!J:BG,47,FALSE),3),""),""),IF(D247&lt;&gt;"",IFERROR(ROUND(VLOOKUP(D247,ProductList!J:BG,46,FALSE),3),""),""))</f>
        <v/>
      </c>
      <c r="L247" s="1" t="str">
        <f t="shared" si="7"/>
        <v/>
      </c>
    </row>
    <row r="248" spans="1:12" x14ac:dyDescent="0.25">
      <c r="A248" s="304"/>
      <c r="B248" s="73"/>
      <c r="C248" s="73"/>
      <c r="D248" s="104"/>
      <c r="E248" s="122"/>
      <c r="F248" s="73" t="str">
        <f>IF(G248="KGS",IF(B248&lt;&gt;"",IFERROR(VLOOKUP(B248,ProductList!B:AO,21,FALSE),""),""),IF(D248&lt;&gt;"",IFERROR(VLOOKUP(B248,ProductList!B:AO,24,FALSE),""),""))</f>
        <v/>
      </c>
      <c r="G248" s="202"/>
      <c r="H248" s="75" t="str">
        <f>IF(G248="KGS",IF(B248&lt;&gt;"",IFERROR(ROUND(VLOOKUP(B248,ProductList!B:BG,58,FALSE),3),""),""),IF(B248&lt;&gt;"",IFERROR(ROUND(VLOOKUP(B248,ProductList!B:BG,57,FALSE),3),""),""))</f>
        <v/>
      </c>
      <c r="I248" s="75" t="str">
        <f t="shared" si="6"/>
        <v/>
      </c>
      <c r="J248" s="1" t="str">
        <f>IFERROR(VLOOKUP(B248,ProductList!B:AO,21,FALSE),"")</f>
        <v/>
      </c>
      <c r="K248" s="1" t="str">
        <f>IF(G248="KGS",IF(D248&lt;&gt;"",IFERROR(ROUND(VLOOKUP(D248,ProductList!J:BG,47,FALSE),3),""),""),IF(D248&lt;&gt;"",IFERROR(ROUND(VLOOKUP(D248,ProductList!J:BG,46,FALSE),3),""),""))</f>
        <v/>
      </c>
      <c r="L248" s="1" t="str">
        <f t="shared" si="7"/>
        <v/>
      </c>
    </row>
    <row r="249" spans="1:12" x14ac:dyDescent="0.25">
      <c r="A249" s="304"/>
      <c r="B249" s="73"/>
      <c r="C249" s="73"/>
      <c r="D249" s="104"/>
      <c r="E249" s="122"/>
      <c r="F249" s="73" t="str">
        <f>IF(G249="KGS",IF(B249&lt;&gt;"",IFERROR(VLOOKUP(B249,ProductList!B:AO,21,FALSE),""),""),IF(D249&lt;&gt;"",IFERROR(VLOOKUP(B249,ProductList!B:AO,24,FALSE),""),""))</f>
        <v/>
      </c>
      <c r="G249" s="202"/>
      <c r="H249" s="75" t="str">
        <f>IF(G249="KGS",IF(B249&lt;&gt;"",IFERROR(ROUND(VLOOKUP(B249,ProductList!B:BG,58,FALSE),3),""),""),IF(B249&lt;&gt;"",IFERROR(ROUND(VLOOKUP(B249,ProductList!B:BG,57,FALSE),3),""),""))</f>
        <v/>
      </c>
      <c r="I249" s="75" t="str">
        <f t="shared" si="6"/>
        <v/>
      </c>
      <c r="J249" s="1" t="str">
        <f>IFERROR(VLOOKUP(B249,ProductList!B:AO,21,FALSE),"")</f>
        <v/>
      </c>
      <c r="K249" s="1" t="str">
        <f>IF(G249="KGS",IF(D249&lt;&gt;"",IFERROR(ROUND(VLOOKUP(D249,ProductList!J:BG,47,FALSE),3),""),""),IF(D249&lt;&gt;"",IFERROR(ROUND(VLOOKUP(D249,ProductList!J:BG,46,FALSE),3),""),""))</f>
        <v/>
      </c>
      <c r="L249" s="1" t="str">
        <f t="shared" si="7"/>
        <v/>
      </c>
    </row>
    <row r="250" spans="1:12" x14ac:dyDescent="0.25">
      <c r="A250" s="304"/>
      <c r="B250" s="73"/>
      <c r="C250" s="73"/>
      <c r="D250" s="104"/>
      <c r="E250" s="122"/>
      <c r="F250" s="73" t="str">
        <f>IF(G250="KGS",IF(B250&lt;&gt;"",IFERROR(VLOOKUP(B250,ProductList!B:AO,21,FALSE),""),""),IF(D250&lt;&gt;"",IFERROR(VLOOKUP(B250,ProductList!B:AO,24,FALSE),""),""))</f>
        <v/>
      </c>
      <c r="G250" s="202"/>
      <c r="H250" s="75" t="str">
        <f>IF(G250="KGS",IF(B250&lt;&gt;"",IFERROR(ROUND(VLOOKUP(B250,ProductList!B:BG,58,FALSE),3),""),""),IF(B250&lt;&gt;"",IFERROR(ROUND(VLOOKUP(B250,ProductList!B:BG,57,FALSE),3),""),""))</f>
        <v/>
      </c>
      <c r="I250" s="75" t="str">
        <f t="shared" si="6"/>
        <v/>
      </c>
      <c r="J250" s="1" t="str">
        <f>IFERROR(VLOOKUP(B250,ProductList!B:AO,21,FALSE),"")</f>
        <v/>
      </c>
      <c r="K250" s="1" t="str">
        <f>IF(G250="KGS",IF(D250&lt;&gt;"",IFERROR(ROUND(VLOOKUP(D250,ProductList!J:BG,47,FALSE),3),""),""),IF(D250&lt;&gt;"",IFERROR(ROUND(VLOOKUP(D250,ProductList!J:BG,46,FALSE),3),""),""))</f>
        <v/>
      </c>
      <c r="L250" s="1" t="str">
        <f t="shared" si="7"/>
        <v/>
      </c>
    </row>
    <row r="251" spans="1:12" x14ac:dyDescent="0.25">
      <c r="A251" s="304"/>
      <c r="B251" s="73"/>
      <c r="C251" s="73"/>
      <c r="D251" s="104"/>
      <c r="E251" s="122"/>
      <c r="F251" s="73" t="str">
        <f>IF(G251="KGS",IF(B251&lt;&gt;"",IFERROR(VLOOKUP(B251,ProductList!B:AO,21,FALSE),""),""),IF(D251&lt;&gt;"",IFERROR(VLOOKUP(B251,ProductList!B:AO,24,FALSE),""),""))</f>
        <v/>
      </c>
      <c r="G251" s="202"/>
      <c r="H251" s="75" t="str">
        <f>IF(G251="KGS",IF(B251&lt;&gt;"",IFERROR(ROUND(VLOOKUP(B251,ProductList!B:BG,58,FALSE),3),""),""),IF(B251&lt;&gt;"",IFERROR(ROUND(VLOOKUP(B251,ProductList!B:BG,57,FALSE),3),""),""))</f>
        <v/>
      </c>
      <c r="I251" s="75" t="str">
        <f t="shared" si="6"/>
        <v/>
      </c>
      <c r="J251" s="1" t="str">
        <f>IFERROR(VLOOKUP(B251,ProductList!B:AO,21,FALSE),"")</f>
        <v/>
      </c>
      <c r="K251" s="1" t="str">
        <f>IF(G251="KGS",IF(D251&lt;&gt;"",IFERROR(ROUND(VLOOKUP(D251,ProductList!J:BG,47,FALSE),3),""),""),IF(D251&lt;&gt;"",IFERROR(ROUND(VLOOKUP(D251,ProductList!J:BG,46,FALSE),3),""),""))</f>
        <v/>
      </c>
      <c r="L251" s="1" t="str">
        <f t="shared" si="7"/>
        <v/>
      </c>
    </row>
    <row r="252" spans="1:12" x14ac:dyDescent="0.25">
      <c r="A252" s="304"/>
      <c r="B252" s="73"/>
      <c r="C252" s="73"/>
      <c r="D252" s="104"/>
      <c r="E252" s="122"/>
      <c r="F252" s="73" t="str">
        <f>IF(G252="KGS",IF(B252&lt;&gt;"",IFERROR(VLOOKUP(B252,ProductList!B:AO,21,FALSE),""),""),IF(D252&lt;&gt;"",IFERROR(VLOOKUP(B252,ProductList!B:AO,24,FALSE),""),""))</f>
        <v/>
      </c>
      <c r="G252" s="202"/>
      <c r="H252" s="75" t="str">
        <f>IF(G252="KGS",IF(B252&lt;&gt;"",IFERROR(ROUND(VLOOKUP(B252,ProductList!B:BG,58,FALSE),3),""),""),IF(B252&lt;&gt;"",IFERROR(ROUND(VLOOKUP(B252,ProductList!B:BG,57,FALSE),3),""),""))</f>
        <v/>
      </c>
      <c r="I252" s="75" t="str">
        <f t="shared" si="6"/>
        <v/>
      </c>
      <c r="J252" s="1" t="str">
        <f>IFERROR(VLOOKUP(B252,ProductList!B:AO,21,FALSE),"")</f>
        <v/>
      </c>
      <c r="K252" s="1" t="str">
        <f>IF(G252="KGS",IF(D252&lt;&gt;"",IFERROR(ROUND(VLOOKUP(D252,ProductList!J:BG,47,FALSE),3),""),""),IF(D252&lt;&gt;"",IFERROR(ROUND(VLOOKUP(D252,ProductList!J:BG,46,FALSE),3),""),""))</f>
        <v/>
      </c>
      <c r="L252" s="1" t="str">
        <f t="shared" si="7"/>
        <v/>
      </c>
    </row>
    <row r="253" spans="1:12" x14ac:dyDescent="0.25">
      <c r="A253" s="304"/>
      <c r="B253" s="73"/>
      <c r="C253" s="73"/>
      <c r="D253" s="104"/>
      <c r="E253" s="122"/>
      <c r="F253" s="73" t="str">
        <f>IF(G253="KGS",IF(B253&lt;&gt;"",IFERROR(VLOOKUP(B253,ProductList!B:AO,21,FALSE),""),""),IF(D253&lt;&gt;"",IFERROR(VLOOKUP(B253,ProductList!B:AO,24,FALSE),""),""))</f>
        <v/>
      </c>
      <c r="G253" s="202"/>
      <c r="H253" s="75" t="str">
        <f>IF(G253="KGS",IF(B253&lt;&gt;"",IFERROR(ROUND(VLOOKUP(B253,ProductList!B:BG,58,FALSE),3),""),""),IF(B253&lt;&gt;"",IFERROR(ROUND(VLOOKUP(B253,ProductList!B:BG,57,FALSE),3),""),""))</f>
        <v/>
      </c>
      <c r="I253" s="75" t="str">
        <f t="shared" si="6"/>
        <v/>
      </c>
      <c r="J253" s="1" t="str">
        <f>IFERROR(VLOOKUP(B253,ProductList!B:AO,21,FALSE),"")</f>
        <v/>
      </c>
      <c r="K253" s="1" t="str">
        <f>IF(G253="KGS",IF(D253&lt;&gt;"",IFERROR(ROUND(VLOOKUP(D253,ProductList!J:BG,47,FALSE),3),""),""),IF(D253&lt;&gt;"",IFERROR(ROUND(VLOOKUP(D253,ProductList!J:BG,46,FALSE),3),""),""))</f>
        <v/>
      </c>
      <c r="L253" s="1" t="str">
        <f t="shared" si="7"/>
        <v/>
      </c>
    </row>
    <row r="254" spans="1:12" x14ac:dyDescent="0.25">
      <c r="A254" s="304"/>
      <c r="B254" s="73"/>
      <c r="C254" s="73"/>
      <c r="D254" s="104"/>
      <c r="E254" s="122"/>
      <c r="F254" s="73" t="str">
        <f>IF(G254="KGS",IF(B254&lt;&gt;"",IFERROR(VLOOKUP(B254,ProductList!B:AO,21,FALSE),""),""),IF(D254&lt;&gt;"",IFERROR(VLOOKUP(B254,ProductList!B:AO,24,FALSE),""),""))</f>
        <v/>
      </c>
      <c r="G254" s="202"/>
      <c r="H254" s="75" t="str">
        <f>IF(G254="KGS",IF(B254&lt;&gt;"",IFERROR(ROUND(VLOOKUP(B254,ProductList!B:BG,58,FALSE),3),""),""),IF(B254&lt;&gt;"",IFERROR(ROUND(VLOOKUP(B254,ProductList!B:BG,57,FALSE),3),""),""))</f>
        <v/>
      </c>
      <c r="I254" s="75" t="str">
        <f t="shared" si="6"/>
        <v/>
      </c>
      <c r="J254" s="1" t="str">
        <f>IFERROR(VLOOKUP(B254,ProductList!B:AO,21,FALSE),"")</f>
        <v/>
      </c>
      <c r="K254" s="1" t="str">
        <f>IF(G254="KGS",IF(D254&lt;&gt;"",IFERROR(ROUND(VLOOKUP(D254,ProductList!J:BG,47,FALSE),3),""),""),IF(D254&lt;&gt;"",IFERROR(ROUND(VLOOKUP(D254,ProductList!J:BG,46,FALSE),3),""),""))</f>
        <v/>
      </c>
      <c r="L254" s="1" t="str">
        <f t="shared" si="7"/>
        <v/>
      </c>
    </row>
    <row r="255" spans="1:12" x14ac:dyDescent="0.25">
      <c r="A255" s="304"/>
      <c r="B255" s="73"/>
      <c r="C255" s="73"/>
      <c r="D255" s="104"/>
      <c r="E255" s="122"/>
      <c r="F255" s="73" t="str">
        <f>IF(G255="KGS",IF(B255&lt;&gt;"",IFERROR(VLOOKUP(B255,ProductList!B:AO,21,FALSE),""),""),IF(D255&lt;&gt;"",IFERROR(VLOOKUP(B255,ProductList!B:AO,24,FALSE),""),""))</f>
        <v/>
      </c>
      <c r="G255" s="202"/>
      <c r="H255" s="75" t="str">
        <f>IF(G255="KGS",IF(B255&lt;&gt;"",IFERROR(ROUND(VLOOKUP(B255,ProductList!B:BG,58,FALSE),3),""),""),IF(B255&lt;&gt;"",IFERROR(ROUND(VLOOKUP(B255,ProductList!B:BG,57,FALSE),3),""),""))</f>
        <v/>
      </c>
      <c r="I255" s="75" t="str">
        <f t="shared" si="6"/>
        <v/>
      </c>
      <c r="J255" s="1" t="str">
        <f>IFERROR(VLOOKUP(B255,ProductList!B:AO,21,FALSE),"")</f>
        <v/>
      </c>
      <c r="K255" s="1" t="str">
        <f>IF(G255="KGS",IF(D255&lt;&gt;"",IFERROR(ROUND(VLOOKUP(D255,ProductList!J:BG,47,FALSE),3),""),""),IF(D255&lt;&gt;"",IFERROR(ROUND(VLOOKUP(D255,ProductList!J:BG,46,FALSE),3),""),""))</f>
        <v/>
      </c>
      <c r="L255" s="1" t="str">
        <f t="shared" si="7"/>
        <v/>
      </c>
    </row>
    <row r="256" spans="1:12" x14ac:dyDescent="0.25">
      <c r="A256" s="304"/>
      <c r="B256" s="73"/>
      <c r="C256" s="73"/>
      <c r="D256" s="104"/>
      <c r="E256" s="122"/>
      <c r="F256" s="73" t="str">
        <f>IF(G256="KGS",IF(B256&lt;&gt;"",IFERROR(VLOOKUP(B256,ProductList!B:AO,21,FALSE),""),""),IF(D256&lt;&gt;"",IFERROR(VLOOKUP(B256,ProductList!B:AO,24,FALSE),""),""))</f>
        <v/>
      </c>
      <c r="G256" s="202"/>
      <c r="H256" s="75" t="str">
        <f>IF(G256="KGS",IF(B256&lt;&gt;"",IFERROR(ROUND(VLOOKUP(B256,ProductList!B:BG,58,FALSE),3),""),""),IF(B256&lt;&gt;"",IFERROR(ROUND(VLOOKUP(B256,ProductList!B:BG,57,FALSE),3),""),""))</f>
        <v/>
      </c>
      <c r="I256" s="75" t="str">
        <f t="shared" si="6"/>
        <v/>
      </c>
      <c r="J256" s="1" t="str">
        <f>IFERROR(VLOOKUP(B256,ProductList!B:AO,21,FALSE),"")</f>
        <v/>
      </c>
      <c r="K256" s="1" t="str">
        <f>IF(G256="KGS",IF(D256&lt;&gt;"",IFERROR(ROUND(VLOOKUP(D256,ProductList!J:BG,47,FALSE),3),""),""),IF(D256&lt;&gt;"",IFERROR(ROUND(VLOOKUP(D256,ProductList!J:BG,46,FALSE),3),""),""))</f>
        <v/>
      </c>
      <c r="L256" s="1" t="str">
        <f t="shared" si="7"/>
        <v/>
      </c>
    </row>
    <row r="257" spans="1:12" x14ac:dyDescent="0.25">
      <c r="A257" s="304"/>
      <c r="B257" s="73"/>
      <c r="C257" s="73"/>
      <c r="D257" s="104"/>
      <c r="E257" s="122"/>
      <c r="F257" s="73" t="str">
        <f>IF(G257="KGS",IF(B257&lt;&gt;"",IFERROR(VLOOKUP(B257,ProductList!B:AO,21,FALSE),""),""),IF(D257&lt;&gt;"",IFERROR(VLOOKUP(B257,ProductList!B:AO,24,FALSE),""),""))</f>
        <v/>
      </c>
      <c r="G257" s="202"/>
      <c r="H257" s="75" t="str">
        <f>IF(G257="KGS",IF(B257&lt;&gt;"",IFERROR(ROUND(VLOOKUP(B257,ProductList!B:BG,58,FALSE),3),""),""),IF(B257&lt;&gt;"",IFERROR(ROUND(VLOOKUP(B257,ProductList!B:BG,57,FALSE),3),""),""))</f>
        <v/>
      </c>
      <c r="I257" s="75" t="str">
        <f t="shared" si="6"/>
        <v/>
      </c>
      <c r="J257" s="1" t="str">
        <f>IFERROR(VLOOKUP(B257,ProductList!B:AO,21,FALSE),"")</f>
        <v/>
      </c>
      <c r="K257" s="1" t="str">
        <f>IF(G257="KGS",IF(D257&lt;&gt;"",IFERROR(ROUND(VLOOKUP(D257,ProductList!J:BG,47,FALSE),3),""),""),IF(D257&lt;&gt;"",IFERROR(ROUND(VLOOKUP(D257,ProductList!J:BG,46,FALSE),3),""),""))</f>
        <v/>
      </c>
      <c r="L257" s="1" t="str">
        <f t="shared" si="7"/>
        <v/>
      </c>
    </row>
    <row r="258" spans="1:12" x14ac:dyDescent="0.25">
      <c r="A258" s="304"/>
      <c r="B258" s="73"/>
      <c r="C258" s="73"/>
      <c r="D258" s="104"/>
      <c r="E258" s="122"/>
      <c r="F258" s="73" t="str">
        <f>IF(G258="KGS",IF(B258&lt;&gt;"",IFERROR(VLOOKUP(B258,ProductList!B:AO,21,FALSE),""),""),IF(D258&lt;&gt;"",IFERROR(VLOOKUP(B258,ProductList!B:AO,24,FALSE),""),""))</f>
        <v/>
      </c>
      <c r="G258" s="202"/>
      <c r="H258" s="75" t="str">
        <f>IF(G258="KGS",IF(B258&lt;&gt;"",IFERROR(ROUND(VLOOKUP(B258,ProductList!B:BG,58,FALSE),3),""),""),IF(B258&lt;&gt;"",IFERROR(ROUND(VLOOKUP(B258,ProductList!B:BG,57,FALSE),3),""),""))</f>
        <v/>
      </c>
      <c r="I258" s="75" t="str">
        <f t="shared" si="6"/>
        <v/>
      </c>
      <c r="J258" s="1" t="str">
        <f>IFERROR(VLOOKUP(B258,ProductList!B:AO,21,FALSE),"")</f>
        <v/>
      </c>
      <c r="K258" s="1" t="str">
        <f>IF(G258="KGS",IF(D258&lt;&gt;"",IFERROR(ROUND(VLOOKUP(D258,ProductList!J:BG,47,FALSE),3),""),""),IF(D258&lt;&gt;"",IFERROR(ROUND(VLOOKUP(D258,ProductList!J:BG,46,FALSE),3),""),""))</f>
        <v/>
      </c>
      <c r="L258" s="1" t="str">
        <f t="shared" si="7"/>
        <v/>
      </c>
    </row>
    <row r="259" spans="1:12" x14ac:dyDescent="0.25">
      <c r="A259" s="304"/>
      <c r="B259" s="73"/>
      <c r="C259" s="73"/>
      <c r="D259" s="104"/>
      <c r="E259" s="122"/>
      <c r="F259" s="73" t="str">
        <f>IF(G259="KGS",IF(B259&lt;&gt;"",IFERROR(VLOOKUP(B259,ProductList!B:AO,21,FALSE),""),""),IF(D259&lt;&gt;"",IFERROR(VLOOKUP(B259,ProductList!B:AO,24,FALSE),""),""))</f>
        <v/>
      </c>
      <c r="G259" s="202"/>
      <c r="H259" s="75" t="str">
        <f>IF(G259="KGS",IF(B259&lt;&gt;"",IFERROR(ROUND(VLOOKUP(B259,ProductList!B:BG,58,FALSE),3),""),""),IF(B259&lt;&gt;"",IFERROR(ROUND(VLOOKUP(B259,ProductList!B:BG,57,FALSE),3),""),""))</f>
        <v/>
      </c>
      <c r="I259" s="75" t="str">
        <f t="shared" si="6"/>
        <v/>
      </c>
      <c r="J259" s="1" t="str">
        <f>IFERROR(VLOOKUP(B259,ProductList!B:AO,21,FALSE),"")</f>
        <v/>
      </c>
      <c r="K259" s="1" t="str">
        <f>IF(G259="KGS",IF(D259&lt;&gt;"",IFERROR(ROUND(VLOOKUP(D259,ProductList!J:BG,47,FALSE),3),""),""),IF(D259&lt;&gt;"",IFERROR(ROUND(VLOOKUP(D259,ProductList!J:BG,46,FALSE),3),""),""))</f>
        <v/>
      </c>
      <c r="L259" s="1" t="str">
        <f t="shared" si="7"/>
        <v/>
      </c>
    </row>
    <row r="260" spans="1:12" x14ac:dyDescent="0.25">
      <c r="A260" s="304"/>
      <c r="B260" s="73"/>
      <c r="C260" s="73"/>
      <c r="D260" s="104"/>
      <c r="E260" s="122"/>
      <c r="F260" s="73" t="str">
        <f>IF(G260="KGS",IF(B260&lt;&gt;"",IFERROR(VLOOKUP(B260,ProductList!B:AO,21,FALSE),""),""),IF(D260&lt;&gt;"",IFERROR(VLOOKUP(B260,ProductList!B:AO,24,FALSE),""),""))</f>
        <v/>
      </c>
      <c r="G260" s="202"/>
      <c r="H260" s="75" t="str">
        <f>IF(G260="KGS",IF(B260&lt;&gt;"",IFERROR(ROUND(VLOOKUP(B260,ProductList!B:BG,58,FALSE),3),""),""),IF(B260&lt;&gt;"",IFERROR(ROUND(VLOOKUP(B260,ProductList!B:BG,57,FALSE),3),""),""))</f>
        <v/>
      </c>
      <c r="I260" s="75" t="str">
        <f t="shared" si="6"/>
        <v/>
      </c>
      <c r="J260" s="1" t="str">
        <f>IFERROR(VLOOKUP(B260,ProductList!B:AO,21,FALSE),"")</f>
        <v/>
      </c>
      <c r="K260" s="1" t="str">
        <f>IF(G260="KGS",IF(D260&lt;&gt;"",IFERROR(ROUND(VLOOKUP(D260,ProductList!J:BG,47,FALSE),3),""),""),IF(D260&lt;&gt;"",IFERROR(ROUND(VLOOKUP(D260,ProductList!J:BG,46,FALSE),3),""),""))</f>
        <v/>
      </c>
      <c r="L260" s="1" t="str">
        <f t="shared" si="7"/>
        <v/>
      </c>
    </row>
    <row r="261" spans="1:12" x14ac:dyDescent="0.25">
      <c r="A261" s="304"/>
      <c r="B261" s="73"/>
      <c r="C261" s="73"/>
      <c r="D261" s="104"/>
      <c r="E261" s="122"/>
      <c r="F261" s="73" t="str">
        <f>IF(G261="KGS",IF(B261&lt;&gt;"",IFERROR(VLOOKUP(B261,ProductList!B:AO,21,FALSE),""),""),IF(D261&lt;&gt;"",IFERROR(VLOOKUP(B261,ProductList!B:AO,24,FALSE),""),""))</f>
        <v/>
      </c>
      <c r="G261" s="202"/>
      <c r="H261" s="75" t="str">
        <f>IF(G261="KGS",IF(B261&lt;&gt;"",IFERROR(ROUND(VLOOKUP(B261,ProductList!B:BG,58,FALSE),3),""),""),IF(B261&lt;&gt;"",IFERROR(ROUND(VLOOKUP(B261,ProductList!B:BG,57,FALSE),3),""),""))</f>
        <v/>
      </c>
      <c r="I261" s="75" t="str">
        <f t="shared" si="6"/>
        <v/>
      </c>
      <c r="J261" s="1" t="str">
        <f>IFERROR(VLOOKUP(B261,ProductList!B:AO,21,FALSE),"")</f>
        <v/>
      </c>
      <c r="K261" s="1" t="str">
        <f>IF(G261="KGS",IF(D261&lt;&gt;"",IFERROR(ROUND(VLOOKUP(D261,ProductList!J:BG,47,FALSE),3),""),""),IF(D261&lt;&gt;"",IFERROR(ROUND(VLOOKUP(D261,ProductList!J:BG,46,FALSE),3),""),""))</f>
        <v/>
      </c>
      <c r="L261" s="1" t="str">
        <f t="shared" si="7"/>
        <v/>
      </c>
    </row>
    <row r="262" spans="1:12" x14ac:dyDescent="0.25">
      <c r="A262" s="304"/>
      <c r="B262" s="73"/>
      <c r="C262" s="73"/>
      <c r="D262" s="104"/>
      <c r="E262" s="122"/>
      <c r="F262" s="73" t="str">
        <f>IF(G262="KGS",IF(B262&lt;&gt;"",IFERROR(VLOOKUP(B262,ProductList!B:AO,21,FALSE),""),""),IF(D262&lt;&gt;"",IFERROR(VLOOKUP(B262,ProductList!B:AO,24,FALSE),""),""))</f>
        <v/>
      </c>
      <c r="G262" s="202"/>
      <c r="H262" s="75" t="str">
        <f>IF(G262="KGS",IF(B262&lt;&gt;"",IFERROR(ROUND(VLOOKUP(B262,ProductList!B:BG,58,FALSE),3),""),""),IF(B262&lt;&gt;"",IFERROR(ROUND(VLOOKUP(B262,ProductList!B:BG,57,FALSE),3),""),""))</f>
        <v/>
      </c>
      <c r="I262" s="75" t="str">
        <f t="shared" ref="I262:I325" si="8">IF(AND(F262&lt;&gt;"",H262&lt;&gt;""),ROUND(F262*H262,2),"")</f>
        <v/>
      </c>
      <c r="J262" s="1" t="str">
        <f>IFERROR(VLOOKUP(B262,ProductList!B:AO,21,FALSE),"")</f>
        <v/>
      </c>
      <c r="K262" s="1" t="str">
        <f>IF(G262="KGS",IF(D262&lt;&gt;"",IFERROR(ROUND(VLOOKUP(D262,ProductList!J:BG,47,FALSE),3),""),""),IF(D262&lt;&gt;"",IFERROR(ROUND(VLOOKUP(D262,ProductList!J:BG,46,FALSE),3),""),""))</f>
        <v/>
      </c>
      <c r="L262" s="1" t="str">
        <f t="shared" ref="L262:L325" si="9">IF(AND(K262&lt;&gt;"",F262&lt;&gt;""),K262*F262,"")</f>
        <v/>
      </c>
    </row>
    <row r="263" spans="1:12" x14ac:dyDescent="0.25">
      <c r="A263" s="304"/>
      <c r="B263" s="73"/>
      <c r="C263" s="73"/>
      <c r="D263" s="104"/>
      <c r="E263" s="122"/>
      <c r="F263" s="73" t="str">
        <f>IF(G263="KGS",IF(B263&lt;&gt;"",IFERROR(VLOOKUP(B263,ProductList!B:AO,21,FALSE),""),""),IF(D263&lt;&gt;"",IFERROR(VLOOKUP(B263,ProductList!B:AO,24,FALSE),""),""))</f>
        <v/>
      </c>
      <c r="G263" s="202"/>
      <c r="H263" s="75" t="str">
        <f>IF(G263="KGS",IF(B263&lt;&gt;"",IFERROR(ROUND(VLOOKUP(B263,ProductList!B:BG,58,FALSE),3),""),""),IF(B263&lt;&gt;"",IFERROR(ROUND(VLOOKUP(B263,ProductList!B:BG,57,FALSE),3),""),""))</f>
        <v/>
      </c>
      <c r="I263" s="75" t="str">
        <f t="shared" si="8"/>
        <v/>
      </c>
      <c r="J263" s="1" t="str">
        <f>IFERROR(VLOOKUP(B263,ProductList!B:AO,21,FALSE),"")</f>
        <v/>
      </c>
      <c r="K263" s="1" t="str">
        <f>IF(G263="KGS",IF(D263&lt;&gt;"",IFERROR(ROUND(VLOOKUP(D263,ProductList!J:BG,47,FALSE),3),""),""),IF(D263&lt;&gt;"",IFERROR(ROUND(VLOOKUP(D263,ProductList!J:BG,46,FALSE),3),""),""))</f>
        <v/>
      </c>
      <c r="L263" s="1" t="str">
        <f t="shared" si="9"/>
        <v/>
      </c>
    </row>
    <row r="264" spans="1:12" x14ac:dyDescent="0.25">
      <c r="A264" s="304"/>
      <c r="B264" s="73"/>
      <c r="C264" s="73"/>
      <c r="D264" s="104"/>
      <c r="E264" s="122"/>
      <c r="F264" s="73" t="str">
        <f>IF(G264="KGS",IF(B264&lt;&gt;"",IFERROR(VLOOKUP(B264,ProductList!B:AO,21,FALSE),""),""),IF(D264&lt;&gt;"",IFERROR(VLOOKUP(B264,ProductList!B:AO,24,FALSE),""),""))</f>
        <v/>
      </c>
      <c r="G264" s="202"/>
      <c r="H264" s="75" t="str">
        <f>IF(G264="KGS",IF(B264&lt;&gt;"",IFERROR(ROUND(VLOOKUP(B264,ProductList!B:BG,58,FALSE),3),""),""),IF(B264&lt;&gt;"",IFERROR(ROUND(VLOOKUP(B264,ProductList!B:BG,57,FALSE),3),""),""))</f>
        <v/>
      </c>
      <c r="I264" s="75" t="str">
        <f t="shared" si="8"/>
        <v/>
      </c>
      <c r="J264" s="1" t="str">
        <f>IFERROR(VLOOKUP(B264,ProductList!B:AO,21,FALSE),"")</f>
        <v/>
      </c>
      <c r="K264" s="1" t="str">
        <f>IF(G264="KGS",IF(D264&lt;&gt;"",IFERROR(ROUND(VLOOKUP(D264,ProductList!J:BG,47,FALSE),3),""),""),IF(D264&lt;&gt;"",IFERROR(ROUND(VLOOKUP(D264,ProductList!J:BG,46,FALSE),3),""),""))</f>
        <v/>
      </c>
      <c r="L264" s="1" t="str">
        <f t="shared" si="9"/>
        <v/>
      </c>
    </row>
    <row r="265" spans="1:12" x14ac:dyDescent="0.25">
      <c r="A265" s="304"/>
      <c r="B265" s="73"/>
      <c r="C265" s="73"/>
      <c r="D265" s="104"/>
      <c r="E265" s="122"/>
      <c r="F265" s="73" t="str">
        <f>IF(G265="KGS",IF(B265&lt;&gt;"",IFERROR(VLOOKUP(B265,ProductList!B:AO,21,FALSE),""),""),IF(D265&lt;&gt;"",IFERROR(VLOOKUP(B265,ProductList!B:AO,24,FALSE),""),""))</f>
        <v/>
      </c>
      <c r="G265" s="202"/>
      <c r="H265" s="75" t="str">
        <f>IF(G265="KGS",IF(B265&lt;&gt;"",IFERROR(ROUND(VLOOKUP(B265,ProductList!B:BG,58,FALSE),3),""),""),IF(B265&lt;&gt;"",IFERROR(ROUND(VLOOKUP(B265,ProductList!B:BG,57,FALSE),3),""),""))</f>
        <v/>
      </c>
      <c r="I265" s="75" t="str">
        <f t="shared" si="8"/>
        <v/>
      </c>
      <c r="J265" s="1" t="str">
        <f>IFERROR(VLOOKUP(B265,ProductList!B:AO,21,FALSE),"")</f>
        <v/>
      </c>
      <c r="K265" s="1" t="str">
        <f>IF(G265="KGS",IF(D265&lt;&gt;"",IFERROR(ROUND(VLOOKUP(D265,ProductList!J:BG,47,FALSE),3),""),""),IF(D265&lt;&gt;"",IFERROR(ROUND(VLOOKUP(D265,ProductList!J:BG,46,FALSE),3),""),""))</f>
        <v/>
      </c>
      <c r="L265" s="1" t="str">
        <f t="shared" si="9"/>
        <v/>
      </c>
    </row>
    <row r="266" spans="1:12" x14ac:dyDescent="0.25">
      <c r="A266" s="304"/>
      <c r="B266" s="73"/>
      <c r="C266" s="73"/>
      <c r="D266" s="104"/>
      <c r="E266" s="122"/>
      <c r="F266" s="73" t="str">
        <f>IF(G266="KGS",IF(B266&lt;&gt;"",IFERROR(VLOOKUP(B266,ProductList!B:AO,21,FALSE),""),""),IF(D266&lt;&gt;"",IFERROR(VLOOKUP(B266,ProductList!B:AO,24,FALSE),""),""))</f>
        <v/>
      </c>
      <c r="G266" s="202"/>
      <c r="H266" s="75" t="str">
        <f>IF(G266="KGS",IF(B266&lt;&gt;"",IFERROR(ROUND(VLOOKUP(B266,ProductList!B:BG,58,FALSE),3),""),""),IF(B266&lt;&gt;"",IFERROR(ROUND(VLOOKUP(B266,ProductList!B:BG,57,FALSE),3),""),""))</f>
        <v/>
      </c>
      <c r="I266" s="75" t="str">
        <f t="shared" si="8"/>
        <v/>
      </c>
      <c r="J266" s="1" t="str">
        <f>IFERROR(VLOOKUP(B266,ProductList!B:AO,21,FALSE),"")</f>
        <v/>
      </c>
      <c r="K266" s="1" t="str">
        <f>IF(G266="KGS",IF(D266&lt;&gt;"",IFERROR(ROUND(VLOOKUP(D266,ProductList!J:BG,47,FALSE),3),""),""),IF(D266&lt;&gt;"",IFERROR(ROUND(VLOOKUP(D266,ProductList!J:BG,46,FALSE),3),""),""))</f>
        <v/>
      </c>
      <c r="L266" s="1" t="str">
        <f t="shared" si="9"/>
        <v/>
      </c>
    </row>
    <row r="267" spans="1:12" x14ac:dyDescent="0.25">
      <c r="A267" s="304"/>
      <c r="B267" s="73"/>
      <c r="C267" s="73"/>
      <c r="D267" s="104"/>
      <c r="E267" s="122"/>
      <c r="F267" s="73" t="str">
        <f>IF(G267="KGS",IF(B267&lt;&gt;"",IFERROR(VLOOKUP(B267,ProductList!B:AO,21,FALSE),""),""),IF(D267&lt;&gt;"",IFERROR(VLOOKUP(B267,ProductList!B:AO,24,FALSE),""),""))</f>
        <v/>
      </c>
      <c r="G267" s="202"/>
      <c r="H267" s="75" t="str">
        <f>IF(G267="KGS",IF(B267&lt;&gt;"",IFERROR(ROUND(VLOOKUP(B267,ProductList!B:BG,58,FALSE),3),""),""),IF(B267&lt;&gt;"",IFERROR(ROUND(VLOOKUP(B267,ProductList!B:BG,57,FALSE),3),""),""))</f>
        <v/>
      </c>
      <c r="I267" s="75" t="str">
        <f t="shared" si="8"/>
        <v/>
      </c>
      <c r="J267" s="1" t="str">
        <f>IFERROR(VLOOKUP(B267,ProductList!B:AO,21,FALSE),"")</f>
        <v/>
      </c>
      <c r="K267" s="1" t="str">
        <f>IF(G267="KGS",IF(D267&lt;&gt;"",IFERROR(ROUND(VLOOKUP(D267,ProductList!J:BG,47,FALSE),3),""),""),IF(D267&lt;&gt;"",IFERROR(ROUND(VLOOKUP(D267,ProductList!J:BG,46,FALSE),3),""),""))</f>
        <v/>
      </c>
      <c r="L267" s="1" t="str">
        <f t="shared" si="9"/>
        <v/>
      </c>
    </row>
    <row r="268" spans="1:12" x14ac:dyDescent="0.25">
      <c r="A268" s="304"/>
      <c r="B268" s="73"/>
      <c r="C268" s="73"/>
      <c r="D268" s="104"/>
      <c r="E268" s="122"/>
      <c r="F268" s="73" t="str">
        <f>IF(G268="KGS",IF(B268&lt;&gt;"",IFERROR(VLOOKUP(B268,ProductList!B:AO,21,FALSE),""),""),IF(D268&lt;&gt;"",IFERROR(VLOOKUP(B268,ProductList!B:AO,24,FALSE),""),""))</f>
        <v/>
      </c>
      <c r="G268" s="202"/>
      <c r="H268" s="75" t="str">
        <f>IF(G268="KGS",IF(B268&lt;&gt;"",IFERROR(ROUND(VLOOKUP(B268,ProductList!B:BG,58,FALSE),3),""),""),IF(B268&lt;&gt;"",IFERROR(ROUND(VLOOKUP(B268,ProductList!B:BG,57,FALSE),3),""),""))</f>
        <v/>
      </c>
      <c r="I268" s="75" t="str">
        <f t="shared" si="8"/>
        <v/>
      </c>
      <c r="J268" s="1" t="str">
        <f>IFERROR(VLOOKUP(B268,ProductList!B:AO,21,FALSE),"")</f>
        <v/>
      </c>
      <c r="K268" s="1" t="str">
        <f>IF(G268="KGS",IF(D268&lt;&gt;"",IFERROR(ROUND(VLOOKUP(D268,ProductList!J:BG,47,FALSE),3),""),""),IF(D268&lt;&gt;"",IFERROR(ROUND(VLOOKUP(D268,ProductList!J:BG,46,FALSE),3),""),""))</f>
        <v/>
      </c>
      <c r="L268" s="1" t="str">
        <f t="shared" si="9"/>
        <v/>
      </c>
    </row>
    <row r="269" spans="1:12" x14ac:dyDescent="0.25">
      <c r="A269" s="304"/>
      <c r="B269" s="73"/>
      <c r="C269" s="73"/>
      <c r="D269" s="104"/>
      <c r="E269" s="122"/>
      <c r="F269" s="73" t="str">
        <f>IF(G269="KGS",IF(B269&lt;&gt;"",IFERROR(VLOOKUP(B269,ProductList!B:AO,21,FALSE),""),""),IF(D269&lt;&gt;"",IFERROR(VLOOKUP(B269,ProductList!B:AO,24,FALSE),""),""))</f>
        <v/>
      </c>
      <c r="G269" s="202"/>
      <c r="H269" s="75" t="str">
        <f>IF(G269="KGS",IF(B269&lt;&gt;"",IFERROR(ROUND(VLOOKUP(B269,ProductList!B:BG,58,FALSE),3),""),""),IF(B269&lt;&gt;"",IFERROR(ROUND(VLOOKUP(B269,ProductList!B:BG,57,FALSE),3),""),""))</f>
        <v/>
      </c>
      <c r="I269" s="75" t="str">
        <f t="shared" si="8"/>
        <v/>
      </c>
      <c r="J269" s="1" t="str">
        <f>IFERROR(VLOOKUP(B269,ProductList!B:AO,21,FALSE),"")</f>
        <v/>
      </c>
      <c r="K269" s="1" t="str">
        <f>IF(G269="KGS",IF(D269&lt;&gt;"",IFERROR(ROUND(VLOOKUP(D269,ProductList!J:BG,47,FALSE),3),""),""),IF(D269&lt;&gt;"",IFERROR(ROUND(VLOOKUP(D269,ProductList!J:BG,46,FALSE),3),""),""))</f>
        <v/>
      </c>
      <c r="L269" s="1" t="str">
        <f t="shared" si="9"/>
        <v/>
      </c>
    </row>
    <row r="270" spans="1:12" x14ac:dyDescent="0.25">
      <c r="A270" s="304"/>
      <c r="B270" s="73"/>
      <c r="C270" s="73"/>
      <c r="D270" s="104"/>
      <c r="E270" s="122"/>
      <c r="F270" s="73" t="str">
        <f>IF(G270="KGS",IF(B270&lt;&gt;"",IFERROR(VLOOKUP(B270,ProductList!B:AO,21,FALSE),""),""),IF(D270&lt;&gt;"",IFERROR(VLOOKUP(B270,ProductList!B:AO,24,FALSE),""),""))</f>
        <v/>
      </c>
      <c r="G270" s="202"/>
      <c r="H270" s="75" t="str">
        <f>IF(G270="KGS",IF(B270&lt;&gt;"",IFERROR(ROUND(VLOOKUP(B270,ProductList!B:BG,58,FALSE),3),""),""),IF(B270&lt;&gt;"",IFERROR(ROUND(VLOOKUP(B270,ProductList!B:BG,57,FALSE),3),""),""))</f>
        <v/>
      </c>
      <c r="I270" s="75" t="str">
        <f t="shared" si="8"/>
        <v/>
      </c>
      <c r="J270" s="1" t="str">
        <f>IFERROR(VLOOKUP(B270,ProductList!B:AO,21,FALSE),"")</f>
        <v/>
      </c>
      <c r="K270" s="1" t="str">
        <f>IF(G270="KGS",IF(D270&lt;&gt;"",IFERROR(ROUND(VLOOKUP(D270,ProductList!J:BG,47,FALSE),3),""),""),IF(D270&lt;&gt;"",IFERROR(ROUND(VLOOKUP(D270,ProductList!J:BG,46,FALSE),3),""),""))</f>
        <v/>
      </c>
      <c r="L270" s="1" t="str">
        <f t="shared" si="9"/>
        <v/>
      </c>
    </row>
    <row r="271" spans="1:12" x14ac:dyDescent="0.25">
      <c r="A271" s="304"/>
      <c r="B271" s="73"/>
      <c r="C271" s="73"/>
      <c r="D271" s="104"/>
      <c r="E271" s="122"/>
      <c r="F271" s="73" t="str">
        <f>IF(G271="KGS",IF(B271&lt;&gt;"",IFERROR(VLOOKUP(B271,ProductList!B:AO,21,FALSE),""),""),IF(D271&lt;&gt;"",IFERROR(VLOOKUP(B271,ProductList!B:AO,24,FALSE),""),""))</f>
        <v/>
      </c>
      <c r="G271" s="202"/>
      <c r="H271" s="75" t="str">
        <f>IF(G271="KGS",IF(B271&lt;&gt;"",IFERROR(ROUND(VLOOKUP(B271,ProductList!B:BG,58,FALSE),3),""),""),IF(B271&lt;&gt;"",IFERROR(ROUND(VLOOKUP(B271,ProductList!B:BG,57,FALSE),3),""),""))</f>
        <v/>
      </c>
      <c r="I271" s="75" t="str">
        <f t="shared" si="8"/>
        <v/>
      </c>
      <c r="J271" s="1" t="str">
        <f>IFERROR(VLOOKUP(B271,ProductList!B:AO,21,FALSE),"")</f>
        <v/>
      </c>
      <c r="K271" s="1" t="str">
        <f>IF(G271="KGS",IF(D271&lt;&gt;"",IFERROR(ROUND(VLOOKUP(D271,ProductList!J:BG,47,FALSE),3),""),""),IF(D271&lt;&gt;"",IFERROR(ROUND(VLOOKUP(D271,ProductList!J:BG,46,FALSE),3),""),""))</f>
        <v/>
      </c>
      <c r="L271" s="1" t="str">
        <f t="shared" si="9"/>
        <v/>
      </c>
    </row>
    <row r="272" spans="1:12" x14ac:dyDescent="0.25">
      <c r="A272" s="304"/>
      <c r="B272" s="73"/>
      <c r="C272" s="73"/>
      <c r="D272" s="104"/>
      <c r="E272" s="122"/>
      <c r="F272" s="73" t="str">
        <f>IF(G272="KGS",IF(B272&lt;&gt;"",IFERROR(VLOOKUP(B272,ProductList!B:AO,21,FALSE),""),""),IF(D272&lt;&gt;"",IFERROR(VLOOKUP(B272,ProductList!B:AO,24,FALSE),""),""))</f>
        <v/>
      </c>
      <c r="G272" s="202"/>
      <c r="H272" s="75" t="str">
        <f>IF(G272="KGS",IF(B272&lt;&gt;"",IFERROR(ROUND(VLOOKUP(B272,ProductList!B:BG,58,FALSE),3),""),""),IF(B272&lt;&gt;"",IFERROR(ROUND(VLOOKUP(B272,ProductList!B:BG,57,FALSE),3),""),""))</f>
        <v/>
      </c>
      <c r="I272" s="75" t="str">
        <f t="shared" si="8"/>
        <v/>
      </c>
      <c r="J272" s="1" t="str">
        <f>IFERROR(VLOOKUP(B272,ProductList!B:AO,21,FALSE),"")</f>
        <v/>
      </c>
      <c r="K272" s="1" t="str">
        <f>IF(G272="KGS",IF(D272&lt;&gt;"",IFERROR(ROUND(VLOOKUP(D272,ProductList!J:BG,47,FALSE),3),""),""),IF(D272&lt;&gt;"",IFERROR(ROUND(VLOOKUP(D272,ProductList!J:BG,46,FALSE),3),""),""))</f>
        <v/>
      </c>
      <c r="L272" s="1" t="str">
        <f t="shared" si="9"/>
        <v/>
      </c>
    </row>
    <row r="273" spans="1:12" x14ac:dyDescent="0.25">
      <c r="A273" s="304"/>
      <c r="B273" s="73"/>
      <c r="C273" s="73"/>
      <c r="D273" s="104"/>
      <c r="E273" s="122"/>
      <c r="F273" s="73" t="str">
        <f>IF(G273="KGS",IF(B273&lt;&gt;"",IFERROR(VLOOKUP(B273,ProductList!B:AO,21,FALSE),""),""),IF(D273&lt;&gt;"",IFERROR(VLOOKUP(B273,ProductList!B:AO,24,FALSE),""),""))</f>
        <v/>
      </c>
      <c r="G273" s="202"/>
      <c r="H273" s="75" t="str">
        <f>IF(G273="KGS",IF(B273&lt;&gt;"",IFERROR(ROUND(VLOOKUP(B273,ProductList!B:BG,58,FALSE),3),""),""),IF(B273&lt;&gt;"",IFERROR(ROUND(VLOOKUP(B273,ProductList!B:BG,57,FALSE),3),""),""))</f>
        <v/>
      </c>
      <c r="I273" s="75" t="str">
        <f t="shared" si="8"/>
        <v/>
      </c>
      <c r="J273" s="1" t="str">
        <f>IFERROR(VLOOKUP(B273,ProductList!B:AO,21,FALSE),"")</f>
        <v/>
      </c>
      <c r="K273" s="1" t="str">
        <f>IF(G273="KGS",IF(D273&lt;&gt;"",IFERROR(ROUND(VLOOKUP(D273,ProductList!J:BG,47,FALSE),3),""),""),IF(D273&lt;&gt;"",IFERROR(ROUND(VLOOKUP(D273,ProductList!J:BG,46,FALSE),3),""),""))</f>
        <v/>
      </c>
      <c r="L273" s="1" t="str">
        <f t="shared" si="9"/>
        <v/>
      </c>
    </row>
    <row r="274" spans="1:12" x14ac:dyDescent="0.25">
      <c r="A274" s="304"/>
      <c r="B274" s="73"/>
      <c r="C274" s="73"/>
      <c r="D274" s="104"/>
      <c r="E274" s="122"/>
      <c r="F274" s="73" t="str">
        <f>IF(G274="KGS",IF(B274&lt;&gt;"",IFERROR(VLOOKUP(B274,ProductList!B:AO,21,FALSE),""),""),IF(D274&lt;&gt;"",IFERROR(VLOOKUP(B274,ProductList!B:AO,24,FALSE),""),""))</f>
        <v/>
      </c>
      <c r="G274" s="202"/>
      <c r="H274" s="75" t="str">
        <f>IF(G274="KGS",IF(B274&lt;&gt;"",IFERROR(ROUND(VLOOKUP(B274,ProductList!B:BG,58,FALSE),3),""),""),IF(B274&lt;&gt;"",IFERROR(ROUND(VLOOKUP(B274,ProductList!B:BG,57,FALSE),3),""),""))</f>
        <v/>
      </c>
      <c r="I274" s="75" t="str">
        <f t="shared" si="8"/>
        <v/>
      </c>
      <c r="J274" s="1" t="str">
        <f>IFERROR(VLOOKUP(B274,ProductList!B:AO,21,FALSE),"")</f>
        <v/>
      </c>
      <c r="K274" s="1" t="str">
        <f>IF(G274="KGS",IF(D274&lt;&gt;"",IFERROR(ROUND(VLOOKUP(D274,ProductList!J:BG,47,FALSE),3),""),""),IF(D274&lt;&gt;"",IFERROR(ROUND(VLOOKUP(D274,ProductList!J:BG,46,FALSE),3),""),""))</f>
        <v/>
      </c>
      <c r="L274" s="1" t="str">
        <f t="shared" si="9"/>
        <v/>
      </c>
    </row>
    <row r="275" spans="1:12" x14ac:dyDescent="0.25">
      <c r="A275" s="304"/>
      <c r="B275" s="73"/>
      <c r="C275" s="73"/>
      <c r="D275" s="104"/>
      <c r="E275" s="122"/>
      <c r="F275" s="73" t="str">
        <f>IF(G275="KGS",IF(B275&lt;&gt;"",IFERROR(VLOOKUP(B275,ProductList!B:AO,21,FALSE),""),""),IF(D275&lt;&gt;"",IFERROR(VLOOKUP(B275,ProductList!B:AO,24,FALSE),""),""))</f>
        <v/>
      </c>
      <c r="G275" s="202"/>
      <c r="H275" s="75" t="str">
        <f>IF(G275="KGS",IF(B275&lt;&gt;"",IFERROR(ROUND(VLOOKUP(B275,ProductList!B:BG,58,FALSE),3),""),""),IF(B275&lt;&gt;"",IFERROR(ROUND(VLOOKUP(B275,ProductList!B:BG,57,FALSE),3),""),""))</f>
        <v/>
      </c>
      <c r="I275" s="75" t="str">
        <f t="shared" si="8"/>
        <v/>
      </c>
      <c r="J275" s="1" t="str">
        <f>IFERROR(VLOOKUP(B275,ProductList!B:AO,21,FALSE),"")</f>
        <v/>
      </c>
      <c r="K275" s="1" t="str">
        <f>IF(G275="KGS",IF(D275&lt;&gt;"",IFERROR(ROUND(VLOOKUP(D275,ProductList!J:BG,47,FALSE),3),""),""),IF(D275&lt;&gt;"",IFERROR(ROUND(VLOOKUP(D275,ProductList!J:BG,46,FALSE),3),""),""))</f>
        <v/>
      </c>
      <c r="L275" s="1" t="str">
        <f t="shared" si="9"/>
        <v/>
      </c>
    </row>
    <row r="276" spans="1:12" x14ac:dyDescent="0.25">
      <c r="A276" s="304"/>
      <c r="B276" s="73"/>
      <c r="C276" s="73"/>
      <c r="D276" s="104"/>
      <c r="E276" s="122"/>
      <c r="F276" s="73" t="str">
        <f>IF(G276="KGS",IF(B276&lt;&gt;"",IFERROR(VLOOKUP(B276,ProductList!B:AO,21,FALSE),""),""),IF(D276&lt;&gt;"",IFERROR(VLOOKUP(B276,ProductList!B:AO,24,FALSE),""),""))</f>
        <v/>
      </c>
      <c r="G276" s="202"/>
      <c r="H276" s="75" t="str">
        <f>IF(G276="KGS",IF(B276&lt;&gt;"",IFERROR(ROUND(VLOOKUP(B276,ProductList!B:BG,58,FALSE),3),""),""),IF(B276&lt;&gt;"",IFERROR(ROUND(VLOOKUP(B276,ProductList!B:BG,57,FALSE),3),""),""))</f>
        <v/>
      </c>
      <c r="I276" s="75" t="str">
        <f t="shared" si="8"/>
        <v/>
      </c>
      <c r="J276" s="1" t="str">
        <f>IFERROR(VLOOKUP(B276,ProductList!B:AO,21,FALSE),"")</f>
        <v/>
      </c>
      <c r="K276" s="1" t="str">
        <f>IF(G276="KGS",IF(D276&lt;&gt;"",IFERROR(ROUND(VLOOKUP(D276,ProductList!J:BG,47,FALSE),3),""),""),IF(D276&lt;&gt;"",IFERROR(ROUND(VLOOKUP(D276,ProductList!J:BG,46,FALSE),3),""),""))</f>
        <v/>
      </c>
      <c r="L276" s="1" t="str">
        <f t="shared" si="9"/>
        <v/>
      </c>
    </row>
    <row r="277" spans="1:12" x14ac:dyDescent="0.25">
      <c r="A277" s="304"/>
      <c r="B277" s="73"/>
      <c r="C277" s="73"/>
      <c r="D277" s="104"/>
      <c r="E277" s="122"/>
      <c r="F277" s="73" t="str">
        <f>IF(G277="KGS",IF(B277&lt;&gt;"",IFERROR(VLOOKUP(B277,ProductList!B:AO,21,FALSE),""),""),IF(D277&lt;&gt;"",IFERROR(VLOOKUP(B277,ProductList!B:AO,24,FALSE),""),""))</f>
        <v/>
      </c>
      <c r="G277" s="202"/>
      <c r="H277" s="75" t="str">
        <f>IF(G277="KGS",IF(B277&lt;&gt;"",IFERROR(ROUND(VLOOKUP(B277,ProductList!B:BG,58,FALSE),3),""),""),IF(B277&lt;&gt;"",IFERROR(ROUND(VLOOKUP(B277,ProductList!B:BG,57,FALSE),3),""),""))</f>
        <v/>
      </c>
      <c r="I277" s="75" t="str">
        <f t="shared" si="8"/>
        <v/>
      </c>
      <c r="J277" s="1" t="str">
        <f>IFERROR(VLOOKUP(B277,ProductList!B:AO,21,FALSE),"")</f>
        <v/>
      </c>
      <c r="K277" s="1" t="str">
        <f>IF(G277="KGS",IF(D277&lt;&gt;"",IFERROR(ROUND(VLOOKUP(D277,ProductList!J:BG,47,FALSE),3),""),""),IF(D277&lt;&gt;"",IFERROR(ROUND(VLOOKUP(D277,ProductList!J:BG,46,FALSE),3),""),""))</f>
        <v/>
      </c>
      <c r="L277" s="1" t="str">
        <f t="shared" si="9"/>
        <v/>
      </c>
    </row>
    <row r="278" spans="1:12" x14ac:dyDescent="0.25">
      <c r="A278" s="304"/>
      <c r="B278" s="73"/>
      <c r="C278" s="73"/>
      <c r="D278" s="104"/>
      <c r="E278" s="122"/>
      <c r="F278" s="73" t="str">
        <f>IF(G278="KGS",IF(B278&lt;&gt;"",IFERROR(VLOOKUP(B278,ProductList!B:AO,21,FALSE),""),""),IF(D278&lt;&gt;"",IFERROR(VLOOKUP(B278,ProductList!B:AO,24,FALSE),""),""))</f>
        <v/>
      </c>
      <c r="G278" s="202"/>
      <c r="H278" s="75" t="str">
        <f>IF(G278="KGS",IF(B278&lt;&gt;"",IFERROR(ROUND(VLOOKUP(B278,ProductList!B:BG,58,FALSE),3),""),""),IF(B278&lt;&gt;"",IFERROR(ROUND(VLOOKUP(B278,ProductList!B:BG,57,FALSE),3),""),""))</f>
        <v/>
      </c>
      <c r="I278" s="75" t="str">
        <f t="shared" si="8"/>
        <v/>
      </c>
      <c r="J278" s="1" t="str">
        <f>IFERROR(VLOOKUP(B278,ProductList!B:AO,21,FALSE),"")</f>
        <v/>
      </c>
      <c r="K278" s="1" t="str">
        <f>IF(G278="KGS",IF(D278&lt;&gt;"",IFERROR(ROUND(VLOOKUP(D278,ProductList!J:BG,47,FALSE),3),""),""),IF(D278&lt;&gt;"",IFERROR(ROUND(VLOOKUP(D278,ProductList!J:BG,46,FALSE),3),""),""))</f>
        <v/>
      </c>
      <c r="L278" s="1" t="str">
        <f t="shared" si="9"/>
        <v/>
      </c>
    </row>
    <row r="279" spans="1:12" x14ac:dyDescent="0.25">
      <c r="A279" s="304"/>
      <c r="B279" s="73"/>
      <c r="C279" s="73"/>
      <c r="D279" s="104"/>
      <c r="E279" s="122"/>
      <c r="F279" s="73" t="str">
        <f>IF(G279="KGS",IF(B279&lt;&gt;"",IFERROR(VLOOKUP(B279,ProductList!B:AO,21,FALSE),""),""),IF(D279&lt;&gt;"",IFERROR(VLOOKUP(B279,ProductList!B:AO,24,FALSE),""),""))</f>
        <v/>
      </c>
      <c r="G279" s="202"/>
      <c r="H279" s="75" t="str">
        <f>IF(G279="KGS",IF(B279&lt;&gt;"",IFERROR(ROUND(VLOOKUP(B279,ProductList!B:BG,58,FALSE),3),""),""),IF(B279&lt;&gt;"",IFERROR(ROUND(VLOOKUP(B279,ProductList!B:BG,57,FALSE),3),""),""))</f>
        <v/>
      </c>
      <c r="I279" s="75" t="str">
        <f t="shared" si="8"/>
        <v/>
      </c>
      <c r="J279" s="1" t="str">
        <f>IFERROR(VLOOKUP(B279,ProductList!B:AO,21,FALSE),"")</f>
        <v/>
      </c>
      <c r="K279" s="1" t="str">
        <f>IF(G279="KGS",IF(D279&lt;&gt;"",IFERROR(ROUND(VLOOKUP(D279,ProductList!J:BG,47,FALSE),3),""),""),IF(D279&lt;&gt;"",IFERROR(ROUND(VLOOKUP(D279,ProductList!J:BG,46,FALSE),3),""),""))</f>
        <v/>
      </c>
      <c r="L279" s="1" t="str">
        <f t="shared" si="9"/>
        <v/>
      </c>
    </row>
    <row r="280" spans="1:12" x14ac:dyDescent="0.25">
      <c r="A280" s="304"/>
      <c r="B280" s="73"/>
      <c r="C280" s="73"/>
      <c r="D280" s="104"/>
      <c r="E280" s="122"/>
      <c r="F280" s="73" t="str">
        <f>IF(G280="KGS",IF(B280&lt;&gt;"",IFERROR(VLOOKUP(B280,ProductList!B:AO,21,FALSE),""),""),IF(D280&lt;&gt;"",IFERROR(VLOOKUP(B280,ProductList!B:AO,24,FALSE),""),""))</f>
        <v/>
      </c>
      <c r="G280" s="202"/>
      <c r="H280" s="75" t="str">
        <f>IF(G280="KGS",IF(B280&lt;&gt;"",IFERROR(ROUND(VLOOKUP(B280,ProductList!B:BG,58,FALSE),3),""),""),IF(B280&lt;&gt;"",IFERROR(ROUND(VLOOKUP(B280,ProductList!B:BG,57,FALSE),3),""),""))</f>
        <v/>
      </c>
      <c r="I280" s="75" t="str">
        <f t="shared" si="8"/>
        <v/>
      </c>
      <c r="J280" s="1" t="str">
        <f>IFERROR(VLOOKUP(B280,ProductList!B:AO,21,FALSE),"")</f>
        <v/>
      </c>
      <c r="K280" s="1" t="str">
        <f>IF(G280="KGS",IF(D280&lt;&gt;"",IFERROR(ROUND(VLOOKUP(D280,ProductList!J:BG,47,FALSE),3),""),""),IF(D280&lt;&gt;"",IFERROR(ROUND(VLOOKUP(D280,ProductList!J:BG,46,FALSE),3),""),""))</f>
        <v/>
      </c>
      <c r="L280" s="1" t="str">
        <f t="shared" si="9"/>
        <v/>
      </c>
    </row>
    <row r="281" spans="1:12" x14ac:dyDescent="0.25">
      <c r="A281" s="304"/>
      <c r="B281" s="73"/>
      <c r="C281" s="73"/>
      <c r="D281" s="104"/>
      <c r="E281" s="122"/>
      <c r="F281" s="73" t="str">
        <f>IF(G281="KGS",IF(B281&lt;&gt;"",IFERROR(VLOOKUP(B281,ProductList!B:AO,21,FALSE),""),""),IF(D281&lt;&gt;"",IFERROR(VLOOKUP(B281,ProductList!B:AO,24,FALSE),""),""))</f>
        <v/>
      </c>
      <c r="G281" s="202"/>
      <c r="H281" s="75" t="str">
        <f>IF(G281="KGS",IF(B281&lt;&gt;"",IFERROR(ROUND(VLOOKUP(B281,ProductList!B:BG,58,FALSE),3),""),""),IF(B281&lt;&gt;"",IFERROR(ROUND(VLOOKUP(B281,ProductList!B:BG,57,FALSE),3),""),""))</f>
        <v/>
      </c>
      <c r="I281" s="75" t="str">
        <f t="shared" si="8"/>
        <v/>
      </c>
      <c r="J281" s="1" t="str">
        <f>IFERROR(VLOOKUP(B281,ProductList!B:AO,21,FALSE),"")</f>
        <v/>
      </c>
      <c r="K281" s="1" t="str">
        <f>IF(G281="KGS",IF(D281&lt;&gt;"",IFERROR(ROUND(VLOOKUP(D281,ProductList!J:BG,47,FALSE),3),""),""),IF(D281&lt;&gt;"",IFERROR(ROUND(VLOOKUP(D281,ProductList!J:BG,46,FALSE),3),""),""))</f>
        <v/>
      </c>
      <c r="L281" s="1" t="str">
        <f t="shared" si="9"/>
        <v/>
      </c>
    </row>
    <row r="282" spans="1:12" x14ac:dyDescent="0.25">
      <c r="A282" s="304"/>
      <c r="B282" s="73"/>
      <c r="C282" s="73"/>
      <c r="D282" s="104"/>
      <c r="E282" s="122"/>
      <c r="F282" s="73" t="str">
        <f>IF(G282="KGS",IF(B282&lt;&gt;"",IFERROR(VLOOKUP(B282,ProductList!B:AO,21,FALSE),""),""),IF(D282&lt;&gt;"",IFERROR(VLOOKUP(B282,ProductList!B:AO,24,FALSE),""),""))</f>
        <v/>
      </c>
      <c r="G282" s="202"/>
      <c r="H282" s="75" t="str">
        <f>IF(G282="KGS",IF(B282&lt;&gt;"",IFERROR(ROUND(VLOOKUP(B282,ProductList!B:BG,58,FALSE),3),""),""),IF(B282&lt;&gt;"",IFERROR(ROUND(VLOOKUP(B282,ProductList!B:BG,57,FALSE),3),""),""))</f>
        <v/>
      </c>
      <c r="I282" s="75" t="str">
        <f t="shared" si="8"/>
        <v/>
      </c>
      <c r="J282" s="1" t="str">
        <f>IFERROR(VLOOKUP(B282,ProductList!B:AO,21,FALSE),"")</f>
        <v/>
      </c>
      <c r="K282" s="1" t="str">
        <f>IF(G282="KGS",IF(D282&lt;&gt;"",IFERROR(ROUND(VLOOKUP(D282,ProductList!J:BG,47,FALSE),3),""),""),IF(D282&lt;&gt;"",IFERROR(ROUND(VLOOKUP(D282,ProductList!J:BG,46,FALSE),3),""),""))</f>
        <v/>
      </c>
      <c r="L282" s="1" t="str">
        <f t="shared" si="9"/>
        <v/>
      </c>
    </row>
    <row r="283" spans="1:12" x14ac:dyDescent="0.25">
      <c r="A283" s="304"/>
      <c r="B283" s="73"/>
      <c r="C283" s="73"/>
      <c r="D283" s="104"/>
      <c r="E283" s="122"/>
      <c r="F283" s="73" t="str">
        <f>IF(G283="KGS",IF(B283&lt;&gt;"",IFERROR(VLOOKUP(B283,ProductList!B:AO,21,FALSE),""),""),IF(D283&lt;&gt;"",IFERROR(VLOOKUP(B283,ProductList!B:AO,24,FALSE),""),""))</f>
        <v/>
      </c>
      <c r="G283" s="202"/>
      <c r="H283" s="75" t="str">
        <f>IF(G283="KGS",IF(B283&lt;&gt;"",IFERROR(ROUND(VLOOKUP(B283,ProductList!B:BG,58,FALSE),3),""),""),IF(B283&lt;&gt;"",IFERROR(ROUND(VLOOKUP(B283,ProductList!B:BG,57,FALSE),3),""),""))</f>
        <v/>
      </c>
      <c r="I283" s="75" t="str">
        <f t="shared" si="8"/>
        <v/>
      </c>
      <c r="J283" s="1" t="str">
        <f>IFERROR(VLOOKUP(B283,ProductList!B:AO,21,FALSE),"")</f>
        <v/>
      </c>
      <c r="K283" s="1" t="str">
        <f>IF(G283="KGS",IF(D283&lt;&gt;"",IFERROR(ROUND(VLOOKUP(D283,ProductList!J:BG,47,FALSE),3),""),""),IF(D283&lt;&gt;"",IFERROR(ROUND(VLOOKUP(D283,ProductList!J:BG,46,FALSE),3),""),""))</f>
        <v/>
      </c>
      <c r="L283" s="1" t="str">
        <f t="shared" si="9"/>
        <v/>
      </c>
    </row>
    <row r="284" spans="1:12" x14ac:dyDescent="0.25">
      <c r="A284" s="304"/>
      <c r="B284" s="73"/>
      <c r="C284" s="73"/>
      <c r="D284" s="104"/>
      <c r="E284" s="122"/>
      <c r="F284" s="73" t="str">
        <f>IF(G284="KGS",IF(B284&lt;&gt;"",IFERROR(VLOOKUP(B284,ProductList!B:AO,21,FALSE),""),""),IF(D284&lt;&gt;"",IFERROR(VLOOKUP(B284,ProductList!B:AO,24,FALSE),""),""))</f>
        <v/>
      </c>
      <c r="G284" s="202"/>
      <c r="H284" s="75" t="str">
        <f>IF(G284="KGS",IF(B284&lt;&gt;"",IFERROR(ROUND(VLOOKUP(B284,ProductList!B:BG,58,FALSE),3),""),""),IF(B284&lt;&gt;"",IFERROR(ROUND(VLOOKUP(B284,ProductList!B:BG,57,FALSE),3),""),""))</f>
        <v/>
      </c>
      <c r="I284" s="75" t="str">
        <f t="shared" si="8"/>
        <v/>
      </c>
      <c r="J284" s="1" t="str">
        <f>IFERROR(VLOOKUP(B284,ProductList!B:AO,21,FALSE),"")</f>
        <v/>
      </c>
      <c r="K284" s="1" t="str">
        <f>IF(G284="KGS",IF(D284&lt;&gt;"",IFERROR(ROUND(VLOOKUP(D284,ProductList!J:BG,47,FALSE),3),""),""),IF(D284&lt;&gt;"",IFERROR(ROUND(VLOOKUP(D284,ProductList!J:BG,46,FALSE),3),""),""))</f>
        <v/>
      </c>
      <c r="L284" s="1" t="str">
        <f t="shared" si="9"/>
        <v/>
      </c>
    </row>
    <row r="285" spans="1:12" x14ac:dyDescent="0.25">
      <c r="A285" s="304"/>
      <c r="B285" s="73"/>
      <c r="C285" s="73"/>
      <c r="D285" s="104"/>
      <c r="E285" s="122"/>
      <c r="F285" s="73" t="str">
        <f>IF(G285="KGS",IF(B285&lt;&gt;"",IFERROR(VLOOKUP(B285,ProductList!B:AO,21,FALSE),""),""),IF(D285&lt;&gt;"",IFERROR(VLOOKUP(B285,ProductList!B:AO,24,FALSE),""),""))</f>
        <v/>
      </c>
      <c r="G285" s="202"/>
      <c r="H285" s="75" t="str">
        <f>IF(G285="KGS",IF(B285&lt;&gt;"",IFERROR(ROUND(VLOOKUP(B285,ProductList!B:BG,58,FALSE),3),""),""),IF(B285&lt;&gt;"",IFERROR(ROUND(VLOOKUP(B285,ProductList!B:BG,57,FALSE),3),""),""))</f>
        <v/>
      </c>
      <c r="I285" s="75" t="str">
        <f t="shared" si="8"/>
        <v/>
      </c>
      <c r="J285" s="1" t="str">
        <f>IFERROR(VLOOKUP(B285,ProductList!B:AO,21,FALSE),"")</f>
        <v/>
      </c>
      <c r="K285" s="1" t="str">
        <f>IF(G285="KGS",IF(D285&lt;&gt;"",IFERROR(ROUND(VLOOKUP(D285,ProductList!J:BG,47,FALSE),3),""),""),IF(D285&lt;&gt;"",IFERROR(ROUND(VLOOKUP(D285,ProductList!J:BG,46,FALSE),3),""),""))</f>
        <v/>
      </c>
      <c r="L285" s="1" t="str">
        <f t="shared" si="9"/>
        <v/>
      </c>
    </row>
    <row r="286" spans="1:12" x14ac:dyDescent="0.25">
      <c r="A286" s="304"/>
      <c r="B286" s="73"/>
      <c r="C286" s="73"/>
      <c r="D286" s="104"/>
      <c r="E286" s="122"/>
      <c r="F286" s="73" t="str">
        <f>IF(G286="KGS",IF(B286&lt;&gt;"",IFERROR(VLOOKUP(B286,ProductList!B:AO,21,FALSE),""),""),IF(D286&lt;&gt;"",IFERROR(VLOOKUP(B286,ProductList!B:AO,24,FALSE),""),""))</f>
        <v/>
      </c>
      <c r="G286" s="202"/>
      <c r="H286" s="75" t="str">
        <f>IF(G286="KGS",IF(B286&lt;&gt;"",IFERROR(ROUND(VLOOKUP(B286,ProductList!B:BG,58,FALSE),3),""),""),IF(B286&lt;&gt;"",IFERROR(ROUND(VLOOKUP(B286,ProductList!B:BG,57,FALSE),3),""),""))</f>
        <v/>
      </c>
      <c r="I286" s="75" t="str">
        <f t="shared" si="8"/>
        <v/>
      </c>
      <c r="J286" s="1" t="str">
        <f>IFERROR(VLOOKUP(B286,ProductList!B:AO,21,FALSE),"")</f>
        <v/>
      </c>
      <c r="K286" s="1" t="str">
        <f>IF(G286="KGS",IF(D286&lt;&gt;"",IFERROR(ROUND(VLOOKUP(D286,ProductList!J:BG,47,FALSE),3),""),""),IF(D286&lt;&gt;"",IFERROR(ROUND(VLOOKUP(D286,ProductList!J:BG,46,FALSE),3),""),""))</f>
        <v/>
      </c>
      <c r="L286" s="1" t="str">
        <f t="shared" si="9"/>
        <v/>
      </c>
    </row>
    <row r="287" spans="1:12" x14ac:dyDescent="0.25">
      <c r="A287" s="304"/>
      <c r="B287" s="73"/>
      <c r="C287" s="73"/>
      <c r="D287" s="104"/>
      <c r="E287" s="122"/>
      <c r="F287" s="73" t="str">
        <f>IF(G287="KGS",IF(B287&lt;&gt;"",IFERROR(VLOOKUP(B287,ProductList!B:AO,21,FALSE),""),""),IF(D287&lt;&gt;"",IFERROR(VLOOKUP(B287,ProductList!B:AO,24,FALSE),""),""))</f>
        <v/>
      </c>
      <c r="G287" s="202"/>
      <c r="H287" s="75" t="str">
        <f>IF(G287="KGS",IF(B287&lt;&gt;"",IFERROR(ROUND(VLOOKUP(B287,ProductList!B:BG,58,FALSE),3),""),""),IF(B287&lt;&gt;"",IFERROR(ROUND(VLOOKUP(B287,ProductList!B:BG,57,FALSE),3),""),""))</f>
        <v/>
      </c>
      <c r="I287" s="75" t="str">
        <f t="shared" si="8"/>
        <v/>
      </c>
      <c r="J287" s="1" t="str">
        <f>IFERROR(VLOOKUP(B287,ProductList!B:AO,21,FALSE),"")</f>
        <v/>
      </c>
      <c r="K287" s="1" t="str">
        <f>IF(G287="KGS",IF(D287&lt;&gt;"",IFERROR(ROUND(VLOOKUP(D287,ProductList!J:BG,47,FALSE),3),""),""),IF(D287&lt;&gt;"",IFERROR(ROUND(VLOOKUP(D287,ProductList!J:BG,46,FALSE),3),""),""))</f>
        <v/>
      </c>
      <c r="L287" s="1" t="str">
        <f t="shared" si="9"/>
        <v/>
      </c>
    </row>
    <row r="288" spans="1:12" x14ac:dyDescent="0.25">
      <c r="A288" s="304"/>
      <c r="B288" s="73"/>
      <c r="C288" s="73"/>
      <c r="D288" s="104"/>
      <c r="E288" s="122"/>
      <c r="F288" s="73" t="str">
        <f>IF(G288="KGS",IF(B288&lt;&gt;"",IFERROR(VLOOKUP(B288,ProductList!B:AO,21,FALSE),""),""),IF(D288&lt;&gt;"",IFERROR(VLOOKUP(B288,ProductList!B:AO,24,FALSE),""),""))</f>
        <v/>
      </c>
      <c r="G288" s="202"/>
      <c r="H288" s="75" t="str">
        <f>IF(G288="KGS",IF(B288&lt;&gt;"",IFERROR(ROUND(VLOOKUP(B288,ProductList!B:BG,58,FALSE),3),""),""),IF(B288&lt;&gt;"",IFERROR(ROUND(VLOOKUP(B288,ProductList!B:BG,57,FALSE),3),""),""))</f>
        <v/>
      </c>
      <c r="I288" s="75" t="str">
        <f t="shared" si="8"/>
        <v/>
      </c>
      <c r="J288" s="1" t="str">
        <f>IFERROR(VLOOKUP(B288,ProductList!B:AO,21,FALSE),"")</f>
        <v/>
      </c>
      <c r="K288" s="1" t="str">
        <f>IF(G288="KGS",IF(D288&lt;&gt;"",IFERROR(ROUND(VLOOKUP(D288,ProductList!J:BG,47,FALSE),3),""),""),IF(D288&lt;&gt;"",IFERROR(ROUND(VLOOKUP(D288,ProductList!J:BG,46,FALSE),3),""),""))</f>
        <v/>
      </c>
      <c r="L288" s="1" t="str">
        <f t="shared" si="9"/>
        <v/>
      </c>
    </row>
    <row r="289" spans="1:12" x14ac:dyDescent="0.25">
      <c r="A289" s="304"/>
      <c r="B289" s="73"/>
      <c r="C289" s="73"/>
      <c r="D289" s="104"/>
      <c r="E289" s="122"/>
      <c r="F289" s="73" t="str">
        <f>IF(G289="KGS",IF(B289&lt;&gt;"",IFERROR(VLOOKUP(B289,ProductList!B:AO,21,FALSE),""),""),IF(D289&lt;&gt;"",IFERROR(VLOOKUP(B289,ProductList!B:AO,24,FALSE),""),""))</f>
        <v/>
      </c>
      <c r="G289" s="202"/>
      <c r="H289" s="75" t="str">
        <f>IF(G289="KGS",IF(B289&lt;&gt;"",IFERROR(ROUND(VLOOKUP(B289,ProductList!B:BG,58,FALSE),3),""),""),IF(B289&lt;&gt;"",IFERROR(ROUND(VLOOKUP(B289,ProductList!B:BG,57,FALSE),3),""),""))</f>
        <v/>
      </c>
      <c r="I289" s="75" t="str">
        <f t="shared" si="8"/>
        <v/>
      </c>
      <c r="J289" s="1" t="str">
        <f>IFERROR(VLOOKUP(B289,ProductList!B:AO,21,FALSE),"")</f>
        <v/>
      </c>
      <c r="K289" s="1" t="str">
        <f>IF(G289="KGS",IF(D289&lt;&gt;"",IFERROR(ROUND(VLOOKUP(D289,ProductList!J:BG,47,FALSE),3),""),""),IF(D289&lt;&gt;"",IFERROR(ROUND(VLOOKUP(D289,ProductList!J:BG,46,FALSE),3),""),""))</f>
        <v/>
      </c>
      <c r="L289" s="1" t="str">
        <f t="shared" si="9"/>
        <v/>
      </c>
    </row>
    <row r="290" spans="1:12" x14ac:dyDescent="0.25">
      <c r="A290" s="304"/>
      <c r="B290" s="73"/>
      <c r="C290" s="73"/>
      <c r="D290" s="104"/>
      <c r="E290" s="122"/>
      <c r="F290" s="73" t="str">
        <f>IF(G290="KGS",IF(B290&lt;&gt;"",IFERROR(VLOOKUP(B290,ProductList!B:AO,21,FALSE),""),""),IF(D290&lt;&gt;"",IFERROR(VLOOKUP(B290,ProductList!B:AO,24,FALSE),""),""))</f>
        <v/>
      </c>
      <c r="G290" s="202"/>
      <c r="H290" s="75" t="str">
        <f>IF(G290="KGS",IF(B290&lt;&gt;"",IFERROR(ROUND(VLOOKUP(B290,ProductList!B:BG,58,FALSE),3),""),""),IF(B290&lt;&gt;"",IFERROR(ROUND(VLOOKUP(B290,ProductList!B:BG,57,FALSE),3),""),""))</f>
        <v/>
      </c>
      <c r="I290" s="75" t="str">
        <f t="shared" si="8"/>
        <v/>
      </c>
      <c r="J290" s="1" t="str">
        <f>IFERROR(VLOOKUP(B290,ProductList!B:AO,21,FALSE),"")</f>
        <v/>
      </c>
      <c r="K290" s="1" t="str">
        <f>IF(G290="KGS",IF(D290&lt;&gt;"",IFERROR(ROUND(VLOOKUP(D290,ProductList!J:BG,47,FALSE),3),""),""),IF(D290&lt;&gt;"",IFERROR(ROUND(VLOOKUP(D290,ProductList!J:BG,46,FALSE),3),""),""))</f>
        <v/>
      </c>
      <c r="L290" s="1" t="str">
        <f t="shared" si="9"/>
        <v/>
      </c>
    </row>
    <row r="291" spans="1:12" x14ac:dyDescent="0.25">
      <c r="A291" s="304"/>
      <c r="B291" s="73"/>
      <c r="C291" s="73"/>
      <c r="D291" s="104"/>
      <c r="E291" s="122"/>
      <c r="F291" s="73" t="str">
        <f>IF(G291="KGS",IF(B291&lt;&gt;"",IFERROR(VLOOKUP(B291,ProductList!B:AO,21,FALSE),""),""),IF(D291&lt;&gt;"",IFERROR(VLOOKUP(B291,ProductList!B:AO,24,FALSE),""),""))</f>
        <v/>
      </c>
      <c r="G291" s="202"/>
      <c r="H291" s="75" t="str">
        <f>IF(G291="KGS",IF(B291&lt;&gt;"",IFERROR(ROUND(VLOOKUP(B291,ProductList!B:BG,58,FALSE),3),""),""),IF(B291&lt;&gt;"",IFERROR(ROUND(VLOOKUP(B291,ProductList!B:BG,57,FALSE),3),""),""))</f>
        <v/>
      </c>
      <c r="I291" s="75" t="str">
        <f t="shared" si="8"/>
        <v/>
      </c>
      <c r="J291" s="1" t="str">
        <f>IFERROR(VLOOKUP(B291,ProductList!B:AO,21,FALSE),"")</f>
        <v/>
      </c>
      <c r="K291" s="1" t="str">
        <f>IF(G291="KGS",IF(D291&lt;&gt;"",IFERROR(ROUND(VLOOKUP(D291,ProductList!J:BG,47,FALSE),3),""),""),IF(D291&lt;&gt;"",IFERROR(ROUND(VLOOKUP(D291,ProductList!J:BG,46,FALSE),3),""),""))</f>
        <v/>
      </c>
      <c r="L291" s="1" t="str">
        <f t="shared" si="9"/>
        <v/>
      </c>
    </row>
    <row r="292" spans="1:12" x14ac:dyDescent="0.25">
      <c r="A292" s="304"/>
      <c r="B292" s="73"/>
      <c r="C292" s="73"/>
      <c r="D292" s="104"/>
      <c r="E292" s="122"/>
      <c r="F292" s="73" t="str">
        <f>IF(G292="KGS",IF(B292&lt;&gt;"",IFERROR(VLOOKUP(B292,ProductList!B:AO,21,FALSE),""),""),IF(D292&lt;&gt;"",IFERROR(VLOOKUP(B292,ProductList!B:AO,24,FALSE),""),""))</f>
        <v/>
      </c>
      <c r="G292" s="202"/>
      <c r="H292" s="75" t="str">
        <f>IF(G292="KGS",IF(B292&lt;&gt;"",IFERROR(ROUND(VLOOKUP(B292,ProductList!B:BG,58,FALSE),3),""),""),IF(B292&lt;&gt;"",IFERROR(ROUND(VLOOKUP(B292,ProductList!B:BG,57,FALSE),3),""),""))</f>
        <v/>
      </c>
      <c r="I292" s="75" t="str">
        <f t="shared" si="8"/>
        <v/>
      </c>
      <c r="J292" s="1" t="str">
        <f>IFERROR(VLOOKUP(B292,ProductList!B:AO,21,FALSE),"")</f>
        <v/>
      </c>
      <c r="K292" s="1" t="str">
        <f>IF(G292="KGS",IF(D292&lt;&gt;"",IFERROR(ROUND(VLOOKUP(D292,ProductList!J:BG,47,FALSE),3),""),""),IF(D292&lt;&gt;"",IFERROR(ROUND(VLOOKUP(D292,ProductList!J:BG,46,FALSE),3),""),""))</f>
        <v/>
      </c>
      <c r="L292" s="1" t="str">
        <f t="shared" si="9"/>
        <v/>
      </c>
    </row>
    <row r="293" spans="1:12" x14ac:dyDescent="0.25">
      <c r="A293" s="304"/>
      <c r="B293" s="73"/>
      <c r="C293" s="73"/>
      <c r="D293" s="104"/>
      <c r="E293" s="122"/>
      <c r="F293" s="73" t="str">
        <f>IF(G293="KGS",IF(B293&lt;&gt;"",IFERROR(VLOOKUP(B293,ProductList!B:AO,21,FALSE),""),""),IF(D293&lt;&gt;"",IFERROR(VLOOKUP(B293,ProductList!B:AO,24,FALSE),""),""))</f>
        <v/>
      </c>
      <c r="G293" s="202"/>
      <c r="H293" s="75" t="str">
        <f>IF(G293="KGS",IF(B293&lt;&gt;"",IFERROR(ROUND(VLOOKUP(B293,ProductList!B:BG,58,FALSE),3),""),""),IF(B293&lt;&gt;"",IFERROR(ROUND(VLOOKUP(B293,ProductList!B:BG,57,FALSE),3),""),""))</f>
        <v/>
      </c>
      <c r="I293" s="75" t="str">
        <f t="shared" si="8"/>
        <v/>
      </c>
      <c r="J293" s="1" t="str">
        <f>IFERROR(VLOOKUP(B293,ProductList!B:AO,21,FALSE),"")</f>
        <v/>
      </c>
      <c r="K293" s="1" t="str">
        <f>IF(G293="KGS",IF(D293&lt;&gt;"",IFERROR(ROUND(VLOOKUP(D293,ProductList!J:BG,47,FALSE),3),""),""),IF(D293&lt;&gt;"",IFERROR(ROUND(VLOOKUP(D293,ProductList!J:BG,46,FALSE),3),""),""))</f>
        <v/>
      </c>
      <c r="L293" s="1" t="str">
        <f t="shared" si="9"/>
        <v/>
      </c>
    </row>
    <row r="294" spans="1:12" x14ac:dyDescent="0.25">
      <c r="A294" s="304"/>
      <c r="B294" s="73"/>
      <c r="C294" s="73"/>
      <c r="D294" s="104"/>
      <c r="E294" s="122"/>
      <c r="F294" s="73" t="str">
        <f>IF(G294="KGS",IF(B294&lt;&gt;"",IFERROR(VLOOKUP(B294,ProductList!B:AO,21,FALSE),""),""),IF(D294&lt;&gt;"",IFERROR(VLOOKUP(B294,ProductList!B:AO,24,FALSE),""),""))</f>
        <v/>
      </c>
      <c r="G294" s="202"/>
      <c r="H294" s="75" t="str">
        <f>IF(G294="KGS",IF(B294&lt;&gt;"",IFERROR(ROUND(VLOOKUP(B294,ProductList!B:BG,58,FALSE),3),""),""),IF(B294&lt;&gt;"",IFERROR(ROUND(VLOOKUP(B294,ProductList!B:BG,57,FALSE),3),""),""))</f>
        <v/>
      </c>
      <c r="I294" s="75" t="str">
        <f t="shared" si="8"/>
        <v/>
      </c>
      <c r="J294" s="1" t="str">
        <f>IFERROR(VLOOKUP(B294,ProductList!B:AO,21,FALSE),"")</f>
        <v/>
      </c>
      <c r="K294" s="1" t="str">
        <f>IF(G294="KGS",IF(D294&lt;&gt;"",IFERROR(ROUND(VLOOKUP(D294,ProductList!J:BG,47,FALSE),3),""),""),IF(D294&lt;&gt;"",IFERROR(ROUND(VLOOKUP(D294,ProductList!J:BG,46,FALSE),3),""),""))</f>
        <v/>
      </c>
      <c r="L294" s="1" t="str">
        <f t="shared" si="9"/>
        <v/>
      </c>
    </row>
    <row r="295" spans="1:12" x14ac:dyDescent="0.25">
      <c r="A295" s="304"/>
      <c r="B295" s="73"/>
      <c r="C295" s="73"/>
      <c r="D295" s="104"/>
      <c r="E295" s="122"/>
      <c r="F295" s="73" t="str">
        <f>IF(G295="KGS",IF(B295&lt;&gt;"",IFERROR(VLOOKUP(B295,ProductList!B:AO,21,FALSE),""),""),IF(D295&lt;&gt;"",IFERROR(VLOOKUP(B295,ProductList!B:AO,24,FALSE),""),""))</f>
        <v/>
      </c>
      <c r="G295" s="202"/>
      <c r="H295" s="75" t="str">
        <f>IF(G295="KGS",IF(B295&lt;&gt;"",IFERROR(ROUND(VLOOKUP(B295,ProductList!B:BG,58,FALSE),3),""),""),IF(B295&lt;&gt;"",IFERROR(ROUND(VLOOKUP(B295,ProductList!B:BG,57,FALSE),3),""),""))</f>
        <v/>
      </c>
      <c r="I295" s="75" t="str">
        <f t="shared" si="8"/>
        <v/>
      </c>
      <c r="J295" s="1" t="str">
        <f>IFERROR(VLOOKUP(B295,ProductList!B:AO,21,FALSE),"")</f>
        <v/>
      </c>
      <c r="K295" s="1" t="str">
        <f>IF(G295="KGS",IF(D295&lt;&gt;"",IFERROR(ROUND(VLOOKUP(D295,ProductList!J:BG,47,FALSE),3),""),""),IF(D295&lt;&gt;"",IFERROR(ROUND(VLOOKUP(D295,ProductList!J:BG,46,FALSE),3),""),""))</f>
        <v/>
      </c>
      <c r="L295" s="1" t="str">
        <f t="shared" si="9"/>
        <v/>
      </c>
    </row>
    <row r="296" spans="1:12" x14ac:dyDescent="0.25">
      <c r="A296" s="304"/>
      <c r="B296" s="73"/>
      <c r="C296" s="73"/>
      <c r="D296" s="104"/>
      <c r="E296" s="122"/>
      <c r="F296" s="73" t="str">
        <f>IF(G296="KGS",IF(B296&lt;&gt;"",IFERROR(VLOOKUP(B296,ProductList!B:AO,21,FALSE),""),""),IF(D296&lt;&gt;"",IFERROR(VLOOKUP(B296,ProductList!B:AO,24,FALSE),""),""))</f>
        <v/>
      </c>
      <c r="G296" s="202"/>
      <c r="H296" s="75" t="str">
        <f>IF(G296="KGS",IF(B296&lt;&gt;"",IFERROR(ROUND(VLOOKUP(B296,ProductList!B:BG,58,FALSE),3),""),""),IF(B296&lt;&gt;"",IFERROR(ROUND(VLOOKUP(B296,ProductList!B:BG,57,FALSE),3),""),""))</f>
        <v/>
      </c>
      <c r="I296" s="75" t="str">
        <f t="shared" si="8"/>
        <v/>
      </c>
      <c r="J296" s="1" t="str">
        <f>IFERROR(VLOOKUP(B296,ProductList!B:AO,21,FALSE),"")</f>
        <v/>
      </c>
      <c r="K296" s="1" t="str">
        <f>IF(G296="KGS",IF(D296&lt;&gt;"",IFERROR(ROUND(VLOOKUP(D296,ProductList!J:BG,47,FALSE),3),""),""),IF(D296&lt;&gt;"",IFERROR(ROUND(VLOOKUP(D296,ProductList!J:BG,46,FALSE),3),""),""))</f>
        <v/>
      </c>
      <c r="L296" s="1" t="str">
        <f t="shared" si="9"/>
        <v/>
      </c>
    </row>
    <row r="297" spans="1:12" x14ac:dyDescent="0.25">
      <c r="A297" s="304"/>
      <c r="B297" s="73"/>
      <c r="C297" s="73"/>
      <c r="D297" s="104"/>
      <c r="E297" s="122"/>
      <c r="F297" s="73" t="str">
        <f>IF(G297="KGS",IF(B297&lt;&gt;"",IFERROR(VLOOKUP(B297,ProductList!B:AO,21,FALSE),""),""),IF(D297&lt;&gt;"",IFERROR(VLOOKUP(B297,ProductList!B:AO,24,FALSE),""),""))</f>
        <v/>
      </c>
      <c r="G297" s="202"/>
      <c r="H297" s="75" t="str">
        <f>IF(G297="KGS",IF(B297&lt;&gt;"",IFERROR(ROUND(VLOOKUP(B297,ProductList!B:BG,58,FALSE),3),""),""),IF(B297&lt;&gt;"",IFERROR(ROUND(VLOOKUP(B297,ProductList!B:BG,57,FALSE),3),""),""))</f>
        <v/>
      </c>
      <c r="I297" s="75" t="str">
        <f t="shared" si="8"/>
        <v/>
      </c>
      <c r="J297" s="1" t="str">
        <f>IFERROR(VLOOKUP(B297,ProductList!B:AO,21,FALSE),"")</f>
        <v/>
      </c>
      <c r="K297" s="1" t="str">
        <f>IF(G297="KGS",IF(D297&lt;&gt;"",IFERROR(ROUND(VLOOKUP(D297,ProductList!J:BG,47,FALSE),3),""),""),IF(D297&lt;&gt;"",IFERROR(ROUND(VLOOKUP(D297,ProductList!J:BG,46,FALSE),3),""),""))</f>
        <v/>
      </c>
      <c r="L297" s="1" t="str">
        <f t="shared" si="9"/>
        <v/>
      </c>
    </row>
    <row r="298" spans="1:12" x14ac:dyDescent="0.25">
      <c r="A298" s="304"/>
      <c r="B298" s="73"/>
      <c r="C298" s="73"/>
      <c r="D298" s="104"/>
      <c r="E298" s="122"/>
      <c r="F298" s="73" t="str">
        <f>IF(G298="KGS",IF(B298&lt;&gt;"",IFERROR(VLOOKUP(B298,ProductList!B:AO,21,FALSE),""),""),IF(D298&lt;&gt;"",IFERROR(VLOOKUP(B298,ProductList!B:AO,24,FALSE),""),""))</f>
        <v/>
      </c>
      <c r="G298" s="202"/>
      <c r="H298" s="75" t="str">
        <f>IF(G298="KGS",IF(B298&lt;&gt;"",IFERROR(ROUND(VLOOKUP(B298,ProductList!B:BG,58,FALSE),3),""),""),IF(B298&lt;&gt;"",IFERROR(ROUND(VLOOKUP(B298,ProductList!B:BG,57,FALSE),3),""),""))</f>
        <v/>
      </c>
      <c r="I298" s="75" t="str">
        <f t="shared" si="8"/>
        <v/>
      </c>
      <c r="J298" s="1" t="str">
        <f>IFERROR(VLOOKUP(B298,ProductList!B:AO,21,FALSE),"")</f>
        <v/>
      </c>
      <c r="K298" s="1" t="str">
        <f>IF(G298="KGS",IF(D298&lt;&gt;"",IFERROR(ROUND(VLOOKUP(D298,ProductList!J:BG,47,FALSE),3),""),""),IF(D298&lt;&gt;"",IFERROR(ROUND(VLOOKUP(D298,ProductList!J:BG,46,FALSE),3),""),""))</f>
        <v/>
      </c>
      <c r="L298" s="1" t="str">
        <f t="shared" si="9"/>
        <v/>
      </c>
    </row>
    <row r="299" spans="1:12" x14ac:dyDescent="0.25">
      <c r="A299" s="304"/>
      <c r="B299" s="73"/>
      <c r="C299" s="73"/>
      <c r="D299" s="104"/>
      <c r="E299" s="122"/>
      <c r="F299" s="73" t="str">
        <f>IF(G299="KGS",IF(B299&lt;&gt;"",IFERROR(VLOOKUP(B299,ProductList!B:AO,21,FALSE),""),""),IF(D299&lt;&gt;"",IFERROR(VLOOKUP(B299,ProductList!B:AO,24,FALSE),""),""))</f>
        <v/>
      </c>
      <c r="G299" s="202"/>
      <c r="H299" s="75" t="str">
        <f>IF(G299="KGS",IF(B299&lt;&gt;"",IFERROR(ROUND(VLOOKUP(B299,ProductList!B:BG,58,FALSE),3),""),""),IF(B299&lt;&gt;"",IFERROR(ROUND(VLOOKUP(B299,ProductList!B:BG,57,FALSE),3),""),""))</f>
        <v/>
      </c>
      <c r="I299" s="75" t="str">
        <f t="shared" si="8"/>
        <v/>
      </c>
      <c r="J299" s="1" t="str">
        <f>IFERROR(VLOOKUP(B299,ProductList!B:AO,21,FALSE),"")</f>
        <v/>
      </c>
      <c r="K299" s="1" t="str">
        <f>IF(G299="KGS",IF(D299&lt;&gt;"",IFERROR(ROUND(VLOOKUP(D299,ProductList!J:BG,47,FALSE),3),""),""),IF(D299&lt;&gt;"",IFERROR(ROUND(VLOOKUP(D299,ProductList!J:BG,46,FALSE),3),""),""))</f>
        <v/>
      </c>
      <c r="L299" s="1" t="str">
        <f t="shared" si="9"/>
        <v/>
      </c>
    </row>
    <row r="300" spans="1:12" x14ac:dyDescent="0.25">
      <c r="A300" s="304"/>
      <c r="B300" s="73"/>
      <c r="C300" s="73"/>
      <c r="D300" s="104"/>
      <c r="E300" s="122"/>
      <c r="F300" s="73" t="str">
        <f>IF(G300="KGS",IF(B300&lt;&gt;"",IFERROR(VLOOKUP(B300,ProductList!B:AO,21,FALSE),""),""),IF(D300&lt;&gt;"",IFERROR(VLOOKUP(B300,ProductList!B:AO,24,FALSE),""),""))</f>
        <v/>
      </c>
      <c r="G300" s="202"/>
      <c r="H300" s="75" t="str">
        <f>IF(G300="KGS",IF(B300&lt;&gt;"",IFERROR(ROUND(VLOOKUP(B300,ProductList!B:BG,58,FALSE),3),""),""),IF(B300&lt;&gt;"",IFERROR(ROUND(VLOOKUP(B300,ProductList!B:BG,57,FALSE),3),""),""))</f>
        <v/>
      </c>
      <c r="I300" s="75" t="str">
        <f t="shared" si="8"/>
        <v/>
      </c>
      <c r="J300" s="1" t="str">
        <f>IFERROR(VLOOKUP(B300,ProductList!B:AO,21,FALSE),"")</f>
        <v/>
      </c>
      <c r="K300" s="1" t="str">
        <f>IF(G300="KGS",IF(D300&lt;&gt;"",IFERROR(ROUND(VLOOKUP(D300,ProductList!J:BG,47,FALSE),3),""),""),IF(D300&lt;&gt;"",IFERROR(ROUND(VLOOKUP(D300,ProductList!J:BG,46,FALSE),3),""),""))</f>
        <v/>
      </c>
      <c r="L300" s="1" t="str">
        <f t="shared" si="9"/>
        <v/>
      </c>
    </row>
    <row r="301" spans="1:12" x14ac:dyDescent="0.25">
      <c r="A301" s="304"/>
      <c r="B301" s="73"/>
      <c r="C301" s="73"/>
      <c r="D301" s="104"/>
      <c r="E301" s="122"/>
      <c r="F301" s="73" t="str">
        <f>IF(G301="KGS",IF(B301&lt;&gt;"",IFERROR(VLOOKUP(B301,ProductList!B:AO,21,FALSE),""),""),IF(D301&lt;&gt;"",IFERROR(VLOOKUP(B301,ProductList!B:AO,24,FALSE),""),""))</f>
        <v/>
      </c>
      <c r="G301" s="202"/>
      <c r="H301" s="75" t="str">
        <f>IF(G301="KGS",IF(B301&lt;&gt;"",IFERROR(ROUND(VLOOKUP(B301,ProductList!B:BG,58,FALSE),3),""),""),IF(B301&lt;&gt;"",IFERROR(ROUND(VLOOKUP(B301,ProductList!B:BG,57,FALSE),3),""),""))</f>
        <v/>
      </c>
      <c r="I301" s="75" t="str">
        <f t="shared" si="8"/>
        <v/>
      </c>
      <c r="J301" s="1" t="str">
        <f>IFERROR(VLOOKUP(B301,ProductList!B:AO,21,FALSE),"")</f>
        <v/>
      </c>
      <c r="K301" s="1" t="str">
        <f>IF(G301="KGS",IF(D301&lt;&gt;"",IFERROR(ROUND(VLOOKUP(D301,ProductList!J:BG,47,FALSE),3),""),""),IF(D301&lt;&gt;"",IFERROR(ROUND(VLOOKUP(D301,ProductList!J:BG,46,FALSE),3),""),""))</f>
        <v/>
      </c>
      <c r="L301" s="1" t="str">
        <f t="shared" si="9"/>
        <v/>
      </c>
    </row>
    <row r="302" spans="1:12" x14ac:dyDescent="0.25">
      <c r="A302" s="304"/>
      <c r="B302" s="73"/>
      <c r="C302" s="73"/>
      <c r="D302" s="104"/>
      <c r="E302" s="122"/>
      <c r="F302" s="73" t="str">
        <f>IF(G302="KGS",IF(B302&lt;&gt;"",IFERROR(VLOOKUP(B302,ProductList!B:AO,21,FALSE),""),""),IF(D302&lt;&gt;"",IFERROR(VLOOKUP(B302,ProductList!B:AO,24,FALSE),""),""))</f>
        <v/>
      </c>
      <c r="G302" s="202"/>
      <c r="H302" s="75" t="str">
        <f>IF(G302="KGS",IF(B302&lt;&gt;"",IFERROR(ROUND(VLOOKUP(B302,ProductList!B:BG,58,FALSE),3),""),""),IF(B302&lt;&gt;"",IFERROR(ROUND(VLOOKUP(B302,ProductList!B:BG,57,FALSE),3),""),""))</f>
        <v/>
      </c>
      <c r="I302" s="75" t="str">
        <f t="shared" si="8"/>
        <v/>
      </c>
      <c r="J302" s="1" t="str">
        <f>IFERROR(VLOOKUP(B302,ProductList!B:AO,21,FALSE),"")</f>
        <v/>
      </c>
      <c r="K302" s="1" t="str">
        <f>IF(G302="KGS",IF(D302&lt;&gt;"",IFERROR(ROUND(VLOOKUP(D302,ProductList!J:BG,47,FALSE),3),""),""),IF(D302&lt;&gt;"",IFERROR(ROUND(VLOOKUP(D302,ProductList!J:BG,46,FALSE),3),""),""))</f>
        <v/>
      </c>
      <c r="L302" s="1" t="str">
        <f t="shared" si="9"/>
        <v/>
      </c>
    </row>
    <row r="303" spans="1:12" x14ac:dyDescent="0.25">
      <c r="A303" s="304"/>
      <c r="B303" s="73"/>
      <c r="C303" s="73"/>
      <c r="D303" s="104"/>
      <c r="E303" s="122"/>
      <c r="F303" s="73" t="str">
        <f>IF(G303="KGS",IF(B303&lt;&gt;"",IFERROR(VLOOKUP(B303,ProductList!B:AO,21,FALSE),""),""),IF(D303&lt;&gt;"",IFERROR(VLOOKUP(B303,ProductList!B:AO,24,FALSE),""),""))</f>
        <v/>
      </c>
      <c r="G303" s="202"/>
      <c r="H303" s="75" t="str">
        <f>IF(G303="KGS",IF(B303&lt;&gt;"",IFERROR(ROUND(VLOOKUP(B303,ProductList!B:BG,58,FALSE),3),""),""),IF(B303&lt;&gt;"",IFERROR(ROUND(VLOOKUP(B303,ProductList!B:BG,57,FALSE),3),""),""))</f>
        <v/>
      </c>
      <c r="I303" s="75" t="str">
        <f t="shared" si="8"/>
        <v/>
      </c>
      <c r="J303" s="1" t="str">
        <f>IFERROR(VLOOKUP(B303,ProductList!B:AO,21,FALSE),"")</f>
        <v/>
      </c>
      <c r="K303" s="1" t="str">
        <f>IF(G303="KGS",IF(D303&lt;&gt;"",IFERROR(ROUND(VLOOKUP(D303,ProductList!J:BG,47,FALSE),3),""),""),IF(D303&lt;&gt;"",IFERROR(ROUND(VLOOKUP(D303,ProductList!J:BG,46,FALSE),3),""),""))</f>
        <v/>
      </c>
      <c r="L303" s="1" t="str">
        <f t="shared" si="9"/>
        <v/>
      </c>
    </row>
    <row r="304" spans="1:12" x14ac:dyDescent="0.25">
      <c r="A304" s="304"/>
      <c r="B304" s="73"/>
      <c r="C304" s="73"/>
      <c r="D304" s="104"/>
      <c r="E304" s="122"/>
      <c r="F304" s="73" t="str">
        <f>IF(G304="KGS",IF(B304&lt;&gt;"",IFERROR(VLOOKUP(B304,ProductList!B:AO,21,FALSE),""),""),IF(D304&lt;&gt;"",IFERROR(VLOOKUP(B304,ProductList!B:AO,24,FALSE),""),""))</f>
        <v/>
      </c>
      <c r="G304" s="202"/>
      <c r="H304" s="75" t="str">
        <f>IF(G304="KGS",IF(B304&lt;&gt;"",IFERROR(ROUND(VLOOKUP(B304,ProductList!B:BG,58,FALSE),3),""),""),IF(B304&lt;&gt;"",IFERROR(ROUND(VLOOKUP(B304,ProductList!B:BG,57,FALSE),3),""),""))</f>
        <v/>
      </c>
      <c r="I304" s="75" t="str">
        <f t="shared" si="8"/>
        <v/>
      </c>
      <c r="J304" s="1" t="str">
        <f>IFERROR(VLOOKUP(B304,ProductList!B:AO,21,FALSE),"")</f>
        <v/>
      </c>
      <c r="K304" s="1" t="str">
        <f>IF(G304="KGS",IF(D304&lt;&gt;"",IFERROR(ROUND(VLOOKUP(D304,ProductList!J:BG,47,FALSE),3),""),""),IF(D304&lt;&gt;"",IFERROR(ROUND(VLOOKUP(D304,ProductList!J:BG,46,FALSE),3),""),""))</f>
        <v/>
      </c>
      <c r="L304" s="1" t="str">
        <f t="shared" si="9"/>
        <v/>
      </c>
    </row>
    <row r="305" spans="1:12" x14ac:dyDescent="0.25">
      <c r="A305" s="304"/>
      <c r="B305" s="73"/>
      <c r="C305" s="73"/>
      <c r="D305" s="104"/>
      <c r="E305" s="122"/>
      <c r="F305" s="73" t="str">
        <f>IF(G305="KGS",IF(B305&lt;&gt;"",IFERROR(VLOOKUP(B305,ProductList!B:AO,21,FALSE),""),""),IF(D305&lt;&gt;"",IFERROR(VLOOKUP(B305,ProductList!B:AO,24,FALSE),""),""))</f>
        <v/>
      </c>
      <c r="G305" s="202"/>
      <c r="H305" s="75" t="str">
        <f>IF(G305="KGS",IF(B305&lt;&gt;"",IFERROR(ROUND(VLOOKUP(B305,ProductList!B:BG,58,FALSE),3),""),""),IF(B305&lt;&gt;"",IFERROR(ROUND(VLOOKUP(B305,ProductList!B:BG,57,FALSE),3),""),""))</f>
        <v/>
      </c>
      <c r="I305" s="75" t="str">
        <f t="shared" si="8"/>
        <v/>
      </c>
      <c r="J305" s="1" t="str">
        <f>IFERROR(VLOOKUP(B305,ProductList!B:AO,21,FALSE),"")</f>
        <v/>
      </c>
      <c r="K305" s="1" t="str">
        <f>IF(G305="KGS",IF(D305&lt;&gt;"",IFERROR(ROUND(VLOOKUP(D305,ProductList!J:BG,47,FALSE),3),""),""),IF(D305&lt;&gt;"",IFERROR(ROUND(VLOOKUP(D305,ProductList!J:BG,46,FALSE),3),""),""))</f>
        <v/>
      </c>
      <c r="L305" s="1" t="str">
        <f t="shared" si="9"/>
        <v/>
      </c>
    </row>
    <row r="306" spans="1:12" x14ac:dyDescent="0.25">
      <c r="A306" s="304"/>
      <c r="B306" s="73"/>
      <c r="C306" s="73"/>
      <c r="D306" s="104"/>
      <c r="E306" s="122"/>
      <c r="F306" s="73" t="str">
        <f>IF(G306="KGS",IF(B306&lt;&gt;"",IFERROR(VLOOKUP(B306,ProductList!B:AO,21,FALSE),""),""),IF(D306&lt;&gt;"",IFERROR(VLOOKUP(B306,ProductList!B:AO,24,FALSE),""),""))</f>
        <v/>
      </c>
      <c r="G306" s="202"/>
      <c r="H306" s="75" t="str">
        <f>IF(G306="KGS",IF(B306&lt;&gt;"",IFERROR(ROUND(VLOOKUP(B306,ProductList!B:BG,58,FALSE),3),""),""),IF(B306&lt;&gt;"",IFERROR(ROUND(VLOOKUP(B306,ProductList!B:BG,57,FALSE),3),""),""))</f>
        <v/>
      </c>
      <c r="I306" s="75" t="str">
        <f t="shared" si="8"/>
        <v/>
      </c>
      <c r="J306" s="1" t="str">
        <f>IFERROR(VLOOKUP(B306,ProductList!B:AO,21,FALSE),"")</f>
        <v/>
      </c>
      <c r="K306" s="1" t="str">
        <f>IF(G306="KGS",IF(D306&lt;&gt;"",IFERROR(ROUND(VLOOKUP(D306,ProductList!J:BG,47,FALSE),3),""),""),IF(D306&lt;&gt;"",IFERROR(ROUND(VLOOKUP(D306,ProductList!J:BG,46,FALSE),3),""),""))</f>
        <v/>
      </c>
      <c r="L306" s="1" t="str">
        <f t="shared" si="9"/>
        <v/>
      </c>
    </row>
    <row r="307" spans="1:12" x14ac:dyDescent="0.25">
      <c r="A307" s="304"/>
      <c r="B307" s="73"/>
      <c r="C307" s="73"/>
      <c r="D307" s="104"/>
      <c r="E307" s="122"/>
      <c r="F307" s="73" t="str">
        <f>IF(G307="KGS",IF(B307&lt;&gt;"",IFERROR(VLOOKUP(B307,ProductList!B:AO,21,FALSE),""),""),IF(D307&lt;&gt;"",IFERROR(VLOOKUP(B307,ProductList!B:AO,24,FALSE),""),""))</f>
        <v/>
      </c>
      <c r="G307" s="202"/>
      <c r="H307" s="75" t="str">
        <f>IF(G307="KGS",IF(B307&lt;&gt;"",IFERROR(ROUND(VLOOKUP(B307,ProductList!B:BG,58,FALSE),3),""),""),IF(B307&lt;&gt;"",IFERROR(ROUND(VLOOKUP(B307,ProductList!B:BG,57,FALSE),3),""),""))</f>
        <v/>
      </c>
      <c r="I307" s="75" t="str">
        <f t="shared" si="8"/>
        <v/>
      </c>
      <c r="J307" s="1" t="str">
        <f>IFERROR(VLOOKUP(B307,ProductList!B:AO,21,FALSE),"")</f>
        <v/>
      </c>
      <c r="K307" s="1" t="str">
        <f>IF(G307="KGS",IF(D307&lt;&gt;"",IFERROR(ROUND(VLOOKUP(D307,ProductList!J:BG,47,FALSE),3),""),""),IF(D307&lt;&gt;"",IFERROR(ROUND(VLOOKUP(D307,ProductList!J:BG,46,FALSE),3),""),""))</f>
        <v/>
      </c>
      <c r="L307" s="1" t="str">
        <f t="shared" si="9"/>
        <v/>
      </c>
    </row>
    <row r="308" spans="1:12" x14ac:dyDescent="0.25">
      <c r="A308" s="304"/>
      <c r="B308" s="73"/>
      <c r="C308" s="73"/>
      <c r="D308" s="104"/>
      <c r="E308" s="122"/>
      <c r="F308" s="73" t="str">
        <f>IF(G308="KGS",IF(B308&lt;&gt;"",IFERROR(VLOOKUP(B308,ProductList!B:AO,21,FALSE),""),""),IF(D308&lt;&gt;"",IFERROR(VLOOKUP(B308,ProductList!B:AO,24,FALSE),""),""))</f>
        <v/>
      </c>
      <c r="G308" s="202"/>
      <c r="H308" s="75" t="str">
        <f>IF(G308="KGS",IF(B308&lt;&gt;"",IFERROR(ROUND(VLOOKUP(B308,ProductList!B:BG,58,FALSE),3),""),""),IF(B308&lt;&gt;"",IFERROR(ROUND(VLOOKUP(B308,ProductList!B:BG,57,FALSE),3),""),""))</f>
        <v/>
      </c>
      <c r="I308" s="75" t="str">
        <f t="shared" si="8"/>
        <v/>
      </c>
      <c r="J308" s="1" t="str">
        <f>IFERROR(VLOOKUP(B308,ProductList!B:AO,21,FALSE),"")</f>
        <v/>
      </c>
      <c r="K308" s="1" t="str">
        <f>IF(G308="KGS",IF(D308&lt;&gt;"",IFERROR(ROUND(VLOOKUP(D308,ProductList!J:BG,47,FALSE),3),""),""),IF(D308&lt;&gt;"",IFERROR(ROUND(VLOOKUP(D308,ProductList!J:BG,46,FALSE),3),""),""))</f>
        <v/>
      </c>
      <c r="L308" s="1" t="str">
        <f t="shared" si="9"/>
        <v/>
      </c>
    </row>
    <row r="309" spans="1:12" x14ac:dyDescent="0.25">
      <c r="A309" s="304"/>
      <c r="B309" s="73"/>
      <c r="C309" s="73"/>
      <c r="D309" s="104"/>
      <c r="E309" s="122"/>
      <c r="F309" s="73" t="str">
        <f>IF(G309="KGS",IF(B309&lt;&gt;"",IFERROR(VLOOKUP(B309,ProductList!B:AO,21,FALSE),""),""),IF(D309&lt;&gt;"",IFERROR(VLOOKUP(B309,ProductList!B:AO,24,FALSE),""),""))</f>
        <v/>
      </c>
      <c r="G309" s="202"/>
      <c r="H309" s="75" t="str">
        <f>IF(G309="KGS",IF(B309&lt;&gt;"",IFERROR(ROUND(VLOOKUP(B309,ProductList!B:BG,58,FALSE),3),""),""),IF(B309&lt;&gt;"",IFERROR(ROUND(VLOOKUP(B309,ProductList!B:BG,57,FALSE),3),""),""))</f>
        <v/>
      </c>
      <c r="I309" s="75" t="str">
        <f t="shared" si="8"/>
        <v/>
      </c>
      <c r="J309" s="1" t="str">
        <f>IFERROR(VLOOKUP(B309,ProductList!B:AO,21,FALSE),"")</f>
        <v/>
      </c>
      <c r="K309" s="1" t="str">
        <f>IF(G309="KGS",IF(D309&lt;&gt;"",IFERROR(ROUND(VLOOKUP(D309,ProductList!J:BG,47,FALSE),3),""),""),IF(D309&lt;&gt;"",IFERROR(ROUND(VLOOKUP(D309,ProductList!J:BG,46,FALSE),3),""),""))</f>
        <v/>
      </c>
      <c r="L309" s="1" t="str">
        <f t="shared" si="9"/>
        <v/>
      </c>
    </row>
    <row r="310" spans="1:12" x14ac:dyDescent="0.25">
      <c r="A310" s="304"/>
      <c r="B310" s="73"/>
      <c r="C310" s="73"/>
      <c r="D310" s="104"/>
      <c r="E310" s="122"/>
      <c r="F310" s="73" t="str">
        <f>IF(G310="KGS",IF(B310&lt;&gt;"",IFERROR(VLOOKUP(B310,ProductList!B:AO,21,FALSE),""),""),IF(D310&lt;&gt;"",IFERROR(VLOOKUP(B310,ProductList!B:AO,24,FALSE),""),""))</f>
        <v/>
      </c>
      <c r="G310" s="202"/>
      <c r="H310" s="75" t="str">
        <f>IF(G310="KGS",IF(B310&lt;&gt;"",IFERROR(ROUND(VLOOKUP(B310,ProductList!B:BG,58,FALSE),3),""),""),IF(B310&lt;&gt;"",IFERROR(ROUND(VLOOKUP(B310,ProductList!B:BG,57,FALSE),3),""),""))</f>
        <v/>
      </c>
      <c r="I310" s="75" t="str">
        <f t="shared" si="8"/>
        <v/>
      </c>
      <c r="J310" s="1" t="str">
        <f>IFERROR(VLOOKUP(B310,ProductList!B:AO,21,FALSE),"")</f>
        <v/>
      </c>
      <c r="K310" s="1" t="str">
        <f>IF(G310="KGS",IF(D310&lt;&gt;"",IFERROR(ROUND(VLOOKUP(D310,ProductList!J:BG,47,FALSE),3),""),""),IF(D310&lt;&gt;"",IFERROR(ROUND(VLOOKUP(D310,ProductList!J:BG,46,FALSE),3),""),""))</f>
        <v/>
      </c>
      <c r="L310" s="1" t="str">
        <f t="shared" si="9"/>
        <v/>
      </c>
    </row>
    <row r="311" spans="1:12" x14ac:dyDescent="0.25">
      <c r="A311" s="304"/>
      <c r="B311" s="73"/>
      <c r="C311" s="73"/>
      <c r="D311" s="104"/>
      <c r="E311" s="122"/>
      <c r="F311" s="73" t="str">
        <f>IF(G311="KGS",IF(B311&lt;&gt;"",IFERROR(VLOOKUP(B311,ProductList!B:AO,21,FALSE),""),""),IF(D311&lt;&gt;"",IFERROR(VLOOKUP(B311,ProductList!B:AO,24,FALSE),""),""))</f>
        <v/>
      </c>
      <c r="G311" s="202"/>
      <c r="H311" s="75" t="str">
        <f>IF(G311="KGS",IF(B311&lt;&gt;"",IFERROR(ROUND(VLOOKUP(B311,ProductList!B:BG,58,FALSE),3),""),""),IF(B311&lt;&gt;"",IFERROR(ROUND(VLOOKUP(B311,ProductList!B:BG,57,FALSE),3),""),""))</f>
        <v/>
      </c>
      <c r="I311" s="75" t="str">
        <f t="shared" si="8"/>
        <v/>
      </c>
      <c r="J311" s="1" t="str">
        <f>IFERROR(VLOOKUP(B311,ProductList!B:AO,21,FALSE),"")</f>
        <v/>
      </c>
      <c r="K311" s="1" t="str">
        <f>IF(G311="KGS",IF(D311&lt;&gt;"",IFERROR(ROUND(VLOOKUP(D311,ProductList!J:BG,47,FALSE),3),""),""),IF(D311&lt;&gt;"",IFERROR(ROUND(VLOOKUP(D311,ProductList!J:BG,46,FALSE),3),""),""))</f>
        <v/>
      </c>
      <c r="L311" s="1" t="str">
        <f t="shared" si="9"/>
        <v/>
      </c>
    </row>
    <row r="312" spans="1:12" x14ac:dyDescent="0.25">
      <c r="A312" s="304"/>
      <c r="B312" s="73"/>
      <c r="C312" s="73"/>
      <c r="D312" s="104"/>
      <c r="E312" s="122"/>
      <c r="F312" s="73" t="str">
        <f>IF(G312="KGS",IF(B312&lt;&gt;"",IFERROR(VLOOKUP(B312,ProductList!B:AO,21,FALSE),""),""),IF(D312&lt;&gt;"",IFERROR(VLOOKUP(B312,ProductList!B:AO,24,FALSE),""),""))</f>
        <v/>
      </c>
      <c r="G312" s="202"/>
      <c r="H312" s="75" t="str">
        <f>IF(G312="KGS",IF(B312&lt;&gt;"",IFERROR(ROUND(VLOOKUP(B312,ProductList!B:BG,58,FALSE),3),""),""),IF(B312&lt;&gt;"",IFERROR(ROUND(VLOOKUP(B312,ProductList!B:BG,57,FALSE),3),""),""))</f>
        <v/>
      </c>
      <c r="I312" s="75" t="str">
        <f t="shared" si="8"/>
        <v/>
      </c>
      <c r="J312" s="1" t="str">
        <f>IFERROR(VLOOKUP(B312,ProductList!B:AO,21,FALSE),"")</f>
        <v/>
      </c>
      <c r="K312" s="1" t="str">
        <f>IF(G312="KGS",IF(D312&lt;&gt;"",IFERROR(ROUND(VLOOKUP(D312,ProductList!J:BG,47,FALSE),3),""),""),IF(D312&lt;&gt;"",IFERROR(ROUND(VLOOKUP(D312,ProductList!J:BG,46,FALSE),3),""),""))</f>
        <v/>
      </c>
      <c r="L312" s="1" t="str">
        <f t="shared" si="9"/>
        <v/>
      </c>
    </row>
    <row r="313" spans="1:12" x14ac:dyDescent="0.25">
      <c r="A313" s="304"/>
      <c r="B313" s="73"/>
      <c r="C313" s="73"/>
      <c r="D313" s="104"/>
      <c r="E313" s="122"/>
      <c r="F313" s="73" t="str">
        <f>IF(G313="KGS",IF(B313&lt;&gt;"",IFERROR(VLOOKUP(B313,ProductList!B:AO,21,FALSE),""),""),IF(D313&lt;&gt;"",IFERROR(VLOOKUP(B313,ProductList!B:AO,24,FALSE),""),""))</f>
        <v/>
      </c>
      <c r="G313" s="202"/>
      <c r="H313" s="75" t="str">
        <f>IF(G313="KGS",IF(B313&lt;&gt;"",IFERROR(ROUND(VLOOKUP(B313,ProductList!B:BG,58,FALSE),3),""),""),IF(B313&lt;&gt;"",IFERROR(ROUND(VLOOKUP(B313,ProductList!B:BG,57,FALSE),3),""),""))</f>
        <v/>
      </c>
      <c r="I313" s="75" t="str">
        <f t="shared" si="8"/>
        <v/>
      </c>
      <c r="J313" s="1" t="str">
        <f>IFERROR(VLOOKUP(B313,ProductList!B:AO,21,FALSE),"")</f>
        <v/>
      </c>
      <c r="K313" s="1" t="str">
        <f>IF(G313="KGS",IF(D313&lt;&gt;"",IFERROR(ROUND(VLOOKUP(D313,ProductList!J:BG,47,FALSE),3),""),""),IF(D313&lt;&gt;"",IFERROR(ROUND(VLOOKUP(D313,ProductList!J:BG,46,FALSE),3),""),""))</f>
        <v/>
      </c>
      <c r="L313" s="1" t="str">
        <f t="shared" si="9"/>
        <v/>
      </c>
    </row>
    <row r="314" spans="1:12" x14ac:dyDescent="0.25">
      <c r="A314" s="304"/>
      <c r="B314" s="73"/>
      <c r="C314" s="73"/>
      <c r="D314" s="104"/>
      <c r="E314" s="122"/>
      <c r="F314" s="73" t="str">
        <f>IF(G314="KGS",IF(B314&lt;&gt;"",IFERROR(VLOOKUP(B314,ProductList!B:AO,21,FALSE),""),""),IF(D314&lt;&gt;"",IFERROR(VLOOKUP(B314,ProductList!B:AO,24,FALSE),""),""))</f>
        <v/>
      </c>
      <c r="G314" s="202"/>
      <c r="H314" s="75" t="str">
        <f>IF(G314="KGS",IF(B314&lt;&gt;"",IFERROR(ROUND(VLOOKUP(B314,ProductList!B:BG,58,FALSE),3),""),""),IF(B314&lt;&gt;"",IFERROR(ROUND(VLOOKUP(B314,ProductList!B:BG,57,FALSE),3),""),""))</f>
        <v/>
      </c>
      <c r="I314" s="75" t="str">
        <f t="shared" si="8"/>
        <v/>
      </c>
      <c r="J314" s="1" t="str">
        <f>IFERROR(VLOOKUP(B314,ProductList!B:AO,21,FALSE),"")</f>
        <v/>
      </c>
      <c r="K314" s="1" t="str">
        <f>IF(G314="KGS",IF(D314&lt;&gt;"",IFERROR(ROUND(VLOOKUP(D314,ProductList!J:BG,47,FALSE),3),""),""),IF(D314&lt;&gt;"",IFERROR(ROUND(VLOOKUP(D314,ProductList!J:BG,46,FALSE),3),""),""))</f>
        <v/>
      </c>
      <c r="L314" s="1" t="str">
        <f t="shared" si="9"/>
        <v/>
      </c>
    </row>
    <row r="315" spans="1:12" x14ac:dyDescent="0.25">
      <c r="A315" s="304"/>
      <c r="B315" s="73"/>
      <c r="C315" s="73"/>
      <c r="D315" s="104"/>
      <c r="E315" s="122"/>
      <c r="F315" s="73" t="str">
        <f>IF(G315="KGS",IF(B315&lt;&gt;"",IFERROR(VLOOKUP(B315,ProductList!B:AO,21,FALSE),""),""),IF(D315&lt;&gt;"",IFERROR(VLOOKUP(B315,ProductList!B:AO,24,FALSE),""),""))</f>
        <v/>
      </c>
      <c r="G315" s="202"/>
      <c r="H315" s="75" t="str">
        <f>IF(G315="KGS",IF(B315&lt;&gt;"",IFERROR(ROUND(VLOOKUP(B315,ProductList!B:BG,58,FALSE),3),""),""),IF(B315&lt;&gt;"",IFERROR(ROUND(VLOOKUP(B315,ProductList!B:BG,57,FALSE),3),""),""))</f>
        <v/>
      </c>
      <c r="I315" s="75" t="str">
        <f t="shared" si="8"/>
        <v/>
      </c>
      <c r="J315" s="1" t="str">
        <f>IFERROR(VLOOKUP(B315,ProductList!B:AO,21,FALSE),"")</f>
        <v/>
      </c>
      <c r="K315" s="1" t="str">
        <f>IF(G315="KGS",IF(D315&lt;&gt;"",IFERROR(ROUND(VLOOKUP(D315,ProductList!J:BG,47,FALSE),3),""),""),IF(D315&lt;&gt;"",IFERROR(ROUND(VLOOKUP(D315,ProductList!J:BG,46,FALSE),3),""),""))</f>
        <v/>
      </c>
      <c r="L315" s="1" t="str">
        <f t="shared" si="9"/>
        <v/>
      </c>
    </row>
    <row r="316" spans="1:12" x14ac:dyDescent="0.25">
      <c r="A316" s="304"/>
      <c r="B316" s="73"/>
      <c r="C316" s="73"/>
      <c r="D316" s="104"/>
      <c r="E316" s="122"/>
      <c r="F316" s="73" t="str">
        <f>IF(G316="KGS",IF(B316&lt;&gt;"",IFERROR(VLOOKUP(B316,ProductList!B:AO,21,FALSE),""),""),IF(D316&lt;&gt;"",IFERROR(VLOOKUP(B316,ProductList!B:AO,24,FALSE),""),""))</f>
        <v/>
      </c>
      <c r="G316" s="202"/>
      <c r="H316" s="75" t="str">
        <f>IF(G316="KGS",IF(B316&lt;&gt;"",IFERROR(ROUND(VLOOKUP(B316,ProductList!B:BG,58,FALSE),3),""),""),IF(B316&lt;&gt;"",IFERROR(ROUND(VLOOKUP(B316,ProductList!B:BG,57,FALSE),3),""),""))</f>
        <v/>
      </c>
      <c r="I316" s="75" t="str">
        <f t="shared" si="8"/>
        <v/>
      </c>
      <c r="J316" s="1" t="str">
        <f>IFERROR(VLOOKUP(B316,ProductList!B:AO,21,FALSE),"")</f>
        <v/>
      </c>
      <c r="K316" s="1" t="str">
        <f>IF(G316="KGS",IF(D316&lt;&gt;"",IFERROR(ROUND(VLOOKUP(D316,ProductList!J:BG,47,FALSE),3),""),""),IF(D316&lt;&gt;"",IFERROR(ROUND(VLOOKUP(D316,ProductList!J:BG,46,FALSE),3),""),""))</f>
        <v/>
      </c>
      <c r="L316" s="1" t="str">
        <f t="shared" si="9"/>
        <v/>
      </c>
    </row>
    <row r="317" spans="1:12" x14ac:dyDescent="0.25">
      <c r="A317" s="304"/>
      <c r="B317" s="73"/>
      <c r="C317" s="73"/>
      <c r="D317" s="104"/>
      <c r="E317" s="122"/>
      <c r="F317" s="73" t="str">
        <f>IF(G317="KGS",IF(B317&lt;&gt;"",IFERROR(VLOOKUP(B317,ProductList!B:AO,21,FALSE),""),""),IF(D317&lt;&gt;"",IFERROR(VLOOKUP(B317,ProductList!B:AO,24,FALSE),""),""))</f>
        <v/>
      </c>
      <c r="G317" s="202"/>
      <c r="H317" s="75" t="str">
        <f>IF(G317="KGS",IF(B317&lt;&gt;"",IFERROR(ROUND(VLOOKUP(B317,ProductList!B:BG,58,FALSE),3),""),""),IF(B317&lt;&gt;"",IFERROR(ROUND(VLOOKUP(B317,ProductList!B:BG,57,FALSE),3),""),""))</f>
        <v/>
      </c>
      <c r="I317" s="75" t="str">
        <f t="shared" si="8"/>
        <v/>
      </c>
      <c r="J317" s="1" t="str">
        <f>IFERROR(VLOOKUP(B317,ProductList!B:AO,21,FALSE),"")</f>
        <v/>
      </c>
      <c r="K317" s="1" t="str">
        <f>IF(G317="KGS",IF(D317&lt;&gt;"",IFERROR(ROUND(VLOOKUP(D317,ProductList!J:BG,47,FALSE),3),""),""),IF(D317&lt;&gt;"",IFERROR(ROUND(VLOOKUP(D317,ProductList!J:BG,46,FALSE),3),""),""))</f>
        <v/>
      </c>
      <c r="L317" s="1" t="str">
        <f t="shared" si="9"/>
        <v/>
      </c>
    </row>
    <row r="318" spans="1:12" x14ac:dyDescent="0.25">
      <c r="A318" s="304"/>
      <c r="B318" s="73"/>
      <c r="C318" s="73"/>
      <c r="D318" s="104"/>
      <c r="E318" s="122"/>
      <c r="F318" s="73" t="str">
        <f>IF(G318="KGS",IF(B318&lt;&gt;"",IFERROR(VLOOKUP(B318,ProductList!B:AO,21,FALSE),""),""),IF(D318&lt;&gt;"",IFERROR(VLOOKUP(B318,ProductList!B:AO,24,FALSE),""),""))</f>
        <v/>
      </c>
      <c r="G318" s="202"/>
      <c r="H318" s="75" t="str">
        <f>IF(G318="KGS",IF(B318&lt;&gt;"",IFERROR(ROUND(VLOOKUP(B318,ProductList!B:BG,58,FALSE),3),""),""),IF(B318&lt;&gt;"",IFERROR(ROUND(VLOOKUP(B318,ProductList!B:BG,57,FALSE),3),""),""))</f>
        <v/>
      </c>
      <c r="I318" s="75" t="str">
        <f t="shared" si="8"/>
        <v/>
      </c>
      <c r="J318" s="1" t="str">
        <f>IFERROR(VLOOKUP(B318,ProductList!B:AO,21,FALSE),"")</f>
        <v/>
      </c>
      <c r="K318" s="1" t="str">
        <f>IF(G318="KGS",IF(D318&lt;&gt;"",IFERROR(ROUND(VLOOKUP(D318,ProductList!J:BG,47,FALSE),3),""),""),IF(D318&lt;&gt;"",IFERROR(ROUND(VLOOKUP(D318,ProductList!J:BG,46,FALSE),3),""),""))</f>
        <v/>
      </c>
      <c r="L318" s="1" t="str">
        <f t="shared" si="9"/>
        <v/>
      </c>
    </row>
    <row r="319" spans="1:12" x14ac:dyDescent="0.25">
      <c r="A319" s="304"/>
      <c r="B319" s="73"/>
      <c r="C319" s="73"/>
      <c r="D319" s="104"/>
      <c r="E319" s="122"/>
      <c r="F319" s="73" t="str">
        <f>IF(G319="KGS",IF(B319&lt;&gt;"",IFERROR(VLOOKUP(B319,ProductList!B:AO,21,FALSE),""),""),IF(D319&lt;&gt;"",IFERROR(VLOOKUP(B319,ProductList!B:AO,24,FALSE),""),""))</f>
        <v/>
      </c>
      <c r="G319" s="202"/>
      <c r="H319" s="75" t="str">
        <f>IF(G319="KGS",IF(B319&lt;&gt;"",IFERROR(ROUND(VLOOKUP(B319,ProductList!B:BG,58,FALSE),3),""),""),IF(B319&lt;&gt;"",IFERROR(ROUND(VLOOKUP(B319,ProductList!B:BG,57,FALSE),3),""),""))</f>
        <v/>
      </c>
      <c r="I319" s="75" t="str">
        <f t="shared" si="8"/>
        <v/>
      </c>
      <c r="J319" s="1" t="str">
        <f>IFERROR(VLOOKUP(B319,ProductList!B:AO,21,FALSE),"")</f>
        <v/>
      </c>
      <c r="K319" s="1" t="str">
        <f>IF(G319="KGS",IF(D319&lt;&gt;"",IFERROR(ROUND(VLOOKUP(D319,ProductList!J:BG,47,FALSE),3),""),""),IF(D319&lt;&gt;"",IFERROR(ROUND(VLOOKUP(D319,ProductList!J:BG,46,FALSE),3),""),""))</f>
        <v/>
      </c>
      <c r="L319" s="1" t="str">
        <f t="shared" si="9"/>
        <v/>
      </c>
    </row>
    <row r="320" spans="1:12" x14ac:dyDescent="0.25">
      <c r="A320" s="304"/>
      <c r="B320" s="73"/>
      <c r="C320" s="73"/>
      <c r="D320" s="104"/>
      <c r="E320" s="122"/>
      <c r="F320" s="73" t="str">
        <f>IF(G320="KGS",IF(B320&lt;&gt;"",IFERROR(VLOOKUP(B320,ProductList!B:AO,21,FALSE),""),""),IF(D320&lt;&gt;"",IFERROR(VLOOKUP(B320,ProductList!B:AO,24,FALSE),""),""))</f>
        <v/>
      </c>
      <c r="G320" s="202"/>
      <c r="H320" s="75" t="str">
        <f>IF(G320="KGS",IF(B320&lt;&gt;"",IFERROR(ROUND(VLOOKUP(B320,ProductList!B:BG,58,FALSE),3),""),""),IF(B320&lt;&gt;"",IFERROR(ROUND(VLOOKUP(B320,ProductList!B:BG,57,FALSE),3),""),""))</f>
        <v/>
      </c>
      <c r="I320" s="75" t="str">
        <f t="shared" si="8"/>
        <v/>
      </c>
      <c r="J320" s="1" t="str">
        <f>IFERROR(VLOOKUP(B320,ProductList!B:AO,21,FALSE),"")</f>
        <v/>
      </c>
      <c r="K320" s="1" t="str">
        <f>IF(G320="KGS",IF(D320&lt;&gt;"",IFERROR(ROUND(VLOOKUP(D320,ProductList!J:BG,47,FALSE),3),""),""),IF(D320&lt;&gt;"",IFERROR(ROUND(VLOOKUP(D320,ProductList!J:BG,46,FALSE),3),""),""))</f>
        <v/>
      </c>
      <c r="L320" s="1" t="str">
        <f t="shared" si="9"/>
        <v/>
      </c>
    </row>
    <row r="321" spans="1:12" x14ac:dyDescent="0.25">
      <c r="A321" s="304"/>
      <c r="B321" s="73"/>
      <c r="C321" s="73"/>
      <c r="D321" s="104"/>
      <c r="E321" s="122"/>
      <c r="F321" s="73" t="str">
        <f>IF(G321="KGS",IF(B321&lt;&gt;"",IFERROR(VLOOKUP(B321,ProductList!B:AO,21,FALSE),""),""),IF(D321&lt;&gt;"",IFERROR(VLOOKUP(B321,ProductList!B:AO,24,FALSE),""),""))</f>
        <v/>
      </c>
      <c r="G321" s="202"/>
      <c r="H321" s="75" t="str">
        <f>IF(G321="KGS",IF(B321&lt;&gt;"",IFERROR(ROUND(VLOOKUP(B321,ProductList!B:BG,58,FALSE),3),""),""),IF(B321&lt;&gt;"",IFERROR(ROUND(VLOOKUP(B321,ProductList!B:BG,57,FALSE),3),""),""))</f>
        <v/>
      </c>
      <c r="I321" s="75" t="str">
        <f t="shared" si="8"/>
        <v/>
      </c>
      <c r="J321" s="1" t="str">
        <f>IFERROR(VLOOKUP(B321,ProductList!B:AO,21,FALSE),"")</f>
        <v/>
      </c>
      <c r="K321" s="1" t="str">
        <f>IF(G321="KGS",IF(D321&lt;&gt;"",IFERROR(ROUND(VLOOKUP(D321,ProductList!J:BG,47,FALSE),3),""),""),IF(D321&lt;&gt;"",IFERROR(ROUND(VLOOKUP(D321,ProductList!J:BG,46,FALSE),3),""),""))</f>
        <v/>
      </c>
      <c r="L321" s="1" t="str">
        <f t="shared" si="9"/>
        <v/>
      </c>
    </row>
    <row r="322" spans="1:12" x14ac:dyDescent="0.25">
      <c r="A322" s="304"/>
      <c r="B322" s="73"/>
      <c r="C322" s="73"/>
      <c r="D322" s="104"/>
      <c r="E322" s="122"/>
      <c r="F322" s="73" t="str">
        <f>IF(G322="KGS",IF(B322&lt;&gt;"",IFERROR(VLOOKUP(B322,ProductList!B:AO,21,FALSE),""),""),IF(D322&lt;&gt;"",IFERROR(VLOOKUP(B322,ProductList!B:AO,24,FALSE),""),""))</f>
        <v/>
      </c>
      <c r="G322" s="202"/>
      <c r="H322" s="75" t="str">
        <f>IF(G322="KGS",IF(B322&lt;&gt;"",IFERROR(ROUND(VLOOKUP(B322,ProductList!B:BG,58,FALSE),3),""),""),IF(B322&lt;&gt;"",IFERROR(ROUND(VLOOKUP(B322,ProductList!B:BG,57,FALSE),3),""),""))</f>
        <v/>
      </c>
      <c r="I322" s="75" t="str">
        <f t="shared" si="8"/>
        <v/>
      </c>
      <c r="J322" s="1" t="str">
        <f>IFERROR(VLOOKUP(B322,ProductList!B:AO,21,FALSE),"")</f>
        <v/>
      </c>
      <c r="K322" s="1" t="str">
        <f>IF(G322="KGS",IF(D322&lt;&gt;"",IFERROR(ROUND(VLOOKUP(D322,ProductList!J:BG,47,FALSE),3),""),""),IF(D322&lt;&gt;"",IFERROR(ROUND(VLOOKUP(D322,ProductList!J:BG,46,FALSE),3),""),""))</f>
        <v/>
      </c>
      <c r="L322" s="1" t="str">
        <f t="shared" si="9"/>
        <v/>
      </c>
    </row>
    <row r="323" spans="1:12" x14ac:dyDescent="0.25">
      <c r="A323" s="304"/>
      <c r="B323" s="73"/>
      <c r="C323" s="73"/>
      <c r="D323" s="104"/>
      <c r="E323" s="122"/>
      <c r="F323" s="73" t="str">
        <f>IF(G323="KGS",IF(B323&lt;&gt;"",IFERROR(VLOOKUP(B323,ProductList!B:AO,21,FALSE),""),""),IF(D323&lt;&gt;"",IFERROR(VLOOKUP(B323,ProductList!B:AO,24,FALSE),""),""))</f>
        <v/>
      </c>
      <c r="G323" s="202"/>
      <c r="H323" s="75" t="str">
        <f>IF(G323="KGS",IF(B323&lt;&gt;"",IFERROR(ROUND(VLOOKUP(B323,ProductList!B:BG,58,FALSE),3),""),""),IF(B323&lt;&gt;"",IFERROR(ROUND(VLOOKUP(B323,ProductList!B:BG,57,FALSE),3),""),""))</f>
        <v/>
      </c>
      <c r="I323" s="75" t="str">
        <f t="shared" si="8"/>
        <v/>
      </c>
      <c r="J323" s="1" t="str">
        <f>IFERROR(VLOOKUP(B323,ProductList!B:AO,21,FALSE),"")</f>
        <v/>
      </c>
      <c r="K323" s="1" t="str">
        <f>IF(G323="KGS",IF(D323&lt;&gt;"",IFERROR(ROUND(VLOOKUP(D323,ProductList!J:BG,47,FALSE),3),""),""),IF(D323&lt;&gt;"",IFERROR(ROUND(VLOOKUP(D323,ProductList!J:BG,46,FALSE),3),""),""))</f>
        <v/>
      </c>
      <c r="L323" s="1" t="str">
        <f t="shared" si="9"/>
        <v/>
      </c>
    </row>
    <row r="324" spans="1:12" x14ac:dyDescent="0.25">
      <c r="A324" s="304"/>
      <c r="B324" s="73"/>
      <c r="C324" s="73"/>
      <c r="D324" s="104"/>
      <c r="E324" s="122"/>
      <c r="F324" s="73" t="str">
        <f>IF(G324="KGS",IF(B324&lt;&gt;"",IFERROR(VLOOKUP(B324,ProductList!B:AO,21,FALSE),""),""),IF(D324&lt;&gt;"",IFERROR(VLOOKUP(B324,ProductList!B:AO,24,FALSE),""),""))</f>
        <v/>
      </c>
      <c r="G324" s="202"/>
      <c r="H324" s="75" t="str">
        <f>IF(G324="KGS",IF(B324&lt;&gt;"",IFERROR(ROUND(VLOOKUP(B324,ProductList!B:BG,58,FALSE),3),""),""),IF(B324&lt;&gt;"",IFERROR(ROUND(VLOOKUP(B324,ProductList!B:BG,57,FALSE),3),""),""))</f>
        <v/>
      </c>
      <c r="I324" s="75" t="str">
        <f t="shared" si="8"/>
        <v/>
      </c>
      <c r="J324" s="1" t="str">
        <f>IFERROR(VLOOKUP(B324,ProductList!B:AO,21,FALSE),"")</f>
        <v/>
      </c>
      <c r="K324" s="1" t="str">
        <f>IF(G324="KGS",IF(D324&lt;&gt;"",IFERROR(ROUND(VLOOKUP(D324,ProductList!J:BG,47,FALSE),3),""),""),IF(D324&lt;&gt;"",IFERROR(ROUND(VLOOKUP(D324,ProductList!J:BG,46,FALSE),3),""),""))</f>
        <v/>
      </c>
      <c r="L324" s="1" t="str">
        <f t="shared" si="9"/>
        <v/>
      </c>
    </row>
    <row r="325" spans="1:12" x14ac:dyDescent="0.25">
      <c r="A325" s="304"/>
      <c r="B325" s="73"/>
      <c r="C325" s="73"/>
      <c r="D325" s="104"/>
      <c r="E325" s="122"/>
      <c r="F325" s="73" t="str">
        <f>IF(G325="KGS",IF(B325&lt;&gt;"",IFERROR(VLOOKUP(B325,ProductList!B:AO,21,FALSE),""),""),IF(D325&lt;&gt;"",IFERROR(VLOOKUP(B325,ProductList!B:AO,24,FALSE),""),""))</f>
        <v/>
      </c>
      <c r="G325" s="202"/>
      <c r="H325" s="75" t="str">
        <f>IF(G325="KGS",IF(B325&lt;&gt;"",IFERROR(ROUND(VLOOKUP(B325,ProductList!B:BG,58,FALSE),3),""),""),IF(B325&lt;&gt;"",IFERROR(ROUND(VLOOKUP(B325,ProductList!B:BG,57,FALSE),3),""),""))</f>
        <v/>
      </c>
      <c r="I325" s="75" t="str">
        <f t="shared" si="8"/>
        <v/>
      </c>
      <c r="J325" s="1" t="str">
        <f>IFERROR(VLOOKUP(B325,ProductList!B:AO,21,FALSE),"")</f>
        <v/>
      </c>
      <c r="K325" s="1" t="str">
        <f>IF(G325="KGS",IF(D325&lt;&gt;"",IFERROR(ROUND(VLOOKUP(D325,ProductList!J:BG,47,FALSE),3),""),""),IF(D325&lt;&gt;"",IFERROR(ROUND(VLOOKUP(D325,ProductList!J:BG,46,FALSE),3),""),""))</f>
        <v/>
      </c>
      <c r="L325" s="1" t="str">
        <f t="shared" si="9"/>
        <v/>
      </c>
    </row>
    <row r="326" spans="1:12" x14ac:dyDescent="0.25">
      <c r="A326" s="304"/>
      <c r="B326" s="73"/>
      <c r="C326" s="73"/>
      <c r="D326" s="104"/>
      <c r="E326" s="122"/>
      <c r="F326" s="73" t="str">
        <f>IF(G326="KGS",IF(B326&lt;&gt;"",IFERROR(VLOOKUP(B326,ProductList!B:AO,21,FALSE),""),""),IF(D326&lt;&gt;"",IFERROR(VLOOKUP(B326,ProductList!B:AO,24,FALSE),""),""))</f>
        <v/>
      </c>
      <c r="G326" s="202"/>
      <c r="H326" s="75" t="str">
        <f>IF(G326="KGS",IF(B326&lt;&gt;"",IFERROR(ROUND(VLOOKUP(B326,ProductList!B:BG,58,FALSE),3),""),""),IF(B326&lt;&gt;"",IFERROR(ROUND(VLOOKUP(B326,ProductList!B:BG,57,FALSE),3),""),""))</f>
        <v/>
      </c>
      <c r="I326" s="75" t="str">
        <f t="shared" ref="I326:I389" si="10">IF(AND(F326&lt;&gt;"",H326&lt;&gt;""),ROUND(F326*H326,2),"")</f>
        <v/>
      </c>
      <c r="J326" s="1" t="str">
        <f>IFERROR(VLOOKUP(B326,ProductList!B:AO,21,FALSE),"")</f>
        <v/>
      </c>
      <c r="K326" s="1" t="str">
        <f>IF(G326="KGS",IF(D326&lt;&gt;"",IFERROR(ROUND(VLOOKUP(D326,ProductList!J:BG,47,FALSE),3),""),""),IF(D326&lt;&gt;"",IFERROR(ROUND(VLOOKUP(D326,ProductList!J:BG,46,FALSE),3),""),""))</f>
        <v/>
      </c>
      <c r="L326" s="1" t="str">
        <f t="shared" ref="L326:L389" si="11">IF(AND(K326&lt;&gt;"",F326&lt;&gt;""),K326*F326,"")</f>
        <v/>
      </c>
    </row>
    <row r="327" spans="1:12" x14ac:dyDescent="0.25">
      <c r="A327" s="304"/>
      <c r="B327" s="73"/>
      <c r="C327" s="73"/>
      <c r="D327" s="104"/>
      <c r="E327" s="122"/>
      <c r="F327" s="73" t="str">
        <f>IF(G327="KGS",IF(B327&lt;&gt;"",IFERROR(VLOOKUP(B327,ProductList!B:AO,21,FALSE),""),""),IF(D327&lt;&gt;"",IFERROR(VLOOKUP(B327,ProductList!B:AO,24,FALSE),""),""))</f>
        <v/>
      </c>
      <c r="G327" s="202"/>
      <c r="H327" s="75" t="str">
        <f>IF(G327="KGS",IF(B327&lt;&gt;"",IFERROR(ROUND(VLOOKUP(B327,ProductList!B:BG,58,FALSE),3),""),""),IF(B327&lt;&gt;"",IFERROR(ROUND(VLOOKUP(B327,ProductList!B:BG,57,FALSE),3),""),""))</f>
        <v/>
      </c>
      <c r="I327" s="75" t="str">
        <f t="shared" si="10"/>
        <v/>
      </c>
      <c r="J327" s="1" t="str">
        <f>IFERROR(VLOOKUP(B327,ProductList!B:AO,21,FALSE),"")</f>
        <v/>
      </c>
      <c r="K327" s="1" t="str">
        <f>IF(G327="KGS",IF(D327&lt;&gt;"",IFERROR(ROUND(VLOOKUP(D327,ProductList!J:BG,47,FALSE),3),""),""),IF(D327&lt;&gt;"",IFERROR(ROUND(VLOOKUP(D327,ProductList!J:BG,46,FALSE),3),""),""))</f>
        <v/>
      </c>
      <c r="L327" s="1" t="str">
        <f t="shared" si="11"/>
        <v/>
      </c>
    </row>
    <row r="328" spans="1:12" x14ac:dyDescent="0.25">
      <c r="A328" s="304"/>
      <c r="B328" s="73"/>
      <c r="C328" s="73"/>
      <c r="D328" s="104"/>
      <c r="E328" s="122"/>
      <c r="F328" s="73" t="str">
        <f>IF(G328="KGS",IF(B328&lt;&gt;"",IFERROR(VLOOKUP(B328,ProductList!B:AO,21,FALSE),""),""),IF(D328&lt;&gt;"",IFERROR(VLOOKUP(B328,ProductList!B:AO,24,FALSE),""),""))</f>
        <v/>
      </c>
      <c r="G328" s="202"/>
      <c r="H328" s="75" t="str">
        <f>IF(G328="KGS",IF(B328&lt;&gt;"",IFERROR(ROUND(VLOOKUP(B328,ProductList!B:BG,58,FALSE),3),""),""),IF(B328&lt;&gt;"",IFERROR(ROUND(VLOOKUP(B328,ProductList!B:BG,57,FALSE),3),""),""))</f>
        <v/>
      </c>
      <c r="I328" s="75" t="str">
        <f t="shared" si="10"/>
        <v/>
      </c>
      <c r="J328" s="1" t="str">
        <f>IFERROR(VLOOKUP(B328,ProductList!B:AO,21,FALSE),"")</f>
        <v/>
      </c>
      <c r="K328" s="1" t="str">
        <f>IF(G328="KGS",IF(D328&lt;&gt;"",IFERROR(ROUND(VLOOKUP(D328,ProductList!J:BG,47,FALSE),3),""),""),IF(D328&lt;&gt;"",IFERROR(ROUND(VLOOKUP(D328,ProductList!J:BG,46,FALSE),3),""),""))</f>
        <v/>
      </c>
      <c r="L328" s="1" t="str">
        <f t="shared" si="11"/>
        <v/>
      </c>
    </row>
    <row r="329" spans="1:12" x14ac:dyDescent="0.25">
      <c r="A329" s="304"/>
      <c r="B329" s="73"/>
      <c r="C329" s="73"/>
      <c r="D329" s="104"/>
      <c r="E329" s="122"/>
      <c r="F329" s="73" t="str">
        <f>IF(G329="KGS",IF(B329&lt;&gt;"",IFERROR(VLOOKUP(B329,ProductList!B:AO,21,FALSE),""),""),IF(D329&lt;&gt;"",IFERROR(VLOOKUP(B329,ProductList!B:AO,24,FALSE),""),""))</f>
        <v/>
      </c>
      <c r="G329" s="202"/>
      <c r="H329" s="75" t="str">
        <f>IF(G329="KGS",IF(B329&lt;&gt;"",IFERROR(ROUND(VLOOKUP(B329,ProductList!B:BG,58,FALSE),3),""),""),IF(B329&lt;&gt;"",IFERROR(ROUND(VLOOKUP(B329,ProductList!B:BG,57,FALSE),3),""),""))</f>
        <v/>
      </c>
      <c r="I329" s="75" t="str">
        <f t="shared" si="10"/>
        <v/>
      </c>
      <c r="J329" s="1" t="str">
        <f>IFERROR(VLOOKUP(B329,ProductList!B:AO,21,FALSE),"")</f>
        <v/>
      </c>
      <c r="K329" s="1" t="str">
        <f>IF(G329="KGS",IF(D329&lt;&gt;"",IFERROR(ROUND(VLOOKUP(D329,ProductList!J:BG,47,FALSE),3),""),""),IF(D329&lt;&gt;"",IFERROR(ROUND(VLOOKUP(D329,ProductList!J:BG,46,FALSE),3),""),""))</f>
        <v/>
      </c>
      <c r="L329" s="1" t="str">
        <f t="shared" si="11"/>
        <v/>
      </c>
    </row>
    <row r="330" spans="1:12" x14ac:dyDescent="0.25">
      <c r="A330" s="304"/>
      <c r="B330" s="73"/>
      <c r="C330" s="73"/>
      <c r="D330" s="104"/>
      <c r="E330" s="122"/>
      <c r="F330" s="73" t="str">
        <f>IF(G330="KGS",IF(B330&lt;&gt;"",IFERROR(VLOOKUP(B330,ProductList!B:AO,21,FALSE),""),""),IF(D330&lt;&gt;"",IFERROR(VLOOKUP(B330,ProductList!B:AO,24,FALSE),""),""))</f>
        <v/>
      </c>
      <c r="G330" s="202"/>
      <c r="H330" s="75" t="str">
        <f>IF(G330="KGS",IF(B330&lt;&gt;"",IFERROR(ROUND(VLOOKUP(B330,ProductList!B:BG,58,FALSE),3),""),""),IF(B330&lt;&gt;"",IFERROR(ROUND(VLOOKUP(B330,ProductList!B:BG,57,FALSE),3),""),""))</f>
        <v/>
      </c>
      <c r="I330" s="75" t="str">
        <f t="shared" si="10"/>
        <v/>
      </c>
      <c r="J330" s="1" t="str">
        <f>IFERROR(VLOOKUP(B330,ProductList!B:AO,21,FALSE),"")</f>
        <v/>
      </c>
      <c r="K330" s="1" t="str">
        <f>IF(G330="KGS",IF(D330&lt;&gt;"",IFERROR(ROUND(VLOOKUP(D330,ProductList!J:BG,47,FALSE),3),""),""),IF(D330&lt;&gt;"",IFERROR(ROUND(VLOOKUP(D330,ProductList!J:BG,46,FALSE),3),""),""))</f>
        <v/>
      </c>
      <c r="L330" s="1" t="str">
        <f t="shared" si="11"/>
        <v/>
      </c>
    </row>
    <row r="331" spans="1:12" x14ac:dyDescent="0.25">
      <c r="A331" s="304"/>
      <c r="B331" s="73"/>
      <c r="C331" s="73"/>
      <c r="D331" s="104"/>
      <c r="E331" s="122"/>
      <c r="F331" s="73" t="str">
        <f>IF(G331="KGS",IF(B331&lt;&gt;"",IFERROR(VLOOKUP(B331,ProductList!B:AO,21,FALSE),""),""),IF(D331&lt;&gt;"",IFERROR(VLOOKUP(B331,ProductList!B:AO,24,FALSE),""),""))</f>
        <v/>
      </c>
      <c r="G331" s="202"/>
      <c r="H331" s="75" t="str">
        <f>IF(G331="KGS",IF(B331&lt;&gt;"",IFERROR(ROUND(VLOOKUP(B331,ProductList!B:BG,58,FALSE),3),""),""),IF(B331&lt;&gt;"",IFERROR(ROUND(VLOOKUP(B331,ProductList!B:BG,57,FALSE),3),""),""))</f>
        <v/>
      </c>
      <c r="I331" s="75" t="str">
        <f t="shared" si="10"/>
        <v/>
      </c>
      <c r="J331" s="1" t="str">
        <f>IFERROR(VLOOKUP(B331,ProductList!B:AO,21,FALSE),"")</f>
        <v/>
      </c>
      <c r="K331" s="1" t="str">
        <f>IF(G331="KGS",IF(D331&lt;&gt;"",IFERROR(ROUND(VLOOKUP(D331,ProductList!J:BG,47,FALSE),3),""),""),IF(D331&lt;&gt;"",IFERROR(ROUND(VLOOKUP(D331,ProductList!J:BG,46,FALSE),3),""),""))</f>
        <v/>
      </c>
      <c r="L331" s="1" t="str">
        <f t="shared" si="11"/>
        <v/>
      </c>
    </row>
    <row r="332" spans="1:12" x14ac:dyDescent="0.25">
      <c r="A332" s="304"/>
      <c r="B332" s="73"/>
      <c r="C332" s="73"/>
      <c r="D332" s="104"/>
      <c r="E332" s="122"/>
      <c r="F332" s="73" t="str">
        <f>IF(G332="KGS",IF(B332&lt;&gt;"",IFERROR(VLOOKUP(B332,ProductList!B:AO,21,FALSE),""),""),IF(D332&lt;&gt;"",IFERROR(VLOOKUP(B332,ProductList!B:AO,24,FALSE),""),""))</f>
        <v/>
      </c>
      <c r="G332" s="202"/>
      <c r="H332" s="75" t="str">
        <f>IF(G332="KGS",IF(B332&lt;&gt;"",IFERROR(ROUND(VLOOKUP(B332,ProductList!B:BG,58,FALSE),3),""),""),IF(B332&lt;&gt;"",IFERROR(ROUND(VLOOKUP(B332,ProductList!B:BG,57,FALSE),3),""),""))</f>
        <v/>
      </c>
      <c r="I332" s="75" t="str">
        <f t="shared" si="10"/>
        <v/>
      </c>
      <c r="J332" s="1" t="str">
        <f>IFERROR(VLOOKUP(B332,ProductList!B:AO,21,FALSE),"")</f>
        <v/>
      </c>
      <c r="K332" s="1" t="str">
        <f>IF(G332="KGS",IF(D332&lt;&gt;"",IFERROR(ROUND(VLOOKUP(D332,ProductList!J:BG,47,FALSE),3),""),""),IF(D332&lt;&gt;"",IFERROR(ROUND(VLOOKUP(D332,ProductList!J:BG,46,FALSE),3),""),""))</f>
        <v/>
      </c>
      <c r="L332" s="1" t="str">
        <f t="shared" si="11"/>
        <v/>
      </c>
    </row>
    <row r="333" spans="1:12" x14ac:dyDescent="0.25">
      <c r="A333" s="304"/>
      <c r="B333" s="73"/>
      <c r="C333" s="73"/>
      <c r="D333" s="104"/>
      <c r="E333" s="122"/>
      <c r="F333" s="73" t="str">
        <f>IF(G333="KGS",IF(B333&lt;&gt;"",IFERROR(VLOOKUP(B333,ProductList!B:AO,21,FALSE),""),""),IF(D333&lt;&gt;"",IFERROR(VLOOKUP(B333,ProductList!B:AO,24,FALSE),""),""))</f>
        <v/>
      </c>
      <c r="G333" s="202"/>
      <c r="H333" s="75" t="str">
        <f>IF(G333="KGS",IF(B333&lt;&gt;"",IFERROR(ROUND(VLOOKUP(B333,ProductList!B:BG,58,FALSE),3),""),""),IF(B333&lt;&gt;"",IFERROR(ROUND(VLOOKUP(B333,ProductList!B:BG,57,FALSE),3),""),""))</f>
        <v/>
      </c>
      <c r="I333" s="75" t="str">
        <f t="shared" si="10"/>
        <v/>
      </c>
      <c r="J333" s="1" t="str">
        <f>IFERROR(VLOOKUP(B333,ProductList!B:AO,21,FALSE),"")</f>
        <v/>
      </c>
      <c r="K333" s="1" t="str">
        <f>IF(G333="KGS",IF(D333&lt;&gt;"",IFERROR(ROUND(VLOOKUP(D333,ProductList!J:BG,47,FALSE),3),""),""),IF(D333&lt;&gt;"",IFERROR(ROUND(VLOOKUP(D333,ProductList!J:BG,46,FALSE),3),""),""))</f>
        <v/>
      </c>
      <c r="L333" s="1" t="str">
        <f t="shared" si="11"/>
        <v/>
      </c>
    </row>
    <row r="334" spans="1:12" x14ac:dyDescent="0.25">
      <c r="A334" s="304"/>
      <c r="B334" s="73"/>
      <c r="C334" s="73"/>
      <c r="D334" s="104"/>
      <c r="E334" s="122"/>
      <c r="F334" s="73" t="str">
        <f>IF(G334="KGS",IF(B334&lt;&gt;"",IFERROR(VLOOKUP(B334,ProductList!B:AO,21,FALSE),""),""),IF(D334&lt;&gt;"",IFERROR(VLOOKUP(B334,ProductList!B:AO,24,FALSE),""),""))</f>
        <v/>
      </c>
      <c r="G334" s="202"/>
      <c r="H334" s="75" t="str">
        <f>IF(G334="KGS",IF(B334&lt;&gt;"",IFERROR(ROUND(VLOOKUP(B334,ProductList!B:BG,58,FALSE),3),""),""),IF(B334&lt;&gt;"",IFERROR(ROUND(VLOOKUP(B334,ProductList!B:BG,57,FALSE),3),""),""))</f>
        <v/>
      </c>
      <c r="I334" s="75" t="str">
        <f t="shared" si="10"/>
        <v/>
      </c>
      <c r="J334" s="1" t="str">
        <f>IFERROR(VLOOKUP(B334,ProductList!B:AO,21,FALSE),"")</f>
        <v/>
      </c>
      <c r="K334" s="1" t="str">
        <f>IF(G334="KGS",IF(D334&lt;&gt;"",IFERROR(ROUND(VLOOKUP(D334,ProductList!J:BG,47,FALSE),3),""),""),IF(D334&lt;&gt;"",IFERROR(ROUND(VLOOKUP(D334,ProductList!J:BG,46,FALSE),3),""),""))</f>
        <v/>
      </c>
      <c r="L334" s="1" t="str">
        <f t="shared" si="11"/>
        <v/>
      </c>
    </row>
    <row r="335" spans="1:12" x14ac:dyDescent="0.25">
      <c r="A335" s="304"/>
      <c r="B335" s="73"/>
      <c r="C335" s="73"/>
      <c r="D335" s="104"/>
      <c r="E335" s="122"/>
      <c r="F335" s="73" t="str">
        <f>IF(G335="KGS",IF(B335&lt;&gt;"",IFERROR(VLOOKUP(B335,ProductList!B:AO,21,FALSE),""),""),IF(D335&lt;&gt;"",IFERROR(VLOOKUP(B335,ProductList!B:AO,24,FALSE),""),""))</f>
        <v/>
      </c>
      <c r="G335" s="202"/>
      <c r="H335" s="75" t="str">
        <f>IF(G335="KGS",IF(B335&lt;&gt;"",IFERROR(ROUND(VLOOKUP(B335,ProductList!B:BG,58,FALSE),3),""),""),IF(B335&lt;&gt;"",IFERROR(ROUND(VLOOKUP(B335,ProductList!B:BG,57,FALSE),3),""),""))</f>
        <v/>
      </c>
      <c r="I335" s="75" t="str">
        <f t="shared" si="10"/>
        <v/>
      </c>
      <c r="J335" s="1" t="str">
        <f>IFERROR(VLOOKUP(B335,ProductList!B:AO,21,FALSE),"")</f>
        <v/>
      </c>
      <c r="K335" s="1" t="str">
        <f>IF(G335="KGS",IF(D335&lt;&gt;"",IFERROR(ROUND(VLOOKUP(D335,ProductList!J:BG,47,FALSE),3),""),""),IF(D335&lt;&gt;"",IFERROR(ROUND(VLOOKUP(D335,ProductList!J:BG,46,FALSE),3),""),""))</f>
        <v/>
      </c>
      <c r="L335" s="1" t="str">
        <f t="shared" si="11"/>
        <v/>
      </c>
    </row>
    <row r="336" spans="1:12" x14ac:dyDescent="0.25">
      <c r="A336" s="304"/>
      <c r="B336" s="73"/>
      <c r="C336" s="73"/>
      <c r="D336" s="104"/>
      <c r="E336" s="122"/>
      <c r="F336" s="73" t="str">
        <f>IF(G336="KGS",IF(B336&lt;&gt;"",IFERROR(VLOOKUP(B336,ProductList!B:AO,21,FALSE),""),""),IF(D336&lt;&gt;"",IFERROR(VLOOKUP(B336,ProductList!B:AO,24,FALSE),""),""))</f>
        <v/>
      </c>
      <c r="G336" s="202"/>
      <c r="H336" s="75" t="str">
        <f>IF(G336="KGS",IF(B336&lt;&gt;"",IFERROR(ROUND(VLOOKUP(B336,ProductList!B:BG,58,FALSE),3),""),""),IF(B336&lt;&gt;"",IFERROR(ROUND(VLOOKUP(B336,ProductList!B:BG,57,FALSE),3),""),""))</f>
        <v/>
      </c>
      <c r="I336" s="75" t="str">
        <f t="shared" si="10"/>
        <v/>
      </c>
      <c r="J336" s="1" t="str">
        <f>IFERROR(VLOOKUP(B336,ProductList!B:AO,21,FALSE),"")</f>
        <v/>
      </c>
      <c r="K336" s="1" t="str">
        <f>IF(G336="KGS",IF(D336&lt;&gt;"",IFERROR(ROUND(VLOOKUP(D336,ProductList!J:BG,47,FALSE),3),""),""),IF(D336&lt;&gt;"",IFERROR(ROUND(VLOOKUP(D336,ProductList!J:BG,46,FALSE),3),""),""))</f>
        <v/>
      </c>
      <c r="L336" s="1" t="str">
        <f t="shared" si="11"/>
        <v/>
      </c>
    </row>
    <row r="337" spans="1:12" x14ac:dyDescent="0.25">
      <c r="A337" s="304"/>
      <c r="B337" s="73"/>
      <c r="C337" s="73"/>
      <c r="D337" s="104"/>
      <c r="E337" s="122"/>
      <c r="F337" s="73" t="str">
        <f>IF(G337="KGS",IF(B337&lt;&gt;"",IFERROR(VLOOKUP(B337,ProductList!B:AO,21,FALSE),""),""),IF(D337&lt;&gt;"",IFERROR(VLOOKUP(B337,ProductList!B:AO,24,FALSE),""),""))</f>
        <v/>
      </c>
      <c r="G337" s="202"/>
      <c r="H337" s="75" t="str">
        <f>IF(G337="KGS",IF(B337&lt;&gt;"",IFERROR(ROUND(VLOOKUP(B337,ProductList!B:BG,58,FALSE),3),""),""),IF(B337&lt;&gt;"",IFERROR(ROUND(VLOOKUP(B337,ProductList!B:BG,57,FALSE),3),""),""))</f>
        <v/>
      </c>
      <c r="I337" s="75" t="str">
        <f t="shared" si="10"/>
        <v/>
      </c>
      <c r="J337" s="1" t="str">
        <f>IFERROR(VLOOKUP(B337,ProductList!B:AO,21,FALSE),"")</f>
        <v/>
      </c>
      <c r="K337" s="1" t="str">
        <f>IF(G337="KGS",IF(D337&lt;&gt;"",IFERROR(ROUND(VLOOKUP(D337,ProductList!J:BG,47,FALSE),3),""),""),IF(D337&lt;&gt;"",IFERROR(ROUND(VLOOKUP(D337,ProductList!J:BG,46,FALSE),3),""),""))</f>
        <v/>
      </c>
      <c r="L337" s="1" t="str">
        <f t="shared" si="11"/>
        <v/>
      </c>
    </row>
    <row r="338" spans="1:12" x14ac:dyDescent="0.25">
      <c r="A338" s="304"/>
      <c r="B338" s="73"/>
      <c r="C338" s="73"/>
      <c r="D338" s="104"/>
      <c r="E338" s="122"/>
      <c r="F338" s="73" t="str">
        <f>IF(G338="KGS",IF(B338&lt;&gt;"",IFERROR(VLOOKUP(B338,ProductList!B:AO,21,FALSE),""),""),IF(D338&lt;&gt;"",IFERROR(VLOOKUP(B338,ProductList!B:AO,24,FALSE),""),""))</f>
        <v/>
      </c>
      <c r="G338" s="202"/>
      <c r="H338" s="75" t="str">
        <f>IF(G338="KGS",IF(B338&lt;&gt;"",IFERROR(ROUND(VLOOKUP(B338,ProductList!B:BG,58,FALSE),3),""),""),IF(B338&lt;&gt;"",IFERROR(ROUND(VLOOKUP(B338,ProductList!B:BG,57,FALSE),3),""),""))</f>
        <v/>
      </c>
      <c r="I338" s="75" t="str">
        <f t="shared" si="10"/>
        <v/>
      </c>
      <c r="J338" s="1" t="str">
        <f>IFERROR(VLOOKUP(B338,ProductList!B:AO,21,FALSE),"")</f>
        <v/>
      </c>
      <c r="K338" s="1" t="str">
        <f>IF(G338="KGS",IF(D338&lt;&gt;"",IFERROR(ROUND(VLOOKUP(D338,ProductList!J:BG,47,FALSE),3),""),""),IF(D338&lt;&gt;"",IFERROR(ROUND(VLOOKUP(D338,ProductList!J:BG,46,FALSE),3),""),""))</f>
        <v/>
      </c>
      <c r="L338" s="1" t="str">
        <f t="shared" si="11"/>
        <v/>
      </c>
    </row>
    <row r="339" spans="1:12" x14ac:dyDescent="0.25">
      <c r="A339" s="304"/>
      <c r="B339" s="73"/>
      <c r="C339" s="73"/>
      <c r="D339" s="104"/>
      <c r="E339" s="122"/>
      <c r="F339" s="73" t="str">
        <f>IF(G339="KGS",IF(B339&lt;&gt;"",IFERROR(VLOOKUP(B339,ProductList!B:AO,21,FALSE),""),""),IF(D339&lt;&gt;"",IFERROR(VLOOKUP(B339,ProductList!B:AO,24,FALSE),""),""))</f>
        <v/>
      </c>
      <c r="G339" s="202"/>
      <c r="H339" s="75" t="str">
        <f>IF(G339="KGS",IF(B339&lt;&gt;"",IFERROR(ROUND(VLOOKUP(B339,ProductList!B:BG,58,FALSE),3),""),""),IF(B339&lt;&gt;"",IFERROR(ROUND(VLOOKUP(B339,ProductList!B:BG,57,FALSE),3),""),""))</f>
        <v/>
      </c>
      <c r="I339" s="75" t="str">
        <f t="shared" si="10"/>
        <v/>
      </c>
      <c r="J339" s="1" t="str">
        <f>IFERROR(VLOOKUP(B339,ProductList!B:AO,21,FALSE),"")</f>
        <v/>
      </c>
      <c r="K339" s="1" t="str">
        <f>IF(G339="KGS",IF(D339&lt;&gt;"",IFERROR(ROUND(VLOOKUP(D339,ProductList!J:BG,47,FALSE),3),""),""),IF(D339&lt;&gt;"",IFERROR(ROUND(VLOOKUP(D339,ProductList!J:BG,46,FALSE),3),""),""))</f>
        <v/>
      </c>
      <c r="L339" s="1" t="str">
        <f t="shared" si="11"/>
        <v/>
      </c>
    </row>
    <row r="340" spans="1:12" x14ac:dyDescent="0.25">
      <c r="A340" s="304"/>
      <c r="B340" s="73"/>
      <c r="C340" s="73"/>
      <c r="D340" s="104"/>
      <c r="E340" s="122"/>
      <c r="F340" s="73" t="str">
        <f>IF(G340="KGS",IF(B340&lt;&gt;"",IFERROR(VLOOKUP(B340,ProductList!B:AO,21,FALSE),""),""),IF(D340&lt;&gt;"",IFERROR(VLOOKUP(B340,ProductList!B:AO,24,FALSE),""),""))</f>
        <v/>
      </c>
      <c r="G340" s="202"/>
      <c r="H340" s="75" t="str">
        <f>IF(G340="KGS",IF(B340&lt;&gt;"",IFERROR(ROUND(VLOOKUP(B340,ProductList!B:BG,58,FALSE),3),""),""),IF(B340&lt;&gt;"",IFERROR(ROUND(VLOOKUP(B340,ProductList!B:BG,57,FALSE),3),""),""))</f>
        <v/>
      </c>
      <c r="I340" s="75" t="str">
        <f t="shared" si="10"/>
        <v/>
      </c>
      <c r="J340" s="1" t="str">
        <f>IFERROR(VLOOKUP(B340,ProductList!B:AO,21,FALSE),"")</f>
        <v/>
      </c>
      <c r="K340" s="1" t="str">
        <f>IF(G340="KGS",IF(D340&lt;&gt;"",IFERROR(ROUND(VLOOKUP(D340,ProductList!J:BG,47,FALSE),3),""),""),IF(D340&lt;&gt;"",IFERROR(ROUND(VLOOKUP(D340,ProductList!J:BG,46,FALSE),3),""),""))</f>
        <v/>
      </c>
      <c r="L340" s="1" t="str">
        <f t="shared" si="11"/>
        <v/>
      </c>
    </row>
    <row r="341" spans="1:12" x14ac:dyDescent="0.25">
      <c r="A341" s="304"/>
      <c r="B341" s="73"/>
      <c r="C341" s="73"/>
      <c r="D341" s="104"/>
      <c r="E341" s="122"/>
      <c r="F341" s="73" t="str">
        <f>IF(G341="KGS",IF(B341&lt;&gt;"",IFERROR(VLOOKUP(B341,ProductList!B:AO,21,FALSE),""),""),IF(D341&lt;&gt;"",IFERROR(VLOOKUP(B341,ProductList!B:AO,24,FALSE),""),""))</f>
        <v/>
      </c>
      <c r="G341" s="202"/>
      <c r="H341" s="75" t="str">
        <f>IF(G341="KGS",IF(B341&lt;&gt;"",IFERROR(ROUND(VLOOKUP(B341,ProductList!B:BG,58,FALSE),3),""),""),IF(B341&lt;&gt;"",IFERROR(ROUND(VLOOKUP(B341,ProductList!B:BG,57,FALSE),3),""),""))</f>
        <v/>
      </c>
      <c r="I341" s="75" t="str">
        <f t="shared" si="10"/>
        <v/>
      </c>
      <c r="J341" s="1" t="str">
        <f>IFERROR(VLOOKUP(B341,ProductList!B:AO,21,FALSE),"")</f>
        <v/>
      </c>
      <c r="K341" s="1" t="str">
        <f>IF(G341="KGS",IF(D341&lt;&gt;"",IFERROR(ROUND(VLOOKUP(D341,ProductList!J:BG,47,FALSE),3),""),""),IF(D341&lt;&gt;"",IFERROR(ROUND(VLOOKUP(D341,ProductList!J:BG,46,FALSE),3),""),""))</f>
        <v/>
      </c>
      <c r="L341" s="1" t="str">
        <f t="shared" si="11"/>
        <v/>
      </c>
    </row>
    <row r="342" spans="1:12" x14ac:dyDescent="0.25">
      <c r="A342" s="304"/>
      <c r="B342" s="73"/>
      <c r="C342" s="73"/>
      <c r="D342" s="104"/>
      <c r="E342" s="122"/>
      <c r="F342" s="73" t="str">
        <f>IF(G342="KGS",IF(B342&lt;&gt;"",IFERROR(VLOOKUP(B342,ProductList!B:AO,21,FALSE),""),""),IF(D342&lt;&gt;"",IFERROR(VLOOKUP(B342,ProductList!B:AO,24,FALSE),""),""))</f>
        <v/>
      </c>
      <c r="G342" s="202"/>
      <c r="H342" s="75" t="str">
        <f>IF(G342="KGS",IF(B342&lt;&gt;"",IFERROR(ROUND(VLOOKUP(B342,ProductList!B:BG,58,FALSE),3),""),""),IF(B342&lt;&gt;"",IFERROR(ROUND(VLOOKUP(B342,ProductList!B:BG,57,FALSE),3),""),""))</f>
        <v/>
      </c>
      <c r="I342" s="75" t="str">
        <f t="shared" si="10"/>
        <v/>
      </c>
      <c r="J342" s="1" t="str">
        <f>IFERROR(VLOOKUP(B342,ProductList!B:AO,21,FALSE),"")</f>
        <v/>
      </c>
      <c r="K342" s="1" t="str">
        <f>IF(G342="KGS",IF(D342&lt;&gt;"",IFERROR(ROUND(VLOOKUP(D342,ProductList!J:BG,47,FALSE),3),""),""),IF(D342&lt;&gt;"",IFERROR(ROUND(VLOOKUP(D342,ProductList!J:BG,46,FALSE),3),""),""))</f>
        <v/>
      </c>
      <c r="L342" s="1" t="str">
        <f t="shared" si="11"/>
        <v/>
      </c>
    </row>
    <row r="343" spans="1:12" x14ac:dyDescent="0.25">
      <c r="A343" s="304"/>
      <c r="B343" s="73"/>
      <c r="C343" s="73"/>
      <c r="D343" s="104"/>
      <c r="E343" s="122"/>
      <c r="F343" s="73" t="str">
        <f>IF(G343="KGS",IF(B343&lt;&gt;"",IFERROR(VLOOKUP(B343,ProductList!B:AO,21,FALSE),""),""),IF(D343&lt;&gt;"",IFERROR(VLOOKUP(B343,ProductList!B:AO,24,FALSE),""),""))</f>
        <v/>
      </c>
      <c r="G343" s="202"/>
      <c r="H343" s="75" t="str">
        <f>IF(G343="KGS",IF(B343&lt;&gt;"",IFERROR(ROUND(VLOOKUP(B343,ProductList!B:BG,58,FALSE),3),""),""),IF(B343&lt;&gt;"",IFERROR(ROUND(VLOOKUP(B343,ProductList!B:BG,57,FALSE),3),""),""))</f>
        <v/>
      </c>
      <c r="I343" s="75" t="str">
        <f t="shared" si="10"/>
        <v/>
      </c>
      <c r="J343" s="1" t="str">
        <f>IFERROR(VLOOKUP(B343,ProductList!B:AO,21,FALSE),"")</f>
        <v/>
      </c>
      <c r="K343" s="1" t="str">
        <f>IF(G343="KGS",IF(D343&lt;&gt;"",IFERROR(ROUND(VLOOKUP(D343,ProductList!J:BG,47,FALSE),3),""),""),IF(D343&lt;&gt;"",IFERROR(ROUND(VLOOKUP(D343,ProductList!J:BG,46,FALSE),3),""),""))</f>
        <v/>
      </c>
      <c r="L343" s="1" t="str">
        <f t="shared" si="11"/>
        <v/>
      </c>
    </row>
    <row r="344" spans="1:12" x14ac:dyDescent="0.25">
      <c r="A344" s="304"/>
      <c r="B344" s="73"/>
      <c r="C344" s="73"/>
      <c r="D344" s="104"/>
      <c r="E344" s="122"/>
      <c r="F344" s="73" t="str">
        <f>IF(G344="KGS",IF(B344&lt;&gt;"",IFERROR(VLOOKUP(B344,ProductList!B:AO,21,FALSE),""),""),IF(D344&lt;&gt;"",IFERROR(VLOOKUP(B344,ProductList!B:AO,24,FALSE),""),""))</f>
        <v/>
      </c>
      <c r="G344" s="202"/>
      <c r="H344" s="75" t="str">
        <f>IF(G344="KGS",IF(B344&lt;&gt;"",IFERROR(ROUND(VLOOKUP(B344,ProductList!B:BG,58,FALSE),3),""),""),IF(B344&lt;&gt;"",IFERROR(ROUND(VLOOKUP(B344,ProductList!B:BG,57,FALSE),3),""),""))</f>
        <v/>
      </c>
      <c r="I344" s="75" t="str">
        <f t="shared" si="10"/>
        <v/>
      </c>
      <c r="J344" s="1" t="str">
        <f>IFERROR(VLOOKUP(B344,ProductList!B:AO,21,FALSE),"")</f>
        <v/>
      </c>
      <c r="K344" s="1" t="str">
        <f>IF(G344="KGS",IF(D344&lt;&gt;"",IFERROR(ROUND(VLOOKUP(D344,ProductList!J:BG,47,FALSE),3),""),""),IF(D344&lt;&gt;"",IFERROR(ROUND(VLOOKUP(D344,ProductList!J:BG,46,FALSE),3),""),""))</f>
        <v/>
      </c>
      <c r="L344" s="1" t="str">
        <f t="shared" si="11"/>
        <v/>
      </c>
    </row>
    <row r="345" spans="1:12" x14ac:dyDescent="0.25">
      <c r="A345" s="304"/>
      <c r="B345" s="73"/>
      <c r="C345" s="73"/>
      <c r="D345" s="104"/>
      <c r="E345" s="122"/>
      <c r="F345" s="73" t="str">
        <f>IF(G345="KGS",IF(B345&lt;&gt;"",IFERROR(VLOOKUP(B345,ProductList!B:AO,21,FALSE),""),""),IF(D345&lt;&gt;"",IFERROR(VLOOKUP(B345,ProductList!B:AO,24,FALSE),""),""))</f>
        <v/>
      </c>
      <c r="G345" s="202"/>
      <c r="H345" s="75" t="str">
        <f>IF(G345="KGS",IF(B345&lt;&gt;"",IFERROR(ROUND(VLOOKUP(B345,ProductList!B:BG,58,FALSE),3),""),""),IF(B345&lt;&gt;"",IFERROR(ROUND(VLOOKUP(B345,ProductList!B:BG,57,FALSE),3),""),""))</f>
        <v/>
      </c>
      <c r="I345" s="75" t="str">
        <f t="shared" si="10"/>
        <v/>
      </c>
      <c r="J345" s="1" t="str">
        <f>IFERROR(VLOOKUP(B345,ProductList!B:AO,21,FALSE),"")</f>
        <v/>
      </c>
      <c r="K345" s="1" t="str">
        <f>IF(G345="KGS",IF(D345&lt;&gt;"",IFERROR(ROUND(VLOOKUP(D345,ProductList!J:BG,47,FALSE),3),""),""),IF(D345&lt;&gt;"",IFERROR(ROUND(VLOOKUP(D345,ProductList!J:BG,46,FALSE),3),""),""))</f>
        <v/>
      </c>
      <c r="L345" s="1" t="str">
        <f t="shared" si="11"/>
        <v/>
      </c>
    </row>
    <row r="346" spans="1:12" x14ac:dyDescent="0.25">
      <c r="A346" s="304"/>
      <c r="B346" s="73"/>
      <c r="C346" s="73"/>
      <c r="D346" s="104"/>
      <c r="E346" s="122"/>
      <c r="F346" s="73" t="str">
        <f>IF(G346="KGS",IF(B346&lt;&gt;"",IFERROR(VLOOKUP(B346,ProductList!B:AO,21,FALSE),""),""),IF(D346&lt;&gt;"",IFERROR(VLOOKUP(B346,ProductList!B:AO,24,FALSE),""),""))</f>
        <v/>
      </c>
      <c r="G346" s="202"/>
      <c r="H346" s="75" t="str">
        <f>IF(G346="KGS",IF(B346&lt;&gt;"",IFERROR(ROUND(VLOOKUP(B346,ProductList!B:BG,58,FALSE),3),""),""),IF(B346&lt;&gt;"",IFERROR(ROUND(VLOOKUP(B346,ProductList!B:BG,57,FALSE),3),""),""))</f>
        <v/>
      </c>
      <c r="I346" s="75" t="str">
        <f t="shared" si="10"/>
        <v/>
      </c>
      <c r="J346" s="1" t="str">
        <f>IFERROR(VLOOKUP(B346,ProductList!B:AO,21,FALSE),"")</f>
        <v/>
      </c>
      <c r="K346" s="1" t="str">
        <f>IF(G346="KGS",IF(D346&lt;&gt;"",IFERROR(ROUND(VLOOKUP(D346,ProductList!J:BG,47,FALSE),3),""),""),IF(D346&lt;&gt;"",IFERROR(ROUND(VLOOKUP(D346,ProductList!J:BG,46,FALSE),3),""),""))</f>
        <v/>
      </c>
      <c r="L346" s="1" t="str">
        <f t="shared" si="11"/>
        <v/>
      </c>
    </row>
    <row r="347" spans="1:12" x14ac:dyDescent="0.25">
      <c r="A347" s="304"/>
      <c r="B347" s="73"/>
      <c r="C347" s="73"/>
      <c r="D347" s="104"/>
      <c r="E347" s="122"/>
      <c r="F347" s="73" t="str">
        <f>IF(G347="KGS",IF(B347&lt;&gt;"",IFERROR(VLOOKUP(B347,ProductList!B:AO,21,FALSE),""),""),IF(D347&lt;&gt;"",IFERROR(VLOOKUP(B347,ProductList!B:AO,24,FALSE),""),""))</f>
        <v/>
      </c>
      <c r="G347" s="202"/>
      <c r="H347" s="75" t="str">
        <f>IF(G347="KGS",IF(B347&lt;&gt;"",IFERROR(ROUND(VLOOKUP(B347,ProductList!B:BG,58,FALSE),3),""),""),IF(B347&lt;&gt;"",IFERROR(ROUND(VLOOKUP(B347,ProductList!B:BG,57,FALSE),3),""),""))</f>
        <v/>
      </c>
      <c r="I347" s="75" t="str">
        <f t="shared" si="10"/>
        <v/>
      </c>
      <c r="J347" s="1" t="str">
        <f>IFERROR(VLOOKUP(B347,ProductList!B:AO,21,FALSE),"")</f>
        <v/>
      </c>
      <c r="K347" s="1" t="str">
        <f>IF(G347="KGS",IF(D347&lt;&gt;"",IFERROR(ROUND(VLOOKUP(D347,ProductList!J:BG,47,FALSE),3),""),""),IF(D347&lt;&gt;"",IFERROR(ROUND(VLOOKUP(D347,ProductList!J:BG,46,FALSE),3),""),""))</f>
        <v/>
      </c>
      <c r="L347" s="1" t="str">
        <f t="shared" si="11"/>
        <v/>
      </c>
    </row>
    <row r="348" spans="1:12" x14ac:dyDescent="0.25">
      <c r="A348" s="304"/>
      <c r="B348" s="73"/>
      <c r="C348" s="73"/>
      <c r="D348" s="104"/>
      <c r="E348" s="122"/>
      <c r="F348" s="73" t="str">
        <f>IF(G348="KGS",IF(B348&lt;&gt;"",IFERROR(VLOOKUP(B348,ProductList!B:AO,21,FALSE),""),""),IF(D348&lt;&gt;"",IFERROR(VLOOKUP(B348,ProductList!B:AO,24,FALSE),""),""))</f>
        <v/>
      </c>
      <c r="G348" s="202"/>
      <c r="H348" s="75" t="str">
        <f>IF(G348="KGS",IF(B348&lt;&gt;"",IFERROR(ROUND(VLOOKUP(B348,ProductList!B:BG,58,FALSE),3),""),""),IF(B348&lt;&gt;"",IFERROR(ROUND(VLOOKUP(B348,ProductList!B:BG,57,FALSE),3),""),""))</f>
        <v/>
      </c>
      <c r="I348" s="75" t="str">
        <f t="shared" si="10"/>
        <v/>
      </c>
      <c r="J348" s="1" t="str">
        <f>IFERROR(VLOOKUP(B348,ProductList!B:AO,21,FALSE),"")</f>
        <v/>
      </c>
      <c r="K348" s="1" t="str">
        <f>IF(G348="KGS",IF(D348&lt;&gt;"",IFERROR(ROUND(VLOOKUP(D348,ProductList!J:BG,47,FALSE),3),""),""),IF(D348&lt;&gt;"",IFERROR(ROUND(VLOOKUP(D348,ProductList!J:BG,46,FALSE),3),""),""))</f>
        <v/>
      </c>
      <c r="L348" s="1" t="str">
        <f t="shared" si="11"/>
        <v/>
      </c>
    </row>
    <row r="349" spans="1:12" x14ac:dyDescent="0.25">
      <c r="A349" s="304"/>
      <c r="B349" s="73"/>
      <c r="C349" s="73"/>
      <c r="D349" s="104"/>
      <c r="E349" s="122"/>
      <c r="F349" s="73" t="str">
        <f>IF(G349="KGS",IF(B349&lt;&gt;"",IFERROR(VLOOKUP(B349,ProductList!B:AO,21,FALSE),""),""),IF(D349&lt;&gt;"",IFERROR(VLOOKUP(B349,ProductList!B:AO,24,FALSE),""),""))</f>
        <v/>
      </c>
      <c r="G349" s="202"/>
      <c r="H349" s="75" t="str">
        <f>IF(G349="KGS",IF(B349&lt;&gt;"",IFERROR(ROUND(VLOOKUP(B349,ProductList!B:BG,58,FALSE),3),""),""),IF(B349&lt;&gt;"",IFERROR(ROUND(VLOOKUP(B349,ProductList!B:BG,57,FALSE),3),""),""))</f>
        <v/>
      </c>
      <c r="I349" s="75" t="str">
        <f t="shared" si="10"/>
        <v/>
      </c>
      <c r="J349" s="1" t="str">
        <f>IFERROR(VLOOKUP(B349,ProductList!B:AO,21,FALSE),"")</f>
        <v/>
      </c>
      <c r="K349" s="1" t="str">
        <f>IF(G349="KGS",IF(D349&lt;&gt;"",IFERROR(ROUND(VLOOKUP(D349,ProductList!J:BG,47,FALSE),3),""),""),IF(D349&lt;&gt;"",IFERROR(ROUND(VLOOKUP(D349,ProductList!J:BG,46,FALSE),3),""),""))</f>
        <v/>
      </c>
      <c r="L349" s="1" t="str">
        <f t="shared" si="11"/>
        <v/>
      </c>
    </row>
    <row r="350" spans="1:12" x14ac:dyDescent="0.25">
      <c r="A350" s="304"/>
      <c r="B350" s="73"/>
      <c r="C350" s="73"/>
      <c r="D350" s="104"/>
      <c r="E350" s="122"/>
      <c r="F350" s="73" t="str">
        <f>IF(G350="KGS",IF(B350&lt;&gt;"",IFERROR(VLOOKUP(B350,ProductList!B:AO,21,FALSE),""),""),IF(D350&lt;&gt;"",IFERROR(VLOOKUP(B350,ProductList!B:AO,24,FALSE),""),""))</f>
        <v/>
      </c>
      <c r="G350" s="202"/>
      <c r="H350" s="75" t="str">
        <f>IF(G350="KGS",IF(B350&lt;&gt;"",IFERROR(ROUND(VLOOKUP(B350,ProductList!B:BG,58,FALSE),3),""),""),IF(B350&lt;&gt;"",IFERROR(ROUND(VLOOKUP(B350,ProductList!B:BG,57,FALSE),3),""),""))</f>
        <v/>
      </c>
      <c r="I350" s="75" t="str">
        <f t="shared" si="10"/>
        <v/>
      </c>
      <c r="J350" s="1" t="str">
        <f>IFERROR(VLOOKUP(B350,ProductList!B:AO,21,FALSE),"")</f>
        <v/>
      </c>
      <c r="K350" s="1" t="str">
        <f>IF(G350="KGS",IF(D350&lt;&gt;"",IFERROR(ROUND(VLOOKUP(D350,ProductList!J:BG,47,FALSE),3),""),""),IF(D350&lt;&gt;"",IFERROR(ROUND(VLOOKUP(D350,ProductList!J:BG,46,FALSE),3),""),""))</f>
        <v/>
      </c>
      <c r="L350" s="1" t="str">
        <f t="shared" si="11"/>
        <v/>
      </c>
    </row>
    <row r="351" spans="1:12" x14ac:dyDescent="0.25">
      <c r="A351" s="304"/>
      <c r="B351" s="73"/>
      <c r="C351" s="73"/>
      <c r="D351" s="104"/>
      <c r="E351" s="122"/>
      <c r="F351" s="73" t="str">
        <f>IF(G351="KGS",IF(B351&lt;&gt;"",IFERROR(VLOOKUP(B351,ProductList!B:AO,21,FALSE),""),""),IF(D351&lt;&gt;"",IFERROR(VLOOKUP(B351,ProductList!B:AO,24,FALSE),""),""))</f>
        <v/>
      </c>
      <c r="G351" s="202"/>
      <c r="H351" s="75" t="str">
        <f>IF(G351="KGS",IF(B351&lt;&gt;"",IFERROR(ROUND(VLOOKUP(B351,ProductList!B:BG,58,FALSE),3),""),""),IF(B351&lt;&gt;"",IFERROR(ROUND(VLOOKUP(B351,ProductList!B:BG,57,FALSE),3),""),""))</f>
        <v/>
      </c>
      <c r="I351" s="75" t="str">
        <f t="shared" si="10"/>
        <v/>
      </c>
      <c r="J351" s="1" t="str">
        <f>IFERROR(VLOOKUP(B351,ProductList!B:AO,21,FALSE),"")</f>
        <v/>
      </c>
      <c r="K351" s="1" t="str">
        <f>IF(G351="KGS",IF(D351&lt;&gt;"",IFERROR(ROUND(VLOOKUP(D351,ProductList!J:BG,47,FALSE),3),""),""),IF(D351&lt;&gt;"",IFERROR(ROUND(VLOOKUP(D351,ProductList!J:BG,46,FALSE),3),""),""))</f>
        <v/>
      </c>
      <c r="L351" s="1" t="str">
        <f t="shared" si="11"/>
        <v/>
      </c>
    </row>
    <row r="352" spans="1:12" x14ac:dyDescent="0.25">
      <c r="A352" s="304"/>
      <c r="B352" s="73"/>
      <c r="C352" s="73"/>
      <c r="D352" s="104"/>
      <c r="E352" s="122"/>
      <c r="F352" s="73" t="str">
        <f>IF(G352="KGS",IF(B352&lt;&gt;"",IFERROR(VLOOKUP(B352,ProductList!B:AO,21,FALSE),""),""),IF(D352&lt;&gt;"",IFERROR(VLOOKUP(B352,ProductList!B:AO,24,FALSE),""),""))</f>
        <v/>
      </c>
      <c r="G352" s="202"/>
      <c r="H352" s="75" t="str">
        <f>IF(G352="KGS",IF(B352&lt;&gt;"",IFERROR(ROUND(VLOOKUP(B352,ProductList!B:BG,58,FALSE),3),""),""),IF(B352&lt;&gt;"",IFERROR(ROUND(VLOOKUP(B352,ProductList!B:BG,57,FALSE),3),""),""))</f>
        <v/>
      </c>
      <c r="I352" s="75" t="str">
        <f t="shared" si="10"/>
        <v/>
      </c>
      <c r="J352" s="1" t="str">
        <f>IFERROR(VLOOKUP(B352,ProductList!B:AO,21,FALSE),"")</f>
        <v/>
      </c>
      <c r="K352" s="1" t="str">
        <f>IF(G352="KGS",IF(D352&lt;&gt;"",IFERROR(ROUND(VLOOKUP(D352,ProductList!J:BG,47,FALSE),3),""),""),IF(D352&lt;&gt;"",IFERROR(ROUND(VLOOKUP(D352,ProductList!J:BG,46,FALSE),3),""),""))</f>
        <v/>
      </c>
      <c r="L352" s="1" t="str">
        <f t="shared" si="11"/>
        <v/>
      </c>
    </row>
    <row r="353" spans="1:12" x14ac:dyDescent="0.25">
      <c r="A353" s="304"/>
      <c r="B353" s="73"/>
      <c r="C353" s="73"/>
      <c r="D353" s="104"/>
      <c r="E353" s="122"/>
      <c r="F353" s="73" t="str">
        <f>IF(G353="KGS",IF(B353&lt;&gt;"",IFERROR(VLOOKUP(B353,ProductList!B:AO,21,FALSE),""),""),IF(D353&lt;&gt;"",IFERROR(VLOOKUP(B353,ProductList!B:AO,24,FALSE),""),""))</f>
        <v/>
      </c>
      <c r="G353" s="202"/>
      <c r="H353" s="75" t="str">
        <f>IF(G353="KGS",IF(B353&lt;&gt;"",IFERROR(ROUND(VLOOKUP(B353,ProductList!B:BG,58,FALSE),3),""),""),IF(B353&lt;&gt;"",IFERROR(ROUND(VLOOKUP(B353,ProductList!B:BG,57,FALSE),3),""),""))</f>
        <v/>
      </c>
      <c r="I353" s="75" t="str">
        <f t="shared" si="10"/>
        <v/>
      </c>
      <c r="J353" s="1" t="str">
        <f>IFERROR(VLOOKUP(B353,ProductList!B:AO,21,FALSE),"")</f>
        <v/>
      </c>
      <c r="K353" s="1" t="str">
        <f>IF(G353="KGS",IF(D353&lt;&gt;"",IFERROR(ROUND(VLOOKUP(D353,ProductList!J:BG,47,FALSE),3),""),""),IF(D353&lt;&gt;"",IFERROR(ROUND(VLOOKUP(D353,ProductList!J:BG,46,FALSE),3),""),""))</f>
        <v/>
      </c>
      <c r="L353" s="1" t="str">
        <f t="shared" si="11"/>
        <v/>
      </c>
    </row>
    <row r="354" spans="1:12" x14ac:dyDescent="0.25">
      <c r="A354" s="304"/>
      <c r="B354" s="73"/>
      <c r="C354" s="73"/>
      <c r="D354" s="104"/>
      <c r="E354" s="122"/>
      <c r="F354" s="73" t="str">
        <f>IF(G354="KGS",IF(B354&lt;&gt;"",IFERROR(VLOOKUP(B354,ProductList!B:AO,21,FALSE),""),""),IF(D354&lt;&gt;"",IFERROR(VLOOKUP(B354,ProductList!B:AO,24,FALSE),""),""))</f>
        <v/>
      </c>
      <c r="G354" s="202"/>
      <c r="H354" s="75" t="str">
        <f>IF(G354="KGS",IF(B354&lt;&gt;"",IFERROR(ROUND(VLOOKUP(B354,ProductList!B:BG,58,FALSE),3),""),""),IF(B354&lt;&gt;"",IFERROR(ROUND(VLOOKUP(B354,ProductList!B:BG,57,FALSE),3),""),""))</f>
        <v/>
      </c>
      <c r="I354" s="75" t="str">
        <f t="shared" si="10"/>
        <v/>
      </c>
      <c r="J354" s="1" t="str">
        <f>IFERROR(VLOOKUP(B354,ProductList!B:AO,21,FALSE),"")</f>
        <v/>
      </c>
      <c r="K354" s="1" t="str">
        <f>IF(G354="KGS",IF(D354&lt;&gt;"",IFERROR(ROUND(VLOOKUP(D354,ProductList!J:BG,47,FALSE),3),""),""),IF(D354&lt;&gt;"",IFERROR(ROUND(VLOOKUP(D354,ProductList!J:BG,46,FALSE),3),""),""))</f>
        <v/>
      </c>
      <c r="L354" s="1" t="str">
        <f t="shared" si="11"/>
        <v/>
      </c>
    </row>
    <row r="355" spans="1:12" x14ac:dyDescent="0.25">
      <c r="A355" s="304"/>
      <c r="B355" s="73"/>
      <c r="C355" s="73"/>
      <c r="D355" s="104"/>
      <c r="E355" s="122"/>
      <c r="F355" s="73" t="str">
        <f>IF(G355="KGS",IF(B355&lt;&gt;"",IFERROR(VLOOKUP(B355,ProductList!B:AO,21,FALSE),""),""),IF(D355&lt;&gt;"",IFERROR(VLOOKUP(B355,ProductList!B:AO,24,FALSE),""),""))</f>
        <v/>
      </c>
      <c r="G355" s="202"/>
      <c r="H355" s="75" t="str">
        <f>IF(G355="KGS",IF(B355&lt;&gt;"",IFERROR(ROUND(VLOOKUP(B355,ProductList!B:BG,58,FALSE),3),""),""),IF(B355&lt;&gt;"",IFERROR(ROUND(VLOOKUP(B355,ProductList!B:BG,57,FALSE),3),""),""))</f>
        <v/>
      </c>
      <c r="I355" s="75" t="str">
        <f t="shared" si="10"/>
        <v/>
      </c>
      <c r="J355" s="1" t="str">
        <f>IFERROR(VLOOKUP(B355,ProductList!B:AO,21,FALSE),"")</f>
        <v/>
      </c>
      <c r="K355" s="1" t="str">
        <f>IF(G355="KGS",IF(D355&lt;&gt;"",IFERROR(ROUND(VLOOKUP(D355,ProductList!J:BG,47,FALSE),3),""),""),IF(D355&lt;&gt;"",IFERROR(ROUND(VLOOKUP(D355,ProductList!J:BG,46,FALSE),3),""),""))</f>
        <v/>
      </c>
      <c r="L355" s="1" t="str">
        <f t="shared" si="11"/>
        <v/>
      </c>
    </row>
    <row r="356" spans="1:12" x14ac:dyDescent="0.25">
      <c r="A356" s="304"/>
      <c r="B356" s="73"/>
      <c r="C356" s="73"/>
      <c r="D356" s="104"/>
      <c r="E356" s="122"/>
      <c r="F356" s="73" t="str">
        <f>IF(G356="KGS",IF(B356&lt;&gt;"",IFERROR(VLOOKUP(B356,ProductList!B:AO,21,FALSE),""),""),IF(D356&lt;&gt;"",IFERROR(VLOOKUP(B356,ProductList!B:AO,24,FALSE),""),""))</f>
        <v/>
      </c>
      <c r="G356" s="202"/>
      <c r="H356" s="75" t="str">
        <f>IF(G356="KGS",IF(B356&lt;&gt;"",IFERROR(ROUND(VLOOKUP(B356,ProductList!B:BG,58,FALSE),3),""),""),IF(B356&lt;&gt;"",IFERROR(ROUND(VLOOKUP(B356,ProductList!B:BG,57,FALSE),3),""),""))</f>
        <v/>
      </c>
      <c r="I356" s="75" t="str">
        <f t="shared" si="10"/>
        <v/>
      </c>
      <c r="J356" s="1" t="str">
        <f>IFERROR(VLOOKUP(B356,ProductList!B:AO,21,FALSE),"")</f>
        <v/>
      </c>
      <c r="K356" s="1" t="str">
        <f>IF(G356="KGS",IF(D356&lt;&gt;"",IFERROR(ROUND(VLOOKUP(D356,ProductList!J:BG,47,FALSE),3),""),""),IF(D356&lt;&gt;"",IFERROR(ROUND(VLOOKUP(D356,ProductList!J:BG,46,FALSE),3),""),""))</f>
        <v/>
      </c>
      <c r="L356" s="1" t="str">
        <f t="shared" si="11"/>
        <v/>
      </c>
    </row>
    <row r="357" spans="1:12" x14ac:dyDescent="0.25">
      <c r="A357" s="304"/>
      <c r="B357" s="73"/>
      <c r="C357" s="73"/>
      <c r="D357" s="104"/>
      <c r="E357" s="122"/>
      <c r="F357" s="73" t="str">
        <f>IF(G357="KGS",IF(B357&lt;&gt;"",IFERROR(VLOOKUP(B357,ProductList!B:AO,21,FALSE),""),""),IF(D357&lt;&gt;"",IFERROR(VLOOKUP(B357,ProductList!B:AO,24,FALSE),""),""))</f>
        <v/>
      </c>
      <c r="G357" s="202"/>
      <c r="H357" s="75" t="str">
        <f>IF(G357="KGS",IF(B357&lt;&gt;"",IFERROR(ROUND(VLOOKUP(B357,ProductList!B:BG,58,FALSE),3),""),""),IF(B357&lt;&gt;"",IFERROR(ROUND(VLOOKUP(B357,ProductList!B:BG,57,FALSE),3),""),""))</f>
        <v/>
      </c>
      <c r="I357" s="75" t="str">
        <f t="shared" si="10"/>
        <v/>
      </c>
      <c r="J357" s="1" t="str">
        <f>IFERROR(VLOOKUP(B357,ProductList!B:AO,21,FALSE),"")</f>
        <v/>
      </c>
      <c r="K357" s="1" t="str">
        <f>IF(G357="KGS",IF(D357&lt;&gt;"",IFERROR(ROUND(VLOOKUP(D357,ProductList!J:BG,47,FALSE),3),""),""),IF(D357&lt;&gt;"",IFERROR(ROUND(VLOOKUP(D357,ProductList!J:BG,46,FALSE),3),""),""))</f>
        <v/>
      </c>
      <c r="L357" s="1" t="str">
        <f t="shared" si="11"/>
        <v/>
      </c>
    </row>
    <row r="358" spans="1:12" x14ac:dyDescent="0.25">
      <c r="A358" s="304"/>
      <c r="B358" s="73"/>
      <c r="C358" s="73"/>
      <c r="D358" s="104"/>
      <c r="E358" s="122"/>
      <c r="F358" s="73" t="str">
        <f>IF(G358="KGS",IF(B358&lt;&gt;"",IFERROR(VLOOKUP(B358,ProductList!B:AO,21,FALSE),""),""),IF(D358&lt;&gt;"",IFERROR(VLOOKUP(B358,ProductList!B:AO,24,FALSE),""),""))</f>
        <v/>
      </c>
      <c r="G358" s="202"/>
      <c r="H358" s="75" t="str">
        <f>IF(G358="KGS",IF(B358&lt;&gt;"",IFERROR(ROUND(VLOOKUP(B358,ProductList!B:BG,58,FALSE),3),""),""),IF(B358&lt;&gt;"",IFERROR(ROUND(VLOOKUP(B358,ProductList!B:BG,57,FALSE),3),""),""))</f>
        <v/>
      </c>
      <c r="I358" s="75" t="str">
        <f t="shared" si="10"/>
        <v/>
      </c>
      <c r="J358" s="1" t="str">
        <f>IFERROR(VLOOKUP(B358,ProductList!B:AO,21,FALSE),"")</f>
        <v/>
      </c>
      <c r="K358" s="1" t="str">
        <f>IF(G358="KGS",IF(D358&lt;&gt;"",IFERROR(ROUND(VLOOKUP(D358,ProductList!J:BG,47,FALSE),3),""),""),IF(D358&lt;&gt;"",IFERROR(ROUND(VLOOKUP(D358,ProductList!J:BG,46,FALSE),3),""),""))</f>
        <v/>
      </c>
      <c r="L358" s="1" t="str">
        <f t="shared" si="11"/>
        <v/>
      </c>
    </row>
    <row r="359" spans="1:12" x14ac:dyDescent="0.25">
      <c r="A359" s="304"/>
      <c r="B359" s="73"/>
      <c r="C359" s="73"/>
      <c r="D359" s="104"/>
      <c r="E359" s="122"/>
      <c r="F359" s="73" t="str">
        <f>IF(G359="KGS",IF(B359&lt;&gt;"",IFERROR(VLOOKUP(B359,ProductList!B:AO,21,FALSE),""),""),IF(D359&lt;&gt;"",IFERROR(VLOOKUP(B359,ProductList!B:AO,24,FALSE),""),""))</f>
        <v/>
      </c>
      <c r="G359" s="202"/>
      <c r="H359" s="75" t="str">
        <f>IF(G359="KGS",IF(B359&lt;&gt;"",IFERROR(ROUND(VLOOKUP(B359,ProductList!B:BG,58,FALSE),3),""),""),IF(B359&lt;&gt;"",IFERROR(ROUND(VLOOKUP(B359,ProductList!B:BG,57,FALSE),3),""),""))</f>
        <v/>
      </c>
      <c r="I359" s="75" t="str">
        <f t="shared" si="10"/>
        <v/>
      </c>
      <c r="J359" s="1" t="str">
        <f>IFERROR(VLOOKUP(B359,ProductList!B:AO,21,FALSE),"")</f>
        <v/>
      </c>
      <c r="K359" s="1" t="str">
        <f>IF(G359="KGS",IF(D359&lt;&gt;"",IFERROR(ROUND(VLOOKUP(D359,ProductList!J:BG,47,FALSE),3),""),""),IF(D359&lt;&gt;"",IFERROR(ROUND(VLOOKUP(D359,ProductList!J:BG,46,FALSE),3),""),""))</f>
        <v/>
      </c>
      <c r="L359" s="1" t="str">
        <f t="shared" si="11"/>
        <v/>
      </c>
    </row>
    <row r="360" spans="1:12" x14ac:dyDescent="0.25">
      <c r="A360" s="304"/>
      <c r="B360" s="73"/>
      <c r="C360" s="73"/>
      <c r="D360" s="104"/>
      <c r="E360" s="122"/>
      <c r="F360" s="73" t="str">
        <f>IF(G360="KGS",IF(B360&lt;&gt;"",IFERROR(VLOOKUP(B360,ProductList!B:AO,21,FALSE),""),""),IF(D360&lt;&gt;"",IFERROR(VLOOKUP(B360,ProductList!B:AO,24,FALSE),""),""))</f>
        <v/>
      </c>
      <c r="G360" s="202"/>
      <c r="H360" s="75" t="str">
        <f>IF(G360="KGS",IF(B360&lt;&gt;"",IFERROR(ROUND(VLOOKUP(B360,ProductList!B:BG,58,FALSE),3),""),""),IF(B360&lt;&gt;"",IFERROR(ROUND(VLOOKUP(B360,ProductList!B:BG,57,FALSE),3),""),""))</f>
        <v/>
      </c>
      <c r="I360" s="75" t="str">
        <f t="shared" si="10"/>
        <v/>
      </c>
      <c r="J360" s="1" t="str">
        <f>IFERROR(VLOOKUP(B360,ProductList!B:AO,21,FALSE),"")</f>
        <v/>
      </c>
      <c r="K360" s="1" t="str">
        <f>IF(G360="KGS",IF(D360&lt;&gt;"",IFERROR(ROUND(VLOOKUP(D360,ProductList!J:BG,47,FALSE),3),""),""),IF(D360&lt;&gt;"",IFERROR(ROUND(VLOOKUP(D360,ProductList!J:BG,46,FALSE),3),""),""))</f>
        <v/>
      </c>
      <c r="L360" s="1" t="str">
        <f t="shared" si="11"/>
        <v/>
      </c>
    </row>
    <row r="361" spans="1:12" x14ac:dyDescent="0.25">
      <c r="A361" s="304"/>
      <c r="B361" s="73"/>
      <c r="C361" s="73"/>
      <c r="D361" s="104"/>
      <c r="E361" s="122"/>
      <c r="F361" s="73" t="str">
        <f>IF(G361="KGS",IF(B361&lt;&gt;"",IFERROR(VLOOKUP(B361,ProductList!B:AO,21,FALSE),""),""),IF(D361&lt;&gt;"",IFERROR(VLOOKUP(B361,ProductList!B:AO,24,FALSE),""),""))</f>
        <v/>
      </c>
      <c r="G361" s="202"/>
      <c r="H361" s="75" t="str">
        <f>IF(G361="KGS",IF(B361&lt;&gt;"",IFERROR(ROUND(VLOOKUP(B361,ProductList!B:BG,58,FALSE),3),""),""),IF(B361&lt;&gt;"",IFERROR(ROUND(VLOOKUP(B361,ProductList!B:BG,57,FALSE),3),""),""))</f>
        <v/>
      </c>
      <c r="I361" s="75" t="str">
        <f t="shared" si="10"/>
        <v/>
      </c>
      <c r="J361" s="1" t="str">
        <f>IFERROR(VLOOKUP(B361,ProductList!B:AO,21,FALSE),"")</f>
        <v/>
      </c>
      <c r="K361" s="1" t="str">
        <f>IF(G361="KGS",IF(D361&lt;&gt;"",IFERROR(ROUND(VLOOKUP(D361,ProductList!J:BG,47,FALSE),3),""),""),IF(D361&lt;&gt;"",IFERROR(ROUND(VLOOKUP(D361,ProductList!J:BG,46,FALSE),3),""),""))</f>
        <v/>
      </c>
      <c r="L361" s="1" t="str">
        <f t="shared" si="11"/>
        <v/>
      </c>
    </row>
    <row r="362" spans="1:12" x14ac:dyDescent="0.25">
      <c r="A362" s="304"/>
      <c r="B362" s="73"/>
      <c r="C362" s="73"/>
      <c r="D362" s="104"/>
      <c r="E362" s="122"/>
      <c r="F362" s="73" t="str">
        <f>IF(G362="KGS",IF(B362&lt;&gt;"",IFERROR(VLOOKUP(B362,ProductList!B:AO,21,FALSE),""),""),IF(D362&lt;&gt;"",IFERROR(VLOOKUP(B362,ProductList!B:AO,24,FALSE),""),""))</f>
        <v/>
      </c>
      <c r="G362" s="202"/>
      <c r="H362" s="75" t="str">
        <f>IF(G362="KGS",IF(B362&lt;&gt;"",IFERROR(ROUND(VLOOKUP(B362,ProductList!B:BG,58,FALSE),3),""),""),IF(B362&lt;&gt;"",IFERROR(ROUND(VLOOKUP(B362,ProductList!B:BG,57,FALSE),3),""),""))</f>
        <v/>
      </c>
      <c r="I362" s="75" t="str">
        <f t="shared" si="10"/>
        <v/>
      </c>
      <c r="J362" s="1" t="str">
        <f>IFERROR(VLOOKUP(B362,ProductList!B:AO,21,FALSE),"")</f>
        <v/>
      </c>
      <c r="K362" s="1" t="str">
        <f>IF(G362="KGS",IF(D362&lt;&gt;"",IFERROR(ROUND(VLOOKUP(D362,ProductList!J:BG,47,FALSE),3),""),""),IF(D362&lt;&gt;"",IFERROR(ROUND(VLOOKUP(D362,ProductList!J:BG,46,FALSE),3),""),""))</f>
        <v/>
      </c>
      <c r="L362" s="1" t="str">
        <f t="shared" si="11"/>
        <v/>
      </c>
    </row>
    <row r="363" spans="1:12" x14ac:dyDescent="0.25">
      <c r="A363" s="304"/>
      <c r="B363" s="73"/>
      <c r="C363" s="73"/>
      <c r="D363" s="104"/>
      <c r="E363" s="122"/>
      <c r="F363" s="73" t="str">
        <f>IF(G363="KGS",IF(B363&lt;&gt;"",IFERROR(VLOOKUP(B363,ProductList!B:AO,21,FALSE),""),""),IF(D363&lt;&gt;"",IFERROR(VLOOKUP(B363,ProductList!B:AO,24,FALSE),""),""))</f>
        <v/>
      </c>
      <c r="G363" s="202"/>
      <c r="H363" s="75" t="str">
        <f>IF(G363="KGS",IF(B363&lt;&gt;"",IFERROR(ROUND(VLOOKUP(B363,ProductList!B:BG,58,FALSE),3),""),""),IF(B363&lt;&gt;"",IFERROR(ROUND(VLOOKUP(B363,ProductList!B:BG,57,FALSE),3),""),""))</f>
        <v/>
      </c>
      <c r="I363" s="75" t="str">
        <f t="shared" si="10"/>
        <v/>
      </c>
      <c r="J363" s="1" t="str">
        <f>IFERROR(VLOOKUP(B363,ProductList!B:AO,21,FALSE),"")</f>
        <v/>
      </c>
      <c r="K363" s="1" t="str">
        <f>IF(G363="KGS",IF(D363&lt;&gt;"",IFERROR(ROUND(VLOOKUP(D363,ProductList!J:BG,47,FALSE),3),""),""),IF(D363&lt;&gt;"",IFERROR(ROUND(VLOOKUP(D363,ProductList!J:BG,46,FALSE),3),""),""))</f>
        <v/>
      </c>
      <c r="L363" s="1" t="str">
        <f t="shared" si="11"/>
        <v/>
      </c>
    </row>
    <row r="364" spans="1:12" x14ac:dyDescent="0.25">
      <c r="A364" s="304"/>
      <c r="B364" s="73"/>
      <c r="C364" s="73"/>
      <c r="D364" s="104"/>
      <c r="E364" s="122"/>
      <c r="F364" s="73" t="str">
        <f>IF(G364="KGS",IF(B364&lt;&gt;"",IFERROR(VLOOKUP(B364,ProductList!B:AO,21,FALSE),""),""),IF(D364&lt;&gt;"",IFERROR(VLOOKUP(B364,ProductList!B:AO,24,FALSE),""),""))</f>
        <v/>
      </c>
      <c r="G364" s="202"/>
      <c r="H364" s="75" t="str">
        <f>IF(G364="KGS",IF(B364&lt;&gt;"",IFERROR(ROUND(VLOOKUP(B364,ProductList!B:BG,58,FALSE),3),""),""),IF(B364&lt;&gt;"",IFERROR(ROUND(VLOOKUP(B364,ProductList!B:BG,57,FALSE),3),""),""))</f>
        <v/>
      </c>
      <c r="I364" s="75" t="str">
        <f t="shared" si="10"/>
        <v/>
      </c>
      <c r="J364" s="1" t="str">
        <f>IFERROR(VLOOKUP(B364,ProductList!B:AO,21,FALSE),"")</f>
        <v/>
      </c>
      <c r="K364" s="1" t="str">
        <f>IF(G364="KGS",IF(D364&lt;&gt;"",IFERROR(ROUND(VLOOKUP(D364,ProductList!J:BG,47,FALSE),3),""),""),IF(D364&lt;&gt;"",IFERROR(ROUND(VLOOKUP(D364,ProductList!J:BG,46,FALSE),3),""),""))</f>
        <v/>
      </c>
      <c r="L364" s="1" t="str">
        <f t="shared" si="11"/>
        <v/>
      </c>
    </row>
    <row r="365" spans="1:12" x14ac:dyDescent="0.25">
      <c r="A365" s="304"/>
      <c r="B365" s="73"/>
      <c r="C365" s="73"/>
      <c r="D365" s="104"/>
      <c r="E365" s="122"/>
      <c r="F365" s="73" t="str">
        <f>IF(G365="KGS",IF(B365&lt;&gt;"",IFERROR(VLOOKUP(B365,ProductList!B:AO,21,FALSE),""),""),IF(D365&lt;&gt;"",IFERROR(VLOOKUP(B365,ProductList!B:AO,24,FALSE),""),""))</f>
        <v/>
      </c>
      <c r="G365" s="202"/>
      <c r="H365" s="75" t="str">
        <f>IF(G365="KGS",IF(B365&lt;&gt;"",IFERROR(ROUND(VLOOKUP(B365,ProductList!B:BG,58,FALSE),3),""),""),IF(B365&lt;&gt;"",IFERROR(ROUND(VLOOKUP(B365,ProductList!B:BG,57,FALSE),3),""),""))</f>
        <v/>
      </c>
      <c r="I365" s="75" t="str">
        <f t="shared" si="10"/>
        <v/>
      </c>
      <c r="J365" s="1" t="str">
        <f>IFERROR(VLOOKUP(B365,ProductList!B:AO,21,FALSE),"")</f>
        <v/>
      </c>
      <c r="K365" s="1" t="str">
        <f>IF(G365="KGS",IF(D365&lt;&gt;"",IFERROR(ROUND(VLOOKUP(D365,ProductList!J:BG,47,FALSE),3),""),""),IF(D365&lt;&gt;"",IFERROR(ROUND(VLOOKUP(D365,ProductList!J:BG,46,FALSE),3),""),""))</f>
        <v/>
      </c>
      <c r="L365" s="1" t="str">
        <f t="shared" si="11"/>
        <v/>
      </c>
    </row>
    <row r="366" spans="1:12" x14ac:dyDescent="0.25">
      <c r="A366" s="304"/>
      <c r="B366" s="73"/>
      <c r="C366" s="73"/>
      <c r="D366" s="104"/>
      <c r="E366" s="122"/>
      <c r="F366" s="73" t="str">
        <f>IF(G366="KGS",IF(B366&lt;&gt;"",IFERROR(VLOOKUP(B366,ProductList!B:AO,21,FALSE),""),""),IF(D366&lt;&gt;"",IFERROR(VLOOKUP(B366,ProductList!B:AO,24,FALSE),""),""))</f>
        <v/>
      </c>
      <c r="G366" s="202"/>
      <c r="H366" s="75" t="str">
        <f>IF(G366="KGS",IF(B366&lt;&gt;"",IFERROR(ROUND(VLOOKUP(B366,ProductList!B:BG,58,FALSE),3),""),""),IF(B366&lt;&gt;"",IFERROR(ROUND(VLOOKUP(B366,ProductList!B:BG,57,FALSE),3),""),""))</f>
        <v/>
      </c>
      <c r="I366" s="75" t="str">
        <f t="shared" si="10"/>
        <v/>
      </c>
      <c r="J366" s="1" t="str">
        <f>IFERROR(VLOOKUP(B366,ProductList!B:AO,21,FALSE),"")</f>
        <v/>
      </c>
      <c r="K366" s="1" t="str">
        <f>IF(G366="KGS",IF(D366&lt;&gt;"",IFERROR(ROUND(VLOOKUP(D366,ProductList!J:BG,47,FALSE),3),""),""),IF(D366&lt;&gt;"",IFERROR(ROUND(VLOOKUP(D366,ProductList!J:BG,46,FALSE),3),""),""))</f>
        <v/>
      </c>
      <c r="L366" s="1" t="str">
        <f t="shared" si="11"/>
        <v/>
      </c>
    </row>
    <row r="367" spans="1:12" x14ac:dyDescent="0.25">
      <c r="A367" s="304"/>
      <c r="B367" s="73"/>
      <c r="C367" s="73"/>
      <c r="D367" s="104"/>
      <c r="E367" s="122"/>
      <c r="F367" s="73" t="str">
        <f>IF(G367="KGS",IF(B367&lt;&gt;"",IFERROR(VLOOKUP(B367,ProductList!B:AO,21,FALSE),""),""),IF(D367&lt;&gt;"",IFERROR(VLOOKUP(B367,ProductList!B:AO,24,FALSE),""),""))</f>
        <v/>
      </c>
      <c r="G367" s="202"/>
      <c r="H367" s="75" t="str">
        <f>IF(G367="KGS",IF(B367&lt;&gt;"",IFERROR(ROUND(VLOOKUP(B367,ProductList!B:BG,58,FALSE),3),""),""),IF(B367&lt;&gt;"",IFERROR(ROUND(VLOOKUP(B367,ProductList!B:BG,57,FALSE),3),""),""))</f>
        <v/>
      </c>
      <c r="I367" s="75" t="str">
        <f t="shared" si="10"/>
        <v/>
      </c>
      <c r="J367" s="1" t="str">
        <f>IFERROR(VLOOKUP(B367,ProductList!B:AO,21,FALSE),"")</f>
        <v/>
      </c>
      <c r="K367" s="1" t="str">
        <f>IF(G367="KGS",IF(D367&lt;&gt;"",IFERROR(ROUND(VLOOKUP(D367,ProductList!J:BG,47,FALSE),3),""),""),IF(D367&lt;&gt;"",IFERROR(ROUND(VLOOKUP(D367,ProductList!J:BG,46,FALSE),3),""),""))</f>
        <v/>
      </c>
      <c r="L367" s="1" t="str">
        <f t="shared" si="11"/>
        <v/>
      </c>
    </row>
    <row r="368" spans="1:12" x14ac:dyDescent="0.25">
      <c r="A368" s="304"/>
      <c r="B368" s="73"/>
      <c r="C368" s="73"/>
      <c r="D368" s="104"/>
      <c r="E368" s="122"/>
      <c r="F368" s="73" t="str">
        <f>IF(G368="KGS",IF(B368&lt;&gt;"",IFERROR(VLOOKUP(B368,ProductList!B:AO,21,FALSE),""),""),IF(D368&lt;&gt;"",IFERROR(VLOOKUP(B368,ProductList!B:AO,24,FALSE),""),""))</f>
        <v/>
      </c>
      <c r="G368" s="202"/>
      <c r="H368" s="75" t="str">
        <f>IF(G368="KGS",IF(B368&lt;&gt;"",IFERROR(ROUND(VLOOKUP(B368,ProductList!B:BG,58,FALSE),3),""),""),IF(B368&lt;&gt;"",IFERROR(ROUND(VLOOKUP(B368,ProductList!B:BG,57,FALSE),3),""),""))</f>
        <v/>
      </c>
      <c r="I368" s="75" t="str">
        <f t="shared" si="10"/>
        <v/>
      </c>
      <c r="J368" s="1" t="str">
        <f>IFERROR(VLOOKUP(B368,ProductList!B:AO,21,FALSE),"")</f>
        <v/>
      </c>
      <c r="K368" s="1" t="str">
        <f>IF(G368="KGS",IF(D368&lt;&gt;"",IFERROR(ROUND(VLOOKUP(D368,ProductList!J:BG,47,FALSE),3),""),""),IF(D368&lt;&gt;"",IFERROR(ROUND(VLOOKUP(D368,ProductList!J:BG,46,FALSE),3),""),""))</f>
        <v/>
      </c>
      <c r="L368" s="1" t="str">
        <f t="shared" si="11"/>
        <v/>
      </c>
    </row>
    <row r="369" spans="1:12" x14ac:dyDescent="0.25">
      <c r="A369" s="304"/>
      <c r="B369" s="73"/>
      <c r="C369" s="73"/>
      <c r="D369" s="104"/>
      <c r="E369" s="122"/>
      <c r="F369" s="73" t="str">
        <f>IF(G369="KGS",IF(B369&lt;&gt;"",IFERROR(VLOOKUP(B369,ProductList!B:AO,21,FALSE),""),""),IF(D369&lt;&gt;"",IFERROR(VLOOKUP(B369,ProductList!B:AO,24,FALSE),""),""))</f>
        <v/>
      </c>
      <c r="G369" s="202"/>
      <c r="H369" s="75" t="str">
        <f>IF(G369="KGS",IF(B369&lt;&gt;"",IFERROR(ROUND(VLOOKUP(B369,ProductList!B:BG,58,FALSE),3),""),""),IF(B369&lt;&gt;"",IFERROR(ROUND(VLOOKUP(B369,ProductList!B:BG,57,FALSE),3),""),""))</f>
        <v/>
      </c>
      <c r="I369" s="75" t="str">
        <f t="shared" si="10"/>
        <v/>
      </c>
      <c r="J369" s="1" t="str">
        <f>IFERROR(VLOOKUP(B369,ProductList!B:AO,21,FALSE),"")</f>
        <v/>
      </c>
      <c r="K369" s="1" t="str">
        <f>IF(G369="KGS",IF(D369&lt;&gt;"",IFERROR(ROUND(VLOOKUP(D369,ProductList!J:BG,47,FALSE),3),""),""),IF(D369&lt;&gt;"",IFERROR(ROUND(VLOOKUP(D369,ProductList!J:BG,46,FALSE),3),""),""))</f>
        <v/>
      </c>
      <c r="L369" s="1" t="str">
        <f t="shared" si="11"/>
        <v/>
      </c>
    </row>
    <row r="370" spans="1:12" x14ac:dyDescent="0.25">
      <c r="A370" s="304"/>
      <c r="B370" s="73"/>
      <c r="C370" s="73"/>
      <c r="D370" s="104"/>
      <c r="E370" s="122"/>
      <c r="F370" s="73" t="str">
        <f>IF(G370="KGS",IF(B370&lt;&gt;"",IFERROR(VLOOKUP(B370,ProductList!B:AO,21,FALSE),""),""),IF(D370&lt;&gt;"",IFERROR(VLOOKUP(B370,ProductList!B:AO,24,FALSE),""),""))</f>
        <v/>
      </c>
      <c r="G370" s="202"/>
      <c r="H370" s="75" t="str">
        <f>IF(G370="KGS",IF(B370&lt;&gt;"",IFERROR(ROUND(VLOOKUP(B370,ProductList!B:BG,58,FALSE),3),""),""),IF(B370&lt;&gt;"",IFERROR(ROUND(VLOOKUP(B370,ProductList!B:BG,57,FALSE),3),""),""))</f>
        <v/>
      </c>
      <c r="I370" s="75" t="str">
        <f t="shared" si="10"/>
        <v/>
      </c>
      <c r="J370" s="1" t="str">
        <f>IFERROR(VLOOKUP(B370,ProductList!B:AO,21,FALSE),"")</f>
        <v/>
      </c>
      <c r="K370" s="1" t="str">
        <f>IF(G370="KGS",IF(D370&lt;&gt;"",IFERROR(ROUND(VLOOKUP(D370,ProductList!J:BG,47,FALSE),3),""),""),IF(D370&lt;&gt;"",IFERROR(ROUND(VLOOKUP(D370,ProductList!J:BG,46,FALSE),3),""),""))</f>
        <v/>
      </c>
      <c r="L370" s="1" t="str">
        <f t="shared" si="11"/>
        <v/>
      </c>
    </row>
    <row r="371" spans="1:12" x14ac:dyDescent="0.25">
      <c r="A371" s="304"/>
      <c r="B371" s="73"/>
      <c r="C371" s="73"/>
      <c r="D371" s="104"/>
      <c r="E371" s="122"/>
      <c r="F371" s="73" t="str">
        <f>IF(G371="KGS",IF(B371&lt;&gt;"",IFERROR(VLOOKUP(B371,ProductList!B:AO,21,FALSE),""),""),IF(D371&lt;&gt;"",IFERROR(VLOOKUP(B371,ProductList!B:AO,24,FALSE),""),""))</f>
        <v/>
      </c>
      <c r="G371" s="202"/>
      <c r="H371" s="75" t="str">
        <f>IF(G371="KGS",IF(B371&lt;&gt;"",IFERROR(ROUND(VLOOKUP(B371,ProductList!B:BG,58,FALSE),3),""),""),IF(B371&lt;&gt;"",IFERROR(ROUND(VLOOKUP(B371,ProductList!B:BG,57,FALSE),3),""),""))</f>
        <v/>
      </c>
      <c r="I371" s="75" t="str">
        <f t="shared" si="10"/>
        <v/>
      </c>
      <c r="J371" s="1" t="str">
        <f>IFERROR(VLOOKUP(B371,ProductList!B:AO,21,FALSE),"")</f>
        <v/>
      </c>
      <c r="K371" s="1" t="str">
        <f>IF(G371="KGS",IF(D371&lt;&gt;"",IFERROR(ROUND(VLOOKUP(D371,ProductList!J:BG,47,FALSE),3),""),""),IF(D371&lt;&gt;"",IFERROR(ROUND(VLOOKUP(D371,ProductList!J:BG,46,FALSE),3),""),""))</f>
        <v/>
      </c>
      <c r="L371" s="1" t="str">
        <f t="shared" si="11"/>
        <v/>
      </c>
    </row>
    <row r="372" spans="1:12" x14ac:dyDescent="0.25">
      <c r="A372" s="304"/>
      <c r="B372" s="73"/>
      <c r="C372" s="73"/>
      <c r="D372" s="104"/>
      <c r="E372" s="122"/>
      <c r="F372" s="73" t="str">
        <f>IF(G372="KGS",IF(B372&lt;&gt;"",IFERROR(VLOOKUP(B372,ProductList!B:AO,21,FALSE),""),""),IF(D372&lt;&gt;"",IFERROR(VLOOKUP(B372,ProductList!B:AO,24,FALSE),""),""))</f>
        <v/>
      </c>
      <c r="G372" s="202"/>
      <c r="H372" s="75" t="str">
        <f>IF(G372="KGS",IF(B372&lt;&gt;"",IFERROR(ROUND(VLOOKUP(B372,ProductList!B:BG,58,FALSE),3),""),""),IF(B372&lt;&gt;"",IFERROR(ROUND(VLOOKUP(B372,ProductList!B:BG,57,FALSE),3),""),""))</f>
        <v/>
      </c>
      <c r="I372" s="75" t="str">
        <f t="shared" si="10"/>
        <v/>
      </c>
      <c r="J372" s="1" t="str">
        <f>IFERROR(VLOOKUP(B372,ProductList!B:AO,21,FALSE),"")</f>
        <v/>
      </c>
      <c r="K372" s="1" t="str">
        <f>IF(G372="KGS",IF(D372&lt;&gt;"",IFERROR(ROUND(VLOOKUP(D372,ProductList!J:BG,47,FALSE),3),""),""),IF(D372&lt;&gt;"",IFERROR(ROUND(VLOOKUP(D372,ProductList!J:BG,46,FALSE),3),""),""))</f>
        <v/>
      </c>
      <c r="L372" s="1" t="str">
        <f t="shared" si="11"/>
        <v/>
      </c>
    </row>
    <row r="373" spans="1:12" x14ac:dyDescent="0.25">
      <c r="A373" s="304"/>
      <c r="B373" s="73"/>
      <c r="C373" s="73"/>
      <c r="D373" s="104"/>
      <c r="E373" s="122"/>
      <c r="F373" s="73" t="str">
        <f>IF(G373="KGS",IF(B373&lt;&gt;"",IFERROR(VLOOKUP(B373,ProductList!B:AO,21,FALSE),""),""),IF(D373&lt;&gt;"",IFERROR(VLOOKUP(B373,ProductList!B:AO,24,FALSE),""),""))</f>
        <v/>
      </c>
      <c r="G373" s="202"/>
      <c r="H373" s="75" t="str">
        <f>IF(G373="KGS",IF(B373&lt;&gt;"",IFERROR(ROUND(VLOOKUP(B373,ProductList!B:BG,58,FALSE),3),""),""),IF(B373&lt;&gt;"",IFERROR(ROUND(VLOOKUP(B373,ProductList!B:BG,57,FALSE),3),""),""))</f>
        <v/>
      </c>
      <c r="I373" s="75" t="str">
        <f t="shared" si="10"/>
        <v/>
      </c>
      <c r="J373" s="1" t="str">
        <f>IFERROR(VLOOKUP(B373,ProductList!B:AO,21,FALSE),"")</f>
        <v/>
      </c>
      <c r="K373" s="1" t="str">
        <f>IF(G373="KGS",IF(D373&lt;&gt;"",IFERROR(ROUND(VLOOKUP(D373,ProductList!J:BG,47,FALSE),3),""),""),IF(D373&lt;&gt;"",IFERROR(ROUND(VLOOKUP(D373,ProductList!J:BG,46,FALSE),3),""),""))</f>
        <v/>
      </c>
      <c r="L373" s="1" t="str">
        <f t="shared" si="11"/>
        <v/>
      </c>
    </row>
    <row r="374" spans="1:12" x14ac:dyDescent="0.25">
      <c r="A374" s="304"/>
      <c r="B374" s="73"/>
      <c r="C374" s="73"/>
      <c r="D374" s="104"/>
      <c r="E374" s="122"/>
      <c r="F374" s="73" t="str">
        <f>IF(G374="KGS",IF(B374&lt;&gt;"",IFERROR(VLOOKUP(B374,ProductList!B:AO,21,FALSE),""),""),IF(D374&lt;&gt;"",IFERROR(VLOOKUP(B374,ProductList!B:AO,24,FALSE),""),""))</f>
        <v/>
      </c>
      <c r="G374" s="202"/>
      <c r="H374" s="75" t="str">
        <f>IF(G374="KGS",IF(B374&lt;&gt;"",IFERROR(ROUND(VLOOKUP(B374,ProductList!B:BG,58,FALSE),3),""),""),IF(B374&lt;&gt;"",IFERROR(ROUND(VLOOKUP(B374,ProductList!B:BG,57,FALSE),3),""),""))</f>
        <v/>
      </c>
      <c r="I374" s="75" t="str">
        <f t="shared" si="10"/>
        <v/>
      </c>
      <c r="J374" s="1" t="str">
        <f>IFERROR(VLOOKUP(B374,ProductList!B:AO,21,FALSE),"")</f>
        <v/>
      </c>
      <c r="K374" s="1" t="str">
        <f>IF(G374="KGS",IF(D374&lt;&gt;"",IFERROR(ROUND(VLOOKUP(D374,ProductList!J:BG,47,FALSE),3),""),""),IF(D374&lt;&gt;"",IFERROR(ROUND(VLOOKUP(D374,ProductList!J:BG,46,FALSE),3),""),""))</f>
        <v/>
      </c>
      <c r="L374" s="1" t="str">
        <f t="shared" si="11"/>
        <v/>
      </c>
    </row>
    <row r="375" spans="1:12" x14ac:dyDescent="0.25">
      <c r="A375" s="304"/>
      <c r="B375" s="73"/>
      <c r="C375" s="73"/>
      <c r="D375" s="104"/>
      <c r="E375" s="122"/>
      <c r="F375" s="73" t="str">
        <f>IF(G375="KGS",IF(B375&lt;&gt;"",IFERROR(VLOOKUP(B375,ProductList!B:AO,21,FALSE),""),""),IF(D375&lt;&gt;"",IFERROR(VLOOKUP(B375,ProductList!B:AO,24,FALSE),""),""))</f>
        <v/>
      </c>
      <c r="G375" s="202"/>
      <c r="H375" s="75" t="str">
        <f>IF(G375="KGS",IF(B375&lt;&gt;"",IFERROR(ROUND(VLOOKUP(B375,ProductList!B:BG,58,FALSE),3),""),""),IF(B375&lt;&gt;"",IFERROR(ROUND(VLOOKUP(B375,ProductList!B:BG,57,FALSE),3),""),""))</f>
        <v/>
      </c>
      <c r="I375" s="75" t="str">
        <f t="shared" si="10"/>
        <v/>
      </c>
      <c r="J375" s="1" t="str">
        <f>IFERROR(VLOOKUP(B375,ProductList!B:AO,21,FALSE),"")</f>
        <v/>
      </c>
      <c r="K375" s="1" t="str">
        <f>IF(G375="KGS",IF(D375&lt;&gt;"",IFERROR(ROUND(VLOOKUP(D375,ProductList!J:BG,47,FALSE),3),""),""),IF(D375&lt;&gt;"",IFERROR(ROUND(VLOOKUP(D375,ProductList!J:BG,46,FALSE),3),""),""))</f>
        <v/>
      </c>
      <c r="L375" s="1" t="str">
        <f t="shared" si="11"/>
        <v/>
      </c>
    </row>
    <row r="376" spans="1:12" x14ac:dyDescent="0.25">
      <c r="A376" s="304"/>
      <c r="B376" s="73"/>
      <c r="C376" s="73"/>
      <c r="D376" s="104"/>
      <c r="E376" s="122"/>
      <c r="F376" s="73" t="str">
        <f>IF(G376="KGS",IF(B376&lt;&gt;"",IFERROR(VLOOKUP(B376,ProductList!B:AO,21,FALSE),""),""),IF(D376&lt;&gt;"",IFERROR(VLOOKUP(B376,ProductList!B:AO,24,FALSE),""),""))</f>
        <v/>
      </c>
      <c r="G376" s="202"/>
      <c r="H376" s="75" t="str">
        <f>IF(G376="KGS",IF(B376&lt;&gt;"",IFERROR(ROUND(VLOOKUP(B376,ProductList!B:BG,58,FALSE),3),""),""),IF(B376&lt;&gt;"",IFERROR(ROUND(VLOOKUP(B376,ProductList!B:BG,57,FALSE),3),""),""))</f>
        <v/>
      </c>
      <c r="I376" s="75" t="str">
        <f t="shared" si="10"/>
        <v/>
      </c>
      <c r="J376" s="1" t="str">
        <f>IFERROR(VLOOKUP(B376,ProductList!B:AO,21,FALSE),"")</f>
        <v/>
      </c>
      <c r="K376" s="1" t="str">
        <f>IF(G376="KGS",IF(D376&lt;&gt;"",IFERROR(ROUND(VLOOKUP(D376,ProductList!J:BG,47,FALSE),3),""),""),IF(D376&lt;&gt;"",IFERROR(ROUND(VLOOKUP(D376,ProductList!J:BG,46,FALSE),3),""),""))</f>
        <v/>
      </c>
      <c r="L376" s="1" t="str">
        <f t="shared" si="11"/>
        <v/>
      </c>
    </row>
    <row r="377" spans="1:12" x14ac:dyDescent="0.25">
      <c r="A377" s="304"/>
      <c r="B377" s="73"/>
      <c r="C377" s="73"/>
      <c r="D377" s="104"/>
      <c r="E377" s="122"/>
      <c r="F377" s="73" t="str">
        <f>IF(G377="KGS",IF(B377&lt;&gt;"",IFERROR(VLOOKUP(B377,ProductList!B:AO,21,FALSE),""),""),IF(D377&lt;&gt;"",IFERROR(VLOOKUP(B377,ProductList!B:AO,24,FALSE),""),""))</f>
        <v/>
      </c>
      <c r="G377" s="202"/>
      <c r="H377" s="75" t="str">
        <f>IF(G377="KGS",IF(B377&lt;&gt;"",IFERROR(ROUND(VLOOKUP(B377,ProductList!B:BG,58,FALSE),3),""),""),IF(B377&lt;&gt;"",IFERROR(ROUND(VLOOKUP(B377,ProductList!B:BG,57,FALSE),3),""),""))</f>
        <v/>
      </c>
      <c r="I377" s="75" t="str">
        <f t="shared" si="10"/>
        <v/>
      </c>
      <c r="J377" s="1" t="str">
        <f>IFERROR(VLOOKUP(B377,ProductList!B:AO,21,FALSE),"")</f>
        <v/>
      </c>
      <c r="K377" s="1" t="str">
        <f>IF(G377="KGS",IF(D377&lt;&gt;"",IFERROR(ROUND(VLOOKUP(D377,ProductList!J:BG,47,FALSE),3),""),""),IF(D377&lt;&gt;"",IFERROR(ROUND(VLOOKUP(D377,ProductList!J:BG,46,FALSE),3),""),""))</f>
        <v/>
      </c>
      <c r="L377" s="1" t="str">
        <f t="shared" si="11"/>
        <v/>
      </c>
    </row>
    <row r="378" spans="1:12" x14ac:dyDescent="0.25">
      <c r="A378" s="304"/>
      <c r="B378" s="73"/>
      <c r="C378" s="73"/>
      <c r="D378" s="104"/>
      <c r="E378" s="122"/>
      <c r="F378" s="73" t="str">
        <f>IF(G378="KGS",IF(B378&lt;&gt;"",IFERROR(VLOOKUP(B378,ProductList!B:AO,21,FALSE),""),""),IF(D378&lt;&gt;"",IFERROR(VLOOKUP(B378,ProductList!B:AO,24,FALSE),""),""))</f>
        <v/>
      </c>
      <c r="G378" s="202"/>
      <c r="H378" s="75" t="str">
        <f>IF(G378="KGS",IF(B378&lt;&gt;"",IFERROR(ROUND(VLOOKUP(B378,ProductList!B:BG,58,FALSE),3),""),""),IF(B378&lt;&gt;"",IFERROR(ROUND(VLOOKUP(B378,ProductList!B:BG,57,FALSE),3),""),""))</f>
        <v/>
      </c>
      <c r="I378" s="75" t="str">
        <f t="shared" si="10"/>
        <v/>
      </c>
      <c r="J378" s="1" t="str">
        <f>IFERROR(VLOOKUP(B378,ProductList!B:AO,21,FALSE),"")</f>
        <v/>
      </c>
      <c r="K378" s="1" t="str">
        <f>IF(G378="KGS",IF(D378&lt;&gt;"",IFERROR(ROUND(VLOOKUP(D378,ProductList!J:BG,47,FALSE),3),""),""),IF(D378&lt;&gt;"",IFERROR(ROUND(VLOOKUP(D378,ProductList!J:BG,46,FALSE),3),""),""))</f>
        <v/>
      </c>
      <c r="L378" s="1" t="str">
        <f t="shared" si="11"/>
        <v/>
      </c>
    </row>
    <row r="379" spans="1:12" x14ac:dyDescent="0.25">
      <c r="A379" s="304"/>
      <c r="B379" s="73"/>
      <c r="C379" s="73"/>
      <c r="D379" s="104"/>
      <c r="E379" s="122"/>
      <c r="F379" s="73" t="str">
        <f>IF(G379="KGS",IF(B379&lt;&gt;"",IFERROR(VLOOKUP(B379,ProductList!B:AO,21,FALSE),""),""),IF(D379&lt;&gt;"",IFERROR(VLOOKUP(B379,ProductList!B:AO,24,FALSE),""),""))</f>
        <v/>
      </c>
      <c r="G379" s="202"/>
      <c r="H379" s="75" t="str">
        <f>IF(G379="KGS",IF(B379&lt;&gt;"",IFERROR(ROUND(VLOOKUP(B379,ProductList!B:BG,58,FALSE),3),""),""),IF(B379&lt;&gt;"",IFERROR(ROUND(VLOOKUP(B379,ProductList!B:BG,57,FALSE),3),""),""))</f>
        <v/>
      </c>
      <c r="I379" s="75" t="str">
        <f t="shared" si="10"/>
        <v/>
      </c>
      <c r="J379" s="1" t="str">
        <f>IFERROR(VLOOKUP(B379,ProductList!B:AO,21,FALSE),"")</f>
        <v/>
      </c>
      <c r="K379" s="1" t="str">
        <f>IF(G379="KGS",IF(D379&lt;&gt;"",IFERROR(ROUND(VLOOKUP(D379,ProductList!J:BG,47,FALSE),3),""),""),IF(D379&lt;&gt;"",IFERROR(ROUND(VLOOKUP(D379,ProductList!J:BG,46,FALSE),3),""),""))</f>
        <v/>
      </c>
      <c r="L379" s="1" t="str">
        <f t="shared" si="11"/>
        <v/>
      </c>
    </row>
    <row r="380" spans="1:12" x14ac:dyDescent="0.25">
      <c r="A380" s="304"/>
      <c r="B380" s="73"/>
      <c r="C380" s="73"/>
      <c r="D380" s="104"/>
      <c r="E380" s="122"/>
      <c r="F380" s="73" t="str">
        <f>IF(G380="KGS",IF(B380&lt;&gt;"",IFERROR(VLOOKUP(B380,ProductList!B:AO,21,FALSE),""),""),IF(D380&lt;&gt;"",IFERROR(VLOOKUP(B380,ProductList!B:AO,24,FALSE),""),""))</f>
        <v/>
      </c>
      <c r="G380" s="202"/>
      <c r="H380" s="75" t="str">
        <f>IF(G380="KGS",IF(B380&lt;&gt;"",IFERROR(ROUND(VLOOKUP(B380,ProductList!B:BG,58,FALSE),3),""),""),IF(B380&lt;&gt;"",IFERROR(ROUND(VLOOKUP(B380,ProductList!B:BG,57,FALSE),3),""),""))</f>
        <v/>
      </c>
      <c r="I380" s="75" t="str">
        <f t="shared" si="10"/>
        <v/>
      </c>
      <c r="J380" s="1" t="str">
        <f>IFERROR(VLOOKUP(B380,ProductList!B:AO,21,FALSE),"")</f>
        <v/>
      </c>
      <c r="K380" s="1" t="str">
        <f>IF(G380="KGS",IF(D380&lt;&gt;"",IFERROR(ROUND(VLOOKUP(D380,ProductList!J:BG,47,FALSE),3),""),""),IF(D380&lt;&gt;"",IFERROR(ROUND(VLOOKUP(D380,ProductList!J:BG,46,FALSE),3),""),""))</f>
        <v/>
      </c>
      <c r="L380" s="1" t="str">
        <f t="shared" si="11"/>
        <v/>
      </c>
    </row>
    <row r="381" spans="1:12" x14ac:dyDescent="0.25">
      <c r="A381" s="304"/>
      <c r="B381" s="73"/>
      <c r="C381" s="73"/>
      <c r="D381" s="104"/>
      <c r="E381" s="122"/>
      <c r="F381" s="73" t="str">
        <f>IF(G381="KGS",IF(B381&lt;&gt;"",IFERROR(VLOOKUP(B381,ProductList!B:AO,21,FALSE),""),""),IF(D381&lt;&gt;"",IFERROR(VLOOKUP(B381,ProductList!B:AO,24,FALSE),""),""))</f>
        <v/>
      </c>
      <c r="G381" s="202"/>
      <c r="H381" s="75" t="str">
        <f>IF(G381="KGS",IF(B381&lt;&gt;"",IFERROR(ROUND(VLOOKUP(B381,ProductList!B:BG,58,FALSE),3),""),""),IF(B381&lt;&gt;"",IFERROR(ROUND(VLOOKUP(B381,ProductList!B:BG,57,FALSE),3),""),""))</f>
        <v/>
      </c>
      <c r="I381" s="75" t="str">
        <f t="shared" si="10"/>
        <v/>
      </c>
      <c r="J381" s="1" t="str">
        <f>IFERROR(VLOOKUP(B381,ProductList!B:AO,21,FALSE),"")</f>
        <v/>
      </c>
      <c r="K381" s="1" t="str">
        <f>IF(G381="KGS",IF(D381&lt;&gt;"",IFERROR(ROUND(VLOOKUP(D381,ProductList!J:BG,47,FALSE),3),""),""),IF(D381&lt;&gt;"",IFERROR(ROUND(VLOOKUP(D381,ProductList!J:BG,46,FALSE),3),""),""))</f>
        <v/>
      </c>
      <c r="L381" s="1" t="str">
        <f t="shared" si="11"/>
        <v/>
      </c>
    </row>
    <row r="382" spans="1:12" x14ac:dyDescent="0.25">
      <c r="A382" s="304"/>
      <c r="B382" s="73"/>
      <c r="C382" s="73"/>
      <c r="D382" s="104"/>
      <c r="E382" s="122"/>
      <c r="F382" s="73" t="str">
        <f>IF(G382="KGS",IF(B382&lt;&gt;"",IFERROR(VLOOKUP(B382,ProductList!B:AO,21,FALSE),""),""),IF(D382&lt;&gt;"",IFERROR(VLOOKUP(B382,ProductList!B:AO,24,FALSE),""),""))</f>
        <v/>
      </c>
      <c r="G382" s="202"/>
      <c r="H382" s="75" t="str">
        <f>IF(G382="KGS",IF(B382&lt;&gt;"",IFERROR(ROUND(VLOOKUP(B382,ProductList!B:BG,58,FALSE),3),""),""),IF(B382&lt;&gt;"",IFERROR(ROUND(VLOOKUP(B382,ProductList!B:BG,57,FALSE),3),""),""))</f>
        <v/>
      </c>
      <c r="I382" s="75" t="str">
        <f t="shared" si="10"/>
        <v/>
      </c>
      <c r="J382" s="1" t="str">
        <f>IFERROR(VLOOKUP(B382,ProductList!B:AO,21,FALSE),"")</f>
        <v/>
      </c>
      <c r="K382" s="1" t="str">
        <f>IF(G382="KGS",IF(D382&lt;&gt;"",IFERROR(ROUND(VLOOKUP(D382,ProductList!J:BG,47,FALSE),3),""),""),IF(D382&lt;&gt;"",IFERROR(ROUND(VLOOKUP(D382,ProductList!J:BG,46,FALSE),3),""),""))</f>
        <v/>
      </c>
      <c r="L382" s="1" t="str">
        <f t="shared" si="11"/>
        <v/>
      </c>
    </row>
    <row r="383" spans="1:12" x14ac:dyDescent="0.25">
      <c r="A383" s="304"/>
      <c r="B383" s="73"/>
      <c r="C383" s="73"/>
      <c r="D383" s="104"/>
      <c r="E383" s="122"/>
      <c r="F383" s="73" t="str">
        <f>IF(G383="KGS",IF(B383&lt;&gt;"",IFERROR(VLOOKUP(B383,ProductList!B:AO,21,FALSE),""),""),IF(D383&lt;&gt;"",IFERROR(VLOOKUP(B383,ProductList!B:AO,24,FALSE),""),""))</f>
        <v/>
      </c>
      <c r="G383" s="202"/>
      <c r="H383" s="75" t="str">
        <f>IF(G383="KGS",IF(B383&lt;&gt;"",IFERROR(ROUND(VLOOKUP(B383,ProductList!B:BG,58,FALSE),3),""),""),IF(B383&lt;&gt;"",IFERROR(ROUND(VLOOKUP(B383,ProductList!B:BG,57,FALSE),3),""),""))</f>
        <v/>
      </c>
      <c r="I383" s="75" t="str">
        <f t="shared" si="10"/>
        <v/>
      </c>
      <c r="J383" s="1" t="str">
        <f>IFERROR(VLOOKUP(B383,ProductList!B:AO,21,FALSE),"")</f>
        <v/>
      </c>
      <c r="K383" s="1" t="str">
        <f>IF(G383="KGS",IF(D383&lt;&gt;"",IFERROR(ROUND(VLOOKUP(D383,ProductList!J:BG,47,FALSE),3),""),""),IF(D383&lt;&gt;"",IFERROR(ROUND(VLOOKUP(D383,ProductList!J:BG,46,FALSE),3),""),""))</f>
        <v/>
      </c>
      <c r="L383" s="1" t="str">
        <f t="shared" si="11"/>
        <v/>
      </c>
    </row>
    <row r="384" spans="1:12" x14ac:dyDescent="0.25">
      <c r="A384" s="304"/>
      <c r="B384" s="73"/>
      <c r="C384" s="73"/>
      <c r="D384" s="104"/>
      <c r="E384" s="122"/>
      <c r="F384" s="73" t="str">
        <f>IF(G384="KGS",IF(B384&lt;&gt;"",IFERROR(VLOOKUP(B384,ProductList!B:AO,21,FALSE),""),""),IF(D384&lt;&gt;"",IFERROR(VLOOKUP(B384,ProductList!B:AO,24,FALSE),""),""))</f>
        <v/>
      </c>
      <c r="G384" s="202"/>
      <c r="H384" s="75" t="str">
        <f>IF(G384="KGS",IF(B384&lt;&gt;"",IFERROR(ROUND(VLOOKUP(B384,ProductList!B:BG,58,FALSE),3),""),""),IF(B384&lt;&gt;"",IFERROR(ROUND(VLOOKUP(B384,ProductList!B:BG,57,FALSE),3),""),""))</f>
        <v/>
      </c>
      <c r="I384" s="75" t="str">
        <f t="shared" si="10"/>
        <v/>
      </c>
      <c r="J384" s="1" t="str">
        <f>IFERROR(VLOOKUP(B384,ProductList!B:AO,21,FALSE),"")</f>
        <v/>
      </c>
      <c r="K384" s="1" t="str">
        <f>IF(G384="KGS",IF(D384&lt;&gt;"",IFERROR(ROUND(VLOOKUP(D384,ProductList!J:BG,47,FALSE),3),""),""),IF(D384&lt;&gt;"",IFERROR(ROUND(VLOOKUP(D384,ProductList!J:BG,46,FALSE),3),""),""))</f>
        <v/>
      </c>
      <c r="L384" s="1" t="str">
        <f t="shared" si="11"/>
        <v/>
      </c>
    </row>
    <row r="385" spans="1:12" x14ac:dyDescent="0.25">
      <c r="A385" s="304"/>
      <c r="B385" s="73"/>
      <c r="C385" s="73"/>
      <c r="D385" s="104"/>
      <c r="E385" s="122"/>
      <c r="F385" s="73" t="str">
        <f>IF(G385="KGS",IF(B385&lt;&gt;"",IFERROR(VLOOKUP(B385,ProductList!B:AO,21,FALSE),""),""),IF(D385&lt;&gt;"",IFERROR(VLOOKUP(B385,ProductList!B:AO,24,FALSE),""),""))</f>
        <v/>
      </c>
      <c r="G385" s="202"/>
      <c r="H385" s="75" t="str">
        <f>IF(G385="KGS",IF(B385&lt;&gt;"",IFERROR(ROUND(VLOOKUP(B385,ProductList!B:BG,58,FALSE),3),""),""),IF(B385&lt;&gt;"",IFERROR(ROUND(VLOOKUP(B385,ProductList!B:BG,57,FALSE),3),""),""))</f>
        <v/>
      </c>
      <c r="I385" s="75" t="str">
        <f t="shared" si="10"/>
        <v/>
      </c>
      <c r="J385" s="1" t="str">
        <f>IFERROR(VLOOKUP(B385,ProductList!B:AO,21,FALSE),"")</f>
        <v/>
      </c>
      <c r="K385" s="1" t="str">
        <f>IF(G385="KGS",IF(D385&lt;&gt;"",IFERROR(ROUND(VLOOKUP(D385,ProductList!J:BG,47,FALSE),3),""),""),IF(D385&lt;&gt;"",IFERROR(ROUND(VLOOKUP(D385,ProductList!J:BG,46,FALSE),3),""),""))</f>
        <v/>
      </c>
      <c r="L385" s="1" t="str">
        <f t="shared" si="11"/>
        <v/>
      </c>
    </row>
    <row r="386" spans="1:12" x14ac:dyDescent="0.25">
      <c r="A386" s="304"/>
      <c r="B386" s="73"/>
      <c r="C386" s="73"/>
      <c r="D386" s="104"/>
      <c r="E386" s="122"/>
      <c r="F386" s="73" t="str">
        <f>IF(G386="KGS",IF(B386&lt;&gt;"",IFERROR(VLOOKUP(B386,ProductList!B:AO,21,FALSE),""),""),IF(D386&lt;&gt;"",IFERROR(VLOOKUP(B386,ProductList!B:AO,24,FALSE),""),""))</f>
        <v/>
      </c>
      <c r="G386" s="202"/>
      <c r="H386" s="75" t="str">
        <f>IF(G386="KGS",IF(B386&lt;&gt;"",IFERROR(ROUND(VLOOKUP(B386,ProductList!B:BG,58,FALSE),3),""),""),IF(B386&lt;&gt;"",IFERROR(ROUND(VLOOKUP(B386,ProductList!B:BG,57,FALSE),3),""),""))</f>
        <v/>
      </c>
      <c r="I386" s="75" t="str">
        <f t="shared" si="10"/>
        <v/>
      </c>
      <c r="J386" s="1" t="str">
        <f>IFERROR(VLOOKUP(B386,ProductList!B:AO,21,FALSE),"")</f>
        <v/>
      </c>
      <c r="K386" s="1" t="str">
        <f>IF(G386="KGS",IF(D386&lt;&gt;"",IFERROR(ROUND(VLOOKUP(D386,ProductList!J:BG,47,FALSE),3),""),""),IF(D386&lt;&gt;"",IFERROR(ROUND(VLOOKUP(D386,ProductList!J:BG,46,FALSE),3),""),""))</f>
        <v/>
      </c>
      <c r="L386" s="1" t="str">
        <f t="shared" si="11"/>
        <v/>
      </c>
    </row>
    <row r="387" spans="1:12" x14ac:dyDescent="0.25">
      <c r="A387" s="304"/>
      <c r="B387" s="73"/>
      <c r="C387" s="73"/>
      <c r="D387" s="104"/>
      <c r="E387" s="122"/>
      <c r="F387" s="73" t="str">
        <f>IF(G387="KGS",IF(B387&lt;&gt;"",IFERROR(VLOOKUP(B387,ProductList!B:AO,21,FALSE),""),""),IF(D387&lt;&gt;"",IFERROR(VLOOKUP(B387,ProductList!B:AO,24,FALSE),""),""))</f>
        <v/>
      </c>
      <c r="G387" s="202"/>
      <c r="H387" s="75" t="str">
        <f>IF(G387="KGS",IF(B387&lt;&gt;"",IFERROR(ROUND(VLOOKUP(B387,ProductList!B:BG,58,FALSE),3),""),""),IF(B387&lt;&gt;"",IFERROR(ROUND(VLOOKUP(B387,ProductList!B:BG,57,FALSE),3),""),""))</f>
        <v/>
      </c>
      <c r="I387" s="75" t="str">
        <f t="shared" si="10"/>
        <v/>
      </c>
      <c r="J387" s="1" t="str">
        <f>IFERROR(VLOOKUP(B387,ProductList!B:AO,21,FALSE),"")</f>
        <v/>
      </c>
      <c r="K387" s="1" t="str">
        <f>IF(G387="KGS",IF(D387&lt;&gt;"",IFERROR(ROUND(VLOOKUP(D387,ProductList!J:BG,47,FALSE),3),""),""),IF(D387&lt;&gt;"",IFERROR(ROUND(VLOOKUP(D387,ProductList!J:BG,46,FALSE),3),""),""))</f>
        <v/>
      </c>
      <c r="L387" s="1" t="str">
        <f t="shared" si="11"/>
        <v/>
      </c>
    </row>
    <row r="388" spans="1:12" x14ac:dyDescent="0.25">
      <c r="A388" s="304"/>
      <c r="B388" s="73"/>
      <c r="C388" s="73"/>
      <c r="D388" s="104"/>
      <c r="E388" s="122"/>
      <c r="F388" s="73" t="str">
        <f>IF(G388="KGS",IF(B388&lt;&gt;"",IFERROR(VLOOKUP(B388,ProductList!B:AO,21,FALSE),""),""),IF(D388&lt;&gt;"",IFERROR(VLOOKUP(B388,ProductList!B:AO,24,FALSE),""),""))</f>
        <v/>
      </c>
      <c r="G388" s="202"/>
      <c r="H388" s="75" t="str">
        <f>IF(G388="KGS",IF(B388&lt;&gt;"",IFERROR(ROUND(VLOOKUP(B388,ProductList!B:BG,58,FALSE),3),""),""),IF(B388&lt;&gt;"",IFERROR(ROUND(VLOOKUP(B388,ProductList!B:BG,57,FALSE),3),""),""))</f>
        <v/>
      </c>
      <c r="I388" s="75" t="str">
        <f t="shared" si="10"/>
        <v/>
      </c>
      <c r="J388" s="1" t="str">
        <f>IFERROR(VLOOKUP(B388,ProductList!B:AO,21,FALSE),"")</f>
        <v/>
      </c>
      <c r="K388" s="1" t="str">
        <f>IF(G388="KGS",IF(D388&lt;&gt;"",IFERROR(ROUND(VLOOKUP(D388,ProductList!J:BG,47,FALSE),3),""),""),IF(D388&lt;&gt;"",IFERROR(ROUND(VLOOKUP(D388,ProductList!J:BG,46,FALSE),3),""),""))</f>
        <v/>
      </c>
      <c r="L388" s="1" t="str">
        <f t="shared" si="11"/>
        <v/>
      </c>
    </row>
    <row r="389" spans="1:12" x14ac:dyDescent="0.25">
      <c r="A389" s="304"/>
      <c r="B389" s="73"/>
      <c r="C389" s="73"/>
      <c r="D389" s="104"/>
      <c r="E389" s="122"/>
      <c r="F389" s="73" t="str">
        <f>IF(G389="KGS",IF(B389&lt;&gt;"",IFERROR(VLOOKUP(B389,ProductList!B:AO,21,FALSE),""),""),IF(D389&lt;&gt;"",IFERROR(VLOOKUP(B389,ProductList!B:AO,24,FALSE),""),""))</f>
        <v/>
      </c>
      <c r="G389" s="202"/>
      <c r="H389" s="75" t="str">
        <f>IF(G389="KGS",IF(B389&lt;&gt;"",IFERROR(ROUND(VLOOKUP(B389,ProductList!B:BG,58,FALSE),3),""),""),IF(B389&lt;&gt;"",IFERROR(ROUND(VLOOKUP(B389,ProductList!B:BG,57,FALSE),3),""),""))</f>
        <v/>
      </c>
      <c r="I389" s="75" t="str">
        <f t="shared" si="10"/>
        <v/>
      </c>
      <c r="J389" s="1" t="str">
        <f>IFERROR(VLOOKUP(B389,ProductList!B:AO,21,FALSE),"")</f>
        <v/>
      </c>
      <c r="K389" s="1" t="str">
        <f>IF(G389="KGS",IF(D389&lt;&gt;"",IFERROR(ROUND(VLOOKUP(D389,ProductList!J:BG,47,FALSE),3),""),""),IF(D389&lt;&gt;"",IFERROR(ROUND(VLOOKUP(D389,ProductList!J:BG,46,FALSE),3),""),""))</f>
        <v/>
      </c>
      <c r="L389" s="1" t="str">
        <f t="shared" si="11"/>
        <v/>
      </c>
    </row>
    <row r="390" spans="1:12" x14ac:dyDescent="0.25">
      <c r="A390" s="304"/>
      <c r="B390" s="73"/>
      <c r="C390" s="73"/>
      <c r="D390" s="104"/>
      <c r="E390" s="122"/>
      <c r="F390" s="73" t="str">
        <f>IF(G390="KGS",IF(B390&lt;&gt;"",IFERROR(VLOOKUP(B390,ProductList!B:AO,21,FALSE),""),""),IF(D390&lt;&gt;"",IFERROR(VLOOKUP(B390,ProductList!B:AO,24,FALSE),""),""))</f>
        <v/>
      </c>
      <c r="G390" s="202"/>
      <c r="H390" s="75" t="str">
        <f>IF(G390="KGS",IF(B390&lt;&gt;"",IFERROR(ROUND(VLOOKUP(B390,ProductList!B:BG,58,FALSE),3),""),""),IF(B390&lt;&gt;"",IFERROR(ROUND(VLOOKUP(B390,ProductList!B:BG,57,FALSE),3),""),""))</f>
        <v/>
      </c>
      <c r="I390" s="75" t="str">
        <f t="shared" ref="I390:I453" si="12">IF(AND(F390&lt;&gt;"",H390&lt;&gt;""),ROUND(F390*H390,2),"")</f>
        <v/>
      </c>
      <c r="J390" s="1" t="str">
        <f>IFERROR(VLOOKUP(B390,ProductList!B:AO,21,FALSE),"")</f>
        <v/>
      </c>
      <c r="K390" s="1" t="str">
        <f>IF(G390="KGS",IF(D390&lt;&gt;"",IFERROR(ROUND(VLOOKUP(D390,ProductList!J:BG,47,FALSE),3),""),""),IF(D390&lt;&gt;"",IFERROR(ROUND(VLOOKUP(D390,ProductList!J:BG,46,FALSE),3),""),""))</f>
        <v/>
      </c>
      <c r="L390" s="1" t="str">
        <f t="shared" ref="L390:L453" si="13">IF(AND(K390&lt;&gt;"",F390&lt;&gt;""),K390*F390,"")</f>
        <v/>
      </c>
    </row>
    <row r="391" spans="1:12" x14ac:dyDescent="0.25">
      <c r="A391" s="304"/>
      <c r="B391" s="73"/>
      <c r="C391" s="73"/>
      <c r="D391" s="104"/>
      <c r="E391" s="122"/>
      <c r="F391" s="73" t="str">
        <f>IF(G391="KGS",IF(B391&lt;&gt;"",IFERROR(VLOOKUP(B391,ProductList!B:AO,21,FALSE),""),""),IF(D391&lt;&gt;"",IFERROR(VLOOKUP(B391,ProductList!B:AO,24,FALSE),""),""))</f>
        <v/>
      </c>
      <c r="G391" s="202"/>
      <c r="H391" s="75" t="str">
        <f>IF(G391="KGS",IF(B391&lt;&gt;"",IFERROR(ROUND(VLOOKUP(B391,ProductList!B:BG,58,FALSE),3),""),""),IF(B391&lt;&gt;"",IFERROR(ROUND(VLOOKUP(B391,ProductList!B:BG,57,FALSE),3),""),""))</f>
        <v/>
      </c>
      <c r="I391" s="75" t="str">
        <f t="shared" si="12"/>
        <v/>
      </c>
      <c r="J391" s="1" t="str">
        <f>IFERROR(VLOOKUP(B391,ProductList!B:AO,21,FALSE),"")</f>
        <v/>
      </c>
      <c r="K391" s="1" t="str">
        <f>IF(G391="KGS",IF(D391&lt;&gt;"",IFERROR(ROUND(VLOOKUP(D391,ProductList!J:BG,47,FALSE),3),""),""),IF(D391&lt;&gt;"",IFERROR(ROUND(VLOOKUP(D391,ProductList!J:BG,46,FALSE),3),""),""))</f>
        <v/>
      </c>
      <c r="L391" s="1" t="str">
        <f t="shared" si="13"/>
        <v/>
      </c>
    </row>
    <row r="392" spans="1:12" x14ac:dyDescent="0.25">
      <c r="A392" s="304"/>
      <c r="B392" s="73"/>
      <c r="C392" s="73"/>
      <c r="D392" s="104"/>
      <c r="E392" s="122"/>
      <c r="F392" s="73" t="str">
        <f>IF(G392="KGS",IF(B392&lt;&gt;"",IFERROR(VLOOKUP(B392,ProductList!B:AO,21,FALSE),""),""),IF(D392&lt;&gt;"",IFERROR(VLOOKUP(B392,ProductList!B:AO,24,FALSE),""),""))</f>
        <v/>
      </c>
      <c r="G392" s="202"/>
      <c r="H392" s="75" t="str">
        <f>IF(G392="KGS",IF(B392&lt;&gt;"",IFERROR(ROUND(VLOOKUP(B392,ProductList!B:BG,58,FALSE),3),""),""),IF(B392&lt;&gt;"",IFERROR(ROUND(VLOOKUP(B392,ProductList!B:BG,57,FALSE),3),""),""))</f>
        <v/>
      </c>
      <c r="I392" s="75" t="str">
        <f t="shared" si="12"/>
        <v/>
      </c>
      <c r="J392" s="1" t="str">
        <f>IFERROR(VLOOKUP(B392,ProductList!B:AO,21,FALSE),"")</f>
        <v/>
      </c>
      <c r="K392" s="1" t="str">
        <f>IF(G392="KGS",IF(D392&lt;&gt;"",IFERROR(ROUND(VLOOKUP(D392,ProductList!J:BG,47,FALSE),3),""),""),IF(D392&lt;&gt;"",IFERROR(ROUND(VLOOKUP(D392,ProductList!J:BG,46,FALSE),3),""),""))</f>
        <v/>
      </c>
      <c r="L392" s="1" t="str">
        <f t="shared" si="13"/>
        <v/>
      </c>
    </row>
    <row r="393" spans="1:12" x14ac:dyDescent="0.25">
      <c r="A393" s="304"/>
      <c r="B393" s="73"/>
      <c r="C393" s="73"/>
      <c r="D393" s="104"/>
      <c r="E393" s="122"/>
      <c r="F393" s="73" t="str">
        <f>IF(G393="KGS",IF(B393&lt;&gt;"",IFERROR(VLOOKUP(B393,ProductList!B:AO,21,FALSE),""),""),IF(D393&lt;&gt;"",IFERROR(VLOOKUP(B393,ProductList!B:AO,24,FALSE),""),""))</f>
        <v/>
      </c>
      <c r="G393" s="202"/>
      <c r="H393" s="75" t="str">
        <f>IF(G393="KGS",IF(B393&lt;&gt;"",IFERROR(ROUND(VLOOKUP(B393,ProductList!B:BG,58,FALSE),3),""),""),IF(B393&lt;&gt;"",IFERROR(ROUND(VLOOKUP(B393,ProductList!B:BG,57,FALSE),3),""),""))</f>
        <v/>
      </c>
      <c r="I393" s="75" t="str">
        <f t="shared" si="12"/>
        <v/>
      </c>
      <c r="J393" s="1" t="str">
        <f>IFERROR(VLOOKUP(B393,ProductList!B:AO,21,FALSE),"")</f>
        <v/>
      </c>
      <c r="K393" s="1" t="str">
        <f>IF(G393="KGS",IF(D393&lt;&gt;"",IFERROR(ROUND(VLOOKUP(D393,ProductList!J:BG,47,FALSE),3),""),""),IF(D393&lt;&gt;"",IFERROR(ROUND(VLOOKUP(D393,ProductList!J:BG,46,FALSE),3),""),""))</f>
        <v/>
      </c>
      <c r="L393" s="1" t="str">
        <f t="shared" si="13"/>
        <v/>
      </c>
    </row>
    <row r="394" spans="1:12" x14ac:dyDescent="0.25">
      <c r="A394" s="304"/>
      <c r="B394" s="73"/>
      <c r="C394" s="73"/>
      <c r="D394" s="104"/>
      <c r="E394" s="122"/>
      <c r="F394" s="73" t="str">
        <f>IF(G394="KGS",IF(B394&lt;&gt;"",IFERROR(VLOOKUP(B394,ProductList!B:AO,21,FALSE),""),""),IF(D394&lt;&gt;"",IFERROR(VLOOKUP(B394,ProductList!B:AO,24,FALSE),""),""))</f>
        <v/>
      </c>
      <c r="G394" s="202"/>
      <c r="H394" s="75" t="str">
        <f>IF(G394="KGS",IF(B394&lt;&gt;"",IFERROR(ROUND(VLOOKUP(B394,ProductList!B:BG,58,FALSE),3),""),""),IF(B394&lt;&gt;"",IFERROR(ROUND(VLOOKUP(B394,ProductList!B:BG,57,FALSE),3),""),""))</f>
        <v/>
      </c>
      <c r="I394" s="75" t="str">
        <f t="shared" si="12"/>
        <v/>
      </c>
      <c r="J394" s="1" t="str">
        <f>IFERROR(VLOOKUP(B394,ProductList!B:AO,21,FALSE),"")</f>
        <v/>
      </c>
      <c r="K394" s="1" t="str">
        <f>IF(G394="KGS",IF(D394&lt;&gt;"",IFERROR(ROUND(VLOOKUP(D394,ProductList!J:BG,47,FALSE),3),""),""),IF(D394&lt;&gt;"",IFERROR(ROUND(VLOOKUP(D394,ProductList!J:BG,46,FALSE),3),""),""))</f>
        <v/>
      </c>
      <c r="L394" s="1" t="str">
        <f t="shared" si="13"/>
        <v/>
      </c>
    </row>
    <row r="395" spans="1:12" x14ac:dyDescent="0.25">
      <c r="A395" s="304"/>
      <c r="B395" s="73"/>
      <c r="C395" s="73"/>
      <c r="D395" s="104"/>
      <c r="E395" s="122"/>
      <c r="F395" s="73" t="str">
        <f>IF(G395="KGS",IF(B395&lt;&gt;"",IFERROR(VLOOKUP(B395,ProductList!B:AO,21,FALSE),""),""),IF(D395&lt;&gt;"",IFERROR(VLOOKUP(B395,ProductList!B:AO,24,FALSE),""),""))</f>
        <v/>
      </c>
      <c r="G395" s="202"/>
      <c r="H395" s="75" t="str">
        <f>IF(G395="KGS",IF(B395&lt;&gt;"",IFERROR(ROUND(VLOOKUP(B395,ProductList!B:BG,58,FALSE),3),""),""),IF(B395&lt;&gt;"",IFERROR(ROUND(VLOOKUP(B395,ProductList!B:BG,57,FALSE),3),""),""))</f>
        <v/>
      </c>
      <c r="I395" s="75" t="str">
        <f t="shared" si="12"/>
        <v/>
      </c>
      <c r="J395" s="1" t="str">
        <f>IFERROR(VLOOKUP(B395,ProductList!B:AO,21,FALSE),"")</f>
        <v/>
      </c>
      <c r="K395" s="1" t="str">
        <f>IF(G395="KGS",IF(D395&lt;&gt;"",IFERROR(ROUND(VLOOKUP(D395,ProductList!J:BG,47,FALSE),3),""),""),IF(D395&lt;&gt;"",IFERROR(ROUND(VLOOKUP(D395,ProductList!J:BG,46,FALSE),3),""),""))</f>
        <v/>
      </c>
      <c r="L395" s="1" t="str">
        <f t="shared" si="13"/>
        <v/>
      </c>
    </row>
    <row r="396" spans="1:12" x14ac:dyDescent="0.25">
      <c r="A396" s="304"/>
      <c r="B396" s="73"/>
      <c r="C396" s="73"/>
      <c r="D396" s="104"/>
      <c r="E396" s="122"/>
      <c r="F396" s="73" t="str">
        <f>IF(G396="KGS",IF(B396&lt;&gt;"",IFERROR(VLOOKUP(B396,ProductList!B:AO,21,FALSE),""),""),IF(D396&lt;&gt;"",IFERROR(VLOOKUP(B396,ProductList!B:AO,24,FALSE),""),""))</f>
        <v/>
      </c>
      <c r="G396" s="202"/>
      <c r="H396" s="75" t="str">
        <f>IF(G396="KGS",IF(B396&lt;&gt;"",IFERROR(ROUND(VLOOKUP(B396,ProductList!B:BG,58,FALSE),3),""),""),IF(B396&lt;&gt;"",IFERROR(ROUND(VLOOKUP(B396,ProductList!B:BG,57,FALSE),3),""),""))</f>
        <v/>
      </c>
      <c r="I396" s="75" t="str">
        <f t="shared" si="12"/>
        <v/>
      </c>
      <c r="J396" s="1" t="str">
        <f>IFERROR(VLOOKUP(B396,ProductList!B:AO,21,FALSE),"")</f>
        <v/>
      </c>
      <c r="K396" s="1" t="str">
        <f>IF(G396="KGS",IF(D396&lt;&gt;"",IFERROR(ROUND(VLOOKUP(D396,ProductList!J:BG,47,FALSE),3),""),""),IF(D396&lt;&gt;"",IFERROR(ROUND(VLOOKUP(D396,ProductList!J:BG,46,FALSE),3),""),""))</f>
        <v/>
      </c>
      <c r="L396" s="1" t="str">
        <f t="shared" si="13"/>
        <v/>
      </c>
    </row>
    <row r="397" spans="1:12" x14ac:dyDescent="0.25">
      <c r="A397" s="304"/>
      <c r="B397" s="73"/>
      <c r="C397" s="73"/>
      <c r="D397" s="104"/>
      <c r="E397" s="122"/>
      <c r="F397" s="73" t="str">
        <f>IF(G397="KGS",IF(B397&lt;&gt;"",IFERROR(VLOOKUP(B397,ProductList!B:AO,21,FALSE),""),""),IF(D397&lt;&gt;"",IFERROR(VLOOKUP(B397,ProductList!B:AO,24,FALSE),""),""))</f>
        <v/>
      </c>
      <c r="G397" s="202"/>
      <c r="H397" s="75" t="str">
        <f>IF(G397="KGS",IF(B397&lt;&gt;"",IFERROR(ROUND(VLOOKUP(B397,ProductList!B:BG,58,FALSE),3),""),""),IF(B397&lt;&gt;"",IFERROR(ROUND(VLOOKUP(B397,ProductList!B:BG,57,FALSE),3),""),""))</f>
        <v/>
      </c>
      <c r="I397" s="75" t="str">
        <f t="shared" si="12"/>
        <v/>
      </c>
      <c r="J397" s="1" t="str">
        <f>IFERROR(VLOOKUP(B397,ProductList!B:AO,21,FALSE),"")</f>
        <v/>
      </c>
      <c r="K397" s="1" t="str">
        <f>IF(G397="KGS",IF(D397&lt;&gt;"",IFERROR(ROUND(VLOOKUP(D397,ProductList!J:BG,47,FALSE),3),""),""),IF(D397&lt;&gt;"",IFERROR(ROUND(VLOOKUP(D397,ProductList!J:BG,46,FALSE),3),""),""))</f>
        <v/>
      </c>
      <c r="L397" s="1" t="str">
        <f t="shared" si="13"/>
        <v/>
      </c>
    </row>
    <row r="398" spans="1:12" x14ac:dyDescent="0.25">
      <c r="A398" s="304"/>
      <c r="B398" s="73"/>
      <c r="C398" s="73"/>
      <c r="D398" s="104"/>
      <c r="E398" s="122"/>
      <c r="F398" s="73" t="str">
        <f>IF(G398="KGS",IF(B398&lt;&gt;"",IFERROR(VLOOKUP(B398,ProductList!B:AO,21,FALSE),""),""),IF(D398&lt;&gt;"",IFERROR(VLOOKUP(B398,ProductList!B:AO,24,FALSE),""),""))</f>
        <v/>
      </c>
      <c r="G398" s="202"/>
      <c r="H398" s="75" t="str">
        <f>IF(G398="KGS",IF(B398&lt;&gt;"",IFERROR(ROUND(VLOOKUP(B398,ProductList!B:BG,58,FALSE),3),""),""),IF(B398&lt;&gt;"",IFERROR(ROUND(VLOOKUP(B398,ProductList!B:BG,57,FALSE),3),""),""))</f>
        <v/>
      </c>
      <c r="I398" s="75" t="str">
        <f t="shared" si="12"/>
        <v/>
      </c>
      <c r="J398" s="1" t="str">
        <f>IFERROR(VLOOKUP(B398,ProductList!B:AO,21,FALSE),"")</f>
        <v/>
      </c>
      <c r="K398" s="1" t="str">
        <f>IF(G398="KGS",IF(D398&lt;&gt;"",IFERROR(ROUND(VLOOKUP(D398,ProductList!J:BG,47,FALSE),3),""),""),IF(D398&lt;&gt;"",IFERROR(ROUND(VLOOKUP(D398,ProductList!J:BG,46,FALSE),3),""),""))</f>
        <v/>
      </c>
      <c r="L398" s="1" t="str">
        <f t="shared" si="13"/>
        <v/>
      </c>
    </row>
    <row r="399" spans="1:12" x14ac:dyDescent="0.25">
      <c r="A399" s="304"/>
      <c r="B399" s="73"/>
      <c r="C399" s="73"/>
      <c r="D399" s="104"/>
      <c r="E399" s="122"/>
      <c r="F399" s="73" t="str">
        <f>IF(G399="KGS",IF(B399&lt;&gt;"",IFERROR(VLOOKUP(B399,ProductList!B:AO,21,FALSE),""),""),IF(D399&lt;&gt;"",IFERROR(VLOOKUP(B399,ProductList!B:AO,24,FALSE),""),""))</f>
        <v/>
      </c>
      <c r="G399" s="202"/>
      <c r="H399" s="75" t="str">
        <f>IF(G399="KGS",IF(B399&lt;&gt;"",IFERROR(ROUND(VLOOKUP(B399,ProductList!B:BG,58,FALSE),3),""),""),IF(B399&lt;&gt;"",IFERROR(ROUND(VLOOKUP(B399,ProductList!B:BG,57,FALSE),3),""),""))</f>
        <v/>
      </c>
      <c r="I399" s="75" t="str">
        <f t="shared" si="12"/>
        <v/>
      </c>
      <c r="J399" s="1" t="str">
        <f>IFERROR(VLOOKUP(B399,ProductList!B:AO,21,FALSE),"")</f>
        <v/>
      </c>
      <c r="K399" s="1" t="str">
        <f>IF(G399="KGS",IF(D399&lt;&gt;"",IFERROR(ROUND(VLOOKUP(D399,ProductList!J:BG,47,FALSE),3),""),""),IF(D399&lt;&gt;"",IFERROR(ROUND(VLOOKUP(D399,ProductList!J:BG,46,FALSE),3),""),""))</f>
        <v/>
      </c>
      <c r="L399" s="1" t="str">
        <f t="shared" si="13"/>
        <v/>
      </c>
    </row>
    <row r="400" spans="1:12" x14ac:dyDescent="0.25">
      <c r="A400" s="304"/>
      <c r="B400" s="73"/>
      <c r="C400" s="73"/>
      <c r="D400" s="104"/>
      <c r="E400" s="122"/>
      <c r="F400" s="73" t="str">
        <f>IF(G400="KGS",IF(B400&lt;&gt;"",IFERROR(VLOOKUP(B400,ProductList!B:AO,21,FALSE),""),""),IF(D400&lt;&gt;"",IFERROR(VLOOKUP(B400,ProductList!B:AO,24,FALSE),""),""))</f>
        <v/>
      </c>
      <c r="G400" s="202"/>
      <c r="H400" s="75" t="str">
        <f>IF(G400="KGS",IF(B400&lt;&gt;"",IFERROR(ROUND(VLOOKUP(B400,ProductList!B:BG,58,FALSE),3),""),""),IF(B400&lt;&gt;"",IFERROR(ROUND(VLOOKUP(B400,ProductList!B:BG,57,FALSE),3),""),""))</f>
        <v/>
      </c>
      <c r="I400" s="75" t="str">
        <f t="shared" si="12"/>
        <v/>
      </c>
      <c r="J400" s="1" t="str">
        <f>IFERROR(VLOOKUP(B400,ProductList!B:AO,21,FALSE),"")</f>
        <v/>
      </c>
      <c r="K400" s="1" t="str">
        <f>IF(G400="KGS",IF(D400&lt;&gt;"",IFERROR(ROUND(VLOOKUP(D400,ProductList!J:BG,47,FALSE),3),""),""),IF(D400&lt;&gt;"",IFERROR(ROUND(VLOOKUP(D400,ProductList!J:BG,46,FALSE),3),""),""))</f>
        <v/>
      </c>
      <c r="L400" s="1" t="str">
        <f t="shared" si="13"/>
        <v/>
      </c>
    </row>
    <row r="401" spans="1:12" x14ac:dyDescent="0.25">
      <c r="A401" s="304"/>
      <c r="B401" s="73"/>
      <c r="C401" s="73"/>
      <c r="D401" s="104"/>
      <c r="E401" s="122"/>
      <c r="F401" s="73" t="str">
        <f>IF(G401="KGS",IF(B401&lt;&gt;"",IFERROR(VLOOKUP(B401,ProductList!B:AO,21,FALSE),""),""),IF(D401&lt;&gt;"",IFERROR(VLOOKUP(B401,ProductList!B:AO,24,FALSE),""),""))</f>
        <v/>
      </c>
      <c r="G401" s="202"/>
      <c r="H401" s="75" t="str">
        <f>IF(G401="KGS",IF(B401&lt;&gt;"",IFERROR(ROUND(VLOOKUP(B401,ProductList!B:BG,58,FALSE),3),""),""),IF(B401&lt;&gt;"",IFERROR(ROUND(VLOOKUP(B401,ProductList!B:BG,57,FALSE),3),""),""))</f>
        <v/>
      </c>
      <c r="I401" s="75" t="str">
        <f t="shared" si="12"/>
        <v/>
      </c>
      <c r="J401" s="1" t="str">
        <f>IFERROR(VLOOKUP(B401,ProductList!B:AO,21,FALSE),"")</f>
        <v/>
      </c>
      <c r="K401" s="1" t="str">
        <f>IF(G401="KGS",IF(D401&lt;&gt;"",IFERROR(ROUND(VLOOKUP(D401,ProductList!J:BG,47,FALSE),3),""),""),IF(D401&lt;&gt;"",IFERROR(ROUND(VLOOKUP(D401,ProductList!J:BG,46,FALSE),3),""),""))</f>
        <v/>
      </c>
      <c r="L401" s="1" t="str">
        <f t="shared" si="13"/>
        <v/>
      </c>
    </row>
    <row r="402" spans="1:12" x14ac:dyDescent="0.25">
      <c r="A402" s="304"/>
      <c r="B402" s="73"/>
      <c r="C402" s="73"/>
      <c r="D402" s="104"/>
      <c r="E402" s="122"/>
      <c r="F402" s="73" t="str">
        <f>IF(G402="KGS",IF(B402&lt;&gt;"",IFERROR(VLOOKUP(B402,ProductList!B:AO,21,FALSE),""),""),IF(D402&lt;&gt;"",IFERROR(VLOOKUP(B402,ProductList!B:AO,24,FALSE),""),""))</f>
        <v/>
      </c>
      <c r="G402" s="202"/>
      <c r="H402" s="75" t="str">
        <f>IF(G402="KGS",IF(B402&lt;&gt;"",IFERROR(ROUND(VLOOKUP(B402,ProductList!B:BG,58,FALSE),3),""),""),IF(B402&lt;&gt;"",IFERROR(ROUND(VLOOKUP(B402,ProductList!B:BG,57,FALSE),3),""),""))</f>
        <v/>
      </c>
      <c r="I402" s="75" t="str">
        <f t="shared" si="12"/>
        <v/>
      </c>
      <c r="J402" s="1" t="str">
        <f>IFERROR(VLOOKUP(B402,ProductList!B:AO,21,FALSE),"")</f>
        <v/>
      </c>
      <c r="K402" s="1" t="str">
        <f>IF(G402="KGS",IF(D402&lt;&gt;"",IFERROR(ROUND(VLOOKUP(D402,ProductList!J:BG,47,FALSE),3),""),""),IF(D402&lt;&gt;"",IFERROR(ROUND(VLOOKUP(D402,ProductList!J:BG,46,FALSE),3),""),""))</f>
        <v/>
      </c>
      <c r="L402" s="1" t="str">
        <f t="shared" si="13"/>
        <v/>
      </c>
    </row>
    <row r="403" spans="1:12" x14ac:dyDescent="0.25">
      <c r="A403" s="304"/>
      <c r="B403" s="73"/>
      <c r="C403" s="73"/>
      <c r="D403" s="104"/>
      <c r="E403" s="122"/>
      <c r="F403" s="73" t="str">
        <f>IF(G403="KGS",IF(B403&lt;&gt;"",IFERROR(VLOOKUP(B403,ProductList!B:AO,21,FALSE),""),""),IF(D403&lt;&gt;"",IFERROR(VLOOKUP(B403,ProductList!B:AO,24,FALSE),""),""))</f>
        <v/>
      </c>
      <c r="G403" s="202"/>
      <c r="H403" s="75" t="str">
        <f>IF(G403="KGS",IF(B403&lt;&gt;"",IFERROR(ROUND(VLOOKUP(B403,ProductList!B:BG,58,FALSE),3),""),""),IF(B403&lt;&gt;"",IFERROR(ROUND(VLOOKUP(B403,ProductList!B:BG,57,FALSE),3),""),""))</f>
        <v/>
      </c>
      <c r="I403" s="75" t="str">
        <f t="shared" si="12"/>
        <v/>
      </c>
      <c r="J403" s="1" t="str">
        <f>IFERROR(VLOOKUP(B403,ProductList!B:AO,21,FALSE),"")</f>
        <v/>
      </c>
      <c r="K403" s="1" t="str">
        <f>IF(G403="KGS",IF(D403&lt;&gt;"",IFERROR(ROUND(VLOOKUP(D403,ProductList!J:BG,47,FALSE),3),""),""),IF(D403&lt;&gt;"",IFERROR(ROUND(VLOOKUP(D403,ProductList!J:BG,46,FALSE),3),""),""))</f>
        <v/>
      </c>
      <c r="L403" s="1" t="str">
        <f t="shared" si="13"/>
        <v/>
      </c>
    </row>
    <row r="404" spans="1:12" x14ac:dyDescent="0.25">
      <c r="A404" s="304"/>
      <c r="B404" s="73"/>
      <c r="C404" s="73"/>
      <c r="D404" s="104"/>
      <c r="E404" s="122"/>
      <c r="F404" s="73" t="str">
        <f>IF(G404="KGS",IF(B404&lt;&gt;"",IFERROR(VLOOKUP(B404,ProductList!B:AO,21,FALSE),""),""),IF(D404&lt;&gt;"",IFERROR(VLOOKUP(B404,ProductList!B:AO,24,FALSE),""),""))</f>
        <v/>
      </c>
      <c r="G404" s="202"/>
      <c r="H404" s="75" t="str">
        <f>IF(G404="KGS",IF(B404&lt;&gt;"",IFERROR(ROUND(VLOOKUP(B404,ProductList!B:BG,58,FALSE),3),""),""),IF(B404&lt;&gt;"",IFERROR(ROUND(VLOOKUP(B404,ProductList!B:BG,57,FALSE),3),""),""))</f>
        <v/>
      </c>
      <c r="I404" s="75" t="str">
        <f t="shared" si="12"/>
        <v/>
      </c>
      <c r="J404" s="1" t="str">
        <f>IFERROR(VLOOKUP(B404,ProductList!B:AO,21,FALSE),"")</f>
        <v/>
      </c>
      <c r="K404" s="1" t="str">
        <f>IF(G404="KGS",IF(D404&lt;&gt;"",IFERROR(ROUND(VLOOKUP(D404,ProductList!J:BG,47,FALSE),3),""),""),IF(D404&lt;&gt;"",IFERROR(ROUND(VLOOKUP(D404,ProductList!J:BG,46,FALSE),3),""),""))</f>
        <v/>
      </c>
      <c r="L404" s="1" t="str">
        <f t="shared" si="13"/>
        <v/>
      </c>
    </row>
    <row r="405" spans="1:12" x14ac:dyDescent="0.25">
      <c r="A405" s="304"/>
      <c r="B405" s="73"/>
      <c r="C405" s="73"/>
      <c r="D405" s="104"/>
      <c r="E405" s="122"/>
      <c r="F405" s="73" t="str">
        <f>IF(G405="KGS",IF(B405&lt;&gt;"",IFERROR(VLOOKUP(B405,ProductList!B:AO,21,FALSE),""),""),IF(D405&lt;&gt;"",IFERROR(VLOOKUP(B405,ProductList!B:AO,24,FALSE),""),""))</f>
        <v/>
      </c>
      <c r="G405" s="202"/>
      <c r="H405" s="75" t="str">
        <f>IF(G405="KGS",IF(B405&lt;&gt;"",IFERROR(ROUND(VLOOKUP(B405,ProductList!B:BG,58,FALSE),3),""),""),IF(B405&lt;&gt;"",IFERROR(ROUND(VLOOKUP(B405,ProductList!B:BG,57,FALSE),3),""),""))</f>
        <v/>
      </c>
      <c r="I405" s="75" t="str">
        <f t="shared" si="12"/>
        <v/>
      </c>
      <c r="J405" s="1" t="str">
        <f>IFERROR(VLOOKUP(B405,ProductList!B:AO,21,FALSE),"")</f>
        <v/>
      </c>
      <c r="K405" s="1" t="str">
        <f>IF(G405="KGS",IF(D405&lt;&gt;"",IFERROR(ROUND(VLOOKUP(D405,ProductList!J:BG,47,FALSE),3),""),""),IF(D405&lt;&gt;"",IFERROR(ROUND(VLOOKUP(D405,ProductList!J:BG,46,FALSE),3),""),""))</f>
        <v/>
      </c>
      <c r="L405" s="1" t="str">
        <f t="shared" si="13"/>
        <v/>
      </c>
    </row>
    <row r="406" spans="1:12" x14ac:dyDescent="0.25">
      <c r="A406" s="304"/>
      <c r="B406" s="73"/>
      <c r="C406" s="73"/>
      <c r="D406" s="104"/>
      <c r="E406" s="122"/>
      <c r="F406" s="73" t="str">
        <f>IF(G406="KGS",IF(B406&lt;&gt;"",IFERROR(VLOOKUP(B406,ProductList!B:AO,21,FALSE),""),""),IF(D406&lt;&gt;"",IFERROR(VLOOKUP(B406,ProductList!B:AO,24,FALSE),""),""))</f>
        <v/>
      </c>
      <c r="G406" s="202"/>
      <c r="H406" s="75" t="str">
        <f>IF(G406="KGS",IF(B406&lt;&gt;"",IFERROR(ROUND(VLOOKUP(B406,ProductList!B:BG,58,FALSE),3),""),""),IF(B406&lt;&gt;"",IFERROR(ROUND(VLOOKUP(B406,ProductList!B:BG,57,FALSE),3),""),""))</f>
        <v/>
      </c>
      <c r="I406" s="75" t="str">
        <f t="shared" si="12"/>
        <v/>
      </c>
      <c r="J406" s="1" t="str">
        <f>IFERROR(VLOOKUP(B406,ProductList!B:AO,21,FALSE),"")</f>
        <v/>
      </c>
      <c r="K406" s="1" t="str">
        <f>IF(G406="KGS",IF(D406&lt;&gt;"",IFERROR(ROUND(VLOOKUP(D406,ProductList!J:BG,47,FALSE),3),""),""),IF(D406&lt;&gt;"",IFERROR(ROUND(VLOOKUP(D406,ProductList!J:BG,46,FALSE),3),""),""))</f>
        <v/>
      </c>
      <c r="L406" s="1" t="str">
        <f t="shared" si="13"/>
        <v/>
      </c>
    </row>
    <row r="407" spans="1:12" x14ac:dyDescent="0.25">
      <c r="A407" s="304"/>
      <c r="B407" s="73"/>
      <c r="C407" s="73"/>
      <c r="D407" s="104"/>
      <c r="E407" s="122"/>
      <c r="F407" s="73" t="str">
        <f>IF(G407="KGS",IF(B407&lt;&gt;"",IFERROR(VLOOKUP(B407,ProductList!B:AO,21,FALSE),""),""),IF(D407&lt;&gt;"",IFERROR(VLOOKUP(B407,ProductList!B:AO,24,FALSE),""),""))</f>
        <v/>
      </c>
      <c r="G407" s="202"/>
      <c r="H407" s="75" t="str">
        <f>IF(G407="KGS",IF(B407&lt;&gt;"",IFERROR(ROUND(VLOOKUP(B407,ProductList!B:BG,58,FALSE),3),""),""),IF(B407&lt;&gt;"",IFERROR(ROUND(VLOOKUP(B407,ProductList!B:BG,57,FALSE),3),""),""))</f>
        <v/>
      </c>
      <c r="I407" s="75" t="str">
        <f t="shared" si="12"/>
        <v/>
      </c>
      <c r="J407" s="1" t="str">
        <f>IFERROR(VLOOKUP(B407,ProductList!B:AO,21,FALSE),"")</f>
        <v/>
      </c>
      <c r="K407" s="1" t="str">
        <f>IF(G407="KGS",IF(D407&lt;&gt;"",IFERROR(ROUND(VLOOKUP(D407,ProductList!J:BG,47,FALSE),3),""),""),IF(D407&lt;&gt;"",IFERROR(ROUND(VLOOKUP(D407,ProductList!J:BG,46,FALSE),3),""),""))</f>
        <v/>
      </c>
      <c r="L407" s="1" t="str">
        <f t="shared" si="13"/>
        <v/>
      </c>
    </row>
    <row r="408" spans="1:12" x14ac:dyDescent="0.25">
      <c r="A408" s="304"/>
      <c r="B408" s="73"/>
      <c r="C408" s="73"/>
      <c r="D408" s="104"/>
      <c r="E408" s="122"/>
      <c r="F408" s="73" t="str">
        <f>IF(G408="KGS",IF(B408&lt;&gt;"",IFERROR(VLOOKUP(B408,ProductList!B:AO,21,FALSE),""),""),IF(D408&lt;&gt;"",IFERROR(VLOOKUP(B408,ProductList!B:AO,24,FALSE),""),""))</f>
        <v/>
      </c>
      <c r="G408" s="202"/>
      <c r="H408" s="75" t="str">
        <f>IF(G408="KGS",IF(B408&lt;&gt;"",IFERROR(ROUND(VLOOKUP(B408,ProductList!B:BG,58,FALSE),3),""),""),IF(B408&lt;&gt;"",IFERROR(ROUND(VLOOKUP(B408,ProductList!B:BG,57,FALSE),3),""),""))</f>
        <v/>
      </c>
      <c r="I408" s="75" t="str">
        <f t="shared" si="12"/>
        <v/>
      </c>
      <c r="J408" s="1" t="str">
        <f>IFERROR(VLOOKUP(B408,ProductList!B:AO,21,FALSE),"")</f>
        <v/>
      </c>
      <c r="K408" s="1" t="str">
        <f>IF(G408="KGS",IF(D408&lt;&gt;"",IFERROR(ROUND(VLOOKUP(D408,ProductList!J:BG,47,FALSE),3),""),""),IF(D408&lt;&gt;"",IFERROR(ROUND(VLOOKUP(D408,ProductList!J:BG,46,FALSE),3),""),""))</f>
        <v/>
      </c>
      <c r="L408" s="1" t="str">
        <f t="shared" si="13"/>
        <v/>
      </c>
    </row>
    <row r="409" spans="1:12" x14ac:dyDescent="0.25">
      <c r="A409" s="304"/>
      <c r="B409" s="73"/>
      <c r="C409" s="73"/>
      <c r="D409" s="104"/>
      <c r="E409" s="122"/>
      <c r="F409" s="73" t="str">
        <f>IF(G409="KGS",IF(B409&lt;&gt;"",IFERROR(VLOOKUP(B409,ProductList!B:AO,21,FALSE),""),""),IF(D409&lt;&gt;"",IFERROR(VLOOKUP(B409,ProductList!B:AO,24,FALSE),""),""))</f>
        <v/>
      </c>
      <c r="G409" s="202"/>
      <c r="H409" s="75" t="str">
        <f>IF(G409="KGS",IF(B409&lt;&gt;"",IFERROR(ROUND(VLOOKUP(B409,ProductList!B:BG,58,FALSE),3),""),""),IF(B409&lt;&gt;"",IFERROR(ROUND(VLOOKUP(B409,ProductList!B:BG,57,FALSE),3),""),""))</f>
        <v/>
      </c>
      <c r="I409" s="75" t="str">
        <f t="shared" si="12"/>
        <v/>
      </c>
      <c r="J409" s="1" t="str">
        <f>IFERROR(VLOOKUP(B409,ProductList!B:AO,21,FALSE),"")</f>
        <v/>
      </c>
      <c r="K409" s="1" t="str">
        <f>IF(G409="KGS",IF(D409&lt;&gt;"",IFERROR(ROUND(VLOOKUP(D409,ProductList!J:BG,47,FALSE),3),""),""),IF(D409&lt;&gt;"",IFERROR(ROUND(VLOOKUP(D409,ProductList!J:BG,46,FALSE),3),""),""))</f>
        <v/>
      </c>
      <c r="L409" s="1" t="str">
        <f t="shared" si="13"/>
        <v/>
      </c>
    </row>
    <row r="410" spans="1:12" x14ac:dyDescent="0.25">
      <c r="A410" s="304"/>
      <c r="B410" s="73"/>
      <c r="C410" s="73"/>
      <c r="D410" s="104"/>
      <c r="E410" s="122"/>
      <c r="F410" s="73" t="str">
        <f>IF(G410="KGS",IF(B410&lt;&gt;"",IFERROR(VLOOKUP(B410,ProductList!B:AO,21,FALSE),""),""),IF(D410&lt;&gt;"",IFERROR(VLOOKUP(B410,ProductList!B:AO,24,FALSE),""),""))</f>
        <v/>
      </c>
      <c r="G410" s="202"/>
      <c r="H410" s="75" t="str">
        <f>IF(G410="KGS",IF(B410&lt;&gt;"",IFERROR(ROUND(VLOOKUP(B410,ProductList!B:BG,58,FALSE),3),""),""),IF(B410&lt;&gt;"",IFERROR(ROUND(VLOOKUP(B410,ProductList!B:BG,57,FALSE),3),""),""))</f>
        <v/>
      </c>
      <c r="I410" s="75" t="str">
        <f t="shared" si="12"/>
        <v/>
      </c>
      <c r="J410" s="1" t="str">
        <f>IFERROR(VLOOKUP(B410,ProductList!B:AO,21,FALSE),"")</f>
        <v/>
      </c>
      <c r="K410" s="1" t="str">
        <f>IF(G410="KGS",IF(D410&lt;&gt;"",IFERROR(ROUND(VLOOKUP(D410,ProductList!J:BG,47,FALSE),3),""),""),IF(D410&lt;&gt;"",IFERROR(ROUND(VLOOKUP(D410,ProductList!J:BG,46,FALSE),3),""),""))</f>
        <v/>
      </c>
      <c r="L410" s="1" t="str">
        <f t="shared" si="13"/>
        <v/>
      </c>
    </row>
    <row r="411" spans="1:12" x14ac:dyDescent="0.25">
      <c r="A411" s="304"/>
      <c r="B411" s="73"/>
      <c r="C411" s="73"/>
      <c r="D411" s="104"/>
      <c r="E411" s="122"/>
      <c r="F411" s="73" t="str">
        <f>IF(G411="KGS",IF(B411&lt;&gt;"",IFERROR(VLOOKUP(B411,ProductList!B:AO,21,FALSE),""),""),IF(D411&lt;&gt;"",IFERROR(VLOOKUP(B411,ProductList!B:AO,24,FALSE),""),""))</f>
        <v/>
      </c>
      <c r="G411" s="202"/>
      <c r="H411" s="75" t="str">
        <f>IF(G411="KGS",IF(B411&lt;&gt;"",IFERROR(ROUND(VLOOKUP(B411,ProductList!B:BG,58,FALSE),3),""),""),IF(B411&lt;&gt;"",IFERROR(ROUND(VLOOKUP(B411,ProductList!B:BG,57,FALSE),3),""),""))</f>
        <v/>
      </c>
      <c r="I411" s="75" t="str">
        <f t="shared" si="12"/>
        <v/>
      </c>
      <c r="J411" s="1" t="str">
        <f>IFERROR(VLOOKUP(B411,ProductList!B:AO,21,FALSE),"")</f>
        <v/>
      </c>
      <c r="K411" s="1" t="str">
        <f>IF(G411="KGS",IF(D411&lt;&gt;"",IFERROR(ROUND(VLOOKUP(D411,ProductList!J:BG,47,FALSE),3),""),""),IF(D411&lt;&gt;"",IFERROR(ROUND(VLOOKUP(D411,ProductList!J:BG,46,FALSE),3),""),""))</f>
        <v/>
      </c>
      <c r="L411" s="1" t="str">
        <f t="shared" si="13"/>
        <v/>
      </c>
    </row>
    <row r="412" spans="1:12" x14ac:dyDescent="0.25">
      <c r="A412" s="304"/>
      <c r="B412" s="73"/>
      <c r="C412" s="73"/>
      <c r="D412" s="104"/>
      <c r="E412" s="122"/>
      <c r="F412" s="73" t="str">
        <f>IF(G412="KGS",IF(B412&lt;&gt;"",IFERROR(VLOOKUP(B412,ProductList!B:AO,21,FALSE),""),""),IF(D412&lt;&gt;"",IFERROR(VLOOKUP(B412,ProductList!B:AO,24,FALSE),""),""))</f>
        <v/>
      </c>
      <c r="G412" s="202"/>
      <c r="H412" s="75" t="str">
        <f>IF(G412="KGS",IF(B412&lt;&gt;"",IFERROR(ROUND(VLOOKUP(B412,ProductList!B:BG,58,FALSE),3),""),""),IF(B412&lt;&gt;"",IFERROR(ROUND(VLOOKUP(B412,ProductList!B:BG,57,FALSE),3),""),""))</f>
        <v/>
      </c>
      <c r="I412" s="75" t="str">
        <f t="shared" si="12"/>
        <v/>
      </c>
      <c r="J412" s="1" t="str">
        <f>IFERROR(VLOOKUP(B412,ProductList!B:AO,21,FALSE),"")</f>
        <v/>
      </c>
      <c r="K412" s="1" t="str">
        <f>IF(G412="KGS",IF(D412&lt;&gt;"",IFERROR(ROUND(VLOOKUP(D412,ProductList!J:BG,47,FALSE),3),""),""),IF(D412&lt;&gt;"",IFERROR(ROUND(VLOOKUP(D412,ProductList!J:BG,46,FALSE),3),""),""))</f>
        <v/>
      </c>
      <c r="L412" s="1" t="str">
        <f t="shared" si="13"/>
        <v/>
      </c>
    </row>
    <row r="413" spans="1:12" x14ac:dyDescent="0.25">
      <c r="A413" s="304"/>
      <c r="B413" s="73"/>
      <c r="C413" s="73"/>
      <c r="D413" s="104"/>
      <c r="E413" s="122"/>
      <c r="F413" s="73" t="str">
        <f>IF(G413="KGS",IF(B413&lt;&gt;"",IFERROR(VLOOKUP(B413,ProductList!B:AO,21,FALSE),""),""),IF(D413&lt;&gt;"",IFERROR(VLOOKUP(B413,ProductList!B:AO,24,FALSE),""),""))</f>
        <v/>
      </c>
      <c r="G413" s="202"/>
      <c r="H413" s="75" t="str">
        <f>IF(G413="KGS",IF(B413&lt;&gt;"",IFERROR(ROUND(VLOOKUP(B413,ProductList!B:BG,58,FALSE),3),""),""),IF(B413&lt;&gt;"",IFERROR(ROUND(VLOOKUP(B413,ProductList!B:BG,57,FALSE),3),""),""))</f>
        <v/>
      </c>
      <c r="I413" s="75" t="str">
        <f t="shared" si="12"/>
        <v/>
      </c>
      <c r="J413" s="1" t="str">
        <f>IFERROR(VLOOKUP(B413,ProductList!B:AO,21,FALSE),"")</f>
        <v/>
      </c>
      <c r="K413" s="1" t="str">
        <f>IF(G413="KGS",IF(D413&lt;&gt;"",IFERROR(ROUND(VLOOKUP(D413,ProductList!J:BG,47,FALSE),3),""),""),IF(D413&lt;&gt;"",IFERROR(ROUND(VLOOKUP(D413,ProductList!J:BG,46,FALSE),3),""),""))</f>
        <v/>
      </c>
      <c r="L413" s="1" t="str">
        <f t="shared" si="13"/>
        <v/>
      </c>
    </row>
    <row r="414" spans="1:12" x14ac:dyDescent="0.25">
      <c r="A414" s="304"/>
      <c r="B414" s="73"/>
      <c r="C414" s="73"/>
      <c r="D414" s="104"/>
      <c r="E414" s="122"/>
      <c r="F414" s="73" t="str">
        <f>IF(G414="KGS",IF(B414&lt;&gt;"",IFERROR(VLOOKUP(B414,ProductList!B:AO,21,FALSE),""),""),IF(D414&lt;&gt;"",IFERROR(VLOOKUP(B414,ProductList!B:AO,24,FALSE),""),""))</f>
        <v/>
      </c>
      <c r="G414" s="202"/>
      <c r="H414" s="75" t="str">
        <f>IF(G414="KGS",IF(B414&lt;&gt;"",IFERROR(ROUND(VLOOKUP(B414,ProductList!B:BG,58,FALSE),3),""),""),IF(B414&lt;&gt;"",IFERROR(ROUND(VLOOKUP(B414,ProductList!B:BG,57,FALSE),3),""),""))</f>
        <v/>
      </c>
      <c r="I414" s="75" t="str">
        <f t="shared" si="12"/>
        <v/>
      </c>
      <c r="J414" s="1" t="str">
        <f>IFERROR(VLOOKUP(B414,ProductList!B:AO,21,FALSE),"")</f>
        <v/>
      </c>
      <c r="K414" s="1" t="str">
        <f>IF(G414="KGS",IF(D414&lt;&gt;"",IFERROR(ROUND(VLOOKUP(D414,ProductList!J:BG,47,FALSE),3),""),""),IF(D414&lt;&gt;"",IFERROR(ROUND(VLOOKUP(D414,ProductList!J:BG,46,FALSE),3),""),""))</f>
        <v/>
      </c>
      <c r="L414" s="1" t="str">
        <f t="shared" si="13"/>
        <v/>
      </c>
    </row>
    <row r="415" spans="1:12" x14ac:dyDescent="0.25">
      <c r="A415" s="304"/>
      <c r="B415" s="73"/>
      <c r="C415" s="73"/>
      <c r="D415" s="104"/>
      <c r="E415" s="122"/>
      <c r="F415" s="73" t="str">
        <f>IF(G415="KGS",IF(B415&lt;&gt;"",IFERROR(VLOOKUP(B415,ProductList!B:AO,21,FALSE),""),""),IF(D415&lt;&gt;"",IFERROR(VLOOKUP(B415,ProductList!B:AO,24,FALSE),""),""))</f>
        <v/>
      </c>
      <c r="G415" s="202"/>
      <c r="H415" s="75" t="str">
        <f>IF(G415="KGS",IF(B415&lt;&gt;"",IFERROR(ROUND(VLOOKUP(B415,ProductList!B:BG,58,FALSE),3),""),""),IF(B415&lt;&gt;"",IFERROR(ROUND(VLOOKUP(B415,ProductList!B:BG,57,FALSE),3),""),""))</f>
        <v/>
      </c>
      <c r="I415" s="75" t="str">
        <f t="shared" si="12"/>
        <v/>
      </c>
      <c r="J415" s="1" t="str">
        <f>IFERROR(VLOOKUP(B415,ProductList!B:AO,21,FALSE),"")</f>
        <v/>
      </c>
      <c r="K415" s="1" t="str">
        <f>IF(G415="KGS",IF(D415&lt;&gt;"",IFERROR(ROUND(VLOOKUP(D415,ProductList!J:BG,47,FALSE),3),""),""),IF(D415&lt;&gt;"",IFERROR(ROUND(VLOOKUP(D415,ProductList!J:BG,46,FALSE),3),""),""))</f>
        <v/>
      </c>
      <c r="L415" s="1" t="str">
        <f t="shared" si="13"/>
        <v/>
      </c>
    </row>
    <row r="416" spans="1:12" x14ac:dyDescent="0.25">
      <c r="A416" s="304"/>
      <c r="B416" s="73"/>
      <c r="C416" s="73"/>
      <c r="D416" s="104"/>
      <c r="E416" s="122"/>
      <c r="F416" s="73" t="str">
        <f>IF(G416="KGS",IF(B416&lt;&gt;"",IFERROR(VLOOKUP(B416,ProductList!B:AO,21,FALSE),""),""),IF(D416&lt;&gt;"",IFERROR(VLOOKUP(B416,ProductList!B:AO,24,FALSE),""),""))</f>
        <v/>
      </c>
      <c r="G416" s="202"/>
      <c r="H416" s="75" t="str">
        <f>IF(G416="KGS",IF(B416&lt;&gt;"",IFERROR(ROUND(VLOOKUP(B416,ProductList!B:BG,58,FALSE),3),""),""),IF(B416&lt;&gt;"",IFERROR(ROUND(VLOOKUP(B416,ProductList!B:BG,57,FALSE),3),""),""))</f>
        <v/>
      </c>
      <c r="I416" s="75" t="str">
        <f t="shared" si="12"/>
        <v/>
      </c>
      <c r="J416" s="1" t="str">
        <f>IFERROR(VLOOKUP(B416,ProductList!B:AO,21,FALSE),"")</f>
        <v/>
      </c>
      <c r="K416" s="1" t="str">
        <f>IF(G416="KGS",IF(D416&lt;&gt;"",IFERROR(ROUND(VLOOKUP(D416,ProductList!J:BG,47,FALSE),3),""),""),IF(D416&lt;&gt;"",IFERROR(ROUND(VLOOKUP(D416,ProductList!J:BG,46,FALSE),3),""),""))</f>
        <v/>
      </c>
      <c r="L416" s="1" t="str">
        <f t="shared" si="13"/>
        <v/>
      </c>
    </row>
    <row r="417" spans="1:12" x14ac:dyDescent="0.25">
      <c r="A417" s="304"/>
      <c r="B417" s="73"/>
      <c r="C417" s="73"/>
      <c r="D417" s="104"/>
      <c r="E417" s="122"/>
      <c r="F417" s="73" t="str">
        <f>IF(G417="KGS",IF(B417&lt;&gt;"",IFERROR(VLOOKUP(B417,ProductList!B:AO,21,FALSE),""),""),IF(D417&lt;&gt;"",IFERROR(VLOOKUP(B417,ProductList!B:AO,24,FALSE),""),""))</f>
        <v/>
      </c>
      <c r="G417" s="202"/>
      <c r="H417" s="75" t="str">
        <f>IF(G417="KGS",IF(B417&lt;&gt;"",IFERROR(ROUND(VLOOKUP(B417,ProductList!B:BG,58,FALSE),3),""),""),IF(B417&lt;&gt;"",IFERROR(ROUND(VLOOKUP(B417,ProductList!B:BG,57,FALSE),3),""),""))</f>
        <v/>
      </c>
      <c r="I417" s="75" t="str">
        <f t="shared" si="12"/>
        <v/>
      </c>
      <c r="J417" s="1" t="str">
        <f>IFERROR(VLOOKUP(B417,ProductList!B:AO,21,FALSE),"")</f>
        <v/>
      </c>
      <c r="K417" s="1" t="str">
        <f>IF(G417="KGS",IF(D417&lt;&gt;"",IFERROR(ROUND(VLOOKUP(D417,ProductList!J:BG,47,FALSE),3),""),""),IF(D417&lt;&gt;"",IFERROR(ROUND(VLOOKUP(D417,ProductList!J:BG,46,FALSE),3),""),""))</f>
        <v/>
      </c>
      <c r="L417" s="1" t="str">
        <f t="shared" si="13"/>
        <v/>
      </c>
    </row>
    <row r="418" spans="1:12" x14ac:dyDescent="0.25">
      <c r="A418" s="304"/>
      <c r="B418" s="73"/>
      <c r="C418" s="73"/>
      <c r="D418" s="104"/>
      <c r="E418" s="122"/>
      <c r="F418" s="73" t="str">
        <f>IF(G418="KGS",IF(B418&lt;&gt;"",IFERROR(VLOOKUP(B418,ProductList!B:AO,21,FALSE),""),""),IF(D418&lt;&gt;"",IFERROR(VLOOKUP(B418,ProductList!B:AO,24,FALSE),""),""))</f>
        <v/>
      </c>
      <c r="G418" s="202"/>
      <c r="H418" s="75" t="str">
        <f>IF(G418="KGS",IF(B418&lt;&gt;"",IFERROR(ROUND(VLOOKUP(B418,ProductList!B:BG,58,FALSE),3),""),""),IF(B418&lt;&gt;"",IFERROR(ROUND(VLOOKUP(B418,ProductList!B:BG,57,FALSE),3),""),""))</f>
        <v/>
      </c>
      <c r="I418" s="75" t="str">
        <f t="shared" si="12"/>
        <v/>
      </c>
      <c r="J418" s="1" t="str">
        <f>IFERROR(VLOOKUP(B418,ProductList!B:AO,21,FALSE),"")</f>
        <v/>
      </c>
      <c r="K418" s="1" t="str">
        <f>IF(G418="KGS",IF(D418&lt;&gt;"",IFERROR(ROUND(VLOOKUP(D418,ProductList!J:BG,47,FALSE),3),""),""),IF(D418&lt;&gt;"",IFERROR(ROUND(VLOOKUP(D418,ProductList!J:BG,46,FALSE),3),""),""))</f>
        <v/>
      </c>
      <c r="L418" s="1" t="str">
        <f t="shared" si="13"/>
        <v/>
      </c>
    </row>
    <row r="419" spans="1:12" x14ac:dyDescent="0.25">
      <c r="A419" s="304"/>
      <c r="B419" s="73"/>
      <c r="C419" s="73"/>
      <c r="D419" s="104"/>
      <c r="E419" s="122"/>
      <c r="F419" s="73" t="str">
        <f>IF(G419="KGS",IF(B419&lt;&gt;"",IFERROR(VLOOKUP(B419,ProductList!B:AO,21,FALSE),""),""),IF(D419&lt;&gt;"",IFERROR(VLOOKUP(B419,ProductList!B:AO,24,FALSE),""),""))</f>
        <v/>
      </c>
      <c r="G419" s="202"/>
      <c r="H419" s="75" t="str">
        <f>IF(G419="KGS",IF(B419&lt;&gt;"",IFERROR(ROUND(VLOOKUP(B419,ProductList!B:BG,58,FALSE),3),""),""),IF(B419&lt;&gt;"",IFERROR(ROUND(VLOOKUP(B419,ProductList!B:BG,57,FALSE),3),""),""))</f>
        <v/>
      </c>
      <c r="I419" s="75" t="str">
        <f t="shared" si="12"/>
        <v/>
      </c>
      <c r="J419" s="1" t="str">
        <f>IFERROR(VLOOKUP(B419,ProductList!B:AO,21,FALSE),"")</f>
        <v/>
      </c>
      <c r="K419" s="1" t="str">
        <f>IF(G419="KGS",IF(D419&lt;&gt;"",IFERROR(ROUND(VLOOKUP(D419,ProductList!J:BG,47,FALSE),3),""),""),IF(D419&lt;&gt;"",IFERROR(ROUND(VLOOKUP(D419,ProductList!J:BG,46,FALSE),3),""),""))</f>
        <v/>
      </c>
      <c r="L419" s="1" t="str">
        <f t="shared" si="13"/>
        <v/>
      </c>
    </row>
    <row r="420" spans="1:12" x14ac:dyDescent="0.25">
      <c r="A420" s="304"/>
      <c r="B420" s="73"/>
      <c r="C420" s="73"/>
      <c r="D420" s="104"/>
      <c r="E420" s="122"/>
      <c r="F420" s="73" t="str">
        <f>IF(G420="KGS",IF(B420&lt;&gt;"",IFERROR(VLOOKUP(B420,ProductList!B:AO,21,FALSE),""),""),IF(D420&lt;&gt;"",IFERROR(VLOOKUP(B420,ProductList!B:AO,24,FALSE),""),""))</f>
        <v/>
      </c>
      <c r="G420" s="202"/>
      <c r="H420" s="75" t="str">
        <f>IF(G420="KGS",IF(B420&lt;&gt;"",IFERROR(ROUND(VLOOKUP(B420,ProductList!B:BG,58,FALSE),3),""),""),IF(B420&lt;&gt;"",IFERROR(ROUND(VLOOKUP(B420,ProductList!B:BG,57,FALSE),3),""),""))</f>
        <v/>
      </c>
      <c r="I420" s="75" t="str">
        <f t="shared" si="12"/>
        <v/>
      </c>
      <c r="J420" s="1" t="str">
        <f>IFERROR(VLOOKUP(B420,ProductList!B:AO,21,FALSE),"")</f>
        <v/>
      </c>
      <c r="K420" s="1" t="str">
        <f>IF(G420="KGS",IF(D420&lt;&gt;"",IFERROR(ROUND(VLOOKUP(D420,ProductList!J:BG,47,FALSE),3),""),""),IF(D420&lt;&gt;"",IFERROR(ROUND(VLOOKUP(D420,ProductList!J:BG,46,FALSE),3),""),""))</f>
        <v/>
      </c>
      <c r="L420" s="1" t="str">
        <f t="shared" si="13"/>
        <v/>
      </c>
    </row>
    <row r="421" spans="1:12" x14ac:dyDescent="0.25">
      <c r="A421" s="304"/>
      <c r="B421" s="73"/>
      <c r="C421" s="73"/>
      <c r="D421" s="104"/>
      <c r="E421" s="122"/>
      <c r="F421" s="73" t="str">
        <f>IF(G421="KGS",IF(B421&lt;&gt;"",IFERROR(VLOOKUP(B421,ProductList!B:AO,21,FALSE),""),""),IF(D421&lt;&gt;"",IFERROR(VLOOKUP(B421,ProductList!B:AO,24,FALSE),""),""))</f>
        <v/>
      </c>
      <c r="G421" s="202"/>
      <c r="H421" s="75" t="str">
        <f>IF(G421="KGS",IF(B421&lt;&gt;"",IFERROR(ROUND(VLOOKUP(B421,ProductList!B:BG,58,FALSE),3),""),""),IF(B421&lt;&gt;"",IFERROR(ROUND(VLOOKUP(B421,ProductList!B:BG,57,FALSE),3),""),""))</f>
        <v/>
      </c>
      <c r="I421" s="75" t="str">
        <f t="shared" si="12"/>
        <v/>
      </c>
      <c r="J421" s="1" t="str">
        <f>IFERROR(VLOOKUP(B421,ProductList!B:AO,21,FALSE),"")</f>
        <v/>
      </c>
      <c r="K421" s="1" t="str">
        <f>IF(G421="KGS",IF(D421&lt;&gt;"",IFERROR(ROUND(VLOOKUP(D421,ProductList!J:BG,47,FALSE),3),""),""),IF(D421&lt;&gt;"",IFERROR(ROUND(VLOOKUP(D421,ProductList!J:BG,46,FALSE),3),""),""))</f>
        <v/>
      </c>
      <c r="L421" s="1" t="str">
        <f t="shared" si="13"/>
        <v/>
      </c>
    </row>
    <row r="422" spans="1:12" x14ac:dyDescent="0.25">
      <c r="A422" s="304"/>
      <c r="B422" s="73"/>
      <c r="C422" s="73"/>
      <c r="D422" s="104"/>
      <c r="E422" s="122"/>
      <c r="F422" s="73" t="str">
        <f>IF(G422="KGS",IF(B422&lt;&gt;"",IFERROR(VLOOKUP(B422,ProductList!B:AO,21,FALSE),""),""),IF(D422&lt;&gt;"",IFERROR(VLOOKUP(B422,ProductList!B:AO,24,FALSE),""),""))</f>
        <v/>
      </c>
      <c r="G422" s="202"/>
      <c r="H422" s="75" t="str">
        <f>IF(G422="KGS",IF(B422&lt;&gt;"",IFERROR(ROUND(VLOOKUP(B422,ProductList!B:BG,58,FALSE),3),""),""),IF(B422&lt;&gt;"",IFERROR(ROUND(VLOOKUP(B422,ProductList!B:BG,57,FALSE),3),""),""))</f>
        <v/>
      </c>
      <c r="I422" s="75" t="str">
        <f t="shared" si="12"/>
        <v/>
      </c>
      <c r="J422" s="1" t="str">
        <f>IFERROR(VLOOKUP(B422,ProductList!B:AO,21,FALSE),"")</f>
        <v/>
      </c>
      <c r="K422" s="1" t="str">
        <f>IF(G422="KGS",IF(D422&lt;&gt;"",IFERROR(ROUND(VLOOKUP(D422,ProductList!J:BG,47,FALSE),3),""),""),IF(D422&lt;&gt;"",IFERROR(ROUND(VLOOKUP(D422,ProductList!J:BG,46,FALSE),3),""),""))</f>
        <v/>
      </c>
      <c r="L422" s="1" t="str">
        <f t="shared" si="13"/>
        <v/>
      </c>
    </row>
    <row r="423" spans="1:12" x14ac:dyDescent="0.25">
      <c r="A423" s="304"/>
      <c r="B423" s="73"/>
      <c r="C423" s="73"/>
      <c r="D423" s="104"/>
      <c r="E423" s="122"/>
      <c r="F423" s="73" t="str">
        <f>IF(G423="KGS",IF(B423&lt;&gt;"",IFERROR(VLOOKUP(B423,ProductList!B:AO,21,FALSE),""),""),IF(D423&lt;&gt;"",IFERROR(VLOOKUP(B423,ProductList!B:AO,24,FALSE),""),""))</f>
        <v/>
      </c>
      <c r="G423" s="202"/>
      <c r="H423" s="75" t="str">
        <f>IF(G423="KGS",IF(B423&lt;&gt;"",IFERROR(ROUND(VLOOKUP(B423,ProductList!B:BG,58,FALSE),3),""),""),IF(B423&lt;&gt;"",IFERROR(ROUND(VLOOKUP(B423,ProductList!B:BG,57,FALSE),3),""),""))</f>
        <v/>
      </c>
      <c r="I423" s="75" t="str">
        <f t="shared" si="12"/>
        <v/>
      </c>
      <c r="J423" s="1" t="str">
        <f>IFERROR(VLOOKUP(B423,ProductList!B:AO,21,FALSE),"")</f>
        <v/>
      </c>
      <c r="K423" s="1" t="str">
        <f>IF(G423="KGS",IF(D423&lt;&gt;"",IFERROR(ROUND(VLOOKUP(D423,ProductList!J:BG,47,FALSE),3),""),""),IF(D423&lt;&gt;"",IFERROR(ROUND(VLOOKUP(D423,ProductList!J:BG,46,FALSE),3),""),""))</f>
        <v/>
      </c>
      <c r="L423" s="1" t="str">
        <f t="shared" si="13"/>
        <v/>
      </c>
    </row>
    <row r="424" spans="1:12" x14ac:dyDescent="0.25">
      <c r="A424" s="304"/>
      <c r="B424" s="73"/>
      <c r="C424" s="73"/>
      <c r="D424" s="104"/>
      <c r="E424" s="122"/>
      <c r="F424" s="73" t="str">
        <f>IF(G424="KGS",IF(B424&lt;&gt;"",IFERROR(VLOOKUP(B424,ProductList!B:AO,21,FALSE),""),""),IF(D424&lt;&gt;"",IFERROR(VLOOKUP(B424,ProductList!B:AO,24,FALSE),""),""))</f>
        <v/>
      </c>
      <c r="G424" s="202"/>
      <c r="H424" s="75" t="str">
        <f>IF(G424="KGS",IF(B424&lt;&gt;"",IFERROR(ROUND(VLOOKUP(B424,ProductList!B:BG,58,FALSE),3),""),""),IF(B424&lt;&gt;"",IFERROR(ROUND(VLOOKUP(B424,ProductList!B:BG,57,FALSE),3),""),""))</f>
        <v/>
      </c>
      <c r="I424" s="75" t="str">
        <f t="shared" si="12"/>
        <v/>
      </c>
      <c r="J424" s="1" t="str">
        <f>IFERROR(VLOOKUP(B424,ProductList!B:AO,21,FALSE),"")</f>
        <v/>
      </c>
      <c r="K424" s="1" t="str">
        <f>IF(G424="KGS",IF(D424&lt;&gt;"",IFERROR(ROUND(VLOOKUP(D424,ProductList!J:BG,47,FALSE),3),""),""),IF(D424&lt;&gt;"",IFERROR(ROUND(VLOOKUP(D424,ProductList!J:BG,46,FALSE),3),""),""))</f>
        <v/>
      </c>
      <c r="L424" s="1" t="str">
        <f t="shared" si="13"/>
        <v/>
      </c>
    </row>
    <row r="425" spans="1:12" x14ac:dyDescent="0.25">
      <c r="A425" s="304"/>
      <c r="B425" s="73"/>
      <c r="C425" s="73"/>
      <c r="D425" s="104"/>
      <c r="E425" s="122"/>
      <c r="F425" s="73" t="str">
        <f>IF(G425="KGS",IF(B425&lt;&gt;"",IFERROR(VLOOKUP(B425,ProductList!B:AO,21,FALSE),""),""),IF(D425&lt;&gt;"",IFERROR(VLOOKUP(B425,ProductList!B:AO,24,FALSE),""),""))</f>
        <v/>
      </c>
      <c r="G425" s="202"/>
      <c r="H425" s="75" t="str">
        <f>IF(G425="KGS",IF(B425&lt;&gt;"",IFERROR(ROUND(VLOOKUP(B425,ProductList!B:BG,58,FALSE),3),""),""),IF(B425&lt;&gt;"",IFERROR(ROUND(VLOOKUP(B425,ProductList!B:BG,57,FALSE),3),""),""))</f>
        <v/>
      </c>
      <c r="I425" s="75" t="str">
        <f t="shared" si="12"/>
        <v/>
      </c>
      <c r="J425" s="1" t="str">
        <f>IFERROR(VLOOKUP(B425,ProductList!B:AO,21,FALSE),"")</f>
        <v/>
      </c>
      <c r="K425" s="1" t="str">
        <f>IF(G425="KGS",IF(D425&lt;&gt;"",IFERROR(ROUND(VLOOKUP(D425,ProductList!J:BG,47,FALSE),3),""),""),IF(D425&lt;&gt;"",IFERROR(ROUND(VLOOKUP(D425,ProductList!J:BG,46,FALSE),3),""),""))</f>
        <v/>
      </c>
      <c r="L425" s="1" t="str">
        <f t="shared" si="13"/>
        <v/>
      </c>
    </row>
    <row r="426" spans="1:12" x14ac:dyDescent="0.25">
      <c r="A426" s="304"/>
      <c r="B426" s="73"/>
      <c r="C426" s="73"/>
      <c r="D426" s="104"/>
      <c r="E426" s="122"/>
      <c r="F426" s="73" t="str">
        <f>IF(G426="KGS",IF(B426&lt;&gt;"",IFERROR(VLOOKUP(B426,ProductList!B:AO,21,FALSE),""),""),IF(D426&lt;&gt;"",IFERROR(VLOOKUP(B426,ProductList!B:AO,24,FALSE),""),""))</f>
        <v/>
      </c>
      <c r="G426" s="202"/>
      <c r="H426" s="75" t="str">
        <f>IF(G426="KGS",IF(B426&lt;&gt;"",IFERROR(ROUND(VLOOKUP(B426,ProductList!B:BG,58,FALSE),3),""),""),IF(B426&lt;&gt;"",IFERROR(ROUND(VLOOKUP(B426,ProductList!B:BG,57,FALSE),3),""),""))</f>
        <v/>
      </c>
      <c r="I426" s="75" t="str">
        <f t="shared" si="12"/>
        <v/>
      </c>
      <c r="J426" s="1" t="str">
        <f>IFERROR(VLOOKUP(B426,ProductList!B:AO,21,FALSE),"")</f>
        <v/>
      </c>
      <c r="K426" s="1" t="str">
        <f>IF(G426="KGS",IF(D426&lt;&gt;"",IFERROR(ROUND(VLOOKUP(D426,ProductList!J:BG,47,FALSE),3),""),""),IF(D426&lt;&gt;"",IFERROR(ROUND(VLOOKUP(D426,ProductList!J:BG,46,FALSE),3),""),""))</f>
        <v/>
      </c>
      <c r="L426" s="1" t="str">
        <f t="shared" si="13"/>
        <v/>
      </c>
    </row>
    <row r="427" spans="1:12" x14ac:dyDescent="0.25">
      <c r="A427" s="304"/>
      <c r="B427" s="73"/>
      <c r="C427" s="73"/>
      <c r="D427" s="104"/>
      <c r="E427" s="122"/>
      <c r="F427" s="73" t="str">
        <f>IF(G427="KGS",IF(B427&lt;&gt;"",IFERROR(VLOOKUP(B427,ProductList!B:AO,21,FALSE),""),""),IF(D427&lt;&gt;"",IFERROR(VLOOKUP(B427,ProductList!B:AO,24,FALSE),""),""))</f>
        <v/>
      </c>
      <c r="G427" s="202"/>
      <c r="H427" s="75" t="str">
        <f>IF(G427="KGS",IF(B427&lt;&gt;"",IFERROR(ROUND(VLOOKUP(B427,ProductList!B:BG,58,FALSE),3),""),""),IF(B427&lt;&gt;"",IFERROR(ROUND(VLOOKUP(B427,ProductList!B:BG,57,FALSE),3),""),""))</f>
        <v/>
      </c>
      <c r="I427" s="75" t="str">
        <f t="shared" si="12"/>
        <v/>
      </c>
      <c r="J427" s="1" t="str">
        <f>IFERROR(VLOOKUP(B427,ProductList!B:AO,21,FALSE),"")</f>
        <v/>
      </c>
      <c r="K427" s="1" t="str">
        <f>IF(G427="KGS",IF(D427&lt;&gt;"",IFERROR(ROUND(VLOOKUP(D427,ProductList!J:BG,47,FALSE),3),""),""),IF(D427&lt;&gt;"",IFERROR(ROUND(VLOOKUP(D427,ProductList!J:BG,46,FALSE),3),""),""))</f>
        <v/>
      </c>
      <c r="L427" s="1" t="str">
        <f t="shared" si="13"/>
        <v/>
      </c>
    </row>
    <row r="428" spans="1:12" x14ac:dyDescent="0.25">
      <c r="A428" s="304"/>
      <c r="B428" s="73"/>
      <c r="C428" s="73"/>
      <c r="D428" s="104"/>
      <c r="E428" s="122"/>
      <c r="F428" s="73" t="str">
        <f>IF(G428="KGS",IF(B428&lt;&gt;"",IFERROR(VLOOKUP(B428,ProductList!B:AO,21,FALSE),""),""),IF(D428&lt;&gt;"",IFERROR(VLOOKUP(B428,ProductList!B:AO,24,FALSE),""),""))</f>
        <v/>
      </c>
      <c r="G428" s="202"/>
      <c r="H428" s="75" t="str">
        <f>IF(G428="KGS",IF(B428&lt;&gt;"",IFERROR(ROUND(VLOOKUP(B428,ProductList!B:BG,58,FALSE),3),""),""),IF(B428&lt;&gt;"",IFERROR(ROUND(VLOOKUP(B428,ProductList!B:BG,57,FALSE),3),""),""))</f>
        <v/>
      </c>
      <c r="I428" s="75" t="str">
        <f t="shared" si="12"/>
        <v/>
      </c>
      <c r="J428" s="1" t="str">
        <f>IFERROR(VLOOKUP(B428,ProductList!B:AO,21,FALSE),"")</f>
        <v/>
      </c>
      <c r="K428" s="1" t="str">
        <f>IF(G428="KGS",IF(D428&lt;&gt;"",IFERROR(ROUND(VLOOKUP(D428,ProductList!J:BG,47,FALSE),3),""),""),IF(D428&lt;&gt;"",IFERROR(ROUND(VLOOKUP(D428,ProductList!J:BG,46,FALSE),3),""),""))</f>
        <v/>
      </c>
      <c r="L428" s="1" t="str">
        <f t="shared" si="13"/>
        <v/>
      </c>
    </row>
    <row r="429" spans="1:12" x14ac:dyDescent="0.25">
      <c r="A429" s="304"/>
      <c r="B429" s="73"/>
      <c r="C429" s="73"/>
      <c r="D429" s="104"/>
      <c r="E429" s="122"/>
      <c r="F429" s="73" t="str">
        <f>IF(G429="KGS",IF(B429&lt;&gt;"",IFERROR(VLOOKUP(B429,ProductList!B:AO,21,FALSE),""),""),IF(D429&lt;&gt;"",IFERROR(VLOOKUP(B429,ProductList!B:AO,24,FALSE),""),""))</f>
        <v/>
      </c>
      <c r="G429" s="202"/>
      <c r="H429" s="75" t="str">
        <f>IF(G429="KGS",IF(B429&lt;&gt;"",IFERROR(ROUND(VLOOKUP(B429,ProductList!B:BG,58,FALSE),3),""),""),IF(B429&lt;&gt;"",IFERROR(ROUND(VLOOKUP(B429,ProductList!B:BG,57,FALSE),3),""),""))</f>
        <v/>
      </c>
      <c r="I429" s="75" t="str">
        <f t="shared" si="12"/>
        <v/>
      </c>
      <c r="J429" s="1" t="str">
        <f>IFERROR(VLOOKUP(B429,ProductList!B:AO,21,FALSE),"")</f>
        <v/>
      </c>
      <c r="K429" s="1" t="str">
        <f>IF(G429="KGS",IF(D429&lt;&gt;"",IFERROR(ROUND(VLOOKUP(D429,ProductList!J:BG,47,FALSE),3),""),""),IF(D429&lt;&gt;"",IFERROR(ROUND(VLOOKUP(D429,ProductList!J:BG,46,FALSE),3),""),""))</f>
        <v/>
      </c>
      <c r="L429" s="1" t="str">
        <f t="shared" si="13"/>
        <v/>
      </c>
    </row>
    <row r="430" spans="1:12" x14ac:dyDescent="0.25">
      <c r="A430" s="304"/>
      <c r="B430" s="73"/>
      <c r="C430" s="73"/>
      <c r="D430" s="104"/>
      <c r="E430" s="122"/>
      <c r="F430" s="73" t="str">
        <f>IF(G430="KGS",IF(B430&lt;&gt;"",IFERROR(VLOOKUP(B430,ProductList!B:AO,21,FALSE),""),""),IF(D430&lt;&gt;"",IFERROR(VLOOKUP(B430,ProductList!B:AO,24,FALSE),""),""))</f>
        <v/>
      </c>
      <c r="G430" s="202"/>
      <c r="H430" s="75" t="str">
        <f>IF(G430="KGS",IF(B430&lt;&gt;"",IFERROR(ROUND(VLOOKUP(B430,ProductList!B:BG,58,FALSE),3),""),""),IF(B430&lt;&gt;"",IFERROR(ROUND(VLOOKUP(B430,ProductList!B:BG,57,FALSE),3),""),""))</f>
        <v/>
      </c>
      <c r="I430" s="75" t="str">
        <f t="shared" si="12"/>
        <v/>
      </c>
      <c r="J430" s="1" t="str">
        <f>IFERROR(VLOOKUP(B430,ProductList!B:AO,21,FALSE),"")</f>
        <v/>
      </c>
      <c r="K430" s="1" t="str">
        <f>IF(G430="KGS",IF(D430&lt;&gt;"",IFERROR(ROUND(VLOOKUP(D430,ProductList!J:BG,47,FALSE),3),""),""),IF(D430&lt;&gt;"",IFERROR(ROUND(VLOOKUP(D430,ProductList!J:BG,46,FALSE),3),""),""))</f>
        <v/>
      </c>
      <c r="L430" s="1" t="str">
        <f t="shared" si="13"/>
        <v/>
      </c>
    </row>
    <row r="431" spans="1:12" x14ac:dyDescent="0.25">
      <c r="A431" s="304"/>
      <c r="B431" s="73"/>
      <c r="C431" s="73"/>
      <c r="D431" s="104"/>
      <c r="E431" s="122"/>
      <c r="F431" s="73" t="str">
        <f>IF(G431="KGS",IF(B431&lt;&gt;"",IFERROR(VLOOKUP(B431,ProductList!B:AO,21,FALSE),""),""),IF(D431&lt;&gt;"",IFERROR(VLOOKUP(B431,ProductList!B:AO,24,FALSE),""),""))</f>
        <v/>
      </c>
      <c r="G431" s="202"/>
      <c r="H431" s="75" t="str">
        <f>IF(G431="KGS",IF(B431&lt;&gt;"",IFERROR(ROUND(VLOOKUP(B431,ProductList!B:BG,58,FALSE),3),""),""),IF(B431&lt;&gt;"",IFERROR(ROUND(VLOOKUP(B431,ProductList!B:BG,57,FALSE),3),""),""))</f>
        <v/>
      </c>
      <c r="I431" s="75" t="str">
        <f t="shared" si="12"/>
        <v/>
      </c>
      <c r="J431" s="1" t="str">
        <f>IFERROR(VLOOKUP(B431,ProductList!B:AO,21,FALSE),"")</f>
        <v/>
      </c>
      <c r="K431" s="1" t="str">
        <f>IF(G431="KGS",IF(D431&lt;&gt;"",IFERROR(ROUND(VLOOKUP(D431,ProductList!J:BG,47,FALSE),3),""),""),IF(D431&lt;&gt;"",IFERROR(ROUND(VLOOKUP(D431,ProductList!J:BG,46,FALSE),3),""),""))</f>
        <v/>
      </c>
      <c r="L431" s="1" t="str">
        <f t="shared" si="13"/>
        <v/>
      </c>
    </row>
    <row r="432" spans="1:12" x14ac:dyDescent="0.25">
      <c r="A432" s="304"/>
      <c r="B432" s="73"/>
      <c r="C432" s="73"/>
      <c r="D432" s="104"/>
      <c r="E432" s="122"/>
      <c r="F432" s="73" t="str">
        <f>IF(G432="KGS",IF(B432&lt;&gt;"",IFERROR(VLOOKUP(B432,ProductList!B:AO,21,FALSE),""),""),IF(D432&lt;&gt;"",IFERROR(VLOOKUP(B432,ProductList!B:AO,24,FALSE),""),""))</f>
        <v/>
      </c>
      <c r="G432" s="202"/>
      <c r="H432" s="75" t="str">
        <f>IF(G432="KGS",IF(B432&lt;&gt;"",IFERROR(ROUND(VLOOKUP(B432,ProductList!B:BG,58,FALSE),3),""),""),IF(B432&lt;&gt;"",IFERROR(ROUND(VLOOKUP(B432,ProductList!B:BG,57,FALSE),3),""),""))</f>
        <v/>
      </c>
      <c r="I432" s="75" t="str">
        <f t="shared" si="12"/>
        <v/>
      </c>
      <c r="J432" s="1" t="str">
        <f>IFERROR(VLOOKUP(B432,ProductList!B:AO,21,FALSE),"")</f>
        <v/>
      </c>
      <c r="K432" s="1" t="str">
        <f>IF(G432="KGS",IF(D432&lt;&gt;"",IFERROR(ROUND(VLOOKUP(D432,ProductList!J:BG,47,FALSE),3),""),""),IF(D432&lt;&gt;"",IFERROR(ROUND(VLOOKUP(D432,ProductList!J:BG,46,FALSE),3),""),""))</f>
        <v/>
      </c>
      <c r="L432" s="1" t="str">
        <f t="shared" si="13"/>
        <v/>
      </c>
    </row>
    <row r="433" spans="1:12" x14ac:dyDescent="0.25">
      <c r="A433" s="304"/>
      <c r="B433" s="73"/>
      <c r="C433" s="73"/>
      <c r="D433" s="104"/>
      <c r="E433" s="122"/>
      <c r="F433" s="73" t="str">
        <f>IF(G433="KGS",IF(B433&lt;&gt;"",IFERROR(VLOOKUP(B433,ProductList!B:AO,21,FALSE),""),""),IF(D433&lt;&gt;"",IFERROR(VLOOKUP(B433,ProductList!B:AO,24,FALSE),""),""))</f>
        <v/>
      </c>
      <c r="G433" s="202"/>
      <c r="H433" s="75" t="str">
        <f>IF(G433="KGS",IF(B433&lt;&gt;"",IFERROR(ROUND(VLOOKUP(B433,ProductList!B:BG,58,FALSE),3),""),""),IF(B433&lt;&gt;"",IFERROR(ROUND(VLOOKUP(B433,ProductList!B:BG,57,FALSE),3),""),""))</f>
        <v/>
      </c>
      <c r="I433" s="75" t="str">
        <f t="shared" si="12"/>
        <v/>
      </c>
      <c r="J433" s="1" t="str">
        <f>IFERROR(VLOOKUP(B433,ProductList!B:AO,21,FALSE),"")</f>
        <v/>
      </c>
      <c r="K433" s="1" t="str">
        <f>IF(G433="KGS",IF(D433&lt;&gt;"",IFERROR(ROUND(VLOOKUP(D433,ProductList!J:BG,47,FALSE),3),""),""),IF(D433&lt;&gt;"",IFERROR(ROUND(VLOOKUP(D433,ProductList!J:BG,46,FALSE),3),""),""))</f>
        <v/>
      </c>
      <c r="L433" s="1" t="str">
        <f t="shared" si="13"/>
        <v/>
      </c>
    </row>
    <row r="434" spans="1:12" x14ac:dyDescent="0.25">
      <c r="A434" s="304"/>
      <c r="B434" s="73"/>
      <c r="C434" s="73"/>
      <c r="D434" s="104"/>
      <c r="E434" s="122"/>
      <c r="F434" s="73" t="str">
        <f>IF(G434="KGS",IF(B434&lt;&gt;"",IFERROR(VLOOKUP(B434,ProductList!B:AO,21,FALSE),""),""),IF(D434&lt;&gt;"",IFERROR(VLOOKUP(B434,ProductList!B:AO,24,FALSE),""),""))</f>
        <v/>
      </c>
      <c r="G434" s="202"/>
      <c r="H434" s="75" t="str">
        <f>IF(G434="KGS",IF(B434&lt;&gt;"",IFERROR(ROUND(VLOOKUP(B434,ProductList!B:BG,58,FALSE),3),""),""),IF(B434&lt;&gt;"",IFERROR(ROUND(VLOOKUP(B434,ProductList!B:BG,57,FALSE),3),""),""))</f>
        <v/>
      </c>
      <c r="I434" s="75" t="str">
        <f t="shared" si="12"/>
        <v/>
      </c>
      <c r="J434" s="1" t="str">
        <f>IFERROR(VLOOKUP(B434,ProductList!B:AO,21,FALSE),"")</f>
        <v/>
      </c>
      <c r="K434" s="1" t="str">
        <f>IF(G434="KGS",IF(D434&lt;&gt;"",IFERROR(ROUND(VLOOKUP(D434,ProductList!J:BG,47,FALSE),3),""),""),IF(D434&lt;&gt;"",IFERROR(ROUND(VLOOKUP(D434,ProductList!J:BG,46,FALSE),3),""),""))</f>
        <v/>
      </c>
      <c r="L434" s="1" t="str">
        <f t="shared" si="13"/>
        <v/>
      </c>
    </row>
    <row r="435" spans="1:12" x14ac:dyDescent="0.25">
      <c r="A435" s="304"/>
      <c r="B435" s="73"/>
      <c r="C435" s="73"/>
      <c r="D435" s="104"/>
      <c r="E435" s="122"/>
      <c r="F435" s="73" t="str">
        <f>IF(G435="KGS",IF(B435&lt;&gt;"",IFERROR(VLOOKUP(B435,ProductList!B:AO,21,FALSE),""),""),IF(D435&lt;&gt;"",IFERROR(VLOOKUP(B435,ProductList!B:AO,24,FALSE),""),""))</f>
        <v/>
      </c>
      <c r="G435" s="202"/>
      <c r="H435" s="75" t="str">
        <f>IF(G435="KGS",IF(B435&lt;&gt;"",IFERROR(ROUND(VLOOKUP(B435,ProductList!B:BG,58,FALSE),3),""),""),IF(B435&lt;&gt;"",IFERROR(ROUND(VLOOKUP(B435,ProductList!B:BG,57,FALSE),3),""),""))</f>
        <v/>
      </c>
      <c r="I435" s="75" t="str">
        <f t="shared" si="12"/>
        <v/>
      </c>
      <c r="J435" s="1" t="str">
        <f>IFERROR(VLOOKUP(B435,ProductList!B:AO,21,FALSE),"")</f>
        <v/>
      </c>
      <c r="K435" s="1" t="str">
        <f>IF(G435="KGS",IF(D435&lt;&gt;"",IFERROR(ROUND(VLOOKUP(D435,ProductList!J:BG,47,FALSE),3),""),""),IF(D435&lt;&gt;"",IFERROR(ROUND(VLOOKUP(D435,ProductList!J:BG,46,FALSE),3),""),""))</f>
        <v/>
      </c>
      <c r="L435" s="1" t="str">
        <f t="shared" si="13"/>
        <v/>
      </c>
    </row>
    <row r="436" spans="1:12" x14ac:dyDescent="0.25">
      <c r="A436" s="304"/>
      <c r="B436" s="73"/>
      <c r="C436" s="73"/>
      <c r="D436" s="104"/>
      <c r="E436" s="122"/>
      <c r="F436" s="73" t="str">
        <f>IF(G436="KGS",IF(B436&lt;&gt;"",IFERROR(VLOOKUP(B436,ProductList!B:AO,21,FALSE),""),""),IF(D436&lt;&gt;"",IFERROR(VLOOKUP(B436,ProductList!B:AO,24,FALSE),""),""))</f>
        <v/>
      </c>
      <c r="G436" s="202"/>
      <c r="H436" s="75" t="str">
        <f>IF(G436="KGS",IF(B436&lt;&gt;"",IFERROR(ROUND(VLOOKUP(B436,ProductList!B:BG,58,FALSE),3),""),""),IF(B436&lt;&gt;"",IFERROR(ROUND(VLOOKUP(B436,ProductList!B:BG,57,FALSE),3),""),""))</f>
        <v/>
      </c>
      <c r="I436" s="75" t="str">
        <f t="shared" si="12"/>
        <v/>
      </c>
      <c r="J436" s="1" t="str">
        <f>IFERROR(VLOOKUP(B436,ProductList!B:AO,21,FALSE),"")</f>
        <v/>
      </c>
      <c r="K436" s="1" t="str">
        <f>IF(G436="KGS",IF(D436&lt;&gt;"",IFERROR(ROUND(VLOOKUP(D436,ProductList!J:BG,47,FALSE),3),""),""),IF(D436&lt;&gt;"",IFERROR(ROUND(VLOOKUP(D436,ProductList!J:BG,46,FALSE),3),""),""))</f>
        <v/>
      </c>
      <c r="L436" s="1" t="str">
        <f t="shared" si="13"/>
        <v/>
      </c>
    </row>
    <row r="437" spans="1:12" x14ac:dyDescent="0.25">
      <c r="A437" s="304"/>
      <c r="B437" s="73"/>
      <c r="C437" s="73"/>
      <c r="D437" s="104"/>
      <c r="E437" s="122"/>
      <c r="F437" s="73" t="str">
        <f>IF(G437="KGS",IF(B437&lt;&gt;"",IFERROR(VLOOKUP(B437,ProductList!B:AO,21,FALSE),""),""),IF(D437&lt;&gt;"",IFERROR(VLOOKUP(B437,ProductList!B:AO,24,FALSE),""),""))</f>
        <v/>
      </c>
      <c r="G437" s="202"/>
      <c r="H437" s="75" t="str">
        <f>IF(G437="KGS",IF(B437&lt;&gt;"",IFERROR(ROUND(VLOOKUP(B437,ProductList!B:BG,58,FALSE),3),""),""),IF(B437&lt;&gt;"",IFERROR(ROUND(VLOOKUP(B437,ProductList!B:BG,57,FALSE),3),""),""))</f>
        <v/>
      </c>
      <c r="I437" s="75" t="str">
        <f t="shared" si="12"/>
        <v/>
      </c>
      <c r="J437" s="1" t="str">
        <f>IFERROR(VLOOKUP(B437,ProductList!B:AO,21,FALSE),"")</f>
        <v/>
      </c>
      <c r="K437" s="1" t="str">
        <f>IF(G437="KGS",IF(D437&lt;&gt;"",IFERROR(ROUND(VLOOKUP(D437,ProductList!J:BG,47,FALSE),3),""),""),IF(D437&lt;&gt;"",IFERROR(ROUND(VLOOKUP(D437,ProductList!J:BG,46,FALSE),3),""),""))</f>
        <v/>
      </c>
      <c r="L437" s="1" t="str">
        <f t="shared" si="13"/>
        <v/>
      </c>
    </row>
    <row r="438" spans="1:12" x14ac:dyDescent="0.25">
      <c r="A438" s="304"/>
      <c r="B438" s="73"/>
      <c r="C438" s="73"/>
      <c r="D438" s="104"/>
      <c r="E438" s="122"/>
      <c r="F438" s="73" t="str">
        <f>IF(G438="KGS",IF(B438&lt;&gt;"",IFERROR(VLOOKUP(B438,ProductList!B:AO,21,FALSE),""),""),IF(D438&lt;&gt;"",IFERROR(VLOOKUP(B438,ProductList!B:AO,24,FALSE),""),""))</f>
        <v/>
      </c>
      <c r="G438" s="202"/>
      <c r="H438" s="75" t="str">
        <f>IF(G438="KGS",IF(B438&lt;&gt;"",IFERROR(ROUND(VLOOKUP(B438,ProductList!B:BG,58,FALSE),3),""),""),IF(B438&lt;&gt;"",IFERROR(ROUND(VLOOKUP(B438,ProductList!B:BG,57,FALSE),3),""),""))</f>
        <v/>
      </c>
      <c r="I438" s="75" t="str">
        <f t="shared" si="12"/>
        <v/>
      </c>
      <c r="J438" s="1" t="str">
        <f>IFERROR(VLOOKUP(B438,ProductList!B:AO,21,FALSE),"")</f>
        <v/>
      </c>
      <c r="K438" s="1" t="str">
        <f>IF(G438="KGS",IF(D438&lt;&gt;"",IFERROR(ROUND(VLOOKUP(D438,ProductList!J:BG,47,FALSE),3),""),""),IF(D438&lt;&gt;"",IFERROR(ROUND(VLOOKUP(D438,ProductList!J:BG,46,FALSE),3),""),""))</f>
        <v/>
      </c>
      <c r="L438" s="1" t="str">
        <f t="shared" si="13"/>
        <v/>
      </c>
    </row>
    <row r="439" spans="1:12" x14ac:dyDescent="0.25">
      <c r="A439" s="304"/>
      <c r="B439" s="73"/>
      <c r="C439" s="73"/>
      <c r="D439" s="104"/>
      <c r="E439" s="122"/>
      <c r="F439" s="73" t="str">
        <f>IF(G439="KGS",IF(B439&lt;&gt;"",IFERROR(VLOOKUP(B439,ProductList!B:AO,21,FALSE),""),""),IF(D439&lt;&gt;"",IFERROR(VLOOKUP(B439,ProductList!B:AO,24,FALSE),""),""))</f>
        <v/>
      </c>
      <c r="G439" s="202"/>
      <c r="H439" s="75" t="str">
        <f>IF(G439="KGS",IF(B439&lt;&gt;"",IFERROR(ROUND(VLOOKUP(B439,ProductList!B:BG,58,FALSE),3),""),""),IF(B439&lt;&gt;"",IFERROR(ROUND(VLOOKUP(B439,ProductList!B:BG,57,FALSE),3),""),""))</f>
        <v/>
      </c>
      <c r="I439" s="75" t="str">
        <f t="shared" si="12"/>
        <v/>
      </c>
      <c r="J439" s="1" t="str">
        <f>IFERROR(VLOOKUP(B439,ProductList!B:AO,21,FALSE),"")</f>
        <v/>
      </c>
      <c r="K439" s="1" t="str">
        <f>IF(G439="KGS",IF(D439&lt;&gt;"",IFERROR(ROUND(VLOOKUP(D439,ProductList!J:BG,47,FALSE),3),""),""),IF(D439&lt;&gt;"",IFERROR(ROUND(VLOOKUP(D439,ProductList!J:BG,46,FALSE),3),""),""))</f>
        <v/>
      </c>
      <c r="L439" s="1" t="str">
        <f t="shared" si="13"/>
        <v/>
      </c>
    </row>
    <row r="440" spans="1:12" x14ac:dyDescent="0.25">
      <c r="A440" s="304"/>
      <c r="B440" s="73"/>
      <c r="C440" s="73"/>
      <c r="D440" s="104"/>
      <c r="E440" s="122"/>
      <c r="F440" s="73" t="str">
        <f>IF(G440="KGS",IF(B440&lt;&gt;"",IFERROR(VLOOKUP(B440,ProductList!B:AO,21,FALSE),""),""),IF(D440&lt;&gt;"",IFERROR(VLOOKUP(B440,ProductList!B:AO,24,FALSE),""),""))</f>
        <v/>
      </c>
      <c r="G440" s="202"/>
      <c r="H440" s="75" t="str">
        <f>IF(G440="KGS",IF(B440&lt;&gt;"",IFERROR(ROUND(VLOOKUP(B440,ProductList!B:BG,58,FALSE),3),""),""),IF(B440&lt;&gt;"",IFERROR(ROUND(VLOOKUP(B440,ProductList!B:BG,57,FALSE),3),""),""))</f>
        <v/>
      </c>
      <c r="I440" s="75" t="str">
        <f t="shared" si="12"/>
        <v/>
      </c>
      <c r="J440" s="1" t="str">
        <f>IFERROR(VLOOKUP(B440,ProductList!B:AO,21,FALSE),"")</f>
        <v/>
      </c>
      <c r="K440" s="1" t="str">
        <f>IF(G440="KGS",IF(D440&lt;&gt;"",IFERROR(ROUND(VLOOKUP(D440,ProductList!J:BG,47,FALSE),3),""),""),IF(D440&lt;&gt;"",IFERROR(ROUND(VLOOKUP(D440,ProductList!J:BG,46,FALSE),3),""),""))</f>
        <v/>
      </c>
      <c r="L440" s="1" t="str">
        <f t="shared" si="13"/>
        <v/>
      </c>
    </row>
    <row r="441" spans="1:12" x14ac:dyDescent="0.25">
      <c r="A441" s="304"/>
      <c r="B441" s="73"/>
      <c r="C441" s="73"/>
      <c r="D441" s="104"/>
      <c r="E441" s="122"/>
      <c r="F441" s="73" t="str">
        <f>IF(G441="KGS",IF(B441&lt;&gt;"",IFERROR(VLOOKUP(B441,ProductList!B:AO,21,FALSE),""),""),IF(D441&lt;&gt;"",IFERROR(VLOOKUP(B441,ProductList!B:AO,24,FALSE),""),""))</f>
        <v/>
      </c>
      <c r="G441" s="202"/>
      <c r="H441" s="75" t="str">
        <f>IF(G441="KGS",IF(B441&lt;&gt;"",IFERROR(ROUND(VLOOKUP(B441,ProductList!B:BG,58,FALSE),3),""),""),IF(B441&lt;&gt;"",IFERROR(ROUND(VLOOKUP(B441,ProductList!B:BG,57,FALSE),3),""),""))</f>
        <v/>
      </c>
      <c r="I441" s="75" t="str">
        <f t="shared" si="12"/>
        <v/>
      </c>
      <c r="J441" s="1" t="str">
        <f>IFERROR(VLOOKUP(B441,ProductList!B:AO,21,FALSE),"")</f>
        <v/>
      </c>
      <c r="K441" s="1" t="str">
        <f>IF(G441="KGS",IF(D441&lt;&gt;"",IFERROR(ROUND(VLOOKUP(D441,ProductList!J:BG,47,FALSE),3),""),""),IF(D441&lt;&gt;"",IFERROR(ROUND(VLOOKUP(D441,ProductList!J:BG,46,FALSE),3),""),""))</f>
        <v/>
      </c>
      <c r="L441" s="1" t="str">
        <f t="shared" si="13"/>
        <v/>
      </c>
    </row>
    <row r="442" spans="1:12" x14ac:dyDescent="0.25">
      <c r="A442" s="304"/>
      <c r="B442" s="73"/>
      <c r="C442" s="73"/>
      <c r="D442" s="104"/>
      <c r="E442" s="122"/>
      <c r="F442" s="73" t="str">
        <f>IF(G442="KGS",IF(B442&lt;&gt;"",IFERROR(VLOOKUP(B442,ProductList!B:AO,21,FALSE),""),""),IF(D442&lt;&gt;"",IFERROR(VLOOKUP(B442,ProductList!B:AO,24,FALSE),""),""))</f>
        <v/>
      </c>
      <c r="G442" s="202"/>
      <c r="H442" s="75" t="str">
        <f>IF(G442="KGS",IF(B442&lt;&gt;"",IFERROR(ROUND(VLOOKUP(B442,ProductList!B:BG,58,FALSE),3),""),""),IF(B442&lt;&gt;"",IFERROR(ROUND(VLOOKUP(B442,ProductList!B:BG,57,FALSE),3),""),""))</f>
        <v/>
      </c>
      <c r="I442" s="75" t="str">
        <f t="shared" si="12"/>
        <v/>
      </c>
      <c r="J442" s="1" t="str">
        <f>IFERROR(VLOOKUP(B442,ProductList!B:AO,21,FALSE),"")</f>
        <v/>
      </c>
      <c r="K442" s="1" t="str">
        <f>IF(G442="KGS",IF(D442&lt;&gt;"",IFERROR(ROUND(VLOOKUP(D442,ProductList!J:BG,47,FALSE),3),""),""),IF(D442&lt;&gt;"",IFERROR(ROUND(VLOOKUP(D442,ProductList!J:BG,46,FALSE),3),""),""))</f>
        <v/>
      </c>
      <c r="L442" s="1" t="str">
        <f t="shared" si="13"/>
        <v/>
      </c>
    </row>
    <row r="443" spans="1:12" x14ac:dyDescent="0.25">
      <c r="A443" s="304"/>
      <c r="B443" s="73"/>
      <c r="C443" s="73"/>
      <c r="D443" s="104"/>
      <c r="E443" s="122"/>
      <c r="F443" s="73" t="str">
        <f>IF(G443="KGS",IF(B443&lt;&gt;"",IFERROR(VLOOKUP(B443,ProductList!B:AO,21,FALSE),""),""),IF(D443&lt;&gt;"",IFERROR(VLOOKUP(B443,ProductList!B:AO,24,FALSE),""),""))</f>
        <v/>
      </c>
      <c r="G443" s="202"/>
      <c r="H443" s="75" t="str">
        <f>IF(G443="KGS",IF(B443&lt;&gt;"",IFERROR(ROUND(VLOOKUP(B443,ProductList!B:BG,58,FALSE),3),""),""),IF(B443&lt;&gt;"",IFERROR(ROUND(VLOOKUP(B443,ProductList!B:BG,57,FALSE),3),""),""))</f>
        <v/>
      </c>
      <c r="I443" s="75" t="str">
        <f t="shared" si="12"/>
        <v/>
      </c>
      <c r="J443" s="1" t="str">
        <f>IFERROR(VLOOKUP(B443,ProductList!B:AO,21,FALSE),"")</f>
        <v/>
      </c>
      <c r="K443" s="1" t="str">
        <f>IF(G443="KGS",IF(D443&lt;&gt;"",IFERROR(ROUND(VLOOKUP(D443,ProductList!J:BG,47,FALSE),3),""),""),IF(D443&lt;&gt;"",IFERROR(ROUND(VLOOKUP(D443,ProductList!J:BG,46,FALSE),3),""),""))</f>
        <v/>
      </c>
      <c r="L443" s="1" t="str">
        <f t="shared" si="13"/>
        <v/>
      </c>
    </row>
    <row r="444" spans="1:12" x14ac:dyDescent="0.25">
      <c r="A444" s="304"/>
      <c r="B444" s="73"/>
      <c r="C444" s="73"/>
      <c r="D444" s="104"/>
      <c r="E444" s="122"/>
      <c r="F444" s="73" t="str">
        <f>IF(G444="KGS",IF(B444&lt;&gt;"",IFERROR(VLOOKUP(B444,ProductList!B:AO,21,FALSE),""),""),IF(D444&lt;&gt;"",IFERROR(VLOOKUP(B444,ProductList!B:AO,24,FALSE),""),""))</f>
        <v/>
      </c>
      <c r="G444" s="202"/>
      <c r="H444" s="75" t="str">
        <f>IF(G444="KGS",IF(B444&lt;&gt;"",IFERROR(ROUND(VLOOKUP(B444,ProductList!B:BG,58,FALSE),3),""),""),IF(B444&lt;&gt;"",IFERROR(ROUND(VLOOKUP(B444,ProductList!B:BG,57,FALSE),3),""),""))</f>
        <v/>
      </c>
      <c r="I444" s="75" t="str">
        <f t="shared" si="12"/>
        <v/>
      </c>
      <c r="J444" s="1" t="str">
        <f>IFERROR(VLOOKUP(B444,ProductList!B:AO,21,FALSE),"")</f>
        <v/>
      </c>
      <c r="K444" s="1" t="str">
        <f>IF(G444="KGS",IF(D444&lt;&gt;"",IFERROR(ROUND(VLOOKUP(D444,ProductList!J:BG,47,FALSE),3),""),""),IF(D444&lt;&gt;"",IFERROR(ROUND(VLOOKUP(D444,ProductList!J:BG,46,FALSE),3),""),""))</f>
        <v/>
      </c>
      <c r="L444" s="1" t="str">
        <f t="shared" si="13"/>
        <v/>
      </c>
    </row>
    <row r="445" spans="1:12" x14ac:dyDescent="0.25">
      <c r="A445" s="304"/>
      <c r="B445" s="73"/>
      <c r="C445" s="73"/>
      <c r="D445" s="104"/>
      <c r="E445" s="122"/>
      <c r="F445" s="73" t="str">
        <f>IF(G445="KGS",IF(B445&lt;&gt;"",IFERROR(VLOOKUP(B445,ProductList!B:AO,21,FALSE),""),""),IF(D445&lt;&gt;"",IFERROR(VLOOKUP(B445,ProductList!B:AO,24,FALSE),""),""))</f>
        <v/>
      </c>
      <c r="G445" s="202"/>
      <c r="H445" s="75" t="str">
        <f>IF(G445="KGS",IF(B445&lt;&gt;"",IFERROR(ROUND(VLOOKUP(B445,ProductList!B:BG,58,FALSE),3),""),""),IF(B445&lt;&gt;"",IFERROR(ROUND(VLOOKUP(B445,ProductList!B:BG,57,FALSE),3),""),""))</f>
        <v/>
      </c>
      <c r="I445" s="75" t="str">
        <f t="shared" si="12"/>
        <v/>
      </c>
      <c r="J445" s="1" t="str">
        <f>IFERROR(VLOOKUP(B445,ProductList!B:AO,21,FALSE),"")</f>
        <v/>
      </c>
      <c r="K445" s="1" t="str">
        <f>IF(G445="KGS",IF(D445&lt;&gt;"",IFERROR(ROUND(VLOOKUP(D445,ProductList!J:BG,47,FALSE),3),""),""),IF(D445&lt;&gt;"",IFERROR(ROUND(VLOOKUP(D445,ProductList!J:BG,46,FALSE),3),""),""))</f>
        <v/>
      </c>
      <c r="L445" s="1" t="str">
        <f t="shared" si="13"/>
        <v/>
      </c>
    </row>
    <row r="446" spans="1:12" x14ac:dyDescent="0.25">
      <c r="A446" s="304"/>
      <c r="B446" s="73"/>
      <c r="C446" s="73"/>
      <c r="D446" s="104"/>
      <c r="E446" s="122"/>
      <c r="F446" s="73" t="str">
        <f>IF(G446="KGS",IF(B446&lt;&gt;"",IFERROR(VLOOKUP(B446,ProductList!B:AO,21,FALSE),""),""),IF(D446&lt;&gt;"",IFERROR(VLOOKUP(B446,ProductList!B:AO,24,FALSE),""),""))</f>
        <v/>
      </c>
      <c r="G446" s="202"/>
      <c r="H446" s="75" t="str">
        <f>IF(G446="KGS",IF(B446&lt;&gt;"",IFERROR(ROUND(VLOOKUP(B446,ProductList!B:BG,58,FALSE),3),""),""),IF(B446&lt;&gt;"",IFERROR(ROUND(VLOOKUP(B446,ProductList!B:BG,57,FALSE),3),""),""))</f>
        <v/>
      </c>
      <c r="I446" s="75" t="str">
        <f t="shared" si="12"/>
        <v/>
      </c>
      <c r="J446" s="1" t="str">
        <f>IFERROR(VLOOKUP(B446,ProductList!B:AO,21,FALSE),"")</f>
        <v/>
      </c>
      <c r="K446" s="1" t="str">
        <f>IF(G446="KGS",IF(D446&lt;&gt;"",IFERROR(ROUND(VLOOKUP(D446,ProductList!J:BG,47,FALSE),3),""),""),IF(D446&lt;&gt;"",IFERROR(ROUND(VLOOKUP(D446,ProductList!J:BG,46,FALSE),3),""),""))</f>
        <v/>
      </c>
      <c r="L446" s="1" t="str">
        <f t="shared" si="13"/>
        <v/>
      </c>
    </row>
    <row r="447" spans="1:12" x14ac:dyDescent="0.25">
      <c r="A447" s="304"/>
      <c r="B447" s="73"/>
      <c r="C447" s="73"/>
      <c r="D447" s="104"/>
      <c r="E447" s="122"/>
      <c r="F447" s="73" t="str">
        <f>IF(G447="KGS",IF(B447&lt;&gt;"",IFERROR(VLOOKUP(B447,ProductList!B:AO,21,FALSE),""),""),IF(D447&lt;&gt;"",IFERROR(VLOOKUP(B447,ProductList!B:AO,24,FALSE),""),""))</f>
        <v/>
      </c>
      <c r="G447" s="202"/>
      <c r="H447" s="75" t="str">
        <f>IF(G447="KGS",IF(B447&lt;&gt;"",IFERROR(ROUND(VLOOKUP(B447,ProductList!B:BG,58,FALSE),3),""),""),IF(B447&lt;&gt;"",IFERROR(ROUND(VLOOKUP(B447,ProductList!B:BG,57,FALSE),3),""),""))</f>
        <v/>
      </c>
      <c r="I447" s="75" t="str">
        <f t="shared" si="12"/>
        <v/>
      </c>
      <c r="J447" s="1" t="str">
        <f>IFERROR(VLOOKUP(B447,ProductList!B:AO,21,FALSE),"")</f>
        <v/>
      </c>
      <c r="K447" s="1" t="str">
        <f>IF(G447="KGS",IF(D447&lt;&gt;"",IFERROR(ROUND(VLOOKUP(D447,ProductList!J:BG,47,FALSE),3),""),""),IF(D447&lt;&gt;"",IFERROR(ROUND(VLOOKUP(D447,ProductList!J:BG,46,FALSE),3),""),""))</f>
        <v/>
      </c>
      <c r="L447" s="1" t="str">
        <f t="shared" si="13"/>
        <v/>
      </c>
    </row>
    <row r="448" spans="1:12" x14ac:dyDescent="0.25">
      <c r="A448" s="304"/>
      <c r="B448" s="73"/>
      <c r="C448" s="73"/>
      <c r="D448" s="104"/>
      <c r="E448" s="122"/>
      <c r="F448" s="73" t="str">
        <f>IF(G448="KGS",IF(B448&lt;&gt;"",IFERROR(VLOOKUP(B448,ProductList!B:AO,21,FALSE),""),""),IF(D448&lt;&gt;"",IFERROR(VLOOKUP(B448,ProductList!B:AO,24,FALSE),""),""))</f>
        <v/>
      </c>
      <c r="G448" s="202"/>
      <c r="H448" s="75" t="str">
        <f>IF(G448="KGS",IF(B448&lt;&gt;"",IFERROR(ROUND(VLOOKUP(B448,ProductList!B:BG,58,FALSE),3),""),""),IF(B448&lt;&gt;"",IFERROR(ROUND(VLOOKUP(B448,ProductList!B:BG,57,FALSE),3),""),""))</f>
        <v/>
      </c>
      <c r="I448" s="75" t="str">
        <f t="shared" si="12"/>
        <v/>
      </c>
      <c r="J448" s="1" t="str">
        <f>IFERROR(VLOOKUP(B448,ProductList!B:AO,21,FALSE),"")</f>
        <v/>
      </c>
      <c r="K448" s="1" t="str">
        <f>IF(G448="KGS",IF(D448&lt;&gt;"",IFERROR(ROUND(VLOOKUP(D448,ProductList!J:BG,47,FALSE),3),""),""),IF(D448&lt;&gt;"",IFERROR(ROUND(VLOOKUP(D448,ProductList!J:BG,46,FALSE),3),""),""))</f>
        <v/>
      </c>
      <c r="L448" s="1" t="str">
        <f t="shared" si="13"/>
        <v/>
      </c>
    </row>
    <row r="449" spans="1:12" x14ac:dyDescent="0.25">
      <c r="A449" s="304"/>
      <c r="B449" s="73"/>
      <c r="C449" s="73"/>
      <c r="D449" s="104"/>
      <c r="E449" s="122"/>
      <c r="F449" s="73" t="str">
        <f>IF(G449="KGS",IF(B449&lt;&gt;"",IFERROR(VLOOKUP(B449,ProductList!B:AO,21,FALSE),""),""),IF(D449&lt;&gt;"",IFERROR(VLOOKUP(B449,ProductList!B:AO,24,FALSE),""),""))</f>
        <v/>
      </c>
      <c r="G449" s="202"/>
      <c r="H449" s="75" t="str">
        <f>IF(G449="KGS",IF(B449&lt;&gt;"",IFERROR(ROUND(VLOOKUP(B449,ProductList!B:BG,58,FALSE),3),""),""),IF(B449&lt;&gt;"",IFERROR(ROUND(VLOOKUP(B449,ProductList!B:BG,57,FALSE),3),""),""))</f>
        <v/>
      </c>
      <c r="I449" s="75" t="str">
        <f t="shared" si="12"/>
        <v/>
      </c>
      <c r="J449" s="1" t="str">
        <f>IFERROR(VLOOKUP(B449,ProductList!B:AO,21,FALSE),"")</f>
        <v/>
      </c>
      <c r="K449" s="1" t="str">
        <f>IF(G449="KGS",IF(D449&lt;&gt;"",IFERROR(ROUND(VLOOKUP(D449,ProductList!J:BG,47,FALSE),3),""),""),IF(D449&lt;&gt;"",IFERROR(ROUND(VLOOKUP(D449,ProductList!J:BG,46,FALSE),3),""),""))</f>
        <v/>
      </c>
      <c r="L449" s="1" t="str">
        <f t="shared" si="13"/>
        <v/>
      </c>
    </row>
    <row r="450" spans="1:12" x14ac:dyDescent="0.25">
      <c r="A450" s="304"/>
      <c r="B450" s="73"/>
      <c r="C450" s="73"/>
      <c r="D450" s="104"/>
      <c r="E450" s="122"/>
      <c r="F450" s="73" t="str">
        <f>IF(G450="KGS",IF(B450&lt;&gt;"",IFERROR(VLOOKUP(B450,ProductList!B:AO,21,FALSE),""),""),IF(D450&lt;&gt;"",IFERROR(VLOOKUP(B450,ProductList!B:AO,24,FALSE),""),""))</f>
        <v/>
      </c>
      <c r="G450" s="202"/>
      <c r="H450" s="75" t="str">
        <f>IF(G450="KGS",IF(B450&lt;&gt;"",IFERROR(ROUND(VLOOKUP(B450,ProductList!B:BG,58,FALSE),3),""),""),IF(B450&lt;&gt;"",IFERROR(ROUND(VLOOKUP(B450,ProductList!B:BG,57,FALSE),3),""),""))</f>
        <v/>
      </c>
      <c r="I450" s="75" t="str">
        <f t="shared" si="12"/>
        <v/>
      </c>
      <c r="J450" s="1" t="str">
        <f>IFERROR(VLOOKUP(B450,ProductList!B:AO,21,FALSE),"")</f>
        <v/>
      </c>
      <c r="K450" s="1" t="str">
        <f>IF(G450="KGS",IF(D450&lt;&gt;"",IFERROR(ROUND(VLOOKUP(D450,ProductList!J:BG,47,FALSE),3),""),""),IF(D450&lt;&gt;"",IFERROR(ROUND(VLOOKUP(D450,ProductList!J:BG,46,FALSE),3),""),""))</f>
        <v/>
      </c>
      <c r="L450" s="1" t="str">
        <f t="shared" si="13"/>
        <v/>
      </c>
    </row>
    <row r="451" spans="1:12" x14ac:dyDescent="0.25">
      <c r="A451" s="304"/>
      <c r="B451" s="73"/>
      <c r="C451" s="73"/>
      <c r="D451" s="104"/>
      <c r="E451" s="122"/>
      <c r="F451" s="73" t="str">
        <f>IF(G451="KGS",IF(B451&lt;&gt;"",IFERROR(VLOOKUP(B451,ProductList!B:AO,21,FALSE),""),""),IF(D451&lt;&gt;"",IFERROR(VLOOKUP(B451,ProductList!B:AO,24,FALSE),""),""))</f>
        <v/>
      </c>
      <c r="G451" s="202"/>
      <c r="H451" s="75" t="str">
        <f>IF(G451="KGS",IF(B451&lt;&gt;"",IFERROR(ROUND(VLOOKUP(B451,ProductList!B:BG,58,FALSE),3),""),""),IF(B451&lt;&gt;"",IFERROR(ROUND(VLOOKUP(B451,ProductList!B:BG,57,FALSE),3),""),""))</f>
        <v/>
      </c>
      <c r="I451" s="75" t="str">
        <f t="shared" si="12"/>
        <v/>
      </c>
      <c r="J451" s="1" t="str">
        <f>IFERROR(VLOOKUP(B451,ProductList!B:AO,21,FALSE),"")</f>
        <v/>
      </c>
      <c r="K451" s="1" t="str">
        <f>IF(G451="KGS",IF(D451&lt;&gt;"",IFERROR(ROUND(VLOOKUP(D451,ProductList!J:BG,47,FALSE),3),""),""),IF(D451&lt;&gt;"",IFERROR(ROUND(VLOOKUP(D451,ProductList!J:BG,46,FALSE),3),""),""))</f>
        <v/>
      </c>
      <c r="L451" s="1" t="str">
        <f t="shared" si="13"/>
        <v/>
      </c>
    </row>
    <row r="452" spans="1:12" x14ac:dyDescent="0.25">
      <c r="A452" s="304"/>
      <c r="B452" s="73"/>
      <c r="C452" s="73"/>
      <c r="D452" s="104"/>
      <c r="E452" s="122"/>
      <c r="F452" s="73" t="str">
        <f>IF(G452="KGS",IF(B452&lt;&gt;"",IFERROR(VLOOKUP(B452,ProductList!B:AO,21,FALSE),""),""),IF(D452&lt;&gt;"",IFERROR(VLOOKUP(B452,ProductList!B:AO,24,FALSE),""),""))</f>
        <v/>
      </c>
      <c r="G452" s="202"/>
      <c r="H452" s="75" t="str">
        <f>IF(G452="KGS",IF(B452&lt;&gt;"",IFERROR(ROUND(VLOOKUP(B452,ProductList!B:BG,58,FALSE),3),""),""),IF(B452&lt;&gt;"",IFERROR(ROUND(VLOOKUP(B452,ProductList!B:BG,57,FALSE),3),""),""))</f>
        <v/>
      </c>
      <c r="I452" s="75" t="str">
        <f t="shared" si="12"/>
        <v/>
      </c>
      <c r="J452" s="1" t="str">
        <f>IFERROR(VLOOKUP(B452,ProductList!B:AO,21,FALSE),"")</f>
        <v/>
      </c>
      <c r="K452" s="1" t="str">
        <f>IF(G452="KGS",IF(D452&lt;&gt;"",IFERROR(ROUND(VLOOKUP(D452,ProductList!J:BG,47,FALSE),3),""),""),IF(D452&lt;&gt;"",IFERROR(ROUND(VLOOKUP(D452,ProductList!J:BG,46,FALSE),3),""),""))</f>
        <v/>
      </c>
      <c r="L452" s="1" t="str">
        <f t="shared" si="13"/>
        <v/>
      </c>
    </row>
    <row r="453" spans="1:12" x14ac:dyDescent="0.25">
      <c r="A453" s="304"/>
      <c r="B453" s="73"/>
      <c r="C453" s="73"/>
      <c r="D453" s="104"/>
      <c r="E453" s="122"/>
      <c r="F453" s="73" t="str">
        <f>IF(G453="KGS",IF(B453&lt;&gt;"",IFERROR(VLOOKUP(B453,ProductList!B:AO,21,FALSE),""),""),IF(D453&lt;&gt;"",IFERROR(VLOOKUP(B453,ProductList!B:AO,24,FALSE),""),""))</f>
        <v/>
      </c>
      <c r="G453" s="202"/>
      <c r="H453" s="75" t="str">
        <f>IF(G453="KGS",IF(B453&lt;&gt;"",IFERROR(ROUND(VLOOKUP(B453,ProductList!B:BG,58,FALSE),3),""),""),IF(B453&lt;&gt;"",IFERROR(ROUND(VLOOKUP(B453,ProductList!B:BG,57,FALSE),3),""),""))</f>
        <v/>
      </c>
      <c r="I453" s="75" t="str">
        <f t="shared" si="12"/>
        <v/>
      </c>
      <c r="J453" s="1" t="str">
        <f>IFERROR(VLOOKUP(B453,ProductList!B:AO,21,FALSE),"")</f>
        <v/>
      </c>
      <c r="K453" s="1" t="str">
        <f>IF(G453="KGS",IF(D453&lt;&gt;"",IFERROR(ROUND(VLOOKUP(D453,ProductList!J:BG,47,FALSE),3),""),""),IF(D453&lt;&gt;"",IFERROR(ROUND(VLOOKUP(D453,ProductList!J:BG,46,FALSE),3),""),""))</f>
        <v/>
      </c>
      <c r="L453" s="1" t="str">
        <f t="shared" si="13"/>
        <v/>
      </c>
    </row>
    <row r="454" spans="1:12" x14ac:dyDescent="0.25">
      <c r="A454" s="304"/>
      <c r="B454" s="73"/>
      <c r="C454" s="73"/>
      <c r="D454" s="104"/>
      <c r="E454" s="122"/>
      <c r="F454" s="73" t="str">
        <f>IF(G454="KGS",IF(B454&lt;&gt;"",IFERROR(VLOOKUP(B454,ProductList!B:AO,21,FALSE),""),""),IF(D454&lt;&gt;"",IFERROR(VLOOKUP(B454,ProductList!B:AO,24,FALSE),""),""))</f>
        <v/>
      </c>
      <c r="G454" s="202"/>
      <c r="H454" s="75" t="str">
        <f>IF(G454="KGS",IF(B454&lt;&gt;"",IFERROR(ROUND(VLOOKUP(B454,ProductList!B:BG,58,FALSE),3),""),""),IF(B454&lt;&gt;"",IFERROR(ROUND(VLOOKUP(B454,ProductList!B:BG,57,FALSE),3),""),""))</f>
        <v/>
      </c>
      <c r="I454" s="75" t="str">
        <f t="shared" ref="I454:I498" si="14">IF(AND(F454&lt;&gt;"",H454&lt;&gt;""),ROUND(F454*H454,2),"")</f>
        <v/>
      </c>
      <c r="J454" s="1" t="str">
        <f>IFERROR(VLOOKUP(B454,ProductList!B:AO,21,FALSE),"")</f>
        <v/>
      </c>
      <c r="K454" s="1" t="str">
        <f>IF(G454="KGS",IF(D454&lt;&gt;"",IFERROR(ROUND(VLOOKUP(D454,ProductList!J:BG,47,FALSE),3),""),""),IF(D454&lt;&gt;"",IFERROR(ROUND(VLOOKUP(D454,ProductList!J:BG,46,FALSE),3),""),""))</f>
        <v/>
      </c>
      <c r="L454" s="1" t="str">
        <f t="shared" ref="L454:L498" si="15">IF(AND(K454&lt;&gt;"",F454&lt;&gt;""),K454*F454,"")</f>
        <v/>
      </c>
    </row>
    <row r="455" spans="1:12" x14ac:dyDescent="0.25">
      <c r="A455" s="304"/>
      <c r="B455" s="73"/>
      <c r="C455" s="73"/>
      <c r="D455" s="104"/>
      <c r="E455" s="122"/>
      <c r="F455" s="73" t="str">
        <f>IF(G455="KGS",IF(B455&lt;&gt;"",IFERROR(VLOOKUP(B455,ProductList!B:AO,21,FALSE),""),""),IF(D455&lt;&gt;"",IFERROR(VLOOKUP(B455,ProductList!B:AO,24,FALSE),""),""))</f>
        <v/>
      </c>
      <c r="G455" s="202"/>
      <c r="H455" s="75" t="str">
        <f>IF(G455="KGS",IF(B455&lt;&gt;"",IFERROR(ROUND(VLOOKUP(B455,ProductList!B:BG,58,FALSE),3),""),""),IF(B455&lt;&gt;"",IFERROR(ROUND(VLOOKUP(B455,ProductList!B:BG,57,FALSE),3),""),""))</f>
        <v/>
      </c>
      <c r="I455" s="75" t="str">
        <f t="shared" si="14"/>
        <v/>
      </c>
      <c r="J455" s="1" t="str">
        <f>IFERROR(VLOOKUP(B455,ProductList!B:AO,21,FALSE),"")</f>
        <v/>
      </c>
      <c r="K455" s="1" t="str">
        <f>IF(G455="KGS",IF(D455&lt;&gt;"",IFERROR(ROUND(VLOOKUP(D455,ProductList!J:BG,47,FALSE),3),""),""),IF(D455&lt;&gt;"",IFERROR(ROUND(VLOOKUP(D455,ProductList!J:BG,46,FALSE),3),""),""))</f>
        <v/>
      </c>
      <c r="L455" s="1" t="str">
        <f t="shared" si="15"/>
        <v/>
      </c>
    </row>
    <row r="456" spans="1:12" x14ac:dyDescent="0.25">
      <c r="A456" s="304"/>
      <c r="B456" s="73"/>
      <c r="C456" s="73"/>
      <c r="D456" s="104"/>
      <c r="E456" s="122"/>
      <c r="F456" s="73" t="str">
        <f>IF(G456="KGS",IF(B456&lt;&gt;"",IFERROR(VLOOKUP(B456,ProductList!B:AO,21,FALSE),""),""),IF(D456&lt;&gt;"",IFERROR(VLOOKUP(B456,ProductList!B:AO,24,FALSE),""),""))</f>
        <v/>
      </c>
      <c r="G456" s="202"/>
      <c r="H456" s="75" t="str">
        <f>IF(G456="KGS",IF(B456&lt;&gt;"",IFERROR(ROUND(VLOOKUP(B456,ProductList!B:BG,58,FALSE),3),""),""),IF(B456&lt;&gt;"",IFERROR(ROUND(VLOOKUP(B456,ProductList!B:BG,57,FALSE),3),""),""))</f>
        <v/>
      </c>
      <c r="I456" s="75" t="str">
        <f t="shared" si="14"/>
        <v/>
      </c>
      <c r="J456" s="1" t="str">
        <f>IFERROR(VLOOKUP(B456,ProductList!B:AO,21,FALSE),"")</f>
        <v/>
      </c>
      <c r="K456" s="1" t="str">
        <f>IF(G456="KGS",IF(D456&lt;&gt;"",IFERROR(ROUND(VLOOKUP(D456,ProductList!J:BG,47,FALSE),3),""),""),IF(D456&lt;&gt;"",IFERROR(ROUND(VLOOKUP(D456,ProductList!J:BG,46,FALSE),3),""),""))</f>
        <v/>
      </c>
      <c r="L456" s="1" t="str">
        <f t="shared" si="15"/>
        <v/>
      </c>
    </row>
    <row r="457" spans="1:12" x14ac:dyDescent="0.25">
      <c r="A457" s="304"/>
      <c r="B457" s="73"/>
      <c r="C457" s="73"/>
      <c r="D457" s="104"/>
      <c r="E457" s="122"/>
      <c r="F457" s="73" t="str">
        <f>IF(G457="KGS",IF(B457&lt;&gt;"",IFERROR(VLOOKUP(B457,ProductList!B:AO,21,FALSE),""),""),IF(D457&lt;&gt;"",IFERROR(VLOOKUP(B457,ProductList!B:AO,24,FALSE),""),""))</f>
        <v/>
      </c>
      <c r="G457" s="202"/>
      <c r="H457" s="75" t="str">
        <f>IF(G457="KGS",IF(B457&lt;&gt;"",IFERROR(ROUND(VLOOKUP(B457,ProductList!B:BG,58,FALSE),3),""),""),IF(B457&lt;&gt;"",IFERROR(ROUND(VLOOKUP(B457,ProductList!B:BG,57,FALSE),3),""),""))</f>
        <v/>
      </c>
      <c r="I457" s="75" t="str">
        <f t="shared" si="14"/>
        <v/>
      </c>
      <c r="J457" s="1" t="str">
        <f>IFERROR(VLOOKUP(B457,ProductList!B:AO,21,FALSE),"")</f>
        <v/>
      </c>
      <c r="K457" s="1" t="str">
        <f>IF(G457="KGS",IF(D457&lt;&gt;"",IFERROR(ROUND(VLOOKUP(D457,ProductList!J:BG,47,FALSE),3),""),""),IF(D457&lt;&gt;"",IFERROR(ROUND(VLOOKUP(D457,ProductList!J:BG,46,FALSE),3),""),""))</f>
        <v/>
      </c>
      <c r="L457" s="1" t="str">
        <f t="shared" si="15"/>
        <v/>
      </c>
    </row>
    <row r="458" spans="1:12" x14ac:dyDescent="0.25">
      <c r="A458" s="304"/>
      <c r="B458" s="73"/>
      <c r="C458" s="73"/>
      <c r="D458" s="104"/>
      <c r="E458" s="122"/>
      <c r="F458" s="73" t="str">
        <f>IF(G458="KGS",IF(B458&lt;&gt;"",IFERROR(VLOOKUP(B458,ProductList!B:AO,21,FALSE),""),""),IF(D458&lt;&gt;"",IFERROR(VLOOKUP(B458,ProductList!B:AO,24,FALSE),""),""))</f>
        <v/>
      </c>
      <c r="G458" s="202"/>
      <c r="H458" s="75" t="str">
        <f>IF(G458="KGS",IF(B458&lt;&gt;"",IFERROR(ROUND(VLOOKUP(B458,ProductList!B:BG,58,FALSE),3),""),""),IF(B458&lt;&gt;"",IFERROR(ROUND(VLOOKUP(B458,ProductList!B:BG,57,FALSE),3),""),""))</f>
        <v/>
      </c>
      <c r="I458" s="75" t="str">
        <f t="shared" si="14"/>
        <v/>
      </c>
      <c r="J458" s="1" t="str">
        <f>IFERROR(VLOOKUP(B458,ProductList!B:AO,21,FALSE),"")</f>
        <v/>
      </c>
      <c r="K458" s="1" t="str">
        <f>IF(G458="KGS",IF(D458&lt;&gt;"",IFERROR(ROUND(VLOOKUP(D458,ProductList!J:BG,47,FALSE),3),""),""),IF(D458&lt;&gt;"",IFERROR(ROUND(VLOOKUP(D458,ProductList!J:BG,46,FALSE),3),""),""))</f>
        <v/>
      </c>
      <c r="L458" s="1" t="str">
        <f t="shared" si="15"/>
        <v/>
      </c>
    </row>
    <row r="459" spans="1:12" x14ac:dyDescent="0.25">
      <c r="A459" s="304"/>
      <c r="B459" s="73"/>
      <c r="C459" s="73"/>
      <c r="D459" s="104"/>
      <c r="E459" s="122"/>
      <c r="F459" s="73" t="str">
        <f>IF(G459="KGS",IF(B459&lt;&gt;"",IFERROR(VLOOKUP(B459,ProductList!B:AO,21,FALSE),""),""),IF(D459&lt;&gt;"",IFERROR(VLOOKUP(B459,ProductList!B:AO,24,FALSE),""),""))</f>
        <v/>
      </c>
      <c r="G459" s="202"/>
      <c r="H459" s="75" t="str">
        <f>IF(G459="KGS",IF(B459&lt;&gt;"",IFERROR(ROUND(VLOOKUP(B459,ProductList!B:BG,58,FALSE),3),""),""),IF(B459&lt;&gt;"",IFERROR(ROUND(VLOOKUP(B459,ProductList!B:BG,57,FALSE),3),""),""))</f>
        <v/>
      </c>
      <c r="I459" s="75" t="str">
        <f t="shared" si="14"/>
        <v/>
      </c>
      <c r="J459" s="1" t="str">
        <f>IFERROR(VLOOKUP(B459,ProductList!B:AO,21,FALSE),"")</f>
        <v/>
      </c>
      <c r="K459" s="1" t="str">
        <f>IF(G459="KGS",IF(D459&lt;&gt;"",IFERROR(ROUND(VLOOKUP(D459,ProductList!J:BG,47,FALSE),3),""),""),IF(D459&lt;&gt;"",IFERROR(ROUND(VLOOKUP(D459,ProductList!J:BG,46,FALSE),3),""),""))</f>
        <v/>
      </c>
      <c r="L459" s="1" t="str">
        <f t="shared" si="15"/>
        <v/>
      </c>
    </row>
    <row r="460" spans="1:12" x14ac:dyDescent="0.25">
      <c r="A460" s="304"/>
      <c r="B460" s="73"/>
      <c r="C460" s="73"/>
      <c r="D460" s="104"/>
      <c r="E460" s="122"/>
      <c r="F460" s="73" t="str">
        <f>IF(G460="KGS",IF(B460&lt;&gt;"",IFERROR(VLOOKUP(B460,ProductList!B:AO,21,FALSE),""),""),IF(D460&lt;&gt;"",IFERROR(VLOOKUP(B460,ProductList!B:AO,24,FALSE),""),""))</f>
        <v/>
      </c>
      <c r="G460" s="202"/>
      <c r="H460" s="75" t="str">
        <f>IF(G460="KGS",IF(B460&lt;&gt;"",IFERROR(ROUND(VLOOKUP(B460,ProductList!B:BG,58,FALSE),3),""),""),IF(B460&lt;&gt;"",IFERROR(ROUND(VLOOKUP(B460,ProductList!B:BG,57,FALSE),3),""),""))</f>
        <v/>
      </c>
      <c r="I460" s="75" t="str">
        <f t="shared" si="14"/>
        <v/>
      </c>
      <c r="J460" s="1" t="str">
        <f>IFERROR(VLOOKUP(B460,ProductList!B:AO,21,FALSE),"")</f>
        <v/>
      </c>
      <c r="K460" s="1" t="str">
        <f>IF(G460="KGS",IF(D460&lt;&gt;"",IFERROR(ROUND(VLOOKUP(D460,ProductList!J:BG,47,FALSE),3),""),""),IF(D460&lt;&gt;"",IFERROR(ROUND(VLOOKUP(D460,ProductList!J:BG,46,FALSE),3),""),""))</f>
        <v/>
      </c>
      <c r="L460" s="1" t="str">
        <f t="shared" si="15"/>
        <v/>
      </c>
    </row>
    <row r="461" spans="1:12" x14ac:dyDescent="0.25">
      <c r="A461" s="304"/>
      <c r="B461" s="73"/>
      <c r="C461" s="73"/>
      <c r="D461" s="104"/>
      <c r="E461" s="122"/>
      <c r="F461" s="73" t="str">
        <f>IF(G461="KGS",IF(B461&lt;&gt;"",IFERROR(VLOOKUP(B461,ProductList!B:AO,21,FALSE),""),""),IF(D461&lt;&gt;"",IFERROR(VLOOKUP(B461,ProductList!B:AO,24,FALSE),""),""))</f>
        <v/>
      </c>
      <c r="G461" s="202"/>
      <c r="H461" s="75" t="str">
        <f>IF(G461="KGS",IF(B461&lt;&gt;"",IFERROR(ROUND(VLOOKUP(B461,ProductList!B:BG,58,FALSE),3),""),""),IF(B461&lt;&gt;"",IFERROR(ROUND(VLOOKUP(B461,ProductList!B:BG,57,FALSE),3),""),""))</f>
        <v/>
      </c>
      <c r="I461" s="75" t="str">
        <f t="shared" si="14"/>
        <v/>
      </c>
      <c r="J461" s="1" t="str">
        <f>IFERROR(VLOOKUP(B461,ProductList!B:AO,21,FALSE),"")</f>
        <v/>
      </c>
      <c r="K461" s="1" t="str">
        <f>IF(G461="KGS",IF(D461&lt;&gt;"",IFERROR(ROUND(VLOOKUP(D461,ProductList!J:BG,47,FALSE),3),""),""),IF(D461&lt;&gt;"",IFERROR(ROUND(VLOOKUP(D461,ProductList!J:BG,46,FALSE),3),""),""))</f>
        <v/>
      </c>
      <c r="L461" s="1" t="str">
        <f t="shared" si="15"/>
        <v/>
      </c>
    </row>
    <row r="462" spans="1:12" x14ac:dyDescent="0.25">
      <c r="A462" s="304"/>
      <c r="B462" s="73"/>
      <c r="C462" s="73"/>
      <c r="D462" s="104"/>
      <c r="E462" s="122"/>
      <c r="F462" s="73" t="str">
        <f>IF(G462="KGS",IF(B462&lt;&gt;"",IFERROR(VLOOKUP(B462,ProductList!B:AO,21,FALSE),""),""),IF(D462&lt;&gt;"",IFERROR(VLOOKUP(B462,ProductList!B:AO,24,FALSE),""),""))</f>
        <v/>
      </c>
      <c r="G462" s="202"/>
      <c r="H462" s="75" t="str">
        <f>IF(G462="KGS",IF(B462&lt;&gt;"",IFERROR(ROUND(VLOOKUP(B462,ProductList!B:BG,58,FALSE),3),""),""),IF(B462&lt;&gt;"",IFERROR(ROUND(VLOOKUP(B462,ProductList!B:BG,57,FALSE),3),""),""))</f>
        <v/>
      </c>
      <c r="I462" s="75" t="str">
        <f t="shared" si="14"/>
        <v/>
      </c>
      <c r="J462" s="1" t="str">
        <f>IFERROR(VLOOKUP(B462,ProductList!B:AO,21,FALSE),"")</f>
        <v/>
      </c>
      <c r="K462" s="1" t="str">
        <f>IF(G462="KGS",IF(D462&lt;&gt;"",IFERROR(ROUND(VLOOKUP(D462,ProductList!J:BG,47,FALSE),3),""),""),IF(D462&lt;&gt;"",IFERROR(ROUND(VLOOKUP(D462,ProductList!J:BG,46,FALSE),3),""),""))</f>
        <v/>
      </c>
      <c r="L462" s="1" t="str">
        <f t="shared" si="15"/>
        <v/>
      </c>
    </row>
    <row r="463" spans="1:12" x14ac:dyDescent="0.25">
      <c r="A463" s="304"/>
      <c r="B463" s="73"/>
      <c r="C463" s="73"/>
      <c r="D463" s="104"/>
      <c r="E463" s="122"/>
      <c r="F463" s="73" t="str">
        <f>IF(G463="KGS",IF(B463&lt;&gt;"",IFERROR(VLOOKUP(B463,ProductList!B:AO,21,FALSE),""),""),IF(D463&lt;&gt;"",IFERROR(VLOOKUP(B463,ProductList!B:AO,24,FALSE),""),""))</f>
        <v/>
      </c>
      <c r="G463" s="202"/>
      <c r="H463" s="75" t="str">
        <f>IF(G463="KGS",IF(B463&lt;&gt;"",IFERROR(ROUND(VLOOKUP(B463,ProductList!B:BG,58,FALSE),3),""),""),IF(B463&lt;&gt;"",IFERROR(ROUND(VLOOKUP(B463,ProductList!B:BG,57,FALSE),3),""),""))</f>
        <v/>
      </c>
      <c r="I463" s="75" t="str">
        <f t="shared" si="14"/>
        <v/>
      </c>
      <c r="J463" s="1" t="str">
        <f>IFERROR(VLOOKUP(B463,ProductList!B:AO,21,FALSE),"")</f>
        <v/>
      </c>
      <c r="K463" s="1" t="str">
        <f>IF(G463="KGS",IF(D463&lt;&gt;"",IFERROR(ROUND(VLOOKUP(D463,ProductList!J:BG,47,FALSE),3),""),""),IF(D463&lt;&gt;"",IFERROR(ROUND(VLOOKUP(D463,ProductList!J:BG,46,FALSE),3),""),""))</f>
        <v/>
      </c>
      <c r="L463" s="1" t="str">
        <f t="shared" si="15"/>
        <v/>
      </c>
    </row>
    <row r="464" spans="1:12" x14ac:dyDescent="0.25">
      <c r="A464" s="304"/>
      <c r="B464" s="73"/>
      <c r="C464" s="73"/>
      <c r="D464" s="104"/>
      <c r="E464" s="122"/>
      <c r="F464" s="73" t="str">
        <f>IF(G464="KGS",IF(B464&lt;&gt;"",IFERROR(VLOOKUP(B464,ProductList!B:AO,21,FALSE),""),""),IF(D464&lt;&gt;"",IFERROR(VLOOKUP(B464,ProductList!B:AO,24,FALSE),""),""))</f>
        <v/>
      </c>
      <c r="G464" s="202"/>
      <c r="H464" s="75" t="str">
        <f>IF(G464="KGS",IF(B464&lt;&gt;"",IFERROR(ROUND(VLOOKUP(B464,ProductList!B:BG,58,FALSE),3),""),""),IF(B464&lt;&gt;"",IFERROR(ROUND(VLOOKUP(B464,ProductList!B:BG,57,FALSE),3),""),""))</f>
        <v/>
      </c>
      <c r="I464" s="75" t="str">
        <f t="shared" si="14"/>
        <v/>
      </c>
      <c r="J464" s="1" t="str">
        <f>IFERROR(VLOOKUP(B464,ProductList!B:AO,21,FALSE),"")</f>
        <v/>
      </c>
      <c r="K464" s="1" t="str">
        <f>IF(G464="KGS",IF(D464&lt;&gt;"",IFERROR(ROUND(VLOOKUP(D464,ProductList!J:BG,47,FALSE),3),""),""),IF(D464&lt;&gt;"",IFERROR(ROUND(VLOOKUP(D464,ProductList!J:BG,46,FALSE),3),""),""))</f>
        <v/>
      </c>
      <c r="L464" s="1" t="str">
        <f t="shared" si="15"/>
        <v/>
      </c>
    </row>
    <row r="465" spans="1:12" x14ac:dyDescent="0.25">
      <c r="A465" s="304"/>
      <c r="B465" s="73"/>
      <c r="C465" s="73"/>
      <c r="D465" s="104"/>
      <c r="E465" s="122"/>
      <c r="F465" s="73" t="str">
        <f>IF(G465="KGS",IF(B465&lt;&gt;"",IFERROR(VLOOKUP(B465,ProductList!B:AO,21,FALSE),""),""),IF(D465&lt;&gt;"",IFERROR(VLOOKUP(B465,ProductList!B:AO,24,FALSE),""),""))</f>
        <v/>
      </c>
      <c r="G465" s="202"/>
      <c r="H465" s="75" t="str">
        <f>IF(G465="KGS",IF(B465&lt;&gt;"",IFERROR(ROUND(VLOOKUP(B465,ProductList!B:BG,58,FALSE),3),""),""),IF(B465&lt;&gt;"",IFERROR(ROUND(VLOOKUP(B465,ProductList!B:BG,57,FALSE),3),""),""))</f>
        <v/>
      </c>
      <c r="I465" s="75" t="str">
        <f t="shared" si="14"/>
        <v/>
      </c>
      <c r="J465" s="1" t="str">
        <f>IFERROR(VLOOKUP(B465,ProductList!B:AO,21,FALSE),"")</f>
        <v/>
      </c>
      <c r="K465" s="1" t="str">
        <f>IF(G465="KGS",IF(D465&lt;&gt;"",IFERROR(ROUND(VLOOKUP(D465,ProductList!J:BG,47,FALSE),3),""),""),IF(D465&lt;&gt;"",IFERROR(ROUND(VLOOKUP(D465,ProductList!J:BG,46,FALSE),3),""),""))</f>
        <v/>
      </c>
      <c r="L465" s="1" t="str">
        <f t="shared" si="15"/>
        <v/>
      </c>
    </row>
    <row r="466" spans="1:12" x14ac:dyDescent="0.25">
      <c r="A466" s="304"/>
      <c r="B466" s="73"/>
      <c r="C466" s="73"/>
      <c r="D466" s="104"/>
      <c r="E466" s="122"/>
      <c r="F466" s="73" t="str">
        <f>IF(G466="KGS",IF(B466&lt;&gt;"",IFERROR(VLOOKUP(B466,ProductList!B:AO,21,FALSE),""),""),IF(D466&lt;&gt;"",IFERROR(VLOOKUP(B466,ProductList!B:AO,24,FALSE),""),""))</f>
        <v/>
      </c>
      <c r="G466" s="202"/>
      <c r="H466" s="75" t="str">
        <f>IF(G466="KGS",IF(B466&lt;&gt;"",IFERROR(ROUND(VLOOKUP(B466,ProductList!B:BG,58,FALSE),3),""),""),IF(B466&lt;&gt;"",IFERROR(ROUND(VLOOKUP(B466,ProductList!B:BG,57,FALSE),3),""),""))</f>
        <v/>
      </c>
      <c r="I466" s="75" t="str">
        <f t="shared" si="14"/>
        <v/>
      </c>
      <c r="J466" s="1" t="str">
        <f>IFERROR(VLOOKUP(B466,ProductList!B:AO,21,FALSE),"")</f>
        <v/>
      </c>
      <c r="K466" s="1" t="str">
        <f>IF(G466="KGS",IF(D466&lt;&gt;"",IFERROR(ROUND(VLOOKUP(D466,ProductList!J:BG,47,FALSE),3),""),""),IF(D466&lt;&gt;"",IFERROR(ROUND(VLOOKUP(D466,ProductList!J:BG,46,FALSE),3),""),""))</f>
        <v/>
      </c>
      <c r="L466" s="1" t="str">
        <f t="shared" si="15"/>
        <v/>
      </c>
    </row>
    <row r="467" spans="1:12" x14ac:dyDescent="0.25">
      <c r="A467" s="304"/>
      <c r="B467" s="73"/>
      <c r="C467" s="73"/>
      <c r="D467" s="104"/>
      <c r="E467" s="122"/>
      <c r="F467" s="73" t="str">
        <f>IF(G467="KGS",IF(B467&lt;&gt;"",IFERROR(VLOOKUP(B467,ProductList!B:AO,21,FALSE),""),""),IF(D467&lt;&gt;"",IFERROR(VLOOKUP(B467,ProductList!B:AO,24,FALSE),""),""))</f>
        <v/>
      </c>
      <c r="G467" s="202"/>
      <c r="H467" s="75" t="str">
        <f>IF(G467="KGS",IF(B467&lt;&gt;"",IFERROR(ROUND(VLOOKUP(B467,ProductList!B:BG,58,FALSE),3),""),""),IF(B467&lt;&gt;"",IFERROR(ROUND(VLOOKUP(B467,ProductList!B:BG,57,FALSE),3),""),""))</f>
        <v/>
      </c>
      <c r="I467" s="75" t="str">
        <f t="shared" si="14"/>
        <v/>
      </c>
      <c r="J467" s="1" t="str">
        <f>IFERROR(VLOOKUP(B467,ProductList!B:AO,21,FALSE),"")</f>
        <v/>
      </c>
      <c r="K467" s="1" t="str">
        <f>IF(G467="KGS",IF(D467&lt;&gt;"",IFERROR(ROUND(VLOOKUP(D467,ProductList!J:BG,47,FALSE),3),""),""),IF(D467&lt;&gt;"",IFERROR(ROUND(VLOOKUP(D467,ProductList!J:BG,46,FALSE),3),""),""))</f>
        <v/>
      </c>
      <c r="L467" s="1" t="str">
        <f t="shared" si="15"/>
        <v/>
      </c>
    </row>
    <row r="468" spans="1:12" x14ac:dyDescent="0.25">
      <c r="A468" s="304"/>
      <c r="B468" s="73"/>
      <c r="C468" s="73"/>
      <c r="D468" s="104"/>
      <c r="E468" s="122"/>
      <c r="F468" s="73" t="str">
        <f>IF(G468="KGS",IF(B468&lt;&gt;"",IFERROR(VLOOKUP(B468,ProductList!B:AO,21,FALSE),""),""),IF(D468&lt;&gt;"",IFERROR(VLOOKUP(B468,ProductList!B:AO,24,FALSE),""),""))</f>
        <v/>
      </c>
      <c r="G468" s="202"/>
      <c r="H468" s="75" t="str">
        <f>IF(G468="KGS",IF(B468&lt;&gt;"",IFERROR(ROUND(VLOOKUP(B468,ProductList!B:BG,58,FALSE),3),""),""),IF(B468&lt;&gt;"",IFERROR(ROUND(VLOOKUP(B468,ProductList!B:BG,57,FALSE),3),""),""))</f>
        <v/>
      </c>
      <c r="I468" s="75" t="str">
        <f t="shared" si="14"/>
        <v/>
      </c>
      <c r="J468" s="1" t="str">
        <f>IFERROR(VLOOKUP(B468,ProductList!B:AO,21,FALSE),"")</f>
        <v/>
      </c>
      <c r="K468" s="1" t="str">
        <f>IF(G468="KGS",IF(D468&lt;&gt;"",IFERROR(ROUND(VLOOKUP(D468,ProductList!J:BG,47,FALSE),3),""),""),IF(D468&lt;&gt;"",IFERROR(ROUND(VLOOKUP(D468,ProductList!J:BG,46,FALSE),3),""),""))</f>
        <v/>
      </c>
      <c r="L468" s="1" t="str">
        <f t="shared" si="15"/>
        <v/>
      </c>
    </row>
    <row r="469" spans="1:12" x14ac:dyDescent="0.25">
      <c r="A469" s="304"/>
      <c r="B469" s="73"/>
      <c r="C469" s="73"/>
      <c r="D469" s="104"/>
      <c r="E469" s="122"/>
      <c r="F469" s="73" t="str">
        <f>IF(G469="KGS",IF(B469&lt;&gt;"",IFERROR(VLOOKUP(B469,ProductList!B:AO,21,FALSE),""),""),IF(D469&lt;&gt;"",IFERROR(VLOOKUP(B469,ProductList!B:AO,24,FALSE),""),""))</f>
        <v/>
      </c>
      <c r="G469" s="202"/>
      <c r="H469" s="75" t="str">
        <f>IF(G469="KGS",IF(B469&lt;&gt;"",IFERROR(ROUND(VLOOKUP(B469,ProductList!B:BG,58,FALSE),3),""),""),IF(B469&lt;&gt;"",IFERROR(ROUND(VLOOKUP(B469,ProductList!B:BG,57,FALSE),3),""),""))</f>
        <v/>
      </c>
      <c r="I469" s="75" t="str">
        <f t="shared" si="14"/>
        <v/>
      </c>
      <c r="J469" s="1" t="str">
        <f>IFERROR(VLOOKUP(B469,ProductList!B:AO,21,FALSE),"")</f>
        <v/>
      </c>
      <c r="K469" s="1" t="str">
        <f>IF(G469="KGS",IF(D469&lt;&gt;"",IFERROR(ROUND(VLOOKUP(D469,ProductList!J:BG,47,FALSE),3),""),""),IF(D469&lt;&gt;"",IFERROR(ROUND(VLOOKUP(D469,ProductList!J:BG,46,FALSE),3),""),""))</f>
        <v/>
      </c>
      <c r="L469" s="1" t="str">
        <f t="shared" si="15"/>
        <v/>
      </c>
    </row>
    <row r="470" spans="1:12" x14ac:dyDescent="0.25">
      <c r="A470" s="304"/>
      <c r="B470" s="73"/>
      <c r="C470" s="73"/>
      <c r="D470" s="104"/>
      <c r="E470" s="122"/>
      <c r="F470" s="73" t="str">
        <f>IF(G470="KGS",IF(B470&lt;&gt;"",IFERROR(VLOOKUP(B470,ProductList!B:AO,21,FALSE),""),""),IF(D470&lt;&gt;"",IFERROR(VLOOKUP(B470,ProductList!B:AO,24,FALSE),""),""))</f>
        <v/>
      </c>
      <c r="G470" s="202"/>
      <c r="H470" s="75" t="str">
        <f>IF(G470="KGS",IF(B470&lt;&gt;"",IFERROR(ROUND(VLOOKUP(B470,ProductList!B:BG,58,FALSE),3),""),""),IF(B470&lt;&gt;"",IFERROR(ROUND(VLOOKUP(B470,ProductList!B:BG,57,FALSE),3),""),""))</f>
        <v/>
      </c>
      <c r="I470" s="75" t="str">
        <f t="shared" si="14"/>
        <v/>
      </c>
      <c r="J470" s="1" t="str">
        <f>IFERROR(VLOOKUP(B470,ProductList!B:AO,21,FALSE),"")</f>
        <v/>
      </c>
      <c r="K470" s="1" t="str">
        <f>IF(G470="KGS",IF(D470&lt;&gt;"",IFERROR(ROUND(VLOOKUP(D470,ProductList!J:BG,47,FALSE),3),""),""),IF(D470&lt;&gt;"",IFERROR(ROUND(VLOOKUP(D470,ProductList!J:BG,46,FALSE),3),""),""))</f>
        <v/>
      </c>
      <c r="L470" s="1" t="str">
        <f t="shared" si="15"/>
        <v/>
      </c>
    </row>
    <row r="471" spans="1:12" x14ac:dyDescent="0.25">
      <c r="A471" s="304"/>
      <c r="B471" s="73"/>
      <c r="C471" s="73"/>
      <c r="D471" s="104"/>
      <c r="E471" s="122"/>
      <c r="F471" s="73" t="str">
        <f>IF(G471="KGS",IF(B471&lt;&gt;"",IFERROR(VLOOKUP(B471,ProductList!B:AO,21,FALSE),""),""),IF(D471&lt;&gt;"",IFERROR(VLOOKUP(B471,ProductList!B:AO,24,FALSE),""),""))</f>
        <v/>
      </c>
      <c r="G471" s="202"/>
      <c r="H471" s="75" t="str">
        <f>IF(G471="KGS",IF(B471&lt;&gt;"",IFERROR(ROUND(VLOOKUP(B471,ProductList!B:BG,58,FALSE),3),""),""),IF(B471&lt;&gt;"",IFERROR(ROUND(VLOOKUP(B471,ProductList!B:BG,57,FALSE),3),""),""))</f>
        <v/>
      </c>
      <c r="I471" s="75" t="str">
        <f t="shared" si="14"/>
        <v/>
      </c>
      <c r="J471" s="1" t="str">
        <f>IFERROR(VLOOKUP(B471,ProductList!B:AO,21,FALSE),"")</f>
        <v/>
      </c>
      <c r="K471" s="1" t="str">
        <f>IF(G471="KGS",IF(D471&lt;&gt;"",IFERROR(ROUND(VLOOKUP(D471,ProductList!J:BG,47,FALSE),3),""),""),IF(D471&lt;&gt;"",IFERROR(ROUND(VLOOKUP(D471,ProductList!J:BG,46,FALSE),3),""),""))</f>
        <v/>
      </c>
      <c r="L471" s="1" t="str">
        <f t="shared" si="15"/>
        <v/>
      </c>
    </row>
    <row r="472" spans="1:12" x14ac:dyDescent="0.25">
      <c r="A472" s="304"/>
      <c r="B472" s="73"/>
      <c r="C472" s="73"/>
      <c r="D472" s="104"/>
      <c r="E472" s="122"/>
      <c r="F472" s="73" t="str">
        <f>IF(G472="KGS",IF(B472&lt;&gt;"",IFERROR(VLOOKUP(B472,ProductList!B:AO,21,FALSE),""),""),IF(D472&lt;&gt;"",IFERROR(VLOOKUP(B472,ProductList!B:AO,24,FALSE),""),""))</f>
        <v/>
      </c>
      <c r="G472" s="202"/>
      <c r="H472" s="75" t="str">
        <f>IF(G472="KGS",IF(B472&lt;&gt;"",IFERROR(ROUND(VLOOKUP(B472,ProductList!B:BG,58,FALSE),3),""),""),IF(B472&lt;&gt;"",IFERROR(ROUND(VLOOKUP(B472,ProductList!B:BG,57,FALSE),3),""),""))</f>
        <v/>
      </c>
      <c r="I472" s="75" t="str">
        <f t="shared" si="14"/>
        <v/>
      </c>
      <c r="J472" s="1" t="str">
        <f>IFERROR(VLOOKUP(B472,ProductList!B:AO,21,FALSE),"")</f>
        <v/>
      </c>
      <c r="K472" s="1" t="str">
        <f>IF(G472="KGS",IF(D472&lt;&gt;"",IFERROR(ROUND(VLOOKUP(D472,ProductList!J:BG,47,FALSE),3),""),""),IF(D472&lt;&gt;"",IFERROR(ROUND(VLOOKUP(D472,ProductList!J:BG,46,FALSE),3),""),""))</f>
        <v/>
      </c>
      <c r="L472" s="1" t="str">
        <f t="shared" si="15"/>
        <v/>
      </c>
    </row>
    <row r="473" spans="1:12" x14ac:dyDescent="0.25">
      <c r="A473" s="304"/>
      <c r="B473" s="73"/>
      <c r="C473" s="73"/>
      <c r="D473" s="104"/>
      <c r="E473" s="122"/>
      <c r="F473" s="73" t="str">
        <f>IF(G473="KGS",IF(B473&lt;&gt;"",IFERROR(VLOOKUP(B473,ProductList!B:AO,21,FALSE),""),""),IF(D473&lt;&gt;"",IFERROR(VLOOKUP(B473,ProductList!B:AO,24,FALSE),""),""))</f>
        <v/>
      </c>
      <c r="G473" s="202"/>
      <c r="H473" s="75" t="str">
        <f>IF(G473="KGS",IF(B473&lt;&gt;"",IFERROR(ROUND(VLOOKUP(B473,ProductList!B:BG,58,FALSE),3),""),""),IF(B473&lt;&gt;"",IFERROR(ROUND(VLOOKUP(B473,ProductList!B:BG,57,FALSE),3),""),""))</f>
        <v/>
      </c>
      <c r="I473" s="75" t="str">
        <f t="shared" si="14"/>
        <v/>
      </c>
      <c r="J473" s="1" t="str">
        <f>IFERROR(VLOOKUP(B473,ProductList!B:AO,21,FALSE),"")</f>
        <v/>
      </c>
      <c r="K473" s="1" t="str">
        <f>IF(G473="KGS",IF(D473&lt;&gt;"",IFERROR(ROUND(VLOOKUP(D473,ProductList!J:BG,47,FALSE),3),""),""),IF(D473&lt;&gt;"",IFERROR(ROUND(VLOOKUP(D473,ProductList!J:BG,46,FALSE),3),""),""))</f>
        <v/>
      </c>
      <c r="L473" s="1" t="str">
        <f t="shared" si="15"/>
        <v/>
      </c>
    </row>
    <row r="474" spans="1:12" x14ac:dyDescent="0.25">
      <c r="A474" s="304"/>
      <c r="B474" s="73"/>
      <c r="C474" s="73"/>
      <c r="D474" s="104"/>
      <c r="E474" s="122"/>
      <c r="F474" s="73" t="str">
        <f>IF(G474="KGS",IF(B474&lt;&gt;"",IFERROR(VLOOKUP(B474,ProductList!B:AO,21,FALSE),""),""),IF(D474&lt;&gt;"",IFERROR(VLOOKUP(B474,ProductList!B:AO,24,FALSE),""),""))</f>
        <v/>
      </c>
      <c r="G474" s="202"/>
      <c r="H474" s="75" t="str">
        <f>IF(G474="KGS",IF(B474&lt;&gt;"",IFERROR(ROUND(VLOOKUP(B474,ProductList!B:BG,58,FALSE),3),""),""),IF(B474&lt;&gt;"",IFERROR(ROUND(VLOOKUP(B474,ProductList!B:BG,57,FALSE),3),""),""))</f>
        <v/>
      </c>
      <c r="I474" s="75" t="str">
        <f t="shared" si="14"/>
        <v/>
      </c>
      <c r="J474" s="1" t="str">
        <f>IFERROR(VLOOKUP(B474,ProductList!B:AO,21,FALSE),"")</f>
        <v/>
      </c>
      <c r="K474" s="1" t="str">
        <f>IF(G474="KGS",IF(D474&lt;&gt;"",IFERROR(ROUND(VLOOKUP(D474,ProductList!J:BG,47,FALSE),3),""),""),IF(D474&lt;&gt;"",IFERROR(ROUND(VLOOKUP(D474,ProductList!J:BG,46,FALSE),3),""),""))</f>
        <v/>
      </c>
      <c r="L474" s="1" t="str">
        <f t="shared" si="15"/>
        <v/>
      </c>
    </row>
    <row r="475" spans="1:12" x14ac:dyDescent="0.25">
      <c r="A475" s="304"/>
      <c r="B475" s="73"/>
      <c r="C475" s="73"/>
      <c r="D475" s="104"/>
      <c r="E475" s="122"/>
      <c r="F475" s="73" t="str">
        <f>IF(G475="KGS",IF(B475&lt;&gt;"",IFERROR(VLOOKUP(B475,ProductList!B:AO,21,FALSE),""),""),IF(D475&lt;&gt;"",IFERROR(VLOOKUP(B475,ProductList!B:AO,24,FALSE),""),""))</f>
        <v/>
      </c>
      <c r="G475" s="202"/>
      <c r="H475" s="75" t="str">
        <f>IF(G475="KGS",IF(B475&lt;&gt;"",IFERROR(ROUND(VLOOKUP(B475,ProductList!B:BG,58,FALSE),3),""),""),IF(B475&lt;&gt;"",IFERROR(ROUND(VLOOKUP(B475,ProductList!B:BG,57,FALSE),3),""),""))</f>
        <v/>
      </c>
      <c r="I475" s="75" t="str">
        <f t="shared" si="14"/>
        <v/>
      </c>
      <c r="J475" s="1" t="str">
        <f>IFERROR(VLOOKUP(B475,ProductList!B:AO,21,FALSE),"")</f>
        <v/>
      </c>
      <c r="K475" s="1" t="str">
        <f>IF(G475="KGS",IF(D475&lt;&gt;"",IFERROR(ROUND(VLOOKUP(D475,ProductList!J:BG,47,FALSE),3),""),""),IF(D475&lt;&gt;"",IFERROR(ROUND(VLOOKUP(D475,ProductList!J:BG,46,FALSE),3),""),""))</f>
        <v/>
      </c>
      <c r="L475" s="1" t="str">
        <f t="shared" si="15"/>
        <v/>
      </c>
    </row>
    <row r="476" spans="1:12" x14ac:dyDescent="0.25">
      <c r="A476" s="304"/>
      <c r="B476" s="73"/>
      <c r="C476" s="73"/>
      <c r="D476" s="104"/>
      <c r="E476" s="122"/>
      <c r="F476" s="73" t="str">
        <f>IF(G476="KGS",IF(B476&lt;&gt;"",IFERROR(VLOOKUP(B476,ProductList!B:AO,21,FALSE),""),""),IF(D476&lt;&gt;"",IFERROR(VLOOKUP(B476,ProductList!B:AO,24,FALSE),""),""))</f>
        <v/>
      </c>
      <c r="G476" s="202"/>
      <c r="H476" s="75" t="str">
        <f>IF(G476="KGS",IF(B476&lt;&gt;"",IFERROR(ROUND(VLOOKUP(B476,ProductList!B:BG,58,FALSE),3),""),""),IF(B476&lt;&gt;"",IFERROR(ROUND(VLOOKUP(B476,ProductList!B:BG,57,FALSE),3),""),""))</f>
        <v/>
      </c>
      <c r="I476" s="75" t="str">
        <f t="shared" si="14"/>
        <v/>
      </c>
      <c r="J476" s="1" t="str">
        <f>IFERROR(VLOOKUP(B476,ProductList!B:AO,21,FALSE),"")</f>
        <v/>
      </c>
      <c r="K476" s="1" t="str">
        <f>IF(G476="KGS",IF(D476&lt;&gt;"",IFERROR(ROUND(VLOOKUP(D476,ProductList!J:BG,47,FALSE),3),""),""),IF(D476&lt;&gt;"",IFERROR(ROUND(VLOOKUP(D476,ProductList!J:BG,46,FALSE),3),""),""))</f>
        <v/>
      </c>
      <c r="L476" s="1" t="str">
        <f t="shared" si="15"/>
        <v/>
      </c>
    </row>
    <row r="477" spans="1:12" x14ac:dyDescent="0.25">
      <c r="A477" s="304"/>
      <c r="B477" s="73"/>
      <c r="C477" s="73"/>
      <c r="D477" s="104"/>
      <c r="E477" s="122"/>
      <c r="F477" s="73" t="str">
        <f>IF(G477="KGS",IF(B477&lt;&gt;"",IFERROR(VLOOKUP(B477,ProductList!B:AO,21,FALSE),""),""),IF(D477&lt;&gt;"",IFERROR(VLOOKUP(B477,ProductList!B:AO,24,FALSE),""),""))</f>
        <v/>
      </c>
      <c r="G477" s="202"/>
      <c r="H477" s="75" t="str">
        <f>IF(G477="KGS",IF(B477&lt;&gt;"",IFERROR(ROUND(VLOOKUP(B477,ProductList!B:BG,58,FALSE),3),""),""),IF(B477&lt;&gt;"",IFERROR(ROUND(VLOOKUP(B477,ProductList!B:BG,57,FALSE),3),""),""))</f>
        <v/>
      </c>
      <c r="I477" s="75" t="str">
        <f t="shared" si="14"/>
        <v/>
      </c>
      <c r="J477" s="1" t="str">
        <f>IFERROR(VLOOKUP(B477,ProductList!B:AO,21,FALSE),"")</f>
        <v/>
      </c>
      <c r="K477" s="1" t="str">
        <f>IF(G477="KGS",IF(D477&lt;&gt;"",IFERROR(ROUND(VLOOKUP(D477,ProductList!J:BG,47,FALSE),3),""),""),IF(D477&lt;&gt;"",IFERROR(ROUND(VLOOKUP(D477,ProductList!J:BG,46,FALSE),3),""),""))</f>
        <v/>
      </c>
      <c r="L477" s="1" t="str">
        <f t="shared" si="15"/>
        <v/>
      </c>
    </row>
    <row r="478" spans="1:12" x14ac:dyDescent="0.25">
      <c r="A478" s="304"/>
      <c r="B478" s="73"/>
      <c r="C478" s="73"/>
      <c r="D478" s="104"/>
      <c r="E478" s="122"/>
      <c r="F478" s="73" t="str">
        <f>IF(G478="KGS",IF(B478&lt;&gt;"",IFERROR(VLOOKUP(B478,ProductList!B:AO,21,FALSE),""),""),IF(D478&lt;&gt;"",IFERROR(VLOOKUP(B478,ProductList!B:AO,24,FALSE),""),""))</f>
        <v/>
      </c>
      <c r="G478" s="202"/>
      <c r="H478" s="75" t="str">
        <f>IF(G478="KGS",IF(B478&lt;&gt;"",IFERROR(ROUND(VLOOKUP(B478,ProductList!B:BG,58,FALSE),3),""),""),IF(B478&lt;&gt;"",IFERROR(ROUND(VLOOKUP(B478,ProductList!B:BG,57,FALSE),3),""),""))</f>
        <v/>
      </c>
      <c r="I478" s="75" t="str">
        <f t="shared" si="14"/>
        <v/>
      </c>
      <c r="J478" s="1" t="str">
        <f>IFERROR(VLOOKUP(B478,ProductList!B:AO,21,FALSE),"")</f>
        <v/>
      </c>
      <c r="K478" s="1" t="str">
        <f>IF(G478="KGS",IF(D478&lt;&gt;"",IFERROR(ROUND(VLOOKUP(D478,ProductList!J:BG,47,FALSE),3),""),""),IF(D478&lt;&gt;"",IFERROR(ROUND(VLOOKUP(D478,ProductList!J:BG,46,FALSE),3),""),""))</f>
        <v/>
      </c>
      <c r="L478" s="1" t="str">
        <f t="shared" si="15"/>
        <v/>
      </c>
    </row>
    <row r="479" spans="1:12" x14ac:dyDescent="0.25">
      <c r="A479" s="304"/>
      <c r="B479" s="73"/>
      <c r="C479" s="73"/>
      <c r="D479" s="104"/>
      <c r="E479" s="122"/>
      <c r="F479" s="73" t="str">
        <f>IF(G479="KGS",IF(B479&lt;&gt;"",IFERROR(VLOOKUP(B479,ProductList!B:AO,21,FALSE),""),""),IF(D479&lt;&gt;"",IFERROR(VLOOKUP(B479,ProductList!B:AO,24,FALSE),""),""))</f>
        <v/>
      </c>
      <c r="G479" s="202"/>
      <c r="H479" s="75" t="str">
        <f>IF(G479="KGS",IF(B479&lt;&gt;"",IFERROR(ROUND(VLOOKUP(B479,ProductList!B:BG,58,FALSE),3),""),""),IF(B479&lt;&gt;"",IFERROR(ROUND(VLOOKUP(B479,ProductList!B:BG,57,FALSE),3),""),""))</f>
        <v/>
      </c>
      <c r="I479" s="75" t="str">
        <f t="shared" si="14"/>
        <v/>
      </c>
      <c r="J479" s="1" t="str">
        <f>IFERROR(VLOOKUP(B479,ProductList!B:AO,21,FALSE),"")</f>
        <v/>
      </c>
      <c r="K479" s="1" t="str">
        <f>IF(G479="KGS",IF(D479&lt;&gt;"",IFERROR(ROUND(VLOOKUP(D479,ProductList!J:BG,47,FALSE),3),""),""),IF(D479&lt;&gt;"",IFERROR(ROUND(VLOOKUP(D479,ProductList!J:BG,46,FALSE),3),""),""))</f>
        <v/>
      </c>
      <c r="L479" s="1" t="str">
        <f t="shared" si="15"/>
        <v/>
      </c>
    </row>
    <row r="480" spans="1:12" x14ac:dyDescent="0.25">
      <c r="A480" s="304"/>
      <c r="B480" s="73"/>
      <c r="C480" s="73"/>
      <c r="D480" s="104"/>
      <c r="E480" s="122"/>
      <c r="F480" s="73" t="str">
        <f>IF(G480="KGS",IF(B480&lt;&gt;"",IFERROR(VLOOKUP(B480,ProductList!B:AO,21,FALSE),""),""),IF(D480&lt;&gt;"",IFERROR(VLOOKUP(B480,ProductList!B:AO,24,FALSE),""),""))</f>
        <v/>
      </c>
      <c r="G480" s="202"/>
      <c r="H480" s="75" t="str">
        <f>IF(G480="KGS",IF(B480&lt;&gt;"",IFERROR(ROUND(VLOOKUP(B480,ProductList!B:BG,58,FALSE),3),""),""),IF(B480&lt;&gt;"",IFERROR(ROUND(VLOOKUP(B480,ProductList!B:BG,57,FALSE),3),""),""))</f>
        <v/>
      </c>
      <c r="I480" s="75" t="str">
        <f t="shared" si="14"/>
        <v/>
      </c>
      <c r="J480" s="1" t="str">
        <f>IFERROR(VLOOKUP(B480,ProductList!B:AO,21,FALSE),"")</f>
        <v/>
      </c>
      <c r="K480" s="1" t="str">
        <f>IF(G480="KGS",IF(D480&lt;&gt;"",IFERROR(ROUND(VLOOKUP(D480,ProductList!J:BG,47,FALSE),3),""),""),IF(D480&lt;&gt;"",IFERROR(ROUND(VLOOKUP(D480,ProductList!J:BG,46,FALSE),3),""),""))</f>
        <v/>
      </c>
      <c r="L480" s="1" t="str">
        <f t="shared" si="15"/>
        <v/>
      </c>
    </row>
    <row r="481" spans="1:12" x14ac:dyDescent="0.25">
      <c r="A481" s="304"/>
      <c r="B481" s="73"/>
      <c r="C481" s="73"/>
      <c r="D481" s="104"/>
      <c r="E481" s="122"/>
      <c r="F481" s="73" t="str">
        <f>IF(G481="KGS",IF(B481&lt;&gt;"",IFERROR(VLOOKUP(B481,ProductList!B:AO,21,FALSE),""),""),IF(D481&lt;&gt;"",IFERROR(VLOOKUP(B481,ProductList!B:AO,24,FALSE),""),""))</f>
        <v/>
      </c>
      <c r="G481" s="202"/>
      <c r="H481" s="75" t="str">
        <f>IF(G481="KGS",IF(B481&lt;&gt;"",IFERROR(ROUND(VLOOKUP(B481,ProductList!B:BG,58,FALSE),3),""),""),IF(B481&lt;&gt;"",IFERROR(ROUND(VLOOKUP(B481,ProductList!B:BG,57,FALSE),3),""),""))</f>
        <v/>
      </c>
      <c r="I481" s="75" t="str">
        <f t="shared" si="14"/>
        <v/>
      </c>
      <c r="J481" s="1" t="str">
        <f>IFERROR(VLOOKUP(B481,ProductList!B:AO,21,FALSE),"")</f>
        <v/>
      </c>
      <c r="K481" s="1" t="str">
        <f>IF(G481="KGS",IF(D481&lt;&gt;"",IFERROR(ROUND(VLOOKUP(D481,ProductList!J:BG,47,FALSE),3),""),""),IF(D481&lt;&gt;"",IFERROR(ROUND(VLOOKUP(D481,ProductList!J:BG,46,FALSE),3),""),""))</f>
        <v/>
      </c>
      <c r="L481" s="1" t="str">
        <f t="shared" si="15"/>
        <v/>
      </c>
    </row>
    <row r="482" spans="1:12" x14ac:dyDescent="0.25">
      <c r="A482" s="304"/>
      <c r="B482" s="73"/>
      <c r="C482" s="73"/>
      <c r="D482" s="104"/>
      <c r="E482" s="122"/>
      <c r="F482" s="73" t="str">
        <f>IF(G482="KGS",IF(B482&lt;&gt;"",IFERROR(VLOOKUP(B482,ProductList!B:AO,21,FALSE),""),""),IF(D482&lt;&gt;"",IFERROR(VLOOKUP(B482,ProductList!B:AO,24,FALSE),""),""))</f>
        <v/>
      </c>
      <c r="G482" s="202"/>
      <c r="H482" s="75" t="str">
        <f>IF(G482="KGS",IF(B482&lt;&gt;"",IFERROR(ROUND(VLOOKUP(B482,ProductList!B:BG,58,FALSE),3),""),""),IF(B482&lt;&gt;"",IFERROR(ROUND(VLOOKUP(B482,ProductList!B:BG,57,FALSE),3),""),""))</f>
        <v/>
      </c>
      <c r="I482" s="75" t="str">
        <f t="shared" si="14"/>
        <v/>
      </c>
      <c r="J482" s="1" t="str">
        <f>IFERROR(VLOOKUP(B482,ProductList!B:AO,21,FALSE),"")</f>
        <v/>
      </c>
      <c r="K482" s="1" t="str">
        <f>IF(G482="KGS",IF(D482&lt;&gt;"",IFERROR(ROUND(VLOOKUP(D482,ProductList!J:BG,47,FALSE),3),""),""),IF(D482&lt;&gt;"",IFERROR(ROUND(VLOOKUP(D482,ProductList!J:BG,46,FALSE),3),""),""))</f>
        <v/>
      </c>
      <c r="L482" s="1" t="str">
        <f t="shared" si="15"/>
        <v/>
      </c>
    </row>
    <row r="483" spans="1:12" x14ac:dyDescent="0.25">
      <c r="A483" s="304"/>
      <c r="B483" s="73"/>
      <c r="C483" s="73"/>
      <c r="D483" s="104"/>
      <c r="E483" s="122"/>
      <c r="F483" s="73" t="str">
        <f>IF(G483="KGS",IF(B483&lt;&gt;"",IFERROR(VLOOKUP(B483,ProductList!B:AO,21,FALSE),""),""),IF(D483&lt;&gt;"",IFERROR(VLOOKUP(B483,ProductList!B:AO,24,FALSE),""),""))</f>
        <v/>
      </c>
      <c r="G483" s="202"/>
      <c r="H483" s="75" t="str">
        <f>IF(G483="KGS",IF(B483&lt;&gt;"",IFERROR(ROUND(VLOOKUP(B483,ProductList!B:BG,58,FALSE),3),""),""),IF(B483&lt;&gt;"",IFERROR(ROUND(VLOOKUP(B483,ProductList!B:BG,57,FALSE),3),""),""))</f>
        <v/>
      </c>
      <c r="I483" s="75" t="str">
        <f t="shared" si="14"/>
        <v/>
      </c>
      <c r="J483" s="1" t="str">
        <f>IFERROR(VLOOKUP(B483,ProductList!B:AO,21,FALSE),"")</f>
        <v/>
      </c>
      <c r="K483" s="1" t="str">
        <f>IF(G483="KGS",IF(D483&lt;&gt;"",IFERROR(ROUND(VLOOKUP(D483,ProductList!J:BG,47,FALSE),3),""),""),IF(D483&lt;&gt;"",IFERROR(ROUND(VLOOKUP(D483,ProductList!J:BG,46,FALSE),3),""),""))</f>
        <v/>
      </c>
      <c r="L483" s="1" t="str">
        <f t="shared" si="15"/>
        <v/>
      </c>
    </row>
    <row r="484" spans="1:12" x14ac:dyDescent="0.25">
      <c r="A484" s="304"/>
      <c r="B484" s="73"/>
      <c r="C484" s="73"/>
      <c r="D484" s="104"/>
      <c r="E484" s="122"/>
      <c r="F484" s="73" t="str">
        <f>IF(G484="KGS",IF(B484&lt;&gt;"",IFERROR(VLOOKUP(B484,ProductList!B:AO,21,FALSE),""),""),IF(D484&lt;&gt;"",IFERROR(VLOOKUP(B484,ProductList!B:AO,24,FALSE),""),""))</f>
        <v/>
      </c>
      <c r="G484" s="202"/>
      <c r="H484" s="75" t="str">
        <f>IF(G484="KGS",IF(B484&lt;&gt;"",IFERROR(ROUND(VLOOKUP(B484,ProductList!B:BG,58,FALSE),3),""),""),IF(B484&lt;&gt;"",IFERROR(ROUND(VLOOKUP(B484,ProductList!B:BG,57,FALSE),3),""),""))</f>
        <v/>
      </c>
      <c r="I484" s="75" t="str">
        <f t="shared" si="14"/>
        <v/>
      </c>
      <c r="J484" s="1" t="str">
        <f>IFERROR(VLOOKUP(B484,ProductList!B:AO,21,FALSE),"")</f>
        <v/>
      </c>
      <c r="K484" s="1" t="str">
        <f>IF(G484="KGS",IF(D484&lt;&gt;"",IFERROR(ROUND(VLOOKUP(D484,ProductList!J:BG,47,FALSE),3),""),""),IF(D484&lt;&gt;"",IFERROR(ROUND(VLOOKUP(D484,ProductList!J:BG,46,FALSE),3),""),""))</f>
        <v/>
      </c>
      <c r="L484" s="1" t="str">
        <f t="shared" si="15"/>
        <v/>
      </c>
    </row>
    <row r="485" spans="1:12" x14ac:dyDescent="0.25">
      <c r="A485" s="304"/>
      <c r="B485" s="73"/>
      <c r="C485" s="73"/>
      <c r="D485" s="104"/>
      <c r="E485" s="122"/>
      <c r="F485" s="73" t="str">
        <f>IF(G485="KGS",IF(B485&lt;&gt;"",IFERROR(VLOOKUP(B485,ProductList!B:AO,21,FALSE),""),""),IF(D485&lt;&gt;"",IFERROR(VLOOKUP(B485,ProductList!B:AO,24,FALSE),""),""))</f>
        <v/>
      </c>
      <c r="G485" s="202"/>
      <c r="H485" s="75" t="str">
        <f>IF(G485="KGS",IF(B485&lt;&gt;"",IFERROR(ROUND(VLOOKUP(B485,ProductList!B:BG,58,FALSE),3),""),""),IF(B485&lt;&gt;"",IFERROR(ROUND(VLOOKUP(B485,ProductList!B:BG,57,FALSE),3),""),""))</f>
        <v/>
      </c>
      <c r="I485" s="75" t="str">
        <f t="shared" si="14"/>
        <v/>
      </c>
      <c r="J485" s="1" t="str">
        <f>IFERROR(VLOOKUP(B485,ProductList!B:AO,21,FALSE),"")</f>
        <v/>
      </c>
      <c r="K485" s="1" t="str">
        <f>IF(G485="KGS",IF(D485&lt;&gt;"",IFERROR(ROUND(VLOOKUP(D485,ProductList!J:BG,47,FALSE),3),""),""),IF(D485&lt;&gt;"",IFERROR(ROUND(VLOOKUP(D485,ProductList!J:BG,46,FALSE),3),""),""))</f>
        <v/>
      </c>
      <c r="L485" s="1" t="str">
        <f t="shared" si="15"/>
        <v/>
      </c>
    </row>
    <row r="486" spans="1:12" x14ac:dyDescent="0.25">
      <c r="A486" s="304"/>
      <c r="B486" s="73"/>
      <c r="C486" s="73"/>
      <c r="D486" s="104"/>
      <c r="E486" s="122"/>
      <c r="F486" s="73" t="str">
        <f>IF(G486="KGS",IF(B486&lt;&gt;"",IFERROR(VLOOKUP(B486,ProductList!B:AO,21,FALSE),""),""),IF(D486&lt;&gt;"",IFERROR(VLOOKUP(B486,ProductList!B:AO,24,FALSE),""),""))</f>
        <v/>
      </c>
      <c r="G486" s="202"/>
      <c r="H486" s="75" t="str">
        <f>IF(G486="KGS",IF(B486&lt;&gt;"",IFERROR(ROUND(VLOOKUP(B486,ProductList!B:BG,58,FALSE),3),""),""),IF(B486&lt;&gt;"",IFERROR(ROUND(VLOOKUP(B486,ProductList!B:BG,57,FALSE),3),""),""))</f>
        <v/>
      </c>
      <c r="I486" s="75" t="str">
        <f t="shared" si="14"/>
        <v/>
      </c>
      <c r="J486" s="1" t="str">
        <f>IFERROR(VLOOKUP(B486,ProductList!B:AO,21,FALSE),"")</f>
        <v/>
      </c>
      <c r="K486" s="1" t="str">
        <f>IF(G486="KGS",IF(D486&lt;&gt;"",IFERROR(ROUND(VLOOKUP(D486,ProductList!J:BG,47,FALSE),3),""),""),IF(D486&lt;&gt;"",IFERROR(ROUND(VLOOKUP(D486,ProductList!J:BG,46,FALSE),3),""),""))</f>
        <v/>
      </c>
      <c r="L486" s="1" t="str">
        <f t="shared" si="15"/>
        <v/>
      </c>
    </row>
    <row r="487" spans="1:12" x14ac:dyDescent="0.25">
      <c r="A487" s="304"/>
      <c r="B487" s="73"/>
      <c r="C487" s="73"/>
      <c r="D487" s="104"/>
      <c r="E487" s="122"/>
      <c r="F487" s="73" t="str">
        <f>IF(G487="KGS",IF(B487&lt;&gt;"",IFERROR(VLOOKUP(B487,ProductList!B:AO,21,FALSE),""),""),IF(D487&lt;&gt;"",IFERROR(VLOOKUP(B487,ProductList!B:AO,24,FALSE),""),""))</f>
        <v/>
      </c>
      <c r="G487" s="202"/>
      <c r="H487" s="75" t="str">
        <f>IF(G487="KGS",IF(B487&lt;&gt;"",IFERROR(ROUND(VLOOKUP(B487,ProductList!B:BG,58,FALSE),3),""),""),IF(B487&lt;&gt;"",IFERROR(ROUND(VLOOKUP(B487,ProductList!B:BG,57,FALSE),3),""),""))</f>
        <v/>
      </c>
      <c r="I487" s="75" t="str">
        <f t="shared" si="14"/>
        <v/>
      </c>
      <c r="J487" s="1" t="str">
        <f>IFERROR(VLOOKUP(B487,ProductList!B:AO,21,FALSE),"")</f>
        <v/>
      </c>
      <c r="K487" s="1" t="str">
        <f>IF(G487="KGS",IF(D487&lt;&gt;"",IFERROR(ROUND(VLOOKUP(D487,ProductList!J:BG,47,FALSE),3),""),""),IF(D487&lt;&gt;"",IFERROR(ROUND(VLOOKUP(D487,ProductList!J:BG,46,FALSE),3),""),""))</f>
        <v/>
      </c>
      <c r="L487" s="1" t="str">
        <f t="shared" si="15"/>
        <v/>
      </c>
    </row>
    <row r="488" spans="1:12" x14ac:dyDescent="0.25">
      <c r="A488" s="304"/>
      <c r="B488" s="73"/>
      <c r="C488" s="73"/>
      <c r="D488" s="104"/>
      <c r="E488" s="122"/>
      <c r="F488" s="73" t="str">
        <f>IF(G488="KGS",IF(B488&lt;&gt;"",IFERROR(VLOOKUP(B488,ProductList!B:AO,21,FALSE),""),""),IF(D488&lt;&gt;"",IFERROR(VLOOKUP(B488,ProductList!B:AO,24,FALSE),""),""))</f>
        <v/>
      </c>
      <c r="G488" s="202"/>
      <c r="H488" s="75" t="str">
        <f>IF(G488="KGS",IF(B488&lt;&gt;"",IFERROR(ROUND(VLOOKUP(B488,ProductList!B:BG,58,FALSE),3),""),""),IF(B488&lt;&gt;"",IFERROR(ROUND(VLOOKUP(B488,ProductList!B:BG,57,FALSE),3),""),""))</f>
        <v/>
      </c>
      <c r="I488" s="75" t="str">
        <f t="shared" si="14"/>
        <v/>
      </c>
      <c r="J488" s="1" t="str">
        <f>IFERROR(VLOOKUP(B488,ProductList!B:AO,21,FALSE),"")</f>
        <v/>
      </c>
      <c r="K488" s="1" t="str">
        <f>IF(G488="KGS",IF(D488&lt;&gt;"",IFERROR(ROUND(VLOOKUP(D488,ProductList!J:BG,47,FALSE),3),""),""),IF(D488&lt;&gt;"",IFERROR(ROUND(VLOOKUP(D488,ProductList!J:BG,46,FALSE),3),""),""))</f>
        <v/>
      </c>
      <c r="L488" s="1" t="str">
        <f t="shared" si="15"/>
        <v/>
      </c>
    </row>
    <row r="489" spans="1:12" x14ac:dyDescent="0.25">
      <c r="A489" s="304"/>
      <c r="B489" s="73"/>
      <c r="C489" s="73"/>
      <c r="D489" s="104"/>
      <c r="E489" s="122"/>
      <c r="F489" s="73" t="str">
        <f>IF(G489="KGS",IF(B489&lt;&gt;"",IFERROR(VLOOKUP(B489,ProductList!B:AO,21,FALSE),""),""),IF(D489&lt;&gt;"",IFERROR(VLOOKUP(B489,ProductList!B:AO,24,FALSE),""),""))</f>
        <v/>
      </c>
      <c r="G489" s="202"/>
      <c r="H489" s="75" t="str">
        <f>IF(G489="KGS",IF(B489&lt;&gt;"",IFERROR(ROUND(VLOOKUP(B489,ProductList!B:BG,58,FALSE),3),""),""),IF(B489&lt;&gt;"",IFERROR(ROUND(VLOOKUP(B489,ProductList!B:BG,57,FALSE),3),""),""))</f>
        <v/>
      </c>
      <c r="I489" s="75" t="str">
        <f t="shared" si="14"/>
        <v/>
      </c>
      <c r="J489" s="1" t="str">
        <f>IFERROR(VLOOKUP(B489,ProductList!B:AO,21,FALSE),"")</f>
        <v/>
      </c>
      <c r="K489" s="1" t="str">
        <f>IF(G489="KGS",IF(D489&lt;&gt;"",IFERROR(ROUND(VLOOKUP(D489,ProductList!J:BG,47,FALSE),3),""),""),IF(D489&lt;&gt;"",IFERROR(ROUND(VLOOKUP(D489,ProductList!J:BG,46,FALSE),3),""),""))</f>
        <v/>
      </c>
      <c r="L489" s="1" t="str">
        <f t="shared" si="15"/>
        <v/>
      </c>
    </row>
    <row r="490" spans="1:12" x14ac:dyDescent="0.25">
      <c r="A490" s="304"/>
      <c r="B490" s="73"/>
      <c r="C490" s="73"/>
      <c r="D490" s="104"/>
      <c r="E490" s="122"/>
      <c r="F490" s="73" t="str">
        <f>IF(G490="KGS",IF(B490&lt;&gt;"",IFERROR(VLOOKUP(B490,ProductList!B:AO,21,FALSE),""),""),IF(D490&lt;&gt;"",IFERROR(VLOOKUP(B490,ProductList!B:AO,24,FALSE),""),""))</f>
        <v/>
      </c>
      <c r="G490" s="202"/>
      <c r="H490" s="75" t="str">
        <f>IF(G490="KGS",IF(B490&lt;&gt;"",IFERROR(ROUND(VLOOKUP(B490,ProductList!B:BG,58,FALSE),3),""),""),IF(B490&lt;&gt;"",IFERROR(ROUND(VLOOKUP(B490,ProductList!B:BG,57,FALSE),3),""),""))</f>
        <v/>
      </c>
      <c r="I490" s="75" t="str">
        <f t="shared" si="14"/>
        <v/>
      </c>
      <c r="J490" s="1" t="str">
        <f>IFERROR(VLOOKUP(B490,ProductList!B:AO,21,FALSE),"")</f>
        <v/>
      </c>
      <c r="K490" s="1" t="str">
        <f>IF(G490="KGS",IF(D490&lt;&gt;"",IFERROR(ROUND(VLOOKUP(D490,ProductList!J:BG,47,FALSE),3),""),""),IF(D490&lt;&gt;"",IFERROR(ROUND(VLOOKUP(D490,ProductList!J:BG,46,FALSE),3),""),""))</f>
        <v/>
      </c>
      <c r="L490" s="1" t="str">
        <f t="shared" si="15"/>
        <v/>
      </c>
    </row>
    <row r="491" spans="1:12" x14ac:dyDescent="0.25">
      <c r="A491" s="304"/>
      <c r="B491" s="73"/>
      <c r="C491" s="73"/>
      <c r="D491" s="104"/>
      <c r="E491" s="122"/>
      <c r="F491" s="73" t="str">
        <f>IF(G491="KGS",IF(B491&lt;&gt;"",IFERROR(VLOOKUP(B491,ProductList!B:AO,21,FALSE),""),""),IF(D491&lt;&gt;"",IFERROR(VLOOKUP(B491,ProductList!B:AO,24,FALSE),""),""))</f>
        <v/>
      </c>
      <c r="G491" s="202"/>
      <c r="H491" s="75" t="str">
        <f>IF(G491="KGS",IF(B491&lt;&gt;"",IFERROR(ROUND(VLOOKUP(B491,ProductList!B:BG,58,FALSE),3),""),""),IF(B491&lt;&gt;"",IFERROR(ROUND(VLOOKUP(B491,ProductList!B:BG,57,FALSE),3),""),""))</f>
        <v/>
      </c>
      <c r="I491" s="75" t="str">
        <f t="shared" si="14"/>
        <v/>
      </c>
      <c r="J491" s="1" t="str">
        <f>IFERROR(VLOOKUP(B491,ProductList!B:AO,21,FALSE),"")</f>
        <v/>
      </c>
      <c r="K491" s="1" t="str">
        <f>IF(G491="KGS",IF(D491&lt;&gt;"",IFERROR(ROUND(VLOOKUP(D491,ProductList!J:BG,47,FALSE),3),""),""),IF(D491&lt;&gt;"",IFERROR(ROUND(VLOOKUP(D491,ProductList!J:BG,46,FALSE),3),""),""))</f>
        <v/>
      </c>
      <c r="L491" s="1" t="str">
        <f t="shared" si="15"/>
        <v/>
      </c>
    </row>
    <row r="492" spans="1:12" x14ac:dyDescent="0.25">
      <c r="A492" s="304"/>
      <c r="B492" s="73"/>
      <c r="C492" s="73"/>
      <c r="D492" s="104"/>
      <c r="E492" s="122"/>
      <c r="F492" s="73" t="str">
        <f>IF(G492="KGS",IF(B492&lt;&gt;"",IFERROR(VLOOKUP(B492,ProductList!B:AO,21,FALSE),""),""),IF(D492&lt;&gt;"",IFERROR(VLOOKUP(B492,ProductList!B:AO,24,FALSE),""),""))</f>
        <v/>
      </c>
      <c r="G492" s="202"/>
      <c r="H492" s="75" t="str">
        <f>IF(G492="KGS",IF(B492&lt;&gt;"",IFERROR(ROUND(VLOOKUP(B492,ProductList!B:BG,58,FALSE),3),""),""),IF(B492&lt;&gt;"",IFERROR(ROUND(VLOOKUP(B492,ProductList!B:BG,57,FALSE),3),""),""))</f>
        <v/>
      </c>
      <c r="I492" s="75" t="str">
        <f t="shared" si="14"/>
        <v/>
      </c>
      <c r="J492" s="1" t="str">
        <f>IFERROR(VLOOKUP(B492,ProductList!B:AO,21,FALSE),"")</f>
        <v/>
      </c>
      <c r="K492" s="1" t="str">
        <f>IF(G492="KGS",IF(D492&lt;&gt;"",IFERROR(ROUND(VLOOKUP(D492,ProductList!J:BG,47,FALSE),3),""),""),IF(D492&lt;&gt;"",IFERROR(ROUND(VLOOKUP(D492,ProductList!J:BG,46,FALSE),3),""),""))</f>
        <v/>
      </c>
      <c r="L492" s="1" t="str">
        <f t="shared" si="15"/>
        <v/>
      </c>
    </row>
    <row r="493" spans="1:12" x14ac:dyDescent="0.25">
      <c r="A493" s="304"/>
      <c r="B493" s="73"/>
      <c r="C493" s="73"/>
      <c r="D493" s="104"/>
      <c r="E493" s="122"/>
      <c r="F493" s="73" t="str">
        <f>IF(G493="KGS",IF(B493&lt;&gt;"",IFERROR(VLOOKUP(B493,ProductList!B:AO,21,FALSE),""),""),IF(D493&lt;&gt;"",IFERROR(VLOOKUP(B493,ProductList!B:AO,24,FALSE),""),""))</f>
        <v/>
      </c>
      <c r="G493" s="202"/>
      <c r="H493" s="75" t="str">
        <f>IF(G493="KGS",IF(B493&lt;&gt;"",IFERROR(ROUND(VLOOKUP(B493,ProductList!B:BG,58,FALSE),3),""),""),IF(B493&lt;&gt;"",IFERROR(ROUND(VLOOKUP(B493,ProductList!B:BG,57,FALSE),3),""),""))</f>
        <v/>
      </c>
      <c r="I493" s="75" t="str">
        <f t="shared" si="14"/>
        <v/>
      </c>
      <c r="J493" s="1" t="str">
        <f>IFERROR(VLOOKUP(B493,ProductList!B:AO,21,FALSE),"")</f>
        <v/>
      </c>
      <c r="K493" s="1" t="str">
        <f>IF(G493="KGS",IF(D493&lt;&gt;"",IFERROR(ROUND(VLOOKUP(D493,ProductList!J:BG,47,FALSE),3),""),""),IF(D493&lt;&gt;"",IFERROR(ROUND(VLOOKUP(D493,ProductList!J:BG,46,FALSE),3),""),""))</f>
        <v/>
      </c>
      <c r="L493" s="1" t="str">
        <f t="shared" si="15"/>
        <v/>
      </c>
    </row>
    <row r="494" spans="1:12" x14ac:dyDescent="0.25">
      <c r="A494" s="304"/>
      <c r="B494" s="73"/>
      <c r="C494" s="73"/>
      <c r="D494" s="104"/>
      <c r="E494" s="122"/>
      <c r="F494" s="73" t="str">
        <f>IF(G494="KGS",IF(B494&lt;&gt;"",IFERROR(VLOOKUP(B494,ProductList!B:AO,21,FALSE),""),""),IF(D494&lt;&gt;"",IFERROR(VLOOKUP(B494,ProductList!B:AO,24,FALSE),""),""))</f>
        <v/>
      </c>
      <c r="G494" s="202"/>
      <c r="H494" s="75" t="str">
        <f>IF(G494="KGS",IF(B494&lt;&gt;"",IFERROR(ROUND(VLOOKUP(B494,ProductList!B:BG,58,FALSE),3),""),""),IF(B494&lt;&gt;"",IFERROR(ROUND(VLOOKUP(B494,ProductList!B:BG,57,FALSE),3),""),""))</f>
        <v/>
      </c>
      <c r="I494" s="75" t="str">
        <f t="shared" si="14"/>
        <v/>
      </c>
      <c r="J494" s="1" t="str">
        <f>IFERROR(VLOOKUP(B494,ProductList!B:AO,21,FALSE),"")</f>
        <v/>
      </c>
      <c r="K494" s="1" t="str">
        <f>IF(G494="KGS",IF(D494&lt;&gt;"",IFERROR(ROUND(VLOOKUP(D494,ProductList!J:BG,47,FALSE),3),""),""),IF(D494&lt;&gt;"",IFERROR(ROUND(VLOOKUP(D494,ProductList!J:BG,46,FALSE),3),""),""))</f>
        <v/>
      </c>
      <c r="L494" s="1" t="str">
        <f t="shared" si="15"/>
        <v/>
      </c>
    </row>
    <row r="495" spans="1:12" x14ac:dyDescent="0.25">
      <c r="A495" s="304"/>
      <c r="B495" s="73"/>
      <c r="C495" s="73"/>
      <c r="D495" s="104"/>
      <c r="E495" s="122"/>
      <c r="F495" s="73" t="str">
        <f>IF(G495="KGS",IF(B495&lt;&gt;"",IFERROR(VLOOKUP(B495,ProductList!B:AO,21,FALSE),""),""),IF(D495&lt;&gt;"",IFERROR(VLOOKUP(B495,ProductList!B:AO,24,FALSE),""),""))</f>
        <v/>
      </c>
      <c r="G495" s="202"/>
      <c r="H495" s="75" t="str">
        <f>IF(G495="KGS",IF(B495&lt;&gt;"",IFERROR(ROUND(VLOOKUP(B495,ProductList!B:BG,58,FALSE),3),""),""),IF(B495&lt;&gt;"",IFERROR(ROUND(VLOOKUP(B495,ProductList!B:BG,57,FALSE),3),""),""))</f>
        <v/>
      </c>
      <c r="I495" s="75" t="str">
        <f t="shared" si="14"/>
        <v/>
      </c>
      <c r="J495" s="1" t="str">
        <f>IFERROR(VLOOKUP(B495,ProductList!B:AO,21,FALSE),"")</f>
        <v/>
      </c>
      <c r="K495" s="1" t="str">
        <f>IF(G495="KGS",IF(D495&lt;&gt;"",IFERROR(ROUND(VLOOKUP(D495,ProductList!J:BG,47,FALSE),3),""),""),IF(D495&lt;&gt;"",IFERROR(ROUND(VLOOKUP(D495,ProductList!J:BG,46,FALSE),3),""),""))</f>
        <v/>
      </c>
      <c r="L495" s="1" t="str">
        <f t="shared" si="15"/>
        <v/>
      </c>
    </row>
    <row r="496" spans="1:12" x14ac:dyDescent="0.25">
      <c r="A496" s="304"/>
      <c r="B496" s="73"/>
      <c r="C496" s="73"/>
      <c r="D496" s="104"/>
      <c r="E496" s="122"/>
      <c r="F496" s="73" t="str">
        <f>IF(G496="KGS",IF(B496&lt;&gt;"",IFERROR(VLOOKUP(B496,ProductList!B:AO,21,FALSE),""),""),IF(D496&lt;&gt;"",IFERROR(VLOOKUP(B496,ProductList!B:AO,24,FALSE),""),""))</f>
        <v/>
      </c>
      <c r="G496" s="202"/>
      <c r="H496" s="75" t="str">
        <f>IF(G496="KGS",IF(B496&lt;&gt;"",IFERROR(ROUND(VLOOKUP(B496,ProductList!B:BG,58,FALSE),3),""),""),IF(B496&lt;&gt;"",IFERROR(ROUND(VLOOKUP(B496,ProductList!B:BG,57,FALSE),3),""),""))</f>
        <v/>
      </c>
      <c r="I496" s="75" t="str">
        <f t="shared" si="14"/>
        <v/>
      </c>
      <c r="J496" s="1" t="str">
        <f>IFERROR(VLOOKUP(B496,ProductList!B:AO,21,FALSE),"")</f>
        <v/>
      </c>
      <c r="K496" s="1" t="str">
        <f>IF(G496="KGS",IF(D496&lt;&gt;"",IFERROR(ROUND(VLOOKUP(D496,ProductList!J:BG,47,FALSE),3),""),""),IF(D496&lt;&gt;"",IFERROR(ROUND(VLOOKUP(D496,ProductList!J:BG,46,FALSE),3),""),""))</f>
        <v/>
      </c>
      <c r="L496" s="1" t="str">
        <f t="shared" si="15"/>
        <v/>
      </c>
    </row>
    <row r="497" spans="1:12" x14ac:dyDescent="0.25">
      <c r="A497" s="304"/>
      <c r="B497" s="73"/>
      <c r="C497" s="73"/>
      <c r="D497" s="104"/>
      <c r="E497" s="122"/>
      <c r="F497" s="73" t="str">
        <f>IF(G497="KGS",IF(B497&lt;&gt;"",IFERROR(VLOOKUP(B497,ProductList!B:AO,21,FALSE),""),""),IF(D497&lt;&gt;"",IFERROR(VLOOKUP(B497,ProductList!B:AO,24,FALSE),""),""))</f>
        <v/>
      </c>
      <c r="G497" s="202"/>
      <c r="H497" s="75" t="str">
        <f>IF(G497="KGS",IF(B497&lt;&gt;"",IFERROR(ROUND(VLOOKUP(B497,ProductList!B:BG,58,FALSE),3),""),""),IF(B497&lt;&gt;"",IFERROR(ROUND(VLOOKUP(B497,ProductList!B:BG,57,FALSE),3),""),""))</f>
        <v/>
      </c>
      <c r="I497" s="75" t="str">
        <f t="shared" si="14"/>
        <v/>
      </c>
      <c r="J497" s="1" t="str">
        <f>IFERROR(VLOOKUP(B497,ProductList!B:AO,21,FALSE),"")</f>
        <v/>
      </c>
      <c r="K497" s="1" t="str">
        <f>IF(G497="KGS",IF(D497&lt;&gt;"",IFERROR(ROUND(VLOOKUP(D497,ProductList!J:BG,47,FALSE),3),""),""),IF(D497&lt;&gt;"",IFERROR(ROUND(VLOOKUP(D497,ProductList!J:BG,46,FALSE),3),""),""))</f>
        <v/>
      </c>
      <c r="L497" s="1" t="str">
        <f t="shared" si="15"/>
        <v/>
      </c>
    </row>
    <row r="498" spans="1:12" x14ac:dyDescent="0.25">
      <c r="A498" s="304"/>
      <c r="B498" s="73"/>
      <c r="C498" s="73"/>
      <c r="D498" s="104"/>
      <c r="E498" s="122"/>
      <c r="F498" s="73" t="str">
        <f>IF(G498="KGS",IF(B498&lt;&gt;"",IFERROR(VLOOKUP(B498,ProductList!B:AO,21,FALSE),""),""),IF(D498&lt;&gt;"",IFERROR(VLOOKUP(B498,ProductList!B:AO,24,FALSE),""),""))</f>
        <v/>
      </c>
      <c r="G498" s="202"/>
      <c r="H498" s="75" t="str">
        <f>IF(G498="KGS",IF(B498&lt;&gt;"",IFERROR(ROUND(VLOOKUP(B498,ProductList!B:BG,58,FALSE),3),""),""),IF(B498&lt;&gt;"",IFERROR(ROUND(VLOOKUP(B498,ProductList!B:BG,57,FALSE),3),""),""))</f>
        <v/>
      </c>
      <c r="I498" s="75" t="str">
        <f t="shared" si="14"/>
        <v/>
      </c>
      <c r="J498" s="1" t="str">
        <f>IFERROR(VLOOKUP(B498,ProductList!B:AO,21,FALSE),"")</f>
        <v/>
      </c>
      <c r="K498" s="1" t="str">
        <f>IF(G498="KGS",IF(D498&lt;&gt;"",IFERROR(ROUND(VLOOKUP(D498,ProductList!J:BG,47,FALSE),3),""),""),IF(D498&lt;&gt;"",IFERROR(ROUND(VLOOKUP(D498,ProductList!J:BG,46,FALSE),3),""),""))</f>
        <v/>
      </c>
      <c r="L498" s="1" t="str">
        <f t="shared" si="15"/>
        <v/>
      </c>
    </row>
    <row r="499" spans="1:12" x14ac:dyDescent="0.25">
      <c r="E499" s="123"/>
      <c r="G499" s="12"/>
      <c r="H499" s="12"/>
      <c r="I499" s="12"/>
    </row>
    <row r="500" spans="1:12" x14ac:dyDescent="0.25">
      <c r="E500" s="123"/>
      <c r="G500" s="12"/>
      <c r="H500" s="12"/>
      <c r="I500" s="12"/>
    </row>
    <row r="501" spans="1:12" x14ac:dyDescent="0.25">
      <c r="E501" s="123"/>
      <c r="G501" s="12"/>
      <c r="H501" s="12"/>
      <c r="I501" s="12"/>
    </row>
    <row r="502" spans="1:12" x14ac:dyDescent="0.25">
      <c r="E502" s="123"/>
      <c r="G502" s="12"/>
      <c r="H502" s="12"/>
      <c r="I502" s="12"/>
    </row>
    <row r="503" spans="1:12" x14ac:dyDescent="0.25">
      <c r="E503" s="123"/>
      <c r="G503" s="12"/>
      <c r="H503" s="12"/>
      <c r="I503" s="12"/>
    </row>
    <row r="504" spans="1:12" x14ac:dyDescent="0.25">
      <c r="E504" s="123"/>
      <c r="G504" s="12"/>
      <c r="H504" s="12"/>
      <c r="I504" s="12"/>
    </row>
    <row r="505" spans="1:12" x14ac:dyDescent="0.25">
      <c r="E505" s="123"/>
      <c r="G505" s="12"/>
      <c r="H505" s="12"/>
      <c r="I505" s="12"/>
    </row>
    <row r="506" spans="1:12" x14ac:dyDescent="0.25">
      <c r="E506" s="123"/>
      <c r="G506" s="12"/>
      <c r="H506" s="12"/>
      <c r="I506" s="12"/>
    </row>
  </sheetData>
  <mergeCells count="3">
    <mergeCell ref="B1:D1"/>
    <mergeCell ref="B2:I2"/>
    <mergeCell ref="F3:G3"/>
  </mergeCells>
  <conditionalFormatting sqref="G4:G498">
    <cfRule type="expression" dxfId="2" priority="13">
      <formula>#REF!&gt;$G4</formula>
    </cfRule>
  </conditionalFormatting>
  <dataValidations count="1">
    <dataValidation type="list" allowBlank="1" showInputMessage="1" showErrorMessage="1" sqref="G4:G1048576" xr:uid="{00348F59-276C-4D82-8C4E-4B35B0580A54}">
      <formula1>"KGS,PCS,DOZ,LTR,NOS"</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FD82-3E10-4B2C-A5BF-1F6B4D506ED8}">
  <dimension ref="A2:D14"/>
  <sheetViews>
    <sheetView workbookViewId="0">
      <selection activeCell="I8" sqref="I8"/>
    </sheetView>
  </sheetViews>
  <sheetFormatPr defaultRowHeight="15" x14ac:dyDescent="0.25"/>
  <cols>
    <col min="1" max="1" width="28.28515625" bestFit="1" customWidth="1"/>
    <col min="4" max="4" width="28.28515625" bestFit="1" customWidth="1"/>
  </cols>
  <sheetData>
    <row r="2" spans="1:4" x14ac:dyDescent="0.25">
      <c r="A2" cm="1">
        <f t="array" ref="A2:A4">_xlfn._xlws.SORT(_xlfn.UNIQUE(_xlfn._xlws.FILTER(Invoice_India!C2:C142,Invoice_India!C2:C142&lt;&gt;"0")))</f>
        <v>0</v>
      </c>
      <c r="B2">
        <f>SUMIF(Invoice_India!C:C,A2,Invoice_India!F:F)</f>
        <v>94858</v>
      </c>
      <c r="C2" cm="1">
        <f t="array" ref="C2">INDEX(_xlfn._xlws.FILTER(Invoice_India!G:G,Invoice_India!C:C=A2),1)</f>
        <v>0</v>
      </c>
      <c r="D2">
        <f>ROUND(
SUMIF(Invoice_India!C:C,A2,Invoice_India!I:I)
/
SUMIF(Invoice_India!C:C,A2,Invoice_India!F:F),
3
)</f>
        <v>0.29899999999999999</v>
      </c>
    </row>
    <row r="3" spans="1:4" x14ac:dyDescent="0.25">
      <c r="A3" t="str">
        <v>CATERGORY</v>
      </c>
      <c r="B3">
        <f>SUMIF(Invoice_India!C:C,A3,Invoice_India!F:F)</f>
        <v>0</v>
      </c>
      <c r="D3" t="e">
        <f>ROUND(
SUMIF(Invoice_India!C:C,A3,Invoice_India!I:I)
/
SUMIF(Invoice_India!C:C,A3,Invoice_India!F:F),
3
)</f>
        <v>#DIV/0!</v>
      </c>
    </row>
    <row r="4" spans="1:4" x14ac:dyDescent="0.25">
      <c r="A4">
        <v>0</v>
      </c>
      <c r="B4">
        <f>SUMIF(Invoice_India!C:C,A4,Invoice_India!F:F)</f>
        <v>94858</v>
      </c>
      <c r="D4">
        <f>ROUND(
SUMIF(Invoice_India!C:C,A4,Invoice_India!I:I)
/
SUMIF(Invoice_India!C:C,A4,Invoice_India!F:F),
3
)</f>
        <v>0.29899999999999999</v>
      </c>
    </row>
    <row r="5" spans="1:4" x14ac:dyDescent="0.25">
      <c r="B5">
        <f>SUMIF(Invoice_India!C:C,A5,Invoice_India!F:F)</f>
        <v>94858</v>
      </c>
      <c r="D5">
        <f>ROUND(
SUMIF(Invoice_India!C:C,A5,Invoice_India!I:I)
/
SUMIF(Invoice_India!C:C,A5,Invoice_India!F:F),
3
)</f>
        <v>0.29899999999999999</v>
      </c>
    </row>
    <row r="6" spans="1:4" x14ac:dyDescent="0.25">
      <c r="B6">
        <f>SUMIF(Invoice_India!C:C,A6,Invoice_India!F:F)</f>
        <v>94858</v>
      </c>
      <c r="D6">
        <f>ROUND(
SUMIF(Invoice_India!C:C,A6,Invoice_India!I:I)
/
SUMIF(Invoice_India!C:C,A6,Invoice_India!F:F),
3
)</f>
        <v>0.29899999999999999</v>
      </c>
    </row>
    <row r="7" spans="1:4" x14ac:dyDescent="0.25">
      <c r="B7">
        <f>SUMIF(Invoice_India!C:C,A7,Invoice_India!F:F)</f>
        <v>94858</v>
      </c>
      <c r="D7">
        <f>ROUND(
SUMIF(Invoice_India!C:C,A7,Invoice_India!I:I)
/
SUMIF(Invoice_India!C:C,A7,Invoice_India!F:F),
3
)</f>
        <v>0.29899999999999999</v>
      </c>
    </row>
    <row r="8" spans="1:4" x14ac:dyDescent="0.25">
      <c r="B8">
        <f>SUMIF(Invoice_India!C:C,A8,Invoice_India!F:F)</f>
        <v>94858</v>
      </c>
      <c r="D8">
        <f>ROUND(
SUMIF(Invoice_India!C:C,A8,Invoice_India!I:I)
/
SUMIF(Invoice_India!C:C,A8,Invoice_India!F:F),
3
)</f>
        <v>0.29899999999999999</v>
      </c>
    </row>
    <row r="9" spans="1:4" x14ac:dyDescent="0.25">
      <c r="B9">
        <f>SUMIF(Invoice_India!C:C,A9,Invoice_India!F:F)</f>
        <v>94858</v>
      </c>
      <c r="D9">
        <f>ROUND(
SUMIF(Invoice_India!C:C,A9,Invoice_India!I:I)
/
SUMIF(Invoice_India!C:C,A9,Invoice_India!F:F),
3
)</f>
        <v>0.29899999999999999</v>
      </c>
    </row>
    <row r="10" spans="1:4" x14ac:dyDescent="0.25">
      <c r="B10">
        <f>SUMIF(Invoice_India!C:C,A10,Invoice_India!F:F)</f>
        <v>94858</v>
      </c>
      <c r="D10">
        <f>ROUND(
SUMIF(Invoice_India!C:C,A10,Invoice_India!I:I)
/
SUMIF(Invoice_India!C:C,A10,Invoice_India!F:F),
3
)</f>
        <v>0.29899999999999999</v>
      </c>
    </row>
    <row r="11" spans="1:4" x14ac:dyDescent="0.25">
      <c r="B11">
        <f>SUMIF(Invoice_India!C:C,A11,Invoice_India!F:F)</f>
        <v>94858</v>
      </c>
      <c r="D11">
        <f>ROUND(
SUMIF(Invoice_India!C:C,A11,Invoice_India!I:I)
/
SUMIF(Invoice_India!C:C,A11,Invoice_India!F:F),
3
)</f>
        <v>0.29899999999999999</v>
      </c>
    </row>
    <row r="12" spans="1:4" x14ac:dyDescent="0.25">
      <c r="B12">
        <f>SUMIF(Invoice_India!C:C,A12,Invoice_India!F:F)</f>
        <v>94858</v>
      </c>
      <c r="D12">
        <f>ROUND(
SUMIF(Invoice_India!C:C,A12,Invoice_India!I:I)
/
SUMIF(Invoice_India!C:C,A12,Invoice_India!F:F),
3
)</f>
        <v>0.29899999999999999</v>
      </c>
    </row>
    <row r="14" spans="1:4" x14ac:dyDescent="0.25">
      <c r="A14" t="e" cm="1">
        <f t="array" ref="A14">_xlfn.VSTACK(
_xlfn.SORTBY(
_xlfn._xlws.FILTER(
Invoice_India!B2:I142,
(Invoice_India!C2:C142&lt;&gt;"0")*
(Invoice_India!C2:C142&lt;&gt;"")
),
Invoice_India!C2:C142,
1
),
_xlfn.SORTBY(
_xlfn._xlws.FILTER(
Invoice_India!B2:I142,
Invoice_India!C2:C142="0"
),
Invoice_India!D2:D142,
1
)
)</f>
        <v>#VALUE!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9581-48A6-42D5-93FE-B2B63F582ED4}">
  <dimension ref="A1:I74"/>
  <sheetViews>
    <sheetView workbookViewId="0">
      <selection activeCell="H12" sqref="H12"/>
    </sheetView>
  </sheetViews>
  <sheetFormatPr defaultRowHeight="15" x14ac:dyDescent="0.25"/>
  <cols>
    <col min="1" max="1" width="41" bestFit="1" customWidth="1"/>
    <col min="2" max="2" width="19.42578125" bestFit="1" customWidth="1"/>
    <col min="3" max="3" width="28.85546875" customWidth="1"/>
    <col min="4" max="4" width="16.85546875" bestFit="1" customWidth="1"/>
    <col min="5" max="5" width="11.42578125" bestFit="1" customWidth="1"/>
    <col min="6" max="6" width="28" bestFit="1" customWidth="1"/>
    <col min="7" max="7" width="11.42578125" customWidth="1"/>
    <col min="8" max="8" width="4.28515625" bestFit="1" customWidth="1"/>
  </cols>
  <sheetData>
    <row r="1" spans="1:9" x14ac:dyDescent="0.25">
      <c r="A1" s="305" t="s">
        <v>471</v>
      </c>
      <c r="B1" t="s">
        <v>474</v>
      </c>
      <c r="C1" t="s">
        <v>480</v>
      </c>
      <c r="D1" t="s">
        <v>484</v>
      </c>
      <c r="E1" t="s">
        <v>485</v>
      </c>
      <c r="F1" t="s">
        <v>488</v>
      </c>
    </row>
    <row r="2" spans="1:9" x14ac:dyDescent="0.25">
      <c r="A2" s="306">
        <v>0</v>
      </c>
      <c r="B2">
        <v>8</v>
      </c>
      <c r="C2">
        <v>1818.1000000000001</v>
      </c>
      <c r="D2">
        <v>6970</v>
      </c>
      <c r="E2">
        <v>665.43200000000002</v>
      </c>
      <c r="F2">
        <v>466.95000000000005</v>
      </c>
      <c r="H2" s="6" t="s">
        <v>216</v>
      </c>
      <c r="I2">
        <f>IF(H2="KGS",ROUND(F2/E2,3),ROUND(F2/D2,3))</f>
        <v>6.7000000000000004E-2</v>
      </c>
    </row>
    <row r="3" spans="1:9" x14ac:dyDescent="0.25">
      <c r="A3" s="307" t="s">
        <v>505</v>
      </c>
      <c r="B3">
        <v>1</v>
      </c>
      <c r="C3">
        <v>88</v>
      </c>
      <c r="D3">
        <v>400</v>
      </c>
      <c r="E3">
        <v>56.239999999999995</v>
      </c>
      <c r="F3">
        <v>22.8</v>
      </c>
      <c r="H3" s="6" t="s">
        <v>216</v>
      </c>
      <c r="I3">
        <f t="shared" ref="I3:I66" si="0">IF(H3="KGS",ROUND(F3/E3,3),ROUND(F3/D3,3))</f>
        <v>5.7000000000000002E-2</v>
      </c>
    </row>
    <row r="4" spans="1:9" x14ac:dyDescent="0.25">
      <c r="A4" s="307" t="s">
        <v>506</v>
      </c>
      <c r="B4">
        <v>1</v>
      </c>
      <c r="C4">
        <v>264</v>
      </c>
      <c r="D4">
        <v>600</v>
      </c>
      <c r="E4">
        <v>90</v>
      </c>
      <c r="F4">
        <v>67.8</v>
      </c>
      <c r="H4" s="6" t="s">
        <v>216</v>
      </c>
      <c r="I4">
        <f t="shared" si="0"/>
        <v>0.113</v>
      </c>
    </row>
    <row r="5" spans="1:9" x14ac:dyDescent="0.25">
      <c r="A5" s="307" t="s">
        <v>507</v>
      </c>
      <c r="B5">
        <v>1</v>
      </c>
      <c r="C5">
        <v>40.5</v>
      </c>
      <c r="D5">
        <v>450</v>
      </c>
      <c r="E5">
        <v>27</v>
      </c>
      <c r="F5">
        <v>10.35</v>
      </c>
      <c r="H5" s="6" t="s">
        <v>216</v>
      </c>
      <c r="I5">
        <f t="shared" si="0"/>
        <v>2.3E-2</v>
      </c>
    </row>
    <row r="6" spans="1:9" x14ac:dyDescent="0.25">
      <c r="A6" s="307" t="s">
        <v>508</v>
      </c>
      <c r="B6">
        <v>1</v>
      </c>
      <c r="C6">
        <v>216</v>
      </c>
      <c r="D6">
        <v>1200</v>
      </c>
      <c r="E6">
        <v>99.24</v>
      </c>
      <c r="F6">
        <v>55.199999999999996</v>
      </c>
      <c r="H6" s="6" t="s">
        <v>216</v>
      </c>
      <c r="I6">
        <f t="shared" si="0"/>
        <v>4.5999999999999999E-2</v>
      </c>
    </row>
    <row r="7" spans="1:9" x14ac:dyDescent="0.25">
      <c r="A7" s="307" t="s">
        <v>509</v>
      </c>
      <c r="B7">
        <v>1</v>
      </c>
      <c r="C7">
        <v>264</v>
      </c>
      <c r="D7">
        <v>1200</v>
      </c>
      <c r="E7">
        <v>135.23999999999998</v>
      </c>
      <c r="F7">
        <v>68.400000000000006</v>
      </c>
      <c r="H7" s="6" t="s">
        <v>216</v>
      </c>
      <c r="I7">
        <f t="shared" si="0"/>
        <v>5.7000000000000002E-2</v>
      </c>
    </row>
    <row r="8" spans="1:9" x14ac:dyDescent="0.25">
      <c r="A8" s="307" t="s">
        <v>510</v>
      </c>
      <c r="B8">
        <v>1</v>
      </c>
      <c r="C8">
        <v>768</v>
      </c>
      <c r="D8">
        <v>2400</v>
      </c>
      <c r="E8">
        <v>165.6</v>
      </c>
      <c r="F8">
        <v>196.8</v>
      </c>
      <c r="H8" s="6" t="s">
        <v>216</v>
      </c>
      <c r="I8">
        <f t="shared" si="0"/>
        <v>8.2000000000000003E-2</v>
      </c>
    </row>
    <row r="9" spans="1:9" x14ac:dyDescent="0.25">
      <c r="A9" s="307" t="s">
        <v>511</v>
      </c>
      <c r="B9">
        <v>1</v>
      </c>
      <c r="C9">
        <v>134.4</v>
      </c>
      <c r="D9">
        <v>480</v>
      </c>
      <c r="E9">
        <v>56.112000000000002</v>
      </c>
      <c r="F9">
        <v>34.559999999999995</v>
      </c>
      <c r="H9" s="6" t="s">
        <v>216</v>
      </c>
      <c r="I9">
        <f t="shared" si="0"/>
        <v>7.1999999999999995E-2</v>
      </c>
    </row>
    <row r="10" spans="1:9" x14ac:dyDescent="0.25">
      <c r="A10" s="307" t="s">
        <v>502</v>
      </c>
      <c r="B10">
        <v>1</v>
      </c>
      <c r="C10">
        <v>43.2</v>
      </c>
      <c r="D10">
        <v>240</v>
      </c>
      <c r="E10">
        <v>36</v>
      </c>
      <c r="F10">
        <v>11.04</v>
      </c>
      <c r="H10" s="6" t="s">
        <v>216</v>
      </c>
      <c r="I10">
        <f t="shared" si="0"/>
        <v>4.5999999999999999E-2</v>
      </c>
    </row>
    <row r="11" spans="1:9" x14ac:dyDescent="0.25">
      <c r="A11" s="306" t="s">
        <v>472</v>
      </c>
      <c r="C11">
        <v>0</v>
      </c>
      <c r="D11">
        <v>0</v>
      </c>
      <c r="E11">
        <v>0</v>
      </c>
      <c r="F11">
        <v>0</v>
      </c>
      <c r="H11" s="6" t="s">
        <v>217</v>
      </c>
      <c r="I11" t="e">
        <f t="shared" si="0"/>
        <v>#DIV/0!</v>
      </c>
    </row>
    <row r="12" spans="1:9" x14ac:dyDescent="0.25">
      <c r="A12" s="306" t="s">
        <v>109</v>
      </c>
      <c r="B12">
        <v>2</v>
      </c>
      <c r="C12">
        <v>216</v>
      </c>
      <c r="D12">
        <v>600</v>
      </c>
      <c r="E12">
        <v>86.4</v>
      </c>
      <c r="F12">
        <v>55.8</v>
      </c>
      <c r="H12" s="6" t="s">
        <v>216</v>
      </c>
      <c r="I12">
        <f t="shared" si="0"/>
        <v>9.2999999999999999E-2</v>
      </c>
    </row>
    <row r="13" spans="1:9" x14ac:dyDescent="0.25">
      <c r="A13" s="307" t="s">
        <v>512</v>
      </c>
      <c r="B13">
        <v>1</v>
      </c>
      <c r="C13">
        <v>108</v>
      </c>
      <c r="D13">
        <v>300</v>
      </c>
      <c r="E13">
        <v>43.2</v>
      </c>
      <c r="F13">
        <v>27.9</v>
      </c>
      <c r="H13" s="6" t="s">
        <v>216</v>
      </c>
      <c r="I13">
        <f t="shared" si="0"/>
        <v>9.2999999999999999E-2</v>
      </c>
    </row>
    <row r="14" spans="1:9" x14ac:dyDescent="0.25">
      <c r="A14" s="307" t="s">
        <v>513</v>
      </c>
      <c r="B14">
        <v>1</v>
      </c>
      <c r="C14">
        <v>108</v>
      </c>
      <c r="D14">
        <v>300</v>
      </c>
      <c r="E14">
        <v>43.2</v>
      </c>
      <c r="F14">
        <v>27.9</v>
      </c>
      <c r="H14" s="6" t="s">
        <v>216</v>
      </c>
      <c r="I14">
        <f t="shared" si="0"/>
        <v>9.2999999999999999E-2</v>
      </c>
    </row>
    <row r="15" spans="1:9" x14ac:dyDescent="0.25">
      <c r="A15" s="306" t="s">
        <v>473</v>
      </c>
      <c r="B15">
        <v>10</v>
      </c>
      <c r="C15">
        <v>2034.1000000000001</v>
      </c>
      <c r="D15">
        <v>7570</v>
      </c>
      <c r="E15">
        <v>751.83200000000011</v>
      </c>
      <c r="F15">
        <v>522.75</v>
      </c>
      <c r="H15" s="6" t="s">
        <v>216</v>
      </c>
      <c r="I15">
        <f t="shared" si="0"/>
        <v>6.9000000000000006E-2</v>
      </c>
    </row>
    <row r="16" spans="1:9" x14ac:dyDescent="0.25">
      <c r="H16" s="6" t="s">
        <v>216</v>
      </c>
      <c r="I16" t="e">
        <f t="shared" si="0"/>
        <v>#DIV/0!</v>
      </c>
    </row>
    <row r="17" spans="8:9" x14ac:dyDescent="0.25">
      <c r="H17" s="6" t="s">
        <v>216</v>
      </c>
      <c r="I17" t="e">
        <f t="shared" si="0"/>
        <v>#DIV/0!</v>
      </c>
    </row>
    <row r="18" spans="8:9" x14ac:dyDescent="0.25">
      <c r="H18" s="6" t="s">
        <v>216</v>
      </c>
      <c r="I18" t="e">
        <f t="shared" si="0"/>
        <v>#DIV/0!</v>
      </c>
    </row>
    <row r="19" spans="8:9" x14ac:dyDescent="0.25">
      <c r="H19" s="6" t="s">
        <v>216</v>
      </c>
      <c r="I19" t="e">
        <f t="shared" si="0"/>
        <v>#DIV/0!</v>
      </c>
    </row>
    <row r="20" spans="8:9" x14ac:dyDescent="0.25">
      <c r="H20" s="6" t="s">
        <v>216</v>
      </c>
      <c r="I20" t="e">
        <f t="shared" si="0"/>
        <v>#DIV/0!</v>
      </c>
    </row>
    <row r="21" spans="8:9" x14ac:dyDescent="0.25">
      <c r="H21" s="6" t="s">
        <v>217</v>
      </c>
      <c r="I21" t="e">
        <f t="shared" si="0"/>
        <v>#DIV/0!</v>
      </c>
    </row>
    <row r="22" spans="8:9" x14ac:dyDescent="0.25">
      <c r="H22" s="6" t="s">
        <v>216</v>
      </c>
      <c r="I22" t="e">
        <f t="shared" si="0"/>
        <v>#DIV/0!</v>
      </c>
    </row>
    <row r="23" spans="8:9" x14ac:dyDescent="0.25">
      <c r="H23" s="6" t="s">
        <v>216</v>
      </c>
      <c r="I23" t="e">
        <f t="shared" si="0"/>
        <v>#DIV/0!</v>
      </c>
    </row>
    <row r="24" spans="8:9" x14ac:dyDescent="0.25">
      <c r="H24" s="6" t="s">
        <v>216</v>
      </c>
      <c r="I24" t="e">
        <f t="shared" si="0"/>
        <v>#DIV/0!</v>
      </c>
    </row>
    <row r="25" spans="8:9" x14ac:dyDescent="0.25">
      <c r="H25" s="6" t="s">
        <v>216</v>
      </c>
      <c r="I25" t="e">
        <f t="shared" si="0"/>
        <v>#DIV/0!</v>
      </c>
    </row>
    <row r="26" spans="8:9" x14ac:dyDescent="0.25">
      <c r="H26" s="6" t="s">
        <v>216</v>
      </c>
      <c r="I26" t="e">
        <f t="shared" si="0"/>
        <v>#DIV/0!</v>
      </c>
    </row>
    <row r="27" spans="8:9" x14ac:dyDescent="0.25">
      <c r="H27" s="6" t="s">
        <v>216</v>
      </c>
      <c r="I27" t="e">
        <f t="shared" si="0"/>
        <v>#DIV/0!</v>
      </c>
    </row>
    <row r="28" spans="8:9" x14ac:dyDescent="0.25">
      <c r="H28" s="6" t="s">
        <v>216</v>
      </c>
      <c r="I28" t="e">
        <f t="shared" si="0"/>
        <v>#DIV/0!</v>
      </c>
    </row>
    <row r="29" spans="8:9" x14ac:dyDescent="0.25">
      <c r="H29" s="6" t="s">
        <v>216</v>
      </c>
      <c r="I29" t="e">
        <f t="shared" si="0"/>
        <v>#DIV/0!</v>
      </c>
    </row>
    <row r="30" spans="8:9" x14ac:dyDescent="0.25">
      <c r="H30" s="6" t="s">
        <v>216</v>
      </c>
      <c r="I30" t="e">
        <f t="shared" si="0"/>
        <v>#DIV/0!</v>
      </c>
    </row>
    <row r="31" spans="8:9" x14ac:dyDescent="0.25">
      <c r="H31" s="6" t="s">
        <v>216</v>
      </c>
      <c r="I31" t="e">
        <f t="shared" si="0"/>
        <v>#DIV/0!</v>
      </c>
    </row>
    <row r="32" spans="8:9" x14ac:dyDescent="0.25">
      <c r="H32" s="6" t="s">
        <v>216</v>
      </c>
      <c r="I32" t="e">
        <f t="shared" si="0"/>
        <v>#DIV/0!</v>
      </c>
    </row>
    <row r="33" spans="8:9" x14ac:dyDescent="0.25">
      <c r="H33" s="6" t="s">
        <v>217</v>
      </c>
      <c r="I33" t="e">
        <f t="shared" si="0"/>
        <v>#DIV/0!</v>
      </c>
    </row>
    <row r="34" spans="8:9" x14ac:dyDescent="0.25">
      <c r="H34" s="6" t="s">
        <v>216</v>
      </c>
      <c r="I34" t="e">
        <f t="shared" si="0"/>
        <v>#DIV/0!</v>
      </c>
    </row>
    <row r="35" spans="8:9" x14ac:dyDescent="0.25">
      <c r="H35" s="6" t="s">
        <v>216</v>
      </c>
      <c r="I35" t="e">
        <f t="shared" si="0"/>
        <v>#DIV/0!</v>
      </c>
    </row>
    <row r="36" spans="8:9" x14ac:dyDescent="0.25">
      <c r="H36" s="6" t="s">
        <v>216</v>
      </c>
      <c r="I36" t="e">
        <f t="shared" si="0"/>
        <v>#DIV/0!</v>
      </c>
    </row>
    <row r="37" spans="8:9" x14ac:dyDescent="0.25">
      <c r="H37" s="6" t="s">
        <v>216</v>
      </c>
      <c r="I37" t="e">
        <f t="shared" si="0"/>
        <v>#DIV/0!</v>
      </c>
    </row>
    <row r="38" spans="8:9" x14ac:dyDescent="0.25">
      <c r="H38" s="6" t="s">
        <v>216</v>
      </c>
      <c r="I38" t="e">
        <f t="shared" si="0"/>
        <v>#DIV/0!</v>
      </c>
    </row>
    <row r="39" spans="8:9" x14ac:dyDescent="0.25">
      <c r="H39" s="6" t="s">
        <v>216</v>
      </c>
      <c r="I39" t="e">
        <f t="shared" si="0"/>
        <v>#DIV/0!</v>
      </c>
    </row>
    <row r="40" spans="8:9" x14ac:dyDescent="0.25">
      <c r="H40" s="6" t="s">
        <v>216</v>
      </c>
      <c r="I40" t="e">
        <f t="shared" si="0"/>
        <v>#DIV/0!</v>
      </c>
    </row>
    <row r="41" spans="8:9" x14ac:dyDescent="0.25">
      <c r="H41" s="6" t="s">
        <v>216</v>
      </c>
      <c r="I41" t="e">
        <f t="shared" si="0"/>
        <v>#DIV/0!</v>
      </c>
    </row>
    <row r="42" spans="8:9" x14ac:dyDescent="0.25">
      <c r="H42" s="6" t="s">
        <v>216</v>
      </c>
      <c r="I42" t="e">
        <f t="shared" si="0"/>
        <v>#DIV/0!</v>
      </c>
    </row>
    <row r="43" spans="8:9" x14ac:dyDescent="0.25">
      <c r="H43" s="6" t="s">
        <v>216</v>
      </c>
      <c r="I43" t="e">
        <f t="shared" si="0"/>
        <v>#DIV/0!</v>
      </c>
    </row>
    <row r="44" spans="8:9" x14ac:dyDescent="0.25">
      <c r="H44" s="6" t="s">
        <v>216</v>
      </c>
      <c r="I44" t="e">
        <f t="shared" si="0"/>
        <v>#DIV/0!</v>
      </c>
    </row>
    <row r="45" spans="8:9" x14ac:dyDescent="0.25">
      <c r="H45" s="6" t="s">
        <v>216</v>
      </c>
      <c r="I45" t="e">
        <f t="shared" si="0"/>
        <v>#DIV/0!</v>
      </c>
    </row>
    <row r="46" spans="8:9" x14ac:dyDescent="0.25">
      <c r="H46" s="6" t="s">
        <v>216</v>
      </c>
      <c r="I46" t="e">
        <f t="shared" si="0"/>
        <v>#DIV/0!</v>
      </c>
    </row>
    <row r="47" spans="8:9" x14ac:dyDescent="0.25">
      <c r="H47" s="6" t="s">
        <v>216</v>
      </c>
      <c r="I47" t="e">
        <f t="shared" si="0"/>
        <v>#DIV/0!</v>
      </c>
    </row>
    <row r="48" spans="8:9" x14ac:dyDescent="0.25">
      <c r="H48" s="6" t="s">
        <v>216</v>
      </c>
      <c r="I48" t="e">
        <f t="shared" si="0"/>
        <v>#DIV/0!</v>
      </c>
    </row>
    <row r="49" spans="8:9" x14ac:dyDescent="0.25">
      <c r="H49" s="6" t="s">
        <v>216</v>
      </c>
      <c r="I49" t="e">
        <f t="shared" si="0"/>
        <v>#DIV/0!</v>
      </c>
    </row>
    <row r="50" spans="8:9" x14ac:dyDescent="0.25">
      <c r="H50" s="6" t="s">
        <v>216</v>
      </c>
      <c r="I50" t="e">
        <f t="shared" si="0"/>
        <v>#DIV/0!</v>
      </c>
    </row>
    <row r="51" spans="8:9" x14ac:dyDescent="0.25">
      <c r="H51" s="6" t="s">
        <v>216</v>
      </c>
      <c r="I51" t="e">
        <f t="shared" si="0"/>
        <v>#DIV/0!</v>
      </c>
    </row>
    <row r="52" spans="8:9" x14ac:dyDescent="0.25">
      <c r="H52" s="6" t="s">
        <v>216</v>
      </c>
      <c r="I52" t="e">
        <f t="shared" si="0"/>
        <v>#DIV/0!</v>
      </c>
    </row>
    <row r="53" spans="8:9" x14ac:dyDescent="0.25">
      <c r="H53" s="6" t="s">
        <v>216</v>
      </c>
      <c r="I53" t="e">
        <f t="shared" si="0"/>
        <v>#DIV/0!</v>
      </c>
    </row>
    <row r="54" spans="8:9" x14ac:dyDescent="0.25">
      <c r="H54" s="6" t="s">
        <v>216</v>
      </c>
      <c r="I54" t="e">
        <f t="shared" si="0"/>
        <v>#DIV/0!</v>
      </c>
    </row>
    <row r="55" spans="8:9" x14ac:dyDescent="0.25">
      <c r="H55" s="6" t="s">
        <v>216</v>
      </c>
      <c r="I55" t="e">
        <f t="shared" si="0"/>
        <v>#DIV/0!</v>
      </c>
    </row>
    <row r="56" spans="8:9" x14ac:dyDescent="0.25">
      <c r="H56" s="6" t="s">
        <v>216</v>
      </c>
      <c r="I56" t="e">
        <f t="shared" si="0"/>
        <v>#DIV/0!</v>
      </c>
    </row>
    <row r="57" spans="8:9" x14ac:dyDescent="0.25">
      <c r="H57" s="6" t="s">
        <v>216</v>
      </c>
      <c r="I57" t="e">
        <f t="shared" si="0"/>
        <v>#DIV/0!</v>
      </c>
    </row>
    <row r="58" spans="8:9" x14ac:dyDescent="0.25">
      <c r="H58" s="6" t="s">
        <v>216</v>
      </c>
      <c r="I58" t="e">
        <f t="shared" si="0"/>
        <v>#DIV/0!</v>
      </c>
    </row>
    <row r="59" spans="8:9" x14ac:dyDescent="0.25">
      <c r="H59" s="6" t="s">
        <v>216</v>
      </c>
      <c r="I59" t="e">
        <f t="shared" si="0"/>
        <v>#DIV/0!</v>
      </c>
    </row>
    <row r="60" spans="8:9" x14ac:dyDescent="0.25">
      <c r="H60" s="6" t="s">
        <v>216</v>
      </c>
      <c r="I60" t="e">
        <f t="shared" si="0"/>
        <v>#DIV/0!</v>
      </c>
    </row>
    <row r="61" spans="8:9" x14ac:dyDescent="0.25">
      <c r="H61" s="6" t="s">
        <v>216</v>
      </c>
      <c r="I61" t="e">
        <f t="shared" si="0"/>
        <v>#DIV/0!</v>
      </c>
    </row>
    <row r="62" spans="8:9" x14ac:dyDescent="0.25">
      <c r="H62" s="6" t="s">
        <v>216</v>
      </c>
      <c r="I62" t="e">
        <f t="shared" si="0"/>
        <v>#DIV/0!</v>
      </c>
    </row>
    <row r="63" spans="8:9" x14ac:dyDescent="0.25">
      <c r="H63" s="6" t="s">
        <v>216</v>
      </c>
      <c r="I63" t="e">
        <f t="shared" si="0"/>
        <v>#DIV/0!</v>
      </c>
    </row>
    <row r="64" spans="8:9" x14ac:dyDescent="0.25">
      <c r="H64" s="6" t="s">
        <v>216</v>
      </c>
      <c r="I64" t="e">
        <f t="shared" si="0"/>
        <v>#DIV/0!</v>
      </c>
    </row>
    <row r="65" spans="8:9" x14ac:dyDescent="0.25">
      <c r="H65" s="6" t="s">
        <v>216</v>
      </c>
      <c r="I65" t="e">
        <f t="shared" si="0"/>
        <v>#DIV/0!</v>
      </c>
    </row>
    <row r="66" spans="8:9" x14ac:dyDescent="0.25">
      <c r="H66" s="6" t="s">
        <v>216</v>
      </c>
      <c r="I66" t="e">
        <f t="shared" si="0"/>
        <v>#DIV/0!</v>
      </c>
    </row>
    <row r="67" spans="8:9" x14ac:dyDescent="0.25">
      <c r="H67" s="6" t="s">
        <v>216</v>
      </c>
      <c r="I67" t="e">
        <f t="shared" ref="I67:I74" si="1">IF(H67="KGS",ROUND(F67/E67,3),ROUND(F67/D67,3))</f>
        <v>#DIV/0!</v>
      </c>
    </row>
    <row r="68" spans="8:9" x14ac:dyDescent="0.25">
      <c r="H68" s="6" t="s">
        <v>216</v>
      </c>
      <c r="I68" t="e">
        <f t="shared" si="1"/>
        <v>#DIV/0!</v>
      </c>
    </row>
    <row r="69" spans="8:9" x14ac:dyDescent="0.25">
      <c r="H69" s="6" t="s">
        <v>216</v>
      </c>
      <c r="I69" t="e">
        <f t="shared" si="1"/>
        <v>#DIV/0!</v>
      </c>
    </row>
    <row r="70" spans="8:9" x14ac:dyDescent="0.25">
      <c r="H70" s="6" t="s">
        <v>216</v>
      </c>
      <c r="I70" t="e">
        <f t="shared" si="1"/>
        <v>#DIV/0!</v>
      </c>
    </row>
    <row r="71" spans="8:9" x14ac:dyDescent="0.25">
      <c r="H71" s="6" t="s">
        <v>216</v>
      </c>
      <c r="I71" t="e">
        <f t="shared" si="1"/>
        <v>#DIV/0!</v>
      </c>
    </row>
    <row r="72" spans="8:9" x14ac:dyDescent="0.25">
      <c r="H72" s="6" t="s">
        <v>216</v>
      </c>
      <c r="I72" t="e">
        <f t="shared" si="1"/>
        <v>#DIV/0!</v>
      </c>
    </row>
    <row r="73" spans="8:9" x14ac:dyDescent="0.25">
      <c r="H73" s="6" t="s">
        <v>216</v>
      </c>
      <c r="I73" t="e">
        <f t="shared" si="1"/>
        <v>#DIV/0!</v>
      </c>
    </row>
    <row r="74" spans="8:9" x14ac:dyDescent="0.25">
      <c r="H74" s="6" t="s">
        <v>216</v>
      </c>
      <c r="I74" t="e">
        <f t="shared" si="1"/>
        <v>#DIV/0!</v>
      </c>
    </row>
  </sheetData>
  <conditionalFormatting sqref="H2:H74">
    <cfRule type="expression" dxfId="1" priority="1">
      <formula>#REF!&gt;$I2</formula>
    </cfRule>
  </conditionalFormatting>
  <dataValidations count="1">
    <dataValidation type="list" allowBlank="1" showInputMessage="1" showErrorMessage="1" sqref="H2:H74" xr:uid="{79FE07F1-AD7D-45E1-8D91-5C2DD2EC4C50}">
      <formula1>"KGS,PCS,DOZ,LTR,NOS"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3EFB9-0A13-43C9-BBAE-BEAFB59AC2E6}">
  <dimension ref="A1:I506"/>
  <sheetViews>
    <sheetView topLeftCell="A56" workbookViewId="0">
      <selection activeCell="D5" sqref="D5"/>
    </sheetView>
  </sheetViews>
  <sheetFormatPr defaultColWidth="9.140625" defaultRowHeight="15" x14ac:dyDescent="0.25"/>
  <cols>
    <col min="1" max="1" width="3.7109375" style="197" customWidth="1"/>
    <col min="2" max="2" width="7.140625" style="14" bestFit="1" customWidth="1"/>
    <col min="3" max="3" width="9.42578125" style="14" bestFit="1" customWidth="1"/>
    <col min="4" max="4" width="64.28515625" style="273" bestFit="1" customWidth="1"/>
    <col min="5" max="5" width="15.42578125" style="124" bestFit="1" customWidth="1"/>
    <col min="6" max="7" width="10.42578125" style="1" customWidth="1"/>
    <col min="8" max="9" width="10.42578125" style="17" customWidth="1"/>
    <col min="10" max="16384" width="9.140625" style="1"/>
  </cols>
  <sheetData>
    <row r="1" spans="1:9" s="14" customFormat="1" x14ac:dyDescent="0.25">
      <c r="A1" s="196"/>
      <c r="B1" s="427"/>
      <c r="C1" s="427"/>
      <c r="D1" s="427"/>
      <c r="E1" s="13"/>
    </row>
    <row r="2" spans="1:9" ht="15" customHeight="1" x14ac:dyDescent="0.25">
      <c r="B2" s="430" t="s">
        <v>333</v>
      </c>
      <c r="C2" s="431"/>
      <c r="D2" s="431"/>
      <c r="E2" s="431"/>
      <c r="F2" s="431"/>
      <c r="G2" s="431"/>
      <c r="H2" s="431"/>
      <c r="I2" s="432"/>
    </row>
    <row r="3" spans="1:9" s="2" customFormat="1" ht="45" customHeight="1" x14ac:dyDescent="0.25">
      <c r="A3" s="198"/>
      <c r="B3" s="3" t="s">
        <v>21</v>
      </c>
      <c r="C3" s="3" t="s">
        <v>35</v>
      </c>
      <c r="D3" s="74" t="s">
        <v>0</v>
      </c>
      <c r="E3" s="3" t="s">
        <v>283</v>
      </c>
      <c r="F3" s="433" t="s">
        <v>282</v>
      </c>
      <c r="G3" s="434"/>
      <c r="H3" s="31" t="s">
        <v>281</v>
      </c>
      <c r="I3" s="31" t="s">
        <v>281</v>
      </c>
    </row>
    <row r="4" spans="1:9" s="79" customFormat="1" x14ac:dyDescent="0.25">
      <c r="A4" s="197">
        <v>0</v>
      </c>
      <c r="B4" s="78"/>
      <c r="C4" s="78"/>
      <c r="D4" s="103"/>
      <c r="E4" s="121"/>
      <c r="F4" s="78"/>
      <c r="G4" s="202"/>
      <c r="H4" s="75" t="str">
        <f>IF(AND(F4&lt;&gt;"",G4&lt;&gt;""),G4*F4,"")</f>
        <v/>
      </c>
      <c r="I4" s="75" t="str">
        <f>IF(AND(G4&lt;&gt;"",H4&lt;&gt;""),H4*G4,"")</f>
        <v/>
      </c>
    </row>
    <row r="5" spans="1:9" x14ac:dyDescent="0.25">
      <c r="A5" s="197">
        <f t="shared" ref="A5:A68" si="0">IF(AND(D5&lt;&gt;""),IF(A4&lt;&gt;"",A4,0)+1,A4)</f>
        <v>1</v>
      </c>
      <c r="B5" s="73">
        <v>1</v>
      </c>
      <c r="C5" s="73"/>
      <c r="D5" s="104" t="s">
        <v>348</v>
      </c>
      <c r="E5" s="122" t="s">
        <v>147</v>
      </c>
      <c r="F5" s="73" t="str">
        <f>IF(G5="KGS",IF(D5&lt;&gt;"",IFERROR(VLOOKUP(D5,ProductList!J:AO,12,FALSE),""),""),IF(D5&lt;&gt;"",IFERROR(VLOOKUP(D5,ProductList!J:AO,15,FALSE),""),""))</f>
        <v/>
      </c>
      <c r="G5" s="6" t="str">
        <f>InvoiceGen!F3</f>
        <v>PCS</v>
      </c>
      <c r="H5" s="75" t="str">
        <f>IF(G5="KGS",IF(D5&lt;&gt;"",IFERROR(ROUND(VLOOKUP(D5,ProductList!J:BG,46,FALSE),3),""),""),IF(D5&lt;&gt;"",IFERROR(ROUND(VLOOKUP(D5,ProductList!J:BG,45,FALSE),3),""),""))</f>
        <v/>
      </c>
      <c r="I5" s="75" t="str">
        <f>IF(AND(F5&lt;&gt;"",H5&lt;&gt;""),ROUND(F5*H5,2),"")</f>
        <v/>
      </c>
    </row>
    <row r="6" spans="1:9" x14ac:dyDescent="0.25">
      <c r="A6" s="197">
        <f t="shared" si="0"/>
        <v>2</v>
      </c>
      <c r="B6" s="73">
        <v>2</v>
      </c>
      <c r="C6" s="73"/>
      <c r="D6" s="104" t="s">
        <v>349</v>
      </c>
      <c r="E6" s="122" t="s">
        <v>69</v>
      </c>
      <c r="F6" s="73" t="str">
        <f>IF(G6="KGS",IF(D6&lt;&gt;"",IFERROR(VLOOKUP(D6,ProductList!J:AO,12,FALSE),""),""),IF(D6&lt;&gt;"",IFERROR(VLOOKUP(D6,ProductList!J:AO,15,FALSE),""),""))</f>
        <v/>
      </c>
      <c r="G6" s="6" t="str">
        <f>InvoiceGen!F4</f>
        <v>PCS</v>
      </c>
      <c r="H6" s="75" t="str">
        <f>IF(G6="KGS",IF(D6&lt;&gt;"",IFERROR(ROUND(VLOOKUP(D6,ProductList!J:BG,46,FALSE),3),""),""),IF(D6&lt;&gt;"",IFERROR(ROUND(VLOOKUP(D6,ProductList!J:BG,45,FALSE),3),""),""))</f>
        <v/>
      </c>
      <c r="I6" s="75" t="str">
        <f t="shared" ref="I6:I69" si="1">IF(AND(F6&lt;&gt;"",H6&lt;&gt;""),ROUND(F6*H6,2),"")</f>
        <v/>
      </c>
    </row>
    <row r="7" spans="1:9" x14ac:dyDescent="0.25">
      <c r="A7" s="197">
        <f t="shared" si="0"/>
        <v>3</v>
      </c>
      <c r="B7" s="73">
        <v>3</v>
      </c>
      <c r="C7" s="73"/>
      <c r="D7" s="104" t="s">
        <v>350</v>
      </c>
      <c r="E7" s="122" t="s">
        <v>66</v>
      </c>
      <c r="F7" s="73" t="str">
        <f>IF(G7="KGS",IF(D7&lt;&gt;"",IFERROR(VLOOKUP(D7,ProductList!J:AO,12,FALSE),""),""),IF(D7&lt;&gt;"",IFERROR(VLOOKUP(D7,ProductList!J:AO,15,FALSE),""),""))</f>
        <v/>
      </c>
      <c r="G7" s="6" t="str">
        <f>InvoiceGen!F5</f>
        <v>PCS</v>
      </c>
      <c r="H7" s="75" t="str">
        <f>IF(G7="KGS",IF(D7&lt;&gt;"",IFERROR(ROUND(VLOOKUP(D7,ProductList!J:BG,46,FALSE),3),""),""),IF(D7&lt;&gt;"",IFERROR(ROUND(VLOOKUP(D7,ProductList!J:BG,45,FALSE),3),""),""))</f>
        <v/>
      </c>
      <c r="I7" s="75" t="str">
        <f t="shared" si="1"/>
        <v/>
      </c>
    </row>
    <row r="8" spans="1:9" x14ac:dyDescent="0.25">
      <c r="A8" s="197">
        <f t="shared" si="0"/>
        <v>4</v>
      </c>
      <c r="B8" s="73">
        <v>4</v>
      </c>
      <c r="C8" s="73"/>
      <c r="D8" s="104" t="s">
        <v>351</v>
      </c>
      <c r="E8" s="122" t="s">
        <v>66</v>
      </c>
      <c r="F8" s="73" t="str">
        <f>IF(G8="KGS",IF(D8&lt;&gt;"",IFERROR(VLOOKUP(D8,ProductList!J:AO,12,FALSE),""),""),IF(D8&lt;&gt;"",IFERROR(VLOOKUP(D8,ProductList!J:AO,15,FALSE),""),""))</f>
        <v/>
      </c>
      <c r="G8" s="6" t="str">
        <f>InvoiceGen!F6</f>
        <v>PCS</v>
      </c>
      <c r="H8" s="75" t="str">
        <f>IF(G8="KGS",IF(D8&lt;&gt;"",IFERROR(ROUND(VLOOKUP(D8,ProductList!J:BG,46,FALSE),3),""),""),IF(D8&lt;&gt;"",IFERROR(ROUND(VLOOKUP(D8,ProductList!J:BG,45,FALSE),3),""),""))</f>
        <v/>
      </c>
      <c r="I8" s="75" t="str">
        <f t="shared" si="1"/>
        <v/>
      </c>
    </row>
    <row r="9" spans="1:9" x14ac:dyDescent="0.25">
      <c r="A9" s="197">
        <f t="shared" si="0"/>
        <v>5</v>
      </c>
      <c r="B9" s="73">
        <v>5</v>
      </c>
      <c r="C9" s="73"/>
      <c r="D9" s="104" t="s">
        <v>352</v>
      </c>
      <c r="E9" s="122" t="s">
        <v>66</v>
      </c>
      <c r="F9" s="73" t="str">
        <f>IF(G9="KGS",IF(D9&lt;&gt;"",IFERROR(VLOOKUP(D9,ProductList!J:AO,12,FALSE),""),""),IF(D9&lt;&gt;"",IFERROR(VLOOKUP(D9,ProductList!J:AO,15,FALSE),""),""))</f>
        <v/>
      </c>
      <c r="G9" s="6" t="str">
        <f>InvoiceGen!F7</f>
        <v>PCS</v>
      </c>
      <c r="H9" s="75" t="str">
        <f>IF(G9="KGS",IF(D9&lt;&gt;"",IFERROR(ROUND(VLOOKUP(D9,ProductList!J:BG,46,FALSE),3),""),""),IF(D9&lt;&gt;"",IFERROR(ROUND(VLOOKUP(D9,ProductList!J:BG,45,FALSE),3),""),""))</f>
        <v/>
      </c>
      <c r="I9" s="75" t="str">
        <f t="shared" si="1"/>
        <v/>
      </c>
    </row>
    <row r="10" spans="1:9" x14ac:dyDescent="0.25">
      <c r="A10" s="197">
        <f t="shared" si="0"/>
        <v>6</v>
      </c>
      <c r="B10" s="73">
        <v>6</v>
      </c>
      <c r="C10" s="73"/>
      <c r="D10" s="104" t="s">
        <v>353</v>
      </c>
      <c r="E10" s="122" t="s">
        <v>66</v>
      </c>
      <c r="F10" s="73" t="str">
        <f>IF(G10="KGS",IF(D10&lt;&gt;"",IFERROR(VLOOKUP(D10,ProductList!J:AO,12,FALSE),""),""),IF(D10&lt;&gt;"",IFERROR(VLOOKUP(D10,ProductList!J:AO,15,FALSE),""),""))</f>
        <v/>
      </c>
      <c r="G10" s="6" t="str">
        <f>InvoiceGen!F8</f>
        <v>PCS</v>
      </c>
      <c r="H10" s="75" t="str">
        <f>IF(G10="KGS",IF(D10&lt;&gt;"",IFERROR(ROUND(VLOOKUP(D10,ProductList!J:BG,46,FALSE),3),""),""),IF(D10&lt;&gt;"",IFERROR(ROUND(VLOOKUP(D10,ProductList!J:BG,45,FALSE),3),""),""))</f>
        <v/>
      </c>
      <c r="I10" s="75" t="str">
        <f t="shared" si="1"/>
        <v/>
      </c>
    </row>
    <row r="11" spans="1:9" x14ac:dyDescent="0.25">
      <c r="A11" s="197">
        <f t="shared" si="0"/>
        <v>7</v>
      </c>
      <c r="B11" s="73">
        <v>7</v>
      </c>
      <c r="C11" s="73"/>
      <c r="D11" s="104" t="s">
        <v>354</v>
      </c>
      <c r="E11" s="122" t="s">
        <v>66</v>
      </c>
      <c r="F11" s="73" t="str">
        <f>IF(G11="KGS",IF(D11&lt;&gt;"",IFERROR(VLOOKUP(D11,ProductList!J:AO,12,FALSE),""),""),IF(D11&lt;&gt;"",IFERROR(VLOOKUP(D11,ProductList!J:AO,15,FALSE),""),""))</f>
        <v/>
      </c>
      <c r="G11" s="6" t="str">
        <f>InvoiceGen!F9</f>
        <v>PCS</v>
      </c>
      <c r="H11" s="75" t="str">
        <f>IF(G11="KGS",IF(D11&lt;&gt;"",IFERROR(ROUND(VLOOKUP(D11,ProductList!J:BG,46,FALSE),3),""),""),IF(D11&lt;&gt;"",IFERROR(ROUND(VLOOKUP(D11,ProductList!J:BG,45,FALSE),3),""),""))</f>
        <v/>
      </c>
      <c r="I11" s="75" t="str">
        <f t="shared" si="1"/>
        <v/>
      </c>
    </row>
    <row r="12" spans="1:9" x14ac:dyDescent="0.25">
      <c r="A12" s="197">
        <f t="shared" si="0"/>
        <v>8</v>
      </c>
      <c r="B12" s="73">
        <v>8</v>
      </c>
      <c r="C12" s="73"/>
      <c r="D12" s="104" t="s">
        <v>355</v>
      </c>
      <c r="E12" s="122" t="s">
        <v>66</v>
      </c>
      <c r="F12" s="73" t="str">
        <f>IF(G12="KGS",IF(D12&lt;&gt;"",IFERROR(VLOOKUP(D12,ProductList!J:AO,12,FALSE),""),""),IF(D12&lt;&gt;"",IFERROR(VLOOKUP(D12,ProductList!J:AO,15,FALSE),""),""))</f>
        <v/>
      </c>
      <c r="G12" s="6" t="str">
        <f>InvoiceGen!F10</f>
        <v>PCS</v>
      </c>
      <c r="H12" s="75" t="str">
        <f>IF(G12="KGS",IF(D12&lt;&gt;"",IFERROR(ROUND(VLOOKUP(D12,ProductList!J:BG,46,FALSE),3),""),""),IF(D12&lt;&gt;"",IFERROR(ROUND(VLOOKUP(D12,ProductList!J:BG,45,FALSE),3),""),""))</f>
        <v/>
      </c>
      <c r="I12" s="75" t="str">
        <f t="shared" si="1"/>
        <v/>
      </c>
    </row>
    <row r="13" spans="1:9" x14ac:dyDescent="0.25">
      <c r="A13" s="197">
        <f t="shared" si="0"/>
        <v>9</v>
      </c>
      <c r="B13" s="73">
        <v>9</v>
      </c>
      <c r="C13" s="73"/>
      <c r="D13" s="104" t="s">
        <v>356</v>
      </c>
      <c r="E13" s="122" t="s">
        <v>184</v>
      </c>
      <c r="F13" s="73" t="str">
        <f>IF(G13="KGS",IF(D13&lt;&gt;"",IFERROR(VLOOKUP(D13,ProductList!J:AO,12,FALSE),""),""),IF(D13&lt;&gt;"",IFERROR(VLOOKUP(D13,ProductList!J:AO,15,FALSE),""),""))</f>
        <v/>
      </c>
      <c r="G13" s="6" t="str">
        <f>InvoiceGen!F11</f>
        <v>PCS</v>
      </c>
      <c r="H13" s="75" t="str">
        <f>IF(G13="KGS",IF(D13&lt;&gt;"",IFERROR(ROUND(VLOOKUP(D13,ProductList!J:BG,46,FALSE),3),""),""),IF(D13&lt;&gt;"",IFERROR(ROUND(VLOOKUP(D13,ProductList!J:BG,45,FALSE),3),""),""))</f>
        <v/>
      </c>
      <c r="I13" s="75" t="str">
        <f t="shared" si="1"/>
        <v/>
      </c>
    </row>
    <row r="14" spans="1:9" x14ac:dyDescent="0.25">
      <c r="A14" s="197">
        <f t="shared" si="0"/>
        <v>10</v>
      </c>
      <c r="B14" s="73">
        <v>10</v>
      </c>
      <c r="C14" s="73"/>
      <c r="D14" s="104" t="s">
        <v>357</v>
      </c>
      <c r="E14" s="122" t="s">
        <v>64</v>
      </c>
      <c r="F14" s="73" t="str">
        <f>IF(G14="KGS",IF(D14&lt;&gt;"",IFERROR(VLOOKUP(D14,ProductList!J:AO,12,FALSE),""),""),IF(D14&lt;&gt;"",IFERROR(VLOOKUP(D14,ProductList!J:AO,15,FALSE),""),""))</f>
        <v/>
      </c>
      <c r="G14" s="6" t="str">
        <f>InvoiceGen!F12</f>
        <v>PCS</v>
      </c>
      <c r="H14" s="75" t="str">
        <f>IF(G14="KGS",IF(D14&lt;&gt;"",IFERROR(ROUND(VLOOKUP(D14,ProductList!J:BG,46,FALSE),3),""),""),IF(D14&lt;&gt;"",IFERROR(ROUND(VLOOKUP(D14,ProductList!J:BG,45,FALSE),3),""),""))</f>
        <v/>
      </c>
      <c r="I14" s="75" t="str">
        <f t="shared" si="1"/>
        <v/>
      </c>
    </row>
    <row r="15" spans="1:9" x14ac:dyDescent="0.25">
      <c r="A15" s="197">
        <f t="shared" si="0"/>
        <v>11</v>
      </c>
      <c r="B15" s="73">
        <v>11</v>
      </c>
      <c r="C15" s="73"/>
      <c r="D15" s="104" t="s">
        <v>358</v>
      </c>
      <c r="E15" s="122" t="s">
        <v>64</v>
      </c>
      <c r="F15" s="73" t="str">
        <f>IF(G15="KGS",IF(D15&lt;&gt;"",IFERROR(VLOOKUP(D15,ProductList!J:AO,12,FALSE),""),""),IF(D15&lt;&gt;"",IFERROR(VLOOKUP(D15,ProductList!J:AO,15,FALSE),""),""))</f>
        <v/>
      </c>
      <c r="G15" s="6">
        <f>InvoiceGen!F13</f>
        <v>0</v>
      </c>
      <c r="H15" s="75" t="str">
        <f>IF(G15="KGS",IF(D15&lt;&gt;"",IFERROR(ROUND(VLOOKUP(D15,ProductList!J:BG,46,FALSE),3),""),""),IF(D15&lt;&gt;"",IFERROR(ROUND(VLOOKUP(D15,ProductList!J:BG,45,FALSE),3),""),""))</f>
        <v/>
      </c>
      <c r="I15" s="75" t="str">
        <f t="shared" si="1"/>
        <v/>
      </c>
    </row>
    <row r="16" spans="1:9" x14ac:dyDescent="0.25">
      <c r="A16" s="197">
        <f t="shared" si="0"/>
        <v>12</v>
      </c>
      <c r="B16" s="73">
        <v>12</v>
      </c>
      <c r="C16" s="73"/>
      <c r="D16" s="104" t="s">
        <v>359</v>
      </c>
      <c r="E16" s="122" t="s">
        <v>64</v>
      </c>
      <c r="F16" s="73" t="str">
        <f>IF(G16="KGS",IF(D16&lt;&gt;"",IFERROR(VLOOKUP(D16,ProductList!J:AO,12,FALSE),""),""),IF(D16&lt;&gt;"",IFERROR(VLOOKUP(D16,ProductList!J:AO,15,FALSE),""),""))</f>
        <v/>
      </c>
      <c r="G16" s="6">
        <f>InvoiceGen!F14</f>
        <v>0</v>
      </c>
      <c r="H16" s="75" t="str">
        <f>IF(G16="KGS",IF(D16&lt;&gt;"",IFERROR(ROUND(VLOOKUP(D16,ProductList!J:BG,46,FALSE),3),""),""),IF(D16&lt;&gt;"",IFERROR(ROUND(VLOOKUP(D16,ProductList!J:BG,45,FALSE),3),""),""))</f>
        <v/>
      </c>
      <c r="I16" s="75" t="str">
        <f t="shared" si="1"/>
        <v/>
      </c>
    </row>
    <row r="17" spans="1:9" x14ac:dyDescent="0.25">
      <c r="A17" s="197">
        <f t="shared" si="0"/>
        <v>13</v>
      </c>
      <c r="B17" s="73">
        <v>13</v>
      </c>
      <c r="C17" s="73"/>
      <c r="D17" s="104" t="s">
        <v>360</v>
      </c>
      <c r="E17" s="122" t="s">
        <v>64</v>
      </c>
      <c r="F17" s="73" t="str">
        <f>IF(G17="KGS",IF(D17&lt;&gt;"",IFERROR(VLOOKUP(D17,ProductList!J:AO,12,FALSE),""),""),IF(D17&lt;&gt;"",IFERROR(VLOOKUP(D17,ProductList!J:AO,15,FALSE),""),""))</f>
        <v/>
      </c>
      <c r="G17" s="6">
        <f>InvoiceGen!F15</f>
        <v>0</v>
      </c>
      <c r="H17" s="75" t="str">
        <f>IF(G17="KGS",IF(D17&lt;&gt;"",IFERROR(ROUND(VLOOKUP(D17,ProductList!J:BG,46,FALSE),3),""),""),IF(D17&lt;&gt;"",IFERROR(ROUND(VLOOKUP(D17,ProductList!J:BG,45,FALSE),3),""),""))</f>
        <v/>
      </c>
      <c r="I17" s="75" t="str">
        <f t="shared" si="1"/>
        <v/>
      </c>
    </row>
    <row r="18" spans="1:9" x14ac:dyDescent="0.25">
      <c r="A18" s="197">
        <f t="shared" si="0"/>
        <v>14</v>
      </c>
      <c r="B18" s="73">
        <v>14</v>
      </c>
      <c r="C18" s="73"/>
      <c r="D18" s="104" t="s">
        <v>361</v>
      </c>
      <c r="E18" s="122" t="s">
        <v>64</v>
      </c>
      <c r="F18" s="73" t="str">
        <f>IF(G18="KGS",IF(D18&lt;&gt;"",IFERROR(VLOOKUP(D18,ProductList!J:AO,12,FALSE),""),""),IF(D18&lt;&gt;"",IFERROR(VLOOKUP(D18,ProductList!J:AO,15,FALSE),""),""))</f>
        <v/>
      </c>
      <c r="G18" s="6">
        <f>InvoiceGen!F16</f>
        <v>0</v>
      </c>
      <c r="H18" s="75" t="str">
        <f>IF(G18="KGS",IF(D18&lt;&gt;"",IFERROR(ROUND(VLOOKUP(D18,ProductList!J:BG,46,FALSE),3),""),""),IF(D18&lt;&gt;"",IFERROR(ROUND(VLOOKUP(D18,ProductList!J:BG,45,FALSE),3),""),""))</f>
        <v/>
      </c>
      <c r="I18" s="75" t="str">
        <f t="shared" si="1"/>
        <v/>
      </c>
    </row>
    <row r="19" spans="1:9" x14ac:dyDescent="0.25">
      <c r="A19" s="197">
        <f t="shared" si="0"/>
        <v>15</v>
      </c>
      <c r="B19" s="73">
        <v>15</v>
      </c>
      <c r="C19" s="73"/>
      <c r="D19" s="104" t="s">
        <v>362</v>
      </c>
      <c r="E19" s="122" t="s">
        <v>66</v>
      </c>
      <c r="F19" s="73" t="str">
        <f>IF(G19="KGS",IF(D19&lt;&gt;"",IFERROR(VLOOKUP(D19,ProductList!J:AO,12,FALSE),""),""),IF(D19&lt;&gt;"",IFERROR(VLOOKUP(D19,ProductList!J:AO,15,FALSE),""),""))</f>
        <v/>
      </c>
      <c r="G19" s="6">
        <f>InvoiceGen!F17</f>
        <v>0</v>
      </c>
      <c r="H19" s="75" t="str">
        <f>IF(G19="KGS",IF(D19&lt;&gt;"",IFERROR(ROUND(VLOOKUP(D19,ProductList!J:BG,46,FALSE),3),""),""),IF(D19&lt;&gt;"",IFERROR(ROUND(VLOOKUP(D19,ProductList!J:BG,45,FALSE),3),""),""))</f>
        <v/>
      </c>
      <c r="I19" s="75" t="str">
        <f t="shared" si="1"/>
        <v/>
      </c>
    </row>
    <row r="20" spans="1:9" x14ac:dyDescent="0.25">
      <c r="A20" s="197">
        <f t="shared" si="0"/>
        <v>16</v>
      </c>
      <c r="B20" s="73">
        <v>16</v>
      </c>
      <c r="C20" s="73"/>
      <c r="D20" s="104" t="s">
        <v>363</v>
      </c>
      <c r="E20" s="122" t="s">
        <v>65</v>
      </c>
      <c r="F20" s="73" t="str">
        <f>IF(G20="KGS",IF(D20&lt;&gt;"",IFERROR(VLOOKUP(D20,ProductList!J:AO,12,FALSE),""),""),IF(D20&lt;&gt;"",IFERROR(VLOOKUP(D20,ProductList!J:AO,15,FALSE),""),""))</f>
        <v/>
      </c>
      <c r="G20" s="6">
        <f>InvoiceGen!F18</f>
        <v>0</v>
      </c>
      <c r="H20" s="75" t="str">
        <f>IF(G20="KGS",IF(D20&lt;&gt;"",IFERROR(ROUND(VLOOKUP(D20,ProductList!J:BG,46,FALSE),3),""),""),IF(D20&lt;&gt;"",IFERROR(ROUND(VLOOKUP(D20,ProductList!J:BG,45,FALSE),3),""),""))</f>
        <v/>
      </c>
      <c r="I20" s="75" t="str">
        <f t="shared" si="1"/>
        <v/>
      </c>
    </row>
    <row r="21" spans="1:9" x14ac:dyDescent="0.25">
      <c r="A21" s="197">
        <f t="shared" si="0"/>
        <v>17</v>
      </c>
      <c r="B21" s="73">
        <v>17</v>
      </c>
      <c r="C21" s="73"/>
      <c r="D21" s="104" t="s">
        <v>374</v>
      </c>
      <c r="E21" s="122" t="s">
        <v>65</v>
      </c>
      <c r="F21" s="73" t="str">
        <f>IF(G21="KGS",IF(D21&lt;&gt;"",IFERROR(VLOOKUP(D21,ProductList!J:AO,12,FALSE),""),""),IF(D21&lt;&gt;"",IFERROR(VLOOKUP(D21,ProductList!J:AO,15,FALSE),""),""))</f>
        <v/>
      </c>
      <c r="G21" s="6">
        <f>InvoiceGen!F19</f>
        <v>0</v>
      </c>
      <c r="H21" s="75" t="str">
        <f>IF(G21="KGS",IF(D21&lt;&gt;"",IFERROR(ROUND(VLOOKUP(D21,ProductList!J:BG,46,FALSE),3),""),""),IF(D21&lt;&gt;"",IFERROR(ROUND(VLOOKUP(D21,ProductList!J:BG,45,FALSE),3),""),""))</f>
        <v/>
      </c>
      <c r="I21" s="75" t="str">
        <f t="shared" si="1"/>
        <v/>
      </c>
    </row>
    <row r="22" spans="1:9" x14ac:dyDescent="0.25">
      <c r="A22" s="197">
        <f t="shared" si="0"/>
        <v>18</v>
      </c>
      <c r="B22" s="73">
        <v>18</v>
      </c>
      <c r="C22" s="73"/>
      <c r="D22" s="104" t="s">
        <v>364</v>
      </c>
      <c r="E22" s="122" t="s">
        <v>164</v>
      </c>
      <c r="F22" s="73" t="str">
        <f>IF(G22="KGS",IF(D22&lt;&gt;"",IFERROR(VLOOKUP(D22,ProductList!J:AO,12,FALSE),""),""),IF(D22&lt;&gt;"",IFERROR(VLOOKUP(D22,ProductList!J:AO,15,FALSE),""),""))</f>
        <v/>
      </c>
      <c r="G22" s="6">
        <f>InvoiceGen!F20</f>
        <v>0</v>
      </c>
      <c r="H22" s="75" t="str">
        <f>IF(G22="KGS",IF(D22&lt;&gt;"",IFERROR(ROUND(VLOOKUP(D22,ProductList!J:BG,46,FALSE),3),""),""),IF(D22&lt;&gt;"",IFERROR(ROUND(VLOOKUP(D22,ProductList!J:BG,45,FALSE),3),""),""))</f>
        <v/>
      </c>
      <c r="I22" s="75" t="str">
        <f t="shared" si="1"/>
        <v/>
      </c>
    </row>
    <row r="23" spans="1:9" x14ac:dyDescent="0.25">
      <c r="A23" s="197">
        <f t="shared" si="0"/>
        <v>19</v>
      </c>
      <c r="B23" s="73">
        <v>19</v>
      </c>
      <c r="C23" s="73"/>
      <c r="D23" s="104" t="s">
        <v>365</v>
      </c>
      <c r="E23" s="122" t="s">
        <v>467</v>
      </c>
      <c r="F23" s="73" t="str">
        <f>IF(G23="KGS",IF(D23&lt;&gt;"",IFERROR(VLOOKUP(D23,ProductList!J:AO,12,FALSE),""),""),IF(D23&lt;&gt;"",IFERROR(VLOOKUP(D23,ProductList!J:AO,15,FALSE),""),""))</f>
        <v/>
      </c>
      <c r="G23" s="6">
        <f>InvoiceGen!F21</f>
        <v>0</v>
      </c>
      <c r="H23" s="75" t="str">
        <f>IF(G23="KGS",IF(D23&lt;&gt;"",IFERROR(ROUND(VLOOKUP(D23,ProductList!J:BG,46,FALSE),3),""),""),IF(D23&lt;&gt;"",IFERROR(ROUND(VLOOKUP(D23,ProductList!J:BG,45,FALSE),3),""),""))</f>
        <v/>
      </c>
      <c r="I23" s="75" t="str">
        <f t="shared" si="1"/>
        <v/>
      </c>
    </row>
    <row r="24" spans="1:9" x14ac:dyDescent="0.25">
      <c r="A24" s="197">
        <f t="shared" si="0"/>
        <v>20</v>
      </c>
      <c r="B24" s="73">
        <v>20</v>
      </c>
      <c r="C24" s="73"/>
      <c r="D24" s="104" t="s">
        <v>366</v>
      </c>
      <c r="E24" s="122" t="s">
        <v>66</v>
      </c>
      <c r="F24" s="73" t="str">
        <f>IF(G24="KGS",IF(D24&lt;&gt;"",IFERROR(VLOOKUP(D24,ProductList!J:AO,12,FALSE),""),""),IF(D24&lt;&gt;"",IFERROR(VLOOKUP(D24,ProductList!J:AO,15,FALSE),""),""))</f>
        <v/>
      </c>
      <c r="G24" s="6">
        <f>InvoiceGen!F22</f>
        <v>0</v>
      </c>
      <c r="H24" s="75" t="str">
        <f>IF(G24="KGS",IF(D24&lt;&gt;"",IFERROR(ROUND(VLOOKUP(D24,ProductList!J:BG,46,FALSE),3),""),""),IF(D24&lt;&gt;"",IFERROR(ROUND(VLOOKUP(D24,ProductList!J:BG,45,FALSE),3),""),""))</f>
        <v/>
      </c>
      <c r="I24" s="75" t="str">
        <f t="shared" si="1"/>
        <v/>
      </c>
    </row>
    <row r="25" spans="1:9" x14ac:dyDescent="0.25">
      <c r="A25" s="197">
        <f t="shared" si="0"/>
        <v>21</v>
      </c>
      <c r="B25" s="73">
        <v>21</v>
      </c>
      <c r="C25" s="73"/>
      <c r="D25" s="104" t="s">
        <v>367</v>
      </c>
      <c r="E25" s="122" t="s">
        <v>240</v>
      </c>
      <c r="F25" s="73" t="str">
        <f>IF(G25="KGS",IF(D25&lt;&gt;"",IFERROR(VLOOKUP(D25,ProductList!J:AO,12,FALSE),""),""),IF(D25&lt;&gt;"",IFERROR(VLOOKUP(D25,ProductList!J:AO,15,FALSE),""),""))</f>
        <v/>
      </c>
      <c r="G25" s="6">
        <f>InvoiceGen!F23</f>
        <v>0</v>
      </c>
      <c r="H25" s="75" t="str">
        <f>IF(G25="KGS",IF(D25&lt;&gt;"",IFERROR(ROUND(VLOOKUP(D25,ProductList!J:BG,46,FALSE),3),""),""),IF(D25&lt;&gt;"",IFERROR(ROUND(VLOOKUP(D25,ProductList!J:BG,45,FALSE),3),""),""))</f>
        <v/>
      </c>
      <c r="I25" s="75" t="str">
        <f t="shared" si="1"/>
        <v/>
      </c>
    </row>
    <row r="26" spans="1:9" x14ac:dyDescent="0.25">
      <c r="A26" s="197">
        <f t="shared" si="0"/>
        <v>22</v>
      </c>
      <c r="B26" s="73">
        <v>22</v>
      </c>
      <c r="C26" s="73"/>
      <c r="D26" s="104" t="s">
        <v>368</v>
      </c>
      <c r="E26" s="122" t="s">
        <v>240</v>
      </c>
      <c r="F26" s="73" t="str">
        <f>IF(G26="KGS",IF(D26&lt;&gt;"",IFERROR(VLOOKUP(D26,ProductList!J:AO,12,FALSE),""),""),IF(D26&lt;&gt;"",IFERROR(VLOOKUP(D26,ProductList!J:AO,15,FALSE),""),""))</f>
        <v/>
      </c>
      <c r="G26" s="6">
        <f>InvoiceGen!F24</f>
        <v>0</v>
      </c>
      <c r="H26" s="75" t="str">
        <f>IF(G26="KGS",IF(D26&lt;&gt;"",IFERROR(ROUND(VLOOKUP(D26,ProductList!J:BG,46,FALSE),3),""),""),IF(D26&lt;&gt;"",IFERROR(ROUND(VLOOKUP(D26,ProductList!J:BG,45,FALSE),3),""),""))</f>
        <v/>
      </c>
      <c r="I26" s="75" t="str">
        <f t="shared" si="1"/>
        <v/>
      </c>
    </row>
    <row r="27" spans="1:9" x14ac:dyDescent="0.25">
      <c r="A27" s="197">
        <f t="shared" si="0"/>
        <v>23</v>
      </c>
      <c r="B27" s="73">
        <v>23</v>
      </c>
      <c r="C27" s="73"/>
      <c r="D27" s="104" t="s">
        <v>376</v>
      </c>
      <c r="E27" s="122" t="s">
        <v>240</v>
      </c>
      <c r="F27" s="73" t="str">
        <f>IF(G27="KGS",IF(D27&lt;&gt;"",IFERROR(VLOOKUP(D27,ProductList!J:AO,12,FALSE),""),""),IF(D27&lt;&gt;"",IFERROR(VLOOKUP(D27,ProductList!J:AO,15,FALSE),""),""))</f>
        <v/>
      </c>
      <c r="G27" s="6">
        <f>InvoiceGen!F25</f>
        <v>0</v>
      </c>
      <c r="H27" s="75" t="str">
        <f>IF(G27="KGS",IF(D27&lt;&gt;"",IFERROR(ROUND(VLOOKUP(D27,ProductList!J:BG,46,FALSE),3),""),""),IF(D27&lt;&gt;"",IFERROR(ROUND(VLOOKUP(D27,ProductList!J:BG,45,FALSE),3),""),""))</f>
        <v/>
      </c>
      <c r="I27" s="75" t="str">
        <f t="shared" si="1"/>
        <v/>
      </c>
    </row>
    <row r="28" spans="1:9" x14ac:dyDescent="0.25">
      <c r="A28" s="197">
        <f t="shared" si="0"/>
        <v>24</v>
      </c>
      <c r="B28" s="73">
        <v>24</v>
      </c>
      <c r="C28" s="73"/>
      <c r="D28" s="104" t="s">
        <v>368</v>
      </c>
      <c r="E28" s="122" t="s">
        <v>240</v>
      </c>
      <c r="F28" s="73" t="str">
        <f>IF(G28="KGS",IF(D28&lt;&gt;"",IFERROR(VLOOKUP(D28,ProductList!J:AO,12,FALSE),""),""),IF(D28&lt;&gt;"",IFERROR(VLOOKUP(D28,ProductList!J:AO,15,FALSE),""),""))</f>
        <v/>
      </c>
      <c r="G28" s="6">
        <f>InvoiceGen!F26</f>
        <v>0</v>
      </c>
      <c r="H28" s="75" t="str">
        <f>IF(G28="KGS",IF(D28&lt;&gt;"",IFERROR(ROUND(VLOOKUP(D28,ProductList!J:BG,46,FALSE),3),""),""),IF(D28&lt;&gt;"",IFERROR(ROUND(VLOOKUP(D28,ProductList!J:BG,45,FALSE),3),""),""))</f>
        <v/>
      </c>
      <c r="I28" s="75" t="str">
        <f t="shared" si="1"/>
        <v/>
      </c>
    </row>
    <row r="29" spans="1:9" x14ac:dyDescent="0.25">
      <c r="A29" s="197">
        <f t="shared" si="0"/>
        <v>25</v>
      </c>
      <c r="B29" s="73">
        <v>25</v>
      </c>
      <c r="C29" s="73"/>
      <c r="D29" s="104" t="s">
        <v>466</v>
      </c>
      <c r="E29" s="122" t="s">
        <v>240</v>
      </c>
      <c r="F29" s="73" t="str">
        <f>IF(G29="KGS",IF(D29&lt;&gt;"",IFERROR(VLOOKUP(D29,ProductList!J:AO,12,FALSE),""),""),IF(D29&lt;&gt;"",IFERROR(VLOOKUP(D29,ProductList!J:AO,15,FALSE),""),""))</f>
        <v/>
      </c>
      <c r="G29" s="6">
        <f>InvoiceGen!F27</f>
        <v>0</v>
      </c>
      <c r="H29" s="75" t="str">
        <f>IF(G29="KGS",IF(D29&lt;&gt;"",IFERROR(ROUND(VLOOKUP(D29,ProductList!J:BG,46,FALSE),3),""),""),IF(D29&lt;&gt;"",IFERROR(ROUND(VLOOKUP(D29,ProductList!J:BG,45,FALSE),3),""),""))</f>
        <v/>
      </c>
      <c r="I29" s="75" t="str">
        <f t="shared" si="1"/>
        <v/>
      </c>
    </row>
    <row r="30" spans="1:9" x14ac:dyDescent="0.25">
      <c r="A30" s="197">
        <f t="shared" si="0"/>
        <v>26</v>
      </c>
      <c r="B30" s="73">
        <v>26</v>
      </c>
      <c r="C30" s="73"/>
      <c r="D30" s="104" t="s">
        <v>369</v>
      </c>
      <c r="E30" s="122" t="s">
        <v>62</v>
      </c>
      <c r="F30" s="73" t="str">
        <f>IF(G30="KGS",IF(D30&lt;&gt;"",IFERROR(VLOOKUP(D30,ProductList!J:AO,12,FALSE),""),""),IF(D30&lt;&gt;"",IFERROR(VLOOKUP(D30,ProductList!J:AO,15,FALSE),""),""))</f>
        <v/>
      </c>
      <c r="G30" s="6">
        <f>InvoiceGen!F28</f>
        <v>0</v>
      </c>
      <c r="H30" s="75" t="str">
        <f>IF(G30="KGS",IF(D30&lt;&gt;"",IFERROR(ROUND(VLOOKUP(D30,ProductList!J:BG,46,FALSE),3),""),""),IF(D30&lt;&gt;"",IFERROR(ROUND(VLOOKUP(D30,ProductList!J:BG,45,FALSE),3),""),""))</f>
        <v/>
      </c>
      <c r="I30" s="75" t="str">
        <f t="shared" si="1"/>
        <v/>
      </c>
    </row>
    <row r="31" spans="1:9" x14ac:dyDescent="0.25">
      <c r="A31" s="197">
        <f t="shared" si="0"/>
        <v>27</v>
      </c>
      <c r="B31" s="73">
        <v>27</v>
      </c>
      <c r="C31" s="73"/>
      <c r="D31" s="104" t="s">
        <v>370</v>
      </c>
      <c r="E31" s="122" t="s">
        <v>62</v>
      </c>
      <c r="F31" s="73" t="str">
        <f>IF(G31="KGS",IF(D31&lt;&gt;"",IFERROR(VLOOKUP(D31,ProductList!J:AO,12,FALSE),""),""),IF(D31&lt;&gt;"",IFERROR(VLOOKUP(D31,ProductList!J:AO,15,FALSE),""),""))</f>
        <v/>
      </c>
      <c r="G31" s="6">
        <f>InvoiceGen!F29</f>
        <v>0</v>
      </c>
      <c r="H31" s="75" t="str">
        <f>IF(G31="KGS",IF(D31&lt;&gt;"",IFERROR(ROUND(VLOOKUP(D31,ProductList!J:BG,46,FALSE),3),""),""),IF(D31&lt;&gt;"",IFERROR(ROUND(VLOOKUP(D31,ProductList!J:BG,45,FALSE),3),""),""))</f>
        <v/>
      </c>
      <c r="I31" s="75" t="str">
        <f t="shared" si="1"/>
        <v/>
      </c>
    </row>
    <row r="32" spans="1:9" x14ac:dyDescent="0.25">
      <c r="A32" s="197">
        <f t="shared" si="0"/>
        <v>28</v>
      </c>
      <c r="B32" s="73">
        <v>28</v>
      </c>
      <c r="C32" s="73"/>
      <c r="D32" s="104" t="s">
        <v>371</v>
      </c>
      <c r="E32" s="122" t="s">
        <v>62</v>
      </c>
      <c r="F32" s="73" t="str">
        <f>IF(G32="KGS",IF(D32&lt;&gt;"",IFERROR(VLOOKUP(D32,ProductList!J:AO,12,FALSE),""),""),IF(D32&lt;&gt;"",IFERROR(VLOOKUP(D32,ProductList!J:AO,15,FALSE),""),""))</f>
        <v/>
      </c>
      <c r="G32" s="6">
        <f>InvoiceGen!F30</f>
        <v>0</v>
      </c>
      <c r="H32" s="75" t="str">
        <f>IF(G32="KGS",IF(D32&lt;&gt;"",IFERROR(ROUND(VLOOKUP(D32,ProductList!J:BG,46,FALSE),3),""),""),IF(D32&lt;&gt;"",IFERROR(ROUND(VLOOKUP(D32,ProductList!J:BG,45,FALSE),3),""),""))</f>
        <v/>
      </c>
      <c r="I32" s="75" t="str">
        <f t="shared" si="1"/>
        <v/>
      </c>
    </row>
    <row r="33" spans="1:9" x14ac:dyDescent="0.25">
      <c r="A33" s="197">
        <f t="shared" si="0"/>
        <v>29</v>
      </c>
      <c r="B33" s="73">
        <v>29</v>
      </c>
      <c r="C33" s="73"/>
      <c r="D33" s="104" t="s">
        <v>372</v>
      </c>
      <c r="E33" s="122" t="s">
        <v>62</v>
      </c>
      <c r="F33" s="73" t="str">
        <f>IF(G33="KGS",IF(D33&lt;&gt;"",IFERROR(VLOOKUP(D33,ProductList!J:AO,12,FALSE),""),""),IF(D33&lt;&gt;"",IFERROR(VLOOKUP(D33,ProductList!J:AO,15,FALSE),""),""))</f>
        <v/>
      </c>
      <c r="G33" s="6">
        <f>InvoiceGen!F31</f>
        <v>0</v>
      </c>
      <c r="H33" s="75" t="str">
        <f>IF(G33="KGS",IF(D33&lt;&gt;"",IFERROR(ROUND(VLOOKUP(D33,ProductList!J:BG,46,FALSE),3),""),""),IF(D33&lt;&gt;"",IFERROR(ROUND(VLOOKUP(D33,ProductList!J:BG,45,FALSE),3),""),""))</f>
        <v/>
      </c>
      <c r="I33" s="75" t="str">
        <f t="shared" si="1"/>
        <v/>
      </c>
    </row>
    <row r="34" spans="1:9" x14ac:dyDescent="0.25">
      <c r="A34" s="197">
        <f t="shared" si="0"/>
        <v>30</v>
      </c>
      <c r="B34" s="73">
        <v>30</v>
      </c>
      <c r="C34" s="73"/>
      <c r="D34" s="104" t="s">
        <v>373</v>
      </c>
      <c r="E34" s="122" t="s">
        <v>62</v>
      </c>
      <c r="F34" s="73" t="str">
        <f>IF(G34="KGS",IF(D34&lt;&gt;"",IFERROR(VLOOKUP(D34,ProductList!J:AO,12,FALSE),""),""),IF(D34&lt;&gt;"",IFERROR(VLOOKUP(D34,ProductList!J:AO,15,FALSE),""),""))</f>
        <v/>
      </c>
      <c r="G34" s="6">
        <f>InvoiceGen!F32</f>
        <v>0</v>
      </c>
      <c r="H34" s="75" t="str">
        <f>IF(G34="KGS",IF(D34&lt;&gt;"",IFERROR(ROUND(VLOOKUP(D34,ProductList!J:BG,46,FALSE),3),""),""),IF(D34&lt;&gt;"",IFERROR(ROUND(VLOOKUP(D34,ProductList!J:BG,45,FALSE),3),""),""))</f>
        <v/>
      </c>
      <c r="I34" s="75" t="str">
        <f t="shared" si="1"/>
        <v/>
      </c>
    </row>
    <row r="35" spans="1:9" x14ac:dyDescent="0.25">
      <c r="A35" s="197">
        <f t="shared" si="0"/>
        <v>31</v>
      </c>
      <c r="B35" s="73">
        <v>31</v>
      </c>
      <c r="C35" s="73"/>
      <c r="D35" s="104" t="s">
        <v>375</v>
      </c>
      <c r="E35" s="122" t="s">
        <v>63</v>
      </c>
      <c r="F35" s="73" t="str">
        <f>IF(G35="KGS",IF(D35&lt;&gt;"",IFERROR(VLOOKUP(D35,ProductList!J:AO,12,FALSE),""),""),IF(D35&lt;&gt;"",IFERROR(VLOOKUP(D35,ProductList!J:AO,15,FALSE),""),""))</f>
        <v/>
      </c>
      <c r="G35" s="6">
        <f>InvoiceGen!F33</f>
        <v>0</v>
      </c>
      <c r="H35" s="75" t="str">
        <f>IF(G35="KGS",IF(D35&lt;&gt;"",IFERROR(ROUND(VLOOKUP(D35,ProductList!J:BG,46,FALSE),3),""),""),IF(D35&lt;&gt;"",IFERROR(ROUND(VLOOKUP(D35,ProductList!J:BG,45,FALSE),3),""),""))</f>
        <v/>
      </c>
      <c r="I35" s="75" t="str">
        <f t="shared" si="1"/>
        <v/>
      </c>
    </row>
    <row r="36" spans="1:9" x14ac:dyDescent="0.25">
      <c r="A36" s="197">
        <f t="shared" si="0"/>
        <v>32</v>
      </c>
      <c r="B36" s="73">
        <v>32</v>
      </c>
      <c r="C36" s="73"/>
      <c r="D36" s="104" t="s">
        <v>377</v>
      </c>
      <c r="E36" s="122" t="s">
        <v>66</v>
      </c>
      <c r="F36" s="73" t="str">
        <f>IF(G36="KGS",IF(D36&lt;&gt;"",IFERROR(VLOOKUP(D36,ProductList!J:AO,12,FALSE),""),""),IF(D36&lt;&gt;"",IFERROR(VLOOKUP(D36,ProductList!J:AO,15,FALSE),""),""))</f>
        <v/>
      </c>
      <c r="G36" s="6">
        <f>InvoiceGen!F34</f>
        <v>0</v>
      </c>
      <c r="H36" s="75" t="str">
        <f>IF(G36="KGS",IF(D36&lt;&gt;"",IFERROR(ROUND(VLOOKUP(D36,ProductList!J:BG,46,FALSE),3),""),""),IF(D36&lt;&gt;"",IFERROR(ROUND(VLOOKUP(D36,ProductList!J:BG,45,FALSE),3),""),""))</f>
        <v/>
      </c>
      <c r="I36" s="75" t="str">
        <f t="shared" si="1"/>
        <v/>
      </c>
    </row>
    <row r="37" spans="1:9" x14ac:dyDescent="0.25">
      <c r="A37" s="197">
        <f t="shared" si="0"/>
        <v>33</v>
      </c>
      <c r="B37" s="73">
        <v>33</v>
      </c>
      <c r="C37" s="73"/>
      <c r="D37" s="104" t="s">
        <v>489</v>
      </c>
      <c r="E37" s="122" t="s">
        <v>67</v>
      </c>
      <c r="F37" s="73" t="str">
        <f>IF(G37="KGS",IF(D37&lt;&gt;"",IFERROR(VLOOKUP(D37,ProductList!J:AO,12,FALSE),""),""),IF(D37&lt;&gt;"",IFERROR(VLOOKUP(D37,ProductList!J:AO,15,FALSE),""),""))</f>
        <v/>
      </c>
      <c r="G37" s="6">
        <f>InvoiceGen!F35</f>
        <v>0</v>
      </c>
      <c r="H37" s="75" t="str">
        <f>IF(G37="KGS",IF(D37&lt;&gt;"",IFERROR(ROUND(VLOOKUP(D37,ProductList!J:BG,46,FALSE),3),""),""),IF(D37&lt;&gt;"",IFERROR(ROUND(VLOOKUP(D37,ProductList!J:BG,45,FALSE),3),""),""))</f>
        <v/>
      </c>
      <c r="I37" s="75" t="str">
        <f t="shared" si="1"/>
        <v/>
      </c>
    </row>
    <row r="38" spans="1:9" x14ac:dyDescent="0.25">
      <c r="A38" s="197">
        <f t="shared" si="0"/>
        <v>34</v>
      </c>
      <c r="B38" s="73">
        <v>34</v>
      </c>
      <c r="C38" s="73"/>
      <c r="D38" s="104" t="s">
        <v>409</v>
      </c>
      <c r="E38" s="122" t="s">
        <v>67</v>
      </c>
      <c r="F38" s="73" t="str">
        <f>IF(G38="KGS",IF(D38&lt;&gt;"",IFERROR(VLOOKUP(D38,ProductList!J:AO,12,FALSE),""),""),IF(D38&lt;&gt;"",IFERROR(VLOOKUP(D38,ProductList!J:AO,15,FALSE),""),""))</f>
        <v/>
      </c>
      <c r="G38" s="6">
        <f>InvoiceGen!F36</f>
        <v>0</v>
      </c>
      <c r="H38" s="75" t="str">
        <f>IF(G38="KGS",IF(D38&lt;&gt;"",IFERROR(ROUND(VLOOKUP(D38,ProductList!J:BG,46,FALSE),3),""),""),IF(D38&lt;&gt;"",IFERROR(ROUND(VLOOKUP(D38,ProductList!J:BG,45,FALSE),3),""),""))</f>
        <v/>
      </c>
      <c r="I38" s="75" t="str">
        <f t="shared" si="1"/>
        <v/>
      </c>
    </row>
    <row r="39" spans="1:9" x14ac:dyDescent="0.25">
      <c r="A39" s="197">
        <f t="shared" si="0"/>
        <v>35</v>
      </c>
      <c r="B39" s="73">
        <v>35</v>
      </c>
      <c r="C39" s="73"/>
      <c r="D39" s="104" t="s">
        <v>338</v>
      </c>
      <c r="E39" s="122" t="s">
        <v>67</v>
      </c>
      <c r="F39" s="73" t="str">
        <f>IF(G39="KGS",IF(D39&lt;&gt;"",IFERROR(VLOOKUP(D39,ProductList!J:AO,12,FALSE),""),""),IF(D39&lt;&gt;"",IFERROR(VLOOKUP(D39,ProductList!J:AO,15,FALSE),""),""))</f>
        <v/>
      </c>
      <c r="G39" s="6">
        <f>InvoiceGen!F37</f>
        <v>0</v>
      </c>
      <c r="H39" s="75" t="str">
        <f>IF(G39="KGS",IF(D39&lt;&gt;"",IFERROR(ROUND(VLOOKUP(D39,ProductList!J:BG,46,FALSE),3),""),""),IF(D39&lt;&gt;"",IFERROR(ROUND(VLOOKUP(D39,ProductList!J:BG,45,FALSE),3),""),""))</f>
        <v/>
      </c>
      <c r="I39" s="75" t="str">
        <f t="shared" si="1"/>
        <v/>
      </c>
    </row>
    <row r="40" spans="1:9" x14ac:dyDescent="0.25">
      <c r="A40" s="197">
        <f t="shared" si="0"/>
        <v>36</v>
      </c>
      <c r="B40" s="73">
        <v>36</v>
      </c>
      <c r="C40" s="73"/>
      <c r="D40" s="104" t="s">
        <v>340</v>
      </c>
      <c r="E40" s="122" t="s">
        <v>67</v>
      </c>
      <c r="F40" s="73" t="str">
        <f>IF(G40="KGS",IF(D40&lt;&gt;"",IFERROR(VLOOKUP(D40,ProductList!J:AO,12,FALSE),""),""),IF(D40&lt;&gt;"",IFERROR(VLOOKUP(D40,ProductList!J:AO,15,FALSE),""),""))</f>
        <v/>
      </c>
      <c r="G40" s="6">
        <f>InvoiceGen!F38</f>
        <v>0</v>
      </c>
      <c r="H40" s="75" t="str">
        <f>IF(G40="KGS",IF(D40&lt;&gt;"",IFERROR(ROUND(VLOOKUP(D40,ProductList!J:BG,46,FALSE),3),""),""),IF(D40&lt;&gt;"",IFERROR(ROUND(VLOOKUP(D40,ProductList!J:BG,45,FALSE),3),""),""))</f>
        <v/>
      </c>
      <c r="I40" s="75" t="str">
        <f t="shared" si="1"/>
        <v/>
      </c>
    </row>
    <row r="41" spans="1:9" x14ac:dyDescent="0.25">
      <c r="A41" s="197">
        <f t="shared" si="0"/>
        <v>37</v>
      </c>
      <c r="B41" s="73">
        <v>37</v>
      </c>
      <c r="C41" s="73"/>
      <c r="D41" s="104" t="s">
        <v>339</v>
      </c>
      <c r="E41" s="122" t="s">
        <v>67</v>
      </c>
      <c r="F41" s="73" t="str">
        <f>IF(G41="KGS",IF(D41&lt;&gt;"",IFERROR(VLOOKUP(D41,ProductList!J:AO,12,FALSE),""),""),IF(D41&lt;&gt;"",IFERROR(VLOOKUP(D41,ProductList!J:AO,15,FALSE),""),""))</f>
        <v/>
      </c>
      <c r="G41" s="6">
        <f>InvoiceGen!F39</f>
        <v>0</v>
      </c>
      <c r="H41" s="75" t="str">
        <f>IF(G41="KGS",IF(D41&lt;&gt;"",IFERROR(ROUND(VLOOKUP(D41,ProductList!J:BG,46,FALSE),3),""),""),IF(D41&lt;&gt;"",IFERROR(ROUND(VLOOKUP(D41,ProductList!J:BG,45,FALSE),3),""),""))</f>
        <v/>
      </c>
      <c r="I41" s="75" t="str">
        <f t="shared" si="1"/>
        <v/>
      </c>
    </row>
    <row r="42" spans="1:9" x14ac:dyDescent="0.25">
      <c r="A42" s="197">
        <f t="shared" si="0"/>
        <v>38</v>
      </c>
      <c r="B42" s="73">
        <v>38</v>
      </c>
      <c r="C42" s="73"/>
      <c r="D42" s="104" t="s">
        <v>378</v>
      </c>
      <c r="E42" s="122" t="s">
        <v>68</v>
      </c>
      <c r="F42" s="73" t="str">
        <f>IF(G42="KGS",IF(D42&lt;&gt;"",IFERROR(VLOOKUP(D42,ProductList!J:AO,12,FALSE),""),""),IF(D42&lt;&gt;"",IFERROR(VLOOKUP(D42,ProductList!J:AO,15,FALSE),""),""))</f>
        <v/>
      </c>
      <c r="G42" s="6">
        <f>InvoiceGen!F40</f>
        <v>0</v>
      </c>
      <c r="H42" s="75" t="str">
        <f>IF(G42="KGS",IF(D42&lt;&gt;"",IFERROR(ROUND(VLOOKUP(D42,ProductList!J:BG,46,FALSE),3),""),""),IF(D42&lt;&gt;"",IFERROR(ROUND(VLOOKUP(D42,ProductList!J:BG,45,FALSE),3),""),""))</f>
        <v/>
      </c>
      <c r="I42" s="75" t="str">
        <f t="shared" si="1"/>
        <v/>
      </c>
    </row>
    <row r="43" spans="1:9" x14ac:dyDescent="0.25">
      <c r="A43" s="197">
        <f t="shared" si="0"/>
        <v>39</v>
      </c>
      <c r="B43" s="73">
        <v>39</v>
      </c>
      <c r="C43" s="73"/>
      <c r="D43" s="104" t="s">
        <v>379</v>
      </c>
      <c r="E43" s="122" t="s">
        <v>68</v>
      </c>
      <c r="F43" s="73" t="str">
        <f>IF(G43="KGS",IF(D43&lt;&gt;"",IFERROR(VLOOKUP(D43,ProductList!J:AO,12,FALSE),""),""),IF(D43&lt;&gt;"",IFERROR(VLOOKUP(D43,ProductList!J:AO,15,FALSE),""),""))</f>
        <v/>
      </c>
      <c r="G43" s="6">
        <f>InvoiceGen!F41</f>
        <v>0</v>
      </c>
      <c r="H43" s="75" t="str">
        <f>IF(G43="KGS",IF(D43&lt;&gt;"",IFERROR(ROUND(VLOOKUP(D43,ProductList!J:BG,46,FALSE),3),""),""),IF(D43&lt;&gt;"",IFERROR(ROUND(VLOOKUP(D43,ProductList!J:BG,45,FALSE),3),""),""))</f>
        <v/>
      </c>
      <c r="I43" s="75" t="str">
        <f t="shared" si="1"/>
        <v/>
      </c>
    </row>
    <row r="44" spans="1:9" x14ac:dyDescent="0.25">
      <c r="A44" s="197">
        <f t="shared" si="0"/>
        <v>40</v>
      </c>
      <c r="B44" s="73">
        <v>40</v>
      </c>
      <c r="C44" s="73"/>
      <c r="D44" s="104" t="s">
        <v>380</v>
      </c>
      <c r="E44" s="122" t="s">
        <v>69</v>
      </c>
      <c r="F44" s="73" t="str">
        <f>IF(G44="KGS",IF(D44&lt;&gt;"",IFERROR(VLOOKUP(D44,ProductList!J:AO,12,FALSE),""),""),IF(D44&lt;&gt;"",IFERROR(VLOOKUP(D44,ProductList!J:AO,15,FALSE),""),""))</f>
        <v/>
      </c>
      <c r="G44" s="6">
        <f>InvoiceGen!F42</f>
        <v>0</v>
      </c>
      <c r="H44" s="75" t="str">
        <f>IF(G44="KGS",IF(D44&lt;&gt;"",IFERROR(ROUND(VLOOKUP(D44,ProductList!J:BG,46,FALSE),3),""),""),IF(D44&lt;&gt;"",IFERROR(ROUND(VLOOKUP(D44,ProductList!J:BG,45,FALSE),3),""),""))</f>
        <v/>
      </c>
      <c r="I44" s="75" t="str">
        <f t="shared" si="1"/>
        <v/>
      </c>
    </row>
    <row r="45" spans="1:9" x14ac:dyDescent="0.25">
      <c r="A45" s="197">
        <f t="shared" si="0"/>
        <v>41</v>
      </c>
      <c r="B45" s="73">
        <v>41</v>
      </c>
      <c r="C45" s="73"/>
      <c r="D45" s="104" t="s">
        <v>381</v>
      </c>
      <c r="E45" s="122" t="s">
        <v>238</v>
      </c>
      <c r="F45" s="73" t="str">
        <f>IF(G45="KGS",IF(D45&lt;&gt;"",IFERROR(VLOOKUP(D45,ProductList!J:AO,12,FALSE),""),""),IF(D45&lt;&gt;"",IFERROR(VLOOKUP(D45,ProductList!J:AO,15,FALSE),""),""))</f>
        <v/>
      </c>
      <c r="G45" s="6">
        <f>InvoiceGen!F43</f>
        <v>0</v>
      </c>
      <c r="H45" s="75" t="str">
        <f>IF(G45="KGS",IF(D45&lt;&gt;"",IFERROR(ROUND(VLOOKUP(D45,ProductList!J:BG,46,FALSE),3),""),""),IF(D45&lt;&gt;"",IFERROR(ROUND(VLOOKUP(D45,ProductList!J:BG,45,FALSE),3),""),""))</f>
        <v/>
      </c>
      <c r="I45" s="75" t="str">
        <f t="shared" si="1"/>
        <v/>
      </c>
    </row>
    <row r="46" spans="1:9" x14ac:dyDescent="0.25">
      <c r="A46" s="197">
        <f t="shared" si="0"/>
        <v>42</v>
      </c>
      <c r="B46" s="73">
        <v>42</v>
      </c>
      <c r="C46" s="73"/>
      <c r="D46" s="104" t="s">
        <v>382</v>
      </c>
      <c r="E46" s="122" t="s">
        <v>151</v>
      </c>
      <c r="F46" s="73" t="str">
        <f>IF(G46="KGS",IF(D46&lt;&gt;"",IFERROR(VLOOKUP(D46,ProductList!J:AO,12,FALSE),""),""),IF(D46&lt;&gt;"",IFERROR(VLOOKUP(D46,ProductList!J:AO,15,FALSE),""),""))</f>
        <v/>
      </c>
      <c r="G46" s="6">
        <f>InvoiceGen!F44</f>
        <v>0</v>
      </c>
      <c r="H46" s="75" t="str">
        <f>IF(G46="KGS",IF(D46&lt;&gt;"",IFERROR(ROUND(VLOOKUP(D46,ProductList!J:BG,46,FALSE),3),""),""),IF(D46&lt;&gt;"",IFERROR(ROUND(VLOOKUP(D46,ProductList!J:BG,45,FALSE),3),""),""))</f>
        <v/>
      </c>
      <c r="I46" s="75" t="str">
        <f t="shared" si="1"/>
        <v/>
      </c>
    </row>
    <row r="47" spans="1:9" x14ac:dyDescent="0.25">
      <c r="A47" s="197">
        <f t="shared" si="0"/>
        <v>43</v>
      </c>
      <c r="B47" s="73">
        <v>43</v>
      </c>
      <c r="C47" s="73"/>
      <c r="D47" s="104" t="s">
        <v>383</v>
      </c>
      <c r="E47" s="122" t="s">
        <v>63</v>
      </c>
      <c r="F47" s="73" t="str">
        <f>IF(G47="KGS",IF(D47&lt;&gt;"",IFERROR(VLOOKUP(D47,ProductList!J:AO,12,FALSE),""),""),IF(D47&lt;&gt;"",IFERROR(VLOOKUP(D47,ProductList!J:AO,15,FALSE),""),""))</f>
        <v/>
      </c>
      <c r="G47" s="6">
        <f>InvoiceGen!F45</f>
        <v>0</v>
      </c>
      <c r="H47" s="75" t="str">
        <f>IF(G47="KGS",IF(D47&lt;&gt;"",IFERROR(ROUND(VLOOKUP(D47,ProductList!J:BG,46,FALSE),3),""),""),IF(D47&lt;&gt;"",IFERROR(ROUND(VLOOKUP(D47,ProductList!J:BG,45,FALSE),3),""),""))</f>
        <v/>
      </c>
      <c r="I47" s="75" t="str">
        <f t="shared" si="1"/>
        <v/>
      </c>
    </row>
    <row r="48" spans="1:9" x14ac:dyDescent="0.25">
      <c r="A48" s="197">
        <f t="shared" si="0"/>
        <v>44</v>
      </c>
      <c r="B48" s="73">
        <v>44</v>
      </c>
      <c r="C48" s="73"/>
      <c r="D48" s="104" t="s">
        <v>384</v>
      </c>
      <c r="E48" s="122" t="s">
        <v>63</v>
      </c>
      <c r="F48" s="73" t="str">
        <f>IF(G48="KGS",IF(D48&lt;&gt;"",IFERROR(VLOOKUP(D48,ProductList!J:AO,12,FALSE),""),""),IF(D48&lt;&gt;"",IFERROR(VLOOKUP(D48,ProductList!J:AO,15,FALSE),""),""))</f>
        <v/>
      </c>
      <c r="G48" s="6">
        <f>InvoiceGen!F46</f>
        <v>0</v>
      </c>
      <c r="H48" s="75" t="str">
        <f>IF(G48="KGS",IF(D48&lt;&gt;"",IFERROR(ROUND(VLOOKUP(D48,ProductList!J:BG,46,FALSE),3),""),""),IF(D48&lt;&gt;"",IFERROR(ROUND(VLOOKUP(D48,ProductList!J:BG,45,FALSE),3),""),""))</f>
        <v/>
      </c>
      <c r="I48" s="75" t="str">
        <f t="shared" si="1"/>
        <v/>
      </c>
    </row>
    <row r="49" spans="1:9" x14ac:dyDescent="0.25">
      <c r="A49" s="197">
        <f t="shared" si="0"/>
        <v>45</v>
      </c>
      <c r="B49" s="73">
        <v>45</v>
      </c>
      <c r="C49" s="73"/>
      <c r="D49" s="104" t="s">
        <v>385</v>
      </c>
      <c r="E49" s="122" t="s">
        <v>63</v>
      </c>
      <c r="F49" s="73" t="str">
        <f>IF(G49="KGS",IF(D49&lt;&gt;"",IFERROR(VLOOKUP(D49,ProductList!J:AO,12,FALSE),""),""),IF(D49&lt;&gt;"",IFERROR(VLOOKUP(D49,ProductList!J:AO,15,FALSE),""),""))</f>
        <v/>
      </c>
      <c r="G49" s="6">
        <f>InvoiceGen!F47</f>
        <v>0</v>
      </c>
      <c r="H49" s="75" t="str">
        <f>IF(G49="KGS",IF(D49&lt;&gt;"",IFERROR(ROUND(VLOOKUP(D49,ProductList!J:BG,46,FALSE),3),""),""),IF(D49&lt;&gt;"",IFERROR(ROUND(VLOOKUP(D49,ProductList!J:BG,45,FALSE),3),""),""))</f>
        <v/>
      </c>
      <c r="I49" s="75" t="str">
        <f t="shared" si="1"/>
        <v/>
      </c>
    </row>
    <row r="50" spans="1:9" x14ac:dyDescent="0.25">
      <c r="A50" s="197">
        <f t="shared" si="0"/>
        <v>46</v>
      </c>
      <c r="B50" s="73">
        <v>46</v>
      </c>
      <c r="C50" s="73"/>
      <c r="D50" s="104" t="s">
        <v>386</v>
      </c>
      <c r="E50" s="122" t="s">
        <v>63</v>
      </c>
      <c r="F50" s="73" t="str">
        <f>IF(G50="KGS",IF(D50&lt;&gt;"",IFERROR(VLOOKUP(D50,ProductList!J:AO,12,FALSE),""),""),IF(D50&lt;&gt;"",IFERROR(VLOOKUP(D50,ProductList!J:AO,15,FALSE),""),""))</f>
        <v/>
      </c>
      <c r="G50" s="6">
        <f>InvoiceGen!F48</f>
        <v>0</v>
      </c>
      <c r="H50" s="75" t="str">
        <f>IF(G50="KGS",IF(D50&lt;&gt;"",IFERROR(ROUND(VLOOKUP(D50,ProductList!J:BG,46,FALSE),3),""),""),IF(D50&lt;&gt;"",IFERROR(ROUND(VLOOKUP(D50,ProductList!J:BG,45,FALSE),3),""),""))</f>
        <v/>
      </c>
      <c r="I50" s="75" t="str">
        <f t="shared" si="1"/>
        <v/>
      </c>
    </row>
    <row r="51" spans="1:9" x14ac:dyDescent="0.25">
      <c r="A51" s="197">
        <f t="shared" si="0"/>
        <v>47</v>
      </c>
      <c r="B51" s="73">
        <v>47</v>
      </c>
      <c r="C51" s="73"/>
      <c r="D51" s="104" t="s">
        <v>387</v>
      </c>
      <c r="E51" s="122" t="s">
        <v>63</v>
      </c>
      <c r="F51" s="73" t="str">
        <f>IF(G51="KGS",IF(D51&lt;&gt;"",IFERROR(VLOOKUP(D51,ProductList!J:AO,12,FALSE),""),""),IF(D51&lt;&gt;"",IFERROR(VLOOKUP(D51,ProductList!J:AO,15,FALSE),""),""))</f>
        <v/>
      </c>
      <c r="G51" s="6">
        <f>InvoiceGen!F49</f>
        <v>0</v>
      </c>
      <c r="H51" s="75" t="str">
        <f>IF(G51="KGS",IF(D51&lt;&gt;"",IFERROR(ROUND(VLOOKUP(D51,ProductList!J:BG,46,FALSE),3),""),""),IF(D51&lt;&gt;"",IFERROR(ROUND(VLOOKUP(D51,ProductList!J:BG,45,FALSE),3),""),""))</f>
        <v/>
      </c>
      <c r="I51" s="75" t="str">
        <f t="shared" si="1"/>
        <v/>
      </c>
    </row>
    <row r="52" spans="1:9" x14ac:dyDescent="0.25">
      <c r="A52" s="197">
        <f t="shared" si="0"/>
        <v>48</v>
      </c>
      <c r="B52" s="73">
        <v>48</v>
      </c>
      <c r="C52" s="73"/>
      <c r="D52" s="104" t="s">
        <v>388</v>
      </c>
      <c r="E52" s="122" t="s">
        <v>63</v>
      </c>
      <c r="F52" s="73" t="str">
        <f>IF(G52="KGS",IF(D52&lt;&gt;"",IFERROR(VLOOKUP(D52,ProductList!J:AO,12,FALSE),""),""),IF(D52&lt;&gt;"",IFERROR(VLOOKUP(D52,ProductList!J:AO,15,FALSE),""),""))</f>
        <v/>
      </c>
      <c r="G52" s="6">
        <f>InvoiceGen!F50</f>
        <v>0</v>
      </c>
      <c r="H52" s="75" t="str">
        <f>IF(G52="KGS",IF(D52&lt;&gt;"",IFERROR(ROUND(VLOOKUP(D52,ProductList!J:BG,46,FALSE),3),""),""),IF(D52&lt;&gt;"",IFERROR(ROUND(VLOOKUP(D52,ProductList!J:BG,45,FALSE),3),""),""))</f>
        <v/>
      </c>
      <c r="I52" s="75" t="str">
        <f t="shared" si="1"/>
        <v/>
      </c>
    </row>
    <row r="53" spans="1:9" x14ac:dyDescent="0.25">
      <c r="A53" s="197">
        <f t="shared" si="0"/>
        <v>49</v>
      </c>
      <c r="B53" s="73">
        <v>49</v>
      </c>
      <c r="C53" s="73"/>
      <c r="D53" s="104" t="s">
        <v>389</v>
      </c>
      <c r="E53" s="122" t="s">
        <v>63</v>
      </c>
      <c r="F53" s="73" t="str">
        <f>IF(G53="KGS",IF(D53&lt;&gt;"",IFERROR(VLOOKUP(D53,ProductList!J:AO,12,FALSE),""),""),IF(D53&lt;&gt;"",IFERROR(VLOOKUP(D53,ProductList!J:AO,15,FALSE),""),""))</f>
        <v/>
      </c>
      <c r="G53" s="6">
        <f>InvoiceGen!F51</f>
        <v>0</v>
      </c>
      <c r="H53" s="75" t="str">
        <f>IF(G53="KGS",IF(D53&lt;&gt;"",IFERROR(ROUND(VLOOKUP(D53,ProductList!J:BG,46,FALSE),3),""),""),IF(D53&lt;&gt;"",IFERROR(ROUND(VLOOKUP(D53,ProductList!J:BG,45,FALSE),3),""),""))</f>
        <v/>
      </c>
      <c r="I53" s="75" t="str">
        <f t="shared" si="1"/>
        <v/>
      </c>
    </row>
    <row r="54" spans="1:9" x14ac:dyDescent="0.25">
      <c r="A54" s="197">
        <f t="shared" si="0"/>
        <v>50</v>
      </c>
      <c r="B54" s="73">
        <v>50</v>
      </c>
      <c r="C54" s="73"/>
      <c r="D54" s="104" t="s">
        <v>390</v>
      </c>
      <c r="E54" s="122" t="s">
        <v>63</v>
      </c>
      <c r="F54" s="73" t="str">
        <f>IF(G54="KGS",IF(D54&lt;&gt;"",IFERROR(VLOOKUP(D54,ProductList!J:AO,12,FALSE),""),""),IF(D54&lt;&gt;"",IFERROR(VLOOKUP(D54,ProductList!J:AO,15,FALSE),""),""))</f>
        <v/>
      </c>
      <c r="G54" s="6">
        <f>InvoiceGen!F52</f>
        <v>0</v>
      </c>
      <c r="H54" s="75" t="str">
        <f>IF(G54="KGS",IF(D54&lt;&gt;"",IFERROR(ROUND(VLOOKUP(D54,ProductList!J:BG,46,FALSE),3),""),""),IF(D54&lt;&gt;"",IFERROR(ROUND(VLOOKUP(D54,ProductList!J:BG,45,FALSE),3),""),""))</f>
        <v/>
      </c>
      <c r="I54" s="75" t="str">
        <f t="shared" si="1"/>
        <v/>
      </c>
    </row>
    <row r="55" spans="1:9" x14ac:dyDescent="0.25">
      <c r="A55" s="197">
        <f t="shared" si="0"/>
        <v>51</v>
      </c>
      <c r="B55" s="73">
        <v>51</v>
      </c>
      <c r="C55" s="73"/>
      <c r="D55" s="104" t="s">
        <v>391</v>
      </c>
      <c r="E55" s="122" t="s">
        <v>63</v>
      </c>
      <c r="F55" s="73" t="str">
        <f>IF(G55="KGS",IF(D55&lt;&gt;"",IFERROR(VLOOKUP(D55,ProductList!J:AO,12,FALSE),""),""),IF(D55&lt;&gt;"",IFERROR(VLOOKUP(D55,ProductList!J:AO,15,FALSE),""),""))</f>
        <v/>
      </c>
      <c r="G55" s="6">
        <f>InvoiceGen!F53</f>
        <v>0</v>
      </c>
      <c r="H55" s="75" t="str">
        <f>IF(G55="KGS",IF(D55&lt;&gt;"",IFERROR(ROUND(VLOOKUP(D55,ProductList!J:BG,46,FALSE),3),""),""),IF(D55&lt;&gt;"",IFERROR(ROUND(VLOOKUP(D55,ProductList!J:BG,45,FALSE),3),""),""))</f>
        <v/>
      </c>
      <c r="I55" s="75" t="str">
        <f t="shared" si="1"/>
        <v/>
      </c>
    </row>
    <row r="56" spans="1:9" x14ac:dyDescent="0.25">
      <c r="A56" s="197">
        <f t="shared" si="0"/>
        <v>52</v>
      </c>
      <c r="B56" s="73">
        <v>52</v>
      </c>
      <c r="C56" s="73"/>
      <c r="D56" s="104" t="s">
        <v>392</v>
      </c>
      <c r="E56" s="122" t="s">
        <v>63</v>
      </c>
      <c r="F56" s="73" t="str">
        <f>IF(G56="KGS",IF(D56&lt;&gt;"",IFERROR(VLOOKUP(D56,ProductList!J:AO,12,FALSE),""),""),IF(D56&lt;&gt;"",IFERROR(VLOOKUP(D56,ProductList!J:AO,15,FALSE),""),""))</f>
        <v/>
      </c>
      <c r="G56" s="6">
        <f>InvoiceGen!F54</f>
        <v>0</v>
      </c>
      <c r="H56" s="75" t="str">
        <f>IF(G56="KGS",IF(D56&lt;&gt;"",IFERROR(ROUND(VLOOKUP(D56,ProductList!J:BG,46,FALSE),3),""),""),IF(D56&lt;&gt;"",IFERROR(ROUND(VLOOKUP(D56,ProductList!J:BG,45,FALSE),3),""),""))</f>
        <v/>
      </c>
      <c r="I56" s="75" t="str">
        <f t="shared" si="1"/>
        <v/>
      </c>
    </row>
    <row r="57" spans="1:9" x14ac:dyDescent="0.25">
      <c r="A57" s="197">
        <f t="shared" si="0"/>
        <v>53</v>
      </c>
      <c r="B57" s="73">
        <v>53</v>
      </c>
      <c r="C57" s="73"/>
      <c r="D57" s="104" t="s">
        <v>393</v>
      </c>
      <c r="E57" s="122" t="s">
        <v>63</v>
      </c>
      <c r="F57" s="73" t="str">
        <f>IF(G57="KGS",IF(D57&lt;&gt;"",IFERROR(VLOOKUP(D57,ProductList!J:AO,12,FALSE),""),""),IF(D57&lt;&gt;"",IFERROR(VLOOKUP(D57,ProductList!J:AO,15,FALSE),""),""))</f>
        <v/>
      </c>
      <c r="G57" s="6">
        <f>InvoiceGen!F55</f>
        <v>0</v>
      </c>
      <c r="H57" s="75" t="str">
        <f>IF(G57="KGS",IF(D57&lt;&gt;"",IFERROR(ROUND(VLOOKUP(D57,ProductList!J:BG,46,FALSE),3),""),""),IF(D57&lt;&gt;"",IFERROR(ROUND(VLOOKUP(D57,ProductList!J:BG,45,FALSE),3),""),""))</f>
        <v/>
      </c>
      <c r="I57" s="75" t="str">
        <f t="shared" si="1"/>
        <v/>
      </c>
    </row>
    <row r="58" spans="1:9" x14ac:dyDescent="0.25">
      <c r="A58" s="197">
        <f t="shared" si="0"/>
        <v>54</v>
      </c>
      <c r="B58" s="73">
        <v>54</v>
      </c>
      <c r="C58" s="73"/>
      <c r="D58" s="104" t="s">
        <v>394</v>
      </c>
      <c r="E58" s="122" t="s">
        <v>63</v>
      </c>
      <c r="F58" s="73" t="str">
        <f>IF(G58="KGS",IF(D58&lt;&gt;"",IFERROR(VLOOKUP(D58,ProductList!J:AO,12,FALSE),""),""),IF(D58&lt;&gt;"",IFERROR(VLOOKUP(D58,ProductList!J:AO,15,FALSE),""),""))</f>
        <v/>
      </c>
      <c r="G58" s="6">
        <f>InvoiceGen!F56</f>
        <v>0</v>
      </c>
      <c r="H58" s="75" t="str">
        <f>IF(G58="KGS",IF(D58&lt;&gt;"",IFERROR(ROUND(VLOOKUP(D58,ProductList!J:BG,46,FALSE),3),""),""),IF(D58&lt;&gt;"",IFERROR(ROUND(VLOOKUP(D58,ProductList!J:BG,45,FALSE),3),""),""))</f>
        <v/>
      </c>
      <c r="I58" s="75" t="str">
        <f t="shared" si="1"/>
        <v/>
      </c>
    </row>
    <row r="59" spans="1:9" x14ac:dyDescent="0.25">
      <c r="A59" s="197">
        <f t="shared" si="0"/>
        <v>55</v>
      </c>
      <c r="B59" s="73">
        <v>55</v>
      </c>
      <c r="C59" s="73"/>
      <c r="D59" s="104" t="s">
        <v>395</v>
      </c>
      <c r="E59" s="122" t="s">
        <v>184</v>
      </c>
      <c r="F59" s="73" t="str">
        <f>IF(G59="KGS",IF(D59&lt;&gt;"",IFERROR(VLOOKUP(D59,ProductList!J:AO,12,FALSE),""),""),IF(D59&lt;&gt;"",IFERROR(VLOOKUP(D59,ProductList!J:AO,15,FALSE),""),""))</f>
        <v/>
      </c>
      <c r="G59" s="6">
        <f>InvoiceGen!F57</f>
        <v>0</v>
      </c>
      <c r="H59" s="75" t="str">
        <f>IF(G59="KGS",IF(D59&lt;&gt;"",IFERROR(ROUND(VLOOKUP(D59,ProductList!J:BG,46,FALSE),3),""),""),IF(D59&lt;&gt;"",IFERROR(ROUND(VLOOKUP(D59,ProductList!J:BG,45,FALSE),3),""),""))</f>
        <v/>
      </c>
      <c r="I59" s="75" t="str">
        <f t="shared" si="1"/>
        <v/>
      </c>
    </row>
    <row r="60" spans="1:9" x14ac:dyDescent="0.25">
      <c r="A60" s="197">
        <f t="shared" si="0"/>
        <v>56</v>
      </c>
      <c r="B60" s="73">
        <v>56</v>
      </c>
      <c r="C60" s="73"/>
      <c r="D60" s="104" t="s">
        <v>396</v>
      </c>
      <c r="E60" s="122" t="s">
        <v>63</v>
      </c>
      <c r="F60" s="73" t="str">
        <f>IF(G60="KGS",IF(D60&lt;&gt;"",IFERROR(VLOOKUP(D60,ProductList!J:AO,12,FALSE),""),""),IF(D60&lt;&gt;"",IFERROR(VLOOKUP(D60,ProductList!J:AO,15,FALSE),""),""))</f>
        <v/>
      </c>
      <c r="G60" s="6">
        <f>InvoiceGen!F58</f>
        <v>0</v>
      </c>
      <c r="H60" s="75" t="str">
        <f>IF(G60="KGS",IF(D60&lt;&gt;"",IFERROR(ROUND(VLOOKUP(D60,ProductList!J:BG,46,FALSE),3),""),""),IF(D60&lt;&gt;"",IFERROR(ROUND(VLOOKUP(D60,ProductList!J:BG,45,FALSE),3),""),""))</f>
        <v/>
      </c>
      <c r="I60" s="75" t="str">
        <f t="shared" si="1"/>
        <v/>
      </c>
    </row>
    <row r="61" spans="1:9" x14ac:dyDescent="0.25">
      <c r="A61" s="197">
        <f t="shared" si="0"/>
        <v>57</v>
      </c>
      <c r="B61" s="73">
        <v>57</v>
      </c>
      <c r="C61" s="73"/>
      <c r="D61" s="104" t="s">
        <v>397</v>
      </c>
      <c r="E61" s="122" t="s">
        <v>63</v>
      </c>
      <c r="F61" s="73" t="str">
        <f>IF(G61="KGS",IF(D61&lt;&gt;"",IFERROR(VLOOKUP(D61,ProductList!J:AO,12,FALSE),""),""),IF(D61&lt;&gt;"",IFERROR(VLOOKUP(D61,ProductList!J:AO,15,FALSE),""),""))</f>
        <v/>
      </c>
      <c r="G61" s="6">
        <f>InvoiceGen!F59</f>
        <v>0</v>
      </c>
      <c r="H61" s="75" t="str">
        <f>IF(G61="KGS",IF(D61&lt;&gt;"",IFERROR(ROUND(VLOOKUP(D61,ProductList!J:BG,46,FALSE),3),""),""),IF(D61&lt;&gt;"",IFERROR(ROUND(VLOOKUP(D61,ProductList!J:BG,45,FALSE),3),""),""))</f>
        <v/>
      </c>
      <c r="I61" s="75" t="str">
        <f t="shared" si="1"/>
        <v/>
      </c>
    </row>
    <row r="62" spans="1:9" x14ac:dyDescent="0.25">
      <c r="A62" s="197">
        <f t="shared" si="0"/>
        <v>58</v>
      </c>
      <c r="B62" s="73">
        <v>58</v>
      </c>
      <c r="C62" s="73"/>
      <c r="D62" s="104" t="s">
        <v>398</v>
      </c>
      <c r="E62" s="122" t="s">
        <v>63</v>
      </c>
      <c r="F62" s="73" t="str">
        <f>IF(G62="KGS",IF(D62&lt;&gt;"",IFERROR(VLOOKUP(D62,ProductList!J:AO,12,FALSE),""),""),IF(D62&lt;&gt;"",IFERROR(VLOOKUP(D62,ProductList!J:AO,15,FALSE),""),""))</f>
        <v/>
      </c>
      <c r="G62" s="6">
        <f>InvoiceGen!F60</f>
        <v>0</v>
      </c>
      <c r="H62" s="75" t="str">
        <f>IF(G62="KGS",IF(D62&lt;&gt;"",IFERROR(ROUND(VLOOKUP(D62,ProductList!J:BG,46,FALSE),3),""),""),IF(D62&lt;&gt;"",IFERROR(ROUND(VLOOKUP(D62,ProductList!J:BG,45,FALSE),3),""),""))</f>
        <v/>
      </c>
      <c r="I62" s="75" t="str">
        <f t="shared" si="1"/>
        <v/>
      </c>
    </row>
    <row r="63" spans="1:9" x14ac:dyDescent="0.25">
      <c r="A63" s="197">
        <f t="shared" si="0"/>
        <v>59</v>
      </c>
      <c r="B63" s="73">
        <v>59</v>
      </c>
      <c r="C63" s="73"/>
      <c r="D63" s="104" t="s">
        <v>399</v>
      </c>
      <c r="E63" s="122" t="s">
        <v>63</v>
      </c>
      <c r="F63" s="73" t="str">
        <f>IF(G63="KGS",IF(D63&lt;&gt;"",IFERROR(VLOOKUP(D63,ProductList!J:AO,12,FALSE),""),""),IF(D63&lt;&gt;"",IFERROR(VLOOKUP(D63,ProductList!J:AO,15,FALSE),""),""))</f>
        <v/>
      </c>
      <c r="G63" s="6">
        <f>InvoiceGen!F61</f>
        <v>0</v>
      </c>
      <c r="H63" s="75" t="str">
        <f>IF(G63="KGS",IF(D63&lt;&gt;"",IFERROR(ROUND(VLOOKUP(D63,ProductList!J:BG,46,FALSE),3),""),""),IF(D63&lt;&gt;"",IFERROR(ROUND(VLOOKUP(D63,ProductList!J:BG,45,FALSE),3),""),""))</f>
        <v/>
      </c>
      <c r="I63" s="75" t="str">
        <f t="shared" si="1"/>
        <v/>
      </c>
    </row>
    <row r="64" spans="1:9" x14ac:dyDescent="0.25">
      <c r="A64" s="197">
        <f t="shared" si="0"/>
        <v>60</v>
      </c>
      <c r="B64" s="73">
        <v>60</v>
      </c>
      <c r="C64" s="73"/>
      <c r="D64" s="104" t="s">
        <v>400</v>
      </c>
      <c r="E64" s="122" t="s">
        <v>63</v>
      </c>
      <c r="F64" s="73" t="str">
        <f>IF(G64="KGS",IF(D64&lt;&gt;"",IFERROR(VLOOKUP(D64,ProductList!J:AO,12,FALSE),""),""),IF(D64&lt;&gt;"",IFERROR(VLOOKUP(D64,ProductList!J:AO,15,FALSE),""),""))</f>
        <v/>
      </c>
      <c r="G64" s="6">
        <f>InvoiceGen!F62</f>
        <v>0</v>
      </c>
      <c r="H64" s="75" t="str">
        <f>IF(G64="KGS",IF(D64&lt;&gt;"",IFERROR(ROUND(VLOOKUP(D64,ProductList!J:BG,46,FALSE),3),""),""),IF(D64&lt;&gt;"",IFERROR(ROUND(VLOOKUP(D64,ProductList!J:BG,45,FALSE),3),""),""))</f>
        <v/>
      </c>
      <c r="I64" s="75" t="str">
        <f t="shared" si="1"/>
        <v/>
      </c>
    </row>
    <row r="65" spans="1:9" x14ac:dyDescent="0.25">
      <c r="A65" s="197">
        <f t="shared" si="0"/>
        <v>61</v>
      </c>
      <c r="B65" s="73">
        <v>61</v>
      </c>
      <c r="C65" s="73"/>
      <c r="D65" s="104" t="s">
        <v>401</v>
      </c>
      <c r="E65" s="122" t="s">
        <v>63</v>
      </c>
      <c r="F65" s="73" t="str">
        <f>IF(G65="KGS",IF(D65&lt;&gt;"",IFERROR(VLOOKUP(D65,ProductList!J:AO,12,FALSE),""),""),IF(D65&lt;&gt;"",IFERROR(VLOOKUP(D65,ProductList!J:AO,15,FALSE),""),""))</f>
        <v/>
      </c>
      <c r="G65" s="6">
        <f>InvoiceGen!F63</f>
        <v>0</v>
      </c>
      <c r="H65" s="75" t="str">
        <f>IF(G65="KGS",IF(D65&lt;&gt;"",IFERROR(ROUND(VLOOKUP(D65,ProductList!J:BG,46,FALSE),3),""),""),IF(D65&lt;&gt;"",IFERROR(ROUND(VLOOKUP(D65,ProductList!J:BG,45,FALSE),3),""),""))</f>
        <v/>
      </c>
      <c r="I65" s="75" t="str">
        <f t="shared" si="1"/>
        <v/>
      </c>
    </row>
    <row r="66" spans="1:9" x14ac:dyDescent="0.25">
      <c r="A66" s="197">
        <f t="shared" si="0"/>
        <v>62</v>
      </c>
      <c r="B66" s="73">
        <v>62</v>
      </c>
      <c r="C66" s="73"/>
      <c r="D66" s="104" t="s">
        <v>402</v>
      </c>
      <c r="E66" s="122" t="s">
        <v>220</v>
      </c>
      <c r="F66" s="73" t="str">
        <f>IF(G66="KGS",IF(D66&lt;&gt;"",IFERROR(VLOOKUP(D66,ProductList!J:AO,12,FALSE),""),""),IF(D66&lt;&gt;"",IFERROR(VLOOKUP(D66,ProductList!J:AO,15,FALSE),""),""))</f>
        <v/>
      </c>
      <c r="G66" s="6">
        <f>InvoiceGen!F64</f>
        <v>0</v>
      </c>
      <c r="H66" s="75" t="str">
        <f>IF(G66="KGS",IF(D66&lt;&gt;"",IFERROR(ROUND(VLOOKUP(D66,ProductList!J:BG,46,FALSE),3),""),""),IF(D66&lt;&gt;"",IFERROR(ROUND(VLOOKUP(D66,ProductList!J:BG,45,FALSE),3),""),""))</f>
        <v/>
      </c>
      <c r="I66" s="75" t="str">
        <f t="shared" si="1"/>
        <v/>
      </c>
    </row>
    <row r="67" spans="1:9" x14ac:dyDescent="0.25">
      <c r="A67" s="197">
        <f t="shared" si="0"/>
        <v>63</v>
      </c>
      <c r="B67" s="73">
        <v>63</v>
      </c>
      <c r="C67" s="73"/>
      <c r="D67" s="104" t="s">
        <v>403</v>
      </c>
      <c r="E67" s="122" t="s">
        <v>220</v>
      </c>
      <c r="F67" s="73" t="str">
        <f>IF(G67="KGS",IF(D67&lt;&gt;"",IFERROR(VLOOKUP(D67,ProductList!J:AO,12,FALSE),""),""),IF(D67&lt;&gt;"",IFERROR(VLOOKUP(D67,ProductList!J:AO,15,FALSE),""),""))</f>
        <v/>
      </c>
      <c r="G67" s="6">
        <f>InvoiceGen!F65</f>
        <v>0</v>
      </c>
      <c r="H67" s="75" t="str">
        <f>IF(G67="KGS",IF(D67&lt;&gt;"",IFERROR(ROUND(VLOOKUP(D67,ProductList!J:BG,46,FALSE),3),""),""),IF(D67&lt;&gt;"",IFERROR(ROUND(VLOOKUP(D67,ProductList!J:BG,45,FALSE),3),""),""))</f>
        <v/>
      </c>
      <c r="I67" s="75" t="str">
        <f t="shared" si="1"/>
        <v/>
      </c>
    </row>
    <row r="68" spans="1:9" x14ac:dyDescent="0.25">
      <c r="A68" s="197">
        <f t="shared" si="0"/>
        <v>64</v>
      </c>
      <c r="B68" s="73">
        <v>64</v>
      </c>
      <c r="C68" s="73"/>
      <c r="D68" s="104" t="s">
        <v>404</v>
      </c>
      <c r="E68" s="122" t="s">
        <v>220</v>
      </c>
      <c r="F68" s="73" t="str">
        <f>IF(G68="KGS",IF(D68&lt;&gt;"",IFERROR(VLOOKUP(D68,ProductList!J:AO,12,FALSE),""),""),IF(D68&lt;&gt;"",IFERROR(VLOOKUP(D68,ProductList!J:AO,15,FALSE),""),""))</f>
        <v/>
      </c>
      <c r="G68" s="6">
        <f>InvoiceGen!F66</f>
        <v>0</v>
      </c>
      <c r="H68" s="75" t="str">
        <f>IF(G68="KGS",IF(D68&lt;&gt;"",IFERROR(ROUND(VLOOKUP(D68,ProductList!J:BG,46,FALSE),3),""),""),IF(D68&lt;&gt;"",IFERROR(ROUND(VLOOKUP(D68,ProductList!J:BG,45,FALSE),3),""),""))</f>
        <v/>
      </c>
      <c r="I68" s="75" t="str">
        <f t="shared" si="1"/>
        <v/>
      </c>
    </row>
    <row r="69" spans="1:9" x14ac:dyDescent="0.25">
      <c r="A69" s="197">
        <f t="shared" ref="A69:A132" si="2">IF(AND(D69&lt;&gt;""),IF(A68&lt;&gt;"",A68,0)+1,A68)</f>
        <v>65</v>
      </c>
      <c r="B69" s="73">
        <v>65</v>
      </c>
      <c r="C69" s="73"/>
      <c r="D69" s="104" t="s">
        <v>405</v>
      </c>
      <c r="E69" s="122" t="s">
        <v>220</v>
      </c>
      <c r="F69" s="73" t="str">
        <f>IF(G69="KGS",IF(D69&lt;&gt;"",IFERROR(VLOOKUP(D69,ProductList!J:AO,12,FALSE),""),""),IF(D69&lt;&gt;"",IFERROR(VLOOKUP(D69,ProductList!J:AO,15,FALSE),""),""))</f>
        <v/>
      </c>
      <c r="G69" s="6">
        <f>InvoiceGen!F67</f>
        <v>0</v>
      </c>
      <c r="H69" s="75" t="str">
        <f>IF(G69="KGS",IF(D69&lt;&gt;"",IFERROR(ROUND(VLOOKUP(D69,ProductList!J:BG,46,FALSE),3),""),""),IF(D69&lt;&gt;"",IFERROR(ROUND(VLOOKUP(D69,ProductList!J:BG,45,FALSE),3),""),""))</f>
        <v/>
      </c>
      <c r="I69" s="75" t="str">
        <f t="shared" si="1"/>
        <v/>
      </c>
    </row>
    <row r="70" spans="1:9" x14ac:dyDescent="0.25">
      <c r="A70" s="197">
        <f t="shared" si="2"/>
        <v>66</v>
      </c>
      <c r="B70" s="73">
        <v>66</v>
      </c>
      <c r="C70" s="73"/>
      <c r="D70" s="104" t="s">
        <v>406</v>
      </c>
      <c r="E70" s="122" t="s">
        <v>63</v>
      </c>
      <c r="F70" s="73" t="str">
        <f>IF(G70="KGS",IF(D70&lt;&gt;"",IFERROR(VLOOKUP(D70,ProductList!J:AO,12,FALSE),""),""),IF(D70&lt;&gt;"",IFERROR(VLOOKUP(D70,ProductList!J:AO,15,FALSE),""),""))</f>
        <v/>
      </c>
      <c r="G70" s="6">
        <f>InvoiceGen!F68</f>
        <v>0</v>
      </c>
      <c r="H70" s="75" t="str">
        <f>IF(G70="KGS",IF(D70&lt;&gt;"",IFERROR(ROUND(VLOOKUP(D70,ProductList!J:BG,46,FALSE),3),""),""),IF(D70&lt;&gt;"",IFERROR(ROUND(VLOOKUP(D70,ProductList!J:BG,45,FALSE),3),""),""))</f>
        <v/>
      </c>
      <c r="I70" s="75" t="str">
        <f t="shared" ref="I70:I133" si="3">IF(AND(F70&lt;&gt;"",H70&lt;&gt;""),ROUND(F70*H70,2),"")</f>
        <v/>
      </c>
    </row>
    <row r="71" spans="1:9" x14ac:dyDescent="0.25">
      <c r="A71" s="197">
        <f t="shared" si="2"/>
        <v>67</v>
      </c>
      <c r="B71" s="73">
        <v>67</v>
      </c>
      <c r="C71" s="73"/>
      <c r="D71" s="104" t="s">
        <v>407</v>
      </c>
      <c r="E71" s="122" t="s">
        <v>63</v>
      </c>
      <c r="F71" s="73" t="str">
        <f>IF(G71="KGS",IF(D71&lt;&gt;"",IFERROR(VLOOKUP(D71,ProductList!J:AO,12,FALSE),""),""),IF(D71&lt;&gt;"",IFERROR(VLOOKUP(D71,ProductList!J:AO,15,FALSE),""),""))</f>
        <v/>
      </c>
      <c r="G71" s="6">
        <f>InvoiceGen!F69</f>
        <v>0</v>
      </c>
      <c r="H71" s="75" t="str">
        <f>IF(G71="KGS",IF(D71&lt;&gt;"",IFERROR(ROUND(VLOOKUP(D71,ProductList!J:BG,46,FALSE),3),""),""),IF(D71&lt;&gt;"",IFERROR(ROUND(VLOOKUP(D71,ProductList!J:BG,45,FALSE),3),""),""))</f>
        <v/>
      </c>
      <c r="I71" s="75" t="str">
        <f t="shared" si="3"/>
        <v/>
      </c>
    </row>
    <row r="72" spans="1:9" x14ac:dyDescent="0.25">
      <c r="A72" s="197">
        <f t="shared" si="2"/>
        <v>68</v>
      </c>
      <c r="B72" s="73">
        <v>68</v>
      </c>
      <c r="C72" s="73"/>
      <c r="D72" s="104" t="s">
        <v>408</v>
      </c>
      <c r="E72" s="122" t="s">
        <v>63</v>
      </c>
      <c r="F72" s="73" t="str">
        <f>IF(G72="KGS",IF(D72&lt;&gt;"",IFERROR(VLOOKUP(D72,ProductList!J:AO,12,FALSE),""),""),IF(D72&lt;&gt;"",IFERROR(VLOOKUP(D72,ProductList!J:AO,15,FALSE),""),""))</f>
        <v/>
      </c>
      <c r="G72" s="6">
        <f>InvoiceGen!F70</f>
        <v>0</v>
      </c>
      <c r="H72" s="75" t="str">
        <f>IF(G72="KGS",IF(D72&lt;&gt;"",IFERROR(ROUND(VLOOKUP(D72,ProductList!J:BG,46,FALSE),3),""),""),IF(D72&lt;&gt;"",IFERROR(ROUND(VLOOKUP(D72,ProductList!J:BG,45,FALSE),3),""),""))</f>
        <v/>
      </c>
      <c r="I72" s="75" t="str">
        <f t="shared" si="3"/>
        <v/>
      </c>
    </row>
    <row r="73" spans="1:9" x14ac:dyDescent="0.25">
      <c r="A73" s="197">
        <f t="shared" si="2"/>
        <v>69</v>
      </c>
      <c r="B73" s="73">
        <v>69</v>
      </c>
      <c r="C73" s="73"/>
      <c r="D73" s="104" t="s">
        <v>410</v>
      </c>
      <c r="E73" s="122" t="s">
        <v>226</v>
      </c>
      <c r="F73" s="73" t="str">
        <f>IF(G73="KGS",IF(D73&lt;&gt;"",IFERROR(VLOOKUP(D73,ProductList!J:AO,12,FALSE),""),""),IF(D73&lt;&gt;"",IFERROR(VLOOKUP(D73,ProductList!J:AO,15,FALSE),""),""))</f>
        <v/>
      </c>
      <c r="G73" s="6">
        <f>InvoiceGen!F71</f>
        <v>0</v>
      </c>
      <c r="H73" s="75" t="str">
        <f>IF(G73="KGS",IF(D73&lt;&gt;"",IFERROR(ROUND(VLOOKUP(D73,ProductList!J:BG,46,FALSE),3),""),""),IF(D73&lt;&gt;"",IFERROR(ROUND(VLOOKUP(D73,ProductList!J:BG,45,FALSE),3),""),""))</f>
        <v/>
      </c>
      <c r="I73" s="75" t="str">
        <f t="shared" si="3"/>
        <v/>
      </c>
    </row>
    <row r="74" spans="1:9" x14ac:dyDescent="0.25">
      <c r="A74" s="197">
        <f t="shared" si="2"/>
        <v>70</v>
      </c>
      <c r="B74" s="73">
        <v>70</v>
      </c>
      <c r="C74" s="73"/>
      <c r="D74" s="104" t="s">
        <v>411</v>
      </c>
      <c r="E74" s="122" t="s">
        <v>226</v>
      </c>
      <c r="F74" s="73" t="str">
        <f>IF(G74="KGS",IF(D74&lt;&gt;"",IFERROR(VLOOKUP(D74,ProductList!J:AO,12,FALSE),""),""),IF(D74&lt;&gt;"",IFERROR(VLOOKUP(D74,ProductList!J:AO,15,FALSE),""),""))</f>
        <v/>
      </c>
      <c r="G74" s="6">
        <f>InvoiceGen!F72</f>
        <v>0</v>
      </c>
      <c r="H74" s="75" t="str">
        <f>IF(G74="KGS",IF(D74&lt;&gt;"",IFERROR(ROUND(VLOOKUP(D74,ProductList!J:BG,46,FALSE),3),""),""),IF(D74&lt;&gt;"",IFERROR(ROUND(VLOOKUP(D74,ProductList!J:BG,45,FALSE),3),""),""))</f>
        <v/>
      </c>
      <c r="I74" s="75" t="str">
        <f t="shared" si="3"/>
        <v/>
      </c>
    </row>
    <row r="75" spans="1:9" x14ac:dyDescent="0.25">
      <c r="A75" s="197">
        <f t="shared" si="2"/>
        <v>71</v>
      </c>
      <c r="B75" s="73">
        <v>71</v>
      </c>
      <c r="C75" s="73"/>
      <c r="D75" s="104" t="s">
        <v>412</v>
      </c>
      <c r="E75" s="122" t="s">
        <v>226</v>
      </c>
      <c r="F75" s="73" t="str">
        <f>IF(G75="KGS",IF(D75&lt;&gt;"",IFERROR(VLOOKUP(D75,ProductList!J:AO,12,FALSE),""),""),IF(D75&lt;&gt;"",IFERROR(VLOOKUP(D75,ProductList!J:AO,15,FALSE),""),""))</f>
        <v/>
      </c>
      <c r="G75" s="6">
        <f>InvoiceGen!F73</f>
        <v>0</v>
      </c>
      <c r="H75" s="75" t="str">
        <f>IF(G75="KGS",IF(D75&lt;&gt;"",IFERROR(ROUND(VLOOKUP(D75,ProductList!J:BG,46,FALSE),3),""),""),IF(D75&lt;&gt;"",IFERROR(ROUND(VLOOKUP(D75,ProductList!J:BG,45,FALSE),3),""),""))</f>
        <v/>
      </c>
      <c r="I75" s="75" t="str">
        <f t="shared" si="3"/>
        <v/>
      </c>
    </row>
    <row r="76" spans="1:9" x14ac:dyDescent="0.25">
      <c r="A76" s="197">
        <f t="shared" si="2"/>
        <v>72</v>
      </c>
      <c r="B76" s="73">
        <v>72</v>
      </c>
      <c r="C76" s="73"/>
      <c r="D76" s="104" t="s">
        <v>410</v>
      </c>
      <c r="E76" s="122" t="s">
        <v>226</v>
      </c>
      <c r="F76" s="73" t="str">
        <f>IF(G76="KGS",IF(D76&lt;&gt;"",IFERROR(VLOOKUP(D76,ProductList!J:AO,12,FALSE),""),""),IF(D76&lt;&gt;"",IFERROR(VLOOKUP(D76,ProductList!J:AO,15,FALSE),""),""))</f>
        <v/>
      </c>
      <c r="G76" s="6">
        <f>InvoiceGen!F74</f>
        <v>0</v>
      </c>
      <c r="H76" s="75" t="str">
        <f>IF(G76="KGS",IF(D76&lt;&gt;"",IFERROR(ROUND(VLOOKUP(D76,ProductList!J:BG,46,FALSE),3),""),""),IF(D76&lt;&gt;"",IFERROR(ROUND(VLOOKUP(D76,ProductList!J:BG,45,FALSE),3),""),""))</f>
        <v/>
      </c>
      <c r="I76" s="75" t="str">
        <f t="shared" si="3"/>
        <v/>
      </c>
    </row>
    <row r="77" spans="1:9" x14ac:dyDescent="0.25">
      <c r="A77" s="197">
        <f t="shared" si="2"/>
        <v>73</v>
      </c>
      <c r="B77" s="73">
        <v>73</v>
      </c>
      <c r="C77" s="73"/>
      <c r="D77" s="104" t="s">
        <v>413</v>
      </c>
      <c r="E77" s="122" t="s">
        <v>226</v>
      </c>
      <c r="F77" s="73" t="str">
        <f>IF(G77="KGS",IF(D77&lt;&gt;"",IFERROR(VLOOKUP(D77,ProductList!J:AO,12,FALSE),""),""),IF(D77&lt;&gt;"",IFERROR(VLOOKUP(D77,ProductList!J:AO,15,FALSE),""),""))</f>
        <v/>
      </c>
      <c r="G77" s="6">
        <f>InvoiceGen!F75</f>
        <v>0</v>
      </c>
      <c r="H77" s="75" t="str">
        <f>IF(G77="KGS",IF(D77&lt;&gt;"",IFERROR(ROUND(VLOOKUP(D77,ProductList!J:BG,46,FALSE),3),""),""),IF(D77&lt;&gt;"",IFERROR(ROUND(VLOOKUP(D77,ProductList!J:BG,45,FALSE),3),""),""))</f>
        <v/>
      </c>
      <c r="I77" s="75" t="str">
        <f t="shared" si="3"/>
        <v/>
      </c>
    </row>
    <row r="78" spans="1:9" x14ac:dyDescent="0.25">
      <c r="A78" s="197">
        <f t="shared" si="2"/>
        <v>74</v>
      </c>
      <c r="B78" s="73">
        <v>74</v>
      </c>
      <c r="C78" s="73"/>
      <c r="D78" s="104" t="s">
        <v>414</v>
      </c>
      <c r="E78" s="122" t="s">
        <v>226</v>
      </c>
      <c r="F78" s="73" t="str">
        <f>IF(G78="KGS",IF(D78&lt;&gt;"",IFERROR(VLOOKUP(D78,ProductList!J:AO,12,FALSE),""),""),IF(D78&lt;&gt;"",IFERROR(VLOOKUP(D78,ProductList!J:AO,15,FALSE),""),""))</f>
        <v/>
      </c>
      <c r="G78" s="6">
        <f>InvoiceGen!F76</f>
        <v>0</v>
      </c>
      <c r="H78" s="75" t="str">
        <f>IF(G78="KGS",IF(D78&lt;&gt;"",IFERROR(ROUND(VLOOKUP(D78,ProductList!J:BG,46,FALSE),3),""),""),IF(D78&lt;&gt;"",IFERROR(ROUND(VLOOKUP(D78,ProductList!J:BG,45,FALSE),3),""),""))</f>
        <v/>
      </c>
      <c r="I78" s="75" t="str">
        <f t="shared" si="3"/>
        <v/>
      </c>
    </row>
    <row r="79" spans="1:9" x14ac:dyDescent="0.25">
      <c r="A79" s="197">
        <f t="shared" si="2"/>
        <v>75</v>
      </c>
      <c r="B79" s="73">
        <v>75</v>
      </c>
      <c r="C79" s="73"/>
      <c r="D79" s="104" t="s">
        <v>415</v>
      </c>
      <c r="E79" s="122" t="s">
        <v>226</v>
      </c>
      <c r="F79" s="73" t="str">
        <f>IF(G79="KGS",IF(D79&lt;&gt;"",IFERROR(VLOOKUP(D79,ProductList!J:AO,12,FALSE),""),""),IF(D79&lt;&gt;"",IFERROR(VLOOKUP(D79,ProductList!J:AO,15,FALSE),""),""))</f>
        <v/>
      </c>
      <c r="G79" s="6">
        <f>InvoiceGen!F77</f>
        <v>0</v>
      </c>
      <c r="H79" s="75" t="str">
        <f>IF(G79="KGS",IF(D79&lt;&gt;"",IFERROR(ROUND(VLOOKUP(D79,ProductList!J:BG,46,FALSE),3),""),""),IF(D79&lt;&gt;"",IFERROR(ROUND(VLOOKUP(D79,ProductList!J:BG,45,FALSE),3),""),""))</f>
        <v/>
      </c>
      <c r="I79" s="75" t="str">
        <f t="shared" si="3"/>
        <v/>
      </c>
    </row>
    <row r="80" spans="1:9" x14ac:dyDescent="0.25">
      <c r="A80" s="197">
        <f t="shared" si="2"/>
        <v>76</v>
      </c>
      <c r="B80" s="73">
        <v>76</v>
      </c>
      <c r="C80" s="73"/>
      <c r="D80" s="104" t="s">
        <v>416</v>
      </c>
      <c r="E80" s="122" t="s">
        <v>226</v>
      </c>
      <c r="F80" s="73" t="str">
        <f>IF(G80="KGS",IF(D80&lt;&gt;"",IFERROR(VLOOKUP(D80,ProductList!J:AO,12,FALSE),""),""),IF(D80&lt;&gt;"",IFERROR(VLOOKUP(D80,ProductList!J:AO,15,FALSE),""),""))</f>
        <v/>
      </c>
      <c r="G80" s="6">
        <f>InvoiceGen!F78</f>
        <v>0</v>
      </c>
      <c r="H80" s="75" t="str">
        <f>IF(G80="KGS",IF(D80&lt;&gt;"",IFERROR(ROUND(VLOOKUP(D80,ProductList!J:BG,46,FALSE),3),""),""),IF(D80&lt;&gt;"",IFERROR(ROUND(VLOOKUP(D80,ProductList!J:BG,45,FALSE),3),""),""))</f>
        <v/>
      </c>
      <c r="I80" s="75" t="str">
        <f t="shared" si="3"/>
        <v/>
      </c>
    </row>
    <row r="81" spans="1:9" x14ac:dyDescent="0.25">
      <c r="A81" s="197">
        <f t="shared" si="2"/>
        <v>77</v>
      </c>
      <c r="B81" s="73">
        <v>77</v>
      </c>
      <c r="C81" s="73"/>
      <c r="D81" s="104" t="s">
        <v>417</v>
      </c>
      <c r="E81" s="122" t="s">
        <v>226</v>
      </c>
      <c r="F81" s="73" t="str">
        <f>IF(G81="KGS",IF(D81&lt;&gt;"",IFERROR(VLOOKUP(D81,ProductList!J:AO,12,FALSE),""),""),IF(D81&lt;&gt;"",IFERROR(VLOOKUP(D81,ProductList!J:AO,15,FALSE),""),""))</f>
        <v/>
      </c>
      <c r="G81" s="6">
        <f>InvoiceGen!F79</f>
        <v>0</v>
      </c>
      <c r="H81" s="75" t="str">
        <f>IF(G81="KGS",IF(D81&lt;&gt;"",IFERROR(ROUND(VLOOKUP(D81,ProductList!J:BG,46,FALSE),3),""),""),IF(D81&lt;&gt;"",IFERROR(ROUND(VLOOKUP(D81,ProductList!J:BG,45,FALSE),3),""),""))</f>
        <v/>
      </c>
      <c r="I81" s="75" t="str">
        <f t="shared" si="3"/>
        <v/>
      </c>
    </row>
    <row r="82" spans="1:9" x14ac:dyDescent="0.25">
      <c r="A82" s="197">
        <f t="shared" si="2"/>
        <v>78</v>
      </c>
      <c r="B82" s="73">
        <v>78</v>
      </c>
      <c r="C82" s="73"/>
      <c r="D82" s="104" t="s">
        <v>410</v>
      </c>
      <c r="E82" s="122" t="s">
        <v>226</v>
      </c>
      <c r="F82" s="73" t="str">
        <f>IF(G82="KGS",IF(D82&lt;&gt;"",IFERROR(VLOOKUP(D82,ProductList!J:AO,12,FALSE),""),""),IF(D82&lt;&gt;"",IFERROR(VLOOKUP(D82,ProductList!J:AO,15,FALSE),""),""))</f>
        <v/>
      </c>
      <c r="G82" s="6">
        <f>InvoiceGen!F80</f>
        <v>0</v>
      </c>
      <c r="H82" s="75" t="str">
        <f>IF(G82="KGS",IF(D82&lt;&gt;"",IFERROR(ROUND(VLOOKUP(D82,ProductList!J:BG,46,FALSE),3),""),""),IF(D82&lt;&gt;"",IFERROR(ROUND(VLOOKUP(D82,ProductList!J:BG,45,FALSE),3),""),""))</f>
        <v/>
      </c>
      <c r="I82" s="75" t="str">
        <f t="shared" si="3"/>
        <v/>
      </c>
    </row>
    <row r="83" spans="1:9" x14ac:dyDescent="0.25">
      <c r="A83" s="197">
        <f t="shared" si="2"/>
        <v>79</v>
      </c>
      <c r="B83" s="73">
        <v>79</v>
      </c>
      <c r="C83" s="73"/>
      <c r="D83" s="104" t="s">
        <v>411</v>
      </c>
      <c r="E83" s="122" t="s">
        <v>226</v>
      </c>
      <c r="F83" s="73" t="str">
        <f>IF(G83="KGS",IF(D83&lt;&gt;"",IFERROR(VLOOKUP(D83,ProductList!J:AO,12,FALSE),""),""),IF(D83&lt;&gt;"",IFERROR(VLOOKUP(D83,ProductList!J:AO,15,FALSE),""),""))</f>
        <v/>
      </c>
      <c r="G83" s="6">
        <f>InvoiceGen!F81</f>
        <v>0</v>
      </c>
      <c r="H83" s="75" t="str">
        <f>IF(G83="KGS",IF(D83&lt;&gt;"",IFERROR(ROUND(VLOOKUP(D83,ProductList!J:BG,46,FALSE),3),""),""),IF(D83&lt;&gt;"",IFERROR(ROUND(VLOOKUP(D83,ProductList!J:BG,45,FALSE),3),""),""))</f>
        <v/>
      </c>
      <c r="I83" s="75" t="str">
        <f t="shared" si="3"/>
        <v/>
      </c>
    </row>
    <row r="84" spans="1:9" x14ac:dyDescent="0.25">
      <c r="A84" s="197">
        <f t="shared" si="2"/>
        <v>80</v>
      </c>
      <c r="B84" s="73">
        <v>80</v>
      </c>
      <c r="C84" s="73"/>
      <c r="D84" s="104" t="s">
        <v>418</v>
      </c>
      <c r="E84" s="122" t="s">
        <v>226</v>
      </c>
      <c r="F84" s="73" t="str">
        <f>IF(G84="KGS",IF(D84&lt;&gt;"",IFERROR(VLOOKUP(D84,ProductList!J:AO,12,FALSE),""),""),IF(D84&lt;&gt;"",IFERROR(VLOOKUP(D84,ProductList!J:AO,15,FALSE),""),""))</f>
        <v/>
      </c>
      <c r="G84" s="6">
        <f>InvoiceGen!F82</f>
        <v>0</v>
      </c>
      <c r="H84" s="75" t="str">
        <f>IF(G84="KGS",IF(D84&lt;&gt;"",IFERROR(ROUND(VLOOKUP(D84,ProductList!J:BG,46,FALSE),3),""),""),IF(D84&lt;&gt;"",IFERROR(ROUND(VLOOKUP(D84,ProductList!J:BG,45,FALSE),3),""),""))</f>
        <v/>
      </c>
      <c r="I84" s="75" t="str">
        <f t="shared" si="3"/>
        <v/>
      </c>
    </row>
    <row r="85" spans="1:9" x14ac:dyDescent="0.25">
      <c r="A85" s="197">
        <f t="shared" si="2"/>
        <v>81</v>
      </c>
      <c r="B85" s="73">
        <v>81</v>
      </c>
      <c r="C85" s="73"/>
      <c r="D85" s="104" t="s">
        <v>419</v>
      </c>
      <c r="E85" s="122" t="s">
        <v>226</v>
      </c>
      <c r="F85" s="73" t="str">
        <f>IF(G85="KGS",IF(D85&lt;&gt;"",IFERROR(VLOOKUP(D85,ProductList!J:AO,12,FALSE),""),""),IF(D85&lt;&gt;"",IFERROR(VLOOKUP(D85,ProductList!J:AO,15,FALSE),""),""))</f>
        <v/>
      </c>
      <c r="G85" s="6">
        <f>InvoiceGen!F83</f>
        <v>0</v>
      </c>
      <c r="H85" s="75" t="str">
        <f>IF(G85="KGS",IF(D85&lt;&gt;"",IFERROR(ROUND(VLOOKUP(D85,ProductList!J:BG,46,FALSE),3),""),""),IF(D85&lt;&gt;"",IFERROR(ROUND(VLOOKUP(D85,ProductList!J:BG,45,FALSE),3),""),""))</f>
        <v/>
      </c>
      <c r="I85" s="75" t="str">
        <f t="shared" si="3"/>
        <v/>
      </c>
    </row>
    <row r="86" spans="1:9" x14ac:dyDescent="0.25">
      <c r="A86" s="197">
        <f t="shared" si="2"/>
        <v>82</v>
      </c>
      <c r="B86" s="73">
        <v>82</v>
      </c>
      <c r="C86" s="73"/>
      <c r="D86" s="104" t="s">
        <v>420</v>
      </c>
      <c r="E86" s="122" t="s">
        <v>226</v>
      </c>
      <c r="F86" s="73" t="str">
        <f>IF(G86="KGS",IF(D86&lt;&gt;"",IFERROR(VLOOKUP(D86,ProductList!J:AO,12,FALSE),""),""),IF(D86&lt;&gt;"",IFERROR(VLOOKUP(D86,ProductList!J:AO,15,FALSE),""),""))</f>
        <v/>
      </c>
      <c r="G86" s="6">
        <f>InvoiceGen!F84</f>
        <v>0</v>
      </c>
      <c r="H86" s="75" t="str">
        <f>IF(G86="KGS",IF(D86&lt;&gt;"",IFERROR(ROUND(VLOOKUP(D86,ProductList!J:BG,46,FALSE),3),""),""),IF(D86&lt;&gt;"",IFERROR(ROUND(VLOOKUP(D86,ProductList!J:BG,45,FALSE),3),""),""))</f>
        <v/>
      </c>
      <c r="I86" s="75" t="str">
        <f t="shared" si="3"/>
        <v/>
      </c>
    </row>
    <row r="87" spans="1:9" x14ac:dyDescent="0.25">
      <c r="A87" s="197">
        <f t="shared" si="2"/>
        <v>83</v>
      </c>
      <c r="B87" s="73">
        <v>83</v>
      </c>
      <c r="C87" s="73"/>
      <c r="D87" s="104" t="s">
        <v>421</v>
      </c>
      <c r="E87" s="122" t="s">
        <v>226</v>
      </c>
      <c r="F87" s="73" t="str">
        <f>IF(G87="KGS",IF(D87&lt;&gt;"",IFERROR(VLOOKUP(D87,ProductList!J:AO,12,FALSE),""),""),IF(D87&lt;&gt;"",IFERROR(VLOOKUP(D87,ProductList!J:AO,15,FALSE),""),""))</f>
        <v/>
      </c>
      <c r="G87" s="6">
        <f>InvoiceGen!F85</f>
        <v>0</v>
      </c>
      <c r="H87" s="75" t="str">
        <f>IF(G87="KGS",IF(D87&lt;&gt;"",IFERROR(ROUND(VLOOKUP(D87,ProductList!J:BG,46,FALSE),3),""),""),IF(D87&lt;&gt;"",IFERROR(ROUND(VLOOKUP(D87,ProductList!J:BG,45,FALSE),3),""),""))</f>
        <v/>
      </c>
      <c r="I87" s="75" t="str">
        <f t="shared" si="3"/>
        <v/>
      </c>
    </row>
    <row r="88" spans="1:9" x14ac:dyDescent="0.25">
      <c r="A88" s="197">
        <f t="shared" si="2"/>
        <v>84</v>
      </c>
      <c r="B88" s="73">
        <v>84</v>
      </c>
      <c r="C88" s="73"/>
      <c r="D88" s="104" t="s">
        <v>422</v>
      </c>
      <c r="E88" s="122" t="s">
        <v>226</v>
      </c>
      <c r="F88" s="73" t="str">
        <f>IF(G88="KGS",IF(D88&lt;&gt;"",IFERROR(VLOOKUP(D88,ProductList!J:AO,12,FALSE),""),""),IF(D88&lt;&gt;"",IFERROR(VLOOKUP(D88,ProductList!J:AO,15,FALSE),""),""))</f>
        <v/>
      </c>
      <c r="G88" s="6">
        <f>InvoiceGen!F86</f>
        <v>0</v>
      </c>
      <c r="H88" s="75" t="str">
        <f>IF(G88="KGS",IF(D88&lt;&gt;"",IFERROR(ROUND(VLOOKUP(D88,ProductList!J:BG,46,FALSE),3),""),""),IF(D88&lt;&gt;"",IFERROR(ROUND(VLOOKUP(D88,ProductList!J:BG,45,FALSE),3),""),""))</f>
        <v/>
      </c>
      <c r="I88" s="75" t="str">
        <f t="shared" si="3"/>
        <v/>
      </c>
    </row>
    <row r="89" spans="1:9" x14ac:dyDescent="0.25">
      <c r="A89" s="197">
        <f t="shared" si="2"/>
        <v>85</v>
      </c>
      <c r="B89" s="73">
        <v>85</v>
      </c>
      <c r="C89" s="73"/>
      <c r="D89" s="104" t="s">
        <v>414</v>
      </c>
      <c r="E89" s="122" t="s">
        <v>226</v>
      </c>
      <c r="F89" s="73" t="str">
        <f>IF(G89="KGS",IF(D89&lt;&gt;"",IFERROR(VLOOKUP(D89,ProductList!J:AO,12,FALSE),""),""),IF(D89&lt;&gt;"",IFERROR(VLOOKUP(D89,ProductList!J:AO,15,FALSE),""),""))</f>
        <v/>
      </c>
      <c r="G89" s="6">
        <f>InvoiceGen!F87</f>
        <v>0</v>
      </c>
      <c r="H89" s="75" t="str">
        <f>IF(G89="KGS",IF(D89&lt;&gt;"",IFERROR(ROUND(VLOOKUP(D89,ProductList!J:BG,46,FALSE),3),""),""),IF(D89&lt;&gt;"",IFERROR(ROUND(VLOOKUP(D89,ProductList!J:BG,45,FALSE),3),""),""))</f>
        <v/>
      </c>
      <c r="I89" s="75" t="str">
        <f t="shared" si="3"/>
        <v/>
      </c>
    </row>
    <row r="90" spans="1:9" x14ac:dyDescent="0.25">
      <c r="A90" s="197">
        <f t="shared" si="2"/>
        <v>86</v>
      </c>
      <c r="B90" s="73">
        <v>86</v>
      </c>
      <c r="C90" s="73"/>
      <c r="D90" s="104" t="s">
        <v>423</v>
      </c>
      <c r="E90" s="122" t="s">
        <v>226</v>
      </c>
      <c r="F90" s="73" t="str">
        <f>IF(G90="KGS",IF(D90&lt;&gt;"",IFERROR(VLOOKUP(D90,ProductList!J:AO,12,FALSE),""),""),IF(D90&lt;&gt;"",IFERROR(VLOOKUP(D90,ProductList!J:AO,15,FALSE),""),""))</f>
        <v/>
      </c>
      <c r="G90" s="6">
        <f>InvoiceGen!F88</f>
        <v>0</v>
      </c>
      <c r="H90" s="75" t="str">
        <f>IF(G90="KGS",IF(D90&lt;&gt;"",IFERROR(ROUND(VLOOKUP(D90,ProductList!J:BG,46,FALSE),3),""),""),IF(D90&lt;&gt;"",IFERROR(ROUND(VLOOKUP(D90,ProductList!J:BG,45,FALSE),3),""),""))</f>
        <v/>
      </c>
      <c r="I90" s="75" t="str">
        <f t="shared" si="3"/>
        <v/>
      </c>
    </row>
    <row r="91" spans="1:9" x14ac:dyDescent="0.25">
      <c r="A91" s="197">
        <f t="shared" si="2"/>
        <v>87</v>
      </c>
      <c r="B91" s="73">
        <v>87</v>
      </c>
      <c r="C91" s="73"/>
      <c r="D91" s="104" t="s">
        <v>412</v>
      </c>
      <c r="E91" s="122" t="s">
        <v>226</v>
      </c>
      <c r="F91" s="73" t="str">
        <f>IF(G91="KGS",IF(D91&lt;&gt;"",IFERROR(VLOOKUP(D91,ProductList!J:AO,12,FALSE),""),""),IF(D91&lt;&gt;"",IFERROR(VLOOKUP(D91,ProductList!J:AO,15,FALSE),""),""))</f>
        <v/>
      </c>
      <c r="G91" s="6">
        <f>InvoiceGen!F89</f>
        <v>0</v>
      </c>
      <c r="H91" s="75" t="str">
        <f>IF(G91="KGS",IF(D91&lt;&gt;"",IFERROR(ROUND(VLOOKUP(D91,ProductList!J:BG,46,FALSE),3),""),""),IF(D91&lt;&gt;"",IFERROR(ROUND(VLOOKUP(D91,ProductList!J:BG,45,FALSE),3),""),""))</f>
        <v/>
      </c>
      <c r="I91" s="75" t="str">
        <f t="shared" si="3"/>
        <v/>
      </c>
    </row>
    <row r="92" spans="1:9" x14ac:dyDescent="0.25">
      <c r="A92" s="197">
        <f t="shared" si="2"/>
        <v>88</v>
      </c>
      <c r="B92" s="73">
        <v>88</v>
      </c>
      <c r="C92" s="73"/>
      <c r="D92" s="104" t="s">
        <v>424</v>
      </c>
      <c r="E92" s="122" t="s">
        <v>226</v>
      </c>
      <c r="F92" s="73" t="str">
        <f>IF(G92="KGS",IF(D92&lt;&gt;"",IFERROR(VLOOKUP(D92,ProductList!J:AO,12,FALSE),""),""),IF(D92&lt;&gt;"",IFERROR(VLOOKUP(D92,ProductList!J:AO,15,FALSE),""),""))</f>
        <v/>
      </c>
      <c r="G92" s="6">
        <f>InvoiceGen!F90</f>
        <v>0</v>
      </c>
      <c r="H92" s="75" t="str">
        <f>IF(G92="KGS",IF(D92&lt;&gt;"",IFERROR(ROUND(VLOOKUP(D92,ProductList!J:BG,46,FALSE),3),""),""),IF(D92&lt;&gt;"",IFERROR(ROUND(VLOOKUP(D92,ProductList!J:BG,45,FALSE),3),""),""))</f>
        <v/>
      </c>
      <c r="I92" s="75" t="str">
        <f t="shared" si="3"/>
        <v/>
      </c>
    </row>
    <row r="93" spans="1:9" x14ac:dyDescent="0.25">
      <c r="A93" s="197">
        <f t="shared" si="2"/>
        <v>89</v>
      </c>
      <c r="B93" s="73">
        <v>89</v>
      </c>
      <c r="C93" s="73"/>
      <c r="D93" s="104" t="s">
        <v>417</v>
      </c>
      <c r="E93" s="122" t="s">
        <v>226</v>
      </c>
      <c r="F93" s="73" t="str">
        <f>IF(G93="KGS",IF(D93&lt;&gt;"",IFERROR(VLOOKUP(D93,ProductList!J:AO,12,FALSE),""),""),IF(D93&lt;&gt;"",IFERROR(VLOOKUP(D93,ProductList!J:AO,15,FALSE),""),""))</f>
        <v/>
      </c>
      <c r="G93" s="6">
        <f>InvoiceGen!F91</f>
        <v>0</v>
      </c>
      <c r="H93" s="75" t="str">
        <f>IF(G93="KGS",IF(D93&lt;&gt;"",IFERROR(ROUND(VLOOKUP(D93,ProductList!J:BG,46,FALSE),3),""),""),IF(D93&lt;&gt;"",IFERROR(ROUND(VLOOKUP(D93,ProductList!J:BG,45,FALSE),3),""),""))</f>
        <v/>
      </c>
      <c r="I93" s="75" t="str">
        <f t="shared" si="3"/>
        <v/>
      </c>
    </row>
    <row r="94" spans="1:9" x14ac:dyDescent="0.25">
      <c r="A94" s="197">
        <f t="shared" si="2"/>
        <v>90</v>
      </c>
      <c r="B94" s="73">
        <v>90</v>
      </c>
      <c r="C94" s="73"/>
      <c r="D94" s="104" t="s">
        <v>416</v>
      </c>
      <c r="E94" s="122" t="s">
        <v>226</v>
      </c>
      <c r="F94" s="73" t="str">
        <f>IF(G94="KGS",IF(D94&lt;&gt;"",IFERROR(VLOOKUP(D94,ProductList!J:AO,12,FALSE),""),""),IF(D94&lt;&gt;"",IFERROR(VLOOKUP(D94,ProductList!J:AO,15,FALSE),""),""))</f>
        <v/>
      </c>
      <c r="G94" s="6">
        <f>InvoiceGen!F92</f>
        <v>0</v>
      </c>
      <c r="H94" s="75" t="str">
        <f>IF(G94="KGS",IF(D94&lt;&gt;"",IFERROR(ROUND(VLOOKUP(D94,ProductList!J:BG,46,FALSE),3),""),""),IF(D94&lt;&gt;"",IFERROR(ROUND(VLOOKUP(D94,ProductList!J:BG,45,FALSE),3),""),""))</f>
        <v/>
      </c>
      <c r="I94" s="75" t="str">
        <f t="shared" si="3"/>
        <v/>
      </c>
    </row>
    <row r="95" spans="1:9" x14ac:dyDescent="0.25">
      <c r="A95" s="197">
        <f t="shared" si="2"/>
        <v>91</v>
      </c>
      <c r="B95" s="73">
        <v>91</v>
      </c>
      <c r="C95" s="73"/>
      <c r="D95" s="104" t="s">
        <v>425</v>
      </c>
      <c r="E95" s="122" t="s">
        <v>66</v>
      </c>
      <c r="F95" s="73" t="str">
        <f>IF(G95="KGS",IF(D95&lt;&gt;"",IFERROR(VLOOKUP(D95,ProductList!J:AO,12,FALSE),""),""),IF(D95&lt;&gt;"",IFERROR(VLOOKUP(D95,ProductList!J:AO,15,FALSE),""),""))</f>
        <v/>
      </c>
      <c r="G95" s="6">
        <f>InvoiceGen!F93</f>
        <v>0</v>
      </c>
      <c r="H95" s="75" t="str">
        <f>IF(G95="KGS",IF(D95&lt;&gt;"",IFERROR(ROUND(VLOOKUP(D95,ProductList!J:BG,46,FALSE),3),""),""),IF(D95&lt;&gt;"",IFERROR(ROUND(VLOOKUP(D95,ProductList!J:BG,45,FALSE),3),""),""))</f>
        <v/>
      </c>
      <c r="I95" s="75" t="str">
        <f t="shared" si="3"/>
        <v/>
      </c>
    </row>
    <row r="96" spans="1:9" x14ac:dyDescent="0.25">
      <c r="A96" s="197">
        <f t="shared" si="2"/>
        <v>92</v>
      </c>
      <c r="B96" s="73">
        <v>92</v>
      </c>
      <c r="C96" s="73"/>
      <c r="D96" s="104" t="s">
        <v>426</v>
      </c>
      <c r="E96" s="122" t="s">
        <v>66</v>
      </c>
      <c r="F96" s="73" t="str">
        <f>IF(G96="KGS",IF(D96&lt;&gt;"",IFERROR(VLOOKUP(D96,ProductList!J:AO,12,FALSE),""),""),IF(D96&lt;&gt;"",IFERROR(VLOOKUP(D96,ProductList!J:AO,15,FALSE),""),""))</f>
        <v/>
      </c>
      <c r="G96" s="6">
        <f>InvoiceGen!F94</f>
        <v>0</v>
      </c>
      <c r="H96" s="75" t="str">
        <f>IF(G96="KGS",IF(D96&lt;&gt;"",IFERROR(ROUND(VLOOKUP(D96,ProductList!J:BG,46,FALSE),3),""),""),IF(D96&lt;&gt;"",IFERROR(ROUND(VLOOKUP(D96,ProductList!J:BG,45,FALSE),3),""),""))</f>
        <v/>
      </c>
      <c r="I96" s="75" t="str">
        <f t="shared" si="3"/>
        <v/>
      </c>
    </row>
    <row r="97" spans="1:9" x14ac:dyDescent="0.25">
      <c r="A97" s="197">
        <f t="shared" si="2"/>
        <v>93</v>
      </c>
      <c r="B97" s="73">
        <v>93</v>
      </c>
      <c r="C97" s="73"/>
      <c r="D97" s="104" t="s">
        <v>427</v>
      </c>
      <c r="E97" s="122" t="s">
        <v>66</v>
      </c>
      <c r="F97" s="73" t="str">
        <f>IF(G97="KGS",IF(D97&lt;&gt;"",IFERROR(VLOOKUP(D97,ProductList!J:AO,12,FALSE),""),""),IF(D97&lt;&gt;"",IFERROR(VLOOKUP(D97,ProductList!J:AO,15,FALSE),""),""))</f>
        <v/>
      </c>
      <c r="G97" s="6">
        <f>InvoiceGen!F95</f>
        <v>0</v>
      </c>
      <c r="H97" s="75" t="str">
        <f>IF(G97="KGS",IF(D97&lt;&gt;"",IFERROR(ROUND(VLOOKUP(D97,ProductList!J:BG,46,FALSE),3),""),""),IF(D97&lt;&gt;"",IFERROR(ROUND(VLOOKUP(D97,ProductList!J:BG,45,FALSE),3),""),""))</f>
        <v/>
      </c>
      <c r="I97" s="75" t="str">
        <f t="shared" si="3"/>
        <v/>
      </c>
    </row>
    <row r="98" spans="1:9" x14ac:dyDescent="0.25">
      <c r="A98" s="197">
        <f t="shared" si="2"/>
        <v>94</v>
      </c>
      <c r="B98" s="73">
        <v>94</v>
      </c>
      <c r="C98" s="73"/>
      <c r="D98" s="104" t="s">
        <v>428</v>
      </c>
      <c r="E98" s="122" t="s">
        <v>66</v>
      </c>
      <c r="F98" s="73" t="str">
        <f>IF(G98="KGS",IF(D98&lt;&gt;"",IFERROR(VLOOKUP(D98,ProductList!J:AO,12,FALSE),""),""),IF(D98&lt;&gt;"",IFERROR(VLOOKUP(D98,ProductList!J:AO,15,FALSE),""),""))</f>
        <v/>
      </c>
      <c r="G98" s="6">
        <f>InvoiceGen!F96</f>
        <v>0</v>
      </c>
      <c r="H98" s="75" t="str">
        <f>IF(G98="KGS",IF(D98&lt;&gt;"",IFERROR(ROUND(VLOOKUP(D98,ProductList!J:BG,46,FALSE),3),""),""),IF(D98&lt;&gt;"",IFERROR(ROUND(VLOOKUP(D98,ProductList!J:BG,45,FALSE),3),""),""))</f>
        <v/>
      </c>
      <c r="I98" s="75" t="str">
        <f t="shared" si="3"/>
        <v/>
      </c>
    </row>
    <row r="99" spans="1:9" x14ac:dyDescent="0.25">
      <c r="A99" s="197">
        <f t="shared" si="2"/>
        <v>95</v>
      </c>
      <c r="B99" s="73">
        <v>95</v>
      </c>
      <c r="C99" s="73"/>
      <c r="D99" s="104" t="s">
        <v>429</v>
      </c>
      <c r="E99" s="122" t="s">
        <v>66</v>
      </c>
      <c r="F99" s="73" t="str">
        <f>IF(G99="KGS",IF(D99&lt;&gt;"",IFERROR(VLOOKUP(D99,ProductList!J:AO,12,FALSE),""),""),IF(D99&lt;&gt;"",IFERROR(VLOOKUP(D99,ProductList!J:AO,15,FALSE),""),""))</f>
        <v/>
      </c>
      <c r="G99" s="6">
        <f>InvoiceGen!F97</f>
        <v>0</v>
      </c>
      <c r="H99" s="75" t="str">
        <f>IF(G99="KGS",IF(D99&lt;&gt;"",IFERROR(ROUND(VLOOKUP(D99,ProductList!J:BG,46,FALSE),3),""),""),IF(D99&lt;&gt;"",IFERROR(ROUND(VLOOKUP(D99,ProductList!J:BG,45,FALSE),3),""),""))</f>
        <v/>
      </c>
      <c r="I99" s="75" t="str">
        <f t="shared" si="3"/>
        <v/>
      </c>
    </row>
    <row r="100" spans="1:9" x14ac:dyDescent="0.25">
      <c r="A100" s="197">
        <f t="shared" si="2"/>
        <v>96</v>
      </c>
      <c r="B100" s="73">
        <v>96</v>
      </c>
      <c r="C100" s="73"/>
      <c r="D100" s="104" t="s">
        <v>430</v>
      </c>
      <c r="E100" s="122" t="s">
        <v>66</v>
      </c>
      <c r="F100" s="73" t="str">
        <f>IF(G100="KGS",IF(D100&lt;&gt;"",IFERROR(VLOOKUP(D100,ProductList!J:AO,12,FALSE),""),""),IF(D100&lt;&gt;"",IFERROR(VLOOKUP(D100,ProductList!J:AO,15,FALSE),""),""))</f>
        <v/>
      </c>
      <c r="G100" s="6">
        <f>InvoiceGen!F98</f>
        <v>0</v>
      </c>
      <c r="H100" s="75" t="str">
        <f>IF(G100="KGS",IF(D100&lt;&gt;"",IFERROR(ROUND(VLOOKUP(D100,ProductList!J:BG,46,FALSE),3),""),""),IF(D100&lt;&gt;"",IFERROR(ROUND(VLOOKUP(D100,ProductList!J:BG,45,FALSE),3),""),""))</f>
        <v/>
      </c>
      <c r="I100" s="75" t="str">
        <f t="shared" si="3"/>
        <v/>
      </c>
    </row>
    <row r="101" spans="1:9" x14ac:dyDescent="0.25">
      <c r="A101" s="197">
        <f t="shared" si="2"/>
        <v>97</v>
      </c>
      <c r="B101" s="73">
        <v>97</v>
      </c>
      <c r="C101" s="73"/>
      <c r="D101" s="104" t="s">
        <v>431</v>
      </c>
      <c r="E101" s="122" t="s">
        <v>66</v>
      </c>
      <c r="F101" s="73" t="str">
        <f>IF(G101="KGS",IF(D101&lt;&gt;"",IFERROR(VLOOKUP(D101,ProductList!J:AO,12,FALSE),""),""),IF(D101&lt;&gt;"",IFERROR(VLOOKUP(D101,ProductList!J:AO,15,FALSE),""),""))</f>
        <v/>
      </c>
      <c r="G101" s="6">
        <f>InvoiceGen!F99</f>
        <v>0</v>
      </c>
      <c r="H101" s="75" t="str">
        <f>IF(G101="KGS",IF(D101&lt;&gt;"",IFERROR(ROUND(VLOOKUP(D101,ProductList!J:BG,46,FALSE),3),""),""),IF(D101&lt;&gt;"",IFERROR(ROUND(VLOOKUP(D101,ProductList!J:BG,45,FALSE),3),""),""))</f>
        <v/>
      </c>
      <c r="I101" s="75" t="str">
        <f t="shared" si="3"/>
        <v/>
      </c>
    </row>
    <row r="102" spans="1:9" x14ac:dyDescent="0.25">
      <c r="A102" s="197">
        <f t="shared" si="2"/>
        <v>98</v>
      </c>
      <c r="B102" s="73">
        <v>98</v>
      </c>
      <c r="C102" s="73"/>
      <c r="D102" s="104" t="s">
        <v>432</v>
      </c>
      <c r="E102" s="122" t="s">
        <v>66</v>
      </c>
      <c r="F102" s="73" t="str">
        <f>IF(G102="KGS",IF(D102&lt;&gt;"",IFERROR(VLOOKUP(D102,ProductList!J:AO,12,FALSE),""),""),IF(D102&lt;&gt;"",IFERROR(VLOOKUP(D102,ProductList!J:AO,15,FALSE),""),""))</f>
        <v/>
      </c>
      <c r="G102" s="6">
        <f>InvoiceGen!F100</f>
        <v>0</v>
      </c>
      <c r="H102" s="75" t="str">
        <f>IF(G102="KGS",IF(D102&lt;&gt;"",IFERROR(ROUND(VLOOKUP(D102,ProductList!J:BG,46,FALSE),3),""),""),IF(D102&lt;&gt;"",IFERROR(ROUND(VLOOKUP(D102,ProductList!J:BG,45,FALSE),3),""),""))</f>
        <v/>
      </c>
      <c r="I102" s="75" t="str">
        <f t="shared" si="3"/>
        <v/>
      </c>
    </row>
    <row r="103" spans="1:9" x14ac:dyDescent="0.25">
      <c r="A103" s="197">
        <f t="shared" si="2"/>
        <v>99</v>
      </c>
      <c r="B103" s="73">
        <v>99</v>
      </c>
      <c r="C103" s="73"/>
      <c r="D103" s="104" t="s">
        <v>433</v>
      </c>
      <c r="E103" s="122" t="s">
        <v>66</v>
      </c>
      <c r="F103" s="73" t="str">
        <f>IF(G103="KGS",IF(D103&lt;&gt;"",IFERROR(VLOOKUP(D103,ProductList!J:AO,12,FALSE),""),""),IF(D103&lt;&gt;"",IFERROR(VLOOKUP(D103,ProductList!J:AO,15,FALSE),""),""))</f>
        <v/>
      </c>
      <c r="G103" s="6">
        <f>InvoiceGen!F101</f>
        <v>0</v>
      </c>
      <c r="H103" s="75" t="str">
        <f>IF(G103="KGS",IF(D103&lt;&gt;"",IFERROR(ROUND(VLOOKUP(D103,ProductList!J:BG,46,FALSE),3),""),""),IF(D103&lt;&gt;"",IFERROR(ROUND(VLOOKUP(D103,ProductList!J:BG,45,FALSE),3),""),""))</f>
        <v/>
      </c>
      <c r="I103" s="75" t="str">
        <f t="shared" si="3"/>
        <v/>
      </c>
    </row>
    <row r="104" spans="1:9" x14ac:dyDescent="0.25">
      <c r="A104" s="197">
        <f t="shared" si="2"/>
        <v>100</v>
      </c>
      <c r="B104" s="73">
        <v>100</v>
      </c>
      <c r="C104" s="73"/>
      <c r="D104" s="104" t="s">
        <v>434</v>
      </c>
      <c r="E104" s="122" t="s">
        <v>66</v>
      </c>
      <c r="F104" s="73" t="str">
        <f>IF(G104="KGS",IF(D104&lt;&gt;"",IFERROR(VLOOKUP(D104,ProductList!J:AO,12,FALSE),""),""),IF(D104&lt;&gt;"",IFERROR(VLOOKUP(D104,ProductList!J:AO,15,FALSE),""),""))</f>
        <v/>
      </c>
      <c r="G104" s="6">
        <f>InvoiceGen!F102</f>
        <v>0</v>
      </c>
      <c r="H104" s="75" t="str">
        <f>IF(G104="KGS",IF(D104&lt;&gt;"",IFERROR(ROUND(VLOOKUP(D104,ProductList!J:BG,46,FALSE),3),""),""),IF(D104&lt;&gt;"",IFERROR(ROUND(VLOOKUP(D104,ProductList!J:BG,45,FALSE),3),""),""))</f>
        <v/>
      </c>
      <c r="I104" s="75" t="str">
        <f t="shared" si="3"/>
        <v/>
      </c>
    </row>
    <row r="105" spans="1:9" x14ac:dyDescent="0.25">
      <c r="A105" s="197">
        <f t="shared" si="2"/>
        <v>101</v>
      </c>
      <c r="B105" s="73">
        <v>101</v>
      </c>
      <c r="C105" s="73"/>
      <c r="D105" s="104" t="s">
        <v>435</v>
      </c>
      <c r="E105" s="122" t="s">
        <v>66</v>
      </c>
      <c r="F105" s="73" t="str">
        <f>IF(G105="KGS",IF(D105&lt;&gt;"",IFERROR(VLOOKUP(D105,ProductList!J:AO,12,FALSE),""),""),IF(D105&lt;&gt;"",IFERROR(VLOOKUP(D105,ProductList!J:AO,15,FALSE),""),""))</f>
        <v/>
      </c>
      <c r="G105" s="6">
        <f>InvoiceGen!F103</f>
        <v>0</v>
      </c>
      <c r="H105" s="75" t="str">
        <f>IF(G105="KGS",IF(D105&lt;&gt;"",IFERROR(ROUND(VLOOKUP(D105,ProductList!J:BG,46,FALSE),3),""),""),IF(D105&lt;&gt;"",IFERROR(ROUND(VLOOKUP(D105,ProductList!J:BG,45,FALSE),3),""),""))</f>
        <v/>
      </c>
      <c r="I105" s="75" t="str">
        <f t="shared" si="3"/>
        <v/>
      </c>
    </row>
    <row r="106" spans="1:9" x14ac:dyDescent="0.25">
      <c r="A106" s="197">
        <f t="shared" si="2"/>
        <v>102</v>
      </c>
      <c r="B106" s="73">
        <v>102</v>
      </c>
      <c r="C106" s="73"/>
      <c r="D106" s="104" t="s">
        <v>436</v>
      </c>
      <c r="E106" s="122" t="s">
        <v>66</v>
      </c>
      <c r="F106" s="73" t="str">
        <f>IF(G106="KGS",IF(D106&lt;&gt;"",IFERROR(VLOOKUP(D106,ProductList!J:AO,12,FALSE),""),""),IF(D106&lt;&gt;"",IFERROR(VLOOKUP(D106,ProductList!J:AO,15,FALSE),""),""))</f>
        <v/>
      </c>
      <c r="G106" s="6">
        <f>InvoiceGen!F104</f>
        <v>0</v>
      </c>
      <c r="H106" s="75" t="str">
        <f>IF(G106="KGS",IF(D106&lt;&gt;"",IFERROR(ROUND(VLOOKUP(D106,ProductList!J:BG,46,FALSE),3),""),""),IF(D106&lt;&gt;"",IFERROR(ROUND(VLOOKUP(D106,ProductList!J:BG,45,FALSE),3),""),""))</f>
        <v/>
      </c>
      <c r="I106" s="75" t="str">
        <f t="shared" si="3"/>
        <v/>
      </c>
    </row>
    <row r="107" spans="1:9" x14ac:dyDescent="0.25">
      <c r="A107" s="197">
        <f t="shared" si="2"/>
        <v>103</v>
      </c>
      <c r="B107" s="73">
        <v>103</v>
      </c>
      <c r="C107" s="73"/>
      <c r="D107" s="104" t="s">
        <v>437</v>
      </c>
      <c r="E107" s="122" t="s">
        <v>66</v>
      </c>
      <c r="F107" s="73" t="str">
        <f>IF(G107="KGS",IF(D107&lt;&gt;"",IFERROR(VLOOKUP(D107,ProductList!J:AO,12,FALSE),""),""),IF(D107&lt;&gt;"",IFERROR(VLOOKUP(D107,ProductList!J:AO,15,FALSE),""),""))</f>
        <v/>
      </c>
      <c r="G107" s="6">
        <f>InvoiceGen!F105</f>
        <v>0</v>
      </c>
      <c r="H107" s="75" t="str">
        <f>IF(G107="KGS",IF(D107&lt;&gt;"",IFERROR(ROUND(VLOOKUP(D107,ProductList!J:BG,46,FALSE),3),""),""),IF(D107&lt;&gt;"",IFERROR(ROUND(VLOOKUP(D107,ProductList!J:BG,45,FALSE),3),""),""))</f>
        <v/>
      </c>
      <c r="I107" s="75" t="str">
        <f t="shared" si="3"/>
        <v/>
      </c>
    </row>
    <row r="108" spans="1:9" x14ac:dyDescent="0.25">
      <c r="A108" s="197">
        <f t="shared" si="2"/>
        <v>104</v>
      </c>
      <c r="B108" s="73">
        <v>104</v>
      </c>
      <c r="C108" s="73"/>
      <c r="D108" s="104" t="s">
        <v>438</v>
      </c>
      <c r="E108" s="122" t="s">
        <v>66</v>
      </c>
      <c r="F108" s="73" t="str">
        <f>IF(G108="KGS",IF(D108&lt;&gt;"",IFERROR(VLOOKUP(D108,ProductList!J:AO,12,FALSE),""),""),IF(D108&lt;&gt;"",IFERROR(VLOOKUP(D108,ProductList!J:AO,15,FALSE),""),""))</f>
        <v/>
      </c>
      <c r="G108" s="6">
        <f>InvoiceGen!F106</f>
        <v>0</v>
      </c>
      <c r="H108" s="75" t="str">
        <f>IF(G108="KGS",IF(D108&lt;&gt;"",IFERROR(ROUND(VLOOKUP(D108,ProductList!J:BG,46,FALSE),3),""),""),IF(D108&lt;&gt;"",IFERROR(ROUND(VLOOKUP(D108,ProductList!J:BG,45,FALSE),3),""),""))</f>
        <v/>
      </c>
      <c r="I108" s="75" t="str">
        <f t="shared" si="3"/>
        <v/>
      </c>
    </row>
    <row r="109" spans="1:9" x14ac:dyDescent="0.25">
      <c r="A109" s="197">
        <f t="shared" si="2"/>
        <v>105</v>
      </c>
      <c r="B109" s="73">
        <v>105</v>
      </c>
      <c r="C109" s="73"/>
      <c r="D109" s="104" t="s">
        <v>439</v>
      </c>
      <c r="E109" s="122" t="s">
        <v>66</v>
      </c>
      <c r="F109" s="73" t="str">
        <f>IF(G109="KGS",IF(D109&lt;&gt;"",IFERROR(VLOOKUP(D109,ProductList!J:AO,12,FALSE),""),""),IF(D109&lt;&gt;"",IFERROR(VLOOKUP(D109,ProductList!J:AO,15,FALSE),""),""))</f>
        <v/>
      </c>
      <c r="G109" s="6">
        <f>InvoiceGen!F107</f>
        <v>0</v>
      </c>
      <c r="H109" s="75" t="str">
        <f>IF(G109="KGS",IF(D109&lt;&gt;"",IFERROR(ROUND(VLOOKUP(D109,ProductList!J:BG,46,FALSE),3),""),""),IF(D109&lt;&gt;"",IFERROR(ROUND(VLOOKUP(D109,ProductList!J:BG,45,FALSE),3),""),""))</f>
        <v/>
      </c>
      <c r="I109" s="75" t="str">
        <f t="shared" si="3"/>
        <v/>
      </c>
    </row>
    <row r="110" spans="1:9" x14ac:dyDescent="0.25">
      <c r="A110" s="197">
        <f t="shared" si="2"/>
        <v>106</v>
      </c>
      <c r="B110" s="73">
        <v>106</v>
      </c>
      <c r="C110" s="73"/>
      <c r="D110" s="104" t="s">
        <v>440</v>
      </c>
      <c r="E110" s="122" t="s">
        <v>66</v>
      </c>
      <c r="F110" s="73" t="str">
        <f>IF(G110="KGS",IF(D110&lt;&gt;"",IFERROR(VLOOKUP(D110,ProductList!J:AO,12,FALSE),""),""),IF(D110&lt;&gt;"",IFERROR(VLOOKUP(D110,ProductList!J:AO,15,FALSE),""),""))</f>
        <v/>
      </c>
      <c r="G110" s="6">
        <f>InvoiceGen!F108</f>
        <v>0</v>
      </c>
      <c r="H110" s="75" t="str">
        <f>IF(G110="KGS",IF(D110&lt;&gt;"",IFERROR(ROUND(VLOOKUP(D110,ProductList!J:BG,46,FALSE),3),""),""),IF(D110&lt;&gt;"",IFERROR(ROUND(VLOOKUP(D110,ProductList!J:BG,45,FALSE),3),""),""))</f>
        <v/>
      </c>
      <c r="I110" s="75" t="str">
        <f t="shared" si="3"/>
        <v/>
      </c>
    </row>
    <row r="111" spans="1:9" x14ac:dyDescent="0.25">
      <c r="A111" s="197">
        <f t="shared" si="2"/>
        <v>107</v>
      </c>
      <c r="B111" s="73">
        <v>107</v>
      </c>
      <c r="C111" s="73"/>
      <c r="D111" s="104" t="s">
        <v>441</v>
      </c>
      <c r="E111" s="122" t="s">
        <v>66</v>
      </c>
      <c r="F111" s="73" t="str">
        <f>IF(G111="KGS",IF(D111&lt;&gt;"",IFERROR(VLOOKUP(D111,ProductList!J:AO,12,FALSE),""),""),IF(D111&lt;&gt;"",IFERROR(VLOOKUP(D111,ProductList!J:AO,15,FALSE),""),""))</f>
        <v/>
      </c>
      <c r="G111" s="6">
        <f>InvoiceGen!F109</f>
        <v>0</v>
      </c>
      <c r="H111" s="75" t="str">
        <f>IF(G111="KGS",IF(D111&lt;&gt;"",IFERROR(ROUND(VLOOKUP(D111,ProductList!J:BG,46,FALSE),3),""),""),IF(D111&lt;&gt;"",IFERROR(ROUND(VLOOKUP(D111,ProductList!J:BG,45,FALSE),3),""),""))</f>
        <v/>
      </c>
      <c r="I111" s="75" t="str">
        <f t="shared" si="3"/>
        <v/>
      </c>
    </row>
    <row r="112" spans="1:9" x14ac:dyDescent="0.25">
      <c r="A112" s="197">
        <f t="shared" si="2"/>
        <v>108</v>
      </c>
      <c r="B112" s="73">
        <v>108</v>
      </c>
      <c r="C112" s="73"/>
      <c r="D112" s="104" t="s">
        <v>442</v>
      </c>
      <c r="E112" s="122" t="s">
        <v>66</v>
      </c>
      <c r="F112" s="73" t="str">
        <f>IF(G112="KGS",IF(D112&lt;&gt;"",IFERROR(VLOOKUP(D112,ProductList!J:AO,12,FALSE),""),""),IF(D112&lt;&gt;"",IFERROR(VLOOKUP(D112,ProductList!J:AO,15,FALSE),""),""))</f>
        <v/>
      </c>
      <c r="G112" s="6">
        <f>InvoiceGen!F110</f>
        <v>0</v>
      </c>
      <c r="H112" s="75" t="str">
        <f>IF(G112="KGS",IF(D112&lt;&gt;"",IFERROR(ROUND(VLOOKUP(D112,ProductList!J:BG,46,FALSE),3),""),""),IF(D112&lt;&gt;"",IFERROR(ROUND(VLOOKUP(D112,ProductList!J:BG,45,FALSE),3),""),""))</f>
        <v/>
      </c>
      <c r="I112" s="75" t="str">
        <f t="shared" si="3"/>
        <v/>
      </c>
    </row>
    <row r="113" spans="1:9" x14ac:dyDescent="0.25">
      <c r="A113" s="197">
        <f t="shared" si="2"/>
        <v>109</v>
      </c>
      <c r="B113" s="73">
        <v>109</v>
      </c>
      <c r="C113" s="73"/>
      <c r="D113" s="104" t="s">
        <v>443</v>
      </c>
      <c r="E113" s="122" t="s">
        <v>66</v>
      </c>
      <c r="F113" s="73" t="str">
        <f>IF(G113="KGS",IF(D113&lt;&gt;"",IFERROR(VLOOKUP(D113,ProductList!J:AO,12,FALSE),""),""),IF(D113&lt;&gt;"",IFERROR(VLOOKUP(D113,ProductList!J:AO,15,FALSE),""),""))</f>
        <v/>
      </c>
      <c r="G113" s="6">
        <f>InvoiceGen!F111</f>
        <v>0</v>
      </c>
      <c r="H113" s="75" t="str">
        <f>IF(G113="KGS",IF(D113&lt;&gt;"",IFERROR(ROUND(VLOOKUP(D113,ProductList!J:BG,46,FALSE),3),""),""),IF(D113&lt;&gt;"",IFERROR(ROUND(VLOOKUP(D113,ProductList!J:BG,45,FALSE),3),""),""))</f>
        <v/>
      </c>
      <c r="I113" s="75" t="str">
        <f t="shared" si="3"/>
        <v/>
      </c>
    </row>
    <row r="114" spans="1:9" x14ac:dyDescent="0.25">
      <c r="A114" s="197">
        <f t="shared" si="2"/>
        <v>110</v>
      </c>
      <c r="B114" s="73">
        <v>110</v>
      </c>
      <c r="C114" s="73"/>
      <c r="D114" s="104" t="s">
        <v>444</v>
      </c>
      <c r="E114" s="122" t="s">
        <v>66</v>
      </c>
      <c r="F114" s="73" t="str">
        <f>IF(G114="KGS",IF(D114&lt;&gt;"",IFERROR(VLOOKUP(D114,ProductList!J:AO,12,FALSE),""),""),IF(D114&lt;&gt;"",IFERROR(VLOOKUP(D114,ProductList!J:AO,15,FALSE),""),""))</f>
        <v/>
      </c>
      <c r="G114" s="6">
        <f>InvoiceGen!F112</f>
        <v>0</v>
      </c>
      <c r="H114" s="75" t="str">
        <f>IF(G114="KGS",IF(D114&lt;&gt;"",IFERROR(ROUND(VLOOKUP(D114,ProductList!J:BG,46,FALSE),3),""),""),IF(D114&lt;&gt;"",IFERROR(ROUND(VLOOKUP(D114,ProductList!J:BG,45,FALSE),3),""),""))</f>
        <v/>
      </c>
      <c r="I114" s="75" t="str">
        <f t="shared" si="3"/>
        <v/>
      </c>
    </row>
    <row r="115" spans="1:9" x14ac:dyDescent="0.25">
      <c r="A115" s="197">
        <f t="shared" si="2"/>
        <v>111</v>
      </c>
      <c r="B115" s="73">
        <v>111</v>
      </c>
      <c r="C115" s="73"/>
      <c r="D115" s="104" t="s">
        <v>445</v>
      </c>
      <c r="E115" s="122" t="s">
        <v>66</v>
      </c>
      <c r="F115" s="73" t="str">
        <f>IF(G115="KGS",IF(D115&lt;&gt;"",IFERROR(VLOOKUP(D115,ProductList!J:AO,12,FALSE),""),""),IF(D115&lt;&gt;"",IFERROR(VLOOKUP(D115,ProductList!J:AO,15,FALSE),""),""))</f>
        <v/>
      </c>
      <c r="G115" s="6">
        <f>InvoiceGen!F113</f>
        <v>0</v>
      </c>
      <c r="H115" s="75" t="str">
        <f>IF(G115="KGS",IF(D115&lt;&gt;"",IFERROR(ROUND(VLOOKUP(D115,ProductList!J:BG,46,FALSE),3),""),""),IF(D115&lt;&gt;"",IFERROR(ROUND(VLOOKUP(D115,ProductList!J:BG,45,FALSE),3),""),""))</f>
        <v/>
      </c>
      <c r="I115" s="75" t="str">
        <f t="shared" si="3"/>
        <v/>
      </c>
    </row>
    <row r="116" spans="1:9" x14ac:dyDescent="0.25">
      <c r="A116" s="197">
        <f t="shared" si="2"/>
        <v>112</v>
      </c>
      <c r="B116" s="73">
        <v>112</v>
      </c>
      <c r="C116" s="73"/>
      <c r="D116" s="104" t="s">
        <v>446</v>
      </c>
      <c r="E116" s="122" t="s">
        <v>66</v>
      </c>
      <c r="F116" s="73" t="str">
        <f>IF(G116="KGS",IF(D116&lt;&gt;"",IFERROR(VLOOKUP(D116,ProductList!J:AO,12,FALSE),""),""),IF(D116&lt;&gt;"",IFERROR(VLOOKUP(D116,ProductList!J:AO,15,FALSE),""),""))</f>
        <v/>
      </c>
      <c r="G116" s="6">
        <f>InvoiceGen!F114</f>
        <v>0</v>
      </c>
      <c r="H116" s="75" t="str">
        <f>IF(G116="KGS",IF(D116&lt;&gt;"",IFERROR(ROUND(VLOOKUP(D116,ProductList!J:BG,46,FALSE),3),""),""),IF(D116&lt;&gt;"",IFERROR(ROUND(VLOOKUP(D116,ProductList!J:BG,45,FALSE),3),""),""))</f>
        <v/>
      </c>
      <c r="I116" s="75" t="str">
        <f t="shared" si="3"/>
        <v/>
      </c>
    </row>
    <row r="117" spans="1:9" x14ac:dyDescent="0.25">
      <c r="A117" s="197">
        <f t="shared" si="2"/>
        <v>113</v>
      </c>
      <c r="B117" s="73">
        <v>113</v>
      </c>
      <c r="C117" s="73"/>
      <c r="D117" s="104" t="s">
        <v>447</v>
      </c>
      <c r="E117" s="122" t="s">
        <v>66</v>
      </c>
      <c r="F117" s="73" t="str">
        <f>IF(G117="KGS",IF(D117&lt;&gt;"",IFERROR(VLOOKUP(D117,ProductList!J:AO,12,FALSE),""),""),IF(D117&lt;&gt;"",IFERROR(VLOOKUP(D117,ProductList!J:AO,15,FALSE),""),""))</f>
        <v/>
      </c>
      <c r="G117" s="6">
        <f>InvoiceGen!F115</f>
        <v>0</v>
      </c>
      <c r="H117" s="75" t="str">
        <f>IF(G117="KGS",IF(D117&lt;&gt;"",IFERROR(ROUND(VLOOKUP(D117,ProductList!J:BG,46,FALSE),3),""),""),IF(D117&lt;&gt;"",IFERROR(ROUND(VLOOKUP(D117,ProductList!J:BG,45,FALSE),3),""),""))</f>
        <v/>
      </c>
      <c r="I117" s="75" t="str">
        <f t="shared" si="3"/>
        <v/>
      </c>
    </row>
    <row r="118" spans="1:9" x14ac:dyDescent="0.25">
      <c r="A118" s="197">
        <f t="shared" si="2"/>
        <v>114</v>
      </c>
      <c r="B118" s="73">
        <v>114</v>
      </c>
      <c r="C118" s="73"/>
      <c r="D118" s="104" t="s">
        <v>448</v>
      </c>
      <c r="E118" s="122" t="s">
        <v>66</v>
      </c>
      <c r="F118" s="73" t="str">
        <f>IF(G118="KGS",IF(D118&lt;&gt;"",IFERROR(VLOOKUP(D118,ProductList!J:AO,12,FALSE),""),""),IF(D118&lt;&gt;"",IFERROR(VLOOKUP(D118,ProductList!J:AO,15,FALSE),""),""))</f>
        <v/>
      </c>
      <c r="G118" s="6">
        <f>InvoiceGen!F116</f>
        <v>0</v>
      </c>
      <c r="H118" s="75" t="str">
        <f>IF(G118="KGS",IF(D118&lt;&gt;"",IFERROR(ROUND(VLOOKUP(D118,ProductList!J:BG,46,FALSE),3),""),""),IF(D118&lt;&gt;"",IFERROR(ROUND(VLOOKUP(D118,ProductList!J:BG,45,FALSE),3),""),""))</f>
        <v/>
      </c>
      <c r="I118" s="75" t="str">
        <f t="shared" si="3"/>
        <v/>
      </c>
    </row>
    <row r="119" spans="1:9" x14ac:dyDescent="0.25">
      <c r="A119" s="197">
        <f t="shared" si="2"/>
        <v>115</v>
      </c>
      <c r="B119" s="73">
        <v>115</v>
      </c>
      <c r="C119" s="73"/>
      <c r="D119" s="104" t="s">
        <v>449</v>
      </c>
      <c r="E119" s="122" t="s">
        <v>66</v>
      </c>
      <c r="F119" s="73" t="str">
        <f>IF(G119="KGS",IF(D119&lt;&gt;"",IFERROR(VLOOKUP(D119,ProductList!J:AO,12,FALSE),""),""),IF(D119&lt;&gt;"",IFERROR(VLOOKUP(D119,ProductList!J:AO,15,FALSE),""),""))</f>
        <v/>
      </c>
      <c r="G119" s="6">
        <f>InvoiceGen!F117</f>
        <v>0</v>
      </c>
      <c r="H119" s="75" t="str">
        <f>IF(G119="KGS",IF(D119&lt;&gt;"",IFERROR(ROUND(VLOOKUP(D119,ProductList!J:BG,46,FALSE),3),""),""),IF(D119&lt;&gt;"",IFERROR(ROUND(VLOOKUP(D119,ProductList!J:BG,45,FALSE),3),""),""))</f>
        <v/>
      </c>
      <c r="I119" s="75" t="str">
        <f t="shared" si="3"/>
        <v/>
      </c>
    </row>
    <row r="120" spans="1:9" x14ac:dyDescent="0.25">
      <c r="A120" s="197">
        <f t="shared" si="2"/>
        <v>116</v>
      </c>
      <c r="B120" s="73">
        <v>116</v>
      </c>
      <c r="C120" s="73"/>
      <c r="D120" s="104" t="s">
        <v>450</v>
      </c>
      <c r="E120" s="122" t="s">
        <v>66</v>
      </c>
      <c r="F120" s="73" t="str">
        <f>IF(G120="KGS",IF(D120&lt;&gt;"",IFERROR(VLOOKUP(D120,ProductList!J:AO,12,FALSE),""),""),IF(D120&lt;&gt;"",IFERROR(VLOOKUP(D120,ProductList!J:AO,15,FALSE),""),""))</f>
        <v/>
      </c>
      <c r="G120" s="6">
        <f>InvoiceGen!F118</f>
        <v>0</v>
      </c>
      <c r="H120" s="75" t="str">
        <f>IF(G120="KGS",IF(D120&lt;&gt;"",IFERROR(ROUND(VLOOKUP(D120,ProductList!J:BG,46,FALSE),3),""),""),IF(D120&lt;&gt;"",IFERROR(ROUND(VLOOKUP(D120,ProductList!J:BG,45,FALSE),3),""),""))</f>
        <v/>
      </c>
      <c r="I120" s="75" t="str">
        <f t="shared" si="3"/>
        <v/>
      </c>
    </row>
    <row r="121" spans="1:9" x14ac:dyDescent="0.25">
      <c r="A121" s="197">
        <f t="shared" si="2"/>
        <v>117</v>
      </c>
      <c r="B121" s="73">
        <v>117</v>
      </c>
      <c r="C121" s="73"/>
      <c r="D121" s="104" t="s">
        <v>451</v>
      </c>
      <c r="E121" s="122" t="s">
        <v>66</v>
      </c>
      <c r="F121" s="73" t="str">
        <f>IF(G121="KGS",IF(D121&lt;&gt;"",IFERROR(VLOOKUP(D121,ProductList!J:AO,12,FALSE),""),""),IF(D121&lt;&gt;"",IFERROR(VLOOKUP(D121,ProductList!J:AO,15,FALSE),""),""))</f>
        <v/>
      </c>
      <c r="G121" s="6">
        <f>InvoiceGen!F119</f>
        <v>0</v>
      </c>
      <c r="H121" s="75" t="str">
        <f>IF(G121="KGS",IF(D121&lt;&gt;"",IFERROR(ROUND(VLOOKUP(D121,ProductList!J:BG,46,FALSE),3),""),""),IF(D121&lt;&gt;"",IFERROR(ROUND(VLOOKUP(D121,ProductList!J:BG,45,FALSE),3),""),""))</f>
        <v/>
      </c>
      <c r="I121" s="75" t="str">
        <f t="shared" si="3"/>
        <v/>
      </c>
    </row>
    <row r="122" spans="1:9" x14ac:dyDescent="0.25">
      <c r="A122" s="197">
        <f t="shared" si="2"/>
        <v>118</v>
      </c>
      <c r="B122" s="73">
        <v>118</v>
      </c>
      <c r="C122" s="73"/>
      <c r="D122" s="104" t="s">
        <v>452</v>
      </c>
      <c r="E122" s="122" t="s">
        <v>66</v>
      </c>
      <c r="F122" s="73" t="str">
        <f>IF(G122="KGS",IF(D122&lt;&gt;"",IFERROR(VLOOKUP(D122,ProductList!J:AO,12,FALSE),""),""),IF(D122&lt;&gt;"",IFERROR(VLOOKUP(D122,ProductList!J:AO,15,FALSE),""),""))</f>
        <v/>
      </c>
      <c r="G122" s="6">
        <f>InvoiceGen!F120</f>
        <v>0</v>
      </c>
      <c r="H122" s="75" t="str">
        <f>IF(G122="KGS",IF(D122&lt;&gt;"",IFERROR(ROUND(VLOOKUP(D122,ProductList!J:BG,46,FALSE),3),""),""),IF(D122&lt;&gt;"",IFERROR(ROUND(VLOOKUP(D122,ProductList!J:BG,45,FALSE),3),""),""))</f>
        <v/>
      </c>
      <c r="I122" s="75" t="str">
        <f t="shared" si="3"/>
        <v/>
      </c>
    </row>
    <row r="123" spans="1:9" x14ac:dyDescent="0.25">
      <c r="A123" s="197">
        <f t="shared" si="2"/>
        <v>119</v>
      </c>
      <c r="B123" s="73">
        <v>119</v>
      </c>
      <c r="C123" s="73"/>
      <c r="D123" s="104" t="s">
        <v>453</v>
      </c>
      <c r="E123" s="122" t="s">
        <v>66</v>
      </c>
      <c r="F123" s="73" t="str">
        <f>IF(G123="KGS",IF(D123&lt;&gt;"",IFERROR(VLOOKUP(D123,ProductList!J:AO,12,FALSE),""),""),IF(D123&lt;&gt;"",IFERROR(VLOOKUP(D123,ProductList!J:AO,15,FALSE),""),""))</f>
        <v/>
      </c>
      <c r="G123" s="6">
        <f>InvoiceGen!F121</f>
        <v>0</v>
      </c>
      <c r="H123" s="75" t="str">
        <f>IF(G123="KGS",IF(D123&lt;&gt;"",IFERROR(ROUND(VLOOKUP(D123,ProductList!J:BG,46,FALSE),3),""),""),IF(D123&lt;&gt;"",IFERROR(ROUND(VLOOKUP(D123,ProductList!J:BG,45,FALSE),3),""),""))</f>
        <v/>
      </c>
      <c r="I123" s="75" t="str">
        <f t="shared" si="3"/>
        <v/>
      </c>
    </row>
    <row r="124" spans="1:9" x14ac:dyDescent="0.25">
      <c r="A124" s="197">
        <f t="shared" si="2"/>
        <v>120</v>
      </c>
      <c r="B124" s="73">
        <v>120</v>
      </c>
      <c r="C124" s="73"/>
      <c r="D124" s="104" t="s">
        <v>454</v>
      </c>
      <c r="E124" s="122" t="s">
        <v>66</v>
      </c>
      <c r="F124" s="73" t="str">
        <f>IF(G124="KGS",IF(D124&lt;&gt;"",IFERROR(VLOOKUP(D124,ProductList!J:AO,12,FALSE),""),""),IF(D124&lt;&gt;"",IFERROR(VLOOKUP(D124,ProductList!J:AO,15,FALSE),""),""))</f>
        <v/>
      </c>
      <c r="G124" s="6">
        <f>InvoiceGen!F122</f>
        <v>0</v>
      </c>
      <c r="H124" s="75" t="str">
        <f>IF(G124="KGS",IF(D124&lt;&gt;"",IFERROR(ROUND(VLOOKUP(D124,ProductList!J:BG,46,FALSE),3),""),""),IF(D124&lt;&gt;"",IFERROR(ROUND(VLOOKUP(D124,ProductList!J:BG,45,FALSE),3),""),""))</f>
        <v/>
      </c>
      <c r="I124" s="75" t="str">
        <f t="shared" si="3"/>
        <v/>
      </c>
    </row>
    <row r="125" spans="1:9" x14ac:dyDescent="0.25">
      <c r="A125" s="197">
        <f t="shared" si="2"/>
        <v>121</v>
      </c>
      <c r="B125" s="73">
        <v>121</v>
      </c>
      <c r="C125" s="73"/>
      <c r="D125" s="104" t="s">
        <v>455</v>
      </c>
      <c r="E125" s="122" t="s">
        <v>66</v>
      </c>
      <c r="F125" s="73" t="str">
        <f>IF(G125="KGS",IF(D125&lt;&gt;"",IFERROR(VLOOKUP(D125,ProductList!J:AO,12,FALSE),""),""),IF(D125&lt;&gt;"",IFERROR(VLOOKUP(D125,ProductList!J:AO,15,FALSE),""),""))</f>
        <v/>
      </c>
      <c r="G125" s="6">
        <f>InvoiceGen!F123</f>
        <v>0</v>
      </c>
      <c r="H125" s="75" t="str">
        <f>IF(G125="KGS",IF(D125&lt;&gt;"",IFERROR(ROUND(VLOOKUP(D125,ProductList!J:BG,46,FALSE),3),""),""),IF(D125&lt;&gt;"",IFERROR(ROUND(VLOOKUP(D125,ProductList!J:BG,45,FALSE),3),""),""))</f>
        <v/>
      </c>
      <c r="I125" s="75" t="str">
        <f t="shared" si="3"/>
        <v/>
      </c>
    </row>
    <row r="126" spans="1:9" x14ac:dyDescent="0.25">
      <c r="A126" s="197">
        <f t="shared" si="2"/>
        <v>122</v>
      </c>
      <c r="B126" s="73">
        <v>122</v>
      </c>
      <c r="C126" s="73"/>
      <c r="D126" s="104" t="s">
        <v>456</v>
      </c>
      <c r="E126" s="122" t="s">
        <v>66</v>
      </c>
      <c r="F126" s="73" t="str">
        <f>IF(G126="KGS",IF(D126&lt;&gt;"",IFERROR(VLOOKUP(D126,ProductList!J:AO,12,FALSE),""),""),IF(D126&lt;&gt;"",IFERROR(VLOOKUP(D126,ProductList!J:AO,15,FALSE),""),""))</f>
        <v/>
      </c>
      <c r="G126" s="6">
        <f>InvoiceGen!F124</f>
        <v>0</v>
      </c>
      <c r="H126" s="75" t="str">
        <f>IF(G126="KGS",IF(D126&lt;&gt;"",IFERROR(ROUND(VLOOKUP(D126,ProductList!J:BG,46,FALSE),3),""),""),IF(D126&lt;&gt;"",IFERROR(ROUND(VLOOKUP(D126,ProductList!J:BG,45,FALSE),3),""),""))</f>
        <v/>
      </c>
      <c r="I126" s="75" t="str">
        <f t="shared" si="3"/>
        <v/>
      </c>
    </row>
    <row r="127" spans="1:9" x14ac:dyDescent="0.25">
      <c r="A127" s="197">
        <f t="shared" si="2"/>
        <v>123</v>
      </c>
      <c r="B127" s="73">
        <v>123</v>
      </c>
      <c r="C127" s="73"/>
      <c r="D127" s="104" t="s">
        <v>457</v>
      </c>
      <c r="E127" s="122" t="s">
        <v>66</v>
      </c>
      <c r="F127" s="73" t="str">
        <f>IF(G127="KGS",IF(D127&lt;&gt;"",IFERROR(VLOOKUP(D127,ProductList!J:AO,12,FALSE),""),""),IF(D127&lt;&gt;"",IFERROR(VLOOKUP(D127,ProductList!J:AO,15,FALSE),""),""))</f>
        <v/>
      </c>
      <c r="G127" s="6">
        <f>InvoiceGen!F125</f>
        <v>0</v>
      </c>
      <c r="H127" s="75" t="str">
        <f>IF(G127="KGS",IF(D127&lt;&gt;"",IFERROR(ROUND(VLOOKUP(D127,ProductList!J:BG,46,FALSE),3),""),""),IF(D127&lt;&gt;"",IFERROR(ROUND(VLOOKUP(D127,ProductList!J:BG,45,FALSE),3),""),""))</f>
        <v/>
      </c>
      <c r="I127" s="75" t="str">
        <f t="shared" si="3"/>
        <v/>
      </c>
    </row>
    <row r="128" spans="1:9" x14ac:dyDescent="0.25">
      <c r="A128" s="197">
        <f t="shared" si="2"/>
        <v>124</v>
      </c>
      <c r="B128" s="73">
        <v>124</v>
      </c>
      <c r="C128" s="73"/>
      <c r="D128" s="104" t="s">
        <v>458</v>
      </c>
      <c r="E128" s="122" t="s">
        <v>66</v>
      </c>
      <c r="F128" s="73" t="str">
        <f>IF(G128="KGS",IF(D128&lt;&gt;"",IFERROR(VLOOKUP(D128,ProductList!J:AO,12,FALSE),""),""),IF(D128&lt;&gt;"",IFERROR(VLOOKUP(D128,ProductList!J:AO,15,FALSE),""),""))</f>
        <v/>
      </c>
      <c r="G128" s="6">
        <f>InvoiceGen!F126</f>
        <v>0</v>
      </c>
      <c r="H128" s="75" t="str">
        <f>IF(G128="KGS",IF(D128&lt;&gt;"",IFERROR(ROUND(VLOOKUP(D128,ProductList!J:BG,46,FALSE),3),""),""),IF(D128&lt;&gt;"",IFERROR(ROUND(VLOOKUP(D128,ProductList!J:BG,45,FALSE),3),""),""))</f>
        <v/>
      </c>
      <c r="I128" s="75" t="str">
        <f t="shared" si="3"/>
        <v/>
      </c>
    </row>
    <row r="129" spans="1:9" x14ac:dyDescent="0.25">
      <c r="A129" s="197">
        <f t="shared" si="2"/>
        <v>125</v>
      </c>
      <c r="B129" s="73">
        <v>125</v>
      </c>
      <c r="C129" s="73"/>
      <c r="D129" s="104" t="s">
        <v>459</v>
      </c>
      <c r="E129" s="122" t="s">
        <v>66</v>
      </c>
      <c r="F129" s="73" t="str">
        <f>IF(G129="KGS",IF(D129&lt;&gt;"",IFERROR(VLOOKUP(D129,ProductList!J:AO,12,FALSE),""),""),IF(D129&lt;&gt;"",IFERROR(VLOOKUP(D129,ProductList!J:AO,15,FALSE),""),""))</f>
        <v/>
      </c>
      <c r="G129" s="6">
        <f>InvoiceGen!F127</f>
        <v>0</v>
      </c>
      <c r="H129" s="75" t="str">
        <f>IF(G129="KGS",IF(D129&lt;&gt;"",IFERROR(ROUND(VLOOKUP(D129,ProductList!J:BG,46,FALSE),3),""),""),IF(D129&lt;&gt;"",IFERROR(ROUND(VLOOKUP(D129,ProductList!J:BG,45,FALSE),3),""),""))</f>
        <v/>
      </c>
      <c r="I129" s="75" t="str">
        <f t="shared" si="3"/>
        <v/>
      </c>
    </row>
    <row r="130" spans="1:9" x14ac:dyDescent="0.25">
      <c r="A130" s="197">
        <f t="shared" si="2"/>
        <v>126</v>
      </c>
      <c r="B130" s="73">
        <v>126</v>
      </c>
      <c r="C130" s="73"/>
      <c r="D130" s="104" t="s">
        <v>460</v>
      </c>
      <c r="E130" s="122" t="s">
        <v>66</v>
      </c>
      <c r="F130" s="73" t="str">
        <f>IF(G130="KGS",IF(D130&lt;&gt;"",IFERROR(VLOOKUP(D130,ProductList!J:AO,12,FALSE),""),""),IF(D130&lt;&gt;"",IFERROR(VLOOKUP(D130,ProductList!J:AO,15,FALSE),""),""))</f>
        <v/>
      </c>
      <c r="G130" s="6">
        <f>InvoiceGen!F128</f>
        <v>0</v>
      </c>
      <c r="H130" s="75" t="str">
        <f>IF(G130="KGS",IF(D130&lt;&gt;"",IFERROR(ROUND(VLOOKUP(D130,ProductList!J:BG,46,FALSE),3),""),""),IF(D130&lt;&gt;"",IFERROR(ROUND(VLOOKUP(D130,ProductList!J:BG,45,FALSE),3),""),""))</f>
        <v/>
      </c>
      <c r="I130" s="75" t="str">
        <f t="shared" si="3"/>
        <v/>
      </c>
    </row>
    <row r="131" spans="1:9" x14ac:dyDescent="0.25">
      <c r="A131" s="197">
        <f t="shared" si="2"/>
        <v>127</v>
      </c>
      <c r="B131" s="73">
        <v>127</v>
      </c>
      <c r="C131" s="73"/>
      <c r="D131" s="104" t="s">
        <v>461</v>
      </c>
      <c r="E131" s="122" t="s">
        <v>66</v>
      </c>
      <c r="F131" s="73" t="str">
        <f>IF(G131="KGS",IF(D131&lt;&gt;"",IFERROR(VLOOKUP(D131,ProductList!J:AO,12,FALSE),""),""),IF(D131&lt;&gt;"",IFERROR(VLOOKUP(D131,ProductList!J:AO,15,FALSE),""),""))</f>
        <v/>
      </c>
      <c r="G131" s="6">
        <f>InvoiceGen!F129</f>
        <v>0</v>
      </c>
      <c r="H131" s="75" t="str">
        <f>IF(G131="KGS",IF(D131&lt;&gt;"",IFERROR(ROUND(VLOOKUP(D131,ProductList!J:BG,46,FALSE),3),""),""),IF(D131&lt;&gt;"",IFERROR(ROUND(VLOOKUP(D131,ProductList!J:BG,45,FALSE),3),""),""))</f>
        <v/>
      </c>
      <c r="I131" s="75" t="str">
        <f t="shared" si="3"/>
        <v/>
      </c>
    </row>
    <row r="132" spans="1:9" x14ac:dyDescent="0.25">
      <c r="A132" s="197">
        <f t="shared" si="2"/>
        <v>128</v>
      </c>
      <c r="B132" s="73">
        <v>128</v>
      </c>
      <c r="C132" s="73"/>
      <c r="D132" s="104" t="s">
        <v>462</v>
      </c>
      <c r="E132" s="122" t="s">
        <v>66</v>
      </c>
      <c r="F132" s="73" t="str">
        <f>IF(G132="KGS",IF(D132&lt;&gt;"",IFERROR(VLOOKUP(D132,ProductList!J:AO,12,FALSE),""),""),IF(D132&lt;&gt;"",IFERROR(VLOOKUP(D132,ProductList!J:AO,15,FALSE),""),""))</f>
        <v/>
      </c>
      <c r="G132" s="6">
        <f>InvoiceGen!F130</f>
        <v>0</v>
      </c>
      <c r="H132" s="75" t="str">
        <f>IF(G132="KGS",IF(D132&lt;&gt;"",IFERROR(ROUND(VLOOKUP(D132,ProductList!J:BG,46,FALSE),3),""),""),IF(D132&lt;&gt;"",IFERROR(ROUND(VLOOKUP(D132,ProductList!J:BG,45,FALSE),3),""),""))</f>
        <v/>
      </c>
      <c r="I132" s="75" t="str">
        <f t="shared" si="3"/>
        <v/>
      </c>
    </row>
    <row r="133" spans="1:9" x14ac:dyDescent="0.25">
      <c r="A133" s="197">
        <f t="shared" ref="A133:A196" si="4">IF(AND(D133&lt;&gt;""),IF(A132&lt;&gt;"",A132,0)+1,A132)</f>
        <v>129</v>
      </c>
      <c r="B133" s="73">
        <v>129</v>
      </c>
      <c r="C133" s="73"/>
      <c r="D133" s="104" t="s">
        <v>463</v>
      </c>
      <c r="E133" s="122" t="s">
        <v>236</v>
      </c>
      <c r="F133" s="73">
        <f>IF(G133="KGS",IF(D133&lt;&gt;"",IFERROR(VLOOKUP(D133,ProductList!J:AO,12,FALSE),""),""),IF(D133&lt;&gt;"",IFERROR(VLOOKUP(D133,ProductList!J:AO,15,FALSE),""),""))</f>
        <v>18600</v>
      </c>
      <c r="G133" s="6">
        <f>InvoiceGen!F131</f>
        <v>0</v>
      </c>
      <c r="H133" s="75">
        <f>IF(G133="KGS",IF(D133&lt;&gt;"",IFERROR(ROUND(VLOOKUP(D133,ProductList!J:BG,46,FALSE),3),""),""),IF(D133&lt;&gt;"",IFERROR(ROUND(VLOOKUP(D133,ProductList!J:BG,45,FALSE),3),""),""))</f>
        <v>160.44</v>
      </c>
      <c r="I133" s="75">
        <f t="shared" si="3"/>
        <v>2984184</v>
      </c>
    </row>
    <row r="134" spans="1:9" x14ac:dyDescent="0.25">
      <c r="A134" s="197">
        <f t="shared" si="4"/>
        <v>130</v>
      </c>
      <c r="B134" s="73">
        <v>130</v>
      </c>
      <c r="C134" s="73"/>
      <c r="D134" s="104" t="s">
        <v>342</v>
      </c>
      <c r="E134" s="122" t="s">
        <v>197</v>
      </c>
      <c r="F134" s="73" t="str">
        <f>IF(G134="KGS",IF(D134&lt;&gt;"",IFERROR(VLOOKUP(D134,ProductList!J:AO,12,FALSE),""),""),IF(D134&lt;&gt;"",IFERROR(VLOOKUP(D134,ProductList!J:AO,15,FALSE),""),""))</f>
        <v/>
      </c>
      <c r="G134" s="6">
        <f>InvoiceGen!F132</f>
        <v>0</v>
      </c>
      <c r="H134" s="75" t="str">
        <f>IF(G134="KGS",IF(D134&lt;&gt;"",IFERROR(ROUND(VLOOKUP(D134,ProductList!J:BG,46,FALSE),3),""),""),IF(D134&lt;&gt;"",IFERROR(ROUND(VLOOKUP(D134,ProductList!J:BG,45,FALSE),3),""),""))</f>
        <v/>
      </c>
      <c r="I134" s="75" t="str">
        <f t="shared" ref="I134:I197" si="5">IF(AND(F134&lt;&gt;"",H134&lt;&gt;""),ROUND(F134*H134,2),"")</f>
        <v/>
      </c>
    </row>
    <row r="135" spans="1:9" x14ac:dyDescent="0.25">
      <c r="A135" s="197">
        <f t="shared" si="4"/>
        <v>131</v>
      </c>
      <c r="B135" s="73">
        <v>131</v>
      </c>
      <c r="C135" s="73"/>
      <c r="D135" s="104" t="s">
        <v>464</v>
      </c>
      <c r="E135" s="122" t="s">
        <v>197</v>
      </c>
      <c r="F135" s="73" t="str">
        <f>IF(G135="KGS",IF(D135&lt;&gt;"",IFERROR(VLOOKUP(D135,ProductList!J:AO,12,FALSE),""),""),IF(D135&lt;&gt;"",IFERROR(VLOOKUP(D135,ProductList!J:AO,15,FALSE),""),""))</f>
        <v/>
      </c>
      <c r="G135" s="6">
        <f>InvoiceGen!F133</f>
        <v>0</v>
      </c>
      <c r="H135" s="75" t="str">
        <f>IF(G135="KGS",IF(D135&lt;&gt;"",IFERROR(ROUND(VLOOKUP(D135,ProductList!J:BG,46,FALSE),3),""),""),IF(D135&lt;&gt;"",IFERROR(ROUND(VLOOKUP(D135,ProductList!J:BG,45,FALSE),3),""),""))</f>
        <v/>
      </c>
      <c r="I135" s="75" t="str">
        <f t="shared" si="5"/>
        <v/>
      </c>
    </row>
    <row r="136" spans="1:9" x14ac:dyDescent="0.25">
      <c r="A136" s="197">
        <f t="shared" si="4"/>
        <v>132</v>
      </c>
      <c r="B136" s="73">
        <v>132</v>
      </c>
      <c r="C136" s="73"/>
      <c r="D136" s="104" t="s">
        <v>465</v>
      </c>
      <c r="E136" s="122" t="s">
        <v>63</v>
      </c>
      <c r="F136" s="73" t="str">
        <f>IF(G136="KGS",IF(D136&lt;&gt;"",IFERROR(VLOOKUP(D136,ProductList!J:AO,12,FALSE),""),""),IF(D136&lt;&gt;"",IFERROR(VLOOKUP(D136,ProductList!J:AO,15,FALSE),""),""))</f>
        <v/>
      </c>
      <c r="G136" s="6">
        <f>InvoiceGen!F134</f>
        <v>0</v>
      </c>
      <c r="H136" s="75" t="str">
        <f>IF(G136="KGS",IF(D136&lt;&gt;"",IFERROR(ROUND(VLOOKUP(D136,ProductList!J:BG,46,FALSE),3),""),""),IF(D136&lt;&gt;"",IFERROR(ROUND(VLOOKUP(D136,ProductList!J:BG,45,FALSE),3),""),""))</f>
        <v/>
      </c>
      <c r="I136" s="75" t="str">
        <f t="shared" si="5"/>
        <v/>
      </c>
    </row>
    <row r="137" spans="1:9" x14ac:dyDescent="0.25">
      <c r="A137" s="197">
        <f t="shared" si="4"/>
        <v>132</v>
      </c>
      <c r="B137" s="73"/>
      <c r="C137" s="73"/>
      <c r="D137" s="104"/>
      <c r="E137" s="122"/>
      <c r="F137" s="73" t="str">
        <f>IF(G137="KGS",IF(D137&lt;&gt;"",IFERROR(VLOOKUP(D137,ProductList!J:AO,12,FALSE),""),""),IF(D137&lt;&gt;"",IFERROR(VLOOKUP(D137,ProductList!J:AO,15,FALSE),""),""))</f>
        <v/>
      </c>
      <c r="G137" s="6"/>
      <c r="H137" s="75" t="str">
        <f>IF(G137="KGS",IF(D137&lt;&gt;"",IFERROR(ROUND(VLOOKUP(D137,ProductList!J:BG,46,FALSE),3),""),""),IF(D137&lt;&gt;"",IFERROR(ROUND(VLOOKUP(D137,ProductList!J:BG,45,FALSE),3),""),""))</f>
        <v/>
      </c>
      <c r="I137" s="75" t="str">
        <f t="shared" si="5"/>
        <v/>
      </c>
    </row>
    <row r="138" spans="1:9" x14ac:dyDescent="0.25">
      <c r="A138" s="197">
        <f t="shared" si="4"/>
        <v>132</v>
      </c>
      <c r="B138" s="73"/>
      <c r="C138" s="73"/>
      <c r="D138" s="104"/>
      <c r="E138" s="122"/>
      <c r="F138" s="73" t="str">
        <f>IF(G138="KGS",IF(D138&lt;&gt;"",IFERROR(VLOOKUP(D138,ProductList!J:AO,12,FALSE),""),""),IF(D138&lt;&gt;"",IFERROR(VLOOKUP(D138,ProductList!J:AO,15,FALSE),""),""))</f>
        <v/>
      </c>
      <c r="G138" s="6"/>
      <c r="H138" s="75" t="str">
        <f>IF(G138="KGS",IF(D138&lt;&gt;"",IFERROR(ROUND(VLOOKUP(D138,ProductList!J:BG,46,FALSE),3),""),""),IF(D138&lt;&gt;"",IFERROR(ROUND(VLOOKUP(D138,ProductList!J:BG,45,FALSE),3),""),""))</f>
        <v/>
      </c>
      <c r="I138" s="75" t="str">
        <f t="shared" si="5"/>
        <v/>
      </c>
    </row>
    <row r="139" spans="1:9" x14ac:dyDescent="0.25">
      <c r="A139" s="197">
        <f t="shared" si="4"/>
        <v>132</v>
      </c>
      <c r="B139" s="73"/>
      <c r="C139" s="73"/>
      <c r="D139" s="104"/>
      <c r="E139" s="122"/>
      <c r="F139" s="73" t="str">
        <f>IF(G139="KGS",IF(D139&lt;&gt;"",IFERROR(VLOOKUP(D139,ProductList!J:AO,12,FALSE),""),""),IF(D139&lt;&gt;"",IFERROR(VLOOKUP(D139,ProductList!J:AO,15,FALSE),""),""))</f>
        <v/>
      </c>
      <c r="G139" s="6"/>
      <c r="H139" s="75" t="str">
        <f>IF(G139="KGS",IF(D139&lt;&gt;"",IFERROR(ROUND(VLOOKUP(D139,ProductList!J:BG,46,FALSE),3),""),""),IF(D139&lt;&gt;"",IFERROR(ROUND(VLOOKUP(D139,ProductList!J:BG,45,FALSE),3),""),""))</f>
        <v/>
      </c>
      <c r="I139" s="75" t="str">
        <f t="shared" si="5"/>
        <v/>
      </c>
    </row>
    <row r="140" spans="1:9" x14ac:dyDescent="0.25">
      <c r="A140" s="197">
        <f t="shared" si="4"/>
        <v>132</v>
      </c>
      <c r="B140" s="73"/>
      <c r="C140" s="73"/>
      <c r="D140" s="104"/>
      <c r="E140" s="122"/>
      <c r="F140" s="73" t="str">
        <f>IF(G140="KGS",IF(D140&lt;&gt;"",IFERROR(VLOOKUP(D140,ProductList!J:AO,12,FALSE),""),""),IF(D140&lt;&gt;"",IFERROR(VLOOKUP(D140,ProductList!J:AO,15,FALSE),""),""))</f>
        <v/>
      </c>
      <c r="G140" s="6"/>
      <c r="H140" s="75" t="str">
        <f>IF(G140="KGS",IF(D140&lt;&gt;"",IFERROR(ROUND(VLOOKUP(D140,ProductList!J:BG,46,FALSE),3),""),""),IF(D140&lt;&gt;"",IFERROR(ROUND(VLOOKUP(D140,ProductList!J:BG,45,FALSE),3),""),""))</f>
        <v/>
      </c>
      <c r="I140" s="75" t="str">
        <f t="shared" si="5"/>
        <v/>
      </c>
    </row>
    <row r="141" spans="1:9" x14ac:dyDescent="0.25">
      <c r="A141" s="197">
        <f t="shared" si="4"/>
        <v>132</v>
      </c>
      <c r="B141" s="73"/>
      <c r="C141" s="73"/>
      <c r="D141" s="104"/>
      <c r="E141" s="122"/>
      <c r="F141" s="73" t="str">
        <f>IF(G141="KGS",IF(D141&lt;&gt;"",IFERROR(VLOOKUP(D141,ProductList!J:AO,12,FALSE),""),""),IF(D141&lt;&gt;"",IFERROR(VLOOKUP(D141,ProductList!J:AO,15,FALSE),""),""))</f>
        <v/>
      </c>
      <c r="G141" s="6"/>
      <c r="H141" s="75" t="str">
        <f>IF(G141="KGS",IF(D141&lt;&gt;"",IFERROR(ROUND(VLOOKUP(D141,ProductList!J:BG,46,FALSE),3),""),""),IF(D141&lt;&gt;"",IFERROR(ROUND(VLOOKUP(D141,ProductList!J:BG,45,FALSE),3),""),""))</f>
        <v/>
      </c>
      <c r="I141" s="75" t="str">
        <f t="shared" si="5"/>
        <v/>
      </c>
    </row>
    <row r="142" spans="1:9" x14ac:dyDescent="0.25">
      <c r="A142" s="197">
        <f t="shared" si="4"/>
        <v>132</v>
      </c>
      <c r="B142" s="73"/>
      <c r="C142" s="73"/>
      <c r="D142" s="104"/>
      <c r="E142" s="122"/>
      <c r="F142" s="73" t="str">
        <f>IF(G142="KGS",IF(D142&lt;&gt;"",IFERROR(VLOOKUP(D142,ProductList!J:AO,12,FALSE),""),""),IF(D142&lt;&gt;"",IFERROR(VLOOKUP(D142,ProductList!J:AO,15,FALSE),""),""))</f>
        <v/>
      </c>
      <c r="G142" s="6"/>
      <c r="H142" s="75" t="str">
        <f>IF(G142="KGS",IF(D142&lt;&gt;"",IFERROR(ROUND(VLOOKUP(D142,ProductList!J:BG,46,FALSE),3),""),""),IF(D142&lt;&gt;"",IFERROR(ROUND(VLOOKUP(D142,ProductList!J:BG,45,FALSE),3),""),""))</f>
        <v/>
      </c>
      <c r="I142" s="75" t="str">
        <f t="shared" si="5"/>
        <v/>
      </c>
    </row>
    <row r="143" spans="1:9" x14ac:dyDescent="0.25">
      <c r="A143" s="197">
        <f t="shared" si="4"/>
        <v>132</v>
      </c>
      <c r="B143" s="73"/>
      <c r="C143" s="73"/>
      <c r="D143" s="104"/>
      <c r="E143" s="122"/>
      <c r="F143" s="73" t="str">
        <f>IF(G143="KGS",IF(D143&lt;&gt;"",IFERROR(VLOOKUP(D143,ProductList!J:AO,12,FALSE),""),""),IF(D143&lt;&gt;"",IFERROR(VLOOKUP(D143,ProductList!J:AO,15,FALSE),""),""))</f>
        <v/>
      </c>
      <c r="G143" s="6"/>
      <c r="H143" s="75" t="str">
        <f>IF(G143="KGS",IF(D143&lt;&gt;"",IFERROR(ROUND(VLOOKUP(D143,ProductList!J:BG,46,FALSE),3),""),""),IF(D143&lt;&gt;"",IFERROR(ROUND(VLOOKUP(D143,ProductList!J:BG,45,FALSE),3),""),""))</f>
        <v/>
      </c>
      <c r="I143" s="75" t="str">
        <f t="shared" si="5"/>
        <v/>
      </c>
    </row>
    <row r="144" spans="1:9" x14ac:dyDescent="0.25">
      <c r="A144" s="197">
        <f t="shared" si="4"/>
        <v>132</v>
      </c>
      <c r="B144" s="73"/>
      <c r="C144" s="73"/>
      <c r="D144" s="104"/>
      <c r="E144" s="122"/>
      <c r="F144" s="73" t="str">
        <f>IF(G144="KGS",IF(D144&lt;&gt;"",IFERROR(VLOOKUP(D144,ProductList!J:AO,12,FALSE),""),""),IF(D144&lt;&gt;"",IFERROR(VLOOKUP(D144,ProductList!J:AO,15,FALSE),""),""))</f>
        <v/>
      </c>
      <c r="G144" s="6"/>
      <c r="H144" s="75" t="str">
        <f>IF(G144="KGS",IF(D144&lt;&gt;"",IFERROR(ROUND(VLOOKUP(D144,ProductList!J:BG,46,FALSE),3),""),""),IF(D144&lt;&gt;"",IFERROR(ROUND(VLOOKUP(D144,ProductList!J:BG,45,FALSE),3),""),""))</f>
        <v/>
      </c>
      <c r="I144" s="75" t="str">
        <f t="shared" si="5"/>
        <v/>
      </c>
    </row>
    <row r="145" spans="1:9" x14ac:dyDescent="0.25">
      <c r="A145" s="197">
        <f t="shared" si="4"/>
        <v>132</v>
      </c>
      <c r="B145" s="73"/>
      <c r="C145" s="73"/>
      <c r="D145" s="104"/>
      <c r="E145" s="122"/>
      <c r="F145" s="73" t="str">
        <f>IF(G145="KGS",IF(D145&lt;&gt;"",IFERROR(VLOOKUP(D145,ProductList!J:AO,12,FALSE),""),""),IF(D145&lt;&gt;"",IFERROR(VLOOKUP(D145,ProductList!J:AO,15,FALSE),""),""))</f>
        <v/>
      </c>
      <c r="G145" s="6"/>
      <c r="H145" s="75" t="str">
        <f>IF(G145="KGS",IF(D145&lt;&gt;"",IFERROR(ROUND(VLOOKUP(D145,ProductList!J:BG,46,FALSE),3),""),""),IF(D145&lt;&gt;"",IFERROR(ROUND(VLOOKUP(D145,ProductList!J:BG,45,FALSE),3),""),""))</f>
        <v/>
      </c>
      <c r="I145" s="75" t="str">
        <f t="shared" si="5"/>
        <v/>
      </c>
    </row>
    <row r="146" spans="1:9" x14ac:dyDescent="0.25">
      <c r="A146" s="197">
        <f t="shared" si="4"/>
        <v>132</v>
      </c>
      <c r="B146" s="73"/>
      <c r="C146" s="73"/>
      <c r="D146" s="104"/>
      <c r="E146" s="122"/>
      <c r="F146" s="73" t="str">
        <f>IF(G146="KGS",IF(D146&lt;&gt;"",IFERROR(VLOOKUP(D146,ProductList!J:AO,12,FALSE),""),""),IF(D146&lt;&gt;"",IFERROR(VLOOKUP(D146,ProductList!J:AO,15,FALSE),""),""))</f>
        <v/>
      </c>
      <c r="G146" s="6"/>
      <c r="H146" s="75" t="str">
        <f>IF(G146="KGS",IF(D146&lt;&gt;"",IFERROR(ROUND(VLOOKUP(D146,ProductList!J:BG,46,FALSE),3),""),""),IF(D146&lt;&gt;"",IFERROR(ROUND(VLOOKUP(D146,ProductList!J:BG,45,FALSE),3),""),""))</f>
        <v/>
      </c>
      <c r="I146" s="75" t="str">
        <f t="shared" si="5"/>
        <v/>
      </c>
    </row>
    <row r="147" spans="1:9" x14ac:dyDescent="0.25">
      <c r="A147" s="197">
        <f t="shared" si="4"/>
        <v>132</v>
      </c>
      <c r="B147" s="73"/>
      <c r="C147" s="73"/>
      <c r="D147" s="104"/>
      <c r="E147" s="122"/>
      <c r="F147" s="73" t="str">
        <f>IF(G147="KGS",IF(D147&lt;&gt;"",IFERROR(VLOOKUP(D147,ProductList!J:AO,12,FALSE),""),""),IF(D147&lt;&gt;"",IFERROR(VLOOKUP(D147,ProductList!J:AO,15,FALSE),""),""))</f>
        <v/>
      </c>
      <c r="G147" s="6"/>
      <c r="H147" s="75" t="str">
        <f>IF(G147="KGS",IF(D147&lt;&gt;"",IFERROR(ROUND(VLOOKUP(D147,ProductList!J:BG,46,FALSE),3),""),""),IF(D147&lt;&gt;"",IFERROR(ROUND(VLOOKUP(D147,ProductList!J:BG,45,FALSE),3),""),""))</f>
        <v/>
      </c>
      <c r="I147" s="75" t="str">
        <f t="shared" si="5"/>
        <v/>
      </c>
    </row>
    <row r="148" spans="1:9" x14ac:dyDescent="0.25">
      <c r="A148" s="197">
        <f t="shared" si="4"/>
        <v>132</v>
      </c>
      <c r="B148" s="73"/>
      <c r="C148" s="73"/>
      <c r="D148" s="104"/>
      <c r="E148" s="122"/>
      <c r="F148" s="73" t="str">
        <f>IF(G148="KGS",IF(D148&lt;&gt;"",IFERROR(VLOOKUP(D148,ProductList!J:AO,12,FALSE),""),""),IF(D148&lt;&gt;"",IFERROR(VLOOKUP(D148,ProductList!J:AO,15,FALSE),""),""))</f>
        <v/>
      </c>
      <c r="G148" s="6"/>
      <c r="H148" s="75" t="str">
        <f>IF(G148="KGS",IF(D148&lt;&gt;"",IFERROR(ROUND(VLOOKUP(D148,ProductList!J:BG,46,FALSE),3),""),""),IF(D148&lt;&gt;"",IFERROR(ROUND(VLOOKUP(D148,ProductList!J:BG,45,FALSE),3),""),""))</f>
        <v/>
      </c>
      <c r="I148" s="75" t="str">
        <f t="shared" si="5"/>
        <v/>
      </c>
    </row>
    <row r="149" spans="1:9" x14ac:dyDescent="0.25">
      <c r="A149" s="197">
        <f t="shared" si="4"/>
        <v>132</v>
      </c>
      <c r="B149" s="73"/>
      <c r="C149" s="73"/>
      <c r="D149" s="104"/>
      <c r="E149" s="122"/>
      <c r="F149" s="73" t="str">
        <f>IF(G149="KGS",IF(D149&lt;&gt;"",IFERROR(VLOOKUP(D149,ProductList!J:AO,12,FALSE),""),""),IF(D149&lt;&gt;"",IFERROR(VLOOKUP(D149,ProductList!J:AO,15,FALSE),""),""))</f>
        <v/>
      </c>
      <c r="G149" s="6"/>
      <c r="H149" s="75" t="str">
        <f>IF(G149="KGS",IF(D149&lt;&gt;"",IFERROR(ROUND(VLOOKUP(D149,ProductList!J:BG,46,FALSE),3),""),""),IF(D149&lt;&gt;"",IFERROR(ROUND(VLOOKUP(D149,ProductList!J:BG,45,FALSE),3),""),""))</f>
        <v/>
      </c>
      <c r="I149" s="75" t="str">
        <f t="shared" si="5"/>
        <v/>
      </c>
    </row>
    <row r="150" spans="1:9" x14ac:dyDescent="0.25">
      <c r="A150" s="197">
        <f t="shared" si="4"/>
        <v>132</v>
      </c>
      <c r="B150" s="73"/>
      <c r="C150" s="73"/>
      <c r="D150" s="104"/>
      <c r="E150" s="122"/>
      <c r="F150" s="73" t="str">
        <f>IF(G150="KGS",IF(D150&lt;&gt;"",IFERROR(VLOOKUP(D150,ProductList!J:AO,12,FALSE),""),""),IF(D150&lt;&gt;"",IFERROR(VLOOKUP(D150,ProductList!J:AO,15,FALSE),""),""))</f>
        <v/>
      </c>
      <c r="G150" s="6"/>
      <c r="H150" s="75" t="str">
        <f>IF(G150="KGS",IF(D150&lt;&gt;"",IFERROR(ROUND(VLOOKUP(D150,ProductList!J:BG,46,FALSE),3),""),""),IF(D150&lt;&gt;"",IFERROR(ROUND(VLOOKUP(D150,ProductList!J:BG,45,FALSE),3),""),""))</f>
        <v/>
      </c>
      <c r="I150" s="75" t="str">
        <f t="shared" si="5"/>
        <v/>
      </c>
    </row>
    <row r="151" spans="1:9" x14ac:dyDescent="0.25">
      <c r="A151" s="197">
        <f t="shared" si="4"/>
        <v>132</v>
      </c>
      <c r="B151" s="73"/>
      <c r="C151" s="73"/>
      <c r="D151" s="104"/>
      <c r="E151" s="122"/>
      <c r="F151" s="73" t="str">
        <f>IF(G151="KGS",IF(D151&lt;&gt;"",IFERROR(VLOOKUP(D151,ProductList!J:AO,12,FALSE),""),""),IF(D151&lt;&gt;"",IFERROR(VLOOKUP(D151,ProductList!J:AO,15,FALSE),""),""))</f>
        <v/>
      </c>
      <c r="G151" s="6"/>
      <c r="H151" s="75" t="str">
        <f>IF(G151="KGS",IF(D151&lt;&gt;"",IFERROR(ROUND(VLOOKUP(D151,ProductList!J:BG,46,FALSE),3),""),""),IF(D151&lt;&gt;"",IFERROR(ROUND(VLOOKUP(D151,ProductList!J:BG,45,FALSE),3),""),""))</f>
        <v/>
      </c>
      <c r="I151" s="75" t="str">
        <f t="shared" si="5"/>
        <v/>
      </c>
    </row>
    <row r="152" spans="1:9" x14ac:dyDescent="0.25">
      <c r="A152" s="197">
        <f t="shared" si="4"/>
        <v>132</v>
      </c>
      <c r="B152" s="73"/>
      <c r="C152" s="73"/>
      <c r="D152" s="104"/>
      <c r="E152" s="122"/>
      <c r="F152" s="73" t="str">
        <f>IF(G152="KGS",IF(D152&lt;&gt;"",IFERROR(VLOOKUP(D152,ProductList!J:AO,12,FALSE),""),""),IF(D152&lt;&gt;"",IFERROR(VLOOKUP(D152,ProductList!J:AO,15,FALSE),""),""))</f>
        <v/>
      </c>
      <c r="G152" s="6"/>
      <c r="H152" s="75" t="str">
        <f>IF(G152="KGS",IF(D152&lt;&gt;"",IFERROR(ROUND(VLOOKUP(D152,ProductList!J:BG,46,FALSE),3),""),""),IF(D152&lt;&gt;"",IFERROR(ROUND(VLOOKUP(D152,ProductList!J:BG,45,FALSE),3),""),""))</f>
        <v/>
      </c>
      <c r="I152" s="75" t="str">
        <f t="shared" si="5"/>
        <v/>
      </c>
    </row>
    <row r="153" spans="1:9" x14ac:dyDescent="0.25">
      <c r="A153" s="197">
        <f t="shared" si="4"/>
        <v>132</v>
      </c>
      <c r="B153" s="73"/>
      <c r="C153" s="73"/>
      <c r="D153" s="104"/>
      <c r="E153" s="122"/>
      <c r="F153" s="73" t="str">
        <f>IF(G153="KGS",IF(D153&lt;&gt;"",IFERROR(VLOOKUP(D153,ProductList!J:AO,12,FALSE),""),""),IF(D153&lt;&gt;"",IFERROR(VLOOKUP(D153,ProductList!J:AO,15,FALSE),""),""))</f>
        <v/>
      </c>
      <c r="G153" s="6"/>
      <c r="H153" s="75" t="str">
        <f>IF(G153="KGS",IF(D153&lt;&gt;"",IFERROR(ROUND(VLOOKUP(D153,ProductList!J:BG,46,FALSE),3),""),""),IF(D153&lt;&gt;"",IFERROR(ROUND(VLOOKUP(D153,ProductList!J:BG,45,FALSE),3),""),""))</f>
        <v/>
      </c>
      <c r="I153" s="75" t="str">
        <f t="shared" si="5"/>
        <v/>
      </c>
    </row>
    <row r="154" spans="1:9" x14ac:dyDescent="0.25">
      <c r="A154" s="197">
        <f t="shared" si="4"/>
        <v>132</v>
      </c>
      <c r="B154" s="73"/>
      <c r="C154" s="73"/>
      <c r="D154" s="104"/>
      <c r="E154" s="122"/>
      <c r="F154" s="73" t="str">
        <f>IF(G154="KGS",IF(D154&lt;&gt;"",IFERROR(VLOOKUP(D154,ProductList!J:AO,12,FALSE),""),""),IF(D154&lt;&gt;"",IFERROR(VLOOKUP(D154,ProductList!J:AO,15,FALSE),""),""))</f>
        <v/>
      </c>
      <c r="G154" s="6"/>
      <c r="H154" s="75" t="str">
        <f>IF(G154="KGS",IF(D154&lt;&gt;"",IFERROR(ROUND(VLOOKUP(D154,ProductList!J:BG,46,FALSE),3),""),""),IF(D154&lt;&gt;"",IFERROR(ROUND(VLOOKUP(D154,ProductList!J:BG,45,FALSE),3),""),""))</f>
        <v/>
      </c>
      <c r="I154" s="75" t="str">
        <f t="shared" si="5"/>
        <v/>
      </c>
    </row>
    <row r="155" spans="1:9" x14ac:dyDescent="0.25">
      <c r="A155" s="197">
        <f t="shared" si="4"/>
        <v>132</v>
      </c>
      <c r="B155" s="73"/>
      <c r="C155" s="73"/>
      <c r="D155" s="104"/>
      <c r="E155" s="122"/>
      <c r="F155" s="73" t="str">
        <f>IF(G155="KGS",IF(D155&lt;&gt;"",IFERROR(VLOOKUP(D155,ProductList!J:AO,12,FALSE),""),""),IF(D155&lt;&gt;"",IFERROR(VLOOKUP(D155,ProductList!J:AO,15,FALSE),""),""))</f>
        <v/>
      </c>
      <c r="G155" s="6"/>
      <c r="H155" s="75" t="str">
        <f>IF(G155="KGS",IF(D155&lt;&gt;"",IFERROR(ROUND(VLOOKUP(D155,ProductList!J:BG,46,FALSE),3),""),""),IF(D155&lt;&gt;"",IFERROR(ROUND(VLOOKUP(D155,ProductList!J:BG,45,FALSE),3),""),""))</f>
        <v/>
      </c>
      <c r="I155" s="75" t="str">
        <f t="shared" si="5"/>
        <v/>
      </c>
    </row>
    <row r="156" spans="1:9" x14ac:dyDescent="0.25">
      <c r="A156" s="197">
        <f t="shared" si="4"/>
        <v>132</v>
      </c>
      <c r="B156" s="73"/>
      <c r="C156" s="73"/>
      <c r="D156" s="104"/>
      <c r="E156" s="122"/>
      <c r="F156" s="73" t="str">
        <f>IF(G156="KGS",IF(D156&lt;&gt;"",IFERROR(VLOOKUP(D156,ProductList!J:AO,12,FALSE),""),""),IF(D156&lt;&gt;"",IFERROR(VLOOKUP(D156,ProductList!J:AO,15,FALSE),""),""))</f>
        <v/>
      </c>
      <c r="G156" s="6"/>
      <c r="H156" s="75" t="str">
        <f>IF(G156="KGS",IF(D156&lt;&gt;"",IFERROR(ROUND(VLOOKUP(D156,ProductList!J:BG,46,FALSE),3),""),""),IF(D156&lt;&gt;"",IFERROR(ROUND(VLOOKUP(D156,ProductList!J:BG,45,FALSE),3),""),""))</f>
        <v/>
      </c>
      <c r="I156" s="75" t="str">
        <f t="shared" si="5"/>
        <v/>
      </c>
    </row>
    <row r="157" spans="1:9" x14ac:dyDescent="0.25">
      <c r="A157" s="197">
        <f t="shared" si="4"/>
        <v>132</v>
      </c>
      <c r="B157" s="73"/>
      <c r="C157" s="73"/>
      <c r="D157" s="104"/>
      <c r="E157" s="122"/>
      <c r="F157" s="73" t="str">
        <f>IF(G157="KGS",IF(D157&lt;&gt;"",IFERROR(VLOOKUP(D157,ProductList!J:AO,12,FALSE),""),""),IF(D157&lt;&gt;"",IFERROR(VLOOKUP(D157,ProductList!J:AO,15,FALSE),""),""))</f>
        <v/>
      </c>
      <c r="G157" s="6"/>
      <c r="H157" s="75" t="str">
        <f>IF(G157="KGS",IF(D157&lt;&gt;"",IFERROR(ROUND(VLOOKUP(D157,ProductList!J:BG,46,FALSE),3),""),""),IF(D157&lt;&gt;"",IFERROR(ROUND(VLOOKUP(D157,ProductList!J:BG,45,FALSE),3),""),""))</f>
        <v/>
      </c>
      <c r="I157" s="75" t="str">
        <f t="shared" si="5"/>
        <v/>
      </c>
    </row>
    <row r="158" spans="1:9" x14ac:dyDescent="0.25">
      <c r="A158" s="197">
        <f t="shared" si="4"/>
        <v>132</v>
      </c>
      <c r="B158" s="73"/>
      <c r="C158" s="73"/>
      <c r="D158" s="104"/>
      <c r="E158" s="122"/>
      <c r="F158" s="73" t="str">
        <f>IF(G158="KGS",IF(D158&lt;&gt;"",IFERROR(VLOOKUP(D158,ProductList!J:AO,12,FALSE),""),""),IF(D158&lt;&gt;"",IFERROR(VLOOKUP(D158,ProductList!J:AO,15,FALSE),""),""))</f>
        <v/>
      </c>
      <c r="G158" s="6"/>
      <c r="H158" s="75" t="str">
        <f>IF(G158="KGS",IF(D158&lt;&gt;"",IFERROR(ROUND(VLOOKUP(D158,ProductList!J:BG,46,FALSE),3),""),""),IF(D158&lt;&gt;"",IFERROR(ROUND(VLOOKUP(D158,ProductList!J:BG,45,FALSE),3),""),""))</f>
        <v/>
      </c>
      <c r="I158" s="75" t="str">
        <f t="shared" si="5"/>
        <v/>
      </c>
    </row>
    <row r="159" spans="1:9" x14ac:dyDescent="0.25">
      <c r="A159" s="197">
        <f t="shared" si="4"/>
        <v>132</v>
      </c>
      <c r="B159" s="73"/>
      <c r="C159" s="73"/>
      <c r="D159" s="104"/>
      <c r="E159" s="122"/>
      <c r="F159" s="73" t="str">
        <f>IF(G159="KGS",IF(D159&lt;&gt;"",IFERROR(VLOOKUP(D159,ProductList!J:AO,12,FALSE),""),""),IF(D159&lt;&gt;"",IFERROR(VLOOKUP(D159,ProductList!J:AO,15,FALSE),""),""))</f>
        <v/>
      </c>
      <c r="G159" s="6"/>
      <c r="H159" s="75" t="str">
        <f>IF(G159="KGS",IF(D159&lt;&gt;"",IFERROR(ROUND(VLOOKUP(D159,ProductList!J:BG,46,FALSE),3),""),""),IF(D159&lt;&gt;"",IFERROR(ROUND(VLOOKUP(D159,ProductList!J:BG,45,FALSE),3),""),""))</f>
        <v/>
      </c>
      <c r="I159" s="75" t="str">
        <f t="shared" si="5"/>
        <v/>
      </c>
    </row>
    <row r="160" spans="1:9" x14ac:dyDescent="0.25">
      <c r="A160" s="197">
        <f t="shared" si="4"/>
        <v>132</v>
      </c>
      <c r="B160" s="73"/>
      <c r="C160" s="73"/>
      <c r="D160" s="104"/>
      <c r="E160" s="122"/>
      <c r="F160" s="73" t="str">
        <f>IF(G160="KGS",IF(D160&lt;&gt;"",IFERROR(VLOOKUP(D160,ProductList!J:AO,12,FALSE),""),""),IF(D160&lt;&gt;"",IFERROR(VLOOKUP(D160,ProductList!J:AO,15,FALSE),""),""))</f>
        <v/>
      </c>
      <c r="G160" s="6"/>
      <c r="H160" s="75" t="str">
        <f>IF(G160="KGS",IF(D160&lt;&gt;"",IFERROR(ROUND(VLOOKUP(D160,ProductList!J:BG,46,FALSE),3),""),""),IF(D160&lt;&gt;"",IFERROR(ROUND(VLOOKUP(D160,ProductList!J:BG,45,FALSE),3),""),""))</f>
        <v/>
      </c>
      <c r="I160" s="75" t="str">
        <f t="shared" si="5"/>
        <v/>
      </c>
    </row>
    <row r="161" spans="1:9" x14ac:dyDescent="0.25">
      <c r="A161" s="197">
        <f t="shared" si="4"/>
        <v>132</v>
      </c>
      <c r="B161" s="73"/>
      <c r="C161" s="73"/>
      <c r="D161" s="104"/>
      <c r="E161" s="122"/>
      <c r="F161" s="73" t="str">
        <f>IF(G161="KGS",IF(D161&lt;&gt;"",IFERROR(VLOOKUP(D161,ProductList!J:AO,12,FALSE),""),""),IF(D161&lt;&gt;"",IFERROR(VLOOKUP(D161,ProductList!J:AO,15,FALSE),""),""))</f>
        <v/>
      </c>
      <c r="G161" s="6"/>
      <c r="H161" s="75" t="str">
        <f>IF(G161="KGS",IF(D161&lt;&gt;"",IFERROR(ROUND(VLOOKUP(D161,ProductList!J:BG,46,FALSE),3),""),""),IF(D161&lt;&gt;"",IFERROR(ROUND(VLOOKUP(D161,ProductList!J:BG,45,FALSE),3),""),""))</f>
        <v/>
      </c>
      <c r="I161" s="75" t="str">
        <f t="shared" si="5"/>
        <v/>
      </c>
    </row>
    <row r="162" spans="1:9" x14ac:dyDescent="0.25">
      <c r="A162" s="197">
        <f t="shared" si="4"/>
        <v>132</v>
      </c>
      <c r="B162" s="73"/>
      <c r="C162" s="73"/>
      <c r="D162" s="104"/>
      <c r="E162" s="122"/>
      <c r="F162" s="73" t="str">
        <f>IF(G162="KGS",IF(D162&lt;&gt;"",IFERROR(VLOOKUP(D162,ProductList!J:AO,12,FALSE),""),""),IF(D162&lt;&gt;"",IFERROR(VLOOKUP(D162,ProductList!J:AO,15,FALSE),""),""))</f>
        <v/>
      </c>
      <c r="G162" s="6"/>
      <c r="H162" s="75" t="str">
        <f>IF(G162="KGS",IF(D162&lt;&gt;"",IFERROR(ROUND(VLOOKUP(D162,ProductList!J:BG,46,FALSE),3),""),""),IF(D162&lt;&gt;"",IFERROR(ROUND(VLOOKUP(D162,ProductList!J:BG,45,FALSE),3),""),""))</f>
        <v/>
      </c>
      <c r="I162" s="75" t="str">
        <f t="shared" si="5"/>
        <v/>
      </c>
    </row>
    <row r="163" spans="1:9" x14ac:dyDescent="0.25">
      <c r="A163" s="197">
        <f t="shared" si="4"/>
        <v>132</v>
      </c>
      <c r="B163" s="73"/>
      <c r="C163" s="73"/>
      <c r="D163" s="104"/>
      <c r="E163" s="122"/>
      <c r="F163" s="73" t="str">
        <f>IF(G163="KGS",IF(D163&lt;&gt;"",IFERROR(VLOOKUP(D163,ProductList!J:AO,12,FALSE),""),""),IF(D163&lt;&gt;"",IFERROR(VLOOKUP(D163,ProductList!J:AO,15,FALSE),""),""))</f>
        <v/>
      </c>
      <c r="G163" s="6"/>
      <c r="H163" s="75" t="str">
        <f>IF(G163="KGS",IF(D163&lt;&gt;"",IFERROR(ROUND(VLOOKUP(D163,ProductList!J:BG,46,FALSE),3),""),""),IF(D163&lt;&gt;"",IFERROR(ROUND(VLOOKUP(D163,ProductList!J:BG,45,FALSE),3),""),""))</f>
        <v/>
      </c>
      <c r="I163" s="75" t="str">
        <f t="shared" si="5"/>
        <v/>
      </c>
    </row>
    <row r="164" spans="1:9" x14ac:dyDescent="0.25">
      <c r="A164" s="197">
        <f t="shared" si="4"/>
        <v>132</v>
      </c>
      <c r="B164" s="73"/>
      <c r="C164" s="73"/>
      <c r="D164" s="104"/>
      <c r="E164" s="122"/>
      <c r="F164" s="73" t="str">
        <f>IF(G164="KGS",IF(D164&lt;&gt;"",IFERROR(VLOOKUP(D164,ProductList!J:AO,12,FALSE),""),""),IF(D164&lt;&gt;"",IFERROR(VLOOKUP(D164,ProductList!J:AO,15,FALSE),""),""))</f>
        <v/>
      </c>
      <c r="G164" s="6"/>
      <c r="H164" s="75" t="str">
        <f>IF(G164="KGS",IF(D164&lt;&gt;"",IFERROR(ROUND(VLOOKUP(D164,ProductList!J:BG,46,FALSE),3),""),""),IF(D164&lt;&gt;"",IFERROR(ROUND(VLOOKUP(D164,ProductList!J:BG,45,FALSE),3),""),""))</f>
        <v/>
      </c>
      <c r="I164" s="75" t="str">
        <f t="shared" si="5"/>
        <v/>
      </c>
    </row>
    <row r="165" spans="1:9" x14ac:dyDescent="0.25">
      <c r="A165" s="197">
        <f t="shared" si="4"/>
        <v>132</v>
      </c>
      <c r="B165" s="73"/>
      <c r="C165" s="73"/>
      <c r="D165" s="104"/>
      <c r="E165" s="122"/>
      <c r="F165" s="73" t="str">
        <f>IF(G165="KGS",IF(D165&lt;&gt;"",IFERROR(VLOOKUP(D165,ProductList!J:AO,12,FALSE),""),""),IF(D165&lt;&gt;"",IFERROR(VLOOKUP(D165,ProductList!J:AO,15,FALSE),""),""))</f>
        <v/>
      </c>
      <c r="G165" s="6"/>
      <c r="H165" s="75" t="str">
        <f>IF(G165="KGS",IF(D165&lt;&gt;"",IFERROR(ROUND(VLOOKUP(D165,ProductList!J:BG,46,FALSE),3),""),""),IF(D165&lt;&gt;"",IFERROR(ROUND(VLOOKUP(D165,ProductList!J:BG,45,FALSE),3),""),""))</f>
        <v/>
      </c>
      <c r="I165" s="75" t="str">
        <f t="shared" si="5"/>
        <v/>
      </c>
    </row>
    <row r="166" spans="1:9" x14ac:dyDescent="0.25">
      <c r="A166" s="197">
        <f t="shared" si="4"/>
        <v>132</v>
      </c>
      <c r="B166" s="73"/>
      <c r="C166" s="73"/>
      <c r="D166" s="104"/>
      <c r="E166" s="122"/>
      <c r="F166" s="73" t="str">
        <f>IF(G166="KGS",IF(D166&lt;&gt;"",IFERROR(VLOOKUP(D166,ProductList!J:AO,12,FALSE),""),""),IF(D166&lt;&gt;"",IFERROR(VLOOKUP(D166,ProductList!J:AO,15,FALSE),""),""))</f>
        <v/>
      </c>
      <c r="G166" s="6"/>
      <c r="H166" s="75" t="str">
        <f>IF(G166="KGS",IF(D166&lt;&gt;"",IFERROR(ROUND(VLOOKUP(D166,ProductList!J:BG,46,FALSE),3),""),""),IF(D166&lt;&gt;"",IFERROR(ROUND(VLOOKUP(D166,ProductList!J:BG,45,FALSE),3),""),""))</f>
        <v/>
      </c>
      <c r="I166" s="75" t="str">
        <f t="shared" si="5"/>
        <v/>
      </c>
    </row>
    <row r="167" spans="1:9" x14ac:dyDescent="0.25">
      <c r="A167" s="197">
        <f t="shared" si="4"/>
        <v>132</v>
      </c>
      <c r="B167" s="73"/>
      <c r="C167" s="73"/>
      <c r="D167" s="104"/>
      <c r="E167" s="122"/>
      <c r="F167" s="73" t="str">
        <f>IF(G167="KGS",IF(D167&lt;&gt;"",IFERROR(VLOOKUP(D167,ProductList!J:AO,12,FALSE),""),""),IF(D167&lt;&gt;"",IFERROR(VLOOKUP(D167,ProductList!J:AO,15,FALSE),""),""))</f>
        <v/>
      </c>
      <c r="G167" s="6"/>
      <c r="H167" s="75" t="str">
        <f>IF(G167="KGS",IF(D167&lt;&gt;"",IFERROR(ROUND(VLOOKUP(D167,ProductList!J:BG,46,FALSE),3),""),""),IF(D167&lt;&gt;"",IFERROR(ROUND(VLOOKUP(D167,ProductList!J:BG,45,FALSE),3),""),""))</f>
        <v/>
      </c>
      <c r="I167" s="75" t="str">
        <f t="shared" si="5"/>
        <v/>
      </c>
    </row>
    <row r="168" spans="1:9" x14ac:dyDescent="0.25">
      <c r="A168" s="197">
        <f t="shared" si="4"/>
        <v>132</v>
      </c>
      <c r="B168" s="73"/>
      <c r="C168" s="73"/>
      <c r="D168" s="104"/>
      <c r="E168" s="122"/>
      <c r="F168" s="73" t="str">
        <f>IF(G168="KGS",IF(D168&lt;&gt;"",IFERROR(VLOOKUP(D168,ProductList!J:AO,12,FALSE),""),""),IF(D168&lt;&gt;"",IFERROR(VLOOKUP(D168,ProductList!J:AO,15,FALSE),""),""))</f>
        <v/>
      </c>
      <c r="G168" s="6"/>
      <c r="H168" s="75" t="str">
        <f>IF(G168="KGS",IF(D168&lt;&gt;"",IFERROR(ROUND(VLOOKUP(D168,ProductList!J:BG,46,FALSE),3),""),""),IF(D168&lt;&gt;"",IFERROR(ROUND(VLOOKUP(D168,ProductList!J:BG,45,FALSE),3),""),""))</f>
        <v/>
      </c>
      <c r="I168" s="75" t="str">
        <f t="shared" si="5"/>
        <v/>
      </c>
    </row>
    <row r="169" spans="1:9" x14ac:dyDescent="0.25">
      <c r="A169" s="197">
        <f t="shared" si="4"/>
        <v>132</v>
      </c>
      <c r="B169" s="73"/>
      <c r="C169" s="73"/>
      <c r="D169" s="104"/>
      <c r="E169" s="122"/>
      <c r="F169" s="73" t="str">
        <f>IF(G169="KGS",IF(D169&lt;&gt;"",IFERROR(VLOOKUP(D169,ProductList!J:AO,12,FALSE),""),""),IF(D169&lt;&gt;"",IFERROR(VLOOKUP(D169,ProductList!J:AO,15,FALSE),""),""))</f>
        <v/>
      </c>
      <c r="G169" s="6"/>
      <c r="H169" s="75" t="str">
        <f>IF(G169="KGS",IF(D169&lt;&gt;"",IFERROR(ROUND(VLOOKUP(D169,ProductList!J:BG,46,FALSE),3),""),""),IF(D169&lt;&gt;"",IFERROR(ROUND(VLOOKUP(D169,ProductList!J:BG,45,FALSE),3),""),""))</f>
        <v/>
      </c>
      <c r="I169" s="75" t="str">
        <f t="shared" si="5"/>
        <v/>
      </c>
    </row>
    <row r="170" spans="1:9" x14ac:dyDescent="0.25">
      <c r="A170" s="197">
        <f t="shared" si="4"/>
        <v>132</v>
      </c>
      <c r="B170" s="73"/>
      <c r="C170" s="73"/>
      <c r="D170" s="104"/>
      <c r="E170" s="122"/>
      <c r="F170" s="73" t="str">
        <f>IF(G170="KGS",IF(D170&lt;&gt;"",IFERROR(VLOOKUP(D170,ProductList!J:AO,12,FALSE),""),""),IF(D170&lt;&gt;"",IFERROR(VLOOKUP(D170,ProductList!J:AO,15,FALSE),""),""))</f>
        <v/>
      </c>
      <c r="G170" s="6"/>
      <c r="H170" s="75" t="str">
        <f>IF(G170="KGS",IF(D170&lt;&gt;"",IFERROR(ROUND(VLOOKUP(D170,ProductList!J:BG,46,FALSE),3),""),""),IF(D170&lt;&gt;"",IFERROR(ROUND(VLOOKUP(D170,ProductList!J:BG,45,FALSE),3),""),""))</f>
        <v/>
      </c>
      <c r="I170" s="75" t="str">
        <f t="shared" si="5"/>
        <v/>
      </c>
    </row>
    <row r="171" spans="1:9" x14ac:dyDescent="0.25">
      <c r="A171" s="197">
        <f t="shared" si="4"/>
        <v>132</v>
      </c>
      <c r="B171" s="73"/>
      <c r="C171" s="73"/>
      <c r="D171" s="104"/>
      <c r="E171" s="122"/>
      <c r="F171" s="73" t="str">
        <f>IF(G171="KGS",IF(D171&lt;&gt;"",IFERROR(VLOOKUP(D171,ProductList!J:AO,12,FALSE),""),""),IF(D171&lt;&gt;"",IFERROR(VLOOKUP(D171,ProductList!J:AO,15,FALSE),""),""))</f>
        <v/>
      </c>
      <c r="G171" s="6"/>
      <c r="H171" s="75" t="str">
        <f>IF(G171="KGS",IF(D171&lt;&gt;"",IFERROR(ROUND(VLOOKUP(D171,ProductList!J:BG,46,FALSE),3),""),""),IF(D171&lt;&gt;"",IFERROR(ROUND(VLOOKUP(D171,ProductList!J:BG,45,FALSE),3),""),""))</f>
        <v/>
      </c>
      <c r="I171" s="75" t="str">
        <f t="shared" si="5"/>
        <v/>
      </c>
    </row>
    <row r="172" spans="1:9" x14ac:dyDescent="0.25">
      <c r="A172" s="197">
        <f t="shared" si="4"/>
        <v>132</v>
      </c>
      <c r="B172" s="73"/>
      <c r="C172" s="73"/>
      <c r="D172" s="104"/>
      <c r="E172" s="122"/>
      <c r="F172" s="73" t="str">
        <f>IF(G172="KGS",IF(D172&lt;&gt;"",IFERROR(VLOOKUP(D172,ProductList!J:AO,12,FALSE),""),""),IF(D172&lt;&gt;"",IFERROR(VLOOKUP(D172,ProductList!J:AO,15,FALSE),""),""))</f>
        <v/>
      </c>
      <c r="G172" s="6"/>
      <c r="H172" s="75" t="str">
        <f>IF(G172="KGS",IF(D172&lt;&gt;"",IFERROR(ROUND(VLOOKUP(D172,ProductList!J:BG,46,FALSE),3),""),""),IF(D172&lt;&gt;"",IFERROR(ROUND(VLOOKUP(D172,ProductList!J:BG,45,FALSE),3),""),""))</f>
        <v/>
      </c>
      <c r="I172" s="75" t="str">
        <f t="shared" si="5"/>
        <v/>
      </c>
    </row>
    <row r="173" spans="1:9" x14ac:dyDescent="0.25">
      <c r="A173" s="197">
        <f t="shared" si="4"/>
        <v>132</v>
      </c>
      <c r="B173" s="73"/>
      <c r="C173" s="73"/>
      <c r="D173" s="104"/>
      <c r="E173" s="122"/>
      <c r="F173" s="73" t="str">
        <f>IF(G173="KGS",IF(D173&lt;&gt;"",IFERROR(VLOOKUP(D173,ProductList!J:AO,12,FALSE),""),""),IF(D173&lt;&gt;"",IFERROR(VLOOKUP(D173,ProductList!J:AO,15,FALSE),""),""))</f>
        <v/>
      </c>
      <c r="G173" s="6"/>
      <c r="H173" s="75" t="str">
        <f>IF(G173="KGS",IF(D173&lt;&gt;"",IFERROR(ROUND(VLOOKUP(D173,ProductList!J:BG,46,FALSE),3),""),""),IF(D173&lt;&gt;"",IFERROR(ROUND(VLOOKUP(D173,ProductList!J:BG,45,FALSE),3),""),""))</f>
        <v/>
      </c>
      <c r="I173" s="75" t="str">
        <f t="shared" si="5"/>
        <v/>
      </c>
    </row>
    <row r="174" spans="1:9" x14ac:dyDescent="0.25">
      <c r="A174" s="197">
        <f t="shared" si="4"/>
        <v>132</v>
      </c>
      <c r="B174" s="73"/>
      <c r="C174" s="73"/>
      <c r="D174" s="104"/>
      <c r="E174" s="122"/>
      <c r="F174" s="73" t="str">
        <f>IF(G174="KGS",IF(D174&lt;&gt;"",IFERROR(VLOOKUP(D174,ProductList!J:AO,12,FALSE),""),""),IF(D174&lt;&gt;"",IFERROR(VLOOKUP(D174,ProductList!J:AO,15,FALSE),""),""))</f>
        <v/>
      </c>
      <c r="G174" s="6"/>
      <c r="H174" s="75" t="str">
        <f>IF(G174="KGS",IF(D174&lt;&gt;"",IFERROR(ROUND(VLOOKUP(D174,ProductList!J:BG,46,FALSE),3),""),""),IF(D174&lt;&gt;"",IFERROR(ROUND(VLOOKUP(D174,ProductList!J:BG,45,FALSE),3),""),""))</f>
        <v/>
      </c>
      <c r="I174" s="75" t="str">
        <f t="shared" si="5"/>
        <v/>
      </c>
    </row>
    <row r="175" spans="1:9" x14ac:dyDescent="0.25">
      <c r="A175" s="197">
        <f t="shared" si="4"/>
        <v>132</v>
      </c>
      <c r="B175" s="73"/>
      <c r="C175" s="73"/>
      <c r="D175" s="104"/>
      <c r="E175" s="122"/>
      <c r="F175" s="73" t="str">
        <f>IF(G175="KGS",IF(D175&lt;&gt;"",IFERROR(VLOOKUP(D175,ProductList!J:AO,12,FALSE),""),""),IF(D175&lt;&gt;"",IFERROR(VLOOKUP(D175,ProductList!J:AO,15,FALSE),""),""))</f>
        <v/>
      </c>
      <c r="G175" s="6"/>
      <c r="H175" s="75" t="str">
        <f>IF(G175="KGS",IF(D175&lt;&gt;"",IFERROR(ROUND(VLOOKUP(D175,ProductList!J:BG,46,FALSE),3),""),""),IF(D175&lt;&gt;"",IFERROR(ROUND(VLOOKUP(D175,ProductList!J:BG,45,FALSE),3),""),""))</f>
        <v/>
      </c>
      <c r="I175" s="75" t="str">
        <f t="shared" si="5"/>
        <v/>
      </c>
    </row>
    <row r="176" spans="1:9" x14ac:dyDescent="0.25">
      <c r="A176" s="197">
        <f t="shared" si="4"/>
        <v>132</v>
      </c>
      <c r="B176" s="73"/>
      <c r="C176" s="73"/>
      <c r="D176" s="104"/>
      <c r="E176" s="122"/>
      <c r="F176" s="73" t="str">
        <f>IF(G176="KGS",IF(D176&lt;&gt;"",IFERROR(VLOOKUP(D176,ProductList!J:AO,12,FALSE),""),""),IF(D176&lt;&gt;"",IFERROR(VLOOKUP(D176,ProductList!J:AO,15,FALSE),""),""))</f>
        <v/>
      </c>
      <c r="G176" s="6"/>
      <c r="H176" s="75" t="str">
        <f>IF(G176="KGS",IF(D176&lt;&gt;"",IFERROR(ROUND(VLOOKUP(D176,ProductList!J:BG,46,FALSE),3),""),""),IF(D176&lt;&gt;"",IFERROR(ROUND(VLOOKUP(D176,ProductList!J:BG,45,FALSE),3),""),""))</f>
        <v/>
      </c>
      <c r="I176" s="75" t="str">
        <f t="shared" si="5"/>
        <v/>
      </c>
    </row>
    <row r="177" spans="1:9" x14ac:dyDescent="0.25">
      <c r="A177" s="197">
        <f t="shared" si="4"/>
        <v>132</v>
      </c>
      <c r="B177" s="73"/>
      <c r="C177" s="73"/>
      <c r="D177" s="104"/>
      <c r="E177" s="122"/>
      <c r="F177" s="73" t="str">
        <f>IF(G177="KGS",IF(D177&lt;&gt;"",IFERROR(VLOOKUP(D177,ProductList!J:AO,12,FALSE),""),""),IF(D177&lt;&gt;"",IFERROR(VLOOKUP(D177,ProductList!J:AO,15,FALSE),""),""))</f>
        <v/>
      </c>
      <c r="G177" s="6"/>
      <c r="H177" s="75" t="str">
        <f>IF(G177="KGS",IF(D177&lt;&gt;"",IFERROR(ROUND(VLOOKUP(D177,ProductList!J:BG,46,FALSE),3),""),""),IF(D177&lt;&gt;"",IFERROR(ROUND(VLOOKUP(D177,ProductList!J:BG,45,FALSE),3),""),""))</f>
        <v/>
      </c>
      <c r="I177" s="75" t="str">
        <f t="shared" si="5"/>
        <v/>
      </c>
    </row>
    <row r="178" spans="1:9" x14ac:dyDescent="0.25">
      <c r="A178" s="197">
        <f t="shared" si="4"/>
        <v>132</v>
      </c>
      <c r="B178" s="73"/>
      <c r="C178" s="73"/>
      <c r="D178" s="104"/>
      <c r="E178" s="122"/>
      <c r="F178" s="73" t="str">
        <f>IF(G178="KGS",IF(D178&lt;&gt;"",IFERROR(VLOOKUP(D178,ProductList!J:AO,12,FALSE),""),""),IF(D178&lt;&gt;"",IFERROR(VLOOKUP(D178,ProductList!J:AO,15,FALSE),""),""))</f>
        <v/>
      </c>
      <c r="G178" s="6"/>
      <c r="H178" s="75" t="str">
        <f>IF(G178="KGS",IF(D178&lt;&gt;"",IFERROR(ROUND(VLOOKUP(D178,ProductList!J:BG,46,FALSE),3),""),""),IF(D178&lt;&gt;"",IFERROR(ROUND(VLOOKUP(D178,ProductList!J:BG,45,FALSE),3),""),""))</f>
        <v/>
      </c>
      <c r="I178" s="75" t="str">
        <f t="shared" si="5"/>
        <v/>
      </c>
    </row>
    <row r="179" spans="1:9" x14ac:dyDescent="0.25">
      <c r="A179" s="197">
        <f t="shared" si="4"/>
        <v>132</v>
      </c>
      <c r="B179" s="73"/>
      <c r="C179" s="73"/>
      <c r="D179" s="104"/>
      <c r="E179" s="122"/>
      <c r="F179" s="73" t="str">
        <f>IF(G179="KGS",IF(D179&lt;&gt;"",IFERROR(VLOOKUP(D179,ProductList!J:AO,12,FALSE),""),""),IF(D179&lt;&gt;"",IFERROR(VLOOKUP(D179,ProductList!J:AO,15,FALSE),""),""))</f>
        <v/>
      </c>
      <c r="G179" s="6"/>
      <c r="H179" s="75" t="str">
        <f>IF(G179="KGS",IF(D179&lt;&gt;"",IFERROR(ROUND(VLOOKUP(D179,ProductList!J:BG,46,FALSE),3),""),""),IF(D179&lt;&gt;"",IFERROR(ROUND(VLOOKUP(D179,ProductList!J:BG,45,FALSE),3),""),""))</f>
        <v/>
      </c>
      <c r="I179" s="75" t="str">
        <f t="shared" si="5"/>
        <v/>
      </c>
    </row>
    <row r="180" spans="1:9" x14ac:dyDescent="0.25">
      <c r="A180" s="197">
        <f t="shared" si="4"/>
        <v>132</v>
      </c>
      <c r="B180" s="73"/>
      <c r="C180" s="73"/>
      <c r="D180" s="104"/>
      <c r="E180" s="122"/>
      <c r="F180" s="73" t="str">
        <f>IF(G180="KGS",IF(D180&lt;&gt;"",IFERROR(VLOOKUP(D180,ProductList!J:AO,12,FALSE),""),""),IF(D180&lt;&gt;"",IFERROR(VLOOKUP(D180,ProductList!J:AO,15,FALSE),""),""))</f>
        <v/>
      </c>
      <c r="G180" s="6"/>
      <c r="H180" s="75" t="str">
        <f>IF(G180="KGS",IF(D180&lt;&gt;"",IFERROR(ROUND(VLOOKUP(D180,ProductList!J:BG,46,FALSE),3),""),""),IF(D180&lt;&gt;"",IFERROR(ROUND(VLOOKUP(D180,ProductList!J:BG,45,FALSE),3),""),""))</f>
        <v/>
      </c>
      <c r="I180" s="75" t="str">
        <f t="shared" si="5"/>
        <v/>
      </c>
    </row>
    <row r="181" spans="1:9" x14ac:dyDescent="0.25">
      <c r="A181" s="197">
        <f t="shared" si="4"/>
        <v>132</v>
      </c>
      <c r="B181" s="73"/>
      <c r="C181" s="73"/>
      <c r="D181" s="104"/>
      <c r="E181" s="122"/>
      <c r="F181" s="73" t="str">
        <f>IF(G181="KGS",IF(D181&lt;&gt;"",IFERROR(VLOOKUP(D181,ProductList!J:AO,12,FALSE),""),""),IF(D181&lt;&gt;"",IFERROR(VLOOKUP(D181,ProductList!J:AO,15,FALSE),""),""))</f>
        <v/>
      </c>
      <c r="G181" s="6"/>
      <c r="H181" s="75" t="str">
        <f>IF(G181="KGS",IF(D181&lt;&gt;"",IFERROR(ROUND(VLOOKUP(D181,ProductList!J:BG,46,FALSE),3),""),""),IF(D181&lt;&gt;"",IFERROR(ROUND(VLOOKUP(D181,ProductList!J:BG,45,FALSE),3),""),""))</f>
        <v/>
      </c>
      <c r="I181" s="75" t="str">
        <f t="shared" si="5"/>
        <v/>
      </c>
    </row>
    <row r="182" spans="1:9" x14ac:dyDescent="0.25">
      <c r="A182" s="197">
        <f t="shared" si="4"/>
        <v>132</v>
      </c>
      <c r="B182" s="73"/>
      <c r="C182" s="73"/>
      <c r="D182" s="104"/>
      <c r="E182" s="122"/>
      <c r="F182" s="73" t="str">
        <f>IF(G182="KGS",IF(D182&lt;&gt;"",IFERROR(VLOOKUP(D182,ProductList!J:AO,12,FALSE),""),""),IF(D182&lt;&gt;"",IFERROR(VLOOKUP(D182,ProductList!J:AO,15,FALSE),""),""))</f>
        <v/>
      </c>
      <c r="G182" s="6"/>
      <c r="H182" s="75" t="str">
        <f>IF(G182="KGS",IF(D182&lt;&gt;"",IFERROR(ROUND(VLOOKUP(D182,ProductList!J:BG,46,FALSE),3),""),""),IF(D182&lt;&gt;"",IFERROR(ROUND(VLOOKUP(D182,ProductList!J:BG,45,FALSE),3),""),""))</f>
        <v/>
      </c>
      <c r="I182" s="75" t="str">
        <f t="shared" si="5"/>
        <v/>
      </c>
    </row>
    <row r="183" spans="1:9" x14ac:dyDescent="0.25">
      <c r="A183" s="197">
        <f t="shared" si="4"/>
        <v>132</v>
      </c>
      <c r="B183" s="73"/>
      <c r="C183" s="73"/>
      <c r="D183" s="104"/>
      <c r="E183" s="122"/>
      <c r="F183" s="73" t="str">
        <f>IF(G183="KGS",IF(D183&lt;&gt;"",IFERROR(VLOOKUP(D183,ProductList!J:AO,12,FALSE),""),""),IF(D183&lt;&gt;"",IFERROR(VLOOKUP(D183,ProductList!J:AO,15,FALSE),""),""))</f>
        <v/>
      </c>
      <c r="G183" s="6"/>
      <c r="H183" s="75" t="str">
        <f>IF(G183="KGS",IF(D183&lt;&gt;"",IFERROR(ROUND(VLOOKUP(D183,ProductList!J:BG,46,FALSE),3),""),""),IF(D183&lt;&gt;"",IFERROR(ROUND(VLOOKUP(D183,ProductList!J:BG,45,FALSE),3),""),""))</f>
        <v/>
      </c>
      <c r="I183" s="75" t="str">
        <f t="shared" si="5"/>
        <v/>
      </c>
    </row>
    <row r="184" spans="1:9" x14ac:dyDescent="0.25">
      <c r="A184" s="197">
        <f t="shared" si="4"/>
        <v>132</v>
      </c>
      <c r="B184" s="73"/>
      <c r="C184" s="73"/>
      <c r="D184" s="104"/>
      <c r="E184" s="122"/>
      <c r="F184" s="73" t="str">
        <f>IF(G184="KGS",IF(D184&lt;&gt;"",IFERROR(VLOOKUP(D184,ProductList!J:AO,12,FALSE),""),""),IF(D184&lt;&gt;"",IFERROR(VLOOKUP(D184,ProductList!J:AO,15,FALSE),""),""))</f>
        <v/>
      </c>
      <c r="G184" s="6"/>
      <c r="H184" s="75" t="str">
        <f>IF(G184="KGS",IF(D184&lt;&gt;"",IFERROR(ROUND(VLOOKUP(D184,ProductList!J:BG,46,FALSE),3),""),""),IF(D184&lt;&gt;"",IFERROR(ROUND(VLOOKUP(D184,ProductList!J:BG,45,FALSE),3),""),""))</f>
        <v/>
      </c>
      <c r="I184" s="75" t="str">
        <f t="shared" si="5"/>
        <v/>
      </c>
    </row>
    <row r="185" spans="1:9" x14ac:dyDescent="0.25">
      <c r="A185" s="197">
        <f t="shared" si="4"/>
        <v>132</v>
      </c>
      <c r="B185" s="73"/>
      <c r="C185" s="73"/>
      <c r="D185" s="104"/>
      <c r="E185" s="122"/>
      <c r="F185" s="73" t="str">
        <f>IF(G185="KGS",IF(D185&lt;&gt;"",IFERROR(VLOOKUP(D185,ProductList!J:AO,12,FALSE),""),""),IF(D185&lt;&gt;"",IFERROR(VLOOKUP(D185,ProductList!J:AO,15,FALSE),""),""))</f>
        <v/>
      </c>
      <c r="G185" s="6"/>
      <c r="H185" s="75" t="str">
        <f>IF(G185="KGS",IF(D185&lt;&gt;"",IFERROR(ROUND(VLOOKUP(D185,ProductList!J:BG,46,FALSE),3),""),""),IF(D185&lt;&gt;"",IFERROR(ROUND(VLOOKUP(D185,ProductList!J:BG,45,FALSE),3),""),""))</f>
        <v/>
      </c>
      <c r="I185" s="75" t="str">
        <f t="shared" si="5"/>
        <v/>
      </c>
    </row>
    <row r="186" spans="1:9" x14ac:dyDescent="0.25">
      <c r="A186" s="197">
        <f t="shared" si="4"/>
        <v>132</v>
      </c>
      <c r="B186" s="73"/>
      <c r="C186" s="73"/>
      <c r="D186" s="104"/>
      <c r="E186" s="122"/>
      <c r="F186" s="73" t="str">
        <f>IF(G186="KGS",IF(D186&lt;&gt;"",IFERROR(VLOOKUP(D186,ProductList!J:AO,12,FALSE),""),""),IF(D186&lt;&gt;"",IFERROR(VLOOKUP(D186,ProductList!J:AO,15,FALSE),""),""))</f>
        <v/>
      </c>
      <c r="G186" s="6"/>
      <c r="H186" s="75" t="str">
        <f>IF(G186="KGS",IF(D186&lt;&gt;"",IFERROR(ROUND(VLOOKUP(D186,ProductList!J:BG,46,FALSE),3),""),""),IF(D186&lt;&gt;"",IFERROR(ROUND(VLOOKUP(D186,ProductList!J:BG,45,FALSE),3),""),""))</f>
        <v/>
      </c>
      <c r="I186" s="75" t="str">
        <f t="shared" si="5"/>
        <v/>
      </c>
    </row>
    <row r="187" spans="1:9" x14ac:dyDescent="0.25">
      <c r="A187" s="197">
        <f t="shared" si="4"/>
        <v>132</v>
      </c>
      <c r="B187" s="73"/>
      <c r="C187" s="73"/>
      <c r="D187" s="104"/>
      <c r="E187" s="122"/>
      <c r="F187" s="73" t="str">
        <f>IF(G187="KGS",IF(D187&lt;&gt;"",IFERROR(VLOOKUP(D187,ProductList!J:AO,12,FALSE),""),""),IF(D187&lt;&gt;"",IFERROR(VLOOKUP(D187,ProductList!J:AO,15,FALSE),""),""))</f>
        <v/>
      </c>
      <c r="G187" s="6"/>
      <c r="H187" s="75" t="str">
        <f>IF(G187="KGS",IF(D187&lt;&gt;"",IFERROR(ROUND(VLOOKUP(D187,ProductList!J:BG,46,FALSE),3),""),""),IF(D187&lt;&gt;"",IFERROR(ROUND(VLOOKUP(D187,ProductList!J:BG,45,FALSE),3),""),""))</f>
        <v/>
      </c>
      <c r="I187" s="75" t="str">
        <f t="shared" si="5"/>
        <v/>
      </c>
    </row>
    <row r="188" spans="1:9" x14ac:dyDescent="0.25">
      <c r="A188" s="197">
        <f t="shared" si="4"/>
        <v>132</v>
      </c>
      <c r="B188" s="73"/>
      <c r="C188" s="73"/>
      <c r="D188" s="104"/>
      <c r="E188" s="122"/>
      <c r="F188" s="73" t="str">
        <f>IF(G188="KGS",IF(D188&lt;&gt;"",IFERROR(VLOOKUP(D188,ProductList!J:AO,12,FALSE),""),""),IF(D188&lt;&gt;"",IFERROR(VLOOKUP(D188,ProductList!J:AO,15,FALSE),""),""))</f>
        <v/>
      </c>
      <c r="G188" s="6"/>
      <c r="H188" s="75" t="str">
        <f>IF(G188="KGS",IF(D188&lt;&gt;"",IFERROR(ROUND(VLOOKUP(D188,ProductList!J:BG,46,FALSE),3),""),""),IF(D188&lt;&gt;"",IFERROR(ROUND(VLOOKUP(D188,ProductList!J:BG,45,FALSE),3),""),""))</f>
        <v/>
      </c>
      <c r="I188" s="75" t="str">
        <f t="shared" si="5"/>
        <v/>
      </c>
    </row>
    <row r="189" spans="1:9" x14ac:dyDescent="0.25">
      <c r="A189" s="197">
        <f t="shared" si="4"/>
        <v>132</v>
      </c>
      <c r="B189" s="73"/>
      <c r="C189" s="73"/>
      <c r="D189" s="104"/>
      <c r="E189" s="122"/>
      <c r="F189" s="73" t="str">
        <f>IF(G189="KGS",IF(D189&lt;&gt;"",IFERROR(VLOOKUP(D189,ProductList!J:AO,12,FALSE),""),""),IF(D189&lt;&gt;"",IFERROR(VLOOKUP(D189,ProductList!J:AO,15,FALSE),""),""))</f>
        <v/>
      </c>
      <c r="G189" s="6"/>
      <c r="H189" s="75" t="str">
        <f>IF(G189="KGS",IF(D189&lt;&gt;"",IFERROR(ROUND(VLOOKUP(D189,ProductList!J:BG,46,FALSE),3),""),""),IF(D189&lt;&gt;"",IFERROR(ROUND(VLOOKUP(D189,ProductList!J:BG,45,FALSE),3),""),""))</f>
        <v/>
      </c>
      <c r="I189" s="75" t="str">
        <f t="shared" si="5"/>
        <v/>
      </c>
    </row>
    <row r="190" spans="1:9" x14ac:dyDescent="0.25">
      <c r="A190" s="197">
        <f t="shared" si="4"/>
        <v>132</v>
      </c>
      <c r="B190" s="73"/>
      <c r="C190" s="73"/>
      <c r="D190" s="104"/>
      <c r="E190" s="122"/>
      <c r="F190" s="73" t="str">
        <f>IF(G190="KGS",IF(D190&lt;&gt;"",IFERROR(VLOOKUP(D190,ProductList!J:AO,12,FALSE),""),""),IF(D190&lt;&gt;"",IFERROR(VLOOKUP(D190,ProductList!J:AO,15,FALSE),""),""))</f>
        <v/>
      </c>
      <c r="G190" s="6"/>
      <c r="H190" s="75" t="str">
        <f>IF(G190="KGS",IF(D190&lt;&gt;"",IFERROR(ROUND(VLOOKUP(D190,ProductList!J:BG,46,FALSE),3),""),""),IF(D190&lt;&gt;"",IFERROR(ROUND(VLOOKUP(D190,ProductList!J:BG,45,FALSE),3),""),""))</f>
        <v/>
      </c>
      <c r="I190" s="75" t="str">
        <f t="shared" si="5"/>
        <v/>
      </c>
    </row>
    <row r="191" spans="1:9" x14ac:dyDescent="0.25">
      <c r="A191" s="197">
        <f t="shared" si="4"/>
        <v>132</v>
      </c>
      <c r="B191" s="73"/>
      <c r="C191" s="73"/>
      <c r="D191" s="104"/>
      <c r="E191" s="122"/>
      <c r="F191" s="73" t="str">
        <f>IF(G191="KGS",IF(D191&lt;&gt;"",IFERROR(VLOOKUP(D191,ProductList!J:AO,12,FALSE),""),""),IF(D191&lt;&gt;"",IFERROR(VLOOKUP(D191,ProductList!J:AO,15,FALSE),""),""))</f>
        <v/>
      </c>
      <c r="G191" s="6"/>
      <c r="H191" s="75" t="str">
        <f>IF(G191="KGS",IF(D191&lt;&gt;"",IFERROR(ROUND(VLOOKUP(D191,ProductList!J:BG,46,FALSE),3),""),""),IF(D191&lt;&gt;"",IFERROR(ROUND(VLOOKUP(D191,ProductList!J:BG,45,FALSE),3),""),""))</f>
        <v/>
      </c>
      <c r="I191" s="75" t="str">
        <f t="shared" si="5"/>
        <v/>
      </c>
    </row>
    <row r="192" spans="1:9" x14ac:dyDescent="0.25">
      <c r="A192" s="197">
        <f t="shared" si="4"/>
        <v>132</v>
      </c>
      <c r="B192" s="73"/>
      <c r="C192" s="73"/>
      <c r="D192" s="104"/>
      <c r="E192" s="122"/>
      <c r="F192" s="73" t="str">
        <f>IF(G192="KGS",IF(D192&lt;&gt;"",IFERROR(VLOOKUP(D192,ProductList!J:AO,12,FALSE),""),""),IF(D192&lt;&gt;"",IFERROR(VLOOKUP(D192,ProductList!J:AO,15,FALSE),""),""))</f>
        <v/>
      </c>
      <c r="G192" s="6"/>
      <c r="H192" s="75" t="str">
        <f>IF(G192="KGS",IF(D192&lt;&gt;"",IFERROR(ROUND(VLOOKUP(D192,ProductList!J:BG,46,FALSE),3),""),""),IF(D192&lt;&gt;"",IFERROR(ROUND(VLOOKUP(D192,ProductList!J:BG,45,FALSE),3),""),""))</f>
        <v/>
      </c>
      <c r="I192" s="75" t="str">
        <f t="shared" si="5"/>
        <v/>
      </c>
    </row>
    <row r="193" spans="1:9" x14ac:dyDescent="0.25">
      <c r="A193" s="197">
        <f t="shared" si="4"/>
        <v>132</v>
      </c>
      <c r="B193" s="73"/>
      <c r="C193" s="73"/>
      <c r="D193" s="104"/>
      <c r="E193" s="122"/>
      <c r="F193" s="73" t="str">
        <f>IF(G193="KGS",IF(D193&lt;&gt;"",IFERROR(VLOOKUP(D193,ProductList!J:AO,12,FALSE),""),""),IF(D193&lt;&gt;"",IFERROR(VLOOKUP(D193,ProductList!J:AO,15,FALSE),""),""))</f>
        <v/>
      </c>
      <c r="G193" s="6"/>
      <c r="H193" s="75" t="str">
        <f>IF(G193="KGS",IF(D193&lt;&gt;"",IFERROR(ROUND(VLOOKUP(D193,ProductList!J:BG,46,FALSE),3),""),""),IF(D193&lt;&gt;"",IFERROR(ROUND(VLOOKUP(D193,ProductList!J:BG,45,FALSE),3),""),""))</f>
        <v/>
      </c>
      <c r="I193" s="75" t="str">
        <f t="shared" si="5"/>
        <v/>
      </c>
    </row>
    <row r="194" spans="1:9" x14ac:dyDescent="0.25">
      <c r="A194" s="197">
        <f t="shared" si="4"/>
        <v>132</v>
      </c>
      <c r="B194" s="73"/>
      <c r="C194" s="73"/>
      <c r="D194" s="104"/>
      <c r="E194" s="122"/>
      <c r="F194" s="73" t="str">
        <f>IF(G194="KGS",IF(D194&lt;&gt;"",IFERROR(VLOOKUP(D194,ProductList!J:AO,12,FALSE),""),""),IF(D194&lt;&gt;"",IFERROR(VLOOKUP(D194,ProductList!J:AO,15,FALSE),""),""))</f>
        <v/>
      </c>
      <c r="G194" s="6"/>
      <c r="H194" s="75" t="str">
        <f>IF(G194="KGS",IF(D194&lt;&gt;"",IFERROR(ROUND(VLOOKUP(D194,ProductList!J:BG,46,FALSE),3),""),""),IF(D194&lt;&gt;"",IFERROR(ROUND(VLOOKUP(D194,ProductList!J:BG,45,FALSE),3),""),""))</f>
        <v/>
      </c>
      <c r="I194" s="75" t="str">
        <f t="shared" si="5"/>
        <v/>
      </c>
    </row>
    <row r="195" spans="1:9" x14ac:dyDescent="0.25">
      <c r="A195" s="197">
        <f t="shared" si="4"/>
        <v>132</v>
      </c>
      <c r="B195" s="73"/>
      <c r="C195" s="73"/>
      <c r="D195" s="104"/>
      <c r="E195" s="122"/>
      <c r="F195" s="73" t="str">
        <f>IF(G195="KGS",IF(D195&lt;&gt;"",IFERROR(VLOOKUP(D195,ProductList!J:AO,12,FALSE),""),""),IF(D195&lt;&gt;"",IFERROR(VLOOKUP(D195,ProductList!J:AO,15,FALSE),""),""))</f>
        <v/>
      </c>
      <c r="G195" s="6"/>
      <c r="H195" s="75" t="str">
        <f>IF(G195="KGS",IF(D195&lt;&gt;"",IFERROR(ROUND(VLOOKUP(D195,ProductList!J:BG,46,FALSE),3),""),""),IF(D195&lt;&gt;"",IFERROR(ROUND(VLOOKUP(D195,ProductList!J:BG,45,FALSE),3),""),""))</f>
        <v/>
      </c>
      <c r="I195" s="75" t="str">
        <f t="shared" si="5"/>
        <v/>
      </c>
    </row>
    <row r="196" spans="1:9" x14ac:dyDescent="0.25">
      <c r="A196" s="197">
        <f t="shared" si="4"/>
        <v>132</v>
      </c>
      <c r="B196" s="73"/>
      <c r="C196" s="73"/>
      <c r="D196" s="104"/>
      <c r="E196" s="122"/>
      <c r="F196" s="73" t="str">
        <f>IF(G196="KGS",IF(D196&lt;&gt;"",IFERROR(VLOOKUP(D196,ProductList!J:AO,12,FALSE),""),""),IF(D196&lt;&gt;"",IFERROR(VLOOKUP(D196,ProductList!J:AO,15,FALSE),""),""))</f>
        <v/>
      </c>
      <c r="G196" s="6"/>
      <c r="H196" s="75" t="str">
        <f>IF(G196="KGS",IF(D196&lt;&gt;"",IFERROR(ROUND(VLOOKUP(D196,ProductList!J:BG,46,FALSE),3),""),""),IF(D196&lt;&gt;"",IFERROR(ROUND(VLOOKUP(D196,ProductList!J:BG,45,FALSE),3),""),""))</f>
        <v/>
      </c>
      <c r="I196" s="75" t="str">
        <f t="shared" si="5"/>
        <v/>
      </c>
    </row>
    <row r="197" spans="1:9" x14ac:dyDescent="0.25">
      <c r="A197" s="197">
        <f t="shared" ref="A197:A260" si="6">IF(AND(D197&lt;&gt;""),IF(A196&lt;&gt;"",A196,0)+1,A196)</f>
        <v>132</v>
      </c>
      <c r="B197" s="73"/>
      <c r="C197" s="73"/>
      <c r="D197" s="104"/>
      <c r="E197" s="122"/>
      <c r="F197" s="73" t="str">
        <f>IF(G197="KGS",IF(D197&lt;&gt;"",IFERROR(VLOOKUP(D197,ProductList!J:AO,12,FALSE),""),""),IF(D197&lt;&gt;"",IFERROR(VLOOKUP(D197,ProductList!J:AO,15,FALSE),""),""))</f>
        <v/>
      </c>
      <c r="G197" s="6"/>
      <c r="H197" s="75" t="str">
        <f>IF(G197="KGS",IF(D197&lt;&gt;"",IFERROR(ROUND(VLOOKUP(D197,ProductList!J:BG,46,FALSE),3),""),""),IF(D197&lt;&gt;"",IFERROR(ROUND(VLOOKUP(D197,ProductList!J:BG,45,FALSE),3),""),""))</f>
        <v/>
      </c>
      <c r="I197" s="75" t="str">
        <f t="shared" si="5"/>
        <v/>
      </c>
    </row>
    <row r="198" spans="1:9" x14ac:dyDescent="0.25">
      <c r="A198" s="197">
        <f t="shared" si="6"/>
        <v>132</v>
      </c>
      <c r="B198" s="73"/>
      <c r="C198" s="73"/>
      <c r="D198" s="104"/>
      <c r="E198" s="122"/>
      <c r="F198" s="73" t="str">
        <f>IF(G198="KGS",IF(D198&lt;&gt;"",IFERROR(VLOOKUP(D198,ProductList!J:AO,12,FALSE),""),""),IF(D198&lt;&gt;"",IFERROR(VLOOKUP(D198,ProductList!J:AO,15,FALSE),""),""))</f>
        <v/>
      </c>
      <c r="G198" s="6"/>
      <c r="H198" s="75" t="str">
        <f>IF(G198="KGS",IF(D198&lt;&gt;"",IFERROR(ROUND(VLOOKUP(D198,ProductList!J:BG,46,FALSE),3),""),""),IF(D198&lt;&gt;"",IFERROR(ROUND(VLOOKUP(D198,ProductList!J:BG,45,FALSE),3),""),""))</f>
        <v/>
      </c>
      <c r="I198" s="75" t="str">
        <f t="shared" ref="I198:I261" si="7">IF(AND(F198&lt;&gt;"",H198&lt;&gt;""),ROUND(F198*H198,2),"")</f>
        <v/>
      </c>
    </row>
    <row r="199" spans="1:9" x14ac:dyDescent="0.25">
      <c r="A199" s="197">
        <f t="shared" si="6"/>
        <v>132</v>
      </c>
      <c r="B199" s="73"/>
      <c r="C199" s="73"/>
      <c r="D199" s="104"/>
      <c r="E199" s="122"/>
      <c r="F199" s="73" t="str">
        <f>IF(G199="KGS",IF(D199&lt;&gt;"",IFERROR(VLOOKUP(D199,ProductList!J:AO,12,FALSE),""),""),IF(D199&lt;&gt;"",IFERROR(VLOOKUP(D199,ProductList!J:AO,15,FALSE),""),""))</f>
        <v/>
      </c>
      <c r="G199" s="6"/>
      <c r="H199" s="75" t="str">
        <f>IF(G199="KGS",IF(D199&lt;&gt;"",IFERROR(ROUND(VLOOKUP(D199,ProductList!J:BG,46,FALSE),3),""),""),IF(D199&lt;&gt;"",IFERROR(ROUND(VLOOKUP(D199,ProductList!J:BG,45,FALSE),3),""),""))</f>
        <v/>
      </c>
      <c r="I199" s="75" t="str">
        <f t="shared" si="7"/>
        <v/>
      </c>
    </row>
    <row r="200" spans="1:9" x14ac:dyDescent="0.25">
      <c r="A200" s="197">
        <f t="shared" si="6"/>
        <v>132</v>
      </c>
      <c r="B200" s="73"/>
      <c r="C200" s="73"/>
      <c r="D200" s="104"/>
      <c r="E200" s="122"/>
      <c r="F200" s="73" t="str">
        <f>IF(G200="KGS",IF(D200&lt;&gt;"",IFERROR(VLOOKUP(D200,ProductList!J:AO,12,FALSE),""),""),IF(D200&lt;&gt;"",IFERROR(VLOOKUP(D200,ProductList!J:AO,15,FALSE),""),""))</f>
        <v/>
      </c>
      <c r="G200" s="6"/>
      <c r="H200" s="75" t="str">
        <f>IF(G200="KGS",IF(D200&lt;&gt;"",IFERROR(ROUND(VLOOKUP(D200,ProductList!J:BG,46,FALSE),3),""),""),IF(D200&lt;&gt;"",IFERROR(ROUND(VLOOKUP(D200,ProductList!J:BG,45,FALSE),3),""),""))</f>
        <v/>
      </c>
      <c r="I200" s="75" t="str">
        <f t="shared" si="7"/>
        <v/>
      </c>
    </row>
    <row r="201" spans="1:9" x14ac:dyDescent="0.25">
      <c r="A201" s="197">
        <f t="shared" si="6"/>
        <v>132</v>
      </c>
      <c r="B201" s="73"/>
      <c r="C201" s="73"/>
      <c r="D201" s="104"/>
      <c r="E201" s="122"/>
      <c r="F201" s="73" t="str">
        <f>IF(G201="KGS",IF(D201&lt;&gt;"",IFERROR(VLOOKUP(D201,ProductList!J:AO,12,FALSE),""),""),IF(D201&lt;&gt;"",IFERROR(VLOOKUP(D201,ProductList!J:AO,15,FALSE),""),""))</f>
        <v/>
      </c>
      <c r="G201" s="6"/>
      <c r="H201" s="75" t="str">
        <f>IF(G201="KGS",IF(D201&lt;&gt;"",IFERROR(ROUND(VLOOKUP(D201,ProductList!J:BG,46,FALSE),3),""),""),IF(D201&lt;&gt;"",IFERROR(ROUND(VLOOKUP(D201,ProductList!J:BG,45,FALSE),3),""),""))</f>
        <v/>
      </c>
      <c r="I201" s="75" t="str">
        <f t="shared" si="7"/>
        <v/>
      </c>
    </row>
    <row r="202" spans="1:9" x14ac:dyDescent="0.25">
      <c r="A202" s="197">
        <f t="shared" si="6"/>
        <v>132</v>
      </c>
      <c r="B202" s="73"/>
      <c r="C202" s="73"/>
      <c r="D202" s="104"/>
      <c r="E202" s="122"/>
      <c r="F202" s="73" t="str">
        <f>IF(G202="KGS",IF(D202&lt;&gt;"",IFERROR(VLOOKUP(D202,ProductList!J:AO,12,FALSE),""),""),IF(D202&lt;&gt;"",IFERROR(VLOOKUP(D202,ProductList!J:AO,15,FALSE),""),""))</f>
        <v/>
      </c>
      <c r="G202" s="6"/>
      <c r="H202" s="75" t="str">
        <f>IF(G202="KGS",IF(D202&lt;&gt;"",IFERROR(ROUND(VLOOKUP(D202,ProductList!J:BG,46,FALSE),3),""),""),IF(D202&lt;&gt;"",IFERROR(ROUND(VLOOKUP(D202,ProductList!J:BG,45,FALSE),3),""),""))</f>
        <v/>
      </c>
      <c r="I202" s="75" t="str">
        <f t="shared" si="7"/>
        <v/>
      </c>
    </row>
    <row r="203" spans="1:9" x14ac:dyDescent="0.25">
      <c r="A203" s="197">
        <f t="shared" si="6"/>
        <v>132</v>
      </c>
      <c r="B203" s="73"/>
      <c r="C203" s="73"/>
      <c r="D203" s="104"/>
      <c r="E203" s="122"/>
      <c r="F203" s="73" t="str">
        <f>IF(G203="KGS",IF(D203&lt;&gt;"",IFERROR(VLOOKUP(D203,ProductList!J:AO,12,FALSE),""),""),IF(D203&lt;&gt;"",IFERROR(VLOOKUP(D203,ProductList!J:AO,15,FALSE),""),""))</f>
        <v/>
      </c>
      <c r="G203" s="6"/>
      <c r="H203" s="75" t="str">
        <f>IF(G203="KGS",IF(D203&lt;&gt;"",IFERROR(ROUND(VLOOKUP(D203,ProductList!J:BG,46,FALSE),3),""),""),IF(D203&lt;&gt;"",IFERROR(ROUND(VLOOKUP(D203,ProductList!J:BG,45,FALSE),3),""),""))</f>
        <v/>
      </c>
      <c r="I203" s="75" t="str">
        <f t="shared" si="7"/>
        <v/>
      </c>
    </row>
    <row r="204" spans="1:9" x14ac:dyDescent="0.25">
      <c r="A204" s="197">
        <f t="shared" si="6"/>
        <v>132</v>
      </c>
      <c r="B204" s="73"/>
      <c r="C204" s="73"/>
      <c r="D204" s="104"/>
      <c r="E204" s="122"/>
      <c r="F204" s="73" t="str">
        <f>IF(G204="KGS",IF(D204&lt;&gt;"",IFERROR(VLOOKUP(D204,ProductList!J:AO,12,FALSE),""),""),IF(D204&lt;&gt;"",IFERROR(VLOOKUP(D204,ProductList!J:AO,15,FALSE),""),""))</f>
        <v/>
      </c>
      <c r="G204" s="6"/>
      <c r="H204" s="75" t="str">
        <f>IF(G204="KGS",IF(D204&lt;&gt;"",IFERROR(ROUND(VLOOKUP(D204,ProductList!J:BG,46,FALSE),3),""),""),IF(D204&lt;&gt;"",IFERROR(ROUND(VLOOKUP(D204,ProductList!J:BG,45,FALSE),3),""),""))</f>
        <v/>
      </c>
      <c r="I204" s="75" t="str">
        <f t="shared" si="7"/>
        <v/>
      </c>
    </row>
    <row r="205" spans="1:9" x14ac:dyDescent="0.25">
      <c r="A205" s="197">
        <f t="shared" si="6"/>
        <v>132</v>
      </c>
      <c r="B205" s="73"/>
      <c r="C205" s="73"/>
      <c r="D205" s="104"/>
      <c r="E205" s="122"/>
      <c r="F205" s="73" t="str">
        <f>IF(G205="KGS",IF(D205&lt;&gt;"",IFERROR(VLOOKUP(D205,ProductList!J:AO,12,FALSE),""),""),IF(D205&lt;&gt;"",IFERROR(VLOOKUP(D205,ProductList!J:AO,15,FALSE),""),""))</f>
        <v/>
      </c>
      <c r="G205" s="6"/>
      <c r="H205" s="75" t="str">
        <f>IF(G205="KGS",IF(D205&lt;&gt;"",IFERROR(ROUND(VLOOKUP(D205,ProductList!J:BG,46,FALSE),3),""),""),IF(D205&lt;&gt;"",IFERROR(ROUND(VLOOKUP(D205,ProductList!J:BG,45,FALSE),3),""),""))</f>
        <v/>
      </c>
      <c r="I205" s="75" t="str">
        <f t="shared" si="7"/>
        <v/>
      </c>
    </row>
    <row r="206" spans="1:9" x14ac:dyDescent="0.25">
      <c r="A206" s="197">
        <f t="shared" si="6"/>
        <v>132</v>
      </c>
      <c r="B206" s="73"/>
      <c r="C206" s="73"/>
      <c r="D206" s="104"/>
      <c r="E206" s="122"/>
      <c r="F206" s="73" t="str">
        <f>IF(G206="KGS",IF(D206&lt;&gt;"",IFERROR(VLOOKUP(D206,ProductList!J:AO,12,FALSE),""),""),IF(D206&lt;&gt;"",IFERROR(VLOOKUP(D206,ProductList!J:AO,15,FALSE),""),""))</f>
        <v/>
      </c>
      <c r="G206" s="6"/>
      <c r="H206" s="75" t="str">
        <f>IF(G206="KGS",IF(D206&lt;&gt;"",IFERROR(ROUND(VLOOKUP(D206,ProductList!J:BG,46,FALSE),3),""),""),IF(D206&lt;&gt;"",IFERROR(ROUND(VLOOKUP(D206,ProductList!J:BG,45,FALSE),3),""),""))</f>
        <v/>
      </c>
      <c r="I206" s="75" t="str">
        <f t="shared" si="7"/>
        <v/>
      </c>
    </row>
    <row r="207" spans="1:9" x14ac:dyDescent="0.25">
      <c r="A207" s="197">
        <f t="shared" si="6"/>
        <v>132</v>
      </c>
      <c r="B207" s="73"/>
      <c r="C207" s="73"/>
      <c r="D207" s="104"/>
      <c r="E207" s="122"/>
      <c r="F207" s="73" t="str">
        <f>IF(G207="KGS",IF(D207&lt;&gt;"",IFERROR(VLOOKUP(D207,ProductList!J:AO,12,FALSE),""),""),IF(D207&lt;&gt;"",IFERROR(VLOOKUP(D207,ProductList!J:AO,15,FALSE),""),""))</f>
        <v/>
      </c>
      <c r="G207" s="6"/>
      <c r="H207" s="75" t="str">
        <f>IF(G207="KGS",IF(D207&lt;&gt;"",IFERROR(ROUND(VLOOKUP(D207,ProductList!J:BG,46,FALSE),3),""),""),IF(D207&lt;&gt;"",IFERROR(ROUND(VLOOKUP(D207,ProductList!J:BG,45,FALSE),3),""),""))</f>
        <v/>
      </c>
      <c r="I207" s="75" t="str">
        <f t="shared" si="7"/>
        <v/>
      </c>
    </row>
    <row r="208" spans="1:9" x14ac:dyDescent="0.25">
      <c r="A208" s="197">
        <f t="shared" si="6"/>
        <v>132</v>
      </c>
      <c r="B208" s="73"/>
      <c r="C208" s="73"/>
      <c r="D208" s="104"/>
      <c r="E208" s="122"/>
      <c r="F208" s="73" t="str">
        <f>IF(G208="KGS",IF(D208&lt;&gt;"",IFERROR(VLOOKUP(D208,ProductList!J:AO,12,FALSE),""),""),IF(D208&lt;&gt;"",IFERROR(VLOOKUP(D208,ProductList!J:AO,15,FALSE),""),""))</f>
        <v/>
      </c>
      <c r="G208" s="6"/>
      <c r="H208" s="75" t="str">
        <f>IF(G208="KGS",IF(D208&lt;&gt;"",IFERROR(ROUND(VLOOKUP(D208,ProductList!J:BG,46,FALSE),3),""),""),IF(D208&lt;&gt;"",IFERROR(ROUND(VLOOKUP(D208,ProductList!J:BG,45,FALSE),3),""),""))</f>
        <v/>
      </c>
      <c r="I208" s="75" t="str">
        <f t="shared" si="7"/>
        <v/>
      </c>
    </row>
    <row r="209" spans="1:9" x14ac:dyDescent="0.25">
      <c r="A209" s="197">
        <f t="shared" si="6"/>
        <v>132</v>
      </c>
      <c r="B209" s="73"/>
      <c r="C209" s="73"/>
      <c r="D209" s="104"/>
      <c r="E209" s="122"/>
      <c r="F209" s="73" t="str">
        <f>IF(G209="KGS",IF(D209&lt;&gt;"",IFERROR(VLOOKUP(D209,ProductList!J:AO,12,FALSE),""),""),IF(D209&lt;&gt;"",IFERROR(VLOOKUP(D209,ProductList!J:AO,15,FALSE),""),""))</f>
        <v/>
      </c>
      <c r="G209" s="6"/>
      <c r="H209" s="75" t="str">
        <f>IF(G209="KGS",IF(D209&lt;&gt;"",IFERROR(ROUND(VLOOKUP(D209,ProductList!J:BG,46,FALSE),3),""),""),IF(D209&lt;&gt;"",IFERROR(ROUND(VLOOKUP(D209,ProductList!J:BG,45,FALSE),3),""),""))</f>
        <v/>
      </c>
      <c r="I209" s="75" t="str">
        <f t="shared" si="7"/>
        <v/>
      </c>
    </row>
    <row r="210" spans="1:9" x14ac:dyDescent="0.25">
      <c r="A210" s="197">
        <f t="shared" si="6"/>
        <v>132</v>
      </c>
      <c r="B210" s="73"/>
      <c r="C210" s="73"/>
      <c r="D210" s="104"/>
      <c r="E210" s="122"/>
      <c r="F210" s="73" t="str">
        <f>IF(G210="KGS",IF(D210&lt;&gt;"",IFERROR(VLOOKUP(D210,ProductList!J:AO,12,FALSE),""),""),IF(D210&lt;&gt;"",IFERROR(VLOOKUP(D210,ProductList!J:AO,15,FALSE),""),""))</f>
        <v/>
      </c>
      <c r="G210" s="6"/>
      <c r="H210" s="75" t="str">
        <f>IF(G210="KGS",IF(D210&lt;&gt;"",IFERROR(ROUND(VLOOKUP(D210,ProductList!J:BG,46,FALSE),3),""),""),IF(D210&lt;&gt;"",IFERROR(ROUND(VLOOKUP(D210,ProductList!J:BG,45,FALSE),3),""),""))</f>
        <v/>
      </c>
      <c r="I210" s="75" t="str">
        <f t="shared" si="7"/>
        <v/>
      </c>
    </row>
    <row r="211" spans="1:9" x14ac:dyDescent="0.25">
      <c r="A211" s="197">
        <f t="shared" si="6"/>
        <v>132</v>
      </c>
      <c r="B211" s="73"/>
      <c r="C211" s="73"/>
      <c r="D211" s="104"/>
      <c r="E211" s="122"/>
      <c r="F211" s="73" t="str">
        <f>IF(G211="KGS",IF(D211&lt;&gt;"",IFERROR(VLOOKUP(D211,ProductList!J:AO,12,FALSE),""),""),IF(D211&lt;&gt;"",IFERROR(VLOOKUP(D211,ProductList!J:AO,15,FALSE),""),""))</f>
        <v/>
      </c>
      <c r="G211" s="6"/>
      <c r="H211" s="75" t="str">
        <f>IF(G211="KGS",IF(D211&lt;&gt;"",IFERROR(ROUND(VLOOKUP(D211,ProductList!J:BG,46,FALSE),3),""),""),IF(D211&lt;&gt;"",IFERROR(ROUND(VLOOKUP(D211,ProductList!J:BG,45,FALSE),3),""),""))</f>
        <v/>
      </c>
      <c r="I211" s="75" t="str">
        <f t="shared" si="7"/>
        <v/>
      </c>
    </row>
    <row r="212" spans="1:9" x14ac:dyDescent="0.25">
      <c r="A212" s="197">
        <f t="shared" si="6"/>
        <v>132</v>
      </c>
      <c r="B212" s="73"/>
      <c r="C212" s="73"/>
      <c r="D212" s="104"/>
      <c r="E212" s="122"/>
      <c r="F212" s="73" t="str">
        <f>IF(G212="KGS",IF(D212&lt;&gt;"",IFERROR(VLOOKUP(D212,ProductList!J:AO,12,FALSE),""),""),IF(D212&lt;&gt;"",IFERROR(VLOOKUP(D212,ProductList!J:AO,15,FALSE),""),""))</f>
        <v/>
      </c>
      <c r="G212" s="6"/>
      <c r="H212" s="75" t="str">
        <f>IF(G212="KGS",IF(D212&lt;&gt;"",IFERROR(ROUND(VLOOKUP(D212,ProductList!J:BG,46,FALSE),3),""),""),IF(D212&lt;&gt;"",IFERROR(ROUND(VLOOKUP(D212,ProductList!J:BG,45,FALSE),3),""),""))</f>
        <v/>
      </c>
      <c r="I212" s="75" t="str">
        <f t="shared" si="7"/>
        <v/>
      </c>
    </row>
    <row r="213" spans="1:9" x14ac:dyDescent="0.25">
      <c r="A213" s="197">
        <f t="shared" si="6"/>
        <v>132</v>
      </c>
      <c r="B213" s="73"/>
      <c r="C213" s="73"/>
      <c r="D213" s="104"/>
      <c r="E213" s="122"/>
      <c r="F213" s="73" t="str">
        <f>IF(G213="KGS",IF(D213&lt;&gt;"",IFERROR(VLOOKUP(D213,ProductList!J:AO,12,FALSE),""),""),IF(D213&lt;&gt;"",IFERROR(VLOOKUP(D213,ProductList!J:AO,15,FALSE),""),""))</f>
        <v/>
      </c>
      <c r="G213" s="6"/>
      <c r="H213" s="75" t="str">
        <f>IF(G213="KGS",IF(D213&lt;&gt;"",IFERROR(ROUND(VLOOKUP(D213,ProductList!J:BG,46,FALSE),3),""),""),IF(D213&lt;&gt;"",IFERROR(ROUND(VLOOKUP(D213,ProductList!J:BG,45,FALSE),3),""),""))</f>
        <v/>
      </c>
      <c r="I213" s="75" t="str">
        <f t="shared" si="7"/>
        <v/>
      </c>
    </row>
    <row r="214" spans="1:9" x14ac:dyDescent="0.25">
      <c r="A214" s="197">
        <f t="shared" si="6"/>
        <v>132</v>
      </c>
      <c r="B214" s="73"/>
      <c r="C214" s="73"/>
      <c r="D214" s="104"/>
      <c r="E214" s="122"/>
      <c r="F214" s="73" t="str">
        <f>IF(G214="KGS",IF(D214&lt;&gt;"",IFERROR(VLOOKUP(D214,ProductList!J:AO,12,FALSE),""),""),IF(D214&lt;&gt;"",IFERROR(VLOOKUP(D214,ProductList!J:AO,15,FALSE),""),""))</f>
        <v/>
      </c>
      <c r="G214" s="6"/>
      <c r="H214" s="75" t="str">
        <f>IF(G214="KGS",IF(D214&lt;&gt;"",IFERROR(ROUND(VLOOKUP(D214,ProductList!J:BG,46,FALSE),3),""),""),IF(D214&lt;&gt;"",IFERROR(ROUND(VLOOKUP(D214,ProductList!J:BG,45,FALSE),3),""),""))</f>
        <v/>
      </c>
      <c r="I214" s="75" t="str">
        <f t="shared" si="7"/>
        <v/>
      </c>
    </row>
    <row r="215" spans="1:9" x14ac:dyDescent="0.25">
      <c r="A215" s="197">
        <f t="shared" si="6"/>
        <v>132</v>
      </c>
      <c r="B215" s="73"/>
      <c r="C215" s="73"/>
      <c r="D215" s="104"/>
      <c r="E215" s="122"/>
      <c r="F215" s="73" t="str">
        <f>IF(G215="KGS",IF(D215&lt;&gt;"",IFERROR(VLOOKUP(D215,ProductList!J:AO,12,FALSE),""),""),IF(D215&lt;&gt;"",IFERROR(VLOOKUP(D215,ProductList!J:AO,15,FALSE),""),""))</f>
        <v/>
      </c>
      <c r="G215" s="6"/>
      <c r="H215" s="75" t="str">
        <f>IF(G215="KGS",IF(D215&lt;&gt;"",IFERROR(ROUND(VLOOKUP(D215,ProductList!J:BG,46,FALSE),3),""),""),IF(D215&lt;&gt;"",IFERROR(ROUND(VLOOKUP(D215,ProductList!J:BG,45,FALSE),3),""),""))</f>
        <v/>
      </c>
      <c r="I215" s="75" t="str">
        <f t="shared" si="7"/>
        <v/>
      </c>
    </row>
    <row r="216" spans="1:9" x14ac:dyDescent="0.25">
      <c r="A216" s="197">
        <f t="shared" si="6"/>
        <v>132</v>
      </c>
      <c r="B216" s="73"/>
      <c r="C216" s="73"/>
      <c r="D216" s="104"/>
      <c r="E216" s="122"/>
      <c r="F216" s="73" t="str">
        <f>IF(G216="KGS",IF(D216&lt;&gt;"",IFERROR(VLOOKUP(D216,ProductList!J:AO,12,FALSE),""),""),IF(D216&lt;&gt;"",IFERROR(VLOOKUP(D216,ProductList!J:AO,15,FALSE),""),""))</f>
        <v/>
      </c>
      <c r="G216" s="6"/>
      <c r="H216" s="75" t="str">
        <f>IF(G216="KGS",IF(D216&lt;&gt;"",IFERROR(ROUND(VLOOKUP(D216,ProductList!J:BG,46,FALSE),3),""),""),IF(D216&lt;&gt;"",IFERROR(ROUND(VLOOKUP(D216,ProductList!J:BG,45,FALSE),3),""),""))</f>
        <v/>
      </c>
      <c r="I216" s="75" t="str">
        <f t="shared" si="7"/>
        <v/>
      </c>
    </row>
    <row r="217" spans="1:9" x14ac:dyDescent="0.25">
      <c r="A217" s="197">
        <f t="shared" si="6"/>
        <v>132</v>
      </c>
      <c r="B217" s="73"/>
      <c r="C217" s="73"/>
      <c r="D217" s="104"/>
      <c r="E217" s="122"/>
      <c r="F217" s="73" t="str">
        <f>IF(G217="KGS",IF(D217&lt;&gt;"",IFERROR(VLOOKUP(D217,ProductList!J:AO,12,FALSE),""),""),IF(D217&lt;&gt;"",IFERROR(VLOOKUP(D217,ProductList!J:AO,15,FALSE),""),""))</f>
        <v/>
      </c>
      <c r="G217" s="6"/>
      <c r="H217" s="75" t="str">
        <f>IF(G217="KGS",IF(D217&lt;&gt;"",IFERROR(ROUND(VLOOKUP(D217,ProductList!J:BG,46,FALSE),3),""),""),IF(D217&lt;&gt;"",IFERROR(ROUND(VLOOKUP(D217,ProductList!J:BG,45,FALSE),3),""),""))</f>
        <v/>
      </c>
      <c r="I217" s="75" t="str">
        <f t="shared" si="7"/>
        <v/>
      </c>
    </row>
    <row r="218" spans="1:9" x14ac:dyDescent="0.25">
      <c r="A218" s="197">
        <f t="shared" si="6"/>
        <v>132</v>
      </c>
      <c r="B218" s="73"/>
      <c r="C218" s="73"/>
      <c r="D218" s="104"/>
      <c r="E218" s="122"/>
      <c r="F218" s="73" t="str">
        <f>IF(G218="KGS",IF(D218&lt;&gt;"",IFERROR(VLOOKUP(D218,ProductList!J:AO,12,FALSE),""),""),IF(D218&lt;&gt;"",IFERROR(VLOOKUP(D218,ProductList!J:AO,15,FALSE),""),""))</f>
        <v/>
      </c>
      <c r="G218" s="6"/>
      <c r="H218" s="75" t="str">
        <f>IF(G218="KGS",IF(D218&lt;&gt;"",IFERROR(ROUND(VLOOKUP(D218,ProductList!J:BG,46,FALSE),3),""),""),IF(D218&lt;&gt;"",IFERROR(ROUND(VLOOKUP(D218,ProductList!J:BG,45,FALSE),3),""),""))</f>
        <v/>
      </c>
      <c r="I218" s="75" t="str">
        <f t="shared" si="7"/>
        <v/>
      </c>
    </row>
    <row r="219" spans="1:9" x14ac:dyDescent="0.25">
      <c r="A219" s="197">
        <f t="shared" si="6"/>
        <v>132</v>
      </c>
      <c r="B219" s="73"/>
      <c r="C219" s="73"/>
      <c r="D219" s="104"/>
      <c r="E219" s="122"/>
      <c r="F219" s="73" t="str">
        <f>IF(G219="KGS",IF(D219&lt;&gt;"",IFERROR(VLOOKUP(D219,ProductList!J:AO,12,FALSE),""),""),IF(D219&lt;&gt;"",IFERROR(VLOOKUP(D219,ProductList!J:AO,15,FALSE),""),""))</f>
        <v/>
      </c>
      <c r="G219" s="6"/>
      <c r="H219" s="75" t="str">
        <f>IF(G219="KGS",IF(D219&lt;&gt;"",IFERROR(ROUND(VLOOKUP(D219,ProductList!J:BG,46,FALSE),3),""),""),IF(D219&lt;&gt;"",IFERROR(ROUND(VLOOKUP(D219,ProductList!J:BG,45,FALSE),3),""),""))</f>
        <v/>
      </c>
      <c r="I219" s="75" t="str">
        <f t="shared" si="7"/>
        <v/>
      </c>
    </row>
    <row r="220" spans="1:9" x14ac:dyDescent="0.25">
      <c r="A220" s="197">
        <f t="shared" si="6"/>
        <v>132</v>
      </c>
      <c r="B220" s="73"/>
      <c r="C220" s="73"/>
      <c r="D220" s="104"/>
      <c r="E220" s="122"/>
      <c r="F220" s="73" t="str">
        <f>IF(G220="KGS",IF(D220&lt;&gt;"",IFERROR(VLOOKUP(D220,ProductList!J:AO,12,FALSE),""),""),IF(D220&lt;&gt;"",IFERROR(VLOOKUP(D220,ProductList!J:AO,15,FALSE),""),""))</f>
        <v/>
      </c>
      <c r="G220" s="6"/>
      <c r="H220" s="75" t="str">
        <f>IF(G220="KGS",IF(D220&lt;&gt;"",IFERROR(ROUND(VLOOKUP(D220,ProductList!J:BG,46,FALSE),3),""),""),IF(D220&lt;&gt;"",IFERROR(ROUND(VLOOKUP(D220,ProductList!J:BG,45,FALSE),3),""),""))</f>
        <v/>
      </c>
      <c r="I220" s="75" t="str">
        <f t="shared" si="7"/>
        <v/>
      </c>
    </row>
    <row r="221" spans="1:9" x14ac:dyDescent="0.25">
      <c r="A221" s="197">
        <f t="shared" si="6"/>
        <v>132</v>
      </c>
      <c r="B221" s="73"/>
      <c r="C221" s="73"/>
      <c r="D221" s="104"/>
      <c r="E221" s="122"/>
      <c r="F221" s="73" t="str">
        <f>IF(G221="KGS",IF(D221&lt;&gt;"",IFERROR(VLOOKUP(D221,ProductList!J:AO,12,FALSE),""),""),IF(D221&lt;&gt;"",IFERROR(VLOOKUP(D221,ProductList!J:AO,15,FALSE),""),""))</f>
        <v/>
      </c>
      <c r="G221" s="6"/>
      <c r="H221" s="75" t="str">
        <f>IF(G221="KGS",IF(D221&lt;&gt;"",IFERROR(ROUND(VLOOKUP(D221,ProductList!J:BG,46,FALSE),3),""),""),IF(D221&lt;&gt;"",IFERROR(ROUND(VLOOKUP(D221,ProductList!J:BG,45,FALSE),3),""),""))</f>
        <v/>
      </c>
      <c r="I221" s="75" t="str">
        <f t="shared" si="7"/>
        <v/>
      </c>
    </row>
    <row r="222" spans="1:9" x14ac:dyDescent="0.25">
      <c r="A222" s="197">
        <f t="shared" si="6"/>
        <v>132</v>
      </c>
      <c r="B222" s="73"/>
      <c r="C222" s="73"/>
      <c r="D222" s="104"/>
      <c r="E222" s="122"/>
      <c r="F222" s="73" t="str">
        <f>IF(G222="KGS",IF(D222&lt;&gt;"",IFERROR(VLOOKUP(D222,ProductList!J:AO,12,FALSE),""),""),IF(D222&lt;&gt;"",IFERROR(VLOOKUP(D222,ProductList!J:AO,15,FALSE),""),""))</f>
        <v/>
      </c>
      <c r="G222" s="6"/>
      <c r="H222" s="75" t="str">
        <f>IF(G222="KGS",IF(D222&lt;&gt;"",IFERROR(ROUND(VLOOKUP(D222,ProductList!J:BG,46,FALSE),3),""),""),IF(D222&lt;&gt;"",IFERROR(ROUND(VLOOKUP(D222,ProductList!J:BG,45,FALSE),3),""),""))</f>
        <v/>
      </c>
      <c r="I222" s="75" t="str">
        <f t="shared" si="7"/>
        <v/>
      </c>
    </row>
    <row r="223" spans="1:9" x14ac:dyDescent="0.25">
      <c r="A223" s="197">
        <f t="shared" si="6"/>
        <v>132</v>
      </c>
      <c r="B223" s="73"/>
      <c r="C223" s="73"/>
      <c r="D223" s="104"/>
      <c r="E223" s="122"/>
      <c r="F223" s="73" t="str">
        <f>IF(G223="KGS",IF(D223&lt;&gt;"",IFERROR(VLOOKUP(D223,ProductList!J:AO,12,FALSE),""),""),IF(D223&lt;&gt;"",IFERROR(VLOOKUP(D223,ProductList!J:AO,15,FALSE),""),""))</f>
        <v/>
      </c>
      <c r="G223" s="6"/>
      <c r="H223" s="75" t="str">
        <f>IF(G223="KGS",IF(D223&lt;&gt;"",IFERROR(ROUND(VLOOKUP(D223,ProductList!J:BG,46,FALSE),3),""),""),IF(D223&lt;&gt;"",IFERROR(ROUND(VLOOKUP(D223,ProductList!J:BG,45,FALSE),3),""),""))</f>
        <v/>
      </c>
      <c r="I223" s="75" t="str">
        <f t="shared" si="7"/>
        <v/>
      </c>
    </row>
    <row r="224" spans="1:9" x14ac:dyDescent="0.25">
      <c r="A224" s="197">
        <f t="shared" si="6"/>
        <v>132</v>
      </c>
      <c r="B224" s="73"/>
      <c r="C224" s="73"/>
      <c r="D224" s="104"/>
      <c r="E224" s="122"/>
      <c r="F224" s="73" t="str">
        <f>IF(G224="KGS",IF(D224&lt;&gt;"",IFERROR(VLOOKUP(D224,ProductList!J:AO,12,FALSE),""),""),IF(D224&lt;&gt;"",IFERROR(VLOOKUP(D224,ProductList!J:AO,15,FALSE),""),""))</f>
        <v/>
      </c>
      <c r="G224" s="6"/>
      <c r="H224" s="75" t="str">
        <f>IF(G224="KGS",IF(D224&lt;&gt;"",IFERROR(ROUND(VLOOKUP(D224,ProductList!J:BG,46,FALSE),3),""),""),IF(D224&lt;&gt;"",IFERROR(ROUND(VLOOKUP(D224,ProductList!J:BG,45,FALSE),3),""),""))</f>
        <v/>
      </c>
      <c r="I224" s="75" t="str">
        <f t="shared" si="7"/>
        <v/>
      </c>
    </row>
    <row r="225" spans="1:9" x14ac:dyDescent="0.25">
      <c r="A225" s="197">
        <f t="shared" si="6"/>
        <v>132</v>
      </c>
      <c r="B225" s="73"/>
      <c r="C225" s="73"/>
      <c r="D225" s="104"/>
      <c r="E225" s="122"/>
      <c r="F225" s="73" t="str">
        <f>IF(G225="KGS",IF(D225&lt;&gt;"",IFERROR(VLOOKUP(D225,ProductList!J:AO,12,FALSE),""),""),IF(D225&lt;&gt;"",IFERROR(VLOOKUP(D225,ProductList!J:AO,15,FALSE),""),""))</f>
        <v/>
      </c>
      <c r="G225" s="6"/>
      <c r="H225" s="75" t="str">
        <f>IF(G225="KGS",IF(D225&lt;&gt;"",IFERROR(ROUND(VLOOKUP(D225,ProductList!J:BG,46,FALSE),3),""),""),IF(D225&lt;&gt;"",IFERROR(ROUND(VLOOKUP(D225,ProductList!J:BG,45,FALSE),3),""),""))</f>
        <v/>
      </c>
      <c r="I225" s="75" t="str">
        <f t="shared" si="7"/>
        <v/>
      </c>
    </row>
    <row r="226" spans="1:9" x14ac:dyDescent="0.25">
      <c r="A226" s="197">
        <f t="shared" si="6"/>
        <v>132</v>
      </c>
      <c r="B226" s="73"/>
      <c r="C226" s="73"/>
      <c r="D226" s="104"/>
      <c r="E226" s="122"/>
      <c r="F226" s="73" t="str">
        <f>IF(G226="KGS",IF(D226&lt;&gt;"",IFERROR(VLOOKUP(D226,ProductList!J:AO,12,FALSE),""),""),IF(D226&lt;&gt;"",IFERROR(VLOOKUP(D226,ProductList!J:AO,15,FALSE),""),""))</f>
        <v/>
      </c>
      <c r="G226" s="6"/>
      <c r="H226" s="75" t="str">
        <f>IF(G226="KGS",IF(D226&lt;&gt;"",IFERROR(ROUND(VLOOKUP(D226,ProductList!J:BG,46,FALSE),3),""),""),IF(D226&lt;&gt;"",IFERROR(ROUND(VLOOKUP(D226,ProductList!J:BG,45,FALSE),3),""),""))</f>
        <v/>
      </c>
      <c r="I226" s="75" t="str">
        <f t="shared" si="7"/>
        <v/>
      </c>
    </row>
    <row r="227" spans="1:9" x14ac:dyDescent="0.25">
      <c r="A227" s="197">
        <f t="shared" si="6"/>
        <v>132</v>
      </c>
      <c r="B227" s="73"/>
      <c r="C227" s="73"/>
      <c r="D227" s="104"/>
      <c r="E227" s="122"/>
      <c r="F227" s="73" t="str">
        <f>IF(G227="KGS",IF(D227&lt;&gt;"",IFERROR(VLOOKUP(D227,ProductList!J:AO,12,FALSE),""),""),IF(D227&lt;&gt;"",IFERROR(VLOOKUP(D227,ProductList!J:AO,15,FALSE),""),""))</f>
        <v/>
      </c>
      <c r="G227" s="6"/>
      <c r="H227" s="75" t="str">
        <f>IF(G227="KGS",IF(D227&lt;&gt;"",IFERROR(ROUND(VLOOKUP(D227,ProductList!J:BG,46,FALSE),3),""),""),IF(D227&lt;&gt;"",IFERROR(ROUND(VLOOKUP(D227,ProductList!J:BG,45,FALSE),3),""),""))</f>
        <v/>
      </c>
      <c r="I227" s="75" t="str">
        <f t="shared" si="7"/>
        <v/>
      </c>
    </row>
    <row r="228" spans="1:9" x14ac:dyDescent="0.25">
      <c r="A228" s="197">
        <f t="shared" si="6"/>
        <v>132</v>
      </c>
      <c r="B228" s="73"/>
      <c r="C228" s="73"/>
      <c r="D228" s="104"/>
      <c r="E228" s="122"/>
      <c r="F228" s="73" t="str">
        <f>IF(G228="KGS",IF(D228&lt;&gt;"",IFERROR(VLOOKUP(D228,ProductList!J:AO,12,FALSE),""),""),IF(D228&lt;&gt;"",IFERROR(VLOOKUP(D228,ProductList!J:AO,15,FALSE),""),""))</f>
        <v/>
      </c>
      <c r="G228" s="6"/>
      <c r="H228" s="75" t="str">
        <f>IF(G228="KGS",IF(D228&lt;&gt;"",IFERROR(ROUND(VLOOKUP(D228,ProductList!J:BG,46,FALSE),3),""),""),IF(D228&lt;&gt;"",IFERROR(ROUND(VLOOKUP(D228,ProductList!J:BG,45,FALSE),3),""),""))</f>
        <v/>
      </c>
      <c r="I228" s="75" t="str">
        <f t="shared" si="7"/>
        <v/>
      </c>
    </row>
    <row r="229" spans="1:9" x14ac:dyDescent="0.25">
      <c r="A229" s="197">
        <f t="shared" si="6"/>
        <v>132</v>
      </c>
      <c r="B229" s="73"/>
      <c r="C229" s="73"/>
      <c r="D229" s="104"/>
      <c r="E229" s="122"/>
      <c r="F229" s="73" t="str">
        <f>IF(G229="KGS",IF(D229&lt;&gt;"",IFERROR(VLOOKUP(D229,ProductList!J:AO,12,FALSE),""),""),IF(D229&lt;&gt;"",IFERROR(VLOOKUP(D229,ProductList!J:AO,15,FALSE),""),""))</f>
        <v/>
      </c>
      <c r="G229" s="6"/>
      <c r="H229" s="75" t="str">
        <f>IF(G229="KGS",IF(D229&lt;&gt;"",IFERROR(ROUND(VLOOKUP(D229,ProductList!J:BG,46,FALSE),3),""),""),IF(D229&lt;&gt;"",IFERROR(ROUND(VLOOKUP(D229,ProductList!J:BG,45,FALSE),3),""),""))</f>
        <v/>
      </c>
      <c r="I229" s="75" t="str">
        <f t="shared" si="7"/>
        <v/>
      </c>
    </row>
    <row r="230" spans="1:9" x14ac:dyDescent="0.25">
      <c r="A230" s="197">
        <f t="shared" si="6"/>
        <v>132</v>
      </c>
      <c r="B230" s="73"/>
      <c r="C230" s="73"/>
      <c r="D230" s="104"/>
      <c r="E230" s="122"/>
      <c r="F230" s="73" t="str">
        <f>IF(G230="KGS",IF(D230&lt;&gt;"",IFERROR(VLOOKUP(D230,ProductList!J:AO,12,FALSE),""),""),IF(D230&lt;&gt;"",IFERROR(VLOOKUP(D230,ProductList!J:AO,15,FALSE),""),""))</f>
        <v/>
      </c>
      <c r="G230" s="6"/>
      <c r="H230" s="75" t="str">
        <f>IF(G230="KGS",IF(D230&lt;&gt;"",IFERROR(ROUND(VLOOKUP(D230,ProductList!J:BG,46,FALSE),3),""),""),IF(D230&lt;&gt;"",IFERROR(ROUND(VLOOKUP(D230,ProductList!J:BG,45,FALSE),3),""),""))</f>
        <v/>
      </c>
      <c r="I230" s="75" t="str">
        <f t="shared" si="7"/>
        <v/>
      </c>
    </row>
    <row r="231" spans="1:9" x14ac:dyDescent="0.25">
      <c r="A231" s="197">
        <f t="shared" si="6"/>
        <v>132</v>
      </c>
      <c r="B231" s="73"/>
      <c r="C231" s="73"/>
      <c r="D231" s="104"/>
      <c r="E231" s="122"/>
      <c r="F231" s="73" t="str">
        <f>IF(G231="KGS",IF(D231&lt;&gt;"",IFERROR(VLOOKUP(D231,ProductList!J:AO,12,FALSE),""),""),IF(D231&lt;&gt;"",IFERROR(VLOOKUP(D231,ProductList!J:AO,15,FALSE),""),""))</f>
        <v/>
      </c>
      <c r="G231" s="6"/>
      <c r="H231" s="75" t="str">
        <f>IF(G231="KGS",IF(D231&lt;&gt;"",IFERROR(ROUND(VLOOKUP(D231,ProductList!J:BG,46,FALSE),3),""),""),IF(D231&lt;&gt;"",IFERROR(ROUND(VLOOKUP(D231,ProductList!J:BG,45,FALSE),3),""),""))</f>
        <v/>
      </c>
      <c r="I231" s="75" t="str">
        <f t="shared" si="7"/>
        <v/>
      </c>
    </row>
    <row r="232" spans="1:9" x14ac:dyDescent="0.25">
      <c r="A232" s="197">
        <f t="shared" si="6"/>
        <v>132</v>
      </c>
      <c r="B232" s="73"/>
      <c r="C232" s="73"/>
      <c r="D232" s="104"/>
      <c r="E232" s="122"/>
      <c r="F232" s="73" t="str">
        <f>IF(G232="KGS",IF(D232&lt;&gt;"",IFERROR(VLOOKUP(D232,ProductList!J:AO,12,FALSE),""),""),IF(D232&lt;&gt;"",IFERROR(VLOOKUP(D232,ProductList!J:AO,15,FALSE),""),""))</f>
        <v/>
      </c>
      <c r="G232" s="6"/>
      <c r="H232" s="75" t="str">
        <f>IF(G232="KGS",IF(D232&lt;&gt;"",IFERROR(ROUND(VLOOKUP(D232,ProductList!J:BG,46,FALSE),3),""),""),IF(D232&lt;&gt;"",IFERROR(ROUND(VLOOKUP(D232,ProductList!J:BG,45,FALSE),3),""),""))</f>
        <v/>
      </c>
      <c r="I232" s="75" t="str">
        <f t="shared" si="7"/>
        <v/>
      </c>
    </row>
    <row r="233" spans="1:9" x14ac:dyDescent="0.25">
      <c r="A233" s="197">
        <f t="shared" si="6"/>
        <v>132</v>
      </c>
      <c r="B233" s="73"/>
      <c r="C233" s="73"/>
      <c r="D233" s="104"/>
      <c r="E233" s="122"/>
      <c r="F233" s="73" t="str">
        <f>IF(G233="KGS",IF(D233&lt;&gt;"",IFERROR(VLOOKUP(D233,ProductList!J:AO,12,FALSE),""),""),IF(D233&lt;&gt;"",IFERROR(VLOOKUP(D233,ProductList!J:AO,15,FALSE),""),""))</f>
        <v/>
      </c>
      <c r="G233" s="6"/>
      <c r="H233" s="75" t="str">
        <f>IF(G233="KGS",IF(D233&lt;&gt;"",IFERROR(ROUND(VLOOKUP(D233,ProductList!J:BG,46,FALSE),3),""),""),IF(D233&lt;&gt;"",IFERROR(ROUND(VLOOKUP(D233,ProductList!J:BG,45,FALSE),3),""),""))</f>
        <v/>
      </c>
      <c r="I233" s="75" t="str">
        <f t="shared" si="7"/>
        <v/>
      </c>
    </row>
    <row r="234" spans="1:9" x14ac:dyDescent="0.25">
      <c r="A234" s="197">
        <f t="shared" si="6"/>
        <v>132</v>
      </c>
      <c r="B234" s="73"/>
      <c r="C234" s="73"/>
      <c r="D234" s="104"/>
      <c r="E234" s="122"/>
      <c r="F234" s="73" t="str">
        <f>IF(G234="KGS",IF(D234&lt;&gt;"",IFERROR(VLOOKUP(D234,ProductList!J:AO,12,FALSE),""),""),IF(D234&lt;&gt;"",IFERROR(VLOOKUP(D234,ProductList!J:AO,15,FALSE),""),""))</f>
        <v/>
      </c>
      <c r="G234" s="6"/>
      <c r="H234" s="75" t="str">
        <f>IF(G234="KGS",IF(D234&lt;&gt;"",IFERROR(ROUND(VLOOKUP(D234,ProductList!J:BG,46,FALSE),3),""),""),IF(D234&lt;&gt;"",IFERROR(ROUND(VLOOKUP(D234,ProductList!J:BG,45,FALSE),3),""),""))</f>
        <v/>
      </c>
      <c r="I234" s="75" t="str">
        <f t="shared" si="7"/>
        <v/>
      </c>
    </row>
    <row r="235" spans="1:9" x14ac:dyDescent="0.25">
      <c r="A235" s="197">
        <f t="shared" si="6"/>
        <v>132</v>
      </c>
      <c r="B235" s="73"/>
      <c r="C235" s="73"/>
      <c r="D235" s="104"/>
      <c r="E235" s="122"/>
      <c r="F235" s="73" t="str">
        <f>IF(G235="KGS",IF(D235&lt;&gt;"",IFERROR(VLOOKUP(D235,ProductList!J:AO,12,FALSE),""),""),IF(D235&lt;&gt;"",IFERROR(VLOOKUP(D235,ProductList!J:AO,15,FALSE),""),""))</f>
        <v/>
      </c>
      <c r="G235" s="6"/>
      <c r="H235" s="75" t="str">
        <f>IF(G235="KGS",IF(D235&lt;&gt;"",IFERROR(ROUND(VLOOKUP(D235,ProductList!J:BG,46,FALSE),3),""),""),IF(D235&lt;&gt;"",IFERROR(ROUND(VLOOKUP(D235,ProductList!J:BG,45,FALSE),3),""),""))</f>
        <v/>
      </c>
      <c r="I235" s="75" t="str">
        <f t="shared" si="7"/>
        <v/>
      </c>
    </row>
    <row r="236" spans="1:9" x14ac:dyDescent="0.25">
      <c r="A236" s="197">
        <f t="shared" si="6"/>
        <v>132</v>
      </c>
      <c r="B236" s="73"/>
      <c r="C236" s="73"/>
      <c r="D236" s="104"/>
      <c r="E236" s="122"/>
      <c r="F236" s="73" t="str">
        <f>IF(G236="KGS",IF(D236&lt;&gt;"",IFERROR(VLOOKUP(D236,ProductList!J:AO,12,FALSE),""),""),IF(D236&lt;&gt;"",IFERROR(VLOOKUP(D236,ProductList!J:AO,15,FALSE),""),""))</f>
        <v/>
      </c>
      <c r="G236" s="6"/>
      <c r="H236" s="75" t="str">
        <f>IF(G236="KGS",IF(D236&lt;&gt;"",IFERROR(ROUND(VLOOKUP(D236,ProductList!J:BG,46,FALSE),3),""),""),IF(D236&lt;&gt;"",IFERROR(ROUND(VLOOKUP(D236,ProductList!J:BG,45,FALSE),3),""),""))</f>
        <v/>
      </c>
      <c r="I236" s="75" t="str">
        <f t="shared" si="7"/>
        <v/>
      </c>
    </row>
    <row r="237" spans="1:9" x14ac:dyDescent="0.25">
      <c r="A237" s="197">
        <f t="shared" si="6"/>
        <v>132</v>
      </c>
      <c r="B237" s="73"/>
      <c r="C237" s="73"/>
      <c r="D237" s="104"/>
      <c r="E237" s="122"/>
      <c r="F237" s="73" t="str">
        <f>IF(G237="KGS",IF(D237&lt;&gt;"",IFERROR(VLOOKUP(D237,ProductList!J:AO,12,FALSE),""),""),IF(D237&lt;&gt;"",IFERROR(VLOOKUP(D237,ProductList!J:AO,15,FALSE),""),""))</f>
        <v/>
      </c>
      <c r="G237" s="6"/>
      <c r="H237" s="75" t="str">
        <f>IF(G237="KGS",IF(D237&lt;&gt;"",IFERROR(ROUND(VLOOKUP(D237,ProductList!J:BG,46,FALSE),3),""),""),IF(D237&lt;&gt;"",IFERROR(ROUND(VLOOKUP(D237,ProductList!J:BG,45,FALSE),3),""),""))</f>
        <v/>
      </c>
      <c r="I237" s="75" t="str">
        <f t="shared" si="7"/>
        <v/>
      </c>
    </row>
    <row r="238" spans="1:9" x14ac:dyDescent="0.25">
      <c r="A238" s="197">
        <f t="shared" si="6"/>
        <v>132</v>
      </c>
      <c r="B238" s="73"/>
      <c r="C238" s="73"/>
      <c r="D238" s="104"/>
      <c r="E238" s="122"/>
      <c r="F238" s="73" t="str">
        <f>IF(G238="KGS",IF(D238&lt;&gt;"",IFERROR(VLOOKUP(D238,ProductList!J:AO,12,FALSE),""),""),IF(D238&lt;&gt;"",IFERROR(VLOOKUP(D238,ProductList!J:AO,15,FALSE),""),""))</f>
        <v/>
      </c>
      <c r="G238" s="6"/>
      <c r="H238" s="75" t="str">
        <f>IF(G238="KGS",IF(D238&lt;&gt;"",IFERROR(ROUND(VLOOKUP(D238,ProductList!J:BG,46,FALSE),3),""),""),IF(D238&lt;&gt;"",IFERROR(ROUND(VLOOKUP(D238,ProductList!J:BG,45,FALSE),3),""),""))</f>
        <v/>
      </c>
      <c r="I238" s="75" t="str">
        <f t="shared" si="7"/>
        <v/>
      </c>
    </row>
    <row r="239" spans="1:9" x14ac:dyDescent="0.25">
      <c r="A239" s="197">
        <f t="shared" si="6"/>
        <v>132</v>
      </c>
      <c r="B239" s="73"/>
      <c r="C239" s="73"/>
      <c r="D239" s="104"/>
      <c r="E239" s="122"/>
      <c r="F239" s="73" t="str">
        <f>IF(G239="KGS",IF(D239&lt;&gt;"",IFERROR(VLOOKUP(D239,ProductList!J:AO,12,FALSE),""),""),IF(D239&lt;&gt;"",IFERROR(VLOOKUP(D239,ProductList!J:AO,15,FALSE),""),""))</f>
        <v/>
      </c>
      <c r="G239" s="6"/>
      <c r="H239" s="75" t="str">
        <f>IF(G239="KGS",IF(D239&lt;&gt;"",IFERROR(ROUND(VLOOKUP(D239,ProductList!J:BG,46,FALSE),3),""),""),IF(D239&lt;&gt;"",IFERROR(ROUND(VLOOKUP(D239,ProductList!J:BG,45,FALSE),3),""),""))</f>
        <v/>
      </c>
      <c r="I239" s="75" t="str">
        <f t="shared" si="7"/>
        <v/>
      </c>
    </row>
    <row r="240" spans="1:9" x14ac:dyDescent="0.25">
      <c r="A240" s="197">
        <f t="shared" si="6"/>
        <v>132</v>
      </c>
      <c r="B240" s="73"/>
      <c r="C240" s="73"/>
      <c r="D240" s="104"/>
      <c r="E240" s="122"/>
      <c r="F240" s="73" t="str">
        <f>IF(G240="KGS",IF(D240&lt;&gt;"",IFERROR(VLOOKUP(D240,ProductList!J:AO,12,FALSE),""),""),IF(D240&lt;&gt;"",IFERROR(VLOOKUP(D240,ProductList!J:AO,15,FALSE),""),""))</f>
        <v/>
      </c>
      <c r="G240" s="6"/>
      <c r="H240" s="75" t="str">
        <f>IF(G240="KGS",IF(D240&lt;&gt;"",IFERROR(ROUND(VLOOKUP(D240,ProductList!J:BG,46,FALSE),3),""),""),IF(D240&lt;&gt;"",IFERROR(ROUND(VLOOKUP(D240,ProductList!J:BG,45,FALSE),3),""),""))</f>
        <v/>
      </c>
      <c r="I240" s="75" t="str">
        <f t="shared" si="7"/>
        <v/>
      </c>
    </row>
    <row r="241" spans="1:9" x14ac:dyDescent="0.25">
      <c r="A241" s="197">
        <f t="shared" si="6"/>
        <v>132</v>
      </c>
      <c r="B241" s="73"/>
      <c r="C241" s="73"/>
      <c r="D241" s="104"/>
      <c r="E241" s="122"/>
      <c r="F241" s="73" t="str">
        <f>IF(G241="KGS",IF(D241&lt;&gt;"",IFERROR(VLOOKUP(D241,ProductList!J:AO,12,FALSE),""),""),IF(D241&lt;&gt;"",IFERROR(VLOOKUP(D241,ProductList!J:AO,15,FALSE),""),""))</f>
        <v/>
      </c>
      <c r="G241" s="6"/>
      <c r="H241" s="75" t="str">
        <f>IF(G241="KGS",IF(D241&lt;&gt;"",IFERROR(ROUND(VLOOKUP(D241,ProductList!J:BG,46,FALSE),3),""),""),IF(D241&lt;&gt;"",IFERROR(ROUND(VLOOKUP(D241,ProductList!J:BG,45,FALSE),3),""),""))</f>
        <v/>
      </c>
      <c r="I241" s="75" t="str">
        <f t="shared" si="7"/>
        <v/>
      </c>
    </row>
    <row r="242" spans="1:9" x14ac:dyDescent="0.25">
      <c r="A242" s="197">
        <f t="shared" si="6"/>
        <v>132</v>
      </c>
      <c r="B242" s="73"/>
      <c r="C242" s="73"/>
      <c r="D242" s="104"/>
      <c r="E242" s="122"/>
      <c r="F242" s="73" t="str">
        <f>IF(G242="KGS",IF(D242&lt;&gt;"",IFERROR(VLOOKUP(D242,ProductList!J:AO,12,FALSE),""),""),IF(D242&lt;&gt;"",IFERROR(VLOOKUP(D242,ProductList!J:AO,15,FALSE),""),""))</f>
        <v/>
      </c>
      <c r="G242" s="6"/>
      <c r="H242" s="75" t="str">
        <f>IF(G242="KGS",IF(D242&lt;&gt;"",IFERROR(ROUND(VLOOKUP(D242,ProductList!J:BG,46,FALSE),3),""),""),IF(D242&lt;&gt;"",IFERROR(ROUND(VLOOKUP(D242,ProductList!J:BG,45,FALSE),3),""),""))</f>
        <v/>
      </c>
      <c r="I242" s="75" t="str">
        <f t="shared" si="7"/>
        <v/>
      </c>
    </row>
    <row r="243" spans="1:9" x14ac:dyDescent="0.25">
      <c r="A243" s="197">
        <f t="shared" si="6"/>
        <v>132</v>
      </c>
      <c r="B243" s="73"/>
      <c r="C243" s="73"/>
      <c r="D243" s="104"/>
      <c r="E243" s="122"/>
      <c r="F243" s="73" t="str">
        <f>IF(G243="KGS",IF(D243&lt;&gt;"",IFERROR(VLOOKUP(D243,ProductList!J:AO,12,FALSE),""),""),IF(D243&lt;&gt;"",IFERROR(VLOOKUP(D243,ProductList!J:AO,15,FALSE),""),""))</f>
        <v/>
      </c>
      <c r="G243" s="6"/>
      <c r="H243" s="75" t="str">
        <f>IF(G243="KGS",IF(D243&lt;&gt;"",IFERROR(ROUND(VLOOKUP(D243,ProductList!J:BG,46,FALSE),3),""),""),IF(D243&lt;&gt;"",IFERROR(ROUND(VLOOKUP(D243,ProductList!J:BG,45,FALSE),3),""),""))</f>
        <v/>
      </c>
      <c r="I243" s="75" t="str">
        <f t="shared" si="7"/>
        <v/>
      </c>
    </row>
    <row r="244" spans="1:9" x14ac:dyDescent="0.25">
      <c r="A244" s="197">
        <f t="shared" si="6"/>
        <v>132</v>
      </c>
      <c r="B244" s="73"/>
      <c r="C244" s="73"/>
      <c r="D244" s="104"/>
      <c r="E244" s="122"/>
      <c r="F244" s="73" t="str">
        <f>IF(G244="KGS",IF(D244&lt;&gt;"",IFERROR(VLOOKUP(D244,ProductList!J:AO,12,FALSE),""),""),IF(D244&lt;&gt;"",IFERROR(VLOOKUP(D244,ProductList!J:AO,15,FALSE),""),""))</f>
        <v/>
      </c>
      <c r="G244" s="6"/>
      <c r="H244" s="75" t="str">
        <f>IF(G244="KGS",IF(D244&lt;&gt;"",IFERROR(ROUND(VLOOKUP(D244,ProductList!J:BG,46,FALSE),3),""),""),IF(D244&lt;&gt;"",IFERROR(ROUND(VLOOKUP(D244,ProductList!J:BG,45,FALSE),3),""),""))</f>
        <v/>
      </c>
      <c r="I244" s="75" t="str">
        <f t="shared" si="7"/>
        <v/>
      </c>
    </row>
    <row r="245" spans="1:9" x14ac:dyDescent="0.25">
      <c r="A245" s="197">
        <f t="shared" si="6"/>
        <v>132</v>
      </c>
      <c r="B245" s="73"/>
      <c r="C245" s="73"/>
      <c r="D245" s="104"/>
      <c r="E245" s="122"/>
      <c r="F245" s="73" t="str">
        <f>IF(G245="KGS",IF(D245&lt;&gt;"",IFERROR(VLOOKUP(D245,ProductList!J:AO,12,FALSE),""),""),IF(D245&lt;&gt;"",IFERROR(VLOOKUP(D245,ProductList!J:AO,15,FALSE),""),""))</f>
        <v/>
      </c>
      <c r="G245" s="6"/>
      <c r="H245" s="75" t="str">
        <f>IF(G245="KGS",IF(D245&lt;&gt;"",IFERROR(ROUND(VLOOKUP(D245,ProductList!J:BG,46,FALSE),3),""),""),IF(D245&lt;&gt;"",IFERROR(ROUND(VLOOKUP(D245,ProductList!J:BG,45,FALSE),3),""),""))</f>
        <v/>
      </c>
      <c r="I245" s="75" t="str">
        <f t="shared" si="7"/>
        <v/>
      </c>
    </row>
    <row r="246" spans="1:9" x14ac:dyDescent="0.25">
      <c r="A246" s="197">
        <f t="shared" si="6"/>
        <v>132</v>
      </c>
      <c r="B246" s="73"/>
      <c r="C246" s="73"/>
      <c r="D246" s="104"/>
      <c r="E246" s="122"/>
      <c r="F246" s="73" t="str">
        <f>IF(G246="KGS",IF(D246&lt;&gt;"",IFERROR(VLOOKUP(D246,ProductList!J:AO,12,FALSE),""),""),IF(D246&lt;&gt;"",IFERROR(VLOOKUP(D246,ProductList!J:AO,15,FALSE),""),""))</f>
        <v/>
      </c>
      <c r="G246" s="6"/>
      <c r="H246" s="75" t="str">
        <f>IF(G246="KGS",IF(D246&lt;&gt;"",IFERROR(ROUND(VLOOKUP(D246,ProductList!J:BG,46,FALSE),3),""),""),IF(D246&lt;&gt;"",IFERROR(ROUND(VLOOKUP(D246,ProductList!J:BG,45,FALSE),3),""),""))</f>
        <v/>
      </c>
      <c r="I246" s="75" t="str">
        <f t="shared" si="7"/>
        <v/>
      </c>
    </row>
    <row r="247" spans="1:9" x14ac:dyDescent="0.25">
      <c r="A247" s="197">
        <f t="shared" si="6"/>
        <v>132</v>
      </c>
      <c r="B247" s="73"/>
      <c r="C247" s="73"/>
      <c r="D247" s="104"/>
      <c r="E247" s="122"/>
      <c r="F247" s="73" t="str">
        <f>IF(G247="KGS",IF(D247&lt;&gt;"",IFERROR(VLOOKUP(D247,ProductList!J:AO,12,FALSE),""),""),IF(D247&lt;&gt;"",IFERROR(VLOOKUP(D247,ProductList!J:AO,15,FALSE),""),""))</f>
        <v/>
      </c>
      <c r="G247" s="6"/>
      <c r="H247" s="75" t="str">
        <f>IF(G247="KGS",IF(D247&lt;&gt;"",IFERROR(ROUND(VLOOKUP(D247,ProductList!J:BG,46,FALSE),3),""),""),IF(D247&lt;&gt;"",IFERROR(ROUND(VLOOKUP(D247,ProductList!J:BG,45,FALSE),3),""),""))</f>
        <v/>
      </c>
      <c r="I247" s="75" t="str">
        <f t="shared" si="7"/>
        <v/>
      </c>
    </row>
    <row r="248" spans="1:9" x14ac:dyDescent="0.25">
      <c r="A248" s="197">
        <f t="shared" si="6"/>
        <v>132</v>
      </c>
      <c r="B248" s="73"/>
      <c r="C248" s="73"/>
      <c r="D248" s="104"/>
      <c r="E248" s="122"/>
      <c r="F248" s="73" t="str">
        <f>IF(G248="KGS",IF(D248&lt;&gt;"",IFERROR(VLOOKUP(D248,ProductList!J:AO,12,FALSE),""),""),IF(D248&lt;&gt;"",IFERROR(VLOOKUP(D248,ProductList!J:AO,15,FALSE),""),""))</f>
        <v/>
      </c>
      <c r="G248" s="6"/>
      <c r="H248" s="75" t="str">
        <f>IF(G248="KGS",IF(D248&lt;&gt;"",IFERROR(ROUND(VLOOKUP(D248,ProductList!J:BG,46,FALSE),3),""),""),IF(D248&lt;&gt;"",IFERROR(ROUND(VLOOKUP(D248,ProductList!J:BG,45,FALSE),3),""),""))</f>
        <v/>
      </c>
      <c r="I248" s="75" t="str">
        <f t="shared" si="7"/>
        <v/>
      </c>
    </row>
    <row r="249" spans="1:9" x14ac:dyDescent="0.25">
      <c r="A249" s="197">
        <f t="shared" si="6"/>
        <v>132</v>
      </c>
      <c r="B249" s="73"/>
      <c r="C249" s="73"/>
      <c r="D249" s="104"/>
      <c r="E249" s="122"/>
      <c r="F249" s="73" t="str">
        <f>IF(G249="KGS",IF(D249&lt;&gt;"",IFERROR(VLOOKUP(D249,ProductList!J:AO,12,FALSE),""),""),IF(D249&lt;&gt;"",IFERROR(VLOOKUP(D249,ProductList!J:AO,15,FALSE),""),""))</f>
        <v/>
      </c>
      <c r="G249" s="6"/>
      <c r="H249" s="75" t="str">
        <f>IF(G249="KGS",IF(D249&lt;&gt;"",IFERROR(ROUND(VLOOKUP(D249,ProductList!J:BG,46,FALSE),3),""),""),IF(D249&lt;&gt;"",IFERROR(ROUND(VLOOKUP(D249,ProductList!J:BG,45,FALSE),3),""),""))</f>
        <v/>
      </c>
      <c r="I249" s="75" t="str">
        <f t="shared" si="7"/>
        <v/>
      </c>
    </row>
    <row r="250" spans="1:9" x14ac:dyDescent="0.25">
      <c r="A250" s="197">
        <f t="shared" si="6"/>
        <v>132</v>
      </c>
      <c r="B250" s="73"/>
      <c r="C250" s="73"/>
      <c r="D250" s="104"/>
      <c r="E250" s="122"/>
      <c r="F250" s="73" t="str">
        <f>IF(G250="KGS",IF(D250&lt;&gt;"",IFERROR(VLOOKUP(D250,ProductList!J:AO,12,FALSE),""),""),IF(D250&lt;&gt;"",IFERROR(VLOOKUP(D250,ProductList!J:AO,15,FALSE),""),""))</f>
        <v/>
      </c>
      <c r="G250" s="6"/>
      <c r="H250" s="75" t="str">
        <f>IF(G250="KGS",IF(D250&lt;&gt;"",IFERROR(ROUND(VLOOKUP(D250,ProductList!J:BG,46,FALSE),3),""),""),IF(D250&lt;&gt;"",IFERROR(ROUND(VLOOKUP(D250,ProductList!J:BG,45,FALSE),3),""),""))</f>
        <v/>
      </c>
      <c r="I250" s="75" t="str">
        <f t="shared" si="7"/>
        <v/>
      </c>
    </row>
    <row r="251" spans="1:9" x14ac:dyDescent="0.25">
      <c r="A251" s="197">
        <f t="shared" si="6"/>
        <v>132</v>
      </c>
      <c r="B251" s="73"/>
      <c r="C251" s="73"/>
      <c r="D251" s="104"/>
      <c r="E251" s="122"/>
      <c r="F251" s="73" t="str">
        <f>IF(G251="KGS",IF(D251&lt;&gt;"",IFERROR(VLOOKUP(D251,ProductList!J:AO,12,FALSE),""),""),IF(D251&lt;&gt;"",IFERROR(VLOOKUP(D251,ProductList!J:AO,15,FALSE),""),""))</f>
        <v/>
      </c>
      <c r="G251" s="6"/>
      <c r="H251" s="75" t="str">
        <f>IF(G251="KGS",IF(D251&lt;&gt;"",IFERROR(ROUND(VLOOKUP(D251,ProductList!J:BG,46,FALSE),3),""),""),IF(D251&lt;&gt;"",IFERROR(ROUND(VLOOKUP(D251,ProductList!J:BG,45,FALSE),3),""),""))</f>
        <v/>
      </c>
      <c r="I251" s="75" t="str">
        <f t="shared" si="7"/>
        <v/>
      </c>
    </row>
    <row r="252" spans="1:9" x14ac:dyDescent="0.25">
      <c r="A252" s="197">
        <f t="shared" si="6"/>
        <v>132</v>
      </c>
      <c r="B252" s="73"/>
      <c r="C252" s="73"/>
      <c r="D252" s="104"/>
      <c r="E252" s="122"/>
      <c r="F252" s="73" t="str">
        <f>IF(G252="KGS",IF(D252&lt;&gt;"",IFERROR(VLOOKUP(D252,ProductList!J:AO,12,FALSE),""),""),IF(D252&lt;&gt;"",IFERROR(VLOOKUP(D252,ProductList!J:AO,15,FALSE),""),""))</f>
        <v/>
      </c>
      <c r="G252" s="6"/>
      <c r="H252" s="75" t="str">
        <f>IF(G252="KGS",IF(D252&lt;&gt;"",IFERROR(ROUND(VLOOKUP(D252,ProductList!J:BG,46,FALSE),3),""),""),IF(D252&lt;&gt;"",IFERROR(ROUND(VLOOKUP(D252,ProductList!J:BG,45,FALSE),3),""),""))</f>
        <v/>
      </c>
      <c r="I252" s="75" t="str">
        <f t="shared" si="7"/>
        <v/>
      </c>
    </row>
    <row r="253" spans="1:9" x14ac:dyDescent="0.25">
      <c r="A253" s="197">
        <f t="shared" si="6"/>
        <v>132</v>
      </c>
      <c r="B253" s="73"/>
      <c r="C253" s="73"/>
      <c r="D253" s="104"/>
      <c r="E253" s="122"/>
      <c r="F253" s="73" t="str">
        <f>IF(G253="KGS",IF(D253&lt;&gt;"",IFERROR(VLOOKUP(D253,ProductList!J:AO,12,FALSE),""),""),IF(D253&lt;&gt;"",IFERROR(VLOOKUP(D253,ProductList!J:AO,15,FALSE),""),""))</f>
        <v/>
      </c>
      <c r="G253" s="6"/>
      <c r="H253" s="75" t="str">
        <f>IF(G253="KGS",IF(D253&lt;&gt;"",IFERROR(ROUND(VLOOKUP(D253,ProductList!J:BG,46,FALSE),3),""),""),IF(D253&lt;&gt;"",IFERROR(ROUND(VLOOKUP(D253,ProductList!J:BG,45,FALSE),3),""),""))</f>
        <v/>
      </c>
      <c r="I253" s="75" t="str">
        <f t="shared" si="7"/>
        <v/>
      </c>
    </row>
    <row r="254" spans="1:9" x14ac:dyDescent="0.25">
      <c r="A254" s="197">
        <f t="shared" si="6"/>
        <v>132</v>
      </c>
      <c r="B254" s="73"/>
      <c r="C254" s="73"/>
      <c r="D254" s="104"/>
      <c r="E254" s="122"/>
      <c r="F254" s="73" t="str">
        <f>IF(G254="KGS",IF(D254&lt;&gt;"",IFERROR(VLOOKUP(D254,ProductList!J:AO,12,FALSE),""),""),IF(D254&lt;&gt;"",IFERROR(VLOOKUP(D254,ProductList!J:AO,15,FALSE),""),""))</f>
        <v/>
      </c>
      <c r="G254" s="6"/>
      <c r="H254" s="75" t="str">
        <f>IF(G254="KGS",IF(D254&lt;&gt;"",IFERROR(ROUND(VLOOKUP(D254,ProductList!J:BG,46,FALSE),3),""),""),IF(D254&lt;&gt;"",IFERROR(ROUND(VLOOKUP(D254,ProductList!J:BG,45,FALSE),3),""),""))</f>
        <v/>
      </c>
      <c r="I254" s="75" t="str">
        <f t="shared" si="7"/>
        <v/>
      </c>
    </row>
    <row r="255" spans="1:9" x14ac:dyDescent="0.25">
      <c r="A255" s="197">
        <f t="shared" si="6"/>
        <v>132</v>
      </c>
      <c r="B255" s="73"/>
      <c r="C255" s="73"/>
      <c r="D255" s="104"/>
      <c r="E255" s="122"/>
      <c r="F255" s="73" t="str">
        <f>IF(G255="KGS",IF(D255&lt;&gt;"",IFERROR(VLOOKUP(D255,ProductList!J:AO,12,FALSE),""),""),IF(D255&lt;&gt;"",IFERROR(VLOOKUP(D255,ProductList!J:AO,15,FALSE),""),""))</f>
        <v/>
      </c>
      <c r="G255" s="6"/>
      <c r="H255" s="75" t="str">
        <f>IF(G255="KGS",IF(D255&lt;&gt;"",IFERROR(ROUND(VLOOKUP(D255,ProductList!J:BG,46,FALSE),3),""),""),IF(D255&lt;&gt;"",IFERROR(ROUND(VLOOKUP(D255,ProductList!J:BG,45,FALSE),3),""),""))</f>
        <v/>
      </c>
      <c r="I255" s="75" t="str">
        <f t="shared" si="7"/>
        <v/>
      </c>
    </row>
    <row r="256" spans="1:9" x14ac:dyDescent="0.25">
      <c r="A256" s="197">
        <f t="shared" si="6"/>
        <v>132</v>
      </c>
      <c r="B256" s="73"/>
      <c r="C256" s="73"/>
      <c r="D256" s="104"/>
      <c r="E256" s="122"/>
      <c r="F256" s="73" t="str">
        <f>IF(G256="KGS",IF(D256&lt;&gt;"",IFERROR(VLOOKUP(D256,ProductList!J:AO,12,FALSE),""),""),IF(D256&lt;&gt;"",IFERROR(VLOOKUP(D256,ProductList!J:AO,15,FALSE),""),""))</f>
        <v/>
      </c>
      <c r="G256" s="6"/>
      <c r="H256" s="75" t="str">
        <f>IF(G256="KGS",IF(D256&lt;&gt;"",IFERROR(ROUND(VLOOKUP(D256,ProductList!J:BG,46,FALSE),3),""),""),IF(D256&lt;&gt;"",IFERROR(ROUND(VLOOKUP(D256,ProductList!J:BG,45,FALSE),3),""),""))</f>
        <v/>
      </c>
      <c r="I256" s="75" t="str">
        <f t="shared" si="7"/>
        <v/>
      </c>
    </row>
    <row r="257" spans="1:9" x14ac:dyDescent="0.25">
      <c r="A257" s="197">
        <f t="shared" si="6"/>
        <v>132</v>
      </c>
      <c r="B257" s="73"/>
      <c r="C257" s="73"/>
      <c r="D257" s="104"/>
      <c r="E257" s="122"/>
      <c r="F257" s="73" t="str">
        <f>IF(G257="KGS",IF(D257&lt;&gt;"",IFERROR(VLOOKUP(D257,ProductList!J:AO,12,FALSE),""),""),IF(D257&lt;&gt;"",IFERROR(VLOOKUP(D257,ProductList!J:AO,15,FALSE),""),""))</f>
        <v/>
      </c>
      <c r="G257" s="6"/>
      <c r="H257" s="75" t="str">
        <f>IF(G257="KGS",IF(D257&lt;&gt;"",IFERROR(ROUND(VLOOKUP(D257,ProductList!J:BG,46,FALSE),3),""),""),IF(D257&lt;&gt;"",IFERROR(ROUND(VLOOKUP(D257,ProductList!J:BG,45,FALSE),3),""),""))</f>
        <v/>
      </c>
      <c r="I257" s="75" t="str">
        <f t="shared" si="7"/>
        <v/>
      </c>
    </row>
    <row r="258" spans="1:9" x14ac:dyDescent="0.25">
      <c r="A258" s="197">
        <f t="shared" si="6"/>
        <v>132</v>
      </c>
      <c r="B258" s="73"/>
      <c r="C258" s="73"/>
      <c r="D258" s="104"/>
      <c r="E258" s="122"/>
      <c r="F258" s="73" t="str">
        <f>IF(G258="KGS",IF(D258&lt;&gt;"",IFERROR(VLOOKUP(D258,ProductList!J:AO,12,FALSE),""),""),IF(D258&lt;&gt;"",IFERROR(VLOOKUP(D258,ProductList!J:AO,15,FALSE),""),""))</f>
        <v/>
      </c>
      <c r="G258" s="6"/>
      <c r="H258" s="75" t="str">
        <f>IF(G258="KGS",IF(D258&lt;&gt;"",IFERROR(ROUND(VLOOKUP(D258,ProductList!J:BG,46,FALSE),3),""),""),IF(D258&lt;&gt;"",IFERROR(ROUND(VLOOKUP(D258,ProductList!J:BG,45,FALSE),3),""),""))</f>
        <v/>
      </c>
      <c r="I258" s="75" t="str">
        <f t="shared" si="7"/>
        <v/>
      </c>
    </row>
    <row r="259" spans="1:9" x14ac:dyDescent="0.25">
      <c r="A259" s="197">
        <f t="shared" si="6"/>
        <v>132</v>
      </c>
      <c r="B259" s="73"/>
      <c r="C259" s="73"/>
      <c r="D259" s="104"/>
      <c r="E259" s="122"/>
      <c r="F259" s="73" t="str">
        <f>IF(G259="KGS",IF(D259&lt;&gt;"",IFERROR(VLOOKUP(D259,ProductList!J:AO,12,FALSE),""),""),IF(D259&lt;&gt;"",IFERROR(VLOOKUP(D259,ProductList!J:AO,15,FALSE),""),""))</f>
        <v/>
      </c>
      <c r="G259" s="6"/>
      <c r="H259" s="75" t="str">
        <f>IF(G259="KGS",IF(D259&lt;&gt;"",IFERROR(ROUND(VLOOKUP(D259,ProductList!J:BG,46,FALSE),3),""),""),IF(D259&lt;&gt;"",IFERROR(ROUND(VLOOKUP(D259,ProductList!J:BG,45,FALSE),3),""),""))</f>
        <v/>
      </c>
      <c r="I259" s="75" t="str">
        <f t="shared" si="7"/>
        <v/>
      </c>
    </row>
    <row r="260" spans="1:9" x14ac:dyDescent="0.25">
      <c r="A260" s="197">
        <f t="shared" si="6"/>
        <v>132</v>
      </c>
      <c r="B260" s="73"/>
      <c r="C260" s="73"/>
      <c r="D260" s="104"/>
      <c r="E260" s="122"/>
      <c r="F260" s="73" t="str">
        <f>IF(G260="KGS",IF(D260&lt;&gt;"",IFERROR(VLOOKUP(D260,ProductList!J:AO,12,FALSE),""),""),IF(D260&lt;&gt;"",IFERROR(VLOOKUP(D260,ProductList!J:AO,15,FALSE),""),""))</f>
        <v/>
      </c>
      <c r="G260" s="6"/>
      <c r="H260" s="75" t="str">
        <f>IF(G260="KGS",IF(D260&lt;&gt;"",IFERROR(ROUND(VLOOKUP(D260,ProductList!J:BG,46,FALSE),3),""),""),IF(D260&lt;&gt;"",IFERROR(ROUND(VLOOKUP(D260,ProductList!J:BG,45,FALSE),3),""),""))</f>
        <v/>
      </c>
      <c r="I260" s="75" t="str">
        <f t="shared" si="7"/>
        <v/>
      </c>
    </row>
    <row r="261" spans="1:9" x14ac:dyDescent="0.25">
      <c r="A261" s="197">
        <f t="shared" ref="A261:A324" si="8">IF(AND(D261&lt;&gt;""),IF(A260&lt;&gt;"",A260,0)+1,A260)</f>
        <v>132</v>
      </c>
      <c r="B261" s="73"/>
      <c r="C261" s="73"/>
      <c r="D261" s="104"/>
      <c r="E261" s="122"/>
      <c r="F261" s="73" t="str">
        <f>IF(G261="KGS",IF(D261&lt;&gt;"",IFERROR(VLOOKUP(D261,ProductList!J:AO,12,FALSE),""),""),IF(D261&lt;&gt;"",IFERROR(VLOOKUP(D261,ProductList!J:AO,15,FALSE),""),""))</f>
        <v/>
      </c>
      <c r="G261" s="6"/>
      <c r="H261" s="75" t="str">
        <f>IF(G261="KGS",IF(D261&lt;&gt;"",IFERROR(ROUND(VLOOKUP(D261,ProductList!J:BG,46,FALSE),3),""),""),IF(D261&lt;&gt;"",IFERROR(ROUND(VLOOKUP(D261,ProductList!J:BG,45,FALSE),3),""),""))</f>
        <v/>
      </c>
      <c r="I261" s="75" t="str">
        <f t="shared" si="7"/>
        <v/>
      </c>
    </row>
    <row r="262" spans="1:9" x14ac:dyDescent="0.25">
      <c r="A262" s="197">
        <f t="shared" si="8"/>
        <v>132</v>
      </c>
      <c r="B262" s="73"/>
      <c r="C262" s="73"/>
      <c r="D262" s="104"/>
      <c r="E262" s="122"/>
      <c r="F262" s="73" t="str">
        <f>IF(G262="KGS",IF(D262&lt;&gt;"",IFERROR(VLOOKUP(D262,ProductList!J:AO,12,FALSE),""),""),IF(D262&lt;&gt;"",IFERROR(VLOOKUP(D262,ProductList!J:AO,15,FALSE),""),""))</f>
        <v/>
      </c>
      <c r="G262" s="6"/>
      <c r="H262" s="75" t="str">
        <f>IF(G262="KGS",IF(D262&lt;&gt;"",IFERROR(ROUND(VLOOKUP(D262,ProductList!J:BG,46,FALSE),3),""),""),IF(D262&lt;&gt;"",IFERROR(ROUND(VLOOKUP(D262,ProductList!J:BG,45,FALSE),3),""),""))</f>
        <v/>
      </c>
      <c r="I262" s="75" t="str">
        <f t="shared" ref="I262:I325" si="9">IF(AND(F262&lt;&gt;"",H262&lt;&gt;""),ROUND(F262*H262,2),"")</f>
        <v/>
      </c>
    </row>
    <row r="263" spans="1:9" x14ac:dyDescent="0.25">
      <c r="A263" s="197">
        <f t="shared" si="8"/>
        <v>132</v>
      </c>
      <c r="B263" s="73"/>
      <c r="C263" s="73"/>
      <c r="D263" s="104"/>
      <c r="E263" s="122"/>
      <c r="F263" s="73" t="str">
        <f>IF(G263="KGS",IF(D263&lt;&gt;"",IFERROR(VLOOKUP(D263,ProductList!J:AO,12,FALSE),""),""),IF(D263&lt;&gt;"",IFERROR(VLOOKUP(D263,ProductList!J:AO,15,FALSE),""),""))</f>
        <v/>
      </c>
      <c r="G263" s="6"/>
      <c r="H263" s="75" t="str">
        <f>IF(G263="KGS",IF(D263&lt;&gt;"",IFERROR(ROUND(VLOOKUP(D263,ProductList!J:BG,46,FALSE),3),""),""),IF(D263&lt;&gt;"",IFERROR(ROUND(VLOOKUP(D263,ProductList!J:BG,45,FALSE),3),""),""))</f>
        <v/>
      </c>
      <c r="I263" s="75" t="str">
        <f t="shared" si="9"/>
        <v/>
      </c>
    </row>
    <row r="264" spans="1:9" x14ac:dyDescent="0.25">
      <c r="A264" s="197">
        <f t="shared" si="8"/>
        <v>132</v>
      </c>
      <c r="B264" s="73"/>
      <c r="C264" s="73"/>
      <c r="D264" s="104"/>
      <c r="E264" s="122"/>
      <c r="F264" s="73" t="str">
        <f>IF(G264="KGS",IF(D264&lt;&gt;"",IFERROR(VLOOKUP(D264,ProductList!J:AO,12,FALSE),""),""),IF(D264&lt;&gt;"",IFERROR(VLOOKUP(D264,ProductList!J:AO,15,FALSE),""),""))</f>
        <v/>
      </c>
      <c r="G264" s="6"/>
      <c r="H264" s="75" t="str">
        <f>IF(G264="KGS",IF(D264&lt;&gt;"",IFERROR(ROUND(VLOOKUP(D264,ProductList!J:BG,46,FALSE),3),""),""),IF(D264&lt;&gt;"",IFERROR(ROUND(VLOOKUP(D264,ProductList!J:BG,45,FALSE),3),""),""))</f>
        <v/>
      </c>
      <c r="I264" s="75" t="str">
        <f t="shared" si="9"/>
        <v/>
      </c>
    </row>
    <row r="265" spans="1:9" x14ac:dyDescent="0.25">
      <c r="A265" s="197">
        <f t="shared" si="8"/>
        <v>132</v>
      </c>
      <c r="B265" s="73"/>
      <c r="C265" s="73"/>
      <c r="D265" s="104"/>
      <c r="E265" s="122"/>
      <c r="F265" s="73" t="str">
        <f>IF(G265="KGS",IF(D265&lt;&gt;"",IFERROR(VLOOKUP(D265,ProductList!J:AO,12,FALSE),""),""),IF(D265&lt;&gt;"",IFERROR(VLOOKUP(D265,ProductList!J:AO,15,FALSE),""),""))</f>
        <v/>
      </c>
      <c r="G265" s="6"/>
      <c r="H265" s="75" t="str">
        <f>IF(G265="KGS",IF(D265&lt;&gt;"",IFERROR(ROUND(VLOOKUP(D265,ProductList!J:BG,46,FALSE),3),""),""),IF(D265&lt;&gt;"",IFERROR(ROUND(VLOOKUP(D265,ProductList!J:BG,45,FALSE),3),""),""))</f>
        <v/>
      </c>
      <c r="I265" s="75" t="str">
        <f t="shared" si="9"/>
        <v/>
      </c>
    </row>
    <row r="266" spans="1:9" x14ac:dyDescent="0.25">
      <c r="A266" s="197">
        <f t="shared" si="8"/>
        <v>132</v>
      </c>
      <c r="B266" s="73"/>
      <c r="C266" s="73"/>
      <c r="D266" s="104"/>
      <c r="E266" s="122"/>
      <c r="F266" s="73" t="str">
        <f>IF(G266="KGS",IF(D266&lt;&gt;"",IFERROR(VLOOKUP(D266,ProductList!J:AO,12,FALSE),""),""),IF(D266&lt;&gt;"",IFERROR(VLOOKUP(D266,ProductList!J:AO,15,FALSE),""),""))</f>
        <v/>
      </c>
      <c r="G266" s="6"/>
      <c r="H266" s="75" t="str">
        <f>IF(G266="KGS",IF(D266&lt;&gt;"",IFERROR(ROUND(VLOOKUP(D266,ProductList!J:BG,46,FALSE),3),""),""),IF(D266&lt;&gt;"",IFERROR(ROUND(VLOOKUP(D266,ProductList!J:BG,45,FALSE),3),""),""))</f>
        <v/>
      </c>
      <c r="I266" s="75" t="str">
        <f t="shared" si="9"/>
        <v/>
      </c>
    </row>
    <row r="267" spans="1:9" x14ac:dyDescent="0.25">
      <c r="A267" s="197">
        <f t="shared" si="8"/>
        <v>132</v>
      </c>
      <c r="B267" s="73"/>
      <c r="C267" s="73"/>
      <c r="D267" s="104"/>
      <c r="E267" s="122"/>
      <c r="F267" s="73" t="str">
        <f>IF(G267="KGS",IF(D267&lt;&gt;"",IFERROR(VLOOKUP(D267,ProductList!J:AO,12,FALSE),""),""),IF(D267&lt;&gt;"",IFERROR(VLOOKUP(D267,ProductList!J:AO,15,FALSE),""),""))</f>
        <v/>
      </c>
      <c r="G267" s="6"/>
      <c r="H267" s="75" t="str">
        <f>IF(G267="KGS",IF(D267&lt;&gt;"",IFERROR(ROUND(VLOOKUP(D267,ProductList!J:BG,46,FALSE),3),""),""),IF(D267&lt;&gt;"",IFERROR(ROUND(VLOOKUP(D267,ProductList!J:BG,45,FALSE),3),""),""))</f>
        <v/>
      </c>
      <c r="I267" s="75" t="str">
        <f t="shared" si="9"/>
        <v/>
      </c>
    </row>
    <row r="268" spans="1:9" x14ac:dyDescent="0.25">
      <c r="A268" s="197">
        <f t="shared" si="8"/>
        <v>132</v>
      </c>
      <c r="B268" s="73"/>
      <c r="C268" s="73"/>
      <c r="D268" s="104"/>
      <c r="E268" s="122"/>
      <c r="F268" s="73" t="str">
        <f>IF(G268="KGS",IF(D268&lt;&gt;"",IFERROR(VLOOKUP(D268,ProductList!J:AO,12,FALSE),""),""),IF(D268&lt;&gt;"",IFERROR(VLOOKUP(D268,ProductList!J:AO,15,FALSE),""),""))</f>
        <v/>
      </c>
      <c r="G268" s="6"/>
      <c r="H268" s="75" t="str">
        <f>IF(G268="KGS",IF(D268&lt;&gt;"",IFERROR(ROUND(VLOOKUP(D268,ProductList!J:BG,46,FALSE),3),""),""),IF(D268&lt;&gt;"",IFERROR(ROUND(VLOOKUP(D268,ProductList!J:BG,45,FALSE),3),""),""))</f>
        <v/>
      </c>
      <c r="I268" s="75" t="str">
        <f t="shared" si="9"/>
        <v/>
      </c>
    </row>
    <row r="269" spans="1:9" x14ac:dyDescent="0.25">
      <c r="A269" s="197">
        <f t="shared" si="8"/>
        <v>132</v>
      </c>
      <c r="B269" s="73"/>
      <c r="C269" s="73"/>
      <c r="D269" s="104"/>
      <c r="E269" s="122"/>
      <c r="F269" s="73" t="str">
        <f>IF(G269="KGS",IF(D269&lt;&gt;"",IFERROR(VLOOKUP(D269,ProductList!J:AO,12,FALSE),""),""),IF(D269&lt;&gt;"",IFERROR(VLOOKUP(D269,ProductList!J:AO,15,FALSE),""),""))</f>
        <v/>
      </c>
      <c r="G269" s="6"/>
      <c r="H269" s="75" t="str">
        <f>IF(G269="KGS",IF(D269&lt;&gt;"",IFERROR(ROUND(VLOOKUP(D269,ProductList!J:BG,46,FALSE),3),""),""),IF(D269&lt;&gt;"",IFERROR(ROUND(VLOOKUP(D269,ProductList!J:BG,45,FALSE),3),""),""))</f>
        <v/>
      </c>
      <c r="I269" s="75" t="str">
        <f t="shared" si="9"/>
        <v/>
      </c>
    </row>
    <row r="270" spans="1:9" x14ac:dyDescent="0.25">
      <c r="A270" s="197">
        <f t="shared" si="8"/>
        <v>132</v>
      </c>
      <c r="B270" s="73"/>
      <c r="C270" s="73"/>
      <c r="D270" s="104"/>
      <c r="E270" s="122"/>
      <c r="F270" s="73" t="str">
        <f>IF(G270="KGS",IF(D270&lt;&gt;"",IFERROR(VLOOKUP(D270,ProductList!J:AO,12,FALSE),""),""),IF(D270&lt;&gt;"",IFERROR(VLOOKUP(D270,ProductList!J:AO,15,FALSE),""),""))</f>
        <v/>
      </c>
      <c r="G270" s="6"/>
      <c r="H270" s="75" t="str">
        <f>IF(G270="KGS",IF(D270&lt;&gt;"",IFERROR(ROUND(VLOOKUP(D270,ProductList!J:BG,46,FALSE),3),""),""),IF(D270&lt;&gt;"",IFERROR(ROUND(VLOOKUP(D270,ProductList!J:BG,45,FALSE),3),""),""))</f>
        <v/>
      </c>
      <c r="I270" s="75" t="str">
        <f t="shared" si="9"/>
        <v/>
      </c>
    </row>
    <row r="271" spans="1:9" x14ac:dyDescent="0.25">
      <c r="A271" s="197">
        <f t="shared" si="8"/>
        <v>132</v>
      </c>
      <c r="B271" s="73"/>
      <c r="C271" s="73"/>
      <c r="D271" s="104"/>
      <c r="E271" s="122"/>
      <c r="F271" s="73" t="str">
        <f>IF(G271="KGS",IF(D271&lt;&gt;"",IFERROR(VLOOKUP(D271,ProductList!J:AO,12,FALSE),""),""),IF(D271&lt;&gt;"",IFERROR(VLOOKUP(D271,ProductList!J:AO,15,FALSE),""),""))</f>
        <v/>
      </c>
      <c r="G271" s="6"/>
      <c r="H271" s="75" t="str">
        <f>IF(G271="KGS",IF(D271&lt;&gt;"",IFERROR(ROUND(VLOOKUP(D271,ProductList!J:BG,46,FALSE),3),""),""),IF(D271&lt;&gt;"",IFERROR(ROUND(VLOOKUP(D271,ProductList!J:BG,45,FALSE),3),""),""))</f>
        <v/>
      </c>
      <c r="I271" s="75" t="str">
        <f t="shared" si="9"/>
        <v/>
      </c>
    </row>
    <row r="272" spans="1:9" x14ac:dyDescent="0.25">
      <c r="A272" s="197">
        <f t="shared" si="8"/>
        <v>132</v>
      </c>
      <c r="B272" s="73"/>
      <c r="C272" s="73"/>
      <c r="D272" s="104"/>
      <c r="E272" s="122"/>
      <c r="F272" s="73" t="str">
        <f>IF(G272="KGS",IF(D272&lt;&gt;"",IFERROR(VLOOKUP(D272,ProductList!J:AO,12,FALSE),""),""),IF(D272&lt;&gt;"",IFERROR(VLOOKUP(D272,ProductList!J:AO,15,FALSE),""),""))</f>
        <v/>
      </c>
      <c r="G272" s="6"/>
      <c r="H272" s="75" t="str">
        <f>IF(G272="KGS",IF(D272&lt;&gt;"",IFERROR(ROUND(VLOOKUP(D272,ProductList!J:BG,46,FALSE),3),""),""),IF(D272&lt;&gt;"",IFERROR(ROUND(VLOOKUP(D272,ProductList!J:BG,45,FALSE),3),""),""))</f>
        <v/>
      </c>
      <c r="I272" s="75" t="str">
        <f t="shared" si="9"/>
        <v/>
      </c>
    </row>
    <row r="273" spans="1:9" x14ac:dyDescent="0.25">
      <c r="A273" s="197">
        <f t="shared" si="8"/>
        <v>132</v>
      </c>
      <c r="B273" s="73"/>
      <c r="C273" s="73"/>
      <c r="D273" s="104"/>
      <c r="E273" s="122"/>
      <c r="F273" s="73" t="str">
        <f>IF(G273="KGS",IF(D273&lt;&gt;"",IFERROR(VLOOKUP(D273,ProductList!J:AO,12,FALSE),""),""),IF(D273&lt;&gt;"",IFERROR(VLOOKUP(D273,ProductList!J:AO,15,FALSE),""),""))</f>
        <v/>
      </c>
      <c r="G273" s="6"/>
      <c r="H273" s="75" t="str">
        <f>IF(G273="KGS",IF(D273&lt;&gt;"",IFERROR(ROUND(VLOOKUP(D273,ProductList!J:BG,46,FALSE),3),""),""),IF(D273&lt;&gt;"",IFERROR(ROUND(VLOOKUP(D273,ProductList!J:BG,45,FALSE),3),""),""))</f>
        <v/>
      </c>
      <c r="I273" s="75" t="str">
        <f t="shared" si="9"/>
        <v/>
      </c>
    </row>
    <row r="274" spans="1:9" x14ac:dyDescent="0.25">
      <c r="A274" s="197">
        <f t="shared" si="8"/>
        <v>132</v>
      </c>
      <c r="B274" s="73"/>
      <c r="C274" s="73"/>
      <c r="D274" s="104"/>
      <c r="E274" s="122"/>
      <c r="F274" s="73" t="str">
        <f>IF(G274="KGS",IF(D274&lt;&gt;"",IFERROR(VLOOKUP(D274,ProductList!J:AO,12,FALSE),""),""),IF(D274&lt;&gt;"",IFERROR(VLOOKUP(D274,ProductList!J:AO,15,FALSE),""),""))</f>
        <v/>
      </c>
      <c r="G274" s="6"/>
      <c r="H274" s="75" t="str">
        <f>IF(G274="KGS",IF(D274&lt;&gt;"",IFERROR(ROUND(VLOOKUP(D274,ProductList!J:BG,46,FALSE),3),""),""),IF(D274&lt;&gt;"",IFERROR(ROUND(VLOOKUP(D274,ProductList!J:BG,45,FALSE),3),""),""))</f>
        <v/>
      </c>
      <c r="I274" s="75" t="str">
        <f t="shared" si="9"/>
        <v/>
      </c>
    </row>
    <row r="275" spans="1:9" x14ac:dyDescent="0.25">
      <c r="A275" s="197">
        <f t="shared" si="8"/>
        <v>132</v>
      </c>
      <c r="B275" s="73"/>
      <c r="C275" s="73"/>
      <c r="D275" s="104"/>
      <c r="E275" s="122"/>
      <c r="F275" s="73" t="str">
        <f>IF(G275="KGS",IF(D275&lt;&gt;"",IFERROR(VLOOKUP(D275,ProductList!J:AO,12,FALSE),""),""),IF(D275&lt;&gt;"",IFERROR(VLOOKUP(D275,ProductList!J:AO,15,FALSE),""),""))</f>
        <v/>
      </c>
      <c r="G275" s="6"/>
      <c r="H275" s="75" t="str">
        <f>IF(G275="KGS",IF(D275&lt;&gt;"",IFERROR(ROUND(VLOOKUP(D275,ProductList!J:BG,46,FALSE),3),""),""),IF(D275&lt;&gt;"",IFERROR(ROUND(VLOOKUP(D275,ProductList!J:BG,45,FALSE),3),""),""))</f>
        <v/>
      </c>
      <c r="I275" s="75" t="str">
        <f t="shared" si="9"/>
        <v/>
      </c>
    </row>
    <row r="276" spans="1:9" x14ac:dyDescent="0.25">
      <c r="A276" s="197">
        <f t="shared" si="8"/>
        <v>132</v>
      </c>
      <c r="B276" s="73"/>
      <c r="C276" s="73"/>
      <c r="D276" s="104"/>
      <c r="E276" s="122"/>
      <c r="F276" s="73" t="str">
        <f>IF(G276="KGS",IF(D276&lt;&gt;"",IFERROR(VLOOKUP(D276,ProductList!J:AO,12,FALSE),""),""),IF(D276&lt;&gt;"",IFERROR(VLOOKUP(D276,ProductList!J:AO,15,FALSE),""),""))</f>
        <v/>
      </c>
      <c r="G276" s="6"/>
      <c r="H276" s="75" t="str">
        <f>IF(G276="KGS",IF(D276&lt;&gt;"",IFERROR(ROUND(VLOOKUP(D276,ProductList!J:BG,46,FALSE),3),""),""),IF(D276&lt;&gt;"",IFERROR(ROUND(VLOOKUP(D276,ProductList!J:BG,45,FALSE),3),""),""))</f>
        <v/>
      </c>
      <c r="I276" s="75" t="str">
        <f t="shared" si="9"/>
        <v/>
      </c>
    </row>
    <row r="277" spans="1:9" x14ac:dyDescent="0.25">
      <c r="A277" s="197">
        <f t="shared" si="8"/>
        <v>132</v>
      </c>
      <c r="B277" s="73"/>
      <c r="C277" s="73"/>
      <c r="D277" s="104"/>
      <c r="E277" s="122"/>
      <c r="F277" s="73" t="str">
        <f>IF(G277="KGS",IF(D277&lt;&gt;"",IFERROR(VLOOKUP(D277,ProductList!J:AO,12,FALSE),""),""),IF(D277&lt;&gt;"",IFERROR(VLOOKUP(D277,ProductList!J:AO,15,FALSE),""),""))</f>
        <v/>
      </c>
      <c r="G277" s="6"/>
      <c r="H277" s="75" t="str">
        <f>IF(G277="KGS",IF(D277&lt;&gt;"",IFERROR(ROUND(VLOOKUP(D277,ProductList!J:BG,46,FALSE),3),""),""),IF(D277&lt;&gt;"",IFERROR(ROUND(VLOOKUP(D277,ProductList!J:BG,45,FALSE),3),""),""))</f>
        <v/>
      </c>
      <c r="I277" s="75" t="str">
        <f t="shared" si="9"/>
        <v/>
      </c>
    </row>
    <row r="278" spans="1:9" x14ac:dyDescent="0.25">
      <c r="A278" s="197">
        <f t="shared" si="8"/>
        <v>132</v>
      </c>
      <c r="B278" s="73"/>
      <c r="C278" s="73"/>
      <c r="D278" s="104"/>
      <c r="E278" s="122"/>
      <c r="F278" s="73" t="str">
        <f>IF(G278="KGS",IF(D278&lt;&gt;"",IFERROR(VLOOKUP(D278,ProductList!J:AO,12,FALSE),""),""),IF(D278&lt;&gt;"",IFERROR(VLOOKUP(D278,ProductList!J:AO,15,FALSE),""),""))</f>
        <v/>
      </c>
      <c r="G278" s="6"/>
      <c r="H278" s="75" t="str">
        <f>IF(G278="KGS",IF(D278&lt;&gt;"",IFERROR(ROUND(VLOOKUP(D278,ProductList!J:BG,46,FALSE),3),""),""),IF(D278&lt;&gt;"",IFERROR(ROUND(VLOOKUP(D278,ProductList!J:BG,45,FALSE),3),""),""))</f>
        <v/>
      </c>
      <c r="I278" s="75" t="str">
        <f t="shared" si="9"/>
        <v/>
      </c>
    </row>
    <row r="279" spans="1:9" x14ac:dyDescent="0.25">
      <c r="A279" s="197">
        <f t="shared" si="8"/>
        <v>132</v>
      </c>
      <c r="B279" s="73"/>
      <c r="C279" s="73"/>
      <c r="D279" s="104"/>
      <c r="E279" s="122"/>
      <c r="F279" s="73" t="str">
        <f>IF(G279="KGS",IF(D279&lt;&gt;"",IFERROR(VLOOKUP(D279,ProductList!J:AO,12,FALSE),""),""),IF(D279&lt;&gt;"",IFERROR(VLOOKUP(D279,ProductList!J:AO,15,FALSE),""),""))</f>
        <v/>
      </c>
      <c r="G279" s="6"/>
      <c r="H279" s="75" t="str">
        <f>IF(G279="KGS",IF(D279&lt;&gt;"",IFERROR(ROUND(VLOOKUP(D279,ProductList!J:BG,46,FALSE),3),""),""),IF(D279&lt;&gt;"",IFERROR(ROUND(VLOOKUP(D279,ProductList!J:BG,45,FALSE),3),""),""))</f>
        <v/>
      </c>
      <c r="I279" s="75" t="str">
        <f t="shared" si="9"/>
        <v/>
      </c>
    </row>
    <row r="280" spans="1:9" x14ac:dyDescent="0.25">
      <c r="A280" s="197">
        <f t="shared" si="8"/>
        <v>132</v>
      </c>
      <c r="B280" s="73"/>
      <c r="C280" s="73"/>
      <c r="D280" s="104"/>
      <c r="E280" s="122"/>
      <c r="F280" s="73" t="str">
        <f>IF(G280="KGS",IF(D280&lt;&gt;"",IFERROR(VLOOKUP(D280,ProductList!J:AO,12,FALSE),""),""),IF(D280&lt;&gt;"",IFERROR(VLOOKUP(D280,ProductList!J:AO,15,FALSE),""),""))</f>
        <v/>
      </c>
      <c r="G280" s="6"/>
      <c r="H280" s="75" t="str">
        <f>IF(G280="KGS",IF(D280&lt;&gt;"",IFERROR(ROUND(VLOOKUP(D280,ProductList!J:BG,46,FALSE),3),""),""),IF(D280&lt;&gt;"",IFERROR(ROUND(VLOOKUP(D280,ProductList!J:BG,45,FALSE),3),""),""))</f>
        <v/>
      </c>
      <c r="I280" s="75" t="str">
        <f t="shared" si="9"/>
        <v/>
      </c>
    </row>
    <row r="281" spans="1:9" x14ac:dyDescent="0.25">
      <c r="A281" s="197">
        <f t="shared" si="8"/>
        <v>132</v>
      </c>
      <c r="B281" s="73"/>
      <c r="C281" s="73"/>
      <c r="D281" s="104"/>
      <c r="E281" s="122"/>
      <c r="F281" s="73" t="str">
        <f>IF(G281="KGS",IF(D281&lt;&gt;"",IFERROR(VLOOKUP(D281,ProductList!J:AO,12,FALSE),""),""),IF(D281&lt;&gt;"",IFERROR(VLOOKUP(D281,ProductList!J:AO,15,FALSE),""),""))</f>
        <v/>
      </c>
      <c r="G281" s="6"/>
      <c r="H281" s="75" t="str">
        <f>IF(G281="KGS",IF(D281&lt;&gt;"",IFERROR(ROUND(VLOOKUP(D281,ProductList!J:BG,46,FALSE),3),""),""),IF(D281&lt;&gt;"",IFERROR(ROUND(VLOOKUP(D281,ProductList!J:BG,45,FALSE),3),""),""))</f>
        <v/>
      </c>
      <c r="I281" s="75" t="str">
        <f t="shared" si="9"/>
        <v/>
      </c>
    </row>
    <row r="282" spans="1:9" x14ac:dyDescent="0.25">
      <c r="A282" s="197">
        <f t="shared" si="8"/>
        <v>132</v>
      </c>
      <c r="B282" s="73"/>
      <c r="C282" s="73"/>
      <c r="D282" s="104"/>
      <c r="E282" s="122"/>
      <c r="F282" s="73" t="str">
        <f>IF(G282="KGS",IF(D282&lt;&gt;"",IFERROR(VLOOKUP(D282,ProductList!J:AO,12,FALSE),""),""),IF(D282&lt;&gt;"",IFERROR(VLOOKUP(D282,ProductList!J:AO,15,FALSE),""),""))</f>
        <v/>
      </c>
      <c r="G282" s="6"/>
      <c r="H282" s="75" t="str">
        <f>IF(G282="KGS",IF(D282&lt;&gt;"",IFERROR(ROUND(VLOOKUP(D282,ProductList!J:BG,46,FALSE),3),""),""),IF(D282&lt;&gt;"",IFERROR(ROUND(VLOOKUP(D282,ProductList!J:BG,45,FALSE),3),""),""))</f>
        <v/>
      </c>
      <c r="I282" s="75" t="str">
        <f t="shared" si="9"/>
        <v/>
      </c>
    </row>
    <row r="283" spans="1:9" x14ac:dyDescent="0.25">
      <c r="A283" s="197">
        <f t="shared" si="8"/>
        <v>132</v>
      </c>
      <c r="B283" s="73"/>
      <c r="C283" s="73"/>
      <c r="D283" s="104"/>
      <c r="E283" s="122"/>
      <c r="F283" s="73" t="str">
        <f>IF(G283="KGS",IF(D283&lt;&gt;"",IFERROR(VLOOKUP(D283,ProductList!J:AO,12,FALSE),""),""),IF(D283&lt;&gt;"",IFERROR(VLOOKUP(D283,ProductList!J:AO,15,FALSE),""),""))</f>
        <v/>
      </c>
      <c r="G283" s="6"/>
      <c r="H283" s="75" t="str">
        <f>IF(G283="KGS",IF(D283&lt;&gt;"",IFERROR(ROUND(VLOOKUP(D283,ProductList!J:BG,46,FALSE),3),""),""),IF(D283&lt;&gt;"",IFERROR(ROUND(VLOOKUP(D283,ProductList!J:BG,45,FALSE),3),""),""))</f>
        <v/>
      </c>
      <c r="I283" s="75" t="str">
        <f t="shared" si="9"/>
        <v/>
      </c>
    </row>
    <row r="284" spans="1:9" x14ac:dyDescent="0.25">
      <c r="A284" s="197">
        <f t="shared" si="8"/>
        <v>132</v>
      </c>
      <c r="B284" s="73"/>
      <c r="C284" s="73"/>
      <c r="D284" s="104"/>
      <c r="E284" s="122"/>
      <c r="F284" s="73" t="str">
        <f>IF(G284="KGS",IF(D284&lt;&gt;"",IFERROR(VLOOKUP(D284,ProductList!J:AO,12,FALSE),""),""),IF(D284&lt;&gt;"",IFERROR(VLOOKUP(D284,ProductList!J:AO,15,FALSE),""),""))</f>
        <v/>
      </c>
      <c r="G284" s="6"/>
      <c r="H284" s="75" t="str">
        <f>IF(G284="KGS",IF(D284&lt;&gt;"",IFERROR(ROUND(VLOOKUP(D284,ProductList!J:BG,46,FALSE),3),""),""),IF(D284&lt;&gt;"",IFERROR(ROUND(VLOOKUP(D284,ProductList!J:BG,45,FALSE),3),""),""))</f>
        <v/>
      </c>
      <c r="I284" s="75" t="str">
        <f t="shared" si="9"/>
        <v/>
      </c>
    </row>
    <row r="285" spans="1:9" x14ac:dyDescent="0.25">
      <c r="A285" s="197">
        <f t="shared" si="8"/>
        <v>132</v>
      </c>
      <c r="B285" s="73"/>
      <c r="C285" s="73"/>
      <c r="D285" s="104"/>
      <c r="E285" s="122"/>
      <c r="F285" s="73" t="str">
        <f>IF(G285="KGS",IF(D285&lt;&gt;"",IFERROR(VLOOKUP(D285,ProductList!J:AO,12,FALSE),""),""),IF(D285&lt;&gt;"",IFERROR(VLOOKUP(D285,ProductList!J:AO,15,FALSE),""),""))</f>
        <v/>
      </c>
      <c r="G285" s="6"/>
      <c r="H285" s="75" t="str">
        <f>IF(G285="KGS",IF(D285&lt;&gt;"",IFERROR(ROUND(VLOOKUP(D285,ProductList!J:BG,46,FALSE),3),""),""),IF(D285&lt;&gt;"",IFERROR(ROUND(VLOOKUP(D285,ProductList!J:BG,45,FALSE),3),""),""))</f>
        <v/>
      </c>
      <c r="I285" s="75" t="str">
        <f t="shared" si="9"/>
        <v/>
      </c>
    </row>
    <row r="286" spans="1:9" x14ac:dyDescent="0.25">
      <c r="A286" s="197">
        <f t="shared" si="8"/>
        <v>132</v>
      </c>
      <c r="B286" s="73"/>
      <c r="C286" s="73"/>
      <c r="D286" s="104"/>
      <c r="E286" s="122"/>
      <c r="F286" s="73" t="str">
        <f>IF(G286="KGS",IF(D286&lt;&gt;"",IFERROR(VLOOKUP(D286,ProductList!J:AO,12,FALSE),""),""),IF(D286&lt;&gt;"",IFERROR(VLOOKUP(D286,ProductList!J:AO,15,FALSE),""),""))</f>
        <v/>
      </c>
      <c r="G286" s="6"/>
      <c r="H286" s="75" t="str">
        <f>IF(G286="KGS",IF(D286&lt;&gt;"",IFERROR(ROUND(VLOOKUP(D286,ProductList!J:BG,46,FALSE),3),""),""),IF(D286&lt;&gt;"",IFERROR(ROUND(VLOOKUP(D286,ProductList!J:BG,45,FALSE),3),""),""))</f>
        <v/>
      </c>
      <c r="I286" s="75" t="str">
        <f t="shared" si="9"/>
        <v/>
      </c>
    </row>
    <row r="287" spans="1:9" x14ac:dyDescent="0.25">
      <c r="A287" s="197">
        <f t="shared" si="8"/>
        <v>132</v>
      </c>
      <c r="B287" s="73"/>
      <c r="C287" s="73"/>
      <c r="D287" s="104"/>
      <c r="E287" s="122"/>
      <c r="F287" s="73" t="str">
        <f>IF(G287="KGS",IF(D287&lt;&gt;"",IFERROR(VLOOKUP(D287,ProductList!J:AO,12,FALSE),""),""),IF(D287&lt;&gt;"",IFERROR(VLOOKUP(D287,ProductList!J:AO,15,FALSE),""),""))</f>
        <v/>
      </c>
      <c r="G287" s="6"/>
      <c r="H287" s="75" t="str">
        <f>IF(G287="KGS",IF(D287&lt;&gt;"",IFERROR(ROUND(VLOOKUP(D287,ProductList!J:BG,46,FALSE),3),""),""),IF(D287&lt;&gt;"",IFERROR(ROUND(VLOOKUP(D287,ProductList!J:BG,45,FALSE),3),""),""))</f>
        <v/>
      </c>
      <c r="I287" s="75" t="str">
        <f t="shared" si="9"/>
        <v/>
      </c>
    </row>
    <row r="288" spans="1:9" x14ac:dyDescent="0.25">
      <c r="A288" s="197">
        <f t="shared" si="8"/>
        <v>132</v>
      </c>
      <c r="B288" s="73"/>
      <c r="C288" s="73"/>
      <c r="D288" s="104"/>
      <c r="E288" s="122"/>
      <c r="F288" s="73" t="str">
        <f>IF(G288="KGS",IF(D288&lt;&gt;"",IFERROR(VLOOKUP(D288,ProductList!J:AO,12,FALSE),""),""),IF(D288&lt;&gt;"",IFERROR(VLOOKUP(D288,ProductList!J:AO,15,FALSE),""),""))</f>
        <v/>
      </c>
      <c r="G288" s="6"/>
      <c r="H288" s="75" t="str">
        <f>IF(G288="KGS",IF(D288&lt;&gt;"",IFERROR(ROUND(VLOOKUP(D288,ProductList!J:BG,46,FALSE),3),""),""),IF(D288&lt;&gt;"",IFERROR(ROUND(VLOOKUP(D288,ProductList!J:BG,45,FALSE),3),""),""))</f>
        <v/>
      </c>
      <c r="I288" s="75" t="str">
        <f t="shared" si="9"/>
        <v/>
      </c>
    </row>
    <row r="289" spans="1:9" x14ac:dyDescent="0.25">
      <c r="A289" s="197">
        <f t="shared" si="8"/>
        <v>132</v>
      </c>
      <c r="B289" s="73"/>
      <c r="C289" s="73"/>
      <c r="D289" s="104"/>
      <c r="E289" s="122"/>
      <c r="F289" s="73" t="str">
        <f>IF(G289="KGS",IF(D289&lt;&gt;"",IFERROR(VLOOKUP(D289,ProductList!J:AO,12,FALSE),""),""),IF(D289&lt;&gt;"",IFERROR(VLOOKUP(D289,ProductList!J:AO,15,FALSE),""),""))</f>
        <v/>
      </c>
      <c r="G289" s="6"/>
      <c r="H289" s="75" t="str">
        <f>IF(G289="KGS",IF(D289&lt;&gt;"",IFERROR(ROUND(VLOOKUP(D289,ProductList!J:BG,46,FALSE),3),""),""),IF(D289&lt;&gt;"",IFERROR(ROUND(VLOOKUP(D289,ProductList!J:BG,45,FALSE),3),""),""))</f>
        <v/>
      </c>
      <c r="I289" s="75" t="str">
        <f t="shared" si="9"/>
        <v/>
      </c>
    </row>
    <row r="290" spans="1:9" x14ac:dyDescent="0.25">
      <c r="A290" s="197">
        <f t="shared" si="8"/>
        <v>132</v>
      </c>
      <c r="B290" s="73"/>
      <c r="C290" s="73"/>
      <c r="D290" s="104"/>
      <c r="E290" s="122"/>
      <c r="F290" s="73" t="str">
        <f>IF(G290="KGS",IF(D290&lt;&gt;"",IFERROR(VLOOKUP(D290,ProductList!J:AO,12,FALSE),""),""),IF(D290&lt;&gt;"",IFERROR(VLOOKUP(D290,ProductList!J:AO,15,FALSE),""),""))</f>
        <v/>
      </c>
      <c r="G290" s="6"/>
      <c r="H290" s="75" t="str">
        <f>IF(G290="KGS",IF(D290&lt;&gt;"",IFERROR(ROUND(VLOOKUP(D290,ProductList!J:BG,46,FALSE),3),""),""),IF(D290&lt;&gt;"",IFERROR(ROUND(VLOOKUP(D290,ProductList!J:BG,45,FALSE),3),""),""))</f>
        <v/>
      </c>
      <c r="I290" s="75" t="str">
        <f t="shared" si="9"/>
        <v/>
      </c>
    </row>
    <row r="291" spans="1:9" x14ac:dyDescent="0.25">
      <c r="A291" s="197">
        <f t="shared" si="8"/>
        <v>132</v>
      </c>
      <c r="B291" s="73"/>
      <c r="C291" s="73"/>
      <c r="D291" s="104"/>
      <c r="E291" s="122"/>
      <c r="F291" s="73" t="str">
        <f>IF(G291="KGS",IF(D291&lt;&gt;"",IFERROR(VLOOKUP(D291,ProductList!J:AO,12,FALSE),""),""),IF(D291&lt;&gt;"",IFERROR(VLOOKUP(D291,ProductList!J:AO,15,FALSE),""),""))</f>
        <v/>
      </c>
      <c r="G291" s="6"/>
      <c r="H291" s="75" t="str">
        <f>IF(G291="KGS",IF(D291&lt;&gt;"",IFERROR(ROUND(VLOOKUP(D291,ProductList!J:BG,46,FALSE),3),""),""),IF(D291&lt;&gt;"",IFERROR(ROUND(VLOOKUP(D291,ProductList!J:BG,45,FALSE),3),""),""))</f>
        <v/>
      </c>
      <c r="I291" s="75" t="str">
        <f t="shared" si="9"/>
        <v/>
      </c>
    </row>
    <row r="292" spans="1:9" x14ac:dyDescent="0.25">
      <c r="A292" s="197">
        <f t="shared" si="8"/>
        <v>132</v>
      </c>
      <c r="B292" s="73"/>
      <c r="C292" s="73"/>
      <c r="D292" s="104"/>
      <c r="E292" s="122"/>
      <c r="F292" s="73" t="str">
        <f>IF(G292="KGS",IF(D292&lt;&gt;"",IFERROR(VLOOKUP(D292,ProductList!J:AO,12,FALSE),""),""),IF(D292&lt;&gt;"",IFERROR(VLOOKUP(D292,ProductList!J:AO,15,FALSE),""),""))</f>
        <v/>
      </c>
      <c r="G292" s="6"/>
      <c r="H292" s="75" t="str">
        <f>IF(G292="KGS",IF(D292&lt;&gt;"",IFERROR(ROUND(VLOOKUP(D292,ProductList!J:BG,46,FALSE),3),""),""),IF(D292&lt;&gt;"",IFERROR(ROUND(VLOOKUP(D292,ProductList!J:BG,45,FALSE),3),""),""))</f>
        <v/>
      </c>
      <c r="I292" s="75" t="str">
        <f t="shared" si="9"/>
        <v/>
      </c>
    </row>
    <row r="293" spans="1:9" x14ac:dyDescent="0.25">
      <c r="A293" s="197">
        <f t="shared" si="8"/>
        <v>132</v>
      </c>
      <c r="B293" s="73"/>
      <c r="C293" s="73"/>
      <c r="D293" s="104"/>
      <c r="E293" s="122"/>
      <c r="F293" s="73" t="str">
        <f>IF(G293="KGS",IF(D293&lt;&gt;"",IFERROR(VLOOKUP(D293,ProductList!J:AO,12,FALSE),""),""),IF(D293&lt;&gt;"",IFERROR(VLOOKUP(D293,ProductList!J:AO,15,FALSE),""),""))</f>
        <v/>
      </c>
      <c r="G293" s="6"/>
      <c r="H293" s="75" t="str">
        <f>IF(G293="KGS",IF(D293&lt;&gt;"",IFERROR(ROUND(VLOOKUP(D293,ProductList!J:BG,46,FALSE),3),""),""),IF(D293&lt;&gt;"",IFERROR(ROUND(VLOOKUP(D293,ProductList!J:BG,45,FALSE),3),""),""))</f>
        <v/>
      </c>
      <c r="I293" s="75" t="str">
        <f t="shared" si="9"/>
        <v/>
      </c>
    </row>
    <row r="294" spans="1:9" x14ac:dyDescent="0.25">
      <c r="A294" s="197">
        <f t="shared" si="8"/>
        <v>132</v>
      </c>
      <c r="B294" s="73"/>
      <c r="C294" s="73"/>
      <c r="D294" s="104"/>
      <c r="E294" s="122"/>
      <c r="F294" s="73" t="str">
        <f>IF(G294="KGS",IF(D294&lt;&gt;"",IFERROR(VLOOKUP(D294,ProductList!J:AO,12,FALSE),""),""),IF(D294&lt;&gt;"",IFERROR(VLOOKUP(D294,ProductList!J:AO,15,FALSE),""),""))</f>
        <v/>
      </c>
      <c r="G294" s="6"/>
      <c r="H294" s="75" t="str">
        <f>IF(G294="KGS",IF(D294&lt;&gt;"",IFERROR(ROUND(VLOOKUP(D294,ProductList!J:BG,46,FALSE),3),""),""),IF(D294&lt;&gt;"",IFERROR(ROUND(VLOOKUP(D294,ProductList!J:BG,45,FALSE),3),""),""))</f>
        <v/>
      </c>
      <c r="I294" s="75" t="str">
        <f t="shared" si="9"/>
        <v/>
      </c>
    </row>
    <row r="295" spans="1:9" x14ac:dyDescent="0.25">
      <c r="A295" s="197">
        <f t="shared" si="8"/>
        <v>132</v>
      </c>
      <c r="B295" s="73"/>
      <c r="C295" s="73"/>
      <c r="D295" s="104"/>
      <c r="E295" s="122"/>
      <c r="F295" s="73" t="str">
        <f>IF(G295="KGS",IF(D295&lt;&gt;"",IFERROR(VLOOKUP(D295,ProductList!J:AO,12,FALSE),""),""),IF(D295&lt;&gt;"",IFERROR(VLOOKUP(D295,ProductList!J:AO,15,FALSE),""),""))</f>
        <v/>
      </c>
      <c r="G295" s="6"/>
      <c r="H295" s="75" t="str">
        <f>IF(G295="KGS",IF(D295&lt;&gt;"",IFERROR(ROUND(VLOOKUP(D295,ProductList!J:BG,46,FALSE),3),""),""),IF(D295&lt;&gt;"",IFERROR(ROUND(VLOOKUP(D295,ProductList!J:BG,45,FALSE),3),""),""))</f>
        <v/>
      </c>
      <c r="I295" s="75" t="str">
        <f t="shared" si="9"/>
        <v/>
      </c>
    </row>
    <row r="296" spans="1:9" x14ac:dyDescent="0.25">
      <c r="A296" s="197">
        <f t="shared" si="8"/>
        <v>132</v>
      </c>
      <c r="B296" s="73"/>
      <c r="C296" s="73"/>
      <c r="D296" s="104"/>
      <c r="E296" s="122"/>
      <c r="F296" s="73" t="str">
        <f>IF(G296="KGS",IF(D296&lt;&gt;"",IFERROR(VLOOKUP(D296,ProductList!J:AO,12,FALSE),""),""),IF(D296&lt;&gt;"",IFERROR(VLOOKUP(D296,ProductList!J:AO,15,FALSE),""),""))</f>
        <v/>
      </c>
      <c r="G296" s="6"/>
      <c r="H296" s="75" t="str">
        <f>IF(G296="KGS",IF(D296&lt;&gt;"",IFERROR(ROUND(VLOOKUP(D296,ProductList!J:BG,46,FALSE),3),""),""),IF(D296&lt;&gt;"",IFERROR(ROUND(VLOOKUP(D296,ProductList!J:BG,45,FALSE),3),""),""))</f>
        <v/>
      </c>
      <c r="I296" s="75" t="str">
        <f t="shared" si="9"/>
        <v/>
      </c>
    </row>
    <row r="297" spans="1:9" x14ac:dyDescent="0.25">
      <c r="A297" s="197">
        <f t="shared" si="8"/>
        <v>132</v>
      </c>
      <c r="B297" s="73"/>
      <c r="C297" s="73"/>
      <c r="D297" s="104"/>
      <c r="E297" s="122"/>
      <c r="F297" s="73" t="str">
        <f>IF(G297="KGS",IF(D297&lt;&gt;"",IFERROR(VLOOKUP(D297,ProductList!J:AO,12,FALSE),""),""),IF(D297&lt;&gt;"",IFERROR(VLOOKUP(D297,ProductList!J:AO,15,FALSE),""),""))</f>
        <v/>
      </c>
      <c r="G297" s="6"/>
      <c r="H297" s="75" t="str">
        <f>IF(G297="KGS",IF(D297&lt;&gt;"",IFERROR(ROUND(VLOOKUP(D297,ProductList!J:BG,46,FALSE),3),""),""),IF(D297&lt;&gt;"",IFERROR(ROUND(VLOOKUP(D297,ProductList!J:BG,45,FALSE),3),""),""))</f>
        <v/>
      </c>
      <c r="I297" s="75" t="str">
        <f t="shared" si="9"/>
        <v/>
      </c>
    </row>
    <row r="298" spans="1:9" x14ac:dyDescent="0.25">
      <c r="A298" s="197">
        <f t="shared" si="8"/>
        <v>132</v>
      </c>
      <c r="B298" s="73"/>
      <c r="C298" s="73"/>
      <c r="D298" s="104"/>
      <c r="E298" s="122"/>
      <c r="F298" s="73" t="str">
        <f>IF(G298="KGS",IF(D298&lt;&gt;"",IFERROR(VLOOKUP(D298,ProductList!J:AO,12,FALSE),""),""),IF(D298&lt;&gt;"",IFERROR(VLOOKUP(D298,ProductList!J:AO,15,FALSE),""),""))</f>
        <v/>
      </c>
      <c r="G298" s="6"/>
      <c r="H298" s="75" t="str">
        <f>IF(G298="KGS",IF(D298&lt;&gt;"",IFERROR(ROUND(VLOOKUP(D298,ProductList!J:BG,46,FALSE),3),""),""),IF(D298&lt;&gt;"",IFERROR(ROUND(VLOOKUP(D298,ProductList!J:BG,45,FALSE),3),""),""))</f>
        <v/>
      </c>
      <c r="I298" s="75" t="str">
        <f t="shared" si="9"/>
        <v/>
      </c>
    </row>
    <row r="299" spans="1:9" x14ac:dyDescent="0.25">
      <c r="A299" s="197">
        <f t="shared" si="8"/>
        <v>132</v>
      </c>
      <c r="B299" s="73"/>
      <c r="C299" s="73"/>
      <c r="D299" s="104"/>
      <c r="E299" s="122"/>
      <c r="F299" s="73" t="str">
        <f>IF(G299="KGS",IF(D299&lt;&gt;"",IFERROR(VLOOKUP(D299,ProductList!J:AO,12,FALSE),""),""),IF(D299&lt;&gt;"",IFERROR(VLOOKUP(D299,ProductList!J:AO,15,FALSE),""),""))</f>
        <v/>
      </c>
      <c r="G299" s="6"/>
      <c r="H299" s="75" t="str">
        <f>IF(G299="KGS",IF(D299&lt;&gt;"",IFERROR(ROUND(VLOOKUP(D299,ProductList!J:BG,46,FALSE),3),""),""),IF(D299&lt;&gt;"",IFERROR(ROUND(VLOOKUP(D299,ProductList!J:BG,45,FALSE),3),""),""))</f>
        <v/>
      </c>
      <c r="I299" s="75" t="str">
        <f t="shared" si="9"/>
        <v/>
      </c>
    </row>
    <row r="300" spans="1:9" x14ac:dyDescent="0.25">
      <c r="A300" s="197">
        <f t="shared" si="8"/>
        <v>132</v>
      </c>
      <c r="B300" s="73"/>
      <c r="C300" s="73"/>
      <c r="D300" s="104"/>
      <c r="E300" s="122"/>
      <c r="F300" s="73" t="str">
        <f>IF(G300="KGS",IF(D300&lt;&gt;"",IFERROR(VLOOKUP(D300,ProductList!J:AO,12,FALSE),""),""),IF(D300&lt;&gt;"",IFERROR(VLOOKUP(D300,ProductList!J:AO,15,FALSE),""),""))</f>
        <v/>
      </c>
      <c r="G300" s="6"/>
      <c r="H300" s="75" t="str">
        <f>IF(G300="KGS",IF(D300&lt;&gt;"",IFERROR(ROUND(VLOOKUP(D300,ProductList!J:BG,46,FALSE),3),""),""),IF(D300&lt;&gt;"",IFERROR(ROUND(VLOOKUP(D300,ProductList!J:BG,45,FALSE),3),""),""))</f>
        <v/>
      </c>
      <c r="I300" s="75" t="str">
        <f t="shared" si="9"/>
        <v/>
      </c>
    </row>
    <row r="301" spans="1:9" x14ac:dyDescent="0.25">
      <c r="A301" s="197">
        <f t="shared" si="8"/>
        <v>132</v>
      </c>
      <c r="B301" s="73"/>
      <c r="C301" s="73"/>
      <c r="D301" s="104"/>
      <c r="E301" s="122"/>
      <c r="F301" s="73" t="str">
        <f>IF(G301="KGS",IF(D301&lt;&gt;"",IFERROR(VLOOKUP(D301,ProductList!J:AO,12,FALSE),""),""),IF(D301&lt;&gt;"",IFERROR(VLOOKUP(D301,ProductList!J:AO,15,FALSE),""),""))</f>
        <v/>
      </c>
      <c r="G301" s="6"/>
      <c r="H301" s="75" t="str">
        <f>IF(G301="KGS",IF(D301&lt;&gt;"",IFERROR(ROUND(VLOOKUP(D301,ProductList!J:BG,46,FALSE),3),""),""),IF(D301&lt;&gt;"",IFERROR(ROUND(VLOOKUP(D301,ProductList!J:BG,45,FALSE),3),""),""))</f>
        <v/>
      </c>
      <c r="I301" s="75" t="str">
        <f t="shared" si="9"/>
        <v/>
      </c>
    </row>
    <row r="302" spans="1:9" x14ac:dyDescent="0.25">
      <c r="A302" s="197">
        <f t="shared" si="8"/>
        <v>132</v>
      </c>
      <c r="B302" s="73"/>
      <c r="C302" s="73"/>
      <c r="D302" s="104"/>
      <c r="E302" s="122"/>
      <c r="F302" s="73" t="str">
        <f>IF(G302="KGS",IF(D302&lt;&gt;"",IFERROR(VLOOKUP(D302,ProductList!J:AO,12,FALSE),""),""),IF(D302&lt;&gt;"",IFERROR(VLOOKUP(D302,ProductList!J:AO,15,FALSE),""),""))</f>
        <v/>
      </c>
      <c r="G302" s="6"/>
      <c r="H302" s="75" t="str">
        <f>IF(G302="KGS",IF(D302&lt;&gt;"",IFERROR(ROUND(VLOOKUP(D302,ProductList!J:BG,46,FALSE),3),""),""),IF(D302&lt;&gt;"",IFERROR(ROUND(VLOOKUP(D302,ProductList!J:BG,45,FALSE),3),""),""))</f>
        <v/>
      </c>
      <c r="I302" s="75" t="str">
        <f t="shared" si="9"/>
        <v/>
      </c>
    </row>
    <row r="303" spans="1:9" x14ac:dyDescent="0.25">
      <c r="A303" s="197">
        <f t="shared" si="8"/>
        <v>132</v>
      </c>
      <c r="B303" s="73"/>
      <c r="C303" s="73"/>
      <c r="D303" s="104"/>
      <c r="E303" s="122"/>
      <c r="F303" s="73" t="str">
        <f>IF(G303="KGS",IF(D303&lt;&gt;"",IFERROR(VLOOKUP(D303,ProductList!J:AO,12,FALSE),""),""),IF(D303&lt;&gt;"",IFERROR(VLOOKUP(D303,ProductList!J:AO,15,FALSE),""),""))</f>
        <v/>
      </c>
      <c r="G303" s="6"/>
      <c r="H303" s="75" t="str">
        <f>IF(G303="KGS",IF(D303&lt;&gt;"",IFERROR(ROUND(VLOOKUP(D303,ProductList!J:BG,46,FALSE),3),""),""),IF(D303&lt;&gt;"",IFERROR(ROUND(VLOOKUP(D303,ProductList!J:BG,45,FALSE),3),""),""))</f>
        <v/>
      </c>
      <c r="I303" s="75" t="str">
        <f t="shared" si="9"/>
        <v/>
      </c>
    </row>
    <row r="304" spans="1:9" x14ac:dyDescent="0.25">
      <c r="A304" s="197">
        <f t="shared" si="8"/>
        <v>132</v>
      </c>
      <c r="B304" s="73"/>
      <c r="C304" s="73"/>
      <c r="D304" s="104"/>
      <c r="E304" s="122"/>
      <c r="F304" s="73" t="str">
        <f>IF(G304="KGS",IF(D304&lt;&gt;"",IFERROR(VLOOKUP(D304,ProductList!J:AO,12,FALSE),""),""),IF(D304&lt;&gt;"",IFERROR(VLOOKUP(D304,ProductList!J:AO,15,FALSE),""),""))</f>
        <v/>
      </c>
      <c r="G304" s="6"/>
      <c r="H304" s="75" t="str">
        <f>IF(G304="KGS",IF(D304&lt;&gt;"",IFERROR(ROUND(VLOOKUP(D304,ProductList!J:BG,46,FALSE),3),""),""),IF(D304&lt;&gt;"",IFERROR(ROUND(VLOOKUP(D304,ProductList!J:BG,45,FALSE),3),""),""))</f>
        <v/>
      </c>
      <c r="I304" s="75" t="str">
        <f t="shared" si="9"/>
        <v/>
      </c>
    </row>
    <row r="305" spans="1:9" x14ac:dyDescent="0.25">
      <c r="A305" s="197">
        <f t="shared" si="8"/>
        <v>132</v>
      </c>
      <c r="B305" s="73"/>
      <c r="C305" s="73"/>
      <c r="D305" s="104"/>
      <c r="E305" s="122"/>
      <c r="F305" s="73" t="str">
        <f>IF(G305="KGS",IF(D305&lt;&gt;"",IFERROR(VLOOKUP(D305,ProductList!J:AO,12,FALSE),""),""),IF(D305&lt;&gt;"",IFERROR(VLOOKUP(D305,ProductList!J:AO,15,FALSE),""),""))</f>
        <v/>
      </c>
      <c r="G305" s="6"/>
      <c r="H305" s="75" t="str">
        <f>IF(G305="KGS",IF(D305&lt;&gt;"",IFERROR(ROUND(VLOOKUP(D305,ProductList!J:BG,46,FALSE),3),""),""),IF(D305&lt;&gt;"",IFERROR(ROUND(VLOOKUP(D305,ProductList!J:BG,45,FALSE),3),""),""))</f>
        <v/>
      </c>
      <c r="I305" s="75" t="str">
        <f t="shared" si="9"/>
        <v/>
      </c>
    </row>
    <row r="306" spans="1:9" x14ac:dyDescent="0.25">
      <c r="A306" s="197">
        <f t="shared" si="8"/>
        <v>132</v>
      </c>
      <c r="B306" s="73"/>
      <c r="C306" s="73"/>
      <c r="D306" s="104"/>
      <c r="E306" s="122"/>
      <c r="F306" s="73" t="str">
        <f>IF(G306="KGS",IF(D306&lt;&gt;"",IFERROR(VLOOKUP(D306,ProductList!J:AO,12,FALSE),""),""),IF(D306&lt;&gt;"",IFERROR(VLOOKUP(D306,ProductList!J:AO,15,FALSE),""),""))</f>
        <v/>
      </c>
      <c r="G306" s="6"/>
      <c r="H306" s="75" t="str">
        <f>IF(G306="KGS",IF(D306&lt;&gt;"",IFERROR(ROUND(VLOOKUP(D306,ProductList!J:BG,46,FALSE),3),""),""),IF(D306&lt;&gt;"",IFERROR(ROUND(VLOOKUP(D306,ProductList!J:BG,45,FALSE),3),""),""))</f>
        <v/>
      </c>
      <c r="I306" s="75" t="str">
        <f t="shared" si="9"/>
        <v/>
      </c>
    </row>
    <row r="307" spans="1:9" x14ac:dyDescent="0.25">
      <c r="A307" s="197">
        <f t="shared" si="8"/>
        <v>132</v>
      </c>
      <c r="B307" s="73"/>
      <c r="C307" s="73"/>
      <c r="D307" s="104"/>
      <c r="E307" s="122"/>
      <c r="F307" s="73" t="str">
        <f>IF(G307="KGS",IF(D307&lt;&gt;"",IFERROR(VLOOKUP(D307,ProductList!J:AO,12,FALSE),""),""),IF(D307&lt;&gt;"",IFERROR(VLOOKUP(D307,ProductList!J:AO,15,FALSE),""),""))</f>
        <v/>
      </c>
      <c r="G307" s="6"/>
      <c r="H307" s="75" t="str">
        <f>IF(G307="KGS",IF(D307&lt;&gt;"",IFERROR(ROUND(VLOOKUP(D307,ProductList!J:BG,46,FALSE),3),""),""),IF(D307&lt;&gt;"",IFERROR(ROUND(VLOOKUP(D307,ProductList!J:BG,45,FALSE),3),""),""))</f>
        <v/>
      </c>
      <c r="I307" s="75" t="str">
        <f t="shared" si="9"/>
        <v/>
      </c>
    </row>
    <row r="308" spans="1:9" x14ac:dyDescent="0.25">
      <c r="A308" s="197">
        <f t="shared" si="8"/>
        <v>132</v>
      </c>
      <c r="B308" s="73"/>
      <c r="C308" s="73"/>
      <c r="D308" s="104"/>
      <c r="E308" s="122"/>
      <c r="F308" s="73" t="str">
        <f>IF(G308="KGS",IF(D308&lt;&gt;"",IFERROR(VLOOKUP(D308,ProductList!J:AO,12,FALSE),""),""),IF(D308&lt;&gt;"",IFERROR(VLOOKUP(D308,ProductList!J:AO,15,FALSE),""),""))</f>
        <v/>
      </c>
      <c r="G308" s="6"/>
      <c r="H308" s="75" t="str">
        <f>IF(G308="KGS",IF(D308&lt;&gt;"",IFERROR(ROUND(VLOOKUP(D308,ProductList!J:BG,46,FALSE),3),""),""),IF(D308&lt;&gt;"",IFERROR(ROUND(VLOOKUP(D308,ProductList!J:BG,45,FALSE),3),""),""))</f>
        <v/>
      </c>
      <c r="I308" s="75" t="str">
        <f t="shared" si="9"/>
        <v/>
      </c>
    </row>
    <row r="309" spans="1:9" x14ac:dyDescent="0.25">
      <c r="A309" s="197">
        <f t="shared" si="8"/>
        <v>132</v>
      </c>
      <c r="B309" s="73"/>
      <c r="C309" s="73"/>
      <c r="D309" s="104"/>
      <c r="E309" s="122"/>
      <c r="F309" s="73" t="str">
        <f>IF(G309="KGS",IF(D309&lt;&gt;"",IFERROR(VLOOKUP(D309,ProductList!J:AO,12,FALSE),""),""),IF(D309&lt;&gt;"",IFERROR(VLOOKUP(D309,ProductList!J:AO,15,FALSE),""),""))</f>
        <v/>
      </c>
      <c r="G309" s="6"/>
      <c r="H309" s="75" t="str">
        <f>IF(G309="KGS",IF(D309&lt;&gt;"",IFERROR(ROUND(VLOOKUP(D309,ProductList!J:BG,46,FALSE),3),""),""),IF(D309&lt;&gt;"",IFERROR(ROUND(VLOOKUP(D309,ProductList!J:BG,45,FALSE),3),""),""))</f>
        <v/>
      </c>
      <c r="I309" s="75" t="str">
        <f t="shared" si="9"/>
        <v/>
      </c>
    </row>
    <row r="310" spans="1:9" x14ac:dyDescent="0.25">
      <c r="A310" s="197">
        <f t="shared" si="8"/>
        <v>132</v>
      </c>
      <c r="B310" s="73"/>
      <c r="C310" s="73"/>
      <c r="D310" s="104"/>
      <c r="E310" s="122"/>
      <c r="F310" s="73" t="str">
        <f>IF(G310="KGS",IF(D310&lt;&gt;"",IFERROR(VLOOKUP(D310,ProductList!J:AO,12,FALSE),""),""),IF(D310&lt;&gt;"",IFERROR(VLOOKUP(D310,ProductList!J:AO,15,FALSE),""),""))</f>
        <v/>
      </c>
      <c r="G310" s="6"/>
      <c r="H310" s="75" t="str">
        <f>IF(G310="KGS",IF(D310&lt;&gt;"",IFERROR(ROUND(VLOOKUP(D310,ProductList!J:BG,46,FALSE),3),""),""),IF(D310&lt;&gt;"",IFERROR(ROUND(VLOOKUP(D310,ProductList!J:BG,45,FALSE),3),""),""))</f>
        <v/>
      </c>
      <c r="I310" s="75" t="str">
        <f t="shared" si="9"/>
        <v/>
      </c>
    </row>
    <row r="311" spans="1:9" x14ac:dyDescent="0.25">
      <c r="A311" s="197">
        <f t="shared" si="8"/>
        <v>132</v>
      </c>
      <c r="B311" s="73"/>
      <c r="C311" s="73"/>
      <c r="D311" s="104"/>
      <c r="E311" s="122"/>
      <c r="F311" s="73" t="str">
        <f>IF(G311="KGS",IF(D311&lt;&gt;"",IFERROR(VLOOKUP(D311,ProductList!J:AO,12,FALSE),""),""),IF(D311&lt;&gt;"",IFERROR(VLOOKUP(D311,ProductList!J:AO,15,FALSE),""),""))</f>
        <v/>
      </c>
      <c r="G311" s="6"/>
      <c r="H311" s="75" t="str">
        <f>IF(G311="KGS",IF(D311&lt;&gt;"",IFERROR(ROUND(VLOOKUP(D311,ProductList!J:BG,46,FALSE),3),""),""),IF(D311&lt;&gt;"",IFERROR(ROUND(VLOOKUP(D311,ProductList!J:BG,45,FALSE),3),""),""))</f>
        <v/>
      </c>
      <c r="I311" s="75" t="str">
        <f t="shared" si="9"/>
        <v/>
      </c>
    </row>
    <row r="312" spans="1:9" x14ac:dyDescent="0.25">
      <c r="A312" s="197">
        <f t="shared" si="8"/>
        <v>132</v>
      </c>
      <c r="B312" s="73"/>
      <c r="C312" s="73"/>
      <c r="D312" s="104"/>
      <c r="E312" s="122"/>
      <c r="F312" s="73" t="str">
        <f>IF(G312="KGS",IF(D312&lt;&gt;"",IFERROR(VLOOKUP(D312,ProductList!J:AO,12,FALSE),""),""),IF(D312&lt;&gt;"",IFERROR(VLOOKUP(D312,ProductList!J:AO,15,FALSE),""),""))</f>
        <v/>
      </c>
      <c r="G312" s="6"/>
      <c r="H312" s="75" t="str">
        <f>IF(G312="KGS",IF(D312&lt;&gt;"",IFERROR(ROUND(VLOOKUP(D312,ProductList!J:BG,46,FALSE),3),""),""),IF(D312&lt;&gt;"",IFERROR(ROUND(VLOOKUP(D312,ProductList!J:BG,45,FALSE),3),""),""))</f>
        <v/>
      </c>
      <c r="I312" s="75" t="str">
        <f t="shared" si="9"/>
        <v/>
      </c>
    </row>
    <row r="313" spans="1:9" x14ac:dyDescent="0.25">
      <c r="A313" s="197">
        <f t="shared" si="8"/>
        <v>132</v>
      </c>
      <c r="B313" s="73"/>
      <c r="C313" s="73"/>
      <c r="D313" s="104"/>
      <c r="E313" s="122"/>
      <c r="F313" s="73" t="str">
        <f>IF(G313="KGS",IF(D313&lt;&gt;"",IFERROR(VLOOKUP(D313,ProductList!J:AO,12,FALSE),""),""),IF(D313&lt;&gt;"",IFERROR(VLOOKUP(D313,ProductList!J:AO,15,FALSE),""),""))</f>
        <v/>
      </c>
      <c r="G313" s="6"/>
      <c r="H313" s="75" t="str">
        <f>IF(G313="KGS",IF(D313&lt;&gt;"",IFERROR(ROUND(VLOOKUP(D313,ProductList!J:BG,46,FALSE),3),""),""),IF(D313&lt;&gt;"",IFERROR(ROUND(VLOOKUP(D313,ProductList!J:BG,45,FALSE),3),""),""))</f>
        <v/>
      </c>
      <c r="I313" s="75" t="str">
        <f t="shared" si="9"/>
        <v/>
      </c>
    </row>
    <row r="314" spans="1:9" x14ac:dyDescent="0.25">
      <c r="A314" s="197">
        <f t="shared" si="8"/>
        <v>132</v>
      </c>
      <c r="B314" s="73"/>
      <c r="C314" s="73"/>
      <c r="D314" s="104"/>
      <c r="E314" s="122"/>
      <c r="F314" s="73" t="str">
        <f>IF(G314="KGS",IF(D314&lt;&gt;"",IFERROR(VLOOKUP(D314,ProductList!J:AO,12,FALSE),""),""),IF(D314&lt;&gt;"",IFERROR(VLOOKUP(D314,ProductList!J:AO,15,FALSE),""),""))</f>
        <v/>
      </c>
      <c r="G314" s="6"/>
      <c r="H314" s="75" t="str">
        <f>IF(G314="KGS",IF(D314&lt;&gt;"",IFERROR(ROUND(VLOOKUP(D314,ProductList!J:BG,46,FALSE),3),""),""),IF(D314&lt;&gt;"",IFERROR(ROUND(VLOOKUP(D314,ProductList!J:BG,45,FALSE),3),""),""))</f>
        <v/>
      </c>
      <c r="I314" s="75" t="str">
        <f t="shared" si="9"/>
        <v/>
      </c>
    </row>
    <row r="315" spans="1:9" x14ac:dyDescent="0.25">
      <c r="A315" s="197">
        <f t="shared" si="8"/>
        <v>132</v>
      </c>
      <c r="B315" s="73"/>
      <c r="C315" s="73"/>
      <c r="D315" s="104"/>
      <c r="E315" s="122"/>
      <c r="F315" s="73" t="str">
        <f>IF(G315="KGS",IF(D315&lt;&gt;"",IFERROR(VLOOKUP(D315,ProductList!J:AO,12,FALSE),""),""),IF(D315&lt;&gt;"",IFERROR(VLOOKUP(D315,ProductList!J:AO,15,FALSE),""),""))</f>
        <v/>
      </c>
      <c r="G315" s="6"/>
      <c r="H315" s="75" t="str">
        <f>IF(G315="KGS",IF(D315&lt;&gt;"",IFERROR(ROUND(VLOOKUP(D315,ProductList!J:BG,46,FALSE),3),""),""),IF(D315&lt;&gt;"",IFERROR(ROUND(VLOOKUP(D315,ProductList!J:BG,45,FALSE),3),""),""))</f>
        <v/>
      </c>
      <c r="I315" s="75" t="str">
        <f t="shared" si="9"/>
        <v/>
      </c>
    </row>
    <row r="316" spans="1:9" x14ac:dyDescent="0.25">
      <c r="A316" s="197">
        <f t="shared" si="8"/>
        <v>132</v>
      </c>
      <c r="B316" s="73"/>
      <c r="C316" s="73"/>
      <c r="D316" s="104"/>
      <c r="E316" s="122"/>
      <c r="F316" s="73" t="str">
        <f>IF(G316="KGS",IF(D316&lt;&gt;"",IFERROR(VLOOKUP(D316,ProductList!J:AO,12,FALSE),""),""),IF(D316&lt;&gt;"",IFERROR(VLOOKUP(D316,ProductList!J:AO,15,FALSE),""),""))</f>
        <v/>
      </c>
      <c r="G316" s="6"/>
      <c r="H316" s="75" t="str">
        <f>IF(G316="KGS",IF(D316&lt;&gt;"",IFERROR(ROUND(VLOOKUP(D316,ProductList!J:BG,46,FALSE),3),""),""),IF(D316&lt;&gt;"",IFERROR(ROUND(VLOOKUP(D316,ProductList!J:BG,45,FALSE),3),""),""))</f>
        <v/>
      </c>
      <c r="I316" s="75" t="str">
        <f t="shared" si="9"/>
        <v/>
      </c>
    </row>
    <row r="317" spans="1:9" x14ac:dyDescent="0.25">
      <c r="A317" s="197">
        <f t="shared" si="8"/>
        <v>132</v>
      </c>
      <c r="B317" s="73"/>
      <c r="C317" s="73"/>
      <c r="D317" s="104"/>
      <c r="E317" s="122"/>
      <c r="F317" s="73" t="str">
        <f>IF(G317="KGS",IF(D317&lt;&gt;"",IFERROR(VLOOKUP(D317,ProductList!J:AO,12,FALSE),""),""),IF(D317&lt;&gt;"",IFERROR(VLOOKUP(D317,ProductList!J:AO,15,FALSE),""),""))</f>
        <v/>
      </c>
      <c r="G317" s="6"/>
      <c r="H317" s="75" t="str">
        <f>IF(G317="KGS",IF(D317&lt;&gt;"",IFERROR(ROUND(VLOOKUP(D317,ProductList!J:BG,46,FALSE),3),""),""),IF(D317&lt;&gt;"",IFERROR(ROUND(VLOOKUP(D317,ProductList!J:BG,45,FALSE),3),""),""))</f>
        <v/>
      </c>
      <c r="I317" s="75" t="str">
        <f t="shared" si="9"/>
        <v/>
      </c>
    </row>
    <row r="318" spans="1:9" x14ac:dyDescent="0.25">
      <c r="A318" s="197">
        <f t="shared" si="8"/>
        <v>132</v>
      </c>
      <c r="B318" s="73"/>
      <c r="C318" s="73"/>
      <c r="D318" s="104"/>
      <c r="E318" s="122"/>
      <c r="F318" s="73" t="str">
        <f>IF(G318="KGS",IF(D318&lt;&gt;"",IFERROR(VLOOKUP(D318,ProductList!J:AO,12,FALSE),""),""),IF(D318&lt;&gt;"",IFERROR(VLOOKUP(D318,ProductList!J:AO,15,FALSE),""),""))</f>
        <v/>
      </c>
      <c r="G318" s="6"/>
      <c r="H318" s="75" t="str">
        <f>IF(G318="KGS",IF(D318&lt;&gt;"",IFERROR(ROUND(VLOOKUP(D318,ProductList!J:BG,46,FALSE),3),""),""),IF(D318&lt;&gt;"",IFERROR(ROUND(VLOOKUP(D318,ProductList!J:BG,45,FALSE),3),""),""))</f>
        <v/>
      </c>
      <c r="I318" s="75" t="str">
        <f t="shared" si="9"/>
        <v/>
      </c>
    </row>
    <row r="319" spans="1:9" x14ac:dyDescent="0.25">
      <c r="A319" s="197">
        <f t="shared" si="8"/>
        <v>132</v>
      </c>
      <c r="B319" s="73"/>
      <c r="C319" s="73"/>
      <c r="D319" s="104"/>
      <c r="E319" s="122"/>
      <c r="F319" s="73" t="str">
        <f>IF(G319="KGS",IF(D319&lt;&gt;"",IFERROR(VLOOKUP(D319,ProductList!J:AO,12,FALSE),""),""),IF(D319&lt;&gt;"",IFERROR(VLOOKUP(D319,ProductList!J:AO,15,FALSE),""),""))</f>
        <v/>
      </c>
      <c r="G319" s="6"/>
      <c r="H319" s="75" t="str">
        <f>IF(G319="KGS",IF(D319&lt;&gt;"",IFERROR(ROUND(VLOOKUP(D319,ProductList!J:BG,46,FALSE),3),""),""),IF(D319&lt;&gt;"",IFERROR(ROUND(VLOOKUP(D319,ProductList!J:BG,45,FALSE),3),""),""))</f>
        <v/>
      </c>
      <c r="I319" s="75" t="str">
        <f t="shared" si="9"/>
        <v/>
      </c>
    </row>
    <row r="320" spans="1:9" x14ac:dyDescent="0.25">
      <c r="A320" s="197">
        <f t="shared" si="8"/>
        <v>132</v>
      </c>
      <c r="B320" s="73"/>
      <c r="C320" s="73"/>
      <c r="D320" s="104"/>
      <c r="E320" s="122"/>
      <c r="F320" s="73" t="str">
        <f>IF(G320="KGS",IF(D320&lt;&gt;"",IFERROR(VLOOKUP(D320,ProductList!J:AO,12,FALSE),""),""),IF(D320&lt;&gt;"",IFERROR(VLOOKUP(D320,ProductList!J:AO,15,FALSE),""),""))</f>
        <v/>
      </c>
      <c r="G320" s="6"/>
      <c r="H320" s="75" t="str">
        <f>IF(G320="KGS",IF(D320&lt;&gt;"",IFERROR(ROUND(VLOOKUP(D320,ProductList!J:BG,46,FALSE),3),""),""),IF(D320&lt;&gt;"",IFERROR(ROUND(VLOOKUP(D320,ProductList!J:BG,45,FALSE),3),""),""))</f>
        <v/>
      </c>
      <c r="I320" s="75" t="str">
        <f t="shared" si="9"/>
        <v/>
      </c>
    </row>
    <row r="321" spans="1:9" x14ac:dyDescent="0.25">
      <c r="A321" s="197">
        <f t="shared" si="8"/>
        <v>132</v>
      </c>
      <c r="B321" s="73"/>
      <c r="C321" s="73"/>
      <c r="D321" s="104"/>
      <c r="E321" s="122"/>
      <c r="F321" s="73" t="str">
        <f>IF(G321="KGS",IF(D321&lt;&gt;"",IFERROR(VLOOKUP(D321,ProductList!J:AO,12,FALSE),""),""),IF(D321&lt;&gt;"",IFERROR(VLOOKUP(D321,ProductList!J:AO,15,FALSE),""),""))</f>
        <v/>
      </c>
      <c r="G321" s="6"/>
      <c r="H321" s="75" t="str">
        <f>IF(G321="KGS",IF(D321&lt;&gt;"",IFERROR(ROUND(VLOOKUP(D321,ProductList!J:BG,46,FALSE),3),""),""),IF(D321&lt;&gt;"",IFERROR(ROUND(VLOOKUP(D321,ProductList!J:BG,45,FALSE),3),""),""))</f>
        <v/>
      </c>
      <c r="I321" s="75" t="str">
        <f t="shared" si="9"/>
        <v/>
      </c>
    </row>
    <row r="322" spans="1:9" x14ac:dyDescent="0.25">
      <c r="A322" s="197">
        <f t="shared" si="8"/>
        <v>132</v>
      </c>
      <c r="B322" s="73"/>
      <c r="C322" s="73"/>
      <c r="D322" s="104"/>
      <c r="E322" s="122"/>
      <c r="F322" s="73" t="str">
        <f>IF(G322="KGS",IF(D322&lt;&gt;"",IFERROR(VLOOKUP(D322,ProductList!J:AO,12,FALSE),""),""),IF(D322&lt;&gt;"",IFERROR(VLOOKUP(D322,ProductList!J:AO,15,FALSE),""),""))</f>
        <v/>
      </c>
      <c r="G322" s="6"/>
      <c r="H322" s="75" t="str">
        <f>IF(G322="KGS",IF(D322&lt;&gt;"",IFERROR(ROUND(VLOOKUP(D322,ProductList!J:BG,46,FALSE),3),""),""),IF(D322&lt;&gt;"",IFERROR(ROUND(VLOOKUP(D322,ProductList!J:BG,45,FALSE),3),""),""))</f>
        <v/>
      </c>
      <c r="I322" s="75" t="str">
        <f t="shared" si="9"/>
        <v/>
      </c>
    </row>
    <row r="323" spans="1:9" x14ac:dyDescent="0.25">
      <c r="A323" s="197">
        <f t="shared" si="8"/>
        <v>132</v>
      </c>
      <c r="B323" s="73"/>
      <c r="C323" s="73"/>
      <c r="D323" s="104"/>
      <c r="E323" s="122"/>
      <c r="F323" s="73" t="str">
        <f>IF(G323="KGS",IF(D323&lt;&gt;"",IFERROR(VLOOKUP(D323,ProductList!J:AO,12,FALSE),""),""),IF(D323&lt;&gt;"",IFERROR(VLOOKUP(D323,ProductList!J:AO,15,FALSE),""),""))</f>
        <v/>
      </c>
      <c r="G323" s="6"/>
      <c r="H323" s="75" t="str">
        <f>IF(G323="KGS",IF(D323&lt;&gt;"",IFERROR(ROUND(VLOOKUP(D323,ProductList!J:BG,46,FALSE),3),""),""),IF(D323&lt;&gt;"",IFERROR(ROUND(VLOOKUP(D323,ProductList!J:BG,45,FALSE),3),""),""))</f>
        <v/>
      </c>
      <c r="I323" s="75" t="str">
        <f t="shared" si="9"/>
        <v/>
      </c>
    </row>
    <row r="324" spans="1:9" x14ac:dyDescent="0.25">
      <c r="A324" s="197">
        <f t="shared" si="8"/>
        <v>132</v>
      </c>
      <c r="B324" s="73"/>
      <c r="C324" s="73"/>
      <c r="D324" s="104"/>
      <c r="E324" s="122"/>
      <c r="F324" s="73" t="str">
        <f>IF(G324="KGS",IF(D324&lt;&gt;"",IFERROR(VLOOKUP(D324,ProductList!J:AO,12,FALSE),""),""),IF(D324&lt;&gt;"",IFERROR(VLOOKUP(D324,ProductList!J:AO,15,FALSE),""),""))</f>
        <v/>
      </c>
      <c r="G324" s="6"/>
      <c r="H324" s="75" t="str">
        <f>IF(G324="KGS",IF(D324&lt;&gt;"",IFERROR(ROUND(VLOOKUP(D324,ProductList!J:BG,46,FALSE),3),""),""),IF(D324&lt;&gt;"",IFERROR(ROUND(VLOOKUP(D324,ProductList!J:BG,45,FALSE),3),""),""))</f>
        <v/>
      </c>
      <c r="I324" s="75" t="str">
        <f t="shared" si="9"/>
        <v/>
      </c>
    </row>
    <row r="325" spans="1:9" x14ac:dyDescent="0.25">
      <c r="A325" s="197">
        <f t="shared" ref="A325:A388" si="10">IF(AND(D325&lt;&gt;""),IF(A324&lt;&gt;"",A324,0)+1,A324)</f>
        <v>132</v>
      </c>
      <c r="B325" s="73"/>
      <c r="C325" s="73"/>
      <c r="D325" s="104"/>
      <c r="E325" s="122"/>
      <c r="F325" s="73" t="str">
        <f>IF(G325="KGS",IF(D325&lt;&gt;"",IFERROR(VLOOKUP(D325,ProductList!J:AO,12,FALSE),""),""),IF(D325&lt;&gt;"",IFERROR(VLOOKUP(D325,ProductList!J:AO,15,FALSE),""),""))</f>
        <v/>
      </c>
      <c r="G325" s="6"/>
      <c r="H325" s="75" t="str">
        <f>IF(G325="KGS",IF(D325&lt;&gt;"",IFERROR(ROUND(VLOOKUP(D325,ProductList!J:BG,46,FALSE),3),""),""),IF(D325&lt;&gt;"",IFERROR(ROUND(VLOOKUP(D325,ProductList!J:BG,45,FALSE),3),""),""))</f>
        <v/>
      </c>
      <c r="I325" s="75" t="str">
        <f t="shared" si="9"/>
        <v/>
      </c>
    </row>
    <row r="326" spans="1:9" x14ac:dyDescent="0.25">
      <c r="A326" s="197">
        <f t="shared" si="10"/>
        <v>132</v>
      </c>
      <c r="B326" s="73"/>
      <c r="C326" s="73"/>
      <c r="D326" s="104"/>
      <c r="E326" s="122"/>
      <c r="F326" s="73" t="str">
        <f>IF(G326="KGS",IF(D326&lt;&gt;"",IFERROR(VLOOKUP(D326,ProductList!J:AO,12,FALSE),""),""),IF(D326&lt;&gt;"",IFERROR(VLOOKUP(D326,ProductList!J:AO,15,FALSE),""),""))</f>
        <v/>
      </c>
      <c r="G326" s="6"/>
      <c r="H326" s="75" t="str">
        <f>IF(G326="KGS",IF(D326&lt;&gt;"",IFERROR(ROUND(VLOOKUP(D326,ProductList!J:BG,46,FALSE),3),""),""),IF(D326&lt;&gt;"",IFERROR(ROUND(VLOOKUP(D326,ProductList!J:BG,45,FALSE),3),""),""))</f>
        <v/>
      </c>
      <c r="I326" s="75" t="str">
        <f t="shared" ref="I326:I389" si="11">IF(AND(F326&lt;&gt;"",H326&lt;&gt;""),ROUND(F326*H326,2),"")</f>
        <v/>
      </c>
    </row>
    <row r="327" spans="1:9" x14ac:dyDescent="0.25">
      <c r="A327" s="197">
        <f t="shared" si="10"/>
        <v>132</v>
      </c>
      <c r="B327" s="73"/>
      <c r="C327" s="73"/>
      <c r="D327" s="104"/>
      <c r="E327" s="122"/>
      <c r="F327" s="73" t="str">
        <f>IF(G327="KGS",IF(D327&lt;&gt;"",IFERROR(VLOOKUP(D327,ProductList!J:AO,12,FALSE),""),""),IF(D327&lt;&gt;"",IFERROR(VLOOKUP(D327,ProductList!J:AO,15,FALSE),""),""))</f>
        <v/>
      </c>
      <c r="G327" s="6"/>
      <c r="H327" s="75" t="str">
        <f>IF(G327="KGS",IF(D327&lt;&gt;"",IFERROR(ROUND(VLOOKUP(D327,ProductList!J:BG,46,FALSE),3),""),""),IF(D327&lt;&gt;"",IFERROR(ROUND(VLOOKUP(D327,ProductList!J:BG,45,FALSE),3),""),""))</f>
        <v/>
      </c>
      <c r="I327" s="75" t="str">
        <f t="shared" si="11"/>
        <v/>
      </c>
    </row>
    <row r="328" spans="1:9" x14ac:dyDescent="0.25">
      <c r="A328" s="197">
        <f t="shared" si="10"/>
        <v>132</v>
      </c>
      <c r="B328" s="73"/>
      <c r="C328" s="73"/>
      <c r="D328" s="104"/>
      <c r="E328" s="122"/>
      <c r="F328" s="73" t="str">
        <f>IF(G328="KGS",IF(D328&lt;&gt;"",IFERROR(VLOOKUP(D328,ProductList!J:AO,12,FALSE),""),""),IF(D328&lt;&gt;"",IFERROR(VLOOKUP(D328,ProductList!J:AO,15,FALSE),""),""))</f>
        <v/>
      </c>
      <c r="G328" s="6"/>
      <c r="H328" s="75" t="str">
        <f>IF(G328="KGS",IF(D328&lt;&gt;"",IFERROR(ROUND(VLOOKUP(D328,ProductList!J:BG,46,FALSE),3),""),""),IF(D328&lt;&gt;"",IFERROR(ROUND(VLOOKUP(D328,ProductList!J:BG,45,FALSE),3),""),""))</f>
        <v/>
      </c>
      <c r="I328" s="75" t="str">
        <f t="shared" si="11"/>
        <v/>
      </c>
    </row>
    <row r="329" spans="1:9" x14ac:dyDescent="0.25">
      <c r="A329" s="197">
        <f t="shared" si="10"/>
        <v>132</v>
      </c>
      <c r="B329" s="73"/>
      <c r="C329" s="73"/>
      <c r="D329" s="104"/>
      <c r="E329" s="122"/>
      <c r="F329" s="73" t="str">
        <f>IF(G329="KGS",IF(D329&lt;&gt;"",IFERROR(VLOOKUP(D329,ProductList!J:AO,12,FALSE),""),""),IF(D329&lt;&gt;"",IFERROR(VLOOKUP(D329,ProductList!J:AO,15,FALSE),""),""))</f>
        <v/>
      </c>
      <c r="G329" s="6"/>
      <c r="H329" s="75" t="str">
        <f>IF(G329="KGS",IF(D329&lt;&gt;"",IFERROR(ROUND(VLOOKUP(D329,ProductList!J:BG,46,FALSE),3),""),""),IF(D329&lt;&gt;"",IFERROR(ROUND(VLOOKUP(D329,ProductList!J:BG,45,FALSE),3),""),""))</f>
        <v/>
      </c>
      <c r="I329" s="75" t="str">
        <f t="shared" si="11"/>
        <v/>
      </c>
    </row>
    <row r="330" spans="1:9" x14ac:dyDescent="0.25">
      <c r="A330" s="197">
        <f t="shared" si="10"/>
        <v>132</v>
      </c>
      <c r="B330" s="73"/>
      <c r="C330" s="73"/>
      <c r="D330" s="104"/>
      <c r="E330" s="122"/>
      <c r="F330" s="73" t="str">
        <f>IF(G330="KGS",IF(D330&lt;&gt;"",IFERROR(VLOOKUP(D330,ProductList!J:AO,12,FALSE),""),""),IF(D330&lt;&gt;"",IFERROR(VLOOKUP(D330,ProductList!J:AO,15,FALSE),""),""))</f>
        <v/>
      </c>
      <c r="G330" s="6"/>
      <c r="H330" s="75" t="str">
        <f>IF(G330="KGS",IF(D330&lt;&gt;"",IFERROR(ROUND(VLOOKUP(D330,ProductList!J:BG,46,FALSE),3),""),""),IF(D330&lt;&gt;"",IFERROR(ROUND(VLOOKUP(D330,ProductList!J:BG,45,FALSE),3),""),""))</f>
        <v/>
      </c>
      <c r="I330" s="75" t="str">
        <f t="shared" si="11"/>
        <v/>
      </c>
    </row>
    <row r="331" spans="1:9" x14ac:dyDescent="0.25">
      <c r="A331" s="197">
        <f t="shared" si="10"/>
        <v>132</v>
      </c>
      <c r="B331" s="73"/>
      <c r="C331" s="73"/>
      <c r="D331" s="104"/>
      <c r="E331" s="122"/>
      <c r="F331" s="73" t="str">
        <f>IF(G331="KGS",IF(D331&lt;&gt;"",IFERROR(VLOOKUP(D331,ProductList!J:AO,12,FALSE),""),""),IF(D331&lt;&gt;"",IFERROR(VLOOKUP(D331,ProductList!J:AO,15,FALSE),""),""))</f>
        <v/>
      </c>
      <c r="G331" s="6"/>
      <c r="H331" s="75" t="str">
        <f>IF(G331="KGS",IF(D331&lt;&gt;"",IFERROR(ROUND(VLOOKUP(D331,ProductList!J:BG,46,FALSE),3),""),""),IF(D331&lt;&gt;"",IFERROR(ROUND(VLOOKUP(D331,ProductList!J:BG,45,FALSE),3),""),""))</f>
        <v/>
      </c>
      <c r="I331" s="75" t="str">
        <f t="shared" si="11"/>
        <v/>
      </c>
    </row>
    <row r="332" spans="1:9" x14ac:dyDescent="0.25">
      <c r="A332" s="197">
        <f t="shared" si="10"/>
        <v>132</v>
      </c>
      <c r="B332" s="73"/>
      <c r="C332" s="73"/>
      <c r="D332" s="104"/>
      <c r="E332" s="122"/>
      <c r="F332" s="73" t="str">
        <f>IF(G332="KGS",IF(D332&lt;&gt;"",IFERROR(VLOOKUP(D332,ProductList!J:AO,12,FALSE),""),""),IF(D332&lt;&gt;"",IFERROR(VLOOKUP(D332,ProductList!J:AO,15,FALSE),""),""))</f>
        <v/>
      </c>
      <c r="G332" s="6"/>
      <c r="H332" s="75" t="str">
        <f>IF(G332="KGS",IF(D332&lt;&gt;"",IFERROR(ROUND(VLOOKUP(D332,ProductList!J:BG,46,FALSE),3),""),""),IF(D332&lt;&gt;"",IFERROR(ROUND(VLOOKUP(D332,ProductList!J:BG,45,FALSE),3),""),""))</f>
        <v/>
      </c>
      <c r="I332" s="75" t="str">
        <f t="shared" si="11"/>
        <v/>
      </c>
    </row>
    <row r="333" spans="1:9" x14ac:dyDescent="0.25">
      <c r="A333" s="197">
        <f t="shared" si="10"/>
        <v>132</v>
      </c>
      <c r="B333" s="73"/>
      <c r="C333" s="73"/>
      <c r="D333" s="104"/>
      <c r="E333" s="122"/>
      <c r="F333" s="73" t="str">
        <f>IF(G333="KGS",IF(D333&lt;&gt;"",IFERROR(VLOOKUP(D333,ProductList!J:AO,12,FALSE),""),""),IF(D333&lt;&gt;"",IFERROR(VLOOKUP(D333,ProductList!J:AO,15,FALSE),""),""))</f>
        <v/>
      </c>
      <c r="G333" s="6"/>
      <c r="H333" s="75" t="str">
        <f>IF(G333="KGS",IF(D333&lt;&gt;"",IFERROR(ROUND(VLOOKUP(D333,ProductList!J:BG,46,FALSE),3),""),""),IF(D333&lt;&gt;"",IFERROR(ROUND(VLOOKUP(D333,ProductList!J:BG,45,FALSE),3),""),""))</f>
        <v/>
      </c>
      <c r="I333" s="75" t="str">
        <f t="shared" si="11"/>
        <v/>
      </c>
    </row>
    <row r="334" spans="1:9" x14ac:dyDescent="0.25">
      <c r="A334" s="197">
        <f t="shared" si="10"/>
        <v>132</v>
      </c>
      <c r="B334" s="73"/>
      <c r="C334" s="73"/>
      <c r="D334" s="104"/>
      <c r="E334" s="122"/>
      <c r="F334" s="73" t="str">
        <f>IF(G334="KGS",IF(D334&lt;&gt;"",IFERROR(VLOOKUP(D334,ProductList!J:AO,12,FALSE),""),""),IF(D334&lt;&gt;"",IFERROR(VLOOKUP(D334,ProductList!J:AO,15,FALSE),""),""))</f>
        <v/>
      </c>
      <c r="G334" s="6"/>
      <c r="H334" s="75" t="str">
        <f>IF(G334="KGS",IF(D334&lt;&gt;"",IFERROR(ROUND(VLOOKUP(D334,ProductList!J:BG,46,FALSE),3),""),""),IF(D334&lt;&gt;"",IFERROR(ROUND(VLOOKUP(D334,ProductList!J:BG,45,FALSE),3),""),""))</f>
        <v/>
      </c>
      <c r="I334" s="75" t="str">
        <f t="shared" si="11"/>
        <v/>
      </c>
    </row>
    <row r="335" spans="1:9" x14ac:dyDescent="0.25">
      <c r="A335" s="197">
        <f t="shared" si="10"/>
        <v>132</v>
      </c>
      <c r="B335" s="73"/>
      <c r="C335" s="73"/>
      <c r="D335" s="104"/>
      <c r="E335" s="122"/>
      <c r="F335" s="73" t="str">
        <f>IF(G335="KGS",IF(D335&lt;&gt;"",IFERROR(VLOOKUP(D335,ProductList!J:AO,12,FALSE),""),""),IF(D335&lt;&gt;"",IFERROR(VLOOKUP(D335,ProductList!J:AO,15,FALSE),""),""))</f>
        <v/>
      </c>
      <c r="G335" s="6"/>
      <c r="H335" s="75" t="str">
        <f>IF(G335="KGS",IF(D335&lt;&gt;"",IFERROR(ROUND(VLOOKUP(D335,ProductList!J:BG,46,FALSE),3),""),""),IF(D335&lt;&gt;"",IFERROR(ROUND(VLOOKUP(D335,ProductList!J:BG,45,FALSE),3),""),""))</f>
        <v/>
      </c>
      <c r="I335" s="75" t="str">
        <f t="shared" si="11"/>
        <v/>
      </c>
    </row>
    <row r="336" spans="1:9" x14ac:dyDescent="0.25">
      <c r="A336" s="197">
        <f t="shared" si="10"/>
        <v>132</v>
      </c>
      <c r="B336" s="73"/>
      <c r="C336" s="73"/>
      <c r="D336" s="104"/>
      <c r="E336" s="122"/>
      <c r="F336" s="73" t="str">
        <f>IF(G336="KGS",IF(D336&lt;&gt;"",IFERROR(VLOOKUP(D336,ProductList!J:AO,12,FALSE),""),""),IF(D336&lt;&gt;"",IFERROR(VLOOKUP(D336,ProductList!J:AO,15,FALSE),""),""))</f>
        <v/>
      </c>
      <c r="G336" s="6"/>
      <c r="H336" s="75" t="str">
        <f>IF(G336="KGS",IF(D336&lt;&gt;"",IFERROR(ROUND(VLOOKUP(D336,ProductList!J:BG,46,FALSE),3),""),""),IF(D336&lt;&gt;"",IFERROR(ROUND(VLOOKUP(D336,ProductList!J:BG,45,FALSE),3),""),""))</f>
        <v/>
      </c>
      <c r="I336" s="75" t="str">
        <f t="shared" si="11"/>
        <v/>
      </c>
    </row>
    <row r="337" spans="1:9" x14ac:dyDescent="0.25">
      <c r="A337" s="197">
        <f t="shared" si="10"/>
        <v>132</v>
      </c>
      <c r="B337" s="73"/>
      <c r="C337" s="73"/>
      <c r="D337" s="104"/>
      <c r="E337" s="122"/>
      <c r="F337" s="73" t="str">
        <f>IF(G337="KGS",IF(D337&lt;&gt;"",IFERROR(VLOOKUP(D337,ProductList!J:AO,12,FALSE),""),""),IF(D337&lt;&gt;"",IFERROR(VLOOKUP(D337,ProductList!J:AO,15,FALSE),""),""))</f>
        <v/>
      </c>
      <c r="G337" s="6"/>
      <c r="H337" s="75" t="str">
        <f>IF(G337="KGS",IF(D337&lt;&gt;"",IFERROR(ROUND(VLOOKUP(D337,ProductList!J:BG,46,FALSE),3),""),""),IF(D337&lt;&gt;"",IFERROR(ROUND(VLOOKUP(D337,ProductList!J:BG,45,FALSE),3),""),""))</f>
        <v/>
      </c>
      <c r="I337" s="75" t="str">
        <f t="shared" si="11"/>
        <v/>
      </c>
    </row>
    <row r="338" spans="1:9" x14ac:dyDescent="0.25">
      <c r="A338" s="197">
        <f t="shared" si="10"/>
        <v>132</v>
      </c>
      <c r="B338" s="73"/>
      <c r="C338" s="73"/>
      <c r="D338" s="104"/>
      <c r="E338" s="122"/>
      <c r="F338" s="73" t="str">
        <f>IF(G338="KGS",IF(D338&lt;&gt;"",IFERROR(VLOOKUP(D338,ProductList!J:AO,12,FALSE),""),""),IF(D338&lt;&gt;"",IFERROR(VLOOKUP(D338,ProductList!J:AO,15,FALSE),""),""))</f>
        <v/>
      </c>
      <c r="G338" s="6"/>
      <c r="H338" s="75" t="str">
        <f>IF(G338="KGS",IF(D338&lt;&gt;"",IFERROR(ROUND(VLOOKUP(D338,ProductList!J:BG,46,FALSE),3),""),""),IF(D338&lt;&gt;"",IFERROR(ROUND(VLOOKUP(D338,ProductList!J:BG,45,FALSE),3),""),""))</f>
        <v/>
      </c>
      <c r="I338" s="75" t="str">
        <f t="shared" si="11"/>
        <v/>
      </c>
    </row>
    <row r="339" spans="1:9" x14ac:dyDescent="0.25">
      <c r="A339" s="197">
        <f t="shared" si="10"/>
        <v>132</v>
      </c>
      <c r="B339" s="73"/>
      <c r="C339" s="73"/>
      <c r="D339" s="104"/>
      <c r="E339" s="122"/>
      <c r="F339" s="73" t="str">
        <f>IF(G339="KGS",IF(D339&lt;&gt;"",IFERROR(VLOOKUP(D339,ProductList!J:AO,12,FALSE),""),""),IF(D339&lt;&gt;"",IFERROR(VLOOKUP(D339,ProductList!J:AO,15,FALSE),""),""))</f>
        <v/>
      </c>
      <c r="G339" s="6"/>
      <c r="H339" s="75" t="str">
        <f>IF(G339="KGS",IF(D339&lt;&gt;"",IFERROR(ROUND(VLOOKUP(D339,ProductList!J:BG,46,FALSE),3),""),""),IF(D339&lt;&gt;"",IFERROR(ROUND(VLOOKUP(D339,ProductList!J:BG,45,FALSE),3),""),""))</f>
        <v/>
      </c>
      <c r="I339" s="75" t="str">
        <f t="shared" si="11"/>
        <v/>
      </c>
    </row>
    <row r="340" spans="1:9" x14ac:dyDescent="0.25">
      <c r="A340" s="197">
        <f t="shared" si="10"/>
        <v>132</v>
      </c>
      <c r="B340" s="73"/>
      <c r="C340" s="73"/>
      <c r="D340" s="104"/>
      <c r="E340" s="122"/>
      <c r="F340" s="73" t="str">
        <f>IF(G340="KGS",IF(D340&lt;&gt;"",IFERROR(VLOOKUP(D340,ProductList!J:AO,12,FALSE),""),""),IF(D340&lt;&gt;"",IFERROR(VLOOKUP(D340,ProductList!J:AO,15,FALSE),""),""))</f>
        <v/>
      </c>
      <c r="G340" s="6"/>
      <c r="H340" s="75" t="str">
        <f>IF(G340="KGS",IF(D340&lt;&gt;"",IFERROR(ROUND(VLOOKUP(D340,ProductList!J:BG,46,FALSE),3),""),""),IF(D340&lt;&gt;"",IFERROR(ROUND(VLOOKUP(D340,ProductList!J:BG,45,FALSE),3),""),""))</f>
        <v/>
      </c>
      <c r="I340" s="75" t="str">
        <f t="shared" si="11"/>
        <v/>
      </c>
    </row>
    <row r="341" spans="1:9" x14ac:dyDescent="0.25">
      <c r="A341" s="197">
        <f t="shared" si="10"/>
        <v>132</v>
      </c>
      <c r="B341" s="73"/>
      <c r="C341" s="73"/>
      <c r="D341" s="104"/>
      <c r="E341" s="122"/>
      <c r="F341" s="73" t="str">
        <f>IF(G341="KGS",IF(D341&lt;&gt;"",IFERROR(VLOOKUP(D341,ProductList!J:AO,12,FALSE),""),""),IF(D341&lt;&gt;"",IFERROR(VLOOKUP(D341,ProductList!J:AO,15,FALSE),""),""))</f>
        <v/>
      </c>
      <c r="G341" s="6"/>
      <c r="H341" s="75" t="str">
        <f>IF(G341="KGS",IF(D341&lt;&gt;"",IFERROR(ROUND(VLOOKUP(D341,ProductList!J:BG,46,FALSE),3),""),""),IF(D341&lt;&gt;"",IFERROR(ROUND(VLOOKUP(D341,ProductList!J:BG,45,FALSE),3),""),""))</f>
        <v/>
      </c>
      <c r="I341" s="75" t="str">
        <f t="shared" si="11"/>
        <v/>
      </c>
    </row>
    <row r="342" spans="1:9" x14ac:dyDescent="0.25">
      <c r="A342" s="197">
        <f t="shared" si="10"/>
        <v>132</v>
      </c>
      <c r="B342" s="73"/>
      <c r="C342" s="73"/>
      <c r="D342" s="104"/>
      <c r="E342" s="122"/>
      <c r="F342" s="73" t="str">
        <f>IF(G342="KGS",IF(D342&lt;&gt;"",IFERROR(VLOOKUP(D342,ProductList!J:AO,12,FALSE),""),""),IF(D342&lt;&gt;"",IFERROR(VLOOKUP(D342,ProductList!J:AO,15,FALSE),""),""))</f>
        <v/>
      </c>
      <c r="G342" s="6"/>
      <c r="H342" s="75" t="str">
        <f>IF(G342="KGS",IF(D342&lt;&gt;"",IFERROR(ROUND(VLOOKUP(D342,ProductList!J:BG,46,FALSE),3),""),""),IF(D342&lt;&gt;"",IFERROR(ROUND(VLOOKUP(D342,ProductList!J:BG,45,FALSE),3),""),""))</f>
        <v/>
      </c>
      <c r="I342" s="75" t="str">
        <f t="shared" si="11"/>
        <v/>
      </c>
    </row>
    <row r="343" spans="1:9" x14ac:dyDescent="0.25">
      <c r="A343" s="197">
        <f t="shared" si="10"/>
        <v>132</v>
      </c>
      <c r="B343" s="73"/>
      <c r="C343" s="73"/>
      <c r="D343" s="104"/>
      <c r="E343" s="122"/>
      <c r="F343" s="73" t="str">
        <f>IF(G343="KGS",IF(D343&lt;&gt;"",IFERROR(VLOOKUP(D343,ProductList!J:AO,12,FALSE),""),""),IF(D343&lt;&gt;"",IFERROR(VLOOKUP(D343,ProductList!J:AO,15,FALSE),""),""))</f>
        <v/>
      </c>
      <c r="G343" s="6"/>
      <c r="H343" s="75" t="str">
        <f>IF(G343="KGS",IF(D343&lt;&gt;"",IFERROR(ROUND(VLOOKUP(D343,ProductList!J:BG,46,FALSE),3),""),""),IF(D343&lt;&gt;"",IFERROR(ROUND(VLOOKUP(D343,ProductList!J:BG,45,FALSE),3),""),""))</f>
        <v/>
      </c>
      <c r="I343" s="75" t="str">
        <f t="shared" si="11"/>
        <v/>
      </c>
    </row>
    <row r="344" spans="1:9" x14ac:dyDescent="0.25">
      <c r="A344" s="197">
        <f t="shared" si="10"/>
        <v>132</v>
      </c>
      <c r="B344" s="73"/>
      <c r="C344" s="73"/>
      <c r="D344" s="104"/>
      <c r="E344" s="122"/>
      <c r="F344" s="73" t="str">
        <f>IF(G344="KGS",IF(D344&lt;&gt;"",IFERROR(VLOOKUP(D344,ProductList!J:AO,12,FALSE),""),""),IF(D344&lt;&gt;"",IFERROR(VLOOKUP(D344,ProductList!J:AO,15,FALSE),""),""))</f>
        <v/>
      </c>
      <c r="G344" s="6"/>
      <c r="H344" s="75" t="str">
        <f>IF(G344="KGS",IF(D344&lt;&gt;"",IFERROR(ROUND(VLOOKUP(D344,ProductList!J:BG,46,FALSE),3),""),""),IF(D344&lt;&gt;"",IFERROR(ROUND(VLOOKUP(D344,ProductList!J:BG,45,FALSE),3),""),""))</f>
        <v/>
      </c>
      <c r="I344" s="75" t="str">
        <f t="shared" si="11"/>
        <v/>
      </c>
    </row>
    <row r="345" spans="1:9" x14ac:dyDescent="0.25">
      <c r="A345" s="197">
        <f t="shared" si="10"/>
        <v>132</v>
      </c>
      <c r="B345" s="73"/>
      <c r="C345" s="73"/>
      <c r="D345" s="104"/>
      <c r="E345" s="122"/>
      <c r="F345" s="73" t="str">
        <f>IF(G345="KGS",IF(D345&lt;&gt;"",IFERROR(VLOOKUP(D345,ProductList!J:AO,12,FALSE),""),""),IF(D345&lt;&gt;"",IFERROR(VLOOKUP(D345,ProductList!J:AO,15,FALSE),""),""))</f>
        <v/>
      </c>
      <c r="G345" s="6"/>
      <c r="H345" s="75" t="str">
        <f>IF(G345="KGS",IF(D345&lt;&gt;"",IFERROR(ROUND(VLOOKUP(D345,ProductList!J:BG,46,FALSE),3),""),""),IF(D345&lt;&gt;"",IFERROR(ROUND(VLOOKUP(D345,ProductList!J:BG,45,FALSE),3),""),""))</f>
        <v/>
      </c>
      <c r="I345" s="75" t="str">
        <f t="shared" si="11"/>
        <v/>
      </c>
    </row>
    <row r="346" spans="1:9" x14ac:dyDescent="0.25">
      <c r="A346" s="197">
        <f t="shared" si="10"/>
        <v>132</v>
      </c>
      <c r="B346" s="73"/>
      <c r="C346" s="73"/>
      <c r="D346" s="104"/>
      <c r="E346" s="122"/>
      <c r="F346" s="73" t="str">
        <f>IF(G346="KGS",IF(D346&lt;&gt;"",IFERROR(VLOOKUP(D346,ProductList!J:AO,12,FALSE),""),""),IF(D346&lt;&gt;"",IFERROR(VLOOKUP(D346,ProductList!J:AO,15,FALSE),""),""))</f>
        <v/>
      </c>
      <c r="G346" s="6"/>
      <c r="H346" s="75" t="str">
        <f>IF(G346="KGS",IF(D346&lt;&gt;"",IFERROR(ROUND(VLOOKUP(D346,ProductList!J:BG,46,FALSE),3),""),""),IF(D346&lt;&gt;"",IFERROR(ROUND(VLOOKUP(D346,ProductList!J:BG,45,FALSE),3),""),""))</f>
        <v/>
      </c>
      <c r="I346" s="75" t="str">
        <f t="shared" si="11"/>
        <v/>
      </c>
    </row>
    <row r="347" spans="1:9" x14ac:dyDescent="0.25">
      <c r="A347" s="197">
        <f t="shared" si="10"/>
        <v>132</v>
      </c>
      <c r="B347" s="73"/>
      <c r="C347" s="73"/>
      <c r="D347" s="104"/>
      <c r="E347" s="122"/>
      <c r="F347" s="73" t="str">
        <f>IF(G347="KGS",IF(D347&lt;&gt;"",IFERROR(VLOOKUP(D347,ProductList!J:AO,12,FALSE),""),""),IF(D347&lt;&gt;"",IFERROR(VLOOKUP(D347,ProductList!J:AO,15,FALSE),""),""))</f>
        <v/>
      </c>
      <c r="G347" s="6"/>
      <c r="H347" s="75" t="str">
        <f>IF(G347="KGS",IF(D347&lt;&gt;"",IFERROR(ROUND(VLOOKUP(D347,ProductList!J:BG,46,FALSE),3),""),""),IF(D347&lt;&gt;"",IFERROR(ROUND(VLOOKUP(D347,ProductList!J:BG,45,FALSE),3),""),""))</f>
        <v/>
      </c>
      <c r="I347" s="75" t="str">
        <f t="shared" si="11"/>
        <v/>
      </c>
    </row>
    <row r="348" spans="1:9" x14ac:dyDescent="0.25">
      <c r="A348" s="197">
        <f t="shared" si="10"/>
        <v>132</v>
      </c>
      <c r="B348" s="73"/>
      <c r="C348" s="73"/>
      <c r="D348" s="104"/>
      <c r="E348" s="122"/>
      <c r="F348" s="73" t="str">
        <f>IF(G348="KGS",IF(D348&lt;&gt;"",IFERROR(VLOOKUP(D348,ProductList!J:AO,12,FALSE),""),""),IF(D348&lt;&gt;"",IFERROR(VLOOKUP(D348,ProductList!J:AO,15,FALSE),""),""))</f>
        <v/>
      </c>
      <c r="G348" s="6"/>
      <c r="H348" s="75" t="str">
        <f>IF(G348="KGS",IF(D348&lt;&gt;"",IFERROR(ROUND(VLOOKUP(D348,ProductList!J:BG,46,FALSE),3),""),""),IF(D348&lt;&gt;"",IFERROR(ROUND(VLOOKUP(D348,ProductList!J:BG,45,FALSE),3),""),""))</f>
        <v/>
      </c>
      <c r="I348" s="75" t="str">
        <f t="shared" si="11"/>
        <v/>
      </c>
    </row>
    <row r="349" spans="1:9" x14ac:dyDescent="0.25">
      <c r="A349" s="197">
        <f t="shared" si="10"/>
        <v>132</v>
      </c>
      <c r="B349" s="73"/>
      <c r="C349" s="73"/>
      <c r="D349" s="104"/>
      <c r="E349" s="122"/>
      <c r="F349" s="73" t="str">
        <f>IF(G349="KGS",IF(D349&lt;&gt;"",IFERROR(VLOOKUP(D349,ProductList!J:AO,12,FALSE),""),""),IF(D349&lt;&gt;"",IFERROR(VLOOKUP(D349,ProductList!J:AO,15,FALSE),""),""))</f>
        <v/>
      </c>
      <c r="G349" s="6"/>
      <c r="H349" s="75" t="str">
        <f>IF(G349="KGS",IF(D349&lt;&gt;"",IFERROR(ROUND(VLOOKUP(D349,ProductList!J:BG,46,FALSE),3),""),""),IF(D349&lt;&gt;"",IFERROR(ROUND(VLOOKUP(D349,ProductList!J:BG,45,FALSE),3),""),""))</f>
        <v/>
      </c>
      <c r="I349" s="75" t="str">
        <f t="shared" si="11"/>
        <v/>
      </c>
    </row>
    <row r="350" spans="1:9" x14ac:dyDescent="0.25">
      <c r="A350" s="197">
        <f t="shared" si="10"/>
        <v>132</v>
      </c>
      <c r="B350" s="73"/>
      <c r="C350" s="73"/>
      <c r="D350" s="104"/>
      <c r="E350" s="122"/>
      <c r="F350" s="73" t="str">
        <f>IF(G350="KGS",IF(D350&lt;&gt;"",IFERROR(VLOOKUP(D350,ProductList!J:AO,12,FALSE),""),""),IF(D350&lt;&gt;"",IFERROR(VLOOKUP(D350,ProductList!J:AO,15,FALSE),""),""))</f>
        <v/>
      </c>
      <c r="G350" s="6"/>
      <c r="H350" s="75" t="str">
        <f>IF(G350="KGS",IF(D350&lt;&gt;"",IFERROR(ROUND(VLOOKUP(D350,ProductList!J:BG,46,FALSE),3),""),""),IF(D350&lt;&gt;"",IFERROR(ROUND(VLOOKUP(D350,ProductList!J:BG,45,FALSE),3),""),""))</f>
        <v/>
      </c>
      <c r="I350" s="75" t="str">
        <f t="shared" si="11"/>
        <v/>
      </c>
    </row>
    <row r="351" spans="1:9" x14ac:dyDescent="0.25">
      <c r="A351" s="197">
        <f t="shared" si="10"/>
        <v>132</v>
      </c>
      <c r="B351" s="73"/>
      <c r="C351" s="73"/>
      <c r="D351" s="104"/>
      <c r="E351" s="122"/>
      <c r="F351" s="73" t="str">
        <f>IF(G351="KGS",IF(D351&lt;&gt;"",IFERROR(VLOOKUP(D351,ProductList!J:AO,12,FALSE),""),""),IF(D351&lt;&gt;"",IFERROR(VLOOKUP(D351,ProductList!J:AO,15,FALSE),""),""))</f>
        <v/>
      </c>
      <c r="G351" s="6"/>
      <c r="H351" s="75" t="str">
        <f>IF(G351="KGS",IF(D351&lt;&gt;"",IFERROR(ROUND(VLOOKUP(D351,ProductList!J:BG,46,FALSE),3),""),""),IF(D351&lt;&gt;"",IFERROR(ROUND(VLOOKUP(D351,ProductList!J:BG,45,FALSE),3),""),""))</f>
        <v/>
      </c>
      <c r="I351" s="75" t="str">
        <f t="shared" si="11"/>
        <v/>
      </c>
    </row>
    <row r="352" spans="1:9" x14ac:dyDescent="0.25">
      <c r="A352" s="197">
        <f t="shared" si="10"/>
        <v>132</v>
      </c>
      <c r="B352" s="73"/>
      <c r="C352" s="73"/>
      <c r="D352" s="104"/>
      <c r="E352" s="122"/>
      <c r="F352" s="73" t="str">
        <f>IF(G352="KGS",IF(D352&lt;&gt;"",IFERROR(VLOOKUP(D352,ProductList!J:AO,12,FALSE),""),""),IF(D352&lt;&gt;"",IFERROR(VLOOKUP(D352,ProductList!J:AO,15,FALSE),""),""))</f>
        <v/>
      </c>
      <c r="G352" s="6"/>
      <c r="H352" s="75" t="str">
        <f>IF(G352="KGS",IF(D352&lt;&gt;"",IFERROR(ROUND(VLOOKUP(D352,ProductList!J:BG,46,FALSE),3),""),""),IF(D352&lt;&gt;"",IFERROR(ROUND(VLOOKUP(D352,ProductList!J:BG,45,FALSE),3),""),""))</f>
        <v/>
      </c>
      <c r="I352" s="75" t="str">
        <f t="shared" si="11"/>
        <v/>
      </c>
    </row>
    <row r="353" spans="1:9" x14ac:dyDescent="0.25">
      <c r="A353" s="197">
        <f t="shared" si="10"/>
        <v>132</v>
      </c>
      <c r="B353" s="73"/>
      <c r="C353" s="73"/>
      <c r="D353" s="104"/>
      <c r="E353" s="122"/>
      <c r="F353" s="73" t="str">
        <f>IF(G353="KGS",IF(D353&lt;&gt;"",IFERROR(VLOOKUP(D353,ProductList!J:AO,12,FALSE),""),""),IF(D353&lt;&gt;"",IFERROR(VLOOKUP(D353,ProductList!J:AO,15,FALSE),""),""))</f>
        <v/>
      </c>
      <c r="G353" s="6"/>
      <c r="H353" s="75" t="str">
        <f>IF(G353="KGS",IF(D353&lt;&gt;"",IFERROR(ROUND(VLOOKUP(D353,ProductList!J:BG,46,FALSE),3),""),""),IF(D353&lt;&gt;"",IFERROR(ROUND(VLOOKUP(D353,ProductList!J:BG,45,FALSE),3),""),""))</f>
        <v/>
      </c>
      <c r="I353" s="75" t="str">
        <f t="shared" si="11"/>
        <v/>
      </c>
    </row>
    <row r="354" spans="1:9" x14ac:dyDescent="0.25">
      <c r="A354" s="197">
        <f t="shared" si="10"/>
        <v>132</v>
      </c>
      <c r="B354" s="73"/>
      <c r="C354" s="73"/>
      <c r="D354" s="104"/>
      <c r="E354" s="122"/>
      <c r="F354" s="73" t="str">
        <f>IF(G354="KGS",IF(D354&lt;&gt;"",IFERROR(VLOOKUP(D354,ProductList!J:AO,12,FALSE),""),""),IF(D354&lt;&gt;"",IFERROR(VLOOKUP(D354,ProductList!J:AO,15,FALSE),""),""))</f>
        <v/>
      </c>
      <c r="G354" s="6"/>
      <c r="H354" s="75" t="str">
        <f>IF(G354="KGS",IF(D354&lt;&gt;"",IFERROR(ROUND(VLOOKUP(D354,ProductList!J:BG,46,FALSE),3),""),""),IF(D354&lt;&gt;"",IFERROR(ROUND(VLOOKUP(D354,ProductList!J:BG,45,FALSE),3),""),""))</f>
        <v/>
      </c>
      <c r="I354" s="75" t="str">
        <f t="shared" si="11"/>
        <v/>
      </c>
    </row>
    <row r="355" spans="1:9" x14ac:dyDescent="0.25">
      <c r="A355" s="197">
        <f t="shared" si="10"/>
        <v>132</v>
      </c>
      <c r="B355" s="73"/>
      <c r="C355" s="73"/>
      <c r="D355" s="104"/>
      <c r="E355" s="122"/>
      <c r="F355" s="73" t="str">
        <f>IF(G355="KGS",IF(D355&lt;&gt;"",IFERROR(VLOOKUP(D355,ProductList!J:AO,12,FALSE),""),""),IF(D355&lt;&gt;"",IFERROR(VLOOKUP(D355,ProductList!J:AO,15,FALSE),""),""))</f>
        <v/>
      </c>
      <c r="G355" s="6"/>
      <c r="H355" s="75" t="str">
        <f>IF(G355="KGS",IF(D355&lt;&gt;"",IFERROR(ROUND(VLOOKUP(D355,ProductList!J:BG,46,FALSE),3),""),""),IF(D355&lt;&gt;"",IFERROR(ROUND(VLOOKUP(D355,ProductList!J:BG,45,FALSE),3),""),""))</f>
        <v/>
      </c>
      <c r="I355" s="75" t="str">
        <f t="shared" si="11"/>
        <v/>
      </c>
    </row>
    <row r="356" spans="1:9" x14ac:dyDescent="0.25">
      <c r="A356" s="197">
        <f t="shared" si="10"/>
        <v>132</v>
      </c>
      <c r="B356" s="73"/>
      <c r="C356" s="73"/>
      <c r="D356" s="104"/>
      <c r="E356" s="122"/>
      <c r="F356" s="73" t="str">
        <f>IF(G356="KGS",IF(D356&lt;&gt;"",IFERROR(VLOOKUP(D356,ProductList!J:AO,12,FALSE),""),""),IF(D356&lt;&gt;"",IFERROR(VLOOKUP(D356,ProductList!J:AO,15,FALSE),""),""))</f>
        <v/>
      </c>
      <c r="G356" s="6"/>
      <c r="H356" s="75" t="str">
        <f>IF(G356="KGS",IF(D356&lt;&gt;"",IFERROR(ROUND(VLOOKUP(D356,ProductList!J:BG,46,FALSE),3),""),""),IF(D356&lt;&gt;"",IFERROR(ROUND(VLOOKUP(D356,ProductList!J:BG,45,FALSE),3),""),""))</f>
        <v/>
      </c>
      <c r="I356" s="75" t="str">
        <f t="shared" si="11"/>
        <v/>
      </c>
    </row>
    <row r="357" spans="1:9" x14ac:dyDescent="0.25">
      <c r="A357" s="197">
        <f t="shared" si="10"/>
        <v>132</v>
      </c>
      <c r="B357" s="73"/>
      <c r="C357" s="73"/>
      <c r="D357" s="104"/>
      <c r="E357" s="122"/>
      <c r="F357" s="73" t="str">
        <f>IF(G357="KGS",IF(D357&lt;&gt;"",IFERROR(VLOOKUP(D357,ProductList!J:AO,12,FALSE),""),""),IF(D357&lt;&gt;"",IFERROR(VLOOKUP(D357,ProductList!J:AO,15,FALSE),""),""))</f>
        <v/>
      </c>
      <c r="G357" s="6"/>
      <c r="H357" s="75" t="str">
        <f>IF(G357="KGS",IF(D357&lt;&gt;"",IFERROR(ROUND(VLOOKUP(D357,ProductList!J:BG,46,FALSE),3),""),""),IF(D357&lt;&gt;"",IFERROR(ROUND(VLOOKUP(D357,ProductList!J:BG,45,FALSE),3),""),""))</f>
        <v/>
      </c>
      <c r="I357" s="75" t="str">
        <f t="shared" si="11"/>
        <v/>
      </c>
    </row>
    <row r="358" spans="1:9" x14ac:dyDescent="0.25">
      <c r="A358" s="197">
        <f t="shared" si="10"/>
        <v>132</v>
      </c>
      <c r="B358" s="73"/>
      <c r="C358" s="73"/>
      <c r="D358" s="104"/>
      <c r="E358" s="122"/>
      <c r="F358" s="73" t="str">
        <f>IF(G358="KGS",IF(D358&lt;&gt;"",IFERROR(VLOOKUP(D358,ProductList!J:AO,12,FALSE),""),""),IF(D358&lt;&gt;"",IFERROR(VLOOKUP(D358,ProductList!J:AO,15,FALSE),""),""))</f>
        <v/>
      </c>
      <c r="G358" s="6"/>
      <c r="H358" s="75" t="str">
        <f>IF(G358="KGS",IF(D358&lt;&gt;"",IFERROR(ROUND(VLOOKUP(D358,ProductList!J:BG,46,FALSE),3),""),""),IF(D358&lt;&gt;"",IFERROR(ROUND(VLOOKUP(D358,ProductList!J:BG,45,FALSE),3),""),""))</f>
        <v/>
      </c>
      <c r="I358" s="75" t="str">
        <f t="shared" si="11"/>
        <v/>
      </c>
    </row>
    <row r="359" spans="1:9" x14ac:dyDescent="0.25">
      <c r="A359" s="197">
        <f t="shared" si="10"/>
        <v>132</v>
      </c>
      <c r="B359" s="73"/>
      <c r="C359" s="73"/>
      <c r="D359" s="104"/>
      <c r="E359" s="122"/>
      <c r="F359" s="73" t="str">
        <f>IF(G359="KGS",IF(D359&lt;&gt;"",IFERROR(VLOOKUP(D359,ProductList!J:AO,12,FALSE),""),""),IF(D359&lt;&gt;"",IFERROR(VLOOKUP(D359,ProductList!J:AO,15,FALSE),""),""))</f>
        <v/>
      </c>
      <c r="G359" s="6"/>
      <c r="H359" s="75" t="str">
        <f>IF(G359="KGS",IF(D359&lt;&gt;"",IFERROR(ROUND(VLOOKUP(D359,ProductList!J:BG,46,FALSE),3),""),""),IF(D359&lt;&gt;"",IFERROR(ROUND(VLOOKUP(D359,ProductList!J:BG,45,FALSE),3),""),""))</f>
        <v/>
      </c>
      <c r="I359" s="75" t="str">
        <f t="shared" si="11"/>
        <v/>
      </c>
    </row>
    <row r="360" spans="1:9" x14ac:dyDescent="0.25">
      <c r="A360" s="197">
        <f t="shared" si="10"/>
        <v>132</v>
      </c>
      <c r="B360" s="73"/>
      <c r="C360" s="73"/>
      <c r="D360" s="104"/>
      <c r="E360" s="122"/>
      <c r="F360" s="73" t="str">
        <f>IF(G360="KGS",IF(D360&lt;&gt;"",IFERROR(VLOOKUP(D360,ProductList!J:AO,12,FALSE),""),""),IF(D360&lt;&gt;"",IFERROR(VLOOKUP(D360,ProductList!J:AO,15,FALSE),""),""))</f>
        <v/>
      </c>
      <c r="G360" s="6"/>
      <c r="H360" s="75" t="str">
        <f>IF(G360="KGS",IF(D360&lt;&gt;"",IFERROR(ROUND(VLOOKUP(D360,ProductList!J:BG,46,FALSE),3),""),""),IF(D360&lt;&gt;"",IFERROR(ROUND(VLOOKUP(D360,ProductList!J:BG,45,FALSE),3),""),""))</f>
        <v/>
      </c>
      <c r="I360" s="75" t="str">
        <f t="shared" si="11"/>
        <v/>
      </c>
    </row>
    <row r="361" spans="1:9" x14ac:dyDescent="0.25">
      <c r="A361" s="197">
        <f t="shared" si="10"/>
        <v>132</v>
      </c>
      <c r="B361" s="73"/>
      <c r="C361" s="73"/>
      <c r="D361" s="104"/>
      <c r="E361" s="122"/>
      <c r="F361" s="73" t="str">
        <f>IF(G361="KGS",IF(D361&lt;&gt;"",IFERROR(VLOOKUP(D361,ProductList!J:AO,12,FALSE),""),""),IF(D361&lt;&gt;"",IFERROR(VLOOKUP(D361,ProductList!J:AO,15,FALSE),""),""))</f>
        <v/>
      </c>
      <c r="G361" s="6"/>
      <c r="H361" s="75" t="str">
        <f>IF(G361="KGS",IF(D361&lt;&gt;"",IFERROR(ROUND(VLOOKUP(D361,ProductList!J:BG,46,FALSE),3),""),""),IF(D361&lt;&gt;"",IFERROR(ROUND(VLOOKUP(D361,ProductList!J:BG,45,FALSE),3),""),""))</f>
        <v/>
      </c>
      <c r="I361" s="75" t="str">
        <f t="shared" si="11"/>
        <v/>
      </c>
    </row>
    <row r="362" spans="1:9" x14ac:dyDescent="0.25">
      <c r="A362" s="197">
        <f t="shared" si="10"/>
        <v>132</v>
      </c>
      <c r="B362" s="73"/>
      <c r="C362" s="73"/>
      <c r="D362" s="104"/>
      <c r="E362" s="122"/>
      <c r="F362" s="73" t="str">
        <f>IF(G362="KGS",IF(D362&lt;&gt;"",IFERROR(VLOOKUP(D362,ProductList!J:AO,12,FALSE),""),""),IF(D362&lt;&gt;"",IFERROR(VLOOKUP(D362,ProductList!J:AO,15,FALSE),""),""))</f>
        <v/>
      </c>
      <c r="G362" s="6"/>
      <c r="H362" s="75" t="str">
        <f>IF(G362="KGS",IF(D362&lt;&gt;"",IFERROR(ROUND(VLOOKUP(D362,ProductList!J:BG,46,FALSE),3),""),""),IF(D362&lt;&gt;"",IFERROR(ROUND(VLOOKUP(D362,ProductList!J:BG,45,FALSE),3),""),""))</f>
        <v/>
      </c>
      <c r="I362" s="75" t="str">
        <f t="shared" si="11"/>
        <v/>
      </c>
    </row>
    <row r="363" spans="1:9" x14ac:dyDescent="0.25">
      <c r="A363" s="197">
        <f t="shared" si="10"/>
        <v>132</v>
      </c>
      <c r="B363" s="73"/>
      <c r="C363" s="73"/>
      <c r="D363" s="104"/>
      <c r="E363" s="122"/>
      <c r="F363" s="73" t="str">
        <f>IF(G363="KGS",IF(D363&lt;&gt;"",IFERROR(VLOOKUP(D363,ProductList!J:AO,12,FALSE),""),""),IF(D363&lt;&gt;"",IFERROR(VLOOKUP(D363,ProductList!J:AO,15,FALSE),""),""))</f>
        <v/>
      </c>
      <c r="G363" s="6"/>
      <c r="H363" s="75" t="str">
        <f>IF(G363="KGS",IF(D363&lt;&gt;"",IFERROR(ROUND(VLOOKUP(D363,ProductList!J:BG,46,FALSE),3),""),""),IF(D363&lt;&gt;"",IFERROR(ROUND(VLOOKUP(D363,ProductList!J:BG,45,FALSE),3),""),""))</f>
        <v/>
      </c>
      <c r="I363" s="75" t="str">
        <f t="shared" si="11"/>
        <v/>
      </c>
    </row>
    <row r="364" spans="1:9" x14ac:dyDescent="0.25">
      <c r="A364" s="197">
        <f t="shared" si="10"/>
        <v>132</v>
      </c>
      <c r="B364" s="73"/>
      <c r="C364" s="73"/>
      <c r="D364" s="104"/>
      <c r="E364" s="122"/>
      <c r="F364" s="73" t="str">
        <f>IF(G364="KGS",IF(D364&lt;&gt;"",IFERROR(VLOOKUP(D364,ProductList!J:AO,12,FALSE),""),""),IF(D364&lt;&gt;"",IFERROR(VLOOKUP(D364,ProductList!J:AO,15,FALSE),""),""))</f>
        <v/>
      </c>
      <c r="G364" s="6"/>
      <c r="H364" s="75" t="str">
        <f>IF(G364="KGS",IF(D364&lt;&gt;"",IFERROR(ROUND(VLOOKUP(D364,ProductList!J:BG,46,FALSE),3),""),""),IF(D364&lt;&gt;"",IFERROR(ROUND(VLOOKUP(D364,ProductList!J:BG,45,FALSE),3),""),""))</f>
        <v/>
      </c>
      <c r="I364" s="75" t="str">
        <f t="shared" si="11"/>
        <v/>
      </c>
    </row>
    <row r="365" spans="1:9" x14ac:dyDescent="0.25">
      <c r="A365" s="197">
        <f t="shared" si="10"/>
        <v>132</v>
      </c>
      <c r="B365" s="73"/>
      <c r="C365" s="73"/>
      <c r="D365" s="104"/>
      <c r="E365" s="122"/>
      <c r="F365" s="73" t="str">
        <f>IF(G365="KGS",IF(D365&lt;&gt;"",IFERROR(VLOOKUP(D365,ProductList!J:AO,12,FALSE),""),""),IF(D365&lt;&gt;"",IFERROR(VLOOKUP(D365,ProductList!J:AO,15,FALSE),""),""))</f>
        <v/>
      </c>
      <c r="G365" s="6"/>
      <c r="H365" s="75" t="str">
        <f>IF(G365="KGS",IF(D365&lt;&gt;"",IFERROR(ROUND(VLOOKUP(D365,ProductList!J:BG,46,FALSE),3),""),""),IF(D365&lt;&gt;"",IFERROR(ROUND(VLOOKUP(D365,ProductList!J:BG,45,FALSE),3),""),""))</f>
        <v/>
      </c>
      <c r="I365" s="75" t="str">
        <f t="shared" si="11"/>
        <v/>
      </c>
    </row>
    <row r="366" spans="1:9" x14ac:dyDescent="0.25">
      <c r="A366" s="197">
        <f t="shared" si="10"/>
        <v>132</v>
      </c>
      <c r="B366" s="73"/>
      <c r="C366" s="73"/>
      <c r="D366" s="104"/>
      <c r="E366" s="122"/>
      <c r="F366" s="73" t="str">
        <f>IF(G366="KGS",IF(D366&lt;&gt;"",IFERROR(VLOOKUP(D366,ProductList!J:AO,12,FALSE),""),""),IF(D366&lt;&gt;"",IFERROR(VLOOKUP(D366,ProductList!J:AO,15,FALSE),""),""))</f>
        <v/>
      </c>
      <c r="G366" s="6"/>
      <c r="H366" s="75" t="str">
        <f>IF(G366="KGS",IF(D366&lt;&gt;"",IFERROR(ROUND(VLOOKUP(D366,ProductList!J:BG,46,FALSE),3),""),""),IF(D366&lt;&gt;"",IFERROR(ROUND(VLOOKUP(D366,ProductList!J:BG,45,FALSE),3),""),""))</f>
        <v/>
      </c>
      <c r="I366" s="75" t="str">
        <f t="shared" si="11"/>
        <v/>
      </c>
    </row>
    <row r="367" spans="1:9" x14ac:dyDescent="0.25">
      <c r="A367" s="197">
        <f t="shared" si="10"/>
        <v>132</v>
      </c>
      <c r="B367" s="73"/>
      <c r="C367" s="73"/>
      <c r="D367" s="104"/>
      <c r="E367" s="122"/>
      <c r="F367" s="73" t="str">
        <f>IF(G367="KGS",IF(D367&lt;&gt;"",IFERROR(VLOOKUP(D367,ProductList!J:AO,12,FALSE),""),""),IF(D367&lt;&gt;"",IFERROR(VLOOKUP(D367,ProductList!J:AO,15,FALSE),""),""))</f>
        <v/>
      </c>
      <c r="G367" s="6"/>
      <c r="H367" s="75" t="str">
        <f>IF(G367="KGS",IF(D367&lt;&gt;"",IFERROR(ROUND(VLOOKUP(D367,ProductList!J:BG,46,FALSE),3),""),""),IF(D367&lt;&gt;"",IFERROR(ROUND(VLOOKUP(D367,ProductList!J:BG,45,FALSE),3),""),""))</f>
        <v/>
      </c>
      <c r="I367" s="75" t="str">
        <f t="shared" si="11"/>
        <v/>
      </c>
    </row>
    <row r="368" spans="1:9" x14ac:dyDescent="0.25">
      <c r="A368" s="197">
        <f t="shared" si="10"/>
        <v>132</v>
      </c>
      <c r="B368" s="73"/>
      <c r="C368" s="73"/>
      <c r="D368" s="104"/>
      <c r="E368" s="122"/>
      <c r="F368" s="73" t="str">
        <f>IF(G368="KGS",IF(D368&lt;&gt;"",IFERROR(VLOOKUP(D368,ProductList!J:AO,12,FALSE),""),""),IF(D368&lt;&gt;"",IFERROR(VLOOKUP(D368,ProductList!J:AO,15,FALSE),""),""))</f>
        <v/>
      </c>
      <c r="G368" s="6"/>
      <c r="H368" s="75" t="str">
        <f>IF(G368="KGS",IF(D368&lt;&gt;"",IFERROR(ROUND(VLOOKUP(D368,ProductList!J:BG,46,FALSE),3),""),""),IF(D368&lt;&gt;"",IFERROR(ROUND(VLOOKUP(D368,ProductList!J:BG,45,FALSE),3),""),""))</f>
        <v/>
      </c>
      <c r="I368" s="75" t="str">
        <f t="shared" si="11"/>
        <v/>
      </c>
    </row>
    <row r="369" spans="1:9" x14ac:dyDescent="0.25">
      <c r="A369" s="197">
        <f t="shared" si="10"/>
        <v>132</v>
      </c>
      <c r="B369" s="73"/>
      <c r="C369" s="73"/>
      <c r="D369" s="104"/>
      <c r="E369" s="122"/>
      <c r="F369" s="73" t="str">
        <f>IF(G369="KGS",IF(D369&lt;&gt;"",IFERROR(VLOOKUP(D369,ProductList!J:AO,12,FALSE),""),""),IF(D369&lt;&gt;"",IFERROR(VLOOKUP(D369,ProductList!J:AO,15,FALSE),""),""))</f>
        <v/>
      </c>
      <c r="G369" s="6"/>
      <c r="H369" s="75" t="str">
        <f>IF(G369="KGS",IF(D369&lt;&gt;"",IFERROR(ROUND(VLOOKUP(D369,ProductList!J:BG,46,FALSE),3),""),""),IF(D369&lt;&gt;"",IFERROR(ROUND(VLOOKUP(D369,ProductList!J:BG,45,FALSE),3),""),""))</f>
        <v/>
      </c>
      <c r="I369" s="75" t="str">
        <f t="shared" si="11"/>
        <v/>
      </c>
    </row>
    <row r="370" spans="1:9" x14ac:dyDescent="0.25">
      <c r="A370" s="197">
        <f t="shared" si="10"/>
        <v>132</v>
      </c>
      <c r="B370" s="73"/>
      <c r="C370" s="73"/>
      <c r="D370" s="104"/>
      <c r="E370" s="122"/>
      <c r="F370" s="73" t="str">
        <f>IF(G370="KGS",IF(D370&lt;&gt;"",IFERROR(VLOOKUP(D370,ProductList!J:AO,12,FALSE),""),""),IF(D370&lt;&gt;"",IFERROR(VLOOKUP(D370,ProductList!J:AO,15,FALSE),""),""))</f>
        <v/>
      </c>
      <c r="G370" s="6"/>
      <c r="H370" s="75" t="str">
        <f>IF(G370="KGS",IF(D370&lt;&gt;"",IFERROR(ROUND(VLOOKUP(D370,ProductList!J:BG,46,FALSE),3),""),""),IF(D370&lt;&gt;"",IFERROR(ROUND(VLOOKUP(D370,ProductList!J:BG,45,FALSE),3),""),""))</f>
        <v/>
      </c>
      <c r="I370" s="75" t="str">
        <f t="shared" si="11"/>
        <v/>
      </c>
    </row>
    <row r="371" spans="1:9" x14ac:dyDescent="0.25">
      <c r="A371" s="197">
        <f t="shared" si="10"/>
        <v>132</v>
      </c>
      <c r="B371" s="73"/>
      <c r="C371" s="73"/>
      <c r="D371" s="104"/>
      <c r="E371" s="122"/>
      <c r="F371" s="73" t="str">
        <f>IF(G371="KGS",IF(D371&lt;&gt;"",IFERROR(VLOOKUP(D371,ProductList!J:AO,12,FALSE),""),""),IF(D371&lt;&gt;"",IFERROR(VLOOKUP(D371,ProductList!J:AO,15,FALSE),""),""))</f>
        <v/>
      </c>
      <c r="G371" s="6"/>
      <c r="H371" s="75" t="str">
        <f>IF(G371="KGS",IF(D371&lt;&gt;"",IFERROR(ROUND(VLOOKUP(D371,ProductList!J:BG,46,FALSE),3),""),""),IF(D371&lt;&gt;"",IFERROR(ROUND(VLOOKUP(D371,ProductList!J:BG,45,FALSE),3),""),""))</f>
        <v/>
      </c>
      <c r="I371" s="75" t="str">
        <f t="shared" si="11"/>
        <v/>
      </c>
    </row>
    <row r="372" spans="1:9" x14ac:dyDescent="0.25">
      <c r="A372" s="197">
        <f t="shared" si="10"/>
        <v>132</v>
      </c>
      <c r="B372" s="73"/>
      <c r="C372" s="73"/>
      <c r="D372" s="104"/>
      <c r="E372" s="122"/>
      <c r="F372" s="73" t="str">
        <f>IF(G372="KGS",IF(D372&lt;&gt;"",IFERROR(VLOOKUP(D372,ProductList!J:AO,12,FALSE),""),""),IF(D372&lt;&gt;"",IFERROR(VLOOKUP(D372,ProductList!J:AO,15,FALSE),""),""))</f>
        <v/>
      </c>
      <c r="G372" s="6"/>
      <c r="H372" s="75" t="str">
        <f>IF(G372="KGS",IF(D372&lt;&gt;"",IFERROR(ROUND(VLOOKUP(D372,ProductList!J:BG,46,FALSE),3),""),""),IF(D372&lt;&gt;"",IFERROR(ROUND(VLOOKUP(D372,ProductList!J:BG,45,FALSE),3),""),""))</f>
        <v/>
      </c>
      <c r="I372" s="75" t="str">
        <f t="shared" si="11"/>
        <v/>
      </c>
    </row>
    <row r="373" spans="1:9" x14ac:dyDescent="0.25">
      <c r="A373" s="197">
        <f t="shared" si="10"/>
        <v>132</v>
      </c>
      <c r="B373" s="73"/>
      <c r="C373" s="73"/>
      <c r="D373" s="104"/>
      <c r="E373" s="122"/>
      <c r="F373" s="73" t="str">
        <f>IF(G373="KGS",IF(D373&lt;&gt;"",IFERROR(VLOOKUP(D373,ProductList!J:AO,12,FALSE),""),""),IF(D373&lt;&gt;"",IFERROR(VLOOKUP(D373,ProductList!J:AO,15,FALSE),""),""))</f>
        <v/>
      </c>
      <c r="G373" s="6"/>
      <c r="H373" s="75" t="str">
        <f>IF(G373="KGS",IF(D373&lt;&gt;"",IFERROR(ROUND(VLOOKUP(D373,ProductList!J:BG,46,FALSE),3),""),""),IF(D373&lt;&gt;"",IFERROR(ROUND(VLOOKUP(D373,ProductList!J:BG,45,FALSE),3),""),""))</f>
        <v/>
      </c>
      <c r="I373" s="75" t="str">
        <f t="shared" si="11"/>
        <v/>
      </c>
    </row>
    <row r="374" spans="1:9" x14ac:dyDescent="0.25">
      <c r="A374" s="197">
        <f t="shared" si="10"/>
        <v>132</v>
      </c>
      <c r="B374" s="73"/>
      <c r="C374" s="73"/>
      <c r="D374" s="104"/>
      <c r="E374" s="122"/>
      <c r="F374" s="73" t="str">
        <f>IF(G374="KGS",IF(D374&lt;&gt;"",IFERROR(VLOOKUP(D374,ProductList!J:AO,12,FALSE),""),""),IF(D374&lt;&gt;"",IFERROR(VLOOKUP(D374,ProductList!J:AO,15,FALSE),""),""))</f>
        <v/>
      </c>
      <c r="G374" s="6"/>
      <c r="H374" s="75" t="str">
        <f>IF(G374="KGS",IF(D374&lt;&gt;"",IFERROR(ROUND(VLOOKUP(D374,ProductList!J:BG,46,FALSE),3),""),""),IF(D374&lt;&gt;"",IFERROR(ROUND(VLOOKUP(D374,ProductList!J:BG,45,FALSE),3),""),""))</f>
        <v/>
      </c>
      <c r="I374" s="75" t="str">
        <f t="shared" si="11"/>
        <v/>
      </c>
    </row>
    <row r="375" spans="1:9" x14ac:dyDescent="0.25">
      <c r="A375" s="197">
        <f t="shared" si="10"/>
        <v>132</v>
      </c>
      <c r="B375" s="73"/>
      <c r="C375" s="73"/>
      <c r="D375" s="104"/>
      <c r="E375" s="122"/>
      <c r="F375" s="73" t="str">
        <f>IF(G375="KGS",IF(D375&lt;&gt;"",IFERROR(VLOOKUP(D375,ProductList!J:AO,12,FALSE),""),""),IF(D375&lt;&gt;"",IFERROR(VLOOKUP(D375,ProductList!J:AO,15,FALSE),""),""))</f>
        <v/>
      </c>
      <c r="G375" s="6"/>
      <c r="H375" s="75" t="str">
        <f>IF(G375="KGS",IF(D375&lt;&gt;"",IFERROR(ROUND(VLOOKUP(D375,ProductList!J:BG,46,FALSE),3),""),""),IF(D375&lt;&gt;"",IFERROR(ROUND(VLOOKUP(D375,ProductList!J:BG,45,FALSE),3),""),""))</f>
        <v/>
      </c>
      <c r="I375" s="75" t="str">
        <f t="shared" si="11"/>
        <v/>
      </c>
    </row>
    <row r="376" spans="1:9" x14ac:dyDescent="0.25">
      <c r="A376" s="197">
        <f t="shared" si="10"/>
        <v>132</v>
      </c>
      <c r="B376" s="73"/>
      <c r="C376" s="73"/>
      <c r="D376" s="104"/>
      <c r="E376" s="122"/>
      <c r="F376" s="73" t="str">
        <f>IF(G376="KGS",IF(D376&lt;&gt;"",IFERROR(VLOOKUP(D376,ProductList!J:AO,12,FALSE),""),""),IF(D376&lt;&gt;"",IFERROR(VLOOKUP(D376,ProductList!J:AO,15,FALSE),""),""))</f>
        <v/>
      </c>
      <c r="G376" s="6"/>
      <c r="H376" s="75" t="str">
        <f>IF(G376="KGS",IF(D376&lt;&gt;"",IFERROR(ROUND(VLOOKUP(D376,ProductList!J:BG,46,FALSE),3),""),""),IF(D376&lt;&gt;"",IFERROR(ROUND(VLOOKUP(D376,ProductList!J:BG,45,FALSE),3),""),""))</f>
        <v/>
      </c>
      <c r="I376" s="75" t="str">
        <f t="shared" si="11"/>
        <v/>
      </c>
    </row>
    <row r="377" spans="1:9" x14ac:dyDescent="0.25">
      <c r="A377" s="197">
        <f t="shared" si="10"/>
        <v>132</v>
      </c>
      <c r="B377" s="73"/>
      <c r="C377" s="73"/>
      <c r="D377" s="104"/>
      <c r="E377" s="122"/>
      <c r="F377" s="73" t="str">
        <f>IF(G377="KGS",IF(D377&lt;&gt;"",IFERROR(VLOOKUP(D377,ProductList!J:AO,12,FALSE),""),""),IF(D377&lt;&gt;"",IFERROR(VLOOKUP(D377,ProductList!J:AO,15,FALSE),""),""))</f>
        <v/>
      </c>
      <c r="G377" s="6"/>
      <c r="H377" s="75" t="str">
        <f>IF(G377="KGS",IF(D377&lt;&gt;"",IFERROR(ROUND(VLOOKUP(D377,ProductList!J:BG,46,FALSE),3),""),""),IF(D377&lt;&gt;"",IFERROR(ROUND(VLOOKUP(D377,ProductList!J:BG,45,FALSE),3),""),""))</f>
        <v/>
      </c>
      <c r="I377" s="75" t="str">
        <f t="shared" si="11"/>
        <v/>
      </c>
    </row>
    <row r="378" spans="1:9" x14ac:dyDescent="0.25">
      <c r="A378" s="197">
        <f t="shared" si="10"/>
        <v>132</v>
      </c>
      <c r="B378" s="73"/>
      <c r="C378" s="73"/>
      <c r="D378" s="104"/>
      <c r="E378" s="122"/>
      <c r="F378" s="73" t="str">
        <f>IF(G378="KGS",IF(D378&lt;&gt;"",IFERROR(VLOOKUP(D378,ProductList!J:AO,12,FALSE),""),""),IF(D378&lt;&gt;"",IFERROR(VLOOKUP(D378,ProductList!J:AO,15,FALSE),""),""))</f>
        <v/>
      </c>
      <c r="G378" s="6"/>
      <c r="H378" s="75" t="str">
        <f>IF(G378="KGS",IF(D378&lt;&gt;"",IFERROR(ROUND(VLOOKUP(D378,ProductList!J:BG,46,FALSE),3),""),""),IF(D378&lt;&gt;"",IFERROR(ROUND(VLOOKUP(D378,ProductList!J:BG,45,FALSE),3),""),""))</f>
        <v/>
      </c>
      <c r="I378" s="75" t="str">
        <f t="shared" si="11"/>
        <v/>
      </c>
    </row>
    <row r="379" spans="1:9" x14ac:dyDescent="0.25">
      <c r="A379" s="197">
        <f t="shared" si="10"/>
        <v>132</v>
      </c>
      <c r="B379" s="73"/>
      <c r="C379" s="73"/>
      <c r="D379" s="104"/>
      <c r="E379" s="122"/>
      <c r="F379" s="73" t="str">
        <f>IF(G379="KGS",IF(D379&lt;&gt;"",IFERROR(VLOOKUP(D379,ProductList!J:AO,12,FALSE),""),""),IF(D379&lt;&gt;"",IFERROR(VLOOKUP(D379,ProductList!J:AO,15,FALSE),""),""))</f>
        <v/>
      </c>
      <c r="G379" s="6"/>
      <c r="H379" s="75" t="str">
        <f>IF(G379="KGS",IF(D379&lt;&gt;"",IFERROR(ROUND(VLOOKUP(D379,ProductList!J:BG,46,FALSE),3),""),""),IF(D379&lt;&gt;"",IFERROR(ROUND(VLOOKUP(D379,ProductList!J:BG,45,FALSE),3),""),""))</f>
        <v/>
      </c>
      <c r="I379" s="75" t="str">
        <f t="shared" si="11"/>
        <v/>
      </c>
    </row>
    <row r="380" spans="1:9" x14ac:dyDescent="0.25">
      <c r="A380" s="197">
        <f t="shared" si="10"/>
        <v>132</v>
      </c>
      <c r="B380" s="73"/>
      <c r="C380" s="73"/>
      <c r="D380" s="104"/>
      <c r="E380" s="122"/>
      <c r="F380" s="73" t="str">
        <f>IF(G380="KGS",IF(D380&lt;&gt;"",IFERROR(VLOOKUP(D380,ProductList!J:AO,12,FALSE),""),""),IF(D380&lt;&gt;"",IFERROR(VLOOKUP(D380,ProductList!J:AO,15,FALSE),""),""))</f>
        <v/>
      </c>
      <c r="G380" s="6"/>
      <c r="H380" s="75" t="str">
        <f>IF(G380="KGS",IF(D380&lt;&gt;"",IFERROR(ROUND(VLOOKUP(D380,ProductList!J:BG,46,FALSE),3),""),""),IF(D380&lt;&gt;"",IFERROR(ROUND(VLOOKUP(D380,ProductList!J:BG,45,FALSE),3),""),""))</f>
        <v/>
      </c>
      <c r="I380" s="75" t="str">
        <f t="shared" si="11"/>
        <v/>
      </c>
    </row>
    <row r="381" spans="1:9" x14ac:dyDescent="0.25">
      <c r="A381" s="197">
        <f t="shared" si="10"/>
        <v>132</v>
      </c>
      <c r="B381" s="73"/>
      <c r="C381" s="73"/>
      <c r="D381" s="104"/>
      <c r="E381" s="122"/>
      <c r="F381" s="73" t="str">
        <f>IF(G381="KGS",IF(D381&lt;&gt;"",IFERROR(VLOOKUP(D381,ProductList!J:AO,12,FALSE),""),""),IF(D381&lt;&gt;"",IFERROR(VLOOKUP(D381,ProductList!J:AO,15,FALSE),""),""))</f>
        <v/>
      </c>
      <c r="G381" s="6"/>
      <c r="H381" s="75" t="str">
        <f>IF(G381="KGS",IF(D381&lt;&gt;"",IFERROR(ROUND(VLOOKUP(D381,ProductList!J:BG,46,FALSE),3),""),""),IF(D381&lt;&gt;"",IFERROR(ROUND(VLOOKUP(D381,ProductList!J:BG,45,FALSE),3),""),""))</f>
        <v/>
      </c>
      <c r="I381" s="75" t="str">
        <f t="shared" si="11"/>
        <v/>
      </c>
    </row>
    <row r="382" spans="1:9" x14ac:dyDescent="0.25">
      <c r="A382" s="197">
        <f t="shared" si="10"/>
        <v>132</v>
      </c>
      <c r="B382" s="73"/>
      <c r="C382" s="73"/>
      <c r="D382" s="104"/>
      <c r="E382" s="122"/>
      <c r="F382" s="73" t="str">
        <f>IF(G382="KGS",IF(D382&lt;&gt;"",IFERROR(VLOOKUP(D382,ProductList!J:AO,12,FALSE),""),""),IF(D382&lt;&gt;"",IFERROR(VLOOKUP(D382,ProductList!J:AO,15,FALSE),""),""))</f>
        <v/>
      </c>
      <c r="G382" s="6"/>
      <c r="H382" s="75" t="str">
        <f>IF(G382="KGS",IF(D382&lt;&gt;"",IFERROR(ROUND(VLOOKUP(D382,ProductList!J:BG,46,FALSE),3),""),""),IF(D382&lt;&gt;"",IFERROR(ROUND(VLOOKUP(D382,ProductList!J:BG,45,FALSE),3),""),""))</f>
        <v/>
      </c>
      <c r="I382" s="75" t="str">
        <f t="shared" si="11"/>
        <v/>
      </c>
    </row>
    <row r="383" spans="1:9" x14ac:dyDescent="0.25">
      <c r="A383" s="197">
        <f t="shared" si="10"/>
        <v>132</v>
      </c>
      <c r="B383" s="73"/>
      <c r="C383" s="73"/>
      <c r="D383" s="104"/>
      <c r="E383" s="122"/>
      <c r="F383" s="73" t="str">
        <f>IF(G383="KGS",IF(D383&lt;&gt;"",IFERROR(VLOOKUP(D383,ProductList!J:AO,12,FALSE),""),""),IF(D383&lt;&gt;"",IFERROR(VLOOKUP(D383,ProductList!J:AO,15,FALSE),""),""))</f>
        <v/>
      </c>
      <c r="G383" s="6"/>
      <c r="H383" s="75" t="str">
        <f>IF(G383="KGS",IF(D383&lt;&gt;"",IFERROR(ROUND(VLOOKUP(D383,ProductList!J:BG,46,FALSE),3),""),""),IF(D383&lt;&gt;"",IFERROR(ROUND(VLOOKUP(D383,ProductList!J:BG,45,FALSE),3),""),""))</f>
        <v/>
      </c>
      <c r="I383" s="75" t="str">
        <f t="shared" si="11"/>
        <v/>
      </c>
    </row>
    <row r="384" spans="1:9" x14ac:dyDescent="0.25">
      <c r="A384" s="197">
        <f t="shared" si="10"/>
        <v>132</v>
      </c>
      <c r="B384" s="73"/>
      <c r="C384" s="73"/>
      <c r="D384" s="104"/>
      <c r="E384" s="122"/>
      <c r="F384" s="73" t="str">
        <f>IF(G384="KGS",IF(D384&lt;&gt;"",IFERROR(VLOOKUP(D384,ProductList!J:AO,12,FALSE),""),""),IF(D384&lt;&gt;"",IFERROR(VLOOKUP(D384,ProductList!J:AO,15,FALSE),""),""))</f>
        <v/>
      </c>
      <c r="G384" s="6"/>
      <c r="H384" s="75" t="str">
        <f>IF(G384="KGS",IF(D384&lt;&gt;"",IFERROR(ROUND(VLOOKUP(D384,ProductList!J:BG,46,FALSE),3),""),""),IF(D384&lt;&gt;"",IFERROR(ROUND(VLOOKUP(D384,ProductList!J:BG,45,FALSE),3),""),""))</f>
        <v/>
      </c>
      <c r="I384" s="75" t="str">
        <f t="shared" si="11"/>
        <v/>
      </c>
    </row>
    <row r="385" spans="1:9" x14ac:dyDescent="0.25">
      <c r="A385" s="197">
        <f t="shared" si="10"/>
        <v>132</v>
      </c>
      <c r="B385" s="73"/>
      <c r="C385" s="73"/>
      <c r="D385" s="104"/>
      <c r="E385" s="122"/>
      <c r="F385" s="73" t="str">
        <f>IF(G385="KGS",IF(D385&lt;&gt;"",IFERROR(VLOOKUP(D385,ProductList!J:AO,12,FALSE),""),""),IF(D385&lt;&gt;"",IFERROR(VLOOKUP(D385,ProductList!J:AO,15,FALSE),""),""))</f>
        <v/>
      </c>
      <c r="G385" s="6"/>
      <c r="H385" s="75" t="str">
        <f>IF(G385="KGS",IF(D385&lt;&gt;"",IFERROR(ROUND(VLOOKUP(D385,ProductList!J:BG,46,FALSE),3),""),""),IF(D385&lt;&gt;"",IFERROR(ROUND(VLOOKUP(D385,ProductList!J:BG,45,FALSE),3),""),""))</f>
        <v/>
      </c>
      <c r="I385" s="75" t="str">
        <f t="shared" si="11"/>
        <v/>
      </c>
    </row>
    <row r="386" spans="1:9" x14ac:dyDescent="0.25">
      <c r="A386" s="197">
        <f t="shared" si="10"/>
        <v>132</v>
      </c>
      <c r="B386" s="73"/>
      <c r="C386" s="73"/>
      <c r="D386" s="104"/>
      <c r="E386" s="122"/>
      <c r="F386" s="73" t="str">
        <f>IF(G386="KGS",IF(D386&lt;&gt;"",IFERROR(VLOOKUP(D386,ProductList!J:AO,12,FALSE),""),""),IF(D386&lt;&gt;"",IFERROR(VLOOKUP(D386,ProductList!J:AO,15,FALSE),""),""))</f>
        <v/>
      </c>
      <c r="G386" s="6"/>
      <c r="H386" s="75" t="str">
        <f>IF(G386="KGS",IF(D386&lt;&gt;"",IFERROR(ROUND(VLOOKUP(D386,ProductList!J:BG,46,FALSE),3),""),""),IF(D386&lt;&gt;"",IFERROR(ROUND(VLOOKUP(D386,ProductList!J:BG,45,FALSE),3),""),""))</f>
        <v/>
      </c>
      <c r="I386" s="75" t="str">
        <f t="shared" si="11"/>
        <v/>
      </c>
    </row>
    <row r="387" spans="1:9" x14ac:dyDescent="0.25">
      <c r="A387" s="197">
        <f t="shared" si="10"/>
        <v>132</v>
      </c>
      <c r="B387" s="73"/>
      <c r="C387" s="73"/>
      <c r="D387" s="104"/>
      <c r="E387" s="122"/>
      <c r="F387" s="73" t="str">
        <f>IF(G387="KGS",IF(D387&lt;&gt;"",IFERROR(VLOOKUP(D387,ProductList!J:AO,12,FALSE),""),""),IF(D387&lt;&gt;"",IFERROR(VLOOKUP(D387,ProductList!J:AO,15,FALSE),""),""))</f>
        <v/>
      </c>
      <c r="G387" s="6"/>
      <c r="H387" s="75" t="str">
        <f>IF(G387="KGS",IF(D387&lt;&gt;"",IFERROR(ROUND(VLOOKUP(D387,ProductList!J:BG,46,FALSE),3),""),""),IF(D387&lt;&gt;"",IFERROR(ROUND(VLOOKUP(D387,ProductList!J:BG,45,FALSE),3),""),""))</f>
        <v/>
      </c>
      <c r="I387" s="75" t="str">
        <f t="shared" si="11"/>
        <v/>
      </c>
    </row>
    <row r="388" spans="1:9" x14ac:dyDescent="0.25">
      <c r="A388" s="197">
        <f t="shared" si="10"/>
        <v>132</v>
      </c>
      <c r="B388" s="73"/>
      <c r="C388" s="73"/>
      <c r="D388" s="104"/>
      <c r="E388" s="122"/>
      <c r="F388" s="73" t="str">
        <f>IF(G388="KGS",IF(D388&lt;&gt;"",IFERROR(VLOOKUP(D388,ProductList!J:AO,12,FALSE),""),""),IF(D388&lt;&gt;"",IFERROR(VLOOKUP(D388,ProductList!J:AO,15,FALSE),""),""))</f>
        <v/>
      </c>
      <c r="G388" s="6"/>
      <c r="H388" s="75" t="str">
        <f>IF(G388="KGS",IF(D388&lt;&gt;"",IFERROR(ROUND(VLOOKUP(D388,ProductList!J:BG,46,FALSE),3),""),""),IF(D388&lt;&gt;"",IFERROR(ROUND(VLOOKUP(D388,ProductList!J:BG,45,FALSE),3),""),""))</f>
        <v/>
      </c>
      <c r="I388" s="75" t="str">
        <f t="shared" si="11"/>
        <v/>
      </c>
    </row>
    <row r="389" spans="1:9" x14ac:dyDescent="0.25">
      <c r="A389" s="197">
        <f t="shared" ref="A389:A452" si="12">IF(AND(D389&lt;&gt;""),IF(A388&lt;&gt;"",A388,0)+1,A388)</f>
        <v>132</v>
      </c>
      <c r="B389" s="73"/>
      <c r="C389" s="73"/>
      <c r="D389" s="104"/>
      <c r="E389" s="122"/>
      <c r="F389" s="73" t="str">
        <f>IF(G389="KGS",IF(D389&lt;&gt;"",IFERROR(VLOOKUP(D389,ProductList!J:AO,12,FALSE),""),""),IF(D389&lt;&gt;"",IFERROR(VLOOKUP(D389,ProductList!J:AO,15,FALSE),""),""))</f>
        <v/>
      </c>
      <c r="G389" s="6"/>
      <c r="H389" s="75" t="str">
        <f>IF(G389="KGS",IF(D389&lt;&gt;"",IFERROR(ROUND(VLOOKUP(D389,ProductList!J:BG,46,FALSE),3),""),""),IF(D389&lt;&gt;"",IFERROR(ROUND(VLOOKUP(D389,ProductList!J:BG,45,FALSE),3),""),""))</f>
        <v/>
      </c>
      <c r="I389" s="75" t="str">
        <f t="shared" si="11"/>
        <v/>
      </c>
    </row>
    <row r="390" spans="1:9" x14ac:dyDescent="0.25">
      <c r="A390" s="197">
        <f t="shared" si="12"/>
        <v>132</v>
      </c>
      <c r="B390" s="73"/>
      <c r="C390" s="73"/>
      <c r="D390" s="104"/>
      <c r="E390" s="122"/>
      <c r="F390" s="73" t="str">
        <f>IF(G390="KGS",IF(D390&lt;&gt;"",IFERROR(VLOOKUP(D390,ProductList!J:AO,12,FALSE),""),""),IF(D390&lt;&gt;"",IFERROR(VLOOKUP(D390,ProductList!J:AO,15,FALSE),""),""))</f>
        <v/>
      </c>
      <c r="G390" s="6"/>
      <c r="H390" s="75" t="str">
        <f>IF(G390="KGS",IF(D390&lt;&gt;"",IFERROR(ROUND(VLOOKUP(D390,ProductList!J:BG,46,FALSE),3),""),""),IF(D390&lt;&gt;"",IFERROR(ROUND(VLOOKUP(D390,ProductList!J:BG,45,FALSE),3),""),""))</f>
        <v/>
      </c>
      <c r="I390" s="75" t="str">
        <f t="shared" ref="I390:I453" si="13">IF(AND(F390&lt;&gt;"",H390&lt;&gt;""),ROUND(F390*H390,2),"")</f>
        <v/>
      </c>
    </row>
    <row r="391" spans="1:9" x14ac:dyDescent="0.25">
      <c r="A391" s="197">
        <f t="shared" si="12"/>
        <v>132</v>
      </c>
      <c r="B391" s="73"/>
      <c r="C391" s="73"/>
      <c r="D391" s="104"/>
      <c r="E391" s="122"/>
      <c r="F391" s="73" t="str">
        <f>IF(G391="KGS",IF(D391&lt;&gt;"",IFERROR(VLOOKUP(D391,ProductList!J:AO,12,FALSE),""),""),IF(D391&lt;&gt;"",IFERROR(VLOOKUP(D391,ProductList!J:AO,15,FALSE),""),""))</f>
        <v/>
      </c>
      <c r="G391" s="6"/>
      <c r="H391" s="75" t="str">
        <f>IF(G391="KGS",IF(D391&lt;&gt;"",IFERROR(ROUND(VLOOKUP(D391,ProductList!J:BG,46,FALSE),3),""),""),IF(D391&lt;&gt;"",IFERROR(ROUND(VLOOKUP(D391,ProductList!J:BG,45,FALSE),3),""),""))</f>
        <v/>
      </c>
      <c r="I391" s="75" t="str">
        <f t="shared" si="13"/>
        <v/>
      </c>
    </row>
    <row r="392" spans="1:9" x14ac:dyDescent="0.25">
      <c r="A392" s="197">
        <f t="shared" si="12"/>
        <v>132</v>
      </c>
      <c r="B392" s="73"/>
      <c r="C392" s="73"/>
      <c r="D392" s="104"/>
      <c r="E392" s="122"/>
      <c r="F392" s="73" t="str">
        <f>IF(G392="KGS",IF(D392&lt;&gt;"",IFERROR(VLOOKUP(D392,ProductList!J:AO,12,FALSE),""),""),IF(D392&lt;&gt;"",IFERROR(VLOOKUP(D392,ProductList!J:AO,15,FALSE),""),""))</f>
        <v/>
      </c>
      <c r="G392" s="6"/>
      <c r="H392" s="75" t="str">
        <f>IF(G392="KGS",IF(D392&lt;&gt;"",IFERROR(ROUND(VLOOKUP(D392,ProductList!J:BG,46,FALSE),3),""),""),IF(D392&lt;&gt;"",IFERROR(ROUND(VLOOKUP(D392,ProductList!J:BG,45,FALSE),3),""),""))</f>
        <v/>
      </c>
      <c r="I392" s="75" t="str">
        <f t="shared" si="13"/>
        <v/>
      </c>
    </row>
    <row r="393" spans="1:9" x14ac:dyDescent="0.25">
      <c r="A393" s="197">
        <f t="shared" si="12"/>
        <v>132</v>
      </c>
      <c r="B393" s="73"/>
      <c r="C393" s="73"/>
      <c r="D393" s="104"/>
      <c r="E393" s="122"/>
      <c r="F393" s="73" t="str">
        <f>IF(G393="KGS",IF(D393&lt;&gt;"",IFERROR(VLOOKUP(D393,ProductList!J:AO,12,FALSE),""),""),IF(D393&lt;&gt;"",IFERROR(VLOOKUP(D393,ProductList!J:AO,15,FALSE),""),""))</f>
        <v/>
      </c>
      <c r="G393" s="6"/>
      <c r="H393" s="75" t="str">
        <f>IF(G393="KGS",IF(D393&lt;&gt;"",IFERROR(ROUND(VLOOKUP(D393,ProductList!J:BG,46,FALSE),3),""),""),IF(D393&lt;&gt;"",IFERROR(ROUND(VLOOKUP(D393,ProductList!J:BG,45,FALSE),3),""),""))</f>
        <v/>
      </c>
      <c r="I393" s="75" t="str">
        <f t="shared" si="13"/>
        <v/>
      </c>
    </row>
    <row r="394" spans="1:9" x14ac:dyDescent="0.25">
      <c r="A394" s="197">
        <f t="shared" si="12"/>
        <v>132</v>
      </c>
      <c r="B394" s="73"/>
      <c r="C394" s="73"/>
      <c r="D394" s="104"/>
      <c r="E394" s="122"/>
      <c r="F394" s="73" t="str">
        <f>IF(G394="KGS",IF(D394&lt;&gt;"",IFERROR(VLOOKUP(D394,ProductList!J:AO,12,FALSE),""),""),IF(D394&lt;&gt;"",IFERROR(VLOOKUP(D394,ProductList!J:AO,15,FALSE),""),""))</f>
        <v/>
      </c>
      <c r="G394" s="6"/>
      <c r="H394" s="75" t="str">
        <f>IF(G394="KGS",IF(D394&lt;&gt;"",IFERROR(ROUND(VLOOKUP(D394,ProductList!J:BG,46,FALSE),3),""),""),IF(D394&lt;&gt;"",IFERROR(ROUND(VLOOKUP(D394,ProductList!J:BG,45,FALSE),3),""),""))</f>
        <v/>
      </c>
      <c r="I394" s="75" t="str">
        <f t="shared" si="13"/>
        <v/>
      </c>
    </row>
    <row r="395" spans="1:9" x14ac:dyDescent="0.25">
      <c r="A395" s="197">
        <f t="shared" si="12"/>
        <v>132</v>
      </c>
      <c r="B395" s="73"/>
      <c r="C395" s="73"/>
      <c r="D395" s="104"/>
      <c r="E395" s="122"/>
      <c r="F395" s="73" t="str">
        <f>IF(G395="KGS",IF(D395&lt;&gt;"",IFERROR(VLOOKUP(D395,ProductList!J:AO,12,FALSE),""),""),IF(D395&lt;&gt;"",IFERROR(VLOOKUP(D395,ProductList!J:AO,15,FALSE),""),""))</f>
        <v/>
      </c>
      <c r="G395" s="6"/>
      <c r="H395" s="75" t="str">
        <f>IF(G395="KGS",IF(D395&lt;&gt;"",IFERROR(ROUND(VLOOKUP(D395,ProductList!J:BG,46,FALSE),3),""),""),IF(D395&lt;&gt;"",IFERROR(ROUND(VLOOKUP(D395,ProductList!J:BG,45,FALSE),3),""),""))</f>
        <v/>
      </c>
      <c r="I395" s="75" t="str">
        <f t="shared" si="13"/>
        <v/>
      </c>
    </row>
    <row r="396" spans="1:9" x14ac:dyDescent="0.25">
      <c r="A396" s="197">
        <f t="shared" si="12"/>
        <v>132</v>
      </c>
      <c r="B396" s="73"/>
      <c r="C396" s="73"/>
      <c r="D396" s="104"/>
      <c r="E396" s="122"/>
      <c r="F396" s="73" t="str">
        <f>IF(G396="KGS",IF(D396&lt;&gt;"",IFERROR(VLOOKUP(D396,ProductList!J:AO,12,FALSE),""),""),IF(D396&lt;&gt;"",IFERROR(VLOOKUP(D396,ProductList!J:AO,15,FALSE),""),""))</f>
        <v/>
      </c>
      <c r="G396" s="6"/>
      <c r="H396" s="75" t="str">
        <f>IF(G396="KGS",IF(D396&lt;&gt;"",IFERROR(ROUND(VLOOKUP(D396,ProductList!J:BG,46,FALSE),3),""),""),IF(D396&lt;&gt;"",IFERROR(ROUND(VLOOKUP(D396,ProductList!J:BG,45,FALSE),3),""),""))</f>
        <v/>
      </c>
      <c r="I396" s="75" t="str">
        <f t="shared" si="13"/>
        <v/>
      </c>
    </row>
    <row r="397" spans="1:9" x14ac:dyDescent="0.25">
      <c r="A397" s="197">
        <f t="shared" si="12"/>
        <v>132</v>
      </c>
      <c r="B397" s="73"/>
      <c r="C397" s="73"/>
      <c r="D397" s="104"/>
      <c r="E397" s="122"/>
      <c r="F397" s="73" t="str">
        <f>IF(G397="KGS",IF(D397&lt;&gt;"",IFERROR(VLOOKUP(D397,ProductList!J:AO,12,FALSE),""),""),IF(D397&lt;&gt;"",IFERROR(VLOOKUP(D397,ProductList!J:AO,15,FALSE),""),""))</f>
        <v/>
      </c>
      <c r="G397" s="6"/>
      <c r="H397" s="75" t="str">
        <f>IF(G397="KGS",IF(D397&lt;&gt;"",IFERROR(ROUND(VLOOKUP(D397,ProductList!J:BG,46,FALSE),3),""),""),IF(D397&lt;&gt;"",IFERROR(ROUND(VLOOKUP(D397,ProductList!J:BG,45,FALSE),3),""),""))</f>
        <v/>
      </c>
      <c r="I397" s="75" t="str">
        <f t="shared" si="13"/>
        <v/>
      </c>
    </row>
    <row r="398" spans="1:9" x14ac:dyDescent="0.25">
      <c r="A398" s="197">
        <f t="shared" si="12"/>
        <v>132</v>
      </c>
      <c r="B398" s="73"/>
      <c r="C398" s="73"/>
      <c r="D398" s="104"/>
      <c r="E398" s="122"/>
      <c r="F398" s="73" t="str">
        <f>IF(G398="KGS",IF(D398&lt;&gt;"",IFERROR(VLOOKUP(D398,ProductList!J:AO,12,FALSE),""),""),IF(D398&lt;&gt;"",IFERROR(VLOOKUP(D398,ProductList!J:AO,15,FALSE),""),""))</f>
        <v/>
      </c>
      <c r="G398" s="6"/>
      <c r="H398" s="75" t="str">
        <f>IF(G398="KGS",IF(D398&lt;&gt;"",IFERROR(ROUND(VLOOKUP(D398,ProductList!J:BG,46,FALSE),3),""),""),IF(D398&lt;&gt;"",IFERROR(ROUND(VLOOKUP(D398,ProductList!J:BG,45,FALSE),3),""),""))</f>
        <v/>
      </c>
      <c r="I398" s="75" t="str">
        <f t="shared" si="13"/>
        <v/>
      </c>
    </row>
    <row r="399" spans="1:9" x14ac:dyDescent="0.25">
      <c r="A399" s="197">
        <f t="shared" si="12"/>
        <v>132</v>
      </c>
      <c r="B399" s="73"/>
      <c r="C399" s="73"/>
      <c r="D399" s="104"/>
      <c r="E399" s="122"/>
      <c r="F399" s="73" t="str">
        <f>IF(G399="KGS",IF(D399&lt;&gt;"",IFERROR(VLOOKUP(D399,ProductList!J:AO,12,FALSE),""),""),IF(D399&lt;&gt;"",IFERROR(VLOOKUP(D399,ProductList!J:AO,15,FALSE),""),""))</f>
        <v/>
      </c>
      <c r="G399" s="6"/>
      <c r="H399" s="75" t="str">
        <f>IF(G399="KGS",IF(D399&lt;&gt;"",IFERROR(ROUND(VLOOKUP(D399,ProductList!J:BG,46,FALSE),3),""),""),IF(D399&lt;&gt;"",IFERROR(ROUND(VLOOKUP(D399,ProductList!J:BG,45,FALSE),3),""),""))</f>
        <v/>
      </c>
      <c r="I399" s="75" t="str">
        <f t="shared" si="13"/>
        <v/>
      </c>
    </row>
    <row r="400" spans="1:9" x14ac:dyDescent="0.25">
      <c r="A400" s="197">
        <f t="shared" si="12"/>
        <v>132</v>
      </c>
      <c r="B400" s="73"/>
      <c r="C400" s="73"/>
      <c r="D400" s="104"/>
      <c r="E400" s="122"/>
      <c r="F400" s="73" t="str">
        <f>IF(G400="KGS",IF(D400&lt;&gt;"",IFERROR(VLOOKUP(D400,ProductList!J:AO,12,FALSE),""),""),IF(D400&lt;&gt;"",IFERROR(VLOOKUP(D400,ProductList!J:AO,15,FALSE),""),""))</f>
        <v/>
      </c>
      <c r="G400" s="6"/>
      <c r="H400" s="75" t="str">
        <f>IF(G400="KGS",IF(D400&lt;&gt;"",IFERROR(ROUND(VLOOKUP(D400,ProductList!J:BG,46,FALSE),3),""),""),IF(D400&lt;&gt;"",IFERROR(ROUND(VLOOKUP(D400,ProductList!J:BG,45,FALSE),3),""),""))</f>
        <v/>
      </c>
      <c r="I400" s="75" t="str">
        <f t="shared" si="13"/>
        <v/>
      </c>
    </row>
    <row r="401" spans="1:9" x14ac:dyDescent="0.25">
      <c r="A401" s="197">
        <f t="shared" si="12"/>
        <v>132</v>
      </c>
      <c r="B401" s="73"/>
      <c r="C401" s="73"/>
      <c r="D401" s="104"/>
      <c r="E401" s="122"/>
      <c r="F401" s="73" t="str">
        <f>IF(G401="KGS",IF(D401&lt;&gt;"",IFERROR(VLOOKUP(D401,ProductList!J:AO,12,FALSE),""),""),IF(D401&lt;&gt;"",IFERROR(VLOOKUP(D401,ProductList!J:AO,15,FALSE),""),""))</f>
        <v/>
      </c>
      <c r="G401" s="6"/>
      <c r="H401" s="75" t="str">
        <f>IF(G401="KGS",IF(D401&lt;&gt;"",IFERROR(ROUND(VLOOKUP(D401,ProductList!J:BG,46,FALSE),3),""),""),IF(D401&lt;&gt;"",IFERROR(ROUND(VLOOKUP(D401,ProductList!J:BG,45,FALSE),3),""),""))</f>
        <v/>
      </c>
      <c r="I401" s="75" t="str">
        <f t="shared" si="13"/>
        <v/>
      </c>
    </row>
    <row r="402" spans="1:9" x14ac:dyDescent="0.25">
      <c r="A402" s="197">
        <f t="shared" si="12"/>
        <v>132</v>
      </c>
      <c r="B402" s="73"/>
      <c r="C402" s="73"/>
      <c r="D402" s="104"/>
      <c r="E402" s="122"/>
      <c r="F402" s="73" t="str">
        <f>IF(G402="KGS",IF(D402&lt;&gt;"",IFERROR(VLOOKUP(D402,ProductList!J:AO,12,FALSE),""),""),IF(D402&lt;&gt;"",IFERROR(VLOOKUP(D402,ProductList!J:AO,15,FALSE),""),""))</f>
        <v/>
      </c>
      <c r="G402" s="6"/>
      <c r="H402" s="75" t="str">
        <f>IF(G402="KGS",IF(D402&lt;&gt;"",IFERROR(ROUND(VLOOKUP(D402,ProductList!J:BG,46,FALSE),3),""),""),IF(D402&lt;&gt;"",IFERROR(ROUND(VLOOKUP(D402,ProductList!J:BG,45,FALSE),3),""),""))</f>
        <v/>
      </c>
      <c r="I402" s="75" t="str">
        <f t="shared" si="13"/>
        <v/>
      </c>
    </row>
    <row r="403" spans="1:9" x14ac:dyDescent="0.25">
      <c r="A403" s="197">
        <f t="shared" si="12"/>
        <v>132</v>
      </c>
      <c r="B403" s="73"/>
      <c r="C403" s="73"/>
      <c r="D403" s="104"/>
      <c r="E403" s="122"/>
      <c r="F403" s="73" t="str">
        <f>IF(G403="KGS",IF(D403&lt;&gt;"",IFERROR(VLOOKUP(D403,ProductList!J:AO,12,FALSE),""),""),IF(D403&lt;&gt;"",IFERROR(VLOOKUP(D403,ProductList!J:AO,15,FALSE),""),""))</f>
        <v/>
      </c>
      <c r="G403" s="6"/>
      <c r="H403" s="75" t="str">
        <f>IF(G403="KGS",IF(D403&lt;&gt;"",IFERROR(ROUND(VLOOKUP(D403,ProductList!J:BG,46,FALSE),3),""),""),IF(D403&lt;&gt;"",IFERROR(ROUND(VLOOKUP(D403,ProductList!J:BG,45,FALSE),3),""),""))</f>
        <v/>
      </c>
      <c r="I403" s="75" t="str">
        <f t="shared" si="13"/>
        <v/>
      </c>
    </row>
    <row r="404" spans="1:9" x14ac:dyDescent="0.25">
      <c r="A404" s="197">
        <f t="shared" si="12"/>
        <v>132</v>
      </c>
      <c r="B404" s="73"/>
      <c r="C404" s="73"/>
      <c r="D404" s="104"/>
      <c r="E404" s="122"/>
      <c r="F404" s="73" t="str">
        <f>IF(G404="KGS",IF(D404&lt;&gt;"",IFERROR(VLOOKUP(D404,ProductList!J:AO,12,FALSE),""),""),IF(D404&lt;&gt;"",IFERROR(VLOOKUP(D404,ProductList!J:AO,15,FALSE),""),""))</f>
        <v/>
      </c>
      <c r="G404" s="6"/>
      <c r="H404" s="75" t="str">
        <f>IF(G404="KGS",IF(D404&lt;&gt;"",IFERROR(ROUND(VLOOKUP(D404,ProductList!J:BG,46,FALSE),3),""),""),IF(D404&lt;&gt;"",IFERROR(ROUND(VLOOKUP(D404,ProductList!J:BG,45,FALSE),3),""),""))</f>
        <v/>
      </c>
      <c r="I404" s="75" t="str">
        <f t="shared" si="13"/>
        <v/>
      </c>
    </row>
    <row r="405" spans="1:9" x14ac:dyDescent="0.25">
      <c r="A405" s="197">
        <f t="shared" si="12"/>
        <v>132</v>
      </c>
      <c r="B405" s="73"/>
      <c r="C405" s="73"/>
      <c r="D405" s="104"/>
      <c r="E405" s="122"/>
      <c r="F405" s="73" t="str">
        <f>IF(G405="KGS",IF(D405&lt;&gt;"",IFERROR(VLOOKUP(D405,ProductList!J:AO,12,FALSE),""),""),IF(D405&lt;&gt;"",IFERROR(VLOOKUP(D405,ProductList!J:AO,15,FALSE),""),""))</f>
        <v/>
      </c>
      <c r="G405" s="6"/>
      <c r="H405" s="75" t="str">
        <f>IF(G405="KGS",IF(D405&lt;&gt;"",IFERROR(ROUND(VLOOKUP(D405,ProductList!J:BG,46,FALSE),3),""),""),IF(D405&lt;&gt;"",IFERROR(ROUND(VLOOKUP(D405,ProductList!J:BG,45,FALSE),3),""),""))</f>
        <v/>
      </c>
      <c r="I405" s="75" t="str">
        <f t="shared" si="13"/>
        <v/>
      </c>
    </row>
    <row r="406" spans="1:9" x14ac:dyDescent="0.25">
      <c r="A406" s="197">
        <f t="shared" si="12"/>
        <v>132</v>
      </c>
      <c r="B406" s="73"/>
      <c r="C406" s="73"/>
      <c r="D406" s="104"/>
      <c r="E406" s="122"/>
      <c r="F406" s="73" t="str">
        <f>IF(G406="KGS",IF(D406&lt;&gt;"",IFERROR(VLOOKUP(D406,ProductList!J:AO,12,FALSE),""),""),IF(D406&lt;&gt;"",IFERROR(VLOOKUP(D406,ProductList!J:AO,15,FALSE),""),""))</f>
        <v/>
      </c>
      <c r="G406" s="6"/>
      <c r="H406" s="75" t="str">
        <f>IF(G406="KGS",IF(D406&lt;&gt;"",IFERROR(ROUND(VLOOKUP(D406,ProductList!J:BG,46,FALSE),3),""),""),IF(D406&lt;&gt;"",IFERROR(ROUND(VLOOKUP(D406,ProductList!J:BG,45,FALSE),3),""),""))</f>
        <v/>
      </c>
      <c r="I406" s="75" t="str">
        <f t="shared" si="13"/>
        <v/>
      </c>
    </row>
    <row r="407" spans="1:9" x14ac:dyDescent="0.25">
      <c r="A407" s="197">
        <f t="shared" si="12"/>
        <v>132</v>
      </c>
      <c r="B407" s="73"/>
      <c r="C407" s="73"/>
      <c r="D407" s="104"/>
      <c r="E407" s="122"/>
      <c r="F407" s="73" t="str">
        <f>IF(G407="KGS",IF(D407&lt;&gt;"",IFERROR(VLOOKUP(D407,ProductList!J:AO,12,FALSE),""),""),IF(D407&lt;&gt;"",IFERROR(VLOOKUP(D407,ProductList!J:AO,15,FALSE),""),""))</f>
        <v/>
      </c>
      <c r="G407" s="6"/>
      <c r="H407" s="75" t="str">
        <f>IF(G407="KGS",IF(D407&lt;&gt;"",IFERROR(ROUND(VLOOKUP(D407,ProductList!J:BG,46,FALSE),3),""),""),IF(D407&lt;&gt;"",IFERROR(ROUND(VLOOKUP(D407,ProductList!J:BG,45,FALSE),3),""),""))</f>
        <v/>
      </c>
      <c r="I407" s="75" t="str">
        <f t="shared" si="13"/>
        <v/>
      </c>
    </row>
    <row r="408" spans="1:9" x14ac:dyDescent="0.25">
      <c r="A408" s="197">
        <f t="shared" si="12"/>
        <v>132</v>
      </c>
      <c r="B408" s="73"/>
      <c r="C408" s="73"/>
      <c r="D408" s="104"/>
      <c r="E408" s="122"/>
      <c r="F408" s="73" t="str">
        <f>IF(G408="KGS",IF(D408&lt;&gt;"",IFERROR(VLOOKUP(D408,ProductList!J:AO,12,FALSE),""),""),IF(D408&lt;&gt;"",IFERROR(VLOOKUP(D408,ProductList!J:AO,15,FALSE),""),""))</f>
        <v/>
      </c>
      <c r="G408" s="6"/>
      <c r="H408" s="75" t="str">
        <f>IF(G408="KGS",IF(D408&lt;&gt;"",IFERROR(ROUND(VLOOKUP(D408,ProductList!J:BG,46,FALSE),3),""),""),IF(D408&lt;&gt;"",IFERROR(ROUND(VLOOKUP(D408,ProductList!J:BG,45,FALSE),3),""),""))</f>
        <v/>
      </c>
      <c r="I408" s="75" t="str">
        <f t="shared" si="13"/>
        <v/>
      </c>
    </row>
    <row r="409" spans="1:9" x14ac:dyDescent="0.25">
      <c r="A409" s="197">
        <f t="shared" si="12"/>
        <v>132</v>
      </c>
      <c r="B409" s="73"/>
      <c r="C409" s="73"/>
      <c r="D409" s="104"/>
      <c r="E409" s="122"/>
      <c r="F409" s="73" t="str">
        <f>IF(G409="KGS",IF(D409&lt;&gt;"",IFERROR(VLOOKUP(D409,ProductList!J:AO,12,FALSE),""),""),IF(D409&lt;&gt;"",IFERROR(VLOOKUP(D409,ProductList!J:AO,15,FALSE),""),""))</f>
        <v/>
      </c>
      <c r="G409" s="6"/>
      <c r="H409" s="75" t="str">
        <f>IF(G409="KGS",IF(D409&lt;&gt;"",IFERROR(ROUND(VLOOKUP(D409,ProductList!J:BG,46,FALSE),3),""),""),IF(D409&lt;&gt;"",IFERROR(ROUND(VLOOKUP(D409,ProductList!J:BG,45,FALSE),3),""),""))</f>
        <v/>
      </c>
      <c r="I409" s="75" t="str">
        <f t="shared" si="13"/>
        <v/>
      </c>
    </row>
    <row r="410" spans="1:9" x14ac:dyDescent="0.25">
      <c r="A410" s="197">
        <f t="shared" si="12"/>
        <v>132</v>
      </c>
      <c r="B410" s="73"/>
      <c r="C410" s="73"/>
      <c r="D410" s="104"/>
      <c r="E410" s="122"/>
      <c r="F410" s="73" t="str">
        <f>IF(G410="KGS",IF(D410&lt;&gt;"",IFERROR(VLOOKUP(D410,ProductList!J:AO,12,FALSE),""),""),IF(D410&lt;&gt;"",IFERROR(VLOOKUP(D410,ProductList!J:AO,15,FALSE),""),""))</f>
        <v/>
      </c>
      <c r="G410" s="6"/>
      <c r="H410" s="75" t="str">
        <f>IF(G410="KGS",IF(D410&lt;&gt;"",IFERROR(ROUND(VLOOKUP(D410,ProductList!J:BG,46,FALSE),3),""),""),IF(D410&lt;&gt;"",IFERROR(ROUND(VLOOKUP(D410,ProductList!J:BG,45,FALSE),3),""),""))</f>
        <v/>
      </c>
      <c r="I410" s="75" t="str">
        <f t="shared" si="13"/>
        <v/>
      </c>
    </row>
    <row r="411" spans="1:9" x14ac:dyDescent="0.25">
      <c r="A411" s="197">
        <f t="shared" si="12"/>
        <v>132</v>
      </c>
      <c r="B411" s="73"/>
      <c r="C411" s="73"/>
      <c r="D411" s="104"/>
      <c r="E411" s="122"/>
      <c r="F411" s="73" t="str">
        <f>IF(G411="KGS",IF(D411&lt;&gt;"",IFERROR(VLOOKUP(D411,ProductList!J:AO,12,FALSE),""),""),IF(D411&lt;&gt;"",IFERROR(VLOOKUP(D411,ProductList!J:AO,15,FALSE),""),""))</f>
        <v/>
      </c>
      <c r="G411" s="6"/>
      <c r="H411" s="75" t="str">
        <f>IF(G411="KGS",IF(D411&lt;&gt;"",IFERROR(ROUND(VLOOKUP(D411,ProductList!J:BG,46,FALSE),3),""),""),IF(D411&lt;&gt;"",IFERROR(ROUND(VLOOKUP(D411,ProductList!J:BG,45,FALSE),3),""),""))</f>
        <v/>
      </c>
      <c r="I411" s="75" t="str">
        <f t="shared" si="13"/>
        <v/>
      </c>
    </row>
    <row r="412" spans="1:9" x14ac:dyDescent="0.25">
      <c r="A412" s="197">
        <f t="shared" si="12"/>
        <v>132</v>
      </c>
      <c r="B412" s="73"/>
      <c r="C412" s="73"/>
      <c r="D412" s="104"/>
      <c r="E412" s="122"/>
      <c r="F412" s="73" t="str">
        <f>IF(G412="KGS",IF(D412&lt;&gt;"",IFERROR(VLOOKUP(D412,ProductList!J:AO,12,FALSE),""),""),IF(D412&lt;&gt;"",IFERROR(VLOOKUP(D412,ProductList!J:AO,15,FALSE),""),""))</f>
        <v/>
      </c>
      <c r="G412" s="6"/>
      <c r="H412" s="75" t="str">
        <f>IF(G412="KGS",IF(D412&lt;&gt;"",IFERROR(ROUND(VLOOKUP(D412,ProductList!J:BG,46,FALSE),3),""),""),IF(D412&lt;&gt;"",IFERROR(ROUND(VLOOKUP(D412,ProductList!J:BG,45,FALSE),3),""),""))</f>
        <v/>
      </c>
      <c r="I412" s="75" t="str">
        <f t="shared" si="13"/>
        <v/>
      </c>
    </row>
    <row r="413" spans="1:9" x14ac:dyDescent="0.25">
      <c r="A413" s="197">
        <f t="shared" si="12"/>
        <v>132</v>
      </c>
      <c r="B413" s="73"/>
      <c r="C413" s="73"/>
      <c r="D413" s="104"/>
      <c r="E413" s="122"/>
      <c r="F413" s="73" t="str">
        <f>IF(G413="KGS",IF(D413&lt;&gt;"",IFERROR(VLOOKUP(D413,ProductList!J:AO,12,FALSE),""),""),IF(D413&lt;&gt;"",IFERROR(VLOOKUP(D413,ProductList!J:AO,15,FALSE),""),""))</f>
        <v/>
      </c>
      <c r="G413" s="6"/>
      <c r="H413" s="75" t="str">
        <f>IF(G413="KGS",IF(D413&lt;&gt;"",IFERROR(ROUND(VLOOKUP(D413,ProductList!J:BG,46,FALSE),3),""),""),IF(D413&lt;&gt;"",IFERROR(ROUND(VLOOKUP(D413,ProductList!J:BG,45,FALSE),3),""),""))</f>
        <v/>
      </c>
      <c r="I413" s="75" t="str">
        <f t="shared" si="13"/>
        <v/>
      </c>
    </row>
    <row r="414" spans="1:9" x14ac:dyDescent="0.25">
      <c r="A414" s="197">
        <f t="shared" si="12"/>
        <v>132</v>
      </c>
      <c r="B414" s="73"/>
      <c r="C414" s="73"/>
      <c r="D414" s="104"/>
      <c r="E414" s="122"/>
      <c r="F414" s="73" t="str">
        <f>IF(G414="KGS",IF(D414&lt;&gt;"",IFERROR(VLOOKUP(D414,ProductList!J:AO,12,FALSE),""),""),IF(D414&lt;&gt;"",IFERROR(VLOOKUP(D414,ProductList!J:AO,15,FALSE),""),""))</f>
        <v/>
      </c>
      <c r="G414" s="6"/>
      <c r="H414" s="75" t="str">
        <f>IF(G414="KGS",IF(D414&lt;&gt;"",IFERROR(ROUND(VLOOKUP(D414,ProductList!J:BG,46,FALSE),3),""),""),IF(D414&lt;&gt;"",IFERROR(ROUND(VLOOKUP(D414,ProductList!J:BG,45,FALSE),3),""),""))</f>
        <v/>
      </c>
      <c r="I414" s="75" t="str">
        <f t="shared" si="13"/>
        <v/>
      </c>
    </row>
    <row r="415" spans="1:9" x14ac:dyDescent="0.25">
      <c r="A415" s="197">
        <f t="shared" si="12"/>
        <v>132</v>
      </c>
      <c r="B415" s="73"/>
      <c r="C415" s="73"/>
      <c r="D415" s="104"/>
      <c r="E415" s="122"/>
      <c r="F415" s="73" t="str">
        <f>IF(G415="KGS",IF(D415&lt;&gt;"",IFERROR(VLOOKUP(D415,ProductList!J:AO,12,FALSE),""),""),IF(D415&lt;&gt;"",IFERROR(VLOOKUP(D415,ProductList!J:AO,15,FALSE),""),""))</f>
        <v/>
      </c>
      <c r="G415" s="6"/>
      <c r="H415" s="75" t="str">
        <f>IF(G415="KGS",IF(D415&lt;&gt;"",IFERROR(ROUND(VLOOKUP(D415,ProductList!J:BG,46,FALSE),3),""),""),IF(D415&lt;&gt;"",IFERROR(ROUND(VLOOKUP(D415,ProductList!J:BG,45,FALSE),3),""),""))</f>
        <v/>
      </c>
      <c r="I415" s="75" t="str">
        <f t="shared" si="13"/>
        <v/>
      </c>
    </row>
    <row r="416" spans="1:9" x14ac:dyDescent="0.25">
      <c r="A416" s="197">
        <f t="shared" si="12"/>
        <v>132</v>
      </c>
      <c r="B416" s="73"/>
      <c r="C416" s="73"/>
      <c r="D416" s="104"/>
      <c r="E416" s="122"/>
      <c r="F416" s="73" t="str">
        <f>IF(G416="KGS",IF(D416&lt;&gt;"",IFERROR(VLOOKUP(D416,ProductList!J:AO,12,FALSE),""),""),IF(D416&lt;&gt;"",IFERROR(VLOOKUP(D416,ProductList!J:AO,15,FALSE),""),""))</f>
        <v/>
      </c>
      <c r="G416" s="6"/>
      <c r="H416" s="75" t="str">
        <f>IF(G416="KGS",IF(D416&lt;&gt;"",IFERROR(ROUND(VLOOKUP(D416,ProductList!J:BG,46,FALSE),3),""),""),IF(D416&lt;&gt;"",IFERROR(ROUND(VLOOKUP(D416,ProductList!J:BG,45,FALSE),3),""),""))</f>
        <v/>
      </c>
      <c r="I416" s="75" t="str">
        <f t="shared" si="13"/>
        <v/>
      </c>
    </row>
    <row r="417" spans="1:9" x14ac:dyDescent="0.25">
      <c r="A417" s="197">
        <f t="shared" si="12"/>
        <v>132</v>
      </c>
      <c r="B417" s="73"/>
      <c r="C417" s="73"/>
      <c r="D417" s="104"/>
      <c r="E417" s="122"/>
      <c r="F417" s="73" t="str">
        <f>IF(G417="KGS",IF(D417&lt;&gt;"",IFERROR(VLOOKUP(D417,ProductList!J:AO,12,FALSE),""),""),IF(D417&lt;&gt;"",IFERROR(VLOOKUP(D417,ProductList!J:AO,15,FALSE),""),""))</f>
        <v/>
      </c>
      <c r="G417" s="6"/>
      <c r="H417" s="75" t="str">
        <f>IF(G417="KGS",IF(D417&lt;&gt;"",IFERROR(ROUND(VLOOKUP(D417,ProductList!J:BG,46,FALSE),3),""),""),IF(D417&lt;&gt;"",IFERROR(ROUND(VLOOKUP(D417,ProductList!J:BG,45,FALSE),3),""),""))</f>
        <v/>
      </c>
      <c r="I417" s="75" t="str">
        <f t="shared" si="13"/>
        <v/>
      </c>
    </row>
    <row r="418" spans="1:9" x14ac:dyDescent="0.25">
      <c r="A418" s="197">
        <f t="shared" si="12"/>
        <v>132</v>
      </c>
      <c r="B418" s="73"/>
      <c r="C418" s="73"/>
      <c r="D418" s="104"/>
      <c r="E418" s="122"/>
      <c r="F418" s="73" t="str">
        <f>IF(G418="KGS",IF(D418&lt;&gt;"",IFERROR(VLOOKUP(D418,ProductList!J:AO,12,FALSE),""),""),IF(D418&lt;&gt;"",IFERROR(VLOOKUP(D418,ProductList!J:AO,15,FALSE),""),""))</f>
        <v/>
      </c>
      <c r="G418" s="6"/>
      <c r="H418" s="75" t="str">
        <f>IF(G418="KGS",IF(D418&lt;&gt;"",IFERROR(ROUND(VLOOKUP(D418,ProductList!J:BG,46,FALSE),3),""),""),IF(D418&lt;&gt;"",IFERROR(ROUND(VLOOKUP(D418,ProductList!J:BG,45,FALSE),3),""),""))</f>
        <v/>
      </c>
      <c r="I418" s="75" t="str">
        <f t="shared" si="13"/>
        <v/>
      </c>
    </row>
    <row r="419" spans="1:9" x14ac:dyDescent="0.25">
      <c r="A419" s="197">
        <f t="shared" si="12"/>
        <v>132</v>
      </c>
      <c r="B419" s="73"/>
      <c r="C419" s="73"/>
      <c r="D419" s="104"/>
      <c r="E419" s="122"/>
      <c r="F419" s="73" t="str">
        <f>IF(G419="KGS",IF(D419&lt;&gt;"",IFERROR(VLOOKUP(D419,ProductList!J:AO,12,FALSE),""),""),IF(D419&lt;&gt;"",IFERROR(VLOOKUP(D419,ProductList!J:AO,15,FALSE),""),""))</f>
        <v/>
      </c>
      <c r="G419" s="6"/>
      <c r="H419" s="75" t="str">
        <f>IF(G419="KGS",IF(D419&lt;&gt;"",IFERROR(ROUND(VLOOKUP(D419,ProductList!J:BG,46,FALSE),3),""),""),IF(D419&lt;&gt;"",IFERROR(ROUND(VLOOKUP(D419,ProductList!J:BG,45,FALSE),3),""),""))</f>
        <v/>
      </c>
      <c r="I419" s="75" t="str">
        <f t="shared" si="13"/>
        <v/>
      </c>
    </row>
    <row r="420" spans="1:9" x14ac:dyDescent="0.25">
      <c r="A420" s="197">
        <f t="shared" si="12"/>
        <v>132</v>
      </c>
      <c r="B420" s="73"/>
      <c r="C420" s="73"/>
      <c r="D420" s="104"/>
      <c r="E420" s="122"/>
      <c r="F420" s="73" t="str">
        <f>IF(G420="KGS",IF(D420&lt;&gt;"",IFERROR(VLOOKUP(D420,ProductList!J:AO,12,FALSE),""),""),IF(D420&lt;&gt;"",IFERROR(VLOOKUP(D420,ProductList!J:AO,15,FALSE),""),""))</f>
        <v/>
      </c>
      <c r="G420" s="6"/>
      <c r="H420" s="75" t="str">
        <f>IF(G420="KGS",IF(D420&lt;&gt;"",IFERROR(ROUND(VLOOKUP(D420,ProductList!J:BG,46,FALSE),3),""),""),IF(D420&lt;&gt;"",IFERROR(ROUND(VLOOKUP(D420,ProductList!J:BG,45,FALSE),3),""),""))</f>
        <v/>
      </c>
      <c r="I420" s="75" t="str">
        <f t="shared" si="13"/>
        <v/>
      </c>
    </row>
    <row r="421" spans="1:9" x14ac:dyDescent="0.25">
      <c r="A421" s="197">
        <f t="shared" si="12"/>
        <v>132</v>
      </c>
      <c r="B421" s="73"/>
      <c r="C421" s="73"/>
      <c r="D421" s="104"/>
      <c r="E421" s="122"/>
      <c r="F421" s="73" t="str">
        <f>IF(G421="KGS",IF(D421&lt;&gt;"",IFERROR(VLOOKUP(D421,ProductList!J:AO,12,FALSE),""),""),IF(D421&lt;&gt;"",IFERROR(VLOOKUP(D421,ProductList!J:AO,15,FALSE),""),""))</f>
        <v/>
      </c>
      <c r="G421" s="6"/>
      <c r="H421" s="75" t="str">
        <f>IF(G421="KGS",IF(D421&lt;&gt;"",IFERROR(ROUND(VLOOKUP(D421,ProductList!J:BG,46,FALSE),3),""),""),IF(D421&lt;&gt;"",IFERROR(ROUND(VLOOKUP(D421,ProductList!J:BG,45,FALSE),3),""),""))</f>
        <v/>
      </c>
      <c r="I421" s="75" t="str">
        <f t="shared" si="13"/>
        <v/>
      </c>
    </row>
    <row r="422" spans="1:9" x14ac:dyDescent="0.25">
      <c r="A422" s="197">
        <f t="shared" si="12"/>
        <v>132</v>
      </c>
      <c r="B422" s="73"/>
      <c r="C422" s="73"/>
      <c r="D422" s="104"/>
      <c r="E422" s="122"/>
      <c r="F422" s="73" t="str">
        <f>IF(G422="KGS",IF(D422&lt;&gt;"",IFERROR(VLOOKUP(D422,ProductList!J:AO,12,FALSE),""),""),IF(D422&lt;&gt;"",IFERROR(VLOOKUP(D422,ProductList!J:AO,15,FALSE),""),""))</f>
        <v/>
      </c>
      <c r="G422" s="6"/>
      <c r="H422" s="75" t="str">
        <f>IF(G422="KGS",IF(D422&lt;&gt;"",IFERROR(ROUND(VLOOKUP(D422,ProductList!J:BG,46,FALSE),3),""),""),IF(D422&lt;&gt;"",IFERROR(ROUND(VLOOKUP(D422,ProductList!J:BG,45,FALSE),3),""),""))</f>
        <v/>
      </c>
      <c r="I422" s="75" t="str">
        <f t="shared" si="13"/>
        <v/>
      </c>
    </row>
    <row r="423" spans="1:9" x14ac:dyDescent="0.25">
      <c r="A423" s="197">
        <f t="shared" si="12"/>
        <v>132</v>
      </c>
      <c r="B423" s="73"/>
      <c r="C423" s="73"/>
      <c r="D423" s="104"/>
      <c r="E423" s="122"/>
      <c r="F423" s="73" t="str">
        <f>IF(G423="KGS",IF(D423&lt;&gt;"",IFERROR(VLOOKUP(D423,ProductList!J:AO,12,FALSE),""),""),IF(D423&lt;&gt;"",IFERROR(VLOOKUP(D423,ProductList!J:AO,15,FALSE),""),""))</f>
        <v/>
      </c>
      <c r="G423" s="6"/>
      <c r="H423" s="75" t="str">
        <f>IF(G423="KGS",IF(D423&lt;&gt;"",IFERROR(ROUND(VLOOKUP(D423,ProductList!J:BG,46,FALSE),3),""),""),IF(D423&lt;&gt;"",IFERROR(ROUND(VLOOKUP(D423,ProductList!J:BG,45,FALSE),3),""),""))</f>
        <v/>
      </c>
      <c r="I423" s="75" t="str">
        <f t="shared" si="13"/>
        <v/>
      </c>
    </row>
    <row r="424" spans="1:9" x14ac:dyDescent="0.25">
      <c r="A424" s="197">
        <f t="shared" si="12"/>
        <v>132</v>
      </c>
      <c r="B424" s="73"/>
      <c r="C424" s="73"/>
      <c r="D424" s="104"/>
      <c r="E424" s="122"/>
      <c r="F424" s="73" t="str">
        <f>IF(G424="KGS",IF(D424&lt;&gt;"",IFERROR(VLOOKUP(D424,ProductList!J:AO,12,FALSE),""),""),IF(D424&lt;&gt;"",IFERROR(VLOOKUP(D424,ProductList!J:AO,15,FALSE),""),""))</f>
        <v/>
      </c>
      <c r="G424" s="6"/>
      <c r="H424" s="75" t="str">
        <f>IF(G424="KGS",IF(D424&lt;&gt;"",IFERROR(ROUND(VLOOKUP(D424,ProductList!J:BG,46,FALSE),3),""),""),IF(D424&lt;&gt;"",IFERROR(ROUND(VLOOKUP(D424,ProductList!J:BG,45,FALSE),3),""),""))</f>
        <v/>
      </c>
      <c r="I424" s="75" t="str">
        <f t="shared" si="13"/>
        <v/>
      </c>
    </row>
    <row r="425" spans="1:9" x14ac:dyDescent="0.25">
      <c r="A425" s="197">
        <f t="shared" si="12"/>
        <v>132</v>
      </c>
      <c r="B425" s="73"/>
      <c r="C425" s="73"/>
      <c r="D425" s="104"/>
      <c r="E425" s="122"/>
      <c r="F425" s="73" t="str">
        <f>IF(G425="KGS",IF(D425&lt;&gt;"",IFERROR(VLOOKUP(D425,ProductList!J:AO,12,FALSE),""),""),IF(D425&lt;&gt;"",IFERROR(VLOOKUP(D425,ProductList!J:AO,15,FALSE),""),""))</f>
        <v/>
      </c>
      <c r="G425" s="6"/>
      <c r="H425" s="75" t="str">
        <f>IF(G425="KGS",IF(D425&lt;&gt;"",IFERROR(ROUND(VLOOKUP(D425,ProductList!J:BG,46,FALSE),3),""),""),IF(D425&lt;&gt;"",IFERROR(ROUND(VLOOKUP(D425,ProductList!J:BG,45,FALSE),3),""),""))</f>
        <v/>
      </c>
      <c r="I425" s="75" t="str">
        <f t="shared" si="13"/>
        <v/>
      </c>
    </row>
    <row r="426" spans="1:9" x14ac:dyDescent="0.25">
      <c r="A426" s="197">
        <f t="shared" si="12"/>
        <v>132</v>
      </c>
      <c r="B426" s="73"/>
      <c r="C426" s="73"/>
      <c r="D426" s="104"/>
      <c r="E426" s="122"/>
      <c r="F426" s="73" t="str">
        <f>IF(G426="KGS",IF(D426&lt;&gt;"",IFERROR(VLOOKUP(D426,ProductList!J:AO,12,FALSE),""),""),IF(D426&lt;&gt;"",IFERROR(VLOOKUP(D426,ProductList!J:AO,15,FALSE),""),""))</f>
        <v/>
      </c>
      <c r="G426" s="6"/>
      <c r="H426" s="75" t="str">
        <f>IF(G426="KGS",IF(D426&lt;&gt;"",IFERROR(ROUND(VLOOKUP(D426,ProductList!J:BG,46,FALSE),3),""),""),IF(D426&lt;&gt;"",IFERROR(ROUND(VLOOKUP(D426,ProductList!J:BG,45,FALSE),3),""),""))</f>
        <v/>
      </c>
      <c r="I426" s="75" t="str">
        <f t="shared" si="13"/>
        <v/>
      </c>
    </row>
    <row r="427" spans="1:9" x14ac:dyDescent="0.25">
      <c r="A427" s="197">
        <f t="shared" si="12"/>
        <v>132</v>
      </c>
      <c r="B427" s="73"/>
      <c r="C427" s="73"/>
      <c r="D427" s="104"/>
      <c r="E427" s="122"/>
      <c r="F427" s="73" t="str">
        <f>IF(G427="KGS",IF(D427&lt;&gt;"",IFERROR(VLOOKUP(D427,ProductList!J:AO,12,FALSE),""),""),IF(D427&lt;&gt;"",IFERROR(VLOOKUP(D427,ProductList!J:AO,15,FALSE),""),""))</f>
        <v/>
      </c>
      <c r="G427" s="6"/>
      <c r="H427" s="75" t="str">
        <f>IF(G427="KGS",IF(D427&lt;&gt;"",IFERROR(ROUND(VLOOKUP(D427,ProductList!J:BG,46,FALSE),3),""),""),IF(D427&lt;&gt;"",IFERROR(ROUND(VLOOKUP(D427,ProductList!J:BG,45,FALSE),3),""),""))</f>
        <v/>
      </c>
      <c r="I427" s="75" t="str">
        <f t="shared" si="13"/>
        <v/>
      </c>
    </row>
    <row r="428" spans="1:9" x14ac:dyDescent="0.25">
      <c r="A428" s="197">
        <f t="shared" si="12"/>
        <v>132</v>
      </c>
      <c r="B428" s="73"/>
      <c r="C428" s="73"/>
      <c r="D428" s="104"/>
      <c r="E428" s="122"/>
      <c r="F428" s="73" t="str">
        <f>IF(G428="KGS",IF(D428&lt;&gt;"",IFERROR(VLOOKUP(D428,ProductList!J:AO,12,FALSE),""),""),IF(D428&lt;&gt;"",IFERROR(VLOOKUP(D428,ProductList!J:AO,15,FALSE),""),""))</f>
        <v/>
      </c>
      <c r="G428" s="6"/>
      <c r="H428" s="75" t="str">
        <f>IF(G428="KGS",IF(D428&lt;&gt;"",IFERROR(ROUND(VLOOKUP(D428,ProductList!J:BG,46,FALSE),3),""),""),IF(D428&lt;&gt;"",IFERROR(ROUND(VLOOKUP(D428,ProductList!J:BG,45,FALSE),3),""),""))</f>
        <v/>
      </c>
      <c r="I428" s="75" t="str">
        <f t="shared" si="13"/>
        <v/>
      </c>
    </row>
    <row r="429" spans="1:9" x14ac:dyDescent="0.25">
      <c r="A429" s="197">
        <f t="shared" si="12"/>
        <v>132</v>
      </c>
      <c r="B429" s="73"/>
      <c r="C429" s="73"/>
      <c r="D429" s="104"/>
      <c r="E429" s="122"/>
      <c r="F429" s="73" t="str">
        <f>IF(G429="KGS",IF(D429&lt;&gt;"",IFERROR(VLOOKUP(D429,ProductList!J:AO,12,FALSE),""),""),IF(D429&lt;&gt;"",IFERROR(VLOOKUP(D429,ProductList!J:AO,15,FALSE),""),""))</f>
        <v/>
      </c>
      <c r="G429" s="6"/>
      <c r="H429" s="75" t="str">
        <f>IF(G429="KGS",IF(D429&lt;&gt;"",IFERROR(ROUND(VLOOKUP(D429,ProductList!J:BG,46,FALSE),3),""),""),IF(D429&lt;&gt;"",IFERROR(ROUND(VLOOKUP(D429,ProductList!J:BG,45,FALSE),3),""),""))</f>
        <v/>
      </c>
      <c r="I429" s="75" t="str">
        <f t="shared" si="13"/>
        <v/>
      </c>
    </row>
    <row r="430" spans="1:9" x14ac:dyDescent="0.25">
      <c r="A430" s="197">
        <f t="shared" si="12"/>
        <v>132</v>
      </c>
      <c r="B430" s="73"/>
      <c r="C430" s="73"/>
      <c r="D430" s="104"/>
      <c r="E430" s="122"/>
      <c r="F430" s="73" t="str">
        <f>IF(G430="KGS",IF(D430&lt;&gt;"",IFERROR(VLOOKUP(D430,ProductList!J:AO,12,FALSE),""),""),IF(D430&lt;&gt;"",IFERROR(VLOOKUP(D430,ProductList!J:AO,15,FALSE),""),""))</f>
        <v/>
      </c>
      <c r="G430" s="6"/>
      <c r="H430" s="75" t="str">
        <f>IF(G430="KGS",IF(D430&lt;&gt;"",IFERROR(ROUND(VLOOKUP(D430,ProductList!J:BG,46,FALSE),3),""),""),IF(D430&lt;&gt;"",IFERROR(ROUND(VLOOKUP(D430,ProductList!J:BG,45,FALSE),3),""),""))</f>
        <v/>
      </c>
      <c r="I430" s="75" t="str">
        <f t="shared" si="13"/>
        <v/>
      </c>
    </row>
    <row r="431" spans="1:9" x14ac:dyDescent="0.25">
      <c r="A431" s="197">
        <f t="shared" si="12"/>
        <v>132</v>
      </c>
      <c r="B431" s="73"/>
      <c r="C431" s="73"/>
      <c r="D431" s="104"/>
      <c r="E431" s="122"/>
      <c r="F431" s="73" t="str">
        <f>IF(G431="KGS",IF(D431&lt;&gt;"",IFERROR(VLOOKUP(D431,ProductList!J:AO,12,FALSE),""),""),IF(D431&lt;&gt;"",IFERROR(VLOOKUP(D431,ProductList!J:AO,15,FALSE),""),""))</f>
        <v/>
      </c>
      <c r="G431" s="6"/>
      <c r="H431" s="75" t="str">
        <f>IF(G431="KGS",IF(D431&lt;&gt;"",IFERROR(ROUND(VLOOKUP(D431,ProductList!J:BG,46,FALSE),3),""),""),IF(D431&lt;&gt;"",IFERROR(ROUND(VLOOKUP(D431,ProductList!J:BG,45,FALSE),3),""),""))</f>
        <v/>
      </c>
      <c r="I431" s="75" t="str">
        <f t="shared" si="13"/>
        <v/>
      </c>
    </row>
    <row r="432" spans="1:9" x14ac:dyDescent="0.25">
      <c r="A432" s="197">
        <f t="shared" si="12"/>
        <v>132</v>
      </c>
      <c r="B432" s="73"/>
      <c r="C432" s="73"/>
      <c r="D432" s="104"/>
      <c r="E432" s="122"/>
      <c r="F432" s="73" t="str">
        <f>IF(G432="KGS",IF(D432&lt;&gt;"",IFERROR(VLOOKUP(D432,ProductList!J:AO,12,FALSE),""),""),IF(D432&lt;&gt;"",IFERROR(VLOOKUP(D432,ProductList!J:AO,15,FALSE),""),""))</f>
        <v/>
      </c>
      <c r="G432" s="6"/>
      <c r="H432" s="75" t="str">
        <f>IF(G432="KGS",IF(D432&lt;&gt;"",IFERROR(ROUND(VLOOKUP(D432,ProductList!J:BG,46,FALSE),3),""),""),IF(D432&lt;&gt;"",IFERROR(ROUND(VLOOKUP(D432,ProductList!J:BG,45,FALSE),3),""),""))</f>
        <v/>
      </c>
      <c r="I432" s="75" t="str">
        <f t="shared" si="13"/>
        <v/>
      </c>
    </row>
    <row r="433" spans="1:9" x14ac:dyDescent="0.25">
      <c r="A433" s="197">
        <f t="shared" si="12"/>
        <v>132</v>
      </c>
      <c r="B433" s="73"/>
      <c r="C433" s="73"/>
      <c r="D433" s="104"/>
      <c r="E433" s="122"/>
      <c r="F433" s="73" t="str">
        <f>IF(G433="KGS",IF(D433&lt;&gt;"",IFERROR(VLOOKUP(D433,ProductList!J:AO,12,FALSE),""),""),IF(D433&lt;&gt;"",IFERROR(VLOOKUP(D433,ProductList!J:AO,15,FALSE),""),""))</f>
        <v/>
      </c>
      <c r="G433" s="6"/>
      <c r="H433" s="75" t="str">
        <f>IF(G433="KGS",IF(D433&lt;&gt;"",IFERROR(ROUND(VLOOKUP(D433,ProductList!J:BG,46,FALSE),3),""),""),IF(D433&lt;&gt;"",IFERROR(ROUND(VLOOKUP(D433,ProductList!J:BG,45,FALSE),3),""),""))</f>
        <v/>
      </c>
      <c r="I433" s="75" t="str">
        <f t="shared" si="13"/>
        <v/>
      </c>
    </row>
    <row r="434" spans="1:9" x14ac:dyDescent="0.25">
      <c r="A434" s="197">
        <f t="shared" si="12"/>
        <v>132</v>
      </c>
      <c r="B434" s="73"/>
      <c r="C434" s="73"/>
      <c r="D434" s="104"/>
      <c r="E434" s="122"/>
      <c r="F434" s="73" t="str">
        <f>IF(G434="KGS",IF(D434&lt;&gt;"",IFERROR(VLOOKUP(D434,ProductList!J:AO,12,FALSE),""),""),IF(D434&lt;&gt;"",IFERROR(VLOOKUP(D434,ProductList!J:AO,15,FALSE),""),""))</f>
        <v/>
      </c>
      <c r="G434" s="6"/>
      <c r="H434" s="75" t="str">
        <f>IF(G434="KGS",IF(D434&lt;&gt;"",IFERROR(ROUND(VLOOKUP(D434,ProductList!J:BG,46,FALSE),3),""),""),IF(D434&lt;&gt;"",IFERROR(ROUND(VLOOKUP(D434,ProductList!J:BG,45,FALSE),3),""),""))</f>
        <v/>
      </c>
      <c r="I434" s="75" t="str">
        <f t="shared" si="13"/>
        <v/>
      </c>
    </row>
    <row r="435" spans="1:9" x14ac:dyDescent="0.25">
      <c r="A435" s="197">
        <f t="shared" si="12"/>
        <v>132</v>
      </c>
      <c r="B435" s="73"/>
      <c r="C435" s="73"/>
      <c r="D435" s="104"/>
      <c r="E435" s="122"/>
      <c r="F435" s="73" t="str">
        <f>IF(G435="KGS",IF(D435&lt;&gt;"",IFERROR(VLOOKUP(D435,ProductList!J:AO,12,FALSE),""),""),IF(D435&lt;&gt;"",IFERROR(VLOOKUP(D435,ProductList!J:AO,15,FALSE),""),""))</f>
        <v/>
      </c>
      <c r="G435" s="6"/>
      <c r="H435" s="75" t="str">
        <f>IF(G435="KGS",IF(D435&lt;&gt;"",IFERROR(ROUND(VLOOKUP(D435,ProductList!J:BG,46,FALSE),3),""),""),IF(D435&lt;&gt;"",IFERROR(ROUND(VLOOKUP(D435,ProductList!J:BG,45,FALSE),3),""),""))</f>
        <v/>
      </c>
      <c r="I435" s="75" t="str">
        <f t="shared" si="13"/>
        <v/>
      </c>
    </row>
    <row r="436" spans="1:9" x14ac:dyDescent="0.25">
      <c r="A436" s="197">
        <f t="shared" si="12"/>
        <v>132</v>
      </c>
      <c r="B436" s="73"/>
      <c r="C436" s="73"/>
      <c r="D436" s="104"/>
      <c r="E436" s="122"/>
      <c r="F436" s="73" t="str">
        <f>IF(G436="KGS",IF(D436&lt;&gt;"",IFERROR(VLOOKUP(D436,ProductList!J:AO,12,FALSE),""),""),IF(D436&lt;&gt;"",IFERROR(VLOOKUP(D436,ProductList!J:AO,15,FALSE),""),""))</f>
        <v/>
      </c>
      <c r="G436" s="6"/>
      <c r="H436" s="75" t="str">
        <f>IF(G436="KGS",IF(D436&lt;&gt;"",IFERROR(ROUND(VLOOKUP(D436,ProductList!J:BG,46,FALSE),3),""),""),IF(D436&lt;&gt;"",IFERROR(ROUND(VLOOKUP(D436,ProductList!J:BG,45,FALSE),3),""),""))</f>
        <v/>
      </c>
      <c r="I436" s="75" t="str">
        <f t="shared" si="13"/>
        <v/>
      </c>
    </row>
    <row r="437" spans="1:9" x14ac:dyDescent="0.25">
      <c r="A437" s="197">
        <f t="shared" si="12"/>
        <v>132</v>
      </c>
      <c r="B437" s="73"/>
      <c r="C437" s="73"/>
      <c r="D437" s="104"/>
      <c r="E437" s="122"/>
      <c r="F437" s="73" t="str">
        <f>IF(G437="KGS",IF(D437&lt;&gt;"",IFERROR(VLOOKUP(D437,ProductList!J:AO,12,FALSE),""),""),IF(D437&lt;&gt;"",IFERROR(VLOOKUP(D437,ProductList!J:AO,15,FALSE),""),""))</f>
        <v/>
      </c>
      <c r="G437" s="6"/>
      <c r="H437" s="75" t="str">
        <f>IF(G437="KGS",IF(D437&lt;&gt;"",IFERROR(ROUND(VLOOKUP(D437,ProductList!J:BG,46,FALSE),3),""),""),IF(D437&lt;&gt;"",IFERROR(ROUND(VLOOKUP(D437,ProductList!J:BG,45,FALSE),3),""),""))</f>
        <v/>
      </c>
      <c r="I437" s="75" t="str">
        <f t="shared" si="13"/>
        <v/>
      </c>
    </row>
    <row r="438" spans="1:9" x14ac:dyDescent="0.25">
      <c r="A438" s="197">
        <f t="shared" si="12"/>
        <v>132</v>
      </c>
      <c r="B438" s="73"/>
      <c r="C438" s="73"/>
      <c r="D438" s="104"/>
      <c r="E438" s="122"/>
      <c r="F438" s="73" t="str">
        <f>IF(G438="KGS",IF(D438&lt;&gt;"",IFERROR(VLOOKUP(D438,ProductList!J:AO,12,FALSE),""),""),IF(D438&lt;&gt;"",IFERROR(VLOOKUP(D438,ProductList!J:AO,15,FALSE),""),""))</f>
        <v/>
      </c>
      <c r="G438" s="6"/>
      <c r="H438" s="75" t="str">
        <f>IF(G438="KGS",IF(D438&lt;&gt;"",IFERROR(ROUND(VLOOKUP(D438,ProductList!J:BG,46,FALSE),3),""),""),IF(D438&lt;&gt;"",IFERROR(ROUND(VLOOKUP(D438,ProductList!J:BG,45,FALSE),3),""),""))</f>
        <v/>
      </c>
      <c r="I438" s="75" t="str">
        <f t="shared" si="13"/>
        <v/>
      </c>
    </row>
    <row r="439" spans="1:9" x14ac:dyDescent="0.25">
      <c r="A439" s="197">
        <f t="shared" si="12"/>
        <v>132</v>
      </c>
      <c r="B439" s="73"/>
      <c r="C439" s="73"/>
      <c r="D439" s="104"/>
      <c r="E439" s="122"/>
      <c r="F439" s="73" t="str">
        <f>IF(G439="KGS",IF(D439&lt;&gt;"",IFERROR(VLOOKUP(D439,ProductList!J:AO,12,FALSE),""),""),IF(D439&lt;&gt;"",IFERROR(VLOOKUP(D439,ProductList!J:AO,15,FALSE),""),""))</f>
        <v/>
      </c>
      <c r="G439" s="6"/>
      <c r="H439" s="75" t="str">
        <f>IF(G439="KGS",IF(D439&lt;&gt;"",IFERROR(ROUND(VLOOKUP(D439,ProductList!J:BG,46,FALSE),3),""),""),IF(D439&lt;&gt;"",IFERROR(ROUND(VLOOKUP(D439,ProductList!J:BG,45,FALSE),3),""),""))</f>
        <v/>
      </c>
      <c r="I439" s="75" t="str">
        <f t="shared" si="13"/>
        <v/>
      </c>
    </row>
    <row r="440" spans="1:9" x14ac:dyDescent="0.25">
      <c r="A440" s="197">
        <f t="shared" si="12"/>
        <v>132</v>
      </c>
      <c r="B440" s="73"/>
      <c r="C440" s="73"/>
      <c r="D440" s="104"/>
      <c r="E440" s="122"/>
      <c r="F440" s="73" t="str">
        <f>IF(G440="KGS",IF(D440&lt;&gt;"",IFERROR(VLOOKUP(D440,ProductList!J:AO,12,FALSE),""),""),IF(D440&lt;&gt;"",IFERROR(VLOOKUP(D440,ProductList!J:AO,15,FALSE),""),""))</f>
        <v/>
      </c>
      <c r="G440" s="6"/>
      <c r="H440" s="75" t="str">
        <f>IF(G440="KGS",IF(D440&lt;&gt;"",IFERROR(ROUND(VLOOKUP(D440,ProductList!J:BG,46,FALSE),3),""),""),IF(D440&lt;&gt;"",IFERROR(ROUND(VLOOKUP(D440,ProductList!J:BG,45,FALSE),3),""),""))</f>
        <v/>
      </c>
      <c r="I440" s="75" t="str">
        <f t="shared" si="13"/>
        <v/>
      </c>
    </row>
    <row r="441" spans="1:9" x14ac:dyDescent="0.25">
      <c r="A441" s="197">
        <f t="shared" si="12"/>
        <v>132</v>
      </c>
      <c r="B441" s="73"/>
      <c r="C441" s="73"/>
      <c r="D441" s="104"/>
      <c r="E441" s="122"/>
      <c r="F441" s="73" t="str">
        <f>IF(G441="KGS",IF(D441&lt;&gt;"",IFERROR(VLOOKUP(D441,ProductList!J:AO,12,FALSE),""),""),IF(D441&lt;&gt;"",IFERROR(VLOOKUP(D441,ProductList!J:AO,15,FALSE),""),""))</f>
        <v/>
      </c>
      <c r="G441" s="6"/>
      <c r="H441" s="75" t="str">
        <f>IF(G441="KGS",IF(D441&lt;&gt;"",IFERROR(ROUND(VLOOKUP(D441,ProductList!J:BG,46,FALSE),3),""),""),IF(D441&lt;&gt;"",IFERROR(ROUND(VLOOKUP(D441,ProductList!J:BG,45,FALSE),3),""),""))</f>
        <v/>
      </c>
      <c r="I441" s="75" t="str">
        <f t="shared" si="13"/>
        <v/>
      </c>
    </row>
    <row r="442" spans="1:9" x14ac:dyDescent="0.25">
      <c r="A442" s="197">
        <f t="shared" si="12"/>
        <v>132</v>
      </c>
      <c r="B442" s="73"/>
      <c r="C442" s="73"/>
      <c r="D442" s="104"/>
      <c r="E442" s="122"/>
      <c r="F442" s="73" t="str">
        <f>IF(G442="KGS",IF(D442&lt;&gt;"",IFERROR(VLOOKUP(D442,ProductList!J:AO,12,FALSE),""),""),IF(D442&lt;&gt;"",IFERROR(VLOOKUP(D442,ProductList!J:AO,15,FALSE),""),""))</f>
        <v/>
      </c>
      <c r="G442" s="6"/>
      <c r="H442" s="75" t="str">
        <f>IF(G442="KGS",IF(D442&lt;&gt;"",IFERROR(ROUND(VLOOKUP(D442,ProductList!J:BG,46,FALSE),3),""),""),IF(D442&lt;&gt;"",IFERROR(ROUND(VLOOKUP(D442,ProductList!J:BG,45,FALSE),3),""),""))</f>
        <v/>
      </c>
      <c r="I442" s="75" t="str">
        <f t="shared" si="13"/>
        <v/>
      </c>
    </row>
    <row r="443" spans="1:9" x14ac:dyDescent="0.25">
      <c r="A443" s="197">
        <f t="shared" si="12"/>
        <v>132</v>
      </c>
      <c r="B443" s="73"/>
      <c r="C443" s="73"/>
      <c r="D443" s="104"/>
      <c r="E443" s="122"/>
      <c r="F443" s="73" t="str">
        <f>IF(G443="KGS",IF(D443&lt;&gt;"",IFERROR(VLOOKUP(D443,ProductList!J:AO,12,FALSE),""),""),IF(D443&lt;&gt;"",IFERROR(VLOOKUP(D443,ProductList!J:AO,15,FALSE),""),""))</f>
        <v/>
      </c>
      <c r="G443" s="6"/>
      <c r="H443" s="75" t="str">
        <f>IF(G443="KGS",IF(D443&lt;&gt;"",IFERROR(ROUND(VLOOKUP(D443,ProductList!J:BG,46,FALSE),3),""),""),IF(D443&lt;&gt;"",IFERROR(ROUND(VLOOKUP(D443,ProductList!J:BG,45,FALSE),3),""),""))</f>
        <v/>
      </c>
      <c r="I443" s="75" t="str">
        <f t="shared" si="13"/>
        <v/>
      </c>
    </row>
    <row r="444" spans="1:9" x14ac:dyDescent="0.25">
      <c r="A444" s="197">
        <f t="shared" si="12"/>
        <v>132</v>
      </c>
      <c r="B444" s="73"/>
      <c r="C444" s="73"/>
      <c r="D444" s="104"/>
      <c r="E444" s="122"/>
      <c r="F444" s="73" t="str">
        <f>IF(G444="KGS",IF(D444&lt;&gt;"",IFERROR(VLOOKUP(D444,ProductList!J:AO,12,FALSE),""),""),IF(D444&lt;&gt;"",IFERROR(VLOOKUP(D444,ProductList!J:AO,15,FALSE),""),""))</f>
        <v/>
      </c>
      <c r="G444" s="6"/>
      <c r="H444" s="75" t="str">
        <f>IF(G444="KGS",IF(D444&lt;&gt;"",IFERROR(ROUND(VLOOKUP(D444,ProductList!J:BG,46,FALSE),3),""),""),IF(D444&lt;&gt;"",IFERROR(ROUND(VLOOKUP(D444,ProductList!J:BG,45,FALSE),3),""),""))</f>
        <v/>
      </c>
      <c r="I444" s="75" t="str">
        <f t="shared" si="13"/>
        <v/>
      </c>
    </row>
    <row r="445" spans="1:9" x14ac:dyDescent="0.25">
      <c r="A445" s="197">
        <f t="shared" si="12"/>
        <v>132</v>
      </c>
      <c r="B445" s="73"/>
      <c r="C445" s="73"/>
      <c r="D445" s="104"/>
      <c r="E445" s="122"/>
      <c r="F445" s="73" t="str">
        <f>IF(G445="KGS",IF(D445&lt;&gt;"",IFERROR(VLOOKUP(D445,ProductList!J:AO,12,FALSE),""),""),IF(D445&lt;&gt;"",IFERROR(VLOOKUP(D445,ProductList!J:AO,15,FALSE),""),""))</f>
        <v/>
      </c>
      <c r="G445" s="6"/>
      <c r="H445" s="75" t="str">
        <f>IF(G445="KGS",IF(D445&lt;&gt;"",IFERROR(ROUND(VLOOKUP(D445,ProductList!J:BG,46,FALSE),3),""),""),IF(D445&lt;&gt;"",IFERROR(ROUND(VLOOKUP(D445,ProductList!J:BG,45,FALSE),3),""),""))</f>
        <v/>
      </c>
      <c r="I445" s="75" t="str">
        <f t="shared" si="13"/>
        <v/>
      </c>
    </row>
    <row r="446" spans="1:9" x14ac:dyDescent="0.25">
      <c r="A446" s="197">
        <f t="shared" si="12"/>
        <v>132</v>
      </c>
      <c r="B446" s="73"/>
      <c r="C446" s="73"/>
      <c r="D446" s="104"/>
      <c r="E446" s="122"/>
      <c r="F446" s="73" t="str">
        <f>IF(G446="KGS",IF(D446&lt;&gt;"",IFERROR(VLOOKUP(D446,ProductList!J:AO,12,FALSE),""),""),IF(D446&lt;&gt;"",IFERROR(VLOOKUP(D446,ProductList!J:AO,15,FALSE),""),""))</f>
        <v/>
      </c>
      <c r="G446" s="6"/>
      <c r="H446" s="75" t="str">
        <f>IF(G446="KGS",IF(D446&lt;&gt;"",IFERROR(ROUND(VLOOKUP(D446,ProductList!J:BG,46,FALSE),3),""),""),IF(D446&lt;&gt;"",IFERROR(ROUND(VLOOKUP(D446,ProductList!J:BG,45,FALSE),3),""),""))</f>
        <v/>
      </c>
      <c r="I446" s="75" t="str">
        <f t="shared" si="13"/>
        <v/>
      </c>
    </row>
    <row r="447" spans="1:9" x14ac:dyDescent="0.25">
      <c r="A447" s="197">
        <f t="shared" si="12"/>
        <v>132</v>
      </c>
      <c r="B447" s="73"/>
      <c r="C447" s="73"/>
      <c r="D447" s="104"/>
      <c r="E447" s="122"/>
      <c r="F447" s="73" t="str">
        <f>IF(G447="KGS",IF(D447&lt;&gt;"",IFERROR(VLOOKUP(D447,ProductList!J:AO,12,FALSE),""),""),IF(D447&lt;&gt;"",IFERROR(VLOOKUP(D447,ProductList!J:AO,15,FALSE),""),""))</f>
        <v/>
      </c>
      <c r="G447" s="6"/>
      <c r="H447" s="75" t="str">
        <f>IF(G447="KGS",IF(D447&lt;&gt;"",IFERROR(ROUND(VLOOKUP(D447,ProductList!J:BG,46,FALSE),3),""),""),IF(D447&lt;&gt;"",IFERROR(ROUND(VLOOKUP(D447,ProductList!J:BG,45,FALSE),3),""),""))</f>
        <v/>
      </c>
      <c r="I447" s="75" t="str">
        <f t="shared" si="13"/>
        <v/>
      </c>
    </row>
    <row r="448" spans="1:9" x14ac:dyDescent="0.25">
      <c r="A448" s="197">
        <f t="shared" si="12"/>
        <v>132</v>
      </c>
      <c r="B448" s="73"/>
      <c r="C448" s="73"/>
      <c r="D448" s="104"/>
      <c r="E448" s="122"/>
      <c r="F448" s="73" t="str">
        <f>IF(G448="KGS",IF(D448&lt;&gt;"",IFERROR(VLOOKUP(D448,ProductList!J:AO,12,FALSE),""),""),IF(D448&lt;&gt;"",IFERROR(VLOOKUP(D448,ProductList!J:AO,15,FALSE),""),""))</f>
        <v/>
      </c>
      <c r="G448" s="6"/>
      <c r="H448" s="75" t="str">
        <f>IF(G448="KGS",IF(D448&lt;&gt;"",IFERROR(ROUND(VLOOKUP(D448,ProductList!J:BG,46,FALSE),3),""),""),IF(D448&lt;&gt;"",IFERROR(ROUND(VLOOKUP(D448,ProductList!J:BG,45,FALSE),3),""),""))</f>
        <v/>
      </c>
      <c r="I448" s="75" t="str">
        <f t="shared" si="13"/>
        <v/>
      </c>
    </row>
    <row r="449" spans="1:9" x14ac:dyDescent="0.25">
      <c r="A449" s="197">
        <f t="shared" si="12"/>
        <v>132</v>
      </c>
      <c r="B449" s="73"/>
      <c r="C449" s="73"/>
      <c r="D449" s="104"/>
      <c r="E449" s="122"/>
      <c r="F449" s="73" t="str">
        <f>IF(G449="KGS",IF(D449&lt;&gt;"",IFERROR(VLOOKUP(D449,ProductList!J:AO,12,FALSE),""),""),IF(D449&lt;&gt;"",IFERROR(VLOOKUP(D449,ProductList!J:AO,15,FALSE),""),""))</f>
        <v/>
      </c>
      <c r="G449" s="6"/>
      <c r="H449" s="75" t="str">
        <f>IF(G449="KGS",IF(D449&lt;&gt;"",IFERROR(ROUND(VLOOKUP(D449,ProductList!J:BG,46,FALSE),3),""),""),IF(D449&lt;&gt;"",IFERROR(ROUND(VLOOKUP(D449,ProductList!J:BG,45,FALSE),3),""),""))</f>
        <v/>
      </c>
      <c r="I449" s="75" t="str">
        <f t="shared" si="13"/>
        <v/>
      </c>
    </row>
    <row r="450" spans="1:9" x14ac:dyDescent="0.25">
      <c r="A450" s="197">
        <f t="shared" si="12"/>
        <v>132</v>
      </c>
      <c r="B450" s="73"/>
      <c r="C450" s="73"/>
      <c r="D450" s="104"/>
      <c r="E450" s="122"/>
      <c r="F450" s="73" t="str">
        <f>IF(G450="KGS",IF(D450&lt;&gt;"",IFERROR(VLOOKUP(D450,ProductList!J:AO,12,FALSE),""),""),IF(D450&lt;&gt;"",IFERROR(VLOOKUP(D450,ProductList!J:AO,15,FALSE),""),""))</f>
        <v/>
      </c>
      <c r="G450" s="6"/>
      <c r="H450" s="75" t="str">
        <f>IF(G450="KGS",IF(D450&lt;&gt;"",IFERROR(ROUND(VLOOKUP(D450,ProductList!J:BG,46,FALSE),3),""),""),IF(D450&lt;&gt;"",IFERROR(ROUND(VLOOKUP(D450,ProductList!J:BG,45,FALSE),3),""),""))</f>
        <v/>
      </c>
      <c r="I450" s="75" t="str">
        <f t="shared" si="13"/>
        <v/>
      </c>
    </row>
    <row r="451" spans="1:9" x14ac:dyDescent="0.25">
      <c r="A451" s="197">
        <f t="shared" si="12"/>
        <v>132</v>
      </c>
      <c r="B451" s="73"/>
      <c r="C451" s="73"/>
      <c r="D451" s="104"/>
      <c r="E451" s="122"/>
      <c r="F451" s="73" t="str">
        <f>IF(G451="KGS",IF(D451&lt;&gt;"",IFERROR(VLOOKUP(D451,ProductList!J:AO,12,FALSE),""),""),IF(D451&lt;&gt;"",IFERROR(VLOOKUP(D451,ProductList!J:AO,15,FALSE),""),""))</f>
        <v/>
      </c>
      <c r="G451" s="6"/>
      <c r="H451" s="75" t="str">
        <f>IF(G451="KGS",IF(D451&lt;&gt;"",IFERROR(ROUND(VLOOKUP(D451,ProductList!J:BG,46,FALSE),3),""),""),IF(D451&lt;&gt;"",IFERROR(ROUND(VLOOKUP(D451,ProductList!J:BG,45,FALSE),3),""),""))</f>
        <v/>
      </c>
      <c r="I451" s="75" t="str">
        <f t="shared" si="13"/>
        <v/>
      </c>
    </row>
    <row r="452" spans="1:9" x14ac:dyDescent="0.25">
      <c r="A452" s="197">
        <f t="shared" si="12"/>
        <v>132</v>
      </c>
      <c r="B452" s="73"/>
      <c r="C452" s="73"/>
      <c r="D452" s="104"/>
      <c r="E452" s="122"/>
      <c r="F452" s="73" t="str">
        <f>IF(G452="KGS",IF(D452&lt;&gt;"",IFERROR(VLOOKUP(D452,ProductList!J:AO,12,FALSE),""),""),IF(D452&lt;&gt;"",IFERROR(VLOOKUP(D452,ProductList!J:AO,15,FALSE),""),""))</f>
        <v/>
      </c>
      <c r="G452" s="6"/>
      <c r="H452" s="75" t="str">
        <f>IF(G452="KGS",IF(D452&lt;&gt;"",IFERROR(ROUND(VLOOKUP(D452,ProductList!J:BG,46,FALSE),3),""),""),IF(D452&lt;&gt;"",IFERROR(ROUND(VLOOKUP(D452,ProductList!J:BG,45,FALSE),3),""),""))</f>
        <v/>
      </c>
      <c r="I452" s="75" t="str">
        <f t="shared" si="13"/>
        <v/>
      </c>
    </row>
    <row r="453" spans="1:9" x14ac:dyDescent="0.25">
      <c r="A453" s="197">
        <f t="shared" ref="A453:A498" si="14">IF(AND(D453&lt;&gt;""),IF(A452&lt;&gt;"",A452,0)+1,A452)</f>
        <v>132</v>
      </c>
      <c r="B453" s="73"/>
      <c r="C453" s="73"/>
      <c r="D453" s="104"/>
      <c r="E453" s="122"/>
      <c r="F453" s="73" t="str">
        <f>IF(G453="KGS",IF(D453&lt;&gt;"",IFERROR(VLOOKUP(D453,ProductList!J:AO,12,FALSE),""),""),IF(D453&lt;&gt;"",IFERROR(VLOOKUP(D453,ProductList!J:AO,15,FALSE),""),""))</f>
        <v/>
      </c>
      <c r="G453" s="6"/>
      <c r="H453" s="75" t="str">
        <f>IF(G453="KGS",IF(D453&lt;&gt;"",IFERROR(ROUND(VLOOKUP(D453,ProductList!J:BG,46,FALSE),3),""),""),IF(D453&lt;&gt;"",IFERROR(ROUND(VLOOKUP(D453,ProductList!J:BG,45,FALSE),3),""),""))</f>
        <v/>
      </c>
      <c r="I453" s="75" t="str">
        <f t="shared" si="13"/>
        <v/>
      </c>
    </row>
    <row r="454" spans="1:9" x14ac:dyDescent="0.25">
      <c r="A454" s="197">
        <f t="shared" si="14"/>
        <v>132</v>
      </c>
      <c r="B454" s="73"/>
      <c r="C454" s="73"/>
      <c r="D454" s="104"/>
      <c r="E454" s="122"/>
      <c r="F454" s="73" t="str">
        <f>IF(G454="KGS",IF(D454&lt;&gt;"",IFERROR(VLOOKUP(D454,ProductList!J:AO,12,FALSE),""),""),IF(D454&lt;&gt;"",IFERROR(VLOOKUP(D454,ProductList!J:AO,15,FALSE),""),""))</f>
        <v/>
      </c>
      <c r="G454" s="6"/>
      <c r="H454" s="75" t="str">
        <f>IF(G454="KGS",IF(D454&lt;&gt;"",IFERROR(ROUND(VLOOKUP(D454,ProductList!J:BG,46,FALSE),3),""),""),IF(D454&lt;&gt;"",IFERROR(ROUND(VLOOKUP(D454,ProductList!J:BG,45,FALSE),3),""),""))</f>
        <v/>
      </c>
      <c r="I454" s="75" t="str">
        <f t="shared" ref="I454:I498" si="15">IF(AND(F454&lt;&gt;"",H454&lt;&gt;""),ROUND(F454*H454,2),"")</f>
        <v/>
      </c>
    </row>
    <row r="455" spans="1:9" x14ac:dyDescent="0.25">
      <c r="A455" s="197">
        <f t="shared" si="14"/>
        <v>132</v>
      </c>
      <c r="B455" s="73"/>
      <c r="C455" s="73"/>
      <c r="D455" s="104"/>
      <c r="E455" s="122"/>
      <c r="F455" s="73" t="str">
        <f>IF(G455="KGS",IF(D455&lt;&gt;"",IFERROR(VLOOKUP(D455,ProductList!J:AO,12,FALSE),""),""),IF(D455&lt;&gt;"",IFERROR(VLOOKUP(D455,ProductList!J:AO,15,FALSE),""),""))</f>
        <v/>
      </c>
      <c r="G455" s="6"/>
      <c r="H455" s="75" t="str">
        <f>IF(G455="KGS",IF(D455&lt;&gt;"",IFERROR(ROUND(VLOOKUP(D455,ProductList!J:BG,46,FALSE),3),""),""),IF(D455&lt;&gt;"",IFERROR(ROUND(VLOOKUP(D455,ProductList!J:BG,45,FALSE),3),""),""))</f>
        <v/>
      </c>
      <c r="I455" s="75" t="str">
        <f t="shared" si="15"/>
        <v/>
      </c>
    </row>
    <row r="456" spans="1:9" x14ac:dyDescent="0.25">
      <c r="A456" s="197">
        <f t="shared" si="14"/>
        <v>132</v>
      </c>
      <c r="B456" s="73"/>
      <c r="C456" s="73"/>
      <c r="D456" s="104"/>
      <c r="E456" s="122"/>
      <c r="F456" s="73" t="str">
        <f>IF(G456="KGS",IF(D456&lt;&gt;"",IFERROR(VLOOKUP(D456,ProductList!J:AO,12,FALSE),""),""),IF(D456&lt;&gt;"",IFERROR(VLOOKUP(D456,ProductList!J:AO,15,FALSE),""),""))</f>
        <v/>
      </c>
      <c r="G456" s="6"/>
      <c r="H456" s="75" t="str">
        <f>IF(G456="KGS",IF(D456&lt;&gt;"",IFERROR(ROUND(VLOOKUP(D456,ProductList!J:BG,46,FALSE),3),""),""),IF(D456&lt;&gt;"",IFERROR(ROUND(VLOOKUP(D456,ProductList!J:BG,45,FALSE),3),""),""))</f>
        <v/>
      </c>
      <c r="I456" s="75" t="str">
        <f t="shared" si="15"/>
        <v/>
      </c>
    </row>
    <row r="457" spans="1:9" x14ac:dyDescent="0.25">
      <c r="A457" s="197">
        <f t="shared" si="14"/>
        <v>132</v>
      </c>
      <c r="B457" s="73"/>
      <c r="C457" s="73"/>
      <c r="D457" s="104"/>
      <c r="E457" s="122"/>
      <c r="F457" s="73" t="str">
        <f>IF(G457="KGS",IF(D457&lt;&gt;"",IFERROR(VLOOKUP(D457,ProductList!J:AO,12,FALSE),""),""),IF(D457&lt;&gt;"",IFERROR(VLOOKUP(D457,ProductList!J:AO,15,FALSE),""),""))</f>
        <v/>
      </c>
      <c r="G457" s="6"/>
      <c r="H457" s="75" t="str">
        <f>IF(G457="KGS",IF(D457&lt;&gt;"",IFERROR(ROUND(VLOOKUP(D457,ProductList!J:BG,46,FALSE),3),""),""),IF(D457&lt;&gt;"",IFERROR(ROUND(VLOOKUP(D457,ProductList!J:BG,45,FALSE),3),""),""))</f>
        <v/>
      </c>
      <c r="I457" s="75" t="str">
        <f t="shared" si="15"/>
        <v/>
      </c>
    </row>
    <row r="458" spans="1:9" x14ac:dyDescent="0.25">
      <c r="A458" s="197">
        <f t="shared" si="14"/>
        <v>132</v>
      </c>
      <c r="B458" s="73"/>
      <c r="C458" s="73"/>
      <c r="D458" s="104"/>
      <c r="E458" s="122"/>
      <c r="F458" s="73" t="str">
        <f>IF(G458="KGS",IF(D458&lt;&gt;"",IFERROR(VLOOKUP(D458,ProductList!J:AO,12,FALSE),""),""),IF(D458&lt;&gt;"",IFERROR(VLOOKUP(D458,ProductList!J:AO,15,FALSE),""),""))</f>
        <v/>
      </c>
      <c r="G458" s="6"/>
      <c r="H458" s="75" t="str">
        <f>IF(G458="KGS",IF(D458&lt;&gt;"",IFERROR(ROUND(VLOOKUP(D458,ProductList!J:BG,46,FALSE),3),""),""),IF(D458&lt;&gt;"",IFERROR(ROUND(VLOOKUP(D458,ProductList!J:BG,45,FALSE),3),""),""))</f>
        <v/>
      </c>
      <c r="I458" s="75" t="str">
        <f t="shared" si="15"/>
        <v/>
      </c>
    </row>
    <row r="459" spans="1:9" x14ac:dyDescent="0.25">
      <c r="A459" s="197">
        <f t="shared" si="14"/>
        <v>132</v>
      </c>
      <c r="B459" s="73"/>
      <c r="C459" s="73"/>
      <c r="D459" s="104"/>
      <c r="E459" s="122"/>
      <c r="F459" s="73" t="str">
        <f>IF(G459="KGS",IF(D459&lt;&gt;"",IFERROR(VLOOKUP(D459,ProductList!J:AO,12,FALSE),""),""),IF(D459&lt;&gt;"",IFERROR(VLOOKUP(D459,ProductList!J:AO,15,FALSE),""),""))</f>
        <v/>
      </c>
      <c r="G459" s="6"/>
      <c r="H459" s="75" t="str">
        <f>IF(G459="KGS",IF(D459&lt;&gt;"",IFERROR(ROUND(VLOOKUP(D459,ProductList!J:BG,46,FALSE),3),""),""),IF(D459&lt;&gt;"",IFERROR(ROUND(VLOOKUP(D459,ProductList!J:BG,45,FALSE),3),""),""))</f>
        <v/>
      </c>
      <c r="I459" s="75" t="str">
        <f t="shared" si="15"/>
        <v/>
      </c>
    </row>
    <row r="460" spans="1:9" x14ac:dyDescent="0.25">
      <c r="A460" s="197">
        <f t="shared" si="14"/>
        <v>132</v>
      </c>
      <c r="B460" s="73"/>
      <c r="C460" s="73"/>
      <c r="D460" s="104"/>
      <c r="E460" s="122"/>
      <c r="F460" s="73" t="str">
        <f>IF(G460="KGS",IF(D460&lt;&gt;"",IFERROR(VLOOKUP(D460,ProductList!J:AO,12,FALSE),""),""),IF(D460&lt;&gt;"",IFERROR(VLOOKUP(D460,ProductList!J:AO,15,FALSE),""),""))</f>
        <v/>
      </c>
      <c r="G460" s="6"/>
      <c r="H460" s="75" t="str">
        <f>IF(G460="KGS",IF(D460&lt;&gt;"",IFERROR(ROUND(VLOOKUP(D460,ProductList!J:BG,46,FALSE),3),""),""),IF(D460&lt;&gt;"",IFERROR(ROUND(VLOOKUP(D460,ProductList!J:BG,45,FALSE),3),""),""))</f>
        <v/>
      </c>
      <c r="I460" s="75" t="str">
        <f t="shared" si="15"/>
        <v/>
      </c>
    </row>
    <row r="461" spans="1:9" x14ac:dyDescent="0.25">
      <c r="A461" s="197">
        <f t="shared" si="14"/>
        <v>132</v>
      </c>
      <c r="B461" s="73"/>
      <c r="C461" s="73"/>
      <c r="D461" s="104"/>
      <c r="E461" s="122"/>
      <c r="F461" s="73" t="str">
        <f>IF(G461="KGS",IF(D461&lt;&gt;"",IFERROR(VLOOKUP(D461,ProductList!J:AO,12,FALSE),""),""),IF(D461&lt;&gt;"",IFERROR(VLOOKUP(D461,ProductList!J:AO,15,FALSE),""),""))</f>
        <v/>
      </c>
      <c r="G461" s="6"/>
      <c r="H461" s="75" t="str">
        <f>IF(G461="KGS",IF(D461&lt;&gt;"",IFERROR(ROUND(VLOOKUP(D461,ProductList!J:BG,46,FALSE),3),""),""),IF(D461&lt;&gt;"",IFERROR(ROUND(VLOOKUP(D461,ProductList!J:BG,45,FALSE),3),""),""))</f>
        <v/>
      </c>
      <c r="I461" s="75" t="str">
        <f t="shared" si="15"/>
        <v/>
      </c>
    </row>
    <row r="462" spans="1:9" x14ac:dyDescent="0.25">
      <c r="A462" s="197">
        <f t="shared" si="14"/>
        <v>132</v>
      </c>
      <c r="B462" s="73"/>
      <c r="C462" s="73"/>
      <c r="D462" s="104"/>
      <c r="E462" s="122"/>
      <c r="F462" s="73" t="str">
        <f>IF(G462="KGS",IF(D462&lt;&gt;"",IFERROR(VLOOKUP(D462,ProductList!J:AO,12,FALSE),""),""),IF(D462&lt;&gt;"",IFERROR(VLOOKUP(D462,ProductList!J:AO,15,FALSE),""),""))</f>
        <v/>
      </c>
      <c r="G462" s="6"/>
      <c r="H462" s="75" t="str">
        <f>IF(G462="KGS",IF(D462&lt;&gt;"",IFERROR(ROUND(VLOOKUP(D462,ProductList!J:BG,46,FALSE),3),""),""),IF(D462&lt;&gt;"",IFERROR(ROUND(VLOOKUP(D462,ProductList!J:BG,45,FALSE),3),""),""))</f>
        <v/>
      </c>
      <c r="I462" s="75" t="str">
        <f t="shared" si="15"/>
        <v/>
      </c>
    </row>
    <row r="463" spans="1:9" x14ac:dyDescent="0.25">
      <c r="A463" s="197">
        <f t="shared" si="14"/>
        <v>132</v>
      </c>
      <c r="B463" s="73"/>
      <c r="C463" s="73"/>
      <c r="D463" s="104"/>
      <c r="E463" s="122"/>
      <c r="F463" s="73" t="str">
        <f>IF(G463="KGS",IF(D463&lt;&gt;"",IFERROR(VLOOKUP(D463,ProductList!J:AO,12,FALSE),""),""),IF(D463&lt;&gt;"",IFERROR(VLOOKUP(D463,ProductList!J:AO,15,FALSE),""),""))</f>
        <v/>
      </c>
      <c r="G463" s="6"/>
      <c r="H463" s="75" t="str">
        <f>IF(G463="KGS",IF(D463&lt;&gt;"",IFERROR(ROUND(VLOOKUP(D463,ProductList!J:BG,46,FALSE),3),""),""),IF(D463&lt;&gt;"",IFERROR(ROUND(VLOOKUP(D463,ProductList!J:BG,45,FALSE),3),""),""))</f>
        <v/>
      </c>
      <c r="I463" s="75" t="str">
        <f t="shared" si="15"/>
        <v/>
      </c>
    </row>
    <row r="464" spans="1:9" x14ac:dyDescent="0.25">
      <c r="A464" s="197">
        <f t="shared" si="14"/>
        <v>132</v>
      </c>
      <c r="B464" s="73"/>
      <c r="C464" s="73"/>
      <c r="D464" s="104"/>
      <c r="E464" s="122"/>
      <c r="F464" s="73" t="str">
        <f>IF(G464="KGS",IF(D464&lt;&gt;"",IFERROR(VLOOKUP(D464,ProductList!J:AO,12,FALSE),""),""),IF(D464&lt;&gt;"",IFERROR(VLOOKUP(D464,ProductList!J:AO,15,FALSE),""),""))</f>
        <v/>
      </c>
      <c r="G464" s="6"/>
      <c r="H464" s="75" t="str">
        <f>IF(G464="KGS",IF(D464&lt;&gt;"",IFERROR(ROUND(VLOOKUP(D464,ProductList!J:BG,46,FALSE),3),""),""),IF(D464&lt;&gt;"",IFERROR(ROUND(VLOOKUP(D464,ProductList!J:BG,45,FALSE),3),""),""))</f>
        <v/>
      </c>
      <c r="I464" s="75" t="str">
        <f t="shared" si="15"/>
        <v/>
      </c>
    </row>
    <row r="465" spans="1:9" x14ac:dyDescent="0.25">
      <c r="A465" s="197">
        <f t="shared" si="14"/>
        <v>132</v>
      </c>
      <c r="B465" s="73"/>
      <c r="C465" s="73"/>
      <c r="D465" s="104"/>
      <c r="E465" s="122"/>
      <c r="F465" s="73" t="str">
        <f>IF(G465="KGS",IF(D465&lt;&gt;"",IFERROR(VLOOKUP(D465,ProductList!J:AO,12,FALSE),""),""),IF(D465&lt;&gt;"",IFERROR(VLOOKUP(D465,ProductList!J:AO,15,FALSE),""),""))</f>
        <v/>
      </c>
      <c r="G465" s="6"/>
      <c r="H465" s="75" t="str">
        <f>IF(G465="KGS",IF(D465&lt;&gt;"",IFERROR(ROUND(VLOOKUP(D465,ProductList!J:BG,46,FALSE),3),""),""),IF(D465&lt;&gt;"",IFERROR(ROUND(VLOOKUP(D465,ProductList!J:BG,45,FALSE),3),""),""))</f>
        <v/>
      </c>
      <c r="I465" s="75" t="str">
        <f t="shared" si="15"/>
        <v/>
      </c>
    </row>
    <row r="466" spans="1:9" x14ac:dyDescent="0.25">
      <c r="A466" s="197">
        <f t="shared" si="14"/>
        <v>132</v>
      </c>
      <c r="B466" s="73"/>
      <c r="C466" s="73"/>
      <c r="D466" s="104"/>
      <c r="E466" s="122"/>
      <c r="F466" s="73" t="str">
        <f>IF(G466="KGS",IF(D466&lt;&gt;"",IFERROR(VLOOKUP(D466,ProductList!J:AO,12,FALSE),""),""),IF(D466&lt;&gt;"",IFERROR(VLOOKUP(D466,ProductList!J:AO,15,FALSE),""),""))</f>
        <v/>
      </c>
      <c r="G466" s="6"/>
      <c r="H466" s="75" t="str">
        <f>IF(G466="KGS",IF(D466&lt;&gt;"",IFERROR(ROUND(VLOOKUP(D466,ProductList!J:BG,46,FALSE),3),""),""),IF(D466&lt;&gt;"",IFERROR(ROUND(VLOOKUP(D466,ProductList!J:BG,45,FALSE),3),""),""))</f>
        <v/>
      </c>
      <c r="I466" s="75" t="str">
        <f t="shared" si="15"/>
        <v/>
      </c>
    </row>
    <row r="467" spans="1:9" x14ac:dyDescent="0.25">
      <c r="A467" s="197">
        <f t="shared" si="14"/>
        <v>132</v>
      </c>
      <c r="B467" s="73"/>
      <c r="C467" s="73"/>
      <c r="D467" s="104"/>
      <c r="E467" s="122"/>
      <c r="F467" s="73" t="str">
        <f>IF(G467="KGS",IF(D467&lt;&gt;"",IFERROR(VLOOKUP(D467,ProductList!J:AO,12,FALSE),""),""),IF(D467&lt;&gt;"",IFERROR(VLOOKUP(D467,ProductList!J:AO,15,FALSE),""),""))</f>
        <v/>
      </c>
      <c r="G467" s="6"/>
      <c r="H467" s="75" t="str">
        <f>IF(G467="KGS",IF(D467&lt;&gt;"",IFERROR(ROUND(VLOOKUP(D467,ProductList!J:BG,46,FALSE),3),""),""),IF(D467&lt;&gt;"",IFERROR(ROUND(VLOOKUP(D467,ProductList!J:BG,45,FALSE),3),""),""))</f>
        <v/>
      </c>
      <c r="I467" s="75" t="str">
        <f t="shared" si="15"/>
        <v/>
      </c>
    </row>
    <row r="468" spans="1:9" x14ac:dyDescent="0.25">
      <c r="A468" s="197">
        <f t="shared" si="14"/>
        <v>132</v>
      </c>
      <c r="B468" s="73"/>
      <c r="C468" s="73"/>
      <c r="D468" s="104"/>
      <c r="E468" s="122"/>
      <c r="F468" s="73" t="str">
        <f>IF(G468="KGS",IF(D468&lt;&gt;"",IFERROR(VLOOKUP(D468,ProductList!J:AO,12,FALSE),""),""),IF(D468&lt;&gt;"",IFERROR(VLOOKUP(D468,ProductList!J:AO,15,FALSE),""),""))</f>
        <v/>
      </c>
      <c r="G468" s="6"/>
      <c r="H468" s="75" t="str">
        <f>IF(G468="KGS",IF(D468&lt;&gt;"",IFERROR(ROUND(VLOOKUP(D468,ProductList!J:BG,46,FALSE),3),""),""),IF(D468&lt;&gt;"",IFERROR(ROUND(VLOOKUP(D468,ProductList!J:BG,45,FALSE),3),""),""))</f>
        <v/>
      </c>
      <c r="I468" s="75" t="str">
        <f t="shared" si="15"/>
        <v/>
      </c>
    </row>
    <row r="469" spans="1:9" x14ac:dyDescent="0.25">
      <c r="A469" s="197">
        <f t="shared" si="14"/>
        <v>132</v>
      </c>
      <c r="B469" s="73"/>
      <c r="C469" s="73"/>
      <c r="D469" s="104"/>
      <c r="E469" s="122"/>
      <c r="F469" s="73" t="str">
        <f>IF(G469="KGS",IF(D469&lt;&gt;"",IFERROR(VLOOKUP(D469,ProductList!J:AO,12,FALSE),""),""),IF(D469&lt;&gt;"",IFERROR(VLOOKUP(D469,ProductList!J:AO,15,FALSE),""),""))</f>
        <v/>
      </c>
      <c r="G469" s="6"/>
      <c r="H469" s="75" t="str">
        <f>IF(G469="KGS",IF(D469&lt;&gt;"",IFERROR(ROUND(VLOOKUP(D469,ProductList!J:BG,46,FALSE),3),""),""),IF(D469&lt;&gt;"",IFERROR(ROUND(VLOOKUP(D469,ProductList!J:BG,45,FALSE),3),""),""))</f>
        <v/>
      </c>
      <c r="I469" s="75" t="str">
        <f t="shared" si="15"/>
        <v/>
      </c>
    </row>
    <row r="470" spans="1:9" x14ac:dyDescent="0.25">
      <c r="A470" s="197">
        <f t="shared" si="14"/>
        <v>132</v>
      </c>
      <c r="B470" s="73"/>
      <c r="C470" s="73"/>
      <c r="D470" s="104"/>
      <c r="E470" s="122"/>
      <c r="F470" s="73" t="str">
        <f>IF(G470="KGS",IF(D470&lt;&gt;"",IFERROR(VLOOKUP(D470,ProductList!J:AO,12,FALSE),""),""),IF(D470&lt;&gt;"",IFERROR(VLOOKUP(D470,ProductList!J:AO,15,FALSE),""),""))</f>
        <v/>
      </c>
      <c r="G470" s="6"/>
      <c r="H470" s="75" t="str">
        <f>IF(G470="KGS",IF(D470&lt;&gt;"",IFERROR(ROUND(VLOOKUP(D470,ProductList!J:BG,46,FALSE),3),""),""),IF(D470&lt;&gt;"",IFERROR(ROUND(VLOOKUP(D470,ProductList!J:BG,45,FALSE),3),""),""))</f>
        <v/>
      </c>
      <c r="I470" s="75" t="str">
        <f t="shared" si="15"/>
        <v/>
      </c>
    </row>
    <row r="471" spans="1:9" x14ac:dyDescent="0.25">
      <c r="A471" s="197">
        <f t="shared" si="14"/>
        <v>132</v>
      </c>
      <c r="B471" s="73"/>
      <c r="C471" s="73"/>
      <c r="D471" s="104"/>
      <c r="E471" s="122"/>
      <c r="F471" s="73" t="str">
        <f>IF(G471="KGS",IF(D471&lt;&gt;"",IFERROR(VLOOKUP(D471,ProductList!J:AO,12,FALSE),""),""),IF(D471&lt;&gt;"",IFERROR(VLOOKUP(D471,ProductList!J:AO,15,FALSE),""),""))</f>
        <v/>
      </c>
      <c r="G471" s="6"/>
      <c r="H471" s="75" t="str">
        <f>IF(G471="KGS",IF(D471&lt;&gt;"",IFERROR(ROUND(VLOOKUP(D471,ProductList!J:BG,46,FALSE),3),""),""),IF(D471&lt;&gt;"",IFERROR(ROUND(VLOOKUP(D471,ProductList!J:BG,45,FALSE),3),""),""))</f>
        <v/>
      </c>
      <c r="I471" s="75" t="str">
        <f t="shared" si="15"/>
        <v/>
      </c>
    </row>
    <row r="472" spans="1:9" x14ac:dyDescent="0.25">
      <c r="A472" s="197">
        <f t="shared" si="14"/>
        <v>132</v>
      </c>
      <c r="B472" s="73"/>
      <c r="C472" s="73"/>
      <c r="D472" s="104"/>
      <c r="E472" s="122"/>
      <c r="F472" s="73" t="str">
        <f>IF(G472="KGS",IF(D472&lt;&gt;"",IFERROR(VLOOKUP(D472,ProductList!J:AO,12,FALSE),""),""),IF(D472&lt;&gt;"",IFERROR(VLOOKUP(D472,ProductList!J:AO,15,FALSE),""),""))</f>
        <v/>
      </c>
      <c r="G472" s="6"/>
      <c r="H472" s="75" t="str">
        <f>IF(G472="KGS",IF(D472&lt;&gt;"",IFERROR(ROUND(VLOOKUP(D472,ProductList!J:BG,46,FALSE),3),""),""),IF(D472&lt;&gt;"",IFERROR(ROUND(VLOOKUP(D472,ProductList!J:BG,45,FALSE),3),""),""))</f>
        <v/>
      </c>
      <c r="I472" s="75" t="str">
        <f t="shared" si="15"/>
        <v/>
      </c>
    </row>
    <row r="473" spans="1:9" x14ac:dyDescent="0.25">
      <c r="A473" s="197">
        <f t="shared" si="14"/>
        <v>132</v>
      </c>
      <c r="B473" s="73"/>
      <c r="C473" s="73"/>
      <c r="D473" s="104"/>
      <c r="E473" s="122"/>
      <c r="F473" s="73" t="str">
        <f>IF(G473="KGS",IF(D473&lt;&gt;"",IFERROR(VLOOKUP(D473,ProductList!J:AO,12,FALSE),""),""),IF(D473&lt;&gt;"",IFERROR(VLOOKUP(D473,ProductList!J:AO,15,FALSE),""),""))</f>
        <v/>
      </c>
      <c r="G473" s="6"/>
      <c r="H473" s="75" t="str">
        <f>IF(G473="KGS",IF(D473&lt;&gt;"",IFERROR(ROUND(VLOOKUP(D473,ProductList!J:BG,46,FALSE),3),""),""),IF(D473&lt;&gt;"",IFERROR(ROUND(VLOOKUP(D473,ProductList!J:BG,45,FALSE),3),""),""))</f>
        <v/>
      </c>
      <c r="I473" s="75" t="str">
        <f t="shared" si="15"/>
        <v/>
      </c>
    </row>
    <row r="474" spans="1:9" x14ac:dyDescent="0.25">
      <c r="A474" s="197">
        <f t="shared" si="14"/>
        <v>132</v>
      </c>
      <c r="B474" s="73"/>
      <c r="C474" s="73"/>
      <c r="D474" s="104"/>
      <c r="E474" s="122"/>
      <c r="F474" s="73" t="str">
        <f>IF(G474="KGS",IF(D474&lt;&gt;"",IFERROR(VLOOKUP(D474,ProductList!J:AO,12,FALSE),""),""),IF(D474&lt;&gt;"",IFERROR(VLOOKUP(D474,ProductList!J:AO,15,FALSE),""),""))</f>
        <v/>
      </c>
      <c r="G474" s="6"/>
      <c r="H474" s="75" t="str">
        <f>IF(G474="KGS",IF(D474&lt;&gt;"",IFERROR(ROUND(VLOOKUP(D474,ProductList!J:BG,46,FALSE),3),""),""),IF(D474&lt;&gt;"",IFERROR(ROUND(VLOOKUP(D474,ProductList!J:BG,45,FALSE),3),""),""))</f>
        <v/>
      </c>
      <c r="I474" s="75" t="str">
        <f t="shared" si="15"/>
        <v/>
      </c>
    </row>
    <row r="475" spans="1:9" x14ac:dyDescent="0.25">
      <c r="A475" s="197">
        <f t="shared" si="14"/>
        <v>132</v>
      </c>
      <c r="B475" s="73"/>
      <c r="C475" s="73"/>
      <c r="D475" s="104"/>
      <c r="E475" s="122"/>
      <c r="F475" s="73" t="str">
        <f>IF(G475="KGS",IF(D475&lt;&gt;"",IFERROR(VLOOKUP(D475,ProductList!J:AO,12,FALSE),""),""),IF(D475&lt;&gt;"",IFERROR(VLOOKUP(D475,ProductList!J:AO,15,FALSE),""),""))</f>
        <v/>
      </c>
      <c r="G475" s="6"/>
      <c r="H475" s="75" t="str">
        <f>IF(G475="KGS",IF(D475&lt;&gt;"",IFERROR(ROUND(VLOOKUP(D475,ProductList!J:BG,46,FALSE),3),""),""),IF(D475&lt;&gt;"",IFERROR(ROUND(VLOOKUP(D475,ProductList!J:BG,45,FALSE),3),""),""))</f>
        <v/>
      </c>
      <c r="I475" s="75" t="str">
        <f t="shared" si="15"/>
        <v/>
      </c>
    </row>
    <row r="476" spans="1:9" x14ac:dyDescent="0.25">
      <c r="A476" s="197">
        <f t="shared" si="14"/>
        <v>132</v>
      </c>
      <c r="B476" s="73"/>
      <c r="C476" s="73"/>
      <c r="D476" s="104"/>
      <c r="E476" s="122"/>
      <c r="F476" s="73" t="str">
        <f>IF(G476="KGS",IF(D476&lt;&gt;"",IFERROR(VLOOKUP(D476,ProductList!J:AO,12,FALSE),""),""),IF(D476&lt;&gt;"",IFERROR(VLOOKUP(D476,ProductList!J:AO,15,FALSE),""),""))</f>
        <v/>
      </c>
      <c r="G476" s="6"/>
      <c r="H476" s="75" t="str">
        <f>IF(G476="KGS",IF(D476&lt;&gt;"",IFERROR(ROUND(VLOOKUP(D476,ProductList!J:BG,46,FALSE),3),""),""),IF(D476&lt;&gt;"",IFERROR(ROUND(VLOOKUP(D476,ProductList!J:BG,45,FALSE),3),""),""))</f>
        <v/>
      </c>
      <c r="I476" s="75" t="str">
        <f t="shared" si="15"/>
        <v/>
      </c>
    </row>
    <row r="477" spans="1:9" x14ac:dyDescent="0.25">
      <c r="A477" s="197">
        <f t="shared" si="14"/>
        <v>132</v>
      </c>
      <c r="B477" s="73"/>
      <c r="C477" s="73"/>
      <c r="D477" s="104"/>
      <c r="E477" s="122"/>
      <c r="F477" s="73" t="str">
        <f>IF(G477="KGS",IF(D477&lt;&gt;"",IFERROR(VLOOKUP(D477,ProductList!J:AO,12,FALSE),""),""),IF(D477&lt;&gt;"",IFERROR(VLOOKUP(D477,ProductList!J:AO,15,FALSE),""),""))</f>
        <v/>
      </c>
      <c r="G477" s="6"/>
      <c r="H477" s="75" t="str">
        <f>IF(G477="KGS",IF(D477&lt;&gt;"",IFERROR(ROUND(VLOOKUP(D477,ProductList!J:BG,46,FALSE),3),""),""),IF(D477&lt;&gt;"",IFERROR(ROUND(VLOOKUP(D477,ProductList!J:BG,45,FALSE),3),""),""))</f>
        <v/>
      </c>
      <c r="I477" s="75" t="str">
        <f t="shared" si="15"/>
        <v/>
      </c>
    </row>
    <row r="478" spans="1:9" x14ac:dyDescent="0.25">
      <c r="A478" s="197">
        <f t="shared" si="14"/>
        <v>132</v>
      </c>
      <c r="B478" s="73"/>
      <c r="C478" s="73"/>
      <c r="D478" s="104"/>
      <c r="E478" s="122"/>
      <c r="F478" s="73" t="str">
        <f>IF(G478="KGS",IF(D478&lt;&gt;"",IFERROR(VLOOKUP(D478,ProductList!J:AO,12,FALSE),""),""),IF(D478&lt;&gt;"",IFERROR(VLOOKUP(D478,ProductList!J:AO,15,FALSE),""),""))</f>
        <v/>
      </c>
      <c r="G478" s="6"/>
      <c r="H478" s="75" t="str">
        <f>IF(G478="KGS",IF(D478&lt;&gt;"",IFERROR(ROUND(VLOOKUP(D478,ProductList!J:BG,46,FALSE),3),""),""),IF(D478&lt;&gt;"",IFERROR(ROUND(VLOOKUP(D478,ProductList!J:BG,45,FALSE),3),""),""))</f>
        <v/>
      </c>
      <c r="I478" s="75" t="str">
        <f t="shared" si="15"/>
        <v/>
      </c>
    </row>
    <row r="479" spans="1:9" x14ac:dyDescent="0.25">
      <c r="A479" s="197">
        <f t="shared" si="14"/>
        <v>132</v>
      </c>
      <c r="B479" s="73"/>
      <c r="C479" s="73"/>
      <c r="D479" s="104"/>
      <c r="E479" s="122"/>
      <c r="F479" s="73" t="str">
        <f>IF(G479="KGS",IF(D479&lt;&gt;"",IFERROR(VLOOKUP(D479,ProductList!J:AO,12,FALSE),""),""),IF(D479&lt;&gt;"",IFERROR(VLOOKUP(D479,ProductList!J:AO,15,FALSE),""),""))</f>
        <v/>
      </c>
      <c r="G479" s="6"/>
      <c r="H479" s="75" t="str">
        <f>IF(G479="KGS",IF(D479&lt;&gt;"",IFERROR(ROUND(VLOOKUP(D479,ProductList!J:BG,46,FALSE),3),""),""),IF(D479&lt;&gt;"",IFERROR(ROUND(VLOOKUP(D479,ProductList!J:BG,45,FALSE),3),""),""))</f>
        <v/>
      </c>
      <c r="I479" s="75" t="str">
        <f t="shared" si="15"/>
        <v/>
      </c>
    </row>
    <row r="480" spans="1:9" x14ac:dyDescent="0.25">
      <c r="A480" s="197">
        <f t="shared" si="14"/>
        <v>132</v>
      </c>
      <c r="B480" s="73"/>
      <c r="C480" s="73"/>
      <c r="D480" s="104"/>
      <c r="E480" s="122"/>
      <c r="F480" s="73" t="str">
        <f>IF(G480="KGS",IF(D480&lt;&gt;"",IFERROR(VLOOKUP(D480,ProductList!J:AO,12,FALSE),""),""),IF(D480&lt;&gt;"",IFERROR(VLOOKUP(D480,ProductList!J:AO,15,FALSE),""),""))</f>
        <v/>
      </c>
      <c r="G480" s="6"/>
      <c r="H480" s="75" t="str">
        <f>IF(G480="KGS",IF(D480&lt;&gt;"",IFERROR(ROUND(VLOOKUP(D480,ProductList!J:BG,46,FALSE),3),""),""),IF(D480&lt;&gt;"",IFERROR(ROUND(VLOOKUP(D480,ProductList!J:BG,45,FALSE),3),""),""))</f>
        <v/>
      </c>
      <c r="I480" s="75" t="str">
        <f t="shared" si="15"/>
        <v/>
      </c>
    </row>
    <row r="481" spans="1:9" x14ac:dyDescent="0.25">
      <c r="A481" s="197">
        <f t="shared" si="14"/>
        <v>132</v>
      </c>
      <c r="B481" s="73"/>
      <c r="C481" s="73"/>
      <c r="D481" s="104"/>
      <c r="E481" s="122"/>
      <c r="F481" s="73" t="str">
        <f>IF(G481="KGS",IF(D481&lt;&gt;"",IFERROR(VLOOKUP(D481,ProductList!J:AO,12,FALSE),""),""),IF(D481&lt;&gt;"",IFERROR(VLOOKUP(D481,ProductList!J:AO,15,FALSE),""),""))</f>
        <v/>
      </c>
      <c r="G481" s="6"/>
      <c r="H481" s="75" t="str">
        <f>IF(G481="KGS",IF(D481&lt;&gt;"",IFERROR(ROUND(VLOOKUP(D481,ProductList!J:BG,46,FALSE),3),""),""),IF(D481&lt;&gt;"",IFERROR(ROUND(VLOOKUP(D481,ProductList!J:BG,45,FALSE),3),""),""))</f>
        <v/>
      </c>
      <c r="I481" s="75" t="str">
        <f t="shared" si="15"/>
        <v/>
      </c>
    </row>
    <row r="482" spans="1:9" x14ac:dyDescent="0.25">
      <c r="A482" s="197">
        <f t="shared" si="14"/>
        <v>132</v>
      </c>
      <c r="B482" s="73"/>
      <c r="C482" s="73"/>
      <c r="D482" s="104"/>
      <c r="E482" s="122"/>
      <c r="F482" s="73" t="str">
        <f>IF(G482="KGS",IF(D482&lt;&gt;"",IFERROR(VLOOKUP(D482,ProductList!J:AO,12,FALSE),""),""),IF(D482&lt;&gt;"",IFERROR(VLOOKUP(D482,ProductList!J:AO,15,FALSE),""),""))</f>
        <v/>
      </c>
      <c r="G482" s="6"/>
      <c r="H482" s="75" t="str">
        <f>IF(G482="KGS",IF(D482&lt;&gt;"",IFERROR(ROUND(VLOOKUP(D482,ProductList!J:BG,46,FALSE),3),""),""),IF(D482&lt;&gt;"",IFERROR(ROUND(VLOOKUP(D482,ProductList!J:BG,45,FALSE),3),""),""))</f>
        <v/>
      </c>
      <c r="I482" s="75" t="str">
        <f t="shared" si="15"/>
        <v/>
      </c>
    </row>
    <row r="483" spans="1:9" x14ac:dyDescent="0.25">
      <c r="A483" s="197">
        <f t="shared" si="14"/>
        <v>132</v>
      </c>
      <c r="B483" s="73"/>
      <c r="C483" s="73"/>
      <c r="D483" s="104"/>
      <c r="E483" s="122"/>
      <c r="F483" s="73" t="str">
        <f>IF(G483="KGS",IF(D483&lt;&gt;"",IFERROR(VLOOKUP(D483,ProductList!J:AO,12,FALSE),""),""),IF(D483&lt;&gt;"",IFERROR(VLOOKUP(D483,ProductList!J:AO,15,FALSE),""),""))</f>
        <v/>
      </c>
      <c r="G483" s="6"/>
      <c r="H483" s="75" t="str">
        <f>IF(G483="KGS",IF(D483&lt;&gt;"",IFERROR(ROUND(VLOOKUP(D483,ProductList!J:BG,46,FALSE),3),""),""),IF(D483&lt;&gt;"",IFERROR(ROUND(VLOOKUP(D483,ProductList!J:BG,45,FALSE),3),""),""))</f>
        <v/>
      </c>
      <c r="I483" s="75" t="str">
        <f t="shared" si="15"/>
        <v/>
      </c>
    </row>
    <row r="484" spans="1:9" x14ac:dyDescent="0.25">
      <c r="A484" s="197">
        <f t="shared" si="14"/>
        <v>132</v>
      </c>
      <c r="B484" s="73"/>
      <c r="C484" s="73"/>
      <c r="D484" s="104"/>
      <c r="E484" s="122"/>
      <c r="F484" s="73" t="str">
        <f>IF(G484="KGS",IF(D484&lt;&gt;"",IFERROR(VLOOKUP(D484,ProductList!J:AO,12,FALSE),""),""),IF(D484&lt;&gt;"",IFERROR(VLOOKUP(D484,ProductList!J:AO,15,FALSE),""),""))</f>
        <v/>
      </c>
      <c r="G484" s="6"/>
      <c r="H484" s="75" t="str">
        <f>IF(G484="KGS",IF(D484&lt;&gt;"",IFERROR(ROUND(VLOOKUP(D484,ProductList!J:BG,46,FALSE),3),""),""),IF(D484&lt;&gt;"",IFERROR(ROUND(VLOOKUP(D484,ProductList!J:BG,45,FALSE),3),""),""))</f>
        <v/>
      </c>
      <c r="I484" s="75" t="str">
        <f t="shared" si="15"/>
        <v/>
      </c>
    </row>
    <row r="485" spans="1:9" x14ac:dyDescent="0.25">
      <c r="A485" s="197">
        <f t="shared" si="14"/>
        <v>132</v>
      </c>
      <c r="B485" s="73"/>
      <c r="C485" s="73"/>
      <c r="D485" s="104"/>
      <c r="E485" s="122"/>
      <c r="F485" s="73" t="str">
        <f>IF(G485="KGS",IF(D485&lt;&gt;"",IFERROR(VLOOKUP(D485,ProductList!J:AO,12,FALSE),""),""),IF(D485&lt;&gt;"",IFERROR(VLOOKUP(D485,ProductList!J:AO,15,FALSE),""),""))</f>
        <v/>
      </c>
      <c r="G485" s="6"/>
      <c r="H485" s="75" t="str">
        <f>IF(G485="KGS",IF(D485&lt;&gt;"",IFERROR(ROUND(VLOOKUP(D485,ProductList!J:BG,46,FALSE),3),""),""),IF(D485&lt;&gt;"",IFERROR(ROUND(VLOOKUP(D485,ProductList!J:BG,45,FALSE),3),""),""))</f>
        <v/>
      </c>
      <c r="I485" s="75" t="str">
        <f t="shared" si="15"/>
        <v/>
      </c>
    </row>
    <row r="486" spans="1:9" x14ac:dyDescent="0.25">
      <c r="A486" s="197">
        <f t="shared" si="14"/>
        <v>132</v>
      </c>
      <c r="B486" s="73"/>
      <c r="C486" s="73"/>
      <c r="D486" s="104"/>
      <c r="E486" s="122"/>
      <c r="F486" s="73" t="str">
        <f>IF(G486="KGS",IF(D486&lt;&gt;"",IFERROR(VLOOKUP(D486,ProductList!J:AO,12,FALSE),""),""),IF(D486&lt;&gt;"",IFERROR(VLOOKUP(D486,ProductList!J:AO,15,FALSE),""),""))</f>
        <v/>
      </c>
      <c r="G486" s="6"/>
      <c r="H486" s="75" t="str">
        <f>IF(G486="KGS",IF(D486&lt;&gt;"",IFERROR(ROUND(VLOOKUP(D486,ProductList!J:BG,46,FALSE),3),""),""),IF(D486&lt;&gt;"",IFERROR(ROUND(VLOOKUP(D486,ProductList!J:BG,45,FALSE),3),""),""))</f>
        <v/>
      </c>
      <c r="I486" s="75" t="str">
        <f t="shared" si="15"/>
        <v/>
      </c>
    </row>
    <row r="487" spans="1:9" x14ac:dyDescent="0.25">
      <c r="A487" s="197">
        <f t="shared" si="14"/>
        <v>132</v>
      </c>
      <c r="B487" s="73"/>
      <c r="C487" s="73"/>
      <c r="D487" s="104"/>
      <c r="E487" s="122"/>
      <c r="F487" s="73" t="str">
        <f>IF(G487="KGS",IF(D487&lt;&gt;"",IFERROR(VLOOKUP(D487,ProductList!J:AO,12,FALSE),""),""),IF(D487&lt;&gt;"",IFERROR(VLOOKUP(D487,ProductList!J:AO,15,FALSE),""),""))</f>
        <v/>
      </c>
      <c r="G487" s="6"/>
      <c r="H487" s="75" t="str">
        <f>IF(G487="KGS",IF(D487&lt;&gt;"",IFERROR(ROUND(VLOOKUP(D487,ProductList!J:BG,46,FALSE),3),""),""),IF(D487&lt;&gt;"",IFERROR(ROUND(VLOOKUP(D487,ProductList!J:BG,45,FALSE),3),""),""))</f>
        <v/>
      </c>
      <c r="I487" s="75" t="str">
        <f t="shared" si="15"/>
        <v/>
      </c>
    </row>
    <row r="488" spans="1:9" x14ac:dyDescent="0.25">
      <c r="A488" s="197">
        <f t="shared" si="14"/>
        <v>132</v>
      </c>
      <c r="B488" s="73"/>
      <c r="C488" s="73"/>
      <c r="D488" s="104"/>
      <c r="E488" s="122"/>
      <c r="F488" s="73" t="str">
        <f>IF(G488="KGS",IF(D488&lt;&gt;"",IFERROR(VLOOKUP(D488,ProductList!J:AO,12,FALSE),""),""),IF(D488&lt;&gt;"",IFERROR(VLOOKUP(D488,ProductList!J:AO,15,FALSE),""),""))</f>
        <v/>
      </c>
      <c r="G488" s="6"/>
      <c r="H488" s="75" t="str">
        <f>IF(G488="KGS",IF(D488&lt;&gt;"",IFERROR(ROUND(VLOOKUP(D488,ProductList!J:BG,46,FALSE),3),""),""),IF(D488&lt;&gt;"",IFERROR(ROUND(VLOOKUP(D488,ProductList!J:BG,45,FALSE),3),""),""))</f>
        <v/>
      </c>
      <c r="I488" s="75" t="str">
        <f t="shared" si="15"/>
        <v/>
      </c>
    </row>
    <row r="489" spans="1:9" x14ac:dyDescent="0.25">
      <c r="A489" s="197">
        <f t="shared" si="14"/>
        <v>132</v>
      </c>
      <c r="B489" s="73"/>
      <c r="C489" s="73"/>
      <c r="D489" s="104"/>
      <c r="E489" s="122"/>
      <c r="F489" s="73" t="str">
        <f>IF(G489="KGS",IF(D489&lt;&gt;"",IFERROR(VLOOKUP(D489,ProductList!J:AO,12,FALSE),""),""),IF(D489&lt;&gt;"",IFERROR(VLOOKUP(D489,ProductList!J:AO,15,FALSE),""),""))</f>
        <v/>
      </c>
      <c r="G489" s="6"/>
      <c r="H489" s="75" t="str">
        <f>IF(G489="KGS",IF(D489&lt;&gt;"",IFERROR(ROUND(VLOOKUP(D489,ProductList!J:BG,46,FALSE),3),""),""),IF(D489&lt;&gt;"",IFERROR(ROUND(VLOOKUP(D489,ProductList!J:BG,45,FALSE),3),""),""))</f>
        <v/>
      </c>
      <c r="I489" s="75" t="str">
        <f t="shared" si="15"/>
        <v/>
      </c>
    </row>
    <row r="490" spans="1:9" x14ac:dyDescent="0.25">
      <c r="A490" s="197">
        <f t="shared" si="14"/>
        <v>132</v>
      </c>
      <c r="B490" s="73"/>
      <c r="C490" s="73"/>
      <c r="D490" s="104"/>
      <c r="E490" s="122"/>
      <c r="F490" s="73" t="str">
        <f>IF(G490="KGS",IF(D490&lt;&gt;"",IFERROR(VLOOKUP(D490,ProductList!J:AO,12,FALSE),""),""),IF(D490&lt;&gt;"",IFERROR(VLOOKUP(D490,ProductList!J:AO,15,FALSE),""),""))</f>
        <v/>
      </c>
      <c r="G490" s="6"/>
      <c r="H490" s="75" t="str">
        <f>IF(G490="KGS",IF(D490&lt;&gt;"",IFERROR(ROUND(VLOOKUP(D490,ProductList!J:BG,46,FALSE),3),""),""),IF(D490&lt;&gt;"",IFERROR(ROUND(VLOOKUP(D490,ProductList!J:BG,45,FALSE),3),""),""))</f>
        <v/>
      </c>
      <c r="I490" s="75" t="str">
        <f t="shared" si="15"/>
        <v/>
      </c>
    </row>
    <row r="491" spans="1:9" x14ac:dyDescent="0.25">
      <c r="A491" s="197">
        <f t="shared" si="14"/>
        <v>132</v>
      </c>
      <c r="B491" s="73"/>
      <c r="C491" s="73"/>
      <c r="D491" s="104"/>
      <c r="E491" s="122"/>
      <c r="F491" s="73" t="str">
        <f>IF(G491="KGS",IF(D491&lt;&gt;"",IFERROR(VLOOKUP(D491,ProductList!J:AO,12,FALSE),""),""),IF(D491&lt;&gt;"",IFERROR(VLOOKUP(D491,ProductList!J:AO,15,FALSE),""),""))</f>
        <v/>
      </c>
      <c r="G491" s="6"/>
      <c r="H491" s="75" t="str">
        <f>IF(G491="KGS",IF(D491&lt;&gt;"",IFERROR(ROUND(VLOOKUP(D491,ProductList!J:BG,46,FALSE),3),""),""),IF(D491&lt;&gt;"",IFERROR(ROUND(VLOOKUP(D491,ProductList!J:BG,45,FALSE),3),""),""))</f>
        <v/>
      </c>
      <c r="I491" s="75" t="str">
        <f t="shared" si="15"/>
        <v/>
      </c>
    </row>
    <row r="492" spans="1:9" x14ac:dyDescent="0.25">
      <c r="A492" s="197">
        <f t="shared" si="14"/>
        <v>132</v>
      </c>
      <c r="B492" s="73"/>
      <c r="C492" s="73"/>
      <c r="D492" s="104"/>
      <c r="E492" s="122"/>
      <c r="F492" s="73" t="str">
        <f>IF(G492="KGS",IF(D492&lt;&gt;"",IFERROR(VLOOKUP(D492,ProductList!J:AO,12,FALSE),""),""),IF(D492&lt;&gt;"",IFERROR(VLOOKUP(D492,ProductList!J:AO,15,FALSE),""),""))</f>
        <v/>
      </c>
      <c r="G492" s="6"/>
      <c r="H492" s="75" t="str">
        <f>IF(G492="KGS",IF(D492&lt;&gt;"",IFERROR(ROUND(VLOOKUP(D492,ProductList!J:BG,46,FALSE),3),""),""),IF(D492&lt;&gt;"",IFERROR(ROUND(VLOOKUP(D492,ProductList!J:BG,45,FALSE),3),""),""))</f>
        <v/>
      </c>
      <c r="I492" s="75" t="str">
        <f t="shared" si="15"/>
        <v/>
      </c>
    </row>
    <row r="493" spans="1:9" x14ac:dyDescent="0.25">
      <c r="A493" s="197">
        <f t="shared" si="14"/>
        <v>132</v>
      </c>
      <c r="B493" s="73"/>
      <c r="C493" s="73"/>
      <c r="D493" s="104"/>
      <c r="E493" s="122"/>
      <c r="F493" s="73" t="str">
        <f>IF(G493="KGS",IF(D493&lt;&gt;"",IFERROR(VLOOKUP(D493,ProductList!J:AO,12,FALSE),""),""),IF(D493&lt;&gt;"",IFERROR(VLOOKUP(D493,ProductList!J:AO,15,FALSE),""),""))</f>
        <v/>
      </c>
      <c r="G493" s="6"/>
      <c r="H493" s="75" t="str">
        <f>IF(G493="KGS",IF(D493&lt;&gt;"",IFERROR(ROUND(VLOOKUP(D493,ProductList!J:BG,46,FALSE),3),""),""),IF(D493&lt;&gt;"",IFERROR(ROUND(VLOOKUP(D493,ProductList!J:BG,45,FALSE),3),""),""))</f>
        <v/>
      </c>
      <c r="I493" s="75" t="str">
        <f t="shared" si="15"/>
        <v/>
      </c>
    </row>
    <row r="494" spans="1:9" x14ac:dyDescent="0.25">
      <c r="A494" s="197">
        <f t="shared" si="14"/>
        <v>132</v>
      </c>
      <c r="B494" s="73"/>
      <c r="C494" s="73"/>
      <c r="D494" s="104"/>
      <c r="E494" s="122"/>
      <c r="F494" s="73" t="str">
        <f>IF(G494="KGS",IF(D494&lt;&gt;"",IFERROR(VLOOKUP(D494,ProductList!J:AO,12,FALSE),""),""),IF(D494&lt;&gt;"",IFERROR(VLOOKUP(D494,ProductList!J:AO,15,FALSE),""),""))</f>
        <v/>
      </c>
      <c r="G494" s="6"/>
      <c r="H494" s="75" t="str">
        <f>IF(G494="KGS",IF(D494&lt;&gt;"",IFERROR(ROUND(VLOOKUP(D494,ProductList!J:BG,46,FALSE),3),""),""),IF(D494&lt;&gt;"",IFERROR(ROUND(VLOOKUP(D494,ProductList!J:BG,45,FALSE),3),""),""))</f>
        <v/>
      </c>
      <c r="I494" s="75" t="str">
        <f t="shared" si="15"/>
        <v/>
      </c>
    </row>
    <row r="495" spans="1:9" x14ac:dyDescent="0.25">
      <c r="A495" s="197">
        <f t="shared" si="14"/>
        <v>132</v>
      </c>
      <c r="B495" s="73"/>
      <c r="C495" s="73"/>
      <c r="D495" s="104"/>
      <c r="E495" s="122"/>
      <c r="F495" s="73" t="str">
        <f>IF(G495="KGS",IF(D495&lt;&gt;"",IFERROR(VLOOKUP(D495,ProductList!J:AO,12,FALSE),""),""),IF(D495&lt;&gt;"",IFERROR(VLOOKUP(D495,ProductList!J:AO,15,FALSE),""),""))</f>
        <v/>
      </c>
      <c r="G495" s="6"/>
      <c r="H495" s="75" t="str">
        <f>IF(G495="KGS",IF(D495&lt;&gt;"",IFERROR(ROUND(VLOOKUP(D495,ProductList!J:BG,46,FALSE),3),""),""),IF(D495&lt;&gt;"",IFERROR(ROUND(VLOOKUP(D495,ProductList!J:BG,45,FALSE),3),""),""))</f>
        <v/>
      </c>
      <c r="I495" s="75" t="str">
        <f t="shared" si="15"/>
        <v/>
      </c>
    </row>
    <row r="496" spans="1:9" x14ac:dyDescent="0.25">
      <c r="A496" s="197">
        <f t="shared" si="14"/>
        <v>132</v>
      </c>
      <c r="B496" s="73"/>
      <c r="C496" s="73"/>
      <c r="D496" s="104"/>
      <c r="E496" s="122"/>
      <c r="F496" s="73" t="str">
        <f>IF(G496="KGS",IF(D496&lt;&gt;"",IFERROR(VLOOKUP(D496,ProductList!J:AO,12,FALSE),""),""),IF(D496&lt;&gt;"",IFERROR(VLOOKUP(D496,ProductList!J:AO,15,FALSE),""),""))</f>
        <v/>
      </c>
      <c r="G496" s="6"/>
      <c r="H496" s="75" t="str">
        <f>IF(G496="KGS",IF(D496&lt;&gt;"",IFERROR(ROUND(VLOOKUP(D496,ProductList!J:BG,46,FALSE),3),""),""),IF(D496&lt;&gt;"",IFERROR(ROUND(VLOOKUP(D496,ProductList!J:BG,45,FALSE),3),""),""))</f>
        <v/>
      </c>
      <c r="I496" s="75" t="str">
        <f t="shared" si="15"/>
        <v/>
      </c>
    </row>
    <row r="497" spans="1:9" x14ac:dyDescent="0.25">
      <c r="A497" s="197">
        <f t="shared" si="14"/>
        <v>132</v>
      </c>
      <c r="B497" s="73"/>
      <c r="C497" s="73"/>
      <c r="D497" s="104"/>
      <c r="E497" s="122"/>
      <c r="F497" s="73" t="str">
        <f>IF(G497="KGS",IF(D497&lt;&gt;"",IFERROR(VLOOKUP(D497,ProductList!J:AO,12,FALSE),""),""),IF(D497&lt;&gt;"",IFERROR(VLOOKUP(D497,ProductList!J:AO,15,FALSE),""),""))</f>
        <v/>
      </c>
      <c r="G497" s="6"/>
      <c r="H497" s="75" t="str">
        <f>IF(G497="KGS",IF(D497&lt;&gt;"",IFERROR(ROUND(VLOOKUP(D497,ProductList!J:BG,46,FALSE),3),""),""),IF(D497&lt;&gt;"",IFERROR(ROUND(VLOOKUP(D497,ProductList!J:BG,45,FALSE),3),""),""))</f>
        <v/>
      </c>
      <c r="I497" s="75" t="str">
        <f t="shared" si="15"/>
        <v/>
      </c>
    </row>
    <row r="498" spans="1:9" x14ac:dyDescent="0.25">
      <c r="A498" s="197">
        <f t="shared" si="14"/>
        <v>132</v>
      </c>
      <c r="B498" s="73"/>
      <c r="C498" s="73"/>
      <c r="D498" s="104"/>
      <c r="E498" s="122"/>
      <c r="F498" s="73" t="str">
        <f>IF(G498="KGS",IF(D498&lt;&gt;"",IFERROR(VLOOKUP(D498,ProductList!J:AO,12,FALSE),""),""),IF(D498&lt;&gt;"",IFERROR(VLOOKUP(D498,ProductList!J:AO,15,FALSE),""),""))</f>
        <v/>
      </c>
      <c r="G498" s="6"/>
      <c r="H498" s="75" t="str">
        <f>IF(G498="KGS",IF(D498&lt;&gt;"",IFERROR(ROUND(VLOOKUP(D498,ProductList!J:BG,46,FALSE),3),""),""),IF(D498&lt;&gt;"",IFERROR(ROUND(VLOOKUP(D498,ProductList!J:BG,45,FALSE),3),""),""))</f>
        <v/>
      </c>
      <c r="I498" s="75" t="str">
        <f t="shared" si="15"/>
        <v/>
      </c>
    </row>
    <row r="499" spans="1:9" x14ac:dyDescent="0.25">
      <c r="E499" s="123"/>
      <c r="G499" s="12"/>
      <c r="H499" s="12"/>
      <c r="I499" s="12"/>
    </row>
    <row r="500" spans="1:9" x14ac:dyDescent="0.25">
      <c r="E500" s="123"/>
      <c r="G500" s="12"/>
      <c r="H500" s="12"/>
      <c r="I500" s="12"/>
    </row>
    <row r="501" spans="1:9" x14ac:dyDescent="0.25">
      <c r="E501" s="123"/>
      <c r="G501" s="12"/>
      <c r="H501" s="12"/>
      <c r="I501" s="12"/>
    </row>
    <row r="502" spans="1:9" x14ac:dyDescent="0.25">
      <c r="E502" s="123"/>
      <c r="G502" s="12"/>
      <c r="H502" s="12"/>
      <c r="I502" s="12"/>
    </row>
    <row r="503" spans="1:9" x14ac:dyDescent="0.25">
      <c r="E503" s="123"/>
      <c r="G503" s="12"/>
      <c r="H503" s="12"/>
      <c r="I503" s="12"/>
    </row>
    <row r="504" spans="1:9" x14ac:dyDescent="0.25">
      <c r="E504" s="123"/>
      <c r="G504" s="12"/>
      <c r="H504" s="12"/>
      <c r="I504" s="12"/>
    </row>
    <row r="505" spans="1:9" x14ac:dyDescent="0.25">
      <c r="E505" s="123"/>
      <c r="G505" s="12"/>
      <c r="H505" s="12"/>
      <c r="I505" s="12"/>
    </row>
    <row r="506" spans="1:9" x14ac:dyDescent="0.25">
      <c r="E506" s="123"/>
      <c r="G506" s="12"/>
      <c r="H506" s="12"/>
      <c r="I506" s="12"/>
    </row>
  </sheetData>
  <mergeCells count="3">
    <mergeCell ref="B1:D1"/>
    <mergeCell ref="B2:I2"/>
    <mergeCell ref="F3:G3"/>
  </mergeCells>
  <conditionalFormatting sqref="G4:G498">
    <cfRule type="expression" dxfId="0" priority="1">
      <formula>#REF!&gt;$G4</formula>
    </cfRule>
  </conditionalFormatting>
  <dataValidations count="1">
    <dataValidation type="list" allowBlank="1" showInputMessage="1" showErrorMessage="1" sqref="G5:G1048576" xr:uid="{37F219C2-669C-4370-9C2B-511379AEE4A6}">
      <formula1>"KGS,PCS,DOZ,LTR"</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A3925-7D4F-4D70-A38C-E52CD9F70DB7}">
  <dimension ref="A1:BB200"/>
  <sheetViews>
    <sheetView topLeftCell="A113" workbookViewId="0">
      <selection activeCell="E83" sqref="E83"/>
    </sheetView>
  </sheetViews>
  <sheetFormatPr defaultColWidth="11.5703125" defaultRowHeight="15" x14ac:dyDescent="0.25"/>
  <cols>
    <col min="1" max="1" width="11.85546875" style="276" customWidth="1"/>
    <col min="2" max="2" width="13.85546875" customWidth="1"/>
    <col min="3" max="3" width="61.5703125" style="281" bestFit="1" customWidth="1"/>
    <col min="4" max="4" width="13.7109375" customWidth="1"/>
    <col min="5" max="5" width="18" style="277" bestFit="1" customWidth="1"/>
    <col min="6" max="6" width="13.85546875" customWidth="1"/>
    <col min="7" max="7" width="14.140625" style="281" customWidth="1"/>
    <col min="8" max="8" width="15.5703125" style="276" customWidth="1"/>
    <col min="10" max="10" width="17" style="277" customWidth="1"/>
    <col min="11" max="11" width="16.42578125" style="277" customWidth="1"/>
    <col min="12" max="12" width="15" customWidth="1"/>
    <col min="257" max="257" width="11.85546875" customWidth="1"/>
    <col min="258" max="258" width="13.85546875" customWidth="1"/>
    <col min="259" max="259" width="61.5703125" bestFit="1" customWidth="1"/>
    <col min="260" max="260" width="13.7109375" customWidth="1"/>
    <col min="261" max="261" width="18" bestFit="1" customWidth="1"/>
    <col min="262" max="262" width="13.85546875" customWidth="1"/>
    <col min="263" max="263" width="14.140625" customWidth="1"/>
    <col min="264" max="264" width="15.5703125" customWidth="1"/>
    <col min="266" max="266" width="17" customWidth="1"/>
    <col min="267" max="267" width="16.42578125" customWidth="1"/>
    <col min="268" max="268" width="15" customWidth="1"/>
    <col min="513" max="513" width="11.85546875" customWidth="1"/>
    <col min="514" max="514" width="13.85546875" customWidth="1"/>
    <col min="515" max="515" width="61.5703125" bestFit="1" customWidth="1"/>
    <col min="516" max="516" width="13.7109375" customWidth="1"/>
    <col min="517" max="517" width="18" bestFit="1" customWidth="1"/>
    <col min="518" max="518" width="13.85546875" customWidth="1"/>
    <col min="519" max="519" width="14.140625" customWidth="1"/>
    <col min="520" max="520" width="15.5703125" customWidth="1"/>
    <col min="522" max="522" width="17" customWidth="1"/>
    <col min="523" max="523" width="16.42578125" customWidth="1"/>
    <col min="524" max="524" width="15" customWidth="1"/>
    <col min="769" max="769" width="11.85546875" customWidth="1"/>
    <col min="770" max="770" width="13.85546875" customWidth="1"/>
    <col min="771" max="771" width="61.5703125" bestFit="1" customWidth="1"/>
    <col min="772" max="772" width="13.7109375" customWidth="1"/>
    <col min="773" max="773" width="18" bestFit="1" customWidth="1"/>
    <col min="774" max="774" width="13.85546875" customWidth="1"/>
    <col min="775" max="775" width="14.140625" customWidth="1"/>
    <col min="776" max="776" width="15.5703125" customWidth="1"/>
    <col min="778" max="778" width="17" customWidth="1"/>
    <col min="779" max="779" width="16.42578125" customWidth="1"/>
    <col min="780" max="780" width="15" customWidth="1"/>
    <col min="1025" max="1025" width="11.85546875" customWidth="1"/>
    <col min="1026" max="1026" width="13.85546875" customWidth="1"/>
    <col min="1027" max="1027" width="61.5703125" bestFit="1" customWidth="1"/>
    <col min="1028" max="1028" width="13.7109375" customWidth="1"/>
    <col min="1029" max="1029" width="18" bestFit="1" customWidth="1"/>
    <col min="1030" max="1030" width="13.85546875" customWidth="1"/>
    <col min="1031" max="1031" width="14.140625" customWidth="1"/>
    <col min="1032" max="1032" width="15.5703125" customWidth="1"/>
    <col min="1034" max="1034" width="17" customWidth="1"/>
    <col min="1035" max="1035" width="16.42578125" customWidth="1"/>
    <col min="1036" max="1036" width="15" customWidth="1"/>
    <col min="1281" max="1281" width="11.85546875" customWidth="1"/>
    <col min="1282" max="1282" width="13.85546875" customWidth="1"/>
    <col min="1283" max="1283" width="61.5703125" bestFit="1" customWidth="1"/>
    <col min="1284" max="1284" width="13.7109375" customWidth="1"/>
    <col min="1285" max="1285" width="18" bestFit="1" customWidth="1"/>
    <col min="1286" max="1286" width="13.85546875" customWidth="1"/>
    <col min="1287" max="1287" width="14.140625" customWidth="1"/>
    <col min="1288" max="1288" width="15.5703125" customWidth="1"/>
    <col min="1290" max="1290" width="17" customWidth="1"/>
    <col min="1291" max="1291" width="16.42578125" customWidth="1"/>
    <col min="1292" max="1292" width="15" customWidth="1"/>
    <col min="1537" max="1537" width="11.85546875" customWidth="1"/>
    <col min="1538" max="1538" width="13.85546875" customWidth="1"/>
    <col min="1539" max="1539" width="61.5703125" bestFit="1" customWidth="1"/>
    <col min="1540" max="1540" width="13.7109375" customWidth="1"/>
    <col min="1541" max="1541" width="18" bestFit="1" customWidth="1"/>
    <col min="1542" max="1542" width="13.85546875" customWidth="1"/>
    <col min="1543" max="1543" width="14.140625" customWidth="1"/>
    <col min="1544" max="1544" width="15.5703125" customWidth="1"/>
    <col min="1546" max="1546" width="17" customWidth="1"/>
    <col min="1547" max="1547" width="16.42578125" customWidth="1"/>
    <col min="1548" max="1548" width="15" customWidth="1"/>
    <col min="1793" max="1793" width="11.85546875" customWidth="1"/>
    <col min="1794" max="1794" width="13.85546875" customWidth="1"/>
    <col min="1795" max="1795" width="61.5703125" bestFit="1" customWidth="1"/>
    <col min="1796" max="1796" width="13.7109375" customWidth="1"/>
    <col min="1797" max="1797" width="18" bestFit="1" customWidth="1"/>
    <col min="1798" max="1798" width="13.85546875" customWidth="1"/>
    <col min="1799" max="1799" width="14.140625" customWidth="1"/>
    <col min="1800" max="1800" width="15.5703125" customWidth="1"/>
    <col min="1802" max="1802" width="17" customWidth="1"/>
    <col min="1803" max="1803" width="16.42578125" customWidth="1"/>
    <col min="1804" max="1804" width="15" customWidth="1"/>
    <col min="2049" max="2049" width="11.85546875" customWidth="1"/>
    <col min="2050" max="2050" width="13.85546875" customWidth="1"/>
    <col min="2051" max="2051" width="61.5703125" bestFit="1" customWidth="1"/>
    <col min="2052" max="2052" width="13.7109375" customWidth="1"/>
    <col min="2053" max="2053" width="18" bestFit="1" customWidth="1"/>
    <col min="2054" max="2054" width="13.85546875" customWidth="1"/>
    <col min="2055" max="2055" width="14.140625" customWidth="1"/>
    <col min="2056" max="2056" width="15.5703125" customWidth="1"/>
    <col min="2058" max="2058" width="17" customWidth="1"/>
    <col min="2059" max="2059" width="16.42578125" customWidth="1"/>
    <col min="2060" max="2060" width="15" customWidth="1"/>
    <col min="2305" max="2305" width="11.85546875" customWidth="1"/>
    <col min="2306" max="2306" width="13.85546875" customWidth="1"/>
    <col min="2307" max="2307" width="61.5703125" bestFit="1" customWidth="1"/>
    <col min="2308" max="2308" width="13.7109375" customWidth="1"/>
    <col min="2309" max="2309" width="18" bestFit="1" customWidth="1"/>
    <col min="2310" max="2310" width="13.85546875" customWidth="1"/>
    <col min="2311" max="2311" width="14.140625" customWidth="1"/>
    <col min="2312" max="2312" width="15.5703125" customWidth="1"/>
    <col min="2314" max="2314" width="17" customWidth="1"/>
    <col min="2315" max="2315" width="16.42578125" customWidth="1"/>
    <col min="2316" max="2316" width="15" customWidth="1"/>
    <col min="2561" max="2561" width="11.85546875" customWidth="1"/>
    <col min="2562" max="2562" width="13.85546875" customWidth="1"/>
    <col min="2563" max="2563" width="61.5703125" bestFit="1" customWidth="1"/>
    <col min="2564" max="2564" width="13.7109375" customWidth="1"/>
    <col min="2565" max="2565" width="18" bestFit="1" customWidth="1"/>
    <col min="2566" max="2566" width="13.85546875" customWidth="1"/>
    <col min="2567" max="2567" width="14.140625" customWidth="1"/>
    <col min="2568" max="2568" width="15.5703125" customWidth="1"/>
    <col min="2570" max="2570" width="17" customWidth="1"/>
    <col min="2571" max="2571" width="16.42578125" customWidth="1"/>
    <col min="2572" max="2572" width="15" customWidth="1"/>
    <col min="2817" max="2817" width="11.85546875" customWidth="1"/>
    <col min="2818" max="2818" width="13.85546875" customWidth="1"/>
    <col min="2819" max="2819" width="61.5703125" bestFit="1" customWidth="1"/>
    <col min="2820" max="2820" width="13.7109375" customWidth="1"/>
    <col min="2821" max="2821" width="18" bestFit="1" customWidth="1"/>
    <col min="2822" max="2822" width="13.85546875" customWidth="1"/>
    <col min="2823" max="2823" width="14.140625" customWidth="1"/>
    <col min="2824" max="2824" width="15.5703125" customWidth="1"/>
    <col min="2826" max="2826" width="17" customWidth="1"/>
    <col min="2827" max="2827" width="16.42578125" customWidth="1"/>
    <col min="2828" max="2828" width="15" customWidth="1"/>
    <col min="3073" max="3073" width="11.85546875" customWidth="1"/>
    <col min="3074" max="3074" width="13.85546875" customWidth="1"/>
    <col min="3075" max="3075" width="61.5703125" bestFit="1" customWidth="1"/>
    <col min="3076" max="3076" width="13.7109375" customWidth="1"/>
    <col min="3077" max="3077" width="18" bestFit="1" customWidth="1"/>
    <col min="3078" max="3078" width="13.85546875" customWidth="1"/>
    <col min="3079" max="3079" width="14.140625" customWidth="1"/>
    <col min="3080" max="3080" width="15.5703125" customWidth="1"/>
    <col min="3082" max="3082" width="17" customWidth="1"/>
    <col min="3083" max="3083" width="16.42578125" customWidth="1"/>
    <col min="3084" max="3084" width="15" customWidth="1"/>
    <col min="3329" max="3329" width="11.85546875" customWidth="1"/>
    <col min="3330" max="3330" width="13.85546875" customWidth="1"/>
    <col min="3331" max="3331" width="61.5703125" bestFit="1" customWidth="1"/>
    <col min="3332" max="3332" width="13.7109375" customWidth="1"/>
    <col min="3333" max="3333" width="18" bestFit="1" customWidth="1"/>
    <col min="3334" max="3334" width="13.85546875" customWidth="1"/>
    <col min="3335" max="3335" width="14.140625" customWidth="1"/>
    <col min="3336" max="3336" width="15.5703125" customWidth="1"/>
    <col min="3338" max="3338" width="17" customWidth="1"/>
    <col min="3339" max="3339" width="16.42578125" customWidth="1"/>
    <col min="3340" max="3340" width="15" customWidth="1"/>
    <col min="3585" max="3585" width="11.85546875" customWidth="1"/>
    <col min="3586" max="3586" width="13.85546875" customWidth="1"/>
    <col min="3587" max="3587" width="61.5703125" bestFit="1" customWidth="1"/>
    <col min="3588" max="3588" width="13.7109375" customWidth="1"/>
    <col min="3589" max="3589" width="18" bestFit="1" customWidth="1"/>
    <col min="3590" max="3590" width="13.85546875" customWidth="1"/>
    <col min="3591" max="3591" width="14.140625" customWidth="1"/>
    <col min="3592" max="3592" width="15.5703125" customWidth="1"/>
    <col min="3594" max="3594" width="17" customWidth="1"/>
    <col min="3595" max="3595" width="16.42578125" customWidth="1"/>
    <col min="3596" max="3596" width="15" customWidth="1"/>
    <col min="3841" max="3841" width="11.85546875" customWidth="1"/>
    <col min="3842" max="3842" width="13.85546875" customWidth="1"/>
    <col min="3843" max="3843" width="61.5703125" bestFit="1" customWidth="1"/>
    <col min="3844" max="3844" width="13.7109375" customWidth="1"/>
    <col min="3845" max="3845" width="18" bestFit="1" customWidth="1"/>
    <col min="3846" max="3846" width="13.85546875" customWidth="1"/>
    <col min="3847" max="3847" width="14.140625" customWidth="1"/>
    <col min="3848" max="3848" width="15.5703125" customWidth="1"/>
    <col min="3850" max="3850" width="17" customWidth="1"/>
    <col min="3851" max="3851" width="16.42578125" customWidth="1"/>
    <col min="3852" max="3852" width="15" customWidth="1"/>
    <col min="4097" max="4097" width="11.85546875" customWidth="1"/>
    <col min="4098" max="4098" width="13.85546875" customWidth="1"/>
    <col min="4099" max="4099" width="61.5703125" bestFit="1" customWidth="1"/>
    <col min="4100" max="4100" width="13.7109375" customWidth="1"/>
    <col min="4101" max="4101" width="18" bestFit="1" customWidth="1"/>
    <col min="4102" max="4102" width="13.85546875" customWidth="1"/>
    <col min="4103" max="4103" width="14.140625" customWidth="1"/>
    <col min="4104" max="4104" width="15.5703125" customWidth="1"/>
    <col min="4106" max="4106" width="17" customWidth="1"/>
    <col min="4107" max="4107" width="16.42578125" customWidth="1"/>
    <col min="4108" max="4108" width="15" customWidth="1"/>
    <col min="4353" max="4353" width="11.85546875" customWidth="1"/>
    <col min="4354" max="4354" width="13.85546875" customWidth="1"/>
    <col min="4355" max="4355" width="61.5703125" bestFit="1" customWidth="1"/>
    <col min="4356" max="4356" width="13.7109375" customWidth="1"/>
    <col min="4357" max="4357" width="18" bestFit="1" customWidth="1"/>
    <col min="4358" max="4358" width="13.85546875" customWidth="1"/>
    <col min="4359" max="4359" width="14.140625" customWidth="1"/>
    <col min="4360" max="4360" width="15.5703125" customWidth="1"/>
    <col min="4362" max="4362" width="17" customWidth="1"/>
    <col min="4363" max="4363" width="16.42578125" customWidth="1"/>
    <col min="4364" max="4364" width="15" customWidth="1"/>
    <col min="4609" max="4609" width="11.85546875" customWidth="1"/>
    <col min="4610" max="4610" width="13.85546875" customWidth="1"/>
    <col min="4611" max="4611" width="61.5703125" bestFit="1" customWidth="1"/>
    <col min="4612" max="4612" width="13.7109375" customWidth="1"/>
    <col min="4613" max="4613" width="18" bestFit="1" customWidth="1"/>
    <col min="4614" max="4614" width="13.85546875" customWidth="1"/>
    <col min="4615" max="4615" width="14.140625" customWidth="1"/>
    <col min="4616" max="4616" width="15.5703125" customWidth="1"/>
    <col min="4618" max="4618" width="17" customWidth="1"/>
    <col min="4619" max="4619" width="16.42578125" customWidth="1"/>
    <col min="4620" max="4620" width="15" customWidth="1"/>
    <col min="4865" max="4865" width="11.85546875" customWidth="1"/>
    <col min="4866" max="4866" width="13.85546875" customWidth="1"/>
    <col min="4867" max="4867" width="61.5703125" bestFit="1" customWidth="1"/>
    <col min="4868" max="4868" width="13.7109375" customWidth="1"/>
    <col min="4869" max="4869" width="18" bestFit="1" customWidth="1"/>
    <col min="4870" max="4870" width="13.85546875" customWidth="1"/>
    <col min="4871" max="4871" width="14.140625" customWidth="1"/>
    <col min="4872" max="4872" width="15.5703125" customWidth="1"/>
    <col min="4874" max="4874" width="17" customWidth="1"/>
    <col min="4875" max="4875" width="16.42578125" customWidth="1"/>
    <col min="4876" max="4876" width="15" customWidth="1"/>
    <col min="5121" max="5121" width="11.85546875" customWidth="1"/>
    <col min="5122" max="5122" width="13.85546875" customWidth="1"/>
    <col min="5123" max="5123" width="61.5703125" bestFit="1" customWidth="1"/>
    <col min="5124" max="5124" width="13.7109375" customWidth="1"/>
    <col min="5125" max="5125" width="18" bestFit="1" customWidth="1"/>
    <col min="5126" max="5126" width="13.85546875" customWidth="1"/>
    <col min="5127" max="5127" width="14.140625" customWidth="1"/>
    <col min="5128" max="5128" width="15.5703125" customWidth="1"/>
    <col min="5130" max="5130" width="17" customWidth="1"/>
    <col min="5131" max="5131" width="16.42578125" customWidth="1"/>
    <col min="5132" max="5132" width="15" customWidth="1"/>
    <col min="5377" max="5377" width="11.85546875" customWidth="1"/>
    <col min="5378" max="5378" width="13.85546875" customWidth="1"/>
    <col min="5379" max="5379" width="61.5703125" bestFit="1" customWidth="1"/>
    <col min="5380" max="5380" width="13.7109375" customWidth="1"/>
    <col min="5381" max="5381" width="18" bestFit="1" customWidth="1"/>
    <col min="5382" max="5382" width="13.85546875" customWidth="1"/>
    <col min="5383" max="5383" width="14.140625" customWidth="1"/>
    <col min="5384" max="5384" width="15.5703125" customWidth="1"/>
    <col min="5386" max="5386" width="17" customWidth="1"/>
    <col min="5387" max="5387" width="16.42578125" customWidth="1"/>
    <col min="5388" max="5388" width="15" customWidth="1"/>
    <col min="5633" max="5633" width="11.85546875" customWidth="1"/>
    <col min="5634" max="5634" width="13.85546875" customWidth="1"/>
    <col min="5635" max="5635" width="61.5703125" bestFit="1" customWidth="1"/>
    <col min="5636" max="5636" width="13.7109375" customWidth="1"/>
    <col min="5637" max="5637" width="18" bestFit="1" customWidth="1"/>
    <col min="5638" max="5638" width="13.85546875" customWidth="1"/>
    <col min="5639" max="5639" width="14.140625" customWidth="1"/>
    <col min="5640" max="5640" width="15.5703125" customWidth="1"/>
    <col min="5642" max="5642" width="17" customWidth="1"/>
    <col min="5643" max="5643" width="16.42578125" customWidth="1"/>
    <col min="5644" max="5644" width="15" customWidth="1"/>
    <col min="5889" max="5889" width="11.85546875" customWidth="1"/>
    <col min="5890" max="5890" width="13.85546875" customWidth="1"/>
    <col min="5891" max="5891" width="61.5703125" bestFit="1" customWidth="1"/>
    <col min="5892" max="5892" width="13.7109375" customWidth="1"/>
    <col min="5893" max="5893" width="18" bestFit="1" customWidth="1"/>
    <col min="5894" max="5894" width="13.85546875" customWidth="1"/>
    <col min="5895" max="5895" width="14.140625" customWidth="1"/>
    <col min="5896" max="5896" width="15.5703125" customWidth="1"/>
    <col min="5898" max="5898" width="17" customWidth="1"/>
    <col min="5899" max="5899" width="16.42578125" customWidth="1"/>
    <col min="5900" max="5900" width="15" customWidth="1"/>
    <col min="6145" max="6145" width="11.85546875" customWidth="1"/>
    <col min="6146" max="6146" width="13.85546875" customWidth="1"/>
    <col min="6147" max="6147" width="61.5703125" bestFit="1" customWidth="1"/>
    <col min="6148" max="6148" width="13.7109375" customWidth="1"/>
    <col min="6149" max="6149" width="18" bestFit="1" customWidth="1"/>
    <col min="6150" max="6150" width="13.85546875" customWidth="1"/>
    <col min="6151" max="6151" width="14.140625" customWidth="1"/>
    <col min="6152" max="6152" width="15.5703125" customWidth="1"/>
    <col min="6154" max="6154" width="17" customWidth="1"/>
    <col min="6155" max="6155" width="16.42578125" customWidth="1"/>
    <col min="6156" max="6156" width="15" customWidth="1"/>
    <col min="6401" max="6401" width="11.85546875" customWidth="1"/>
    <col min="6402" max="6402" width="13.85546875" customWidth="1"/>
    <col min="6403" max="6403" width="61.5703125" bestFit="1" customWidth="1"/>
    <col min="6404" max="6404" width="13.7109375" customWidth="1"/>
    <col min="6405" max="6405" width="18" bestFit="1" customWidth="1"/>
    <col min="6406" max="6406" width="13.85546875" customWidth="1"/>
    <col min="6407" max="6407" width="14.140625" customWidth="1"/>
    <col min="6408" max="6408" width="15.5703125" customWidth="1"/>
    <col min="6410" max="6410" width="17" customWidth="1"/>
    <col min="6411" max="6411" width="16.42578125" customWidth="1"/>
    <col min="6412" max="6412" width="15" customWidth="1"/>
    <col min="6657" max="6657" width="11.85546875" customWidth="1"/>
    <col min="6658" max="6658" width="13.85546875" customWidth="1"/>
    <col min="6659" max="6659" width="61.5703125" bestFit="1" customWidth="1"/>
    <col min="6660" max="6660" width="13.7109375" customWidth="1"/>
    <col min="6661" max="6661" width="18" bestFit="1" customWidth="1"/>
    <col min="6662" max="6662" width="13.85546875" customWidth="1"/>
    <col min="6663" max="6663" width="14.140625" customWidth="1"/>
    <col min="6664" max="6664" width="15.5703125" customWidth="1"/>
    <col min="6666" max="6666" width="17" customWidth="1"/>
    <col min="6667" max="6667" width="16.42578125" customWidth="1"/>
    <col min="6668" max="6668" width="15" customWidth="1"/>
    <col min="6913" max="6913" width="11.85546875" customWidth="1"/>
    <col min="6914" max="6914" width="13.85546875" customWidth="1"/>
    <col min="6915" max="6915" width="61.5703125" bestFit="1" customWidth="1"/>
    <col min="6916" max="6916" width="13.7109375" customWidth="1"/>
    <col min="6917" max="6917" width="18" bestFit="1" customWidth="1"/>
    <col min="6918" max="6918" width="13.85546875" customWidth="1"/>
    <col min="6919" max="6919" width="14.140625" customWidth="1"/>
    <col min="6920" max="6920" width="15.5703125" customWidth="1"/>
    <col min="6922" max="6922" width="17" customWidth="1"/>
    <col min="6923" max="6923" width="16.42578125" customWidth="1"/>
    <col min="6924" max="6924" width="15" customWidth="1"/>
    <col min="7169" max="7169" width="11.85546875" customWidth="1"/>
    <col min="7170" max="7170" width="13.85546875" customWidth="1"/>
    <col min="7171" max="7171" width="61.5703125" bestFit="1" customWidth="1"/>
    <col min="7172" max="7172" width="13.7109375" customWidth="1"/>
    <col min="7173" max="7173" width="18" bestFit="1" customWidth="1"/>
    <col min="7174" max="7174" width="13.85546875" customWidth="1"/>
    <col min="7175" max="7175" width="14.140625" customWidth="1"/>
    <col min="7176" max="7176" width="15.5703125" customWidth="1"/>
    <col min="7178" max="7178" width="17" customWidth="1"/>
    <col min="7179" max="7179" width="16.42578125" customWidth="1"/>
    <col min="7180" max="7180" width="15" customWidth="1"/>
    <col min="7425" max="7425" width="11.85546875" customWidth="1"/>
    <col min="7426" max="7426" width="13.85546875" customWidth="1"/>
    <col min="7427" max="7427" width="61.5703125" bestFit="1" customWidth="1"/>
    <col min="7428" max="7428" width="13.7109375" customWidth="1"/>
    <col min="7429" max="7429" width="18" bestFit="1" customWidth="1"/>
    <col min="7430" max="7430" width="13.85546875" customWidth="1"/>
    <col min="7431" max="7431" width="14.140625" customWidth="1"/>
    <col min="7432" max="7432" width="15.5703125" customWidth="1"/>
    <col min="7434" max="7434" width="17" customWidth="1"/>
    <col min="7435" max="7435" width="16.42578125" customWidth="1"/>
    <col min="7436" max="7436" width="15" customWidth="1"/>
    <col min="7681" max="7681" width="11.85546875" customWidth="1"/>
    <col min="7682" max="7682" width="13.85546875" customWidth="1"/>
    <col min="7683" max="7683" width="61.5703125" bestFit="1" customWidth="1"/>
    <col min="7684" max="7684" width="13.7109375" customWidth="1"/>
    <col min="7685" max="7685" width="18" bestFit="1" customWidth="1"/>
    <col min="7686" max="7686" width="13.85546875" customWidth="1"/>
    <col min="7687" max="7687" width="14.140625" customWidth="1"/>
    <col min="7688" max="7688" width="15.5703125" customWidth="1"/>
    <col min="7690" max="7690" width="17" customWidth="1"/>
    <col min="7691" max="7691" width="16.42578125" customWidth="1"/>
    <col min="7692" max="7692" width="15" customWidth="1"/>
    <col min="7937" max="7937" width="11.85546875" customWidth="1"/>
    <col min="7938" max="7938" width="13.85546875" customWidth="1"/>
    <col min="7939" max="7939" width="61.5703125" bestFit="1" customWidth="1"/>
    <col min="7940" max="7940" width="13.7109375" customWidth="1"/>
    <col min="7941" max="7941" width="18" bestFit="1" customWidth="1"/>
    <col min="7942" max="7942" width="13.85546875" customWidth="1"/>
    <col min="7943" max="7943" width="14.140625" customWidth="1"/>
    <col min="7944" max="7944" width="15.5703125" customWidth="1"/>
    <col min="7946" max="7946" width="17" customWidth="1"/>
    <col min="7947" max="7947" width="16.42578125" customWidth="1"/>
    <col min="7948" max="7948" width="15" customWidth="1"/>
    <col min="8193" max="8193" width="11.85546875" customWidth="1"/>
    <col min="8194" max="8194" width="13.85546875" customWidth="1"/>
    <col min="8195" max="8195" width="61.5703125" bestFit="1" customWidth="1"/>
    <col min="8196" max="8196" width="13.7109375" customWidth="1"/>
    <col min="8197" max="8197" width="18" bestFit="1" customWidth="1"/>
    <col min="8198" max="8198" width="13.85546875" customWidth="1"/>
    <col min="8199" max="8199" width="14.140625" customWidth="1"/>
    <col min="8200" max="8200" width="15.5703125" customWidth="1"/>
    <col min="8202" max="8202" width="17" customWidth="1"/>
    <col min="8203" max="8203" width="16.42578125" customWidth="1"/>
    <col min="8204" max="8204" width="15" customWidth="1"/>
    <col min="8449" max="8449" width="11.85546875" customWidth="1"/>
    <col min="8450" max="8450" width="13.85546875" customWidth="1"/>
    <col min="8451" max="8451" width="61.5703125" bestFit="1" customWidth="1"/>
    <col min="8452" max="8452" width="13.7109375" customWidth="1"/>
    <col min="8453" max="8453" width="18" bestFit="1" customWidth="1"/>
    <col min="8454" max="8454" width="13.85546875" customWidth="1"/>
    <col min="8455" max="8455" width="14.140625" customWidth="1"/>
    <col min="8456" max="8456" width="15.5703125" customWidth="1"/>
    <col min="8458" max="8458" width="17" customWidth="1"/>
    <col min="8459" max="8459" width="16.42578125" customWidth="1"/>
    <col min="8460" max="8460" width="15" customWidth="1"/>
    <col min="8705" max="8705" width="11.85546875" customWidth="1"/>
    <col min="8706" max="8706" width="13.85546875" customWidth="1"/>
    <col min="8707" max="8707" width="61.5703125" bestFit="1" customWidth="1"/>
    <col min="8708" max="8708" width="13.7109375" customWidth="1"/>
    <col min="8709" max="8709" width="18" bestFit="1" customWidth="1"/>
    <col min="8710" max="8710" width="13.85546875" customWidth="1"/>
    <col min="8711" max="8711" width="14.140625" customWidth="1"/>
    <col min="8712" max="8712" width="15.5703125" customWidth="1"/>
    <col min="8714" max="8714" width="17" customWidth="1"/>
    <col min="8715" max="8715" width="16.42578125" customWidth="1"/>
    <col min="8716" max="8716" width="15" customWidth="1"/>
    <col min="8961" max="8961" width="11.85546875" customWidth="1"/>
    <col min="8962" max="8962" width="13.85546875" customWidth="1"/>
    <col min="8963" max="8963" width="61.5703125" bestFit="1" customWidth="1"/>
    <col min="8964" max="8964" width="13.7109375" customWidth="1"/>
    <col min="8965" max="8965" width="18" bestFit="1" customWidth="1"/>
    <col min="8966" max="8966" width="13.85546875" customWidth="1"/>
    <col min="8967" max="8967" width="14.140625" customWidth="1"/>
    <col min="8968" max="8968" width="15.5703125" customWidth="1"/>
    <col min="8970" max="8970" width="17" customWidth="1"/>
    <col min="8971" max="8971" width="16.42578125" customWidth="1"/>
    <col min="8972" max="8972" width="15" customWidth="1"/>
    <col min="9217" max="9217" width="11.85546875" customWidth="1"/>
    <col min="9218" max="9218" width="13.85546875" customWidth="1"/>
    <col min="9219" max="9219" width="61.5703125" bestFit="1" customWidth="1"/>
    <col min="9220" max="9220" width="13.7109375" customWidth="1"/>
    <col min="9221" max="9221" width="18" bestFit="1" customWidth="1"/>
    <col min="9222" max="9222" width="13.85546875" customWidth="1"/>
    <col min="9223" max="9223" width="14.140625" customWidth="1"/>
    <col min="9224" max="9224" width="15.5703125" customWidth="1"/>
    <col min="9226" max="9226" width="17" customWidth="1"/>
    <col min="9227" max="9227" width="16.42578125" customWidth="1"/>
    <col min="9228" max="9228" width="15" customWidth="1"/>
    <col min="9473" max="9473" width="11.85546875" customWidth="1"/>
    <col min="9474" max="9474" width="13.85546875" customWidth="1"/>
    <col min="9475" max="9475" width="61.5703125" bestFit="1" customWidth="1"/>
    <col min="9476" max="9476" width="13.7109375" customWidth="1"/>
    <col min="9477" max="9477" width="18" bestFit="1" customWidth="1"/>
    <col min="9478" max="9478" width="13.85546875" customWidth="1"/>
    <col min="9479" max="9479" width="14.140625" customWidth="1"/>
    <col min="9480" max="9480" width="15.5703125" customWidth="1"/>
    <col min="9482" max="9482" width="17" customWidth="1"/>
    <col min="9483" max="9483" width="16.42578125" customWidth="1"/>
    <col min="9484" max="9484" width="15" customWidth="1"/>
    <col min="9729" max="9729" width="11.85546875" customWidth="1"/>
    <col min="9730" max="9730" width="13.85546875" customWidth="1"/>
    <col min="9731" max="9731" width="61.5703125" bestFit="1" customWidth="1"/>
    <col min="9732" max="9732" width="13.7109375" customWidth="1"/>
    <col min="9733" max="9733" width="18" bestFit="1" customWidth="1"/>
    <col min="9734" max="9734" width="13.85546875" customWidth="1"/>
    <col min="9735" max="9735" width="14.140625" customWidth="1"/>
    <col min="9736" max="9736" width="15.5703125" customWidth="1"/>
    <col min="9738" max="9738" width="17" customWidth="1"/>
    <col min="9739" max="9739" width="16.42578125" customWidth="1"/>
    <col min="9740" max="9740" width="15" customWidth="1"/>
    <col min="9985" max="9985" width="11.85546875" customWidth="1"/>
    <col min="9986" max="9986" width="13.85546875" customWidth="1"/>
    <col min="9987" max="9987" width="61.5703125" bestFit="1" customWidth="1"/>
    <col min="9988" max="9988" width="13.7109375" customWidth="1"/>
    <col min="9989" max="9989" width="18" bestFit="1" customWidth="1"/>
    <col min="9990" max="9990" width="13.85546875" customWidth="1"/>
    <col min="9991" max="9991" width="14.140625" customWidth="1"/>
    <col min="9992" max="9992" width="15.5703125" customWidth="1"/>
    <col min="9994" max="9994" width="17" customWidth="1"/>
    <col min="9995" max="9995" width="16.42578125" customWidth="1"/>
    <col min="9996" max="9996" width="15" customWidth="1"/>
    <col min="10241" max="10241" width="11.85546875" customWidth="1"/>
    <col min="10242" max="10242" width="13.85546875" customWidth="1"/>
    <col min="10243" max="10243" width="61.5703125" bestFit="1" customWidth="1"/>
    <col min="10244" max="10244" width="13.7109375" customWidth="1"/>
    <col min="10245" max="10245" width="18" bestFit="1" customWidth="1"/>
    <col min="10246" max="10246" width="13.85546875" customWidth="1"/>
    <col min="10247" max="10247" width="14.140625" customWidth="1"/>
    <col min="10248" max="10248" width="15.5703125" customWidth="1"/>
    <col min="10250" max="10250" width="17" customWidth="1"/>
    <col min="10251" max="10251" width="16.42578125" customWidth="1"/>
    <col min="10252" max="10252" width="15" customWidth="1"/>
    <col min="10497" max="10497" width="11.85546875" customWidth="1"/>
    <col min="10498" max="10498" width="13.85546875" customWidth="1"/>
    <col min="10499" max="10499" width="61.5703125" bestFit="1" customWidth="1"/>
    <col min="10500" max="10500" width="13.7109375" customWidth="1"/>
    <col min="10501" max="10501" width="18" bestFit="1" customWidth="1"/>
    <col min="10502" max="10502" width="13.85546875" customWidth="1"/>
    <col min="10503" max="10503" width="14.140625" customWidth="1"/>
    <col min="10504" max="10504" width="15.5703125" customWidth="1"/>
    <col min="10506" max="10506" width="17" customWidth="1"/>
    <col min="10507" max="10507" width="16.42578125" customWidth="1"/>
    <col min="10508" max="10508" width="15" customWidth="1"/>
    <col min="10753" max="10753" width="11.85546875" customWidth="1"/>
    <col min="10754" max="10754" width="13.85546875" customWidth="1"/>
    <col min="10755" max="10755" width="61.5703125" bestFit="1" customWidth="1"/>
    <col min="10756" max="10756" width="13.7109375" customWidth="1"/>
    <col min="10757" max="10757" width="18" bestFit="1" customWidth="1"/>
    <col min="10758" max="10758" width="13.85546875" customWidth="1"/>
    <col min="10759" max="10759" width="14.140625" customWidth="1"/>
    <col min="10760" max="10760" width="15.5703125" customWidth="1"/>
    <col min="10762" max="10762" width="17" customWidth="1"/>
    <col min="10763" max="10763" width="16.42578125" customWidth="1"/>
    <col min="10764" max="10764" width="15" customWidth="1"/>
    <col min="11009" max="11009" width="11.85546875" customWidth="1"/>
    <col min="11010" max="11010" width="13.85546875" customWidth="1"/>
    <col min="11011" max="11011" width="61.5703125" bestFit="1" customWidth="1"/>
    <col min="11012" max="11012" width="13.7109375" customWidth="1"/>
    <col min="11013" max="11013" width="18" bestFit="1" customWidth="1"/>
    <col min="11014" max="11014" width="13.85546875" customWidth="1"/>
    <col min="11015" max="11015" width="14.140625" customWidth="1"/>
    <col min="11016" max="11016" width="15.5703125" customWidth="1"/>
    <col min="11018" max="11018" width="17" customWidth="1"/>
    <col min="11019" max="11019" width="16.42578125" customWidth="1"/>
    <col min="11020" max="11020" width="15" customWidth="1"/>
    <col min="11265" max="11265" width="11.85546875" customWidth="1"/>
    <col min="11266" max="11266" width="13.85546875" customWidth="1"/>
    <col min="11267" max="11267" width="61.5703125" bestFit="1" customWidth="1"/>
    <col min="11268" max="11268" width="13.7109375" customWidth="1"/>
    <col min="11269" max="11269" width="18" bestFit="1" customWidth="1"/>
    <col min="11270" max="11270" width="13.85546875" customWidth="1"/>
    <col min="11271" max="11271" width="14.140625" customWidth="1"/>
    <col min="11272" max="11272" width="15.5703125" customWidth="1"/>
    <col min="11274" max="11274" width="17" customWidth="1"/>
    <col min="11275" max="11275" width="16.42578125" customWidth="1"/>
    <col min="11276" max="11276" width="15" customWidth="1"/>
    <col min="11521" max="11521" width="11.85546875" customWidth="1"/>
    <col min="11522" max="11522" width="13.85546875" customWidth="1"/>
    <col min="11523" max="11523" width="61.5703125" bestFit="1" customWidth="1"/>
    <col min="11524" max="11524" width="13.7109375" customWidth="1"/>
    <col min="11525" max="11525" width="18" bestFit="1" customWidth="1"/>
    <col min="11526" max="11526" width="13.85546875" customWidth="1"/>
    <col min="11527" max="11527" width="14.140625" customWidth="1"/>
    <col min="11528" max="11528" width="15.5703125" customWidth="1"/>
    <col min="11530" max="11530" width="17" customWidth="1"/>
    <col min="11531" max="11531" width="16.42578125" customWidth="1"/>
    <col min="11532" max="11532" width="15" customWidth="1"/>
    <col min="11777" max="11777" width="11.85546875" customWidth="1"/>
    <col min="11778" max="11778" width="13.85546875" customWidth="1"/>
    <col min="11779" max="11779" width="61.5703125" bestFit="1" customWidth="1"/>
    <col min="11780" max="11780" width="13.7109375" customWidth="1"/>
    <col min="11781" max="11781" width="18" bestFit="1" customWidth="1"/>
    <col min="11782" max="11782" width="13.85546875" customWidth="1"/>
    <col min="11783" max="11783" width="14.140625" customWidth="1"/>
    <col min="11784" max="11784" width="15.5703125" customWidth="1"/>
    <col min="11786" max="11786" width="17" customWidth="1"/>
    <col min="11787" max="11787" width="16.42578125" customWidth="1"/>
    <col min="11788" max="11788" width="15" customWidth="1"/>
    <col min="12033" max="12033" width="11.85546875" customWidth="1"/>
    <col min="12034" max="12034" width="13.85546875" customWidth="1"/>
    <col min="12035" max="12035" width="61.5703125" bestFit="1" customWidth="1"/>
    <col min="12036" max="12036" width="13.7109375" customWidth="1"/>
    <col min="12037" max="12037" width="18" bestFit="1" customWidth="1"/>
    <col min="12038" max="12038" width="13.85546875" customWidth="1"/>
    <col min="12039" max="12039" width="14.140625" customWidth="1"/>
    <col min="12040" max="12040" width="15.5703125" customWidth="1"/>
    <col min="12042" max="12042" width="17" customWidth="1"/>
    <col min="12043" max="12043" width="16.42578125" customWidth="1"/>
    <col min="12044" max="12044" width="15" customWidth="1"/>
    <col min="12289" max="12289" width="11.85546875" customWidth="1"/>
    <col min="12290" max="12290" width="13.85546875" customWidth="1"/>
    <col min="12291" max="12291" width="61.5703125" bestFit="1" customWidth="1"/>
    <col min="12292" max="12292" width="13.7109375" customWidth="1"/>
    <col min="12293" max="12293" width="18" bestFit="1" customWidth="1"/>
    <col min="12294" max="12294" width="13.85546875" customWidth="1"/>
    <col min="12295" max="12295" width="14.140625" customWidth="1"/>
    <col min="12296" max="12296" width="15.5703125" customWidth="1"/>
    <col min="12298" max="12298" width="17" customWidth="1"/>
    <col min="12299" max="12299" width="16.42578125" customWidth="1"/>
    <col min="12300" max="12300" width="15" customWidth="1"/>
    <col min="12545" max="12545" width="11.85546875" customWidth="1"/>
    <col min="12546" max="12546" width="13.85546875" customWidth="1"/>
    <col min="12547" max="12547" width="61.5703125" bestFit="1" customWidth="1"/>
    <col min="12548" max="12548" width="13.7109375" customWidth="1"/>
    <col min="12549" max="12549" width="18" bestFit="1" customWidth="1"/>
    <col min="12550" max="12550" width="13.85546875" customWidth="1"/>
    <col min="12551" max="12551" width="14.140625" customWidth="1"/>
    <col min="12552" max="12552" width="15.5703125" customWidth="1"/>
    <col min="12554" max="12554" width="17" customWidth="1"/>
    <col min="12555" max="12555" width="16.42578125" customWidth="1"/>
    <col min="12556" max="12556" width="15" customWidth="1"/>
    <col min="12801" max="12801" width="11.85546875" customWidth="1"/>
    <col min="12802" max="12802" width="13.85546875" customWidth="1"/>
    <col min="12803" max="12803" width="61.5703125" bestFit="1" customWidth="1"/>
    <col min="12804" max="12804" width="13.7109375" customWidth="1"/>
    <col min="12805" max="12805" width="18" bestFit="1" customWidth="1"/>
    <col min="12806" max="12806" width="13.85546875" customWidth="1"/>
    <col min="12807" max="12807" width="14.140625" customWidth="1"/>
    <col min="12808" max="12808" width="15.5703125" customWidth="1"/>
    <col min="12810" max="12810" width="17" customWidth="1"/>
    <col min="12811" max="12811" width="16.42578125" customWidth="1"/>
    <col min="12812" max="12812" width="15" customWidth="1"/>
    <col min="13057" max="13057" width="11.85546875" customWidth="1"/>
    <col min="13058" max="13058" width="13.85546875" customWidth="1"/>
    <col min="13059" max="13059" width="61.5703125" bestFit="1" customWidth="1"/>
    <col min="13060" max="13060" width="13.7109375" customWidth="1"/>
    <col min="13061" max="13061" width="18" bestFit="1" customWidth="1"/>
    <col min="13062" max="13062" width="13.85546875" customWidth="1"/>
    <col min="13063" max="13063" width="14.140625" customWidth="1"/>
    <col min="13064" max="13064" width="15.5703125" customWidth="1"/>
    <col min="13066" max="13066" width="17" customWidth="1"/>
    <col min="13067" max="13067" width="16.42578125" customWidth="1"/>
    <col min="13068" max="13068" width="15" customWidth="1"/>
    <col min="13313" max="13313" width="11.85546875" customWidth="1"/>
    <col min="13314" max="13314" width="13.85546875" customWidth="1"/>
    <col min="13315" max="13315" width="61.5703125" bestFit="1" customWidth="1"/>
    <col min="13316" max="13316" width="13.7109375" customWidth="1"/>
    <col min="13317" max="13317" width="18" bestFit="1" customWidth="1"/>
    <col min="13318" max="13318" width="13.85546875" customWidth="1"/>
    <col min="13319" max="13319" width="14.140625" customWidth="1"/>
    <col min="13320" max="13320" width="15.5703125" customWidth="1"/>
    <col min="13322" max="13322" width="17" customWidth="1"/>
    <col min="13323" max="13323" width="16.42578125" customWidth="1"/>
    <col min="13324" max="13324" width="15" customWidth="1"/>
    <col min="13569" max="13569" width="11.85546875" customWidth="1"/>
    <col min="13570" max="13570" width="13.85546875" customWidth="1"/>
    <col min="13571" max="13571" width="61.5703125" bestFit="1" customWidth="1"/>
    <col min="13572" max="13572" width="13.7109375" customWidth="1"/>
    <col min="13573" max="13573" width="18" bestFit="1" customWidth="1"/>
    <col min="13574" max="13574" width="13.85546875" customWidth="1"/>
    <col min="13575" max="13575" width="14.140625" customWidth="1"/>
    <col min="13576" max="13576" width="15.5703125" customWidth="1"/>
    <col min="13578" max="13578" width="17" customWidth="1"/>
    <col min="13579" max="13579" width="16.42578125" customWidth="1"/>
    <col min="13580" max="13580" width="15" customWidth="1"/>
    <col min="13825" max="13825" width="11.85546875" customWidth="1"/>
    <col min="13826" max="13826" width="13.85546875" customWidth="1"/>
    <col min="13827" max="13827" width="61.5703125" bestFit="1" customWidth="1"/>
    <col min="13828" max="13828" width="13.7109375" customWidth="1"/>
    <col min="13829" max="13829" width="18" bestFit="1" customWidth="1"/>
    <col min="13830" max="13830" width="13.85546875" customWidth="1"/>
    <col min="13831" max="13831" width="14.140625" customWidth="1"/>
    <col min="13832" max="13832" width="15.5703125" customWidth="1"/>
    <col min="13834" max="13834" width="17" customWidth="1"/>
    <col min="13835" max="13835" width="16.42578125" customWidth="1"/>
    <col min="13836" max="13836" width="15" customWidth="1"/>
    <col min="14081" max="14081" width="11.85546875" customWidth="1"/>
    <col min="14082" max="14082" width="13.85546875" customWidth="1"/>
    <col min="14083" max="14083" width="61.5703125" bestFit="1" customWidth="1"/>
    <col min="14084" max="14084" width="13.7109375" customWidth="1"/>
    <col min="14085" max="14085" width="18" bestFit="1" customWidth="1"/>
    <col min="14086" max="14086" width="13.85546875" customWidth="1"/>
    <col min="14087" max="14087" width="14.140625" customWidth="1"/>
    <col min="14088" max="14088" width="15.5703125" customWidth="1"/>
    <col min="14090" max="14090" width="17" customWidth="1"/>
    <col min="14091" max="14091" width="16.42578125" customWidth="1"/>
    <col min="14092" max="14092" width="15" customWidth="1"/>
    <col min="14337" max="14337" width="11.85546875" customWidth="1"/>
    <col min="14338" max="14338" width="13.85546875" customWidth="1"/>
    <col min="14339" max="14339" width="61.5703125" bestFit="1" customWidth="1"/>
    <col min="14340" max="14340" width="13.7109375" customWidth="1"/>
    <col min="14341" max="14341" width="18" bestFit="1" customWidth="1"/>
    <col min="14342" max="14342" width="13.85546875" customWidth="1"/>
    <col min="14343" max="14343" width="14.140625" customWidth="1"/>
    <col min="14344" max="14344" width="15.5703125" customWidth="1"/>
    <col min="14346" max="14346" width="17" customWidth="1"/>
    <col min="14347" max="14347" width="16.42578125" customWidth="1"/>
    <col min="14348" max="14348" width="15" customWidth="1"/>
    <col min="14593" max="14593" width="11.85546875" customWidth="1"/>
    <col min="14594" max="14594" width="13.85546875" customWidth="1"/>
    <col min="14595" max="14595" width="61.5703125" bestFit="1" customWidth="1"/>
    <col min="14596" max="14596" width="13.7109375" customWidth="1"/>
    <col min="14597" max="14597" width="18" bestFit="1" customWidth="1"/>
    <col min="14598" max="14598" width="13.85546875" customWidth="1"/>
    <col min="14599" max="14599" width="14.140625" customWidth="1"/>
    <col min="14600" max="14600" width="15.5703125" customWidth="1"/>
    <col min="14602" max="14602" width="17" customWidth="1"/>
    <col min="14603" max="14603" width="16.42578125" customWidth="1"/>
    <col min="14604" max="14604" width="15" customWidth="1"/>
    <col min="14849" max="14849" width="11.85546875" customWidth="1"/>
    <col min="14850" max="14850" width="13.85546875" customWidth="1"/>
    <col min="14851" max="14851" width="61.5703125" bestFit="1" customWidth="1"/>
    <col min="14852" max="14852" width="13.7109375" customWidth="1"/>
    <col min="14853" max="14853" width="18" bestFit="1" customWidth="1"/>
    <col min="14854" max="14854" width="13.85546875" customWidth="1"/>
    <col min="14855" max="14855" width="14.140625" customWidth="1"/>
    <col min="14856" max="14856" width="15.5703125" customWidth="1"/>
    <col min="14858" max="14858" width="17" customWidth="1"/>
    <col min="14859" max="14859" width="16.42578125" customWidth="1"/>
    <col min="14860" max="14860" width="15" customWidth="1"/>
    <col min="15105" max="15105" width="11.85546875" customWidth="1"/>
    <col min="15106" max="15106" width="13.85546875" customWidth="1"/>
    <col min="15107" max="15107" width="61.5703125" bestFit="1" customWidth="1"/>
    <col min="15108" max="15108" width="13.7109375" customWidth="1"/>
    <col min="15109" max="15109" width="18" bestFit="1" customWidth="1"/>
    <col min="15110" max="15110" width="13.85546875" customWidth="1"/>
    <col min="15111" max="15111" width="14.140625" customWidth="1"/>
    <col min="15112" max="15112" width="15.5703125" customWidth="1"/>
    <col min="15114" max="15114" width="17" customWidth="1"/>
    <col min="15115" max="15115" width="16.42578125" customWidth="1"/>
    <col min="15116" max="15116" width="15" customWidth="1"/>
    <col min="15361" max="15361" width="11.85546875" customWidth="1"/>
    <col min="15362" max="15362" width="13.85546875" customWidth="1"/>
    <col min="15363" max="15363" width="61.5703125" bestFit="1" customWidth="1"/>
    <col min="15364" max="15364" width="13.7109375" customWidth="1"/>
    <col min="15365" max="15365" width="18" bestFit="1" customWidth="1"/>
    <col min="15366" max="15366" width="13.85546875" customWidth="1"/>
    <col min="15367" max="15367" width="14.140625" customWidth="1"/>
    <col min="15368" max="15368" width="15.5703125" customWidth="1"/>
    <col min="15370" max="15370" width="17" customWidth="1"/>
    <col min="15371" max="15371" width="16.42578125" customWidth="1"/>
    <col min="15372" max="15372" width="15" customWidth="1"/>
    <col min="15617" max="15617" width="11.85546875" customWidth="1"/>
    <col min="15618" max="15618" width="13.85546875" customWidth="1"/>
    <col min="15619" max="15619" width="61.5703125" bestFit="1" customWidth="1"/>
    <col min="15620" max="15620" width="13.7109375" customWidth="1"/>
    <col min="15621" max="15621" width="18" bestFit="1" customWidth="1"/>
    <col min="15622" max="15622" width="13.85546875" customWidth="1"/>
    <col min="15623" max="15623" width="14.140625" customWidth="1"/>
    <col min="15624" max="15624" width="15.5703125" customWidth="1"/>
    <col min="15626" max="15626" width="17" customWidth="1"/>
    <col min="15627" max="15627" width="16.42578125" customWidth="1"/>
    <col min="15628" max="15628" width="15" customWidth="1"/>
    <col min="15873" max="15873" width="11.85546875" customWidth="1"/>
    <col min="15874" max="15874" width="13.85546875" customWidth="1"/>
    <col min="15875" max="15875" width="61.5703125" bestFit="1" customWidth="1"/>
    <col min="15876" max="15876" width="13.7109375" customWidth="1"/>
    <col min="15877" max="15877" width="18" bestFit="1" customWidth="1"/>
    <col min="15878" max="15878" width="13.85546875" customWidth="1"/>
    <col min="15879" max="15879" width="14.140625" customWidth="1"/>
    <col min="15880" max="15880" width="15.5703125" customWidth="1"/>
    <col min="15882" max="15882" width="17" customWidth="1"/>
    <col min="15883" max="15883" width="16.42578125" customWidth="1"/>
    <col min="15884" max="15884" width="15" customWidth="1"/>
    <col min="16129" max="16129" width="11.85546875" customWidth="1"/>
    <col min="16130" max="16130" width="13.85546875" customWidth="1"/>
    <col min="16131" max="16131" width="61.5703125" bestFit="1" customWidth="1"/>
    <col min="16132" max="16132" width="13.7109375" customWidth="1"/>
    <col min="16133" max="16133" width="18" bestFit="1" customWidth="1"/>
    <col min="16134" max="16134" width="13.85546875" customWidth="1"/>
    <col min="16135" max="16135" width="14.140625" customWidth="1"/>
    <col min="16136" max="16136" width="15.5703125" customWidth="1"/>
    <col min="16138" max="16138" width="17" customWidth="1"/>
    <col min="16139" max="16139" width="16.42578125" customWidth="1"/>
    <col min="16140" max="16140" width="15" customWidth="1"/>
  </cols>
  <sheetData>
    <row r="1" spans="1:54" s="277" customFormat="1" ht="51.75" x14ac:dyDescent="0.25">
      <c r="A1" s="274" t="s">
        <v>284</v>
      </c>
      <c r="B1" s="282" t="s">
        <v>285</v>
      </c>
      <c r="C1" s="274" t="s">
        <v>286</v>
      </c>
      <c r="D1" s="274" t="s">
        <v>287</v>
      </c>
      <c r="E1" s="274" t="s">
        <v>288</v>
      </c>
      <c r="F1" s="275" t="s">
        <v>289</v>
      </c>
      <c r="G1" s="274" t="s">
        <v>290</v>
      </c>
      <c r="H1" s="274" t="s">
        <v>291</v>
      </c>
      <c r="I1" s="274" t="s">
        <v>292</v>
      </c>
      <c r="J1" s="274" t="s">
        <v>293</v>
      </c>
      <c r="K1" s="274" t="s">
        <v>294</v>
      </c>
      <c r="L1" s="274" t="s">
        <v>295</v>
      </c>
      <c r="M1" s="274" t="s">
        <v>296</v>
      </c>
      <c r="N1" s="274" t="s">
        <v>297</v>
      </c>
      <c r="O1"/>
      <c r="P1"/>
      <c r="Q1"/>
      <c r="R1"/>
      <c r="S1"/>
      <c r="T1"/>
      <c r="U1"/>
      <c r="V1"/>
      <c r="W1"/>
      <c r="X1"/>
      <c r="Y1" s="276"/>
      <c r="Z1" s="276" t="s">
        <v>298</v>
      </c>
      <c r="AA1" s="276"/>
      <c r="AB1" s="276"/>
      <c r="AC1" s="276"/>
      <c r="AD1" s="276"/>
      <c r="AE1" s="276"/>
      <c r="AF1" s="276"/>
      <c r="AG1" s="276"/>
      <c r="AH1" s="276"/>
      <c r="AI1" s="276"/>
      <c r="AJ1" s="276"/>
      <c r="AK1" s="276"/>
      <c r="AL1" s="276"/>
      <c r="AM1" s="276"/>
      <c r="AN1" s="276"/>
      <c r="AO1" s="276"/>
      <c r="AP1" s="276"/>
      <c r="AQ1"/>
      <c r="AR1"/>
      <c r="AS1"/>
      <c r="AT1"/>
      <c r="AU1"/>
      <c r="AV1"/>
      <c r="AW1"/>
      <c r="AX1"/>
      <c r="AY1"/>
      <c r="AZ1"/>
      <c r="BA1"/>
      <c r="BB1"/>
    </row>
    <row r="2" spans="1:54" x14ac:dyDescent="0.25">
      <c r="A2" s="102" t="str">
        <f>IF(Invoice_Colombo!E5&lt;&gt;"",Invoice_Colombo!E5,"")</f>
        <v>13012000</v>
      </c>
      <c r="B2" t="str">
        <f>LEFT(A2,4)</f>
        <v>1301</v>
      </c>
      <c r="C2" s="278" t="str">
        <f>IF(Invoice_Colombo!D5&lt;&gt;"",Invoice_Colombo!D5,"")</f>
        <v>ASAFOETIDA POWDER 50G 120pc</v>
      </c>
      <c r="D2" s="279" t="str">
        <f>IF(Invoice_Colombo!F5&lt;&gt;"",Invoice_Colombo!F5,"")</f>
        <v/>
      </c>
      <c r="E2" s="102" t="s">
        <v>299</v>
      </c>
      <c r="F2" s="280" t="str">
        <f>IF(Invoice_Colombo!I5&lt;&gt;"",Invoice_Colombo!I5,"")</f>
        <v/>
      </c>
      <c r="G2" s="276" t="s">
        <v>300</v>
      </c>
      <c r="H2" s="276" t="s">
        <v>301</v>
      </c>
      <c r="I2">
        <v>880</v>
      </c>
      <c r="J2" t="s">
        <v>299</v>
      </c>
      <c r="K2" s="277" t="s">
        <v>302</v>
      </c>
      <c r="Y2" s="276"/>
      <c r="Z2" s="276" t="s">
        <v>303</v>
      </c>
      <c r="AA2" s="276"/>
      <c r="AB2" s="276"/>
      <c r="AC2" s="276"/>
      <c r="AD2" s="276"/>
      <c r="AE2" s="276"/>
      <c r="AF2" s="276"/>
      <c r="AG2" s="276"/>
      <c r="AH2" s="276"/>
      <c r="AI2" s="276"/>
      <c r="AJ2" s="276"/>
      <c r="AK2" s="276"/>
      <c r="AL2" s="276"/>
      <c r="AM2" s="276"/>
      <c r="AN2" s="276"/>
      <c r="AO2" s="276"/>
      <c r="AP2" s="276"/>
    </row>
    <row r="3" spans="1:54" x14ac:dyDescent="0.25">
      <c r="A3" s="102" t="str">
        <f>IF(Invoice_Colombo!E6&lt;&gt;"",Invoice_Colombo!E6,"")</f>
        <v>19059090</v>
      </c>
      <c r="B3" t="str">
        <f t="shared" ref="B3:B66" si="0">LEFT(A3,4)</f>
        <v>1905</v>
      </c>
      <c r="C3" s="278" t="str">
        <f>IF(Invoice_Colombo!D6&lt;&gt;"",Invoice_Colombo!D6,"")</f>
        <v>PANI PURI KIT 133g 20pc</v>
      </c>
      <c r="D3" s="279" t="str">
        <f>IF(Invoice_Colombo!F6&lt;&gt;"",Invoice_Colombo!F6,"")</f>
        <v/>
      </c>
      <c r="E3" s="102" t="s">
        <v>299</v>
      </c>
      <c r="F3" s="280" t="str">
        <f>IF(Invoice_Colombo!I6&lt;&gt;"",Invoice_Colombo!I6,"")</f>
        <v/>
      </c>
      <c r="G3" s="276" t="s">
        <v>304</v>
      </c>
      <c r="H3" s="276" t="s">
        <v>304</v>
      </c>
      <c r="I3">
        <v>840</v>
      </c>
      <c r="J3" t="s">
        <v>299</v>
      </c>
      <c r="K3" s="277" t="s">
        <v>302</v>
      </c>
      <c r="Y3" s="276"/>
      <c r="Z3" s="276" t="s">
        <v>305</v>
      </c>
      <c r="AA3" s="276"/>
      <c r="AB3" s="276"/>
      <c r="AC3" s="276"/>
      <c r="AD3" s="276"/>
      <c r="AE3" s="276"/>
      <c r="AF3" s="276"/>
      <c r="AG3" s="276"/>
      <c r="AH3" s="276"/>
      <c r="AI3" s="276"/>
      <c r="AJ3" s="276"/>
      <c r="AK3" s="276"/>
      <c r="AL3" s="276"/>
      <c r="AM3" s="276"/>
      <c r="AN3" s="276"/>
      <c r="AO3" s="276"/>
      <c r="AP3" s="276"/>
    </row>
    <row r="4" spans="1:54" x14ac:dyDescent="0.25">
      <c r="A4" s="102" t="str">
        <f>IF(Invoice_Colombo!E7&lt;&gt;"",Invoice_Colombo!E7,"")</f>
        <v>21069099</v>
      </c>
      <c r="B4" t="str">
        <f t="shared" si="0"/>
        <v>2106</v>
      </c>
      <c r="C4" s="278" t="str">
        <f>IF(Invoice_Colombo!D7&lt;&gt;"",Invoice_Colombo!D7,"")</f>
        <v xml:space="preserve">BADAM DRINK MIX 175g 40pc B1G1 </v>
      </c>
      <c r="D4" s="279" t="str">
        <f>IF(Invoice_Colombo!F7&lt;&gt;"",Invoice_Colombo!F7,"")</f>
        <v/>
      </c>
      <c r="E4" s="102" t="s">
        <v>299</v>
      </c>
      <c r="F4" s="280" t="str">
        <f>IF(Invoice_Colombo!I7&lt;&gt;"",Invoice_Colombo!I7,"")</f>
        <v/>
      </c>
      <c r="G4" s="276" t="s">
        <v>304</v>
      </c>
      <c r="H4" s="276" t="s">
        <v>304</v>
      </c>
      <c r="I4">
        <v>420</v>
      </c>
      <c r="J4" t="s">
        <v>299</v>
      </c>
      <c r="K4" s="277" t="s">
        <v>302</v>
      </c>
      <c r="Y4" s="276"/>
      <c r="Z4" s="276" t="s">
        <v>306</v>
      </c>
      <c r="AA4" s="276"/>
      <c r="AB4" s="276"/>
      <c r="AC4" s="276"/>
      <c r="AD4" s="276"/>
      <c r="AE4" s="276"/>
      <c r="AF4" s="276"/>
      <c r="AG4" s="276"/>
      <c r="AH4" s="276"/>
      <c r="AI4" s="276"/>
      <c r="AJ4" s="276"/>
      <c r="AK4" s="276"/>
      <c r="AL4" s="276"/>
      <c r="AM4" s="276"/>
      <c r="AN4" s="276"/>
      <c r="AO4" s="276"/>
      <c r="AP4" s="276"/>
    </row>
    <row r="5" spans="1:54" ht="27" x14ac:dyDescent="0.25">
      <c r="A5" s="102" t="str">
        <f>IF(Invoice_Colombo!E8&lt;&gt;"",Invoice_Colombo!E8,"")</f>
        <v>21069099</v>
      </c>
      <c r="B5" t="str">
        <f t="shared" si="0"/>
        <v>2106</v>
      </c>
      <c r="C5" s="278" t="str">
        <f>IF(Invoice_Colombo!D8&lt;&gt;"",Invoice_Colombo!D8,"")</f>
        <v xml:space="preserve">ROYAL GULAB JAMUN 175g 40pcB1G1
</v>
      </c>
      <c r="D5" s="279" t="str">
        <f>IF(Invoice_Colombo!F8&lt;&gt;"",Invoice_Colombo!F8,"")</f>
        <v/>
      </c>
      <c r="E5" s="102" t="s">
        <v>299</v>
      </c>
      <c r="F5" s="280" t="str">
        <f>IF(Invoice_Colombo!I8&lt;&gt;"",Invoice_Colombo!I8,"")</f>
        <v/>
      </c>
      <c r="G5" s="276" t="s">
        <v>304</v>
      </c>
      <c r="H5" s="276" t="s">
        <v>304</v>
      </c>
      <c r="I5">
        <v>99</v>
      </c>
      <c r="J5" t="s">
        <v>299</v>
      </c>
      <c r="K5" s="277" t="s">
        <v>302</v>
      </c>
      <c r="Y5" s="276"/>
      <c r="Z5" s="276" t="s">
        <v>307</v>
      </c>
      <c r="AA5" s="276"/>
      <c r="AB5" s="276"/>
      <c r="AC5" s="276"/>
      <c r="AD5" s="276"/>
      <c r="AE5" s="276"/>
      <c r="AF5" s="276"/>
      <c r="AG5" s="276"/>
      <c r="AH5" s="276"/>
      <c r="AI5" s="276"/>
      <c r="AJ5" s="276"/>
      <c r="AK5" s="276"/>
      <c r="AL5" s="276"/>
      <c r="AM5" s="276"/>
      <c r="AN5" s="276"/>
      <c r="AO5" s="276"/>
      <c r="AP5" s="276"/>
    </row>
    <row r="6" spans="1:54" x14ac:dyDescent="0.25">
      <c r="A6" s="102" t="str">
        <f>IF(Invoice_Colombo!E9&lt;&gt;"",Invoice_Colombo!E9,"")</f>
        <v>21069099</v>
      </c>
      <c r="B6" t="str">
        <f t="shared" si="0"/>
        <v>2106</v>
      </c>
      <c r="C6" s="278" t="str">
        <f>IF(Invoice_Colombo!D9&lt;&gt;"",Invoice_Colombo!D9,"")</f>
        <v>PAL ADA PAYASAM 175g 20pc</v>
      </c>
      <c r="D6" s="279" t="str">
        <f>IF(Invoice_Colombo!F9&lt;&gt;"",Invoice_Colombo!F9,"")</f>
        <v/>
      </c>
      <c r="E6" s="102" t="s">
        <v>299</v>
      </c>
      <c r="F6" s="280" t="str">
        <f>IF(Invoice_Colombo!I9&lt;&gt;"",Invoice_Colombo!I9,"")</f>
        <v/>
      </c>
      <c r="G6" s="276" t="s">
        <v>304</v>
      </c>
      <c r="H6" s="276" t="s">
        <v>304</v>
      </c>
      <c r="I6">
        <v>121</v>
      </c>
      <c r="J6" t="s">
        <v>299</v>
      </c>
      <c r="K6" s="277" t="s">
        <v>302</v>
      </c>
      <c r="Y6" s="276"/>
      <c r="Z6" s="276" t="s">
        <v>308</v>
      </c>
      <c r="AA6" s="276"/>
      <c r="AB6" s="276"/>
      <c r="AC6" s="276"/>
      <c r="AD6" s="276"/>
      <c r="AE6" s="276"/>
      <c r="AF6" s="276"/>
      <c r="AG6" s="276"/>
      <c r="AH6" s="276"/>
      <c r="AI6" s="276"/>
      <c r="AJ6" s="276"/>
      <c r="AK6" s="276"/>
      <c r="AL6" s="276"/>
      <c r="AM6" s="276"/>
      <c r="AN6" s="276"/>
      <c r="AO6" s="276"/>
      <c r="AP6" s="276"/>
    </row>
    <row r="7" spans="1:54" ht="40.5" x14ac:dyDescent="0.25">
      <c r="A7" s="102" t="str">
        <f>IF(Invoice_Colombo!E10&lt;&gt;"",Invoice_Colombo!E10,"")</f>
        <v>21069099</v>
      </c>
      <c r="B7" t="str">
        <f t="shared" si="0"/>
        <v>2106</v>
      </c>
      <c r="C7" s="278" t="str">
        <f>IF(Invoice_Colombo!D10&lt;&gt;"",Invoice_Colombo!D10,"")</f>
        <v xml:space="preserve">ROYAL BADAMPAYASAM  175g40pcB1G1
</v>
      </c>
      <c r="D7" s="279" t="str">
        <f>IF(Invoice_Colombo!F10&lt;&gt;"",Invoice_Colombo!F10,"")</f>
        <v/>
      </c>
      <c r="E7" s="102" t="s">
        <v>299</v>
      </c>
      <c r="F7" s="280" t="str">
        <f>IF(Invoice_Colombo!I10&lt;&gt;"",Invoice_Colombo!I10,"")</f>
        <v/>
      </c>
      <c r="G7" s="276" t="s">
        <v>304</v>
      </c>
      <c r="H7" s="276" t="s">
        <v>304</v>
      </c>
      <c r="I7">
        <v>104</v>
      </c>
      <c r="J7" t="s">
        <v>299</v>
      </c>
      <c r="K7" s="277" t="s">
        <v>302</v>
      </c>
      <c r="Y7" s="276"/>
      <c r="Z7" s="276" t="s">
        <v>309</v>
      </c>
      <c r="AA7" s="276"/>
      <c r="AB7" s="276"/>
      <c r="AC7" s="276"/>
      <c r="AD7" s="276"/>
      <c r="AE7" s="276"/>
      <c r="AF7" s="276"/>
      <c r="AG7" s="276"/>
      <c r="AH7" s="276"/>
      <c r="AI7" s="276"/>
      <c r="AJ7" s="276"/>
      <c r="AK7" s="276"/>
      <c r="AL7" s="276"/>
      <c r="AM7" s="276"/>
      <c r="AN7" s="276"/>
      <c r="AO7" s="276"/>
      <c r="AP7" s="276"/>
    </row>
    <row r="8" spans="1:54" x14ac:dyDescent="0.25">
      <c r="A8" s="102" t="str">
        <f>IF(Invoice_Colombo!E11&lt;&gt;"",Invoice_Colombo!E11,"")</f>
        <v>21069099</v>
      </c>
      <c r="B8" t="str">
        <f t="shared" si="0"/>
        <v>2106</v>
      </c>
      <c r="C8" s="278" t="str">
        <f>IF(Invoice_Colombo!D11&lt;&gt;"",Invoice_Colombo!D11,"")</f>
        <v>HEALTH MIX 200g 40pc B1G1</v>
      </c>
      <c r="D8" s="279" t="str">
        <f>IF(Invoice_Colombo!F11&lt;&gt;"",Invoice_Colombo!F11,"")</f>
        <v/>
      </c>
      <c r="E8" s="102" t="s">
        <v>310</v>
      </c>
      <c r="F8" s="280" t="str">
        <f>IF(Invoice_Colombo!I11&lt;&gt;"",Invoice_Colombo!I11,"")</f>
        <v/>
      </c>
      <c r="G8" s="276" t="s">
        <v>304</v>
      </c>
      <c r="H8" s="276" t="s">
        <v>304</v>
      </c>
      <c r="I8">
        <v>79</v>
      </c>
      <c r="J8" t="s">
        <v>299</v>
      </c>
      <c r="K8" s="277" t="s">
        <v>302</v>
      </c>
      <c r="Y8" s="276"/>
      <c r="Z8" s="276" t="s">
        <v>299</v>
      </c>
      <c r="AA8" s="276"/>
      <c r="AB8" s="276"/>
      <c r="AC8" s="276"/>
      <c r="AD8" s="276"/>
      <c r="AE8" s="276"/>
      <c r="AF8" s="276"/>
      <c r="AG8" s="276"/>
      <c r="AH8" s="276"/>
      <c r="AI8" s="276"/>
      <c r="AJ8" s="276"/>
      <c r="AK8" s="276"/>
      <c r="AL8" s="276"/>
      <c r="AM8" s="276"/>
      <c r="AN8" s="276"/>
      <c r="AO8" s="276"/>
      <c r="AP8" s="276"/>
    </row>
    <row r="9" spans="1:54" x14ac:dyDescent="0.25">
      <c r="A9" s="102" t="str">
        <f>IF(Invoice_Colombo!E12&lt;&gt;"",Invoice_Colombo!E12,"")</f>
        <v>21069099</v>
      </c>
      <c r="B9" t="str">
        <f t="shared" si="0"/>
        <v>2106</v>
      </c>
      <c r="C9" s="278" t="str">
        <f>IF(Invoice_Colombo!D12&lt;&gt;"",Invoice_Colombo!D12,"")</f>
        <v>HEALTH MIX 500g 20pc B1G1</v>
      </c>
      <c r="D9" s="279" t="str">
        <f>IF(Invoice_Colombo!F12&lt;&gt;"",Invoice_Colombo!F12,"")</f>
        <v/>
      </c>
      <c r="E9" s="102" t="s">
        <v>310</v>
      </c>
      <c r="F9" s="280" t="str">
        <f>IF(Invoice_Colombo!I12&lt;&gt;"",Invoice_Colombo!I12,"")</f>
        <v/>
      </c>
      <c r="G9" s="276" t="s">
        <v>304</v>
      </c>
      <c r="H9" s="276" t="s">
        <v>304</v>
      </c>
      <c r="I9">
        <v>81.5</v>
      </c>
      <c r="J9" t="s">
        <v>299</v>
      </c>
      <c r="K9" s="277" t="s">
        <v>302</v>
      </c>
      <c r="Y9" s="276"/>
      <c r="Z9" s="276" t="s">
        <v>311</v>
      </c>
      <c r="AA9" s="276"/>
      <c r="AB9" s="276"/>
      <c r="AC9" s="276"/>
      <c r="AD9" s="276"/>
      <c r="AE9" s="276"/>
      <c r="AF9" s="276"/>
      <c r="AG9" s="276"/>
      <c r="AH9" s="276"/>
      <c r="AI9" s="276"/>
      <c r="AJ9" s="276"/>
      <c r="AK9" s="276"/>
      <c r="AL9" s="276"/>
      <c r="AM9" s="276"/>
      <c r="AN9" s="276"/>
      <c r="AO9" s="276"/>
      <c r="AP9" s="276"/>
    </row>
    <row r="10" spans="1:54" x14ac:dyDescent="0.25">
      <c r="A10" s="102" t="str">
        <f>IF(Invoice_Colombo!E13&lt;&gt;"",Invoice_Colombo!E13,"")</f>
        <v>09042190</v>
      </c>
      <c r="B10" t="str">
        <f t="shared" si="0"/>
        <v>0904</v>
      </c>
      <c r="C10" s="278" t="str">
        <f>IF(Invoice_Colombo!D13&lt;&gt;"",Invoice_Colombo!D13,"")</f>
        <v xml:space="preserve">SPECIAL CHILLI POWDER - 500GMS </v>
      </c>
      <c r="D10" s="279" t="str">
        <f>IF(Invoice_Colombo!F13&lt;&gt;"",Invoice_Colombo!F13,"")</f>
        <v/>
      </c>
      <c r="E10" s="102" t="s">
        <v>310</v>
      </c>
      <c r="F10" s="280" t="str">
        <f>IF(Invoice_Colombo!I13&lt;&gt;"",Invoice_Colombo!I13,"")</f>
        <v/>
      </c>
      <c r="G10" s="276" t="s">
        <v>304</v>
      </c>
      <c r="H10" s="276" t="s">
        <v>304</v>
      </c>
      <c r="I10">
        <v>11</v>
      </c>
      <c r="J10" t="s">
        <v>299</v>
      </c>
      <c r="K10" s="277" t="s">
        <v>302</v>
      </c>
      <c r="Y10" s="276"/>
      <c r="Z10" s="276" t="s">
        <v>312</v>
      </c>
      <c r="AA10" s="276"/>
      <c r="AB10" s="276"/>
      <c r="AC10" s="276"/>
      <c r="AD10" s="276"/>
      <c r="AE10" s="276"/>
      <c r="AF10" s="276"/>
      <c r="AG10" s="276"/>
      <c r="AH10" s="276"/>
      <c r="AI10" s="276"/>
      <c r="AJ10" s="276"/>
      <c r="AK10" s="276"/>
      <c r="AL10" s="276"/>
      <c r="AM10" s="276"/>
      <c r="AN10" s="276"/>
      <c r="AO10" s="276"/>
      <c r="AP10" s="276"/>
    </row>
    <row r="11" spans="1:54" x14ac:dyDescent="0.25">
      <c r="A11" s="102" t="str">
        <f>IF(Invoice_Colombo!E14&lt;&gt;"",Invoice_Colombo!E14,"")</f>
        <v>20019000</v>
      </c>
      <c r="B11" t="str">
        <f t="shared" si="0"/>
        <v>2001</v>
      </c>
      <c r="C11" s="278" t="str">
        <f>IF(Invoice_Colombo!D14&lt;&gt;"",Invoice_Colombo!D14,"")</f>
        <v>LEMON PICKLE 200g 30pc B1G1</v>
      </c>
      <c r="D11" s="279" t="str">
        <f>IF(Invoice_Colombo!F14&lt;&gt;"",Invoice_Colombo!F14,"")</f>
        <v/>
      </c>
      <c r="E11" s="102" t="s">
        <v>310</v>
      </c>
      <c r="F11" s="280" t="str">
        <f>IF(Invoice_Colombo!I14&lt;&gt;"",Invoice_Colombo!I14,"")</f>
        <v/>
      </c>
      <c r="G11" s="276" t="s">
        <v>304</v>
      </c>
      <c r="H11" s="276" t="s">
        <v>304</v>
      </c>
      <c r="I11">
        <v>16.2</v>
      </c>
      <c r="J11" t="s">
        <v>299</v>
      </c>
      <c r="K11" s="277" t="s">
        <v>302</v>
      </c>
      <c r="Y11" s="276"/>
      <c r="Z11" s="276" t="s">
        <v>313</v>
      </c>
      <c r="AA11" s="276"/>
      <c r="AB11" s="276"/>
      <c r="AC11" s="276"/>
      <c r="AD11" s="276"/>
      <c r="AE11" s="276"/>
      <c r="AF11" s="276"/>
      <c r="AG11" s="276"/>
      <c r="AH11" s="276"/>
      <c r="AI11" s="276"/>
      <c r="AJ11" s="276"/>
      <c r="AK11" s="276"/>
      <c r="AL11" s="276"/>
      <c r="AM11" s="276"/>
      <c r="AN11" s="276"/>
      <c r="AO11" s="276"/>
      <c r="AP11" s="276"/>
    </row>
    <row r="12" spans="1:54" x14ac:dyDescent="0.25">
      <c r="A12" s="102" t="str">
        <f>IF(Invoice_Colombo!E15&lt;&gt;"",Invoice_Colombo!E15,"")</f>
        <v>20019000</v>
      </c>
      <c r="B12" t="str">
        <f t="shared" si="0"/>
        <v>2001</v>
      </c>
      <c r="C12" s="278" t="str">
        <f>IF(Invoice_Colombo!D15&lt;&gt;"",Invoice_Colombo!D15,"")</f>
        <v>CUT MANGO PICKLE 200g 30pc B1G1</v>
      </c>
      <c r="D12" s="279" t="str">
        <f>IF(Invoice_Colombo!F15&lt;&gt;"",Invoice_Colombo!F15,"")</f>
        <v/>
      </c>
      <c r="E12" s="102" t="s">
        <v>310</v>
      </c>
      <c r="F12" s="280" t="str">
        <f>IF(Invoice_Colombo!I15&lt;&gt;"",Invoice_Colombo!I15,"")</f>
        <v/>
      </c>
      <c r="G12" s="276" t="s">
        <v>304</v>
      </c>
      <c r="H12" s="276" t="s">
        <v>304</v>
      </c>
      <c r="I12">
        <v>16.2</v>
      </c>
      <c r="J12" t="s">
        <v>299</v>
      </c>
      <c r="K12" s="277" t="s">
        <v>302</v>
      </c>
      <c r="Y12" s="276"/>
      <c r="Z12" s="276" t="s">
        <v>314</v>
      </c>
      <c r="AA12" s="276"/>
      <c r="AB12" s="276"/>
      <c r="AC12" s="276"/>
      <c r="AD12" s="276"/>
      <c r="AE12" s="276"/>
      <c r="AF12" s="276"/>
      <c r="AG12" s="276"/>
      <c r="AH12" s="276"/>
      <c r="AI12" s="276"/>
      <c r="AJ12" s="276"/>
      <c r="AK12" s="276"/>
      <c r="AL12" s="276"/>
      <c r="AM12" s="276"/>
      <c r="AN12" s="276"/>
      <c r="AO12" s="276"/>
      <c r="AP12" s="276"/>
    </row>
    <row r="13" spans="1:54" x14ac:dyDescent="0.25">
      <c r="A13" s="102" t="str">
        <f>IF(Invoice_Colombo!E16&lt;&gt;"",Invoice_Colombo!E16,"")</f>
        <v>20019000</v>
      </c>
      <c r="B13" t="str">
        <f t="shared" si="0"/>
        <v>2001</v>
      </c>
      <c r="C13" s="278" t="str">
        <f>IF(Invoice_Colombo!D16&lt;&gt;"",Invoice_Colombo!D16,"")</f>
        <v>MANGO THOKKU PICKLE 200g30pcB1G1</v>
      </c>
      <c r="D13" s="279" t="str">
        <f>IF(Invoice_Colombo!F16&lt;&gt;"",Invoice_Colombo!F16,"")</f>
        <v/>
      </c>
      <c r="E13" s="102" t="s">
        <v>299</v>
      </c>
      <c r="F13" s="280" t="str">
        <f>IF(Invoice_Colombo!I16&lt;&gt;"",Invoice_Colombo!I16,"")</f>
        <v/>
      </c>
      <c r="G13" s="276" t="s">
        <v>304</v>
      </c>
      <c r="H13" s="276" t="s">
        <v>304</v>
      </c>
      <c r="I13">
        <v>310</v>
      </c>
      <c r="J13" t="s">
        <v>299</v>
      </c>
      <c r="K13" s="277" t="s">
        <v>302</v>
      </c>
      <c r="Y13" s="276"/>
      <c r="Z13" s="276" t="s">
        <v>315</v>
      </c>
      <c r="AA13" s="276"/>
      <c r="AB13" s="276"/>
      <c r="AC13" s="276"/>
      <c r="AD13" s="276"/>
      <c r="AE13" s="276"/>
      <c r="AF13" s="276"/>
      <c r="AG13" s="276"/>
      <c r="AH13" s="276"/>
      <c r="AI13" s="276"/>
      <c r="AJ13" s="276"/>
      <c r="AK13" s="276"/>
      <c r="AL13" s="276"/>
      <c r="AM13" s="276"/>
      <c r="AN13" s="276"/>
      <c r="AO13" s="276"/>
      <c r="AP13" s="276"/>
    </row>
    <row r="14" spans="1:54" x14ac:dyDescent="0.25">
      <c r="A14" s="102" t="str">
        <f>IF(Invoice_Colombo!E17&lt;&gt;"",Invoice_Colombo!E17,"")</f>
        <v>20019000</v>
      </c>
      <c r="B14" t="str">
        <f t="shared" si="0"/>
        <v>2001</v>
      </c>
      <c r="C14" s="278" t="str">
        <f>IF(Invoice_Colombo!D17&lt;&gt;"",Invoice_Colombo!D17,"")</f>
        <v>MIXED VEG PICKLE 200g 30pc</v>
      </c>
      <c r="D14" s="279" t="str">
        <f>IF(Invoice_Colombo!F17&lt;&gt;"",Invoice_Colombo!F17,"")</f>
        <v/>
      </c>
      <c r="E14" s="102" t="s">
        <v>299</v>
      </c>
      <c r="F14" s="280" t="str">
        <f>IF(Invoice_Colombo!I17&lt;&gt;"",Invoice_Colombo!I17,"")</f>
        <v/>
      </c>
      <c r="G14" s="276" t="s">
        <v>304</v>
      </c>
      <c r="H14" s="276" t="s">
        <v>304</v>
      </c>
      <c r="I14">
        <v>62</v>
      </c>
      <c r="J14" t="s">
        <v>299</v>
      </c>
      <c r="K14" s="277" t="s">
        <v>302</v>
      </c>
      <c r="Y14" s="276"/>
      <c r="Z14" s="276" t="s">
        <v>316</v>
      </c>
      <c r="AA14" s="276"/>
      <c r="AB14" s="276"/>
      <c r="AC14" s="276"/>
      <c r="AD14" s="276"/>
      <c r="AE14" s="276"/>
      <c r="AF14" s="276"/>
      <c r="AG14" s="276"/>
      <c r="AH14" s="276"/>
      <c r="AI14" s="276"/>
      <c r="AJ14" s="276"/>
      <c r="AK14" s="276"/>
      <c r="AL14" s="276"/>
      <c r="AM14" s="276"/>
      <c r="AN14" s="276"/>
      <c r="AO14" s="276"/>
      <c r="AP14" s="276"/>
    </row>
    <row r="15" spans="1:54" x14ac:dyDescent="0.25">
      <c r="A15" s="102" t="str">
        <f>IF(Invoice_Colombo!E18&lt;&gt;"",Invoice_Colombo!E18,"")</f>
        <v>20019000</v>
      </c>
      <c r="B15" t="str">
        <f t="shared" si="0"/>
        <v>2001</v>
      </c>
      <c r="C15" s="278" t="str">
        <f>IF(Invoice_Colombo!D18&lt;&gt;"",Invoice_Colombo!D18,"")</f>
        <v>GARLIC PICKLE 200g 30pc B1G1</v>
      </c>
      <c r="D15" s="279" t="str">
        <f>IF(Invoice_Colombo!F18&lt;&gt;"",Invoice_Colombo!F18,"")</f>
        <v/>
      </c>
      <c r="E15" s="102" t="s">
        <v>299</v>
      </c>
      <c r="F15" s="280" t="str">
        <f>IF(Invoice_Colombo!I18&lt;&gt;"",Invoice_Colombo!I18,"")</f>
        <v/>
      </c>
      <c r="G15" s="276" t="s">
        <v>304</v>
      </c>
      <c r="H15" s="276" t="s">
        <v>304</v>
      </c>
      <c r="I15">
        <v>930</v>
      </c>
      <c r="J15" t="s">
        <v>299</v>
      </c>
      <c r="K15" s="277" t="s">
        <v>302</v>
      </c>
      <c r="Y15" s="276"/>
      <c r="Z15" s="276" t="s">
        <v>317</v>
      </c>
      <c r="AA15" s="276"/>
      <c r="AB15" s="276"/>
      <c r="AC15" s="276"/>
      <c r="AD15" s="276"/>
      <c r="AE15" s="276"/>
      <c r="AF15" s="276"/>
      <c r="AG15" s="276"/>
      <c r="AH15" s="276"/>
      <c r="AI15" s="276"/>
      <c r="AJ15" s="276"/>
      <c r="AK15" s="276"/>
      <c r="AL15" s="276"/>
      <c r="AM15" s="276"/>
      <c r="AN15" s="276"/>
      <c r="AO15" s="276"/>
      <c r="AP15" s="276"/>
    </row>
    <row r="16" spans="1:54" x14ac:dyDescent="0.25">
      <c r="A16" s="102" t="str">
        <f>IF(Invoice_Colombo!E19&lt;&gt;"",Invoice_Colombo!E19,"")</f>
        <v>21069099</v>
      </c>
      <c r="B16" t="str">
        <f t="shared" si="0"/>
        <v>2106</v>
      </c>
      <c r="C16" s="278" t="str">
        <f>IF(Invoice_Colombo!D19&lt;&gt;"",Invoice_Colombo!D19,"")</f>
        <v>BREAD HALWA RTE 250g 20pc B1G1</v>
      </c>
      <c r="D16" s="279" t="str">
        <f>IF(Invoice_Colombo!F19&lt;&gt;"",Invoice_Colombo!F19,"")</f>
        <v/>
      </c>
      <c r="E16" s="102" t="s">
        <v>299</v>
      </c>
      <c r="F16" s="280" t="str">
        <f>IF(Invoice_Colombo!I19&lt;&gt;"",Invoice_Colombo!I19,"")</f>
        <v/>
      </c>
      <c r="G16" s="276" t="s">
        <v>304</v>
      </c>
      <c r="H16" s="276" t="s">
        <v>304</v>
      </c>
      <c r="I16">
        <v>930</v>
      </c>
      <c r="J16" t="s">
        <v>299</v>
      </c>
      <c r="K16" s="277" t="s">
        <v>302</v>
      </c>
      <c r="Y16" s="276"/>
      <c r="Z16" s="276" t="s">
        <v>318</v>
      </c>
      <c r="AA16" s="276"/>
      <c r="AB16" s="276"/>
      <c r="AC16" s="276"/>
      <c r="AD16" s="276"/>
      <c r="AE16" s="276"/>
      <c r="AF16" s="276"/>
      <c r="AG16" s="276"/>
      <c r="AH16" s="276"/>
      <c r="AI16" s="276"/>
      <c r="AJ16" s="276"/>
      <c r="AK16" s="276"/>
      <c r="AL16" s="276"/>
      <c r="AM16" s="276"/>
      <c r="AN16" s="276"/>
      <c r="AO16" s="276"/>
      <c r="AP16" s="276"/>
    </row>
    <row r="17" spans="1:42" x14ac:dyDescent="0.25">
      <c r="A17" s="102" t="str">
        <f>IF(Invoice_Colombo!E20&lt;&gt;"",Invoice_Colombo!E20,"")</f>
        <v>21011200</v>
      </c>
      <c r="B17" t="str">
        <f t="shared" si="0"/>
        <v>2101</v>
      </c>
      <c r="C17" s="278" t="str">
        <f>IF(Invoice_Colombo!D20&lt;&gt;"",Invoice_Colombo!D20,"")</f>
        <v>COFFEE POWDER 1.2G RS.2.00</v>
      </c>
      <c r="D17" s="279" t="str">
        <f>IF(Invoice_Colombo!F20&lt;&gt;"",Invoice_Colombo!F20,"")</f>
        <v/>
      </c>
      <c r="E17" s="102" t="s">
        <v>299</v>
      </c>
      <c r="F17" s="280" t="str">
        <f>IF(Invoice_Colombo!I20&lt;&gt;"",Invoice_Colombo!I20,"")</f>
        <v/>
      </c>
      <c r="G17" s="276" t="s">
        <v>304</v>
      </c>
      <c r="H17" s="276" t="s">
        <v>304</v>
      </c>
      <c r="I17">
        <v>800</v>
      </c>
      <c r="J17" t="s">
        <v>299</v>
      </c>
      <c r="K17" s="277" t="s">
        <v>302</v>
      </c>
      <c r="Y17" s="276"/>
      <c r="Z17" s="276" t="s">
        <v>319</v>
      </c>
      <c r="AA17" s="276"/>
      <c r="AB17" s="276"/>
      <c r="AC17" s="276"/>
      <c r="AD17" s="276"/>
      <c r="AE17" s="276"/>
      <c r="AF17" s="276"/>
      <c r="AG17" s="276"/>
      <c r="AH17" s="276"/>
      <c r="AI17" s="276"/>
      <c r="AJ17" s="276"/>
      <c r="AK17" s="276"/>
      <c r="AL17" s="276"/>
      <c r="AM17" s="276"/>
      <c r="AN17" s="276"/>
      <c r="AO17" s="276"/>
      <c r="AP17" s="276"/>
    </row>
    <row r="18" spans="1:42" x14ac:dyDescent="0.25">
      <c r="A18" s="102" t="str">
        <f>IF(Invoice_Colombo!E21&lt;&gt;"",Invoice_Colombo!E21,"")</f>
        <v>21011200</v>
      </c>
      <c r="B18" t="str">
        <f t="shared" si="0"/>
        <v>2101</v>
      </c>
      <c r="C18" s="278" t="str">
        <f>IF(Invoice_Colombo!D21&lt;&gt;"",Invoice_Colombo!D21,"")</f>
        <v>COFFEE POWDER 500G</v>
      </c>
      <c r="D18" s="279" t="str">
        <f>IF(Invoice_Colombo!F21&lt;&gt;"",Invoice_Colombo!F21,"")</f>
        <v/>
      </c>
      <c r="E18" s="102" t="s">
        <v>310</v>
      </c>
      <c r="F18" s="280" t="str">
        <f>IF(Invoice_Colombo!I21&lt;&gt;"",Invoice_Colombo!I21,"")</f>
        <v/>
      </c>
      <c r="G18" s="276" t="s">
        <v>304</v>
      </c>
      <c r="H18" s="276" t="s">
        <v>304</v>
      </c>
      <c r="I18">
        <v>135</v>
      </c>
      <c r="J18" t="s">
        <v>299</v>
      </c>
      <c r="K18" s="277" t="s">
        <v>302</v>
      </c>
      <c r="Y18" s="276"/>
      <c r="Z18" s="276" t="s">
        <v>320</v>
      </c>
      <c r="AA18" s="276"/>
      <c r="AB18" s="276"/>
      <c r="AC18" s="276"/>
      <c r="AD18" s="276"/>
      <c r="AE18" s="276"/>
      <c r="AF18" s="276"/>
      <c r="AG18" s="276"/>
      <c r="AH18" s="276"/>
      <c r="AI18" s="276"/>
      <c r="AJ18" s="276"/>
      <c r="AK18" s="276"/>
      <c r="AL18" s="276"/>
      <c r="AM18" s="276"/>
      <c r="AN18" s="276"/>
      <c r="AO18" s="276"/>
      <c r="AP18" s="276"/>
    </row>
    <row r="19" spans="1:42" x14ac:dyDescent="0.25">
      <c r="A19" s="102" t="str">
        <f>IF(Invoice_Colombo!E22&lt;&gt;"",Invoice_Colombo!E22,"")</f>
        <v>11061010</v>
      </c>
      <c r="B19" t="str">
        <f t="shared" si="0"/>
        <v>1106</v>
      </c>
      <c r="C19" s="278" t="str">
        <f>IF(Invoice_Colombo!D22&lt;&gt;"",Invoice_Colombo!D22,"")</f>
        <v>NAGA GRAM FLOUR 500G (EACH 60PCS )</v>
      </c>
      <c r="D19" s="279" t="str">
        <f>IF(Invoice_Colombo!F22&lt;&gt;"",Invoice_Colombo!F22,"")</f>
        <v/>
      </c>
      <c r="E19" s="102" t="s">
        <v>310</v>
      </c>
      <c r="F19" s="280" t="str">
        <f>IF(Invoice_Colombo!I22&lt;&gt;"",Invoice_Colombo!I22,"")</f>
        <v/>
      </c>
      <c r="G19" s="276" t="s">
        <v>304</v>
      </c>
      <c r="H19" s="276" t="s">
        <v>304</v>
      </c>
      <c r="I19">
        <v>24.7</v>
      </c>
      <c r="J19" t="s">
        <v>299</v>
      </c>
      <c r="K19" s="277" t="s">
        <v>302</v>
      </c>
      <c r="Y19" s="276"/>
      <c r="Z19" s="276" t="s">
        <v>321</v>
      </c>
      <c r="AA19" s="276"/>
      <c r="AB19" s="276"/>
      <c r="AC19" s="276"/>
      <c r="AD19" s="276"/>
      <c r="AE19" s="276"/>
      <c r="AF19" s="276"/>
      <c r="AG19" s="276"/>
      <c r="AH19" s="276"/>
      <c r="AI19" s="276"/>
      <c r="AJ19" s="276"/>
      <c r="AK19" s="276"/>
      <c r="AL19" s="276"/>
      <c r="AM19" s="276"/>
      <c r="AN19" s="276"/>
      <c r="AO19" s="276"/>
      <c r="AP19" s="276"/>
    </row>
    <row r="20" spans="1:42" x14ac:dyDescent="0.25">
      <c r="A20" s="102" t="str">
        <f>IF(Invoice_Colombo!E23&lt;&gt;"",Invoice_Colombo!E23,"")</f>
        <v>11029020</v>
      </c>
      <c r="B20" t="str">
        <f t="shared" si="0"/>
        <v>1102</v>
      </c>
      <c r="C20" s="278" t="str">
        <f>IF(Invoice_Colombo!D23&lt;&gt;"",Invoice_Colombo!D23,"")</f>
        <v>NAGA RAGI FLOUR 500G (EACH 60PCS )</v>
      </c>
      <c r="D20" s="279" t="str">
        <f>IF(Invoice_Colombo!F23&lt;&gt;"",Invoice_Colombo!F23,"")</f>
        <v/>
      </c>
      <c r="E20" s="102" t="s">
        <v>310</v>
      </c>
      <c r="F20" s="280" t="str">
        <f>IF(Invoice_Colombo!I23&lt;&gt;"",Invoice_Colombo!I23,"")</f>
        <v/>
      </c>
      <c r="G20" s="276" t="s">
        <v>304</v>
      </c>
      <c r="H20" s="276" t="s">
        <v>304</v>
      </c>
      <c r="I20">
        <v>109.5</v>
      </c>
      <c r="J20" t="s">
        <v>299</v>
      </c>
      <c r="K20" s="277" t="s">
        <v>302</v>
      </c>
      <c r="Y20" s="276"/>
      <c r="Z20" s="276" t="s">
        <v>322</v>
      </c>
      <c r="AA20" s="276"/>
      <c r="AB20" s="276"/>
      <c r="AC20" s="276"/>
      <c r="AD20" s="276"/>
      <c r="AE20" s="276"/>
      <c r="AF20" s="276"/>
      <c r="AG20" s="276"/>
      <c r="AH20" s="276"/>
      <c r="AI20" s="276"/>
      <c r="AJ20" s="276"/>
      <c r="AK20" s="276"/>
      <c r="AL20" s="276"/>
      <c r="AM20" s="276"/>
      <c r="AN20" s="276"/>
      <c r="AO20" s="276"/>
      <c r="AP20" s="276"/>
    </row>
    <row r="21" spans="1:42" x14ac:dyDescent="0.25">
      <c r="A21" s="102" t="str">
        <f>IF(Invoice_Colombo!E24&lt;&gt;"",Invoice_Colombo!E24,"")</f>
        <v>21069099</v>
      </c>
      <c r="B21" t="str">
        <f t="shared" si="0"/>
        <v>2106</v>
      </c>
      <c r="C21" s="278" t="str">
        <f>IF(Invoice_Colombo!D24&lt;&gt;"",Invoice_Colombo!D24,"")</f>
        <v xml:space="preserve">RAJAM SUKKU COFFEE 200GMS </v>
      </c>
      <c r="D21" s="279" t="str">
        <f>IF(Invoice_Colombo!F24&lt;&gt;"",Invoice_Colombo!F24,"")</f>
        <v/>
      </c>
      <c r="E21" s="102" t="s">
        <v>310</v>
      </c>
      <c r="F21" s="280" t="str">
        <f>IF(Invoice_Colombo!I24&lt;&gt;"",Invoice_Colombo!I24,"")</f>
        <v/>
      </c>
      <c r="G21" s="276" t="s">
        <v>304</v>
      </c>
      <c r="H21" s="276" t="s">
        <v>304</v>
      </c>
      <c r="I21">
        <v>42.3</v>
      </c>
      <c r="J21" t="s">
        <v>299</v>
      </c>
      <c r="K21" s="277" t="s">
        <v>302</v>
      </c>
      <c r="Y21" s="276"/>
      <c r="Z21" s="276" t="s">
        <v>323</v>
      </c>
      <c r="AA21" s="276"/>
      <c r="AB21" s="276"/>
      <c r="AC21" s="276"/>
      <c r="AD21" s="276"/>
      <c r="AE21" s="276"/>
      <c r="AF21" s="276"/>
      <c r="AG21" s="276"/>
      <c r="AH21" s="276"/>
      <c r="AI21" s="276"/>
      <c r="AJ21" s="276"/>
      <c r="AK21" s="276"/>
      <c r="AL21" s="276"/>
      <c r="AM21" s="276"/>
      <c r="AN21" s="276"/>
      <c r="AO21" s="276"/>
      <c r="AP21" s="276"/>
    </row>
    <row r="22" spans="1:42" x14ac:dyDescent="0.25">
      <c r="A22" s="102" t="str">
        <f>IF(Invoice_Colombo!E25&lt;&gt;"",Invoice_Colombo!E25,"")</f>
        <v>19023000</v>
      </c>
      <c r="B22" t="str">
        <f t="shared" si="0"/>
        <v>1902</v>
      </c>
      <c r="C22" s="278" t="str">
        <f>IF(Invoice_Colombo!D25&lt;&gt;"",Invoice_Colombo!D25,"")</f>
        <v>NOODLES 72.6G</v>
      </c>
      <c r="D22" s="279" t="str">
        <f>IF(Invoice_Colombo!F25&lt;&gt;"",Invoice_Colombo!F25,"")</f>
        <v/>
      </c>
      <c r="E22" s="102" t="s">
        <v>310</v>
      </c>
      <c r="F22" s="280" t="str">
        <f>IF(Invoice_Colombo!I25&lt;&gt;"",Invoice_Colombo!I25,"")</f>
        <v/>
      </c>
      <c r="G22" s="276" t="s">
        <v>304</v>
      </c>
      <c r="H22" s="276" t="s">
        <v>304</v>
      </c>
      <c r="I22">
        <v>70.25</v>
      </c>
      <c r="J22" t="s">
        <v>299</v>
      </c>
      <c r="K22" s="277" t="s">
        <v>302</v>
      </c>
      <c r="Y22" s="276"/>
      <c r="Z22" s="276" t="s">
        <v>324</v>
      </c>
      <c r="AA22" s="276"/>
      <c r="AB22" s="276"/>
      <c r="AC22" s="276"/>
      <c r="AD22" s="276"/>
      <c r="AE22" s="276"/>
      <c r="AF22" s="276"/>
      <c r="AG22" s="276"/>
      <c r="AH22" s="276"/>
      <c r="AI22" s="276"/>
      <c r="AJ22" s="276"/>
      <c r="AK22" s="276"/>
      <c r="AL22" s="276"/>
      <c r="AM22" s="276"/>
      <c r="AN22" s="276"/>
      <c r="AO22" s="276"/>
      <c r="AP22" s="276"/>
    </row>
    <row r="23" spans="1:42" x14ac:dyDescent="0.25">
      <c r="A23" s="102" t="str">
        <f>IF(Invoice_Colombo!E26&lt;&gt;"",Invoice_Colombo!E26,"")</f>
        <v>19023000</v>
      </c>
      <c r="B23" t="str">
        <f t="shared" si="0"/>
        <v>1902</v>
      </c>
      <c r="C23" s="278" t="str">
        <f>IF(Invoice_Colombo!D26&lt;&gt;"",Invoice_Colombo!D26,"")</f>
        <v>NOODLES 70G</v>
      </c>
      <c r="D23" s="279" t="str">
        <f>IF(Invoice_Colombo!F26&lt;&gt;"",Invoice_Colombo!F26,"")</f>
        <v/>
      </c>
      <c r="E23" s="102" t="s">
        <v>310</v>
      </c>
      <c r="F23" s="280" t="str">
        <f>IF(Invoice_Colombo!I26&lt;&gt;"",Invoice_Colombo!I26,"")</f>
        <v/>
      </c>
      <c r="G23" s="276" t="s">
        <v>304</v>
      </c>
      <c r="H23" s="276" t="s">
        <v>304</v>
      </c>
      <c r="I23">
        <v>42</v>
      </c>
      <c r="J23" t="s">
        <v>299</v>
      </c>
      <c r="K23" s="277" t="s">
        <v>302</v>
      </c>
      <c r="Y23" s="276"/>
      <c r="Z23" s="276" t="s">
        <v>325</v>
      </c>
      <c r="AA23" s="276"/>
      <c r="AB23" s="276"/>
      <c r="AC23" s="276"/>
      <c r="AD23" s="276"/>
      <c r="AE23" s="276"/>
      <c r="AF23" s="276"/>
      <c r="AG23" s="276"/>
      <c r="AH23" s="276"/>
      <c r="AI23" s="276"/>
      <c r="AJ23" s="276"/>
      <c r="AK23" s="276"/>
      <c r="AL23" s="276"/>
      <c r="AM23" s="276"/>
      <c r="AN23" s="276"/>
      <c r="AO23" s="276"/>
      <c r="AP23" s="276"/>
    </row>
    <row r="24" spans="1:42" x14ac:dyDescent="0.25">
      <c r="A24" s="102" t="str">
        <f>IF(Invoice_Colombo!E27&lt;&gt;"",Invoice_Colombo!E27,"")</f>
        <v>19023000</v>
      </c>
      <c r="B24" t="str">
        <f t="shared" si="0"/>
        <v>1902</v>
      </c>
      <c r="C24" s="278" t="str">
        <f>IF(Invoice_Colombo!D27&lt;&gt;"",Invoice_Colombo!D27,"")</f>
        <v>NOODLES 140G</v>
      </c>
      <c r="D24" s="279" t="str">
        <f>IF(Invoice_Colombo!F27&lt;&gt;"",Invoice_Colombo!F27,"")</f>
        <v/>
      </c>
      <c r="E24" s="102" t="s">
        <v>299</v>
      </c>
      <c r="F24" s="280" t="str">
        <f>IF(Invoice_Colombo!I27&lt;&gt;"",Invoice_Colombo!I27,"")</f>
        <v/>
      </c>
      <c r="G24" s="276" t="s">
        <v>304</v>
      </c>
      <c r="H24" s="276" t="s">
        <v>304</v>
      </c>
      <c r="I24">
        <v>2500</v>
      </c>
      <c r="J24" t="s">
        <v>299</v>
      </c>
      <c r="K24" s="277" t="s">
        <v>302</v>
      </c>
      <c r="Y24" s="276"/>
      <c r="Z24" s="276" t="s">
        <v>326</v>
      </c>
      <c r="AA24" s="276"/>
      <c r="AB24" s="276"/>
      <c r="AC24" s="276"/>
      <c r="AD24" s="276"/>
      <c r="AE24" s="276"/>
      <c r="AF24" s="276"/>
      <c r="AG24" s="276"/>
      <c r="AH24" s="276"/>
      <c r="AI24" s="276"/>
      <c r="AJ24" s="276"/>
      <c r="AK24" s="276"/>
      <c r="AL24" s="276"/>
      <c r="AM24" s="276"/>
      <c r="AN24" s="276"/>
      <c r="AO24" s="276"/>
      <c r="AP24" s="276"/>
    </row>
    <row r="25" spans="1:42" x14ac:dyDescent="0.25">
      <c r="A25" s="102" t="str">
        <f>IF(Invoice_Colombo!E28&lt;&gt;"",Invoice_Colombo!E28,"")</f>
        <v>19023000</v>
      </c>
      <c r="B25" t="str">
        <f t="shared" si="0"/>
        <v>1902</v>
      </c>
      <c r="C25" s="278" t="str">
        <f>IF(Invoice_Colombo!D28&lt;&gt;"",Invoice_Colombo!D28,"")</f>
        <v>NOODLES 70G</v>
      </c>
      <c r="D25" s="279" t="str">
        <f>IF(Invoice_Colombo!F28&lt;&gt;"",Invoice_Colombo!F28,"")</f>
        <v/>
      </c>
      <c r="E25" s="102" t="s">
        <v>299</v>
      </c>
      <c r="F25" s="280" t="str">
        <f>IF(Invoice_Colombo!I28&lt;&gt;"",Invoice_Colombo!I28,"")</f>
        <v/>
      </c>
      <c r="G25" s="276" t="s">
        <v>304</v>
      </c>
      <c r="H25" s="276" t="s">
        <v>304</v>
      </c>
      <c r="I25">
        <v>155</v>
      </c>
      <c r="J25" t="s">
        <v>299</v>
      </c>
      <c r="K25" s="277" t="s">
        <v>302</v>
      </c>
      <c r="Y25" s="276"/>
      <c r="Z25" s="276" t="s">
        <v>310</v>
      </c>
      <c r="AA25" s="276"/>
      <c r="AB25" s="276"/>
      <c r="AC25" s="276"/>
      <c r="AD25" s="276"/>
      <c r="AE25" s="276"/>
      <c r="AF25" s="276"/>
      <c r="AG25" s="276"/>
      <c r="AH25" s="276"/>
      <c r="AI25" s="276"/>
      <c r="AJ25" s="276"/>
      <c r="AK25" s="276"/>
      <c r="AL25" s="276"/>
      <c r="AM25" s="276"/>
      <c r="AN25" s="276"/>
      <c r="AO25" s="276"/>
      <c r="AP25" s="276"/>
    </row>
    <row r="26" spans="1:42" x14ac:dyDescent="0.25">
      <c r="A26" s="102" t="str">
        <f>IF(Invoice_Colombo!E29&lt;&gt;"",Invoice_Colombo!E29,"")</f>
        <v>19023000</v>
      </c>
      <c r="B26" t="str">
        <f t="shared" si="0"/>
        <v>1902</v>
      </c>
      <c r="C26" s="278" t="str">
        <f>IF(Invoice_Colombo!D29&lt;&gt;"",Invoice_Colombo!D29,"")</f>
        <v>NOODLES 420G</v>
      </c>
      <c r="D26" s="279" t="str">
        <f>IF(Invoice_Colombo!F29&lt;&gt;"",Invoice_Colombo!F29,"")</f>
        <v/>
      </c>
      <c r="E26" s="102" t="s">
        <v>299</v>
      </c>
      <c r="F26" s="280" t="str">
        <f>IF(Invoice_Colombo!I29&lt;&gt;"",Invoice_Colombo!I29,"")</f>
        <v/>
      </c>
      <c r="G26" s="276" t="s">
        <v>304</v>
      </c>
      <c r="H26" s="276" t="s">
        <v>304</v>
      </c>
      <c r="I26">
        <v>93</v>
      </c>
      <c r="J26" t="s">
        <v>299</v>
      </c>
      <c r="K26" s="277" t="s">
        <v>302</v>
      </c>
      <c r="Y26" s="276"/>
      <c r="Z26" s="276" t="s">
        <v>327</v>
      </c>
      <c r="AA26" s="276"/>
      <c r="AB26" s="276"/>
      <c r="AC26" s="276"/>
      <c r="AD26" s="276"/>
      <c r="AE26" s="276"/>
      <c r="AF26" s="276"/>
      <c r="AG26" s="276"/>
      <c r="AH26" s="276"/>
      <c r="AI26" s="276"/>
      <c r="AJ26" s="276"/>
      <c r="AK26" s="276"/>
      <c r="AL26" s="276"/>
      <c r="AM26" s="276"/>
      <c r="AN26" s="276"/>
      <c r="AO26" s="276"/>
      <c r="AP26" s="276"/>
    </row>
    <row r="27" spans="1:42" x14ac:dyDescent="0.25">
      <c r="A27" s="102" t="str">
        <f>IF(Invoice_Colombo!E30&lt;&gt;"",Invoice_Colombo!E30,"")</f>
        <v>10082190</v>
      </c>
      <c r="B27" t="str">
        <f t="shared" si="0"/>
        <v>1008</v>
      </c>
      <c r="C27" s="278" t="str">
        <f>IF(Invoice_Colombo!D30&lt;&gt;"",Invoice_Colombo!D30,"")</f>
        <v>BLACK KAVUNI  - 1KG</v>
      </c>
      <c r="D27" s="279" t="str">
        <f>IF(Invoice_Colombo!F30&lt;&gt;"",Invoice_Colombo!F30,"")</f>
        <v/>
      </c>
      <c r="E27" s="102" t="s">
        <v>310</v>
      </c>
      <c r="F27" s="280" t="str">
        <f>IF(Invoice_Colombo!I30&lt;&gt;"",Invoice_Colombo!I30,"")</f>
        <v/>
      </c>
      <c r="G27" s="276" t="s">
        <v>304</v>
      </c>
      <c r="H27" s="276" t="s">
        <v>304</v>
      </c>
      <c r="I27">
        <v>54.8</v>
      </c>
      <c r="J27" t="s">
        <v>299</v>
      </c>
      <c r="K27" s="277" t="s">
        <v>302</v>
      </c>
      <c r="Y27" s="276"/>
      <c r="Z27" s="276" t="s">
        <v>328</v>
      </c>
      <c r="AA27" s="276"/>
      <c r="AB27" s="276"/>
      <c r="AC27" s="276"/>
      <c r="AD27" s="276"/>
      <c r="AE27" s="276"/>
      <c r="AF27" s="276"/>
      <c r="AG27" s="276"/>
      <c r="AH27" s="276"/>
      <c r="AI27" s="276"/>
      <c r="AJ27" s="276"/>
      <c r="AK27" s="276"/>
      <c r="AL27" s="276"/>
      <c r="AM27" s="276"/>
      <c r="AN27" s="276"/>
      <c r="AO27" s="276"/>
      <c r="AP27" s="276"/>
    </row>
    <row r="28" spans="1:42" ht="27" x14ac:dyDescent="0.25">
      <c r="A28" s="102" t="str">
        <f>IF(Invoice_Colombo!E31&lt;&gt;"",Invoice_Colombo!E31,"")</f>
        <v>10082190</v>
      </c>
      <c r="B28" t="str">
        <f t="shared" si="0"/>
        <v>1008</v>
      </c>
      <c r="C28" s="278" t="str">
        <f>IF(Invoice_Colombo!D31&lt;&gt;"",Invoice_Colombo!D31,"")</f>
        <v xml:space="preserve">SAMAI - 500G
</v>
      </c>
      <c r="D28" s="279" t="str">
        <f>IF(Invoice_Colombo!F31&lt;&gt;"",Invoice_Colombo!F31,"")</f>
        <v/>
      </c>
      <c r="E28" s="102" t="s">
        <v>310</v>
      </c>
      <c r="F28" s="280" t="str">
        <f>IF(Invoice_Colombo!I31&lt;&gt;"",Invoice_Colombo!I31,"")</f>
        <v/>
      </c>
      <c r="G28" s="276" t="s">
        <v>304</v>
      </c>
      <c r="H28" s="276" t="s">
        <v>304</v>
      </c>
      <c r="I28">
        <v>33.75</v>
      </c>
      <c r="J28" t="s">
        <v>299</v>
      </c>
      <c r="K28" s="277" t="s">
        <v>302</v>
      </c>
      <c r="Y28" s="276"/>
      <c r="Z28" s="276" t="s">
        <v>329</v>
      </c>
      <c r="AA28" s="276"/>
      <c r="AB28" s="276"/>
      <c r="AC28" s="276"/>
      <c r="AD28" s="276"/>
      <c r="AE28" s="276"/>
      <c r="AF28" s="276"/>
      <c r="AG28" s="276"/>
      <c r="AH28" s="276"/>
      <c r="AI28" s="276"/>
      <c r="AJ28" s="276"/>
      <c r="AK28" s="276"/>
      <c r="AL28" s="276"/>
      <c r="AM28" s="276"/>
      <c r="AN28" s="276"/>
      <c r="AO28" s="276"/>
      <c r="AP28" s="276"/>
    </row>
    <row r="29" spans="1:42" ht="27" x14ac:dyDescent="0.25">
      <c r="A29" s="102" t="str">
        <f>IF(Invoice_Colombo!E32&lt;&gt;"",Invoice_Colombo!E32,"")</f>
        <v>10082190</v>
      </c>
      <c r="B29" t="str">
        <f t="shared" si="0"/>
        <v>1008</v>
      </c>
      <c r="C29" s="278" t="str">
        <f>IF(Invoice_Colombo!D32&lt;&gt;"",Invoice_Colombo!D32,"")</f>
        <v xml:space="preserve">KUTHIRAIVAALI - 500G
</v>
      </c>
      <c r="D29" s="279" t="str">
        <f>IF(Invoice_Colombo!F32&lt;&gt;"",Invoice_Colombo!F32,"")</f>
        <v/>
      </c>
      <c r="E29" s="102" t="s">
        <v>299</v>
      </c>
      <c r="F29" s="280" t="str">
        <f>IF(Invoice_Colombo!I32&lt;&gt;"",Invoice_Colombo!I32,"")</f>
        <v/>
      </c>
      <c r="G29" s="276" t="s">
        <v>304</v>
      </c>
      <c r="H29" s="276" t="s">
        <v>304</v>
      </c>
      <c r="I29">
        <v>52</v>
      </c>
      <c r="J29" t="s">
        <v>299</v>
      </c>
      <c r="K29" s="277" t="s">
        <v>302</v>
      </c>
      <c r="Y29" s="276"/>
      <c r="Z29" s="276" t="s">
        <v>330</v>
      </c>
      <c r="AA29" s="276"/>
      <c r="AB29" s="276"/>
      <c r="AC29" s="276"/>
      <c r="AD29" s="276"/>
      <c r="AE29" s="276"/>
      <c r="AF29" s="276"/>
      <c r="AG29" s="276"/>
      <c r="AH29" s="276"/>
      <c r="AI29" s="276"/>
      <c r="AJ29" s="276"/>
      <c r="AK29" s="276"/>
      <c r="AL29" s="276"/>
      <c r="AM29" s="276"/>
      <c r="AN29" s="276"/>
      <c r="AO29" s="276"/>
      <c r="AP29" s="276"/>
    </row>
    <row r="30" spans="1:42" ht="27" x14ac:dyDescent="0.25">
      <c r="A30" s="102" t="str">
        <f>IF(Invoice_Colombo!E33&lt;&gt;"",Invoice_Colombo!E33,"")</f>
        <v>10082190</v>
      </c>
      <c r="B30" t="str">
        <f t="shared" si="0"/>
        <v>1008</v>
      </c>
      <c r="C30" s="278" t="str">
        <f>IF(Invoice_Colombo!D33&lt;&gt;"",Invoice_Colombo!D33,"")</f>
        <v xml:space="preserve">VARAGU - 500G
</v>
      </c>
      <c r="D30" s="279" t="str">
        <f>IF(Invoice_Colombo!F33&lt;&gt;"",Invoice_Colombo!F33,"")</f>
        <v/>
      </c>
      <c r="E30" s="102" t="s">
        <v>298</v>
      </c>
      <c r="F30" s="280" t="str">
        <f>IF(Invoice_Colombo!I33&lt;&gt;"",Invoice_Colombo!I33,"")</f>
        <v/>
      </c>
      <c r="G30" s="276" t="s">
        <v>304</v>
      </c>
      <c r="H30" s="276" t="s">
        <v>304</v>
      </c>
      <c r="I30">
        <v>26.6</v>
      </c>
      <c r="J30" t="s">
        <v>299</v>
      </c>
      <c r="K30" s="277" t="s">
        <v>302</v>
      </c>
      <c r="Y30" s="276"/>
      <c r="Z30" s="276" t="s">
        <v>331</v>
      </c>
      <c r="AA30" s="276"/>
      <c r="AB30" s="276"/>
      <c r="AC30" s="276"/>
      <c r="AD30" s="276"/>
      <c r="AE30" s="276"/>
      <c r="AF30" s="276"/>
      <c r="AG30" s="276"/>
      <c r="AH30" s="276"/>
      <c r="AI30" s="276"/>
      <c r="AJ30" s="276"/>
      <c r="AK30" s="276"/>
      <c r="AL30" s="276"/>
      <c r="AM30" s="276"/>
      <c r="AN30" s="276"/>
      <c r="AO30" s="276"/>
      <c r="AP30" s="276"/>
    </row>
    <row r="31" spans="1:42" x14ac:dyDescent="0.25">
      <c r="A31" s="102" t="str">
        <f>IF(Invoice_Colombo!E34&lt;&gt;"",Invoice_Colombo!E34,"")</f>
        <v>10082190</v>
      </c>
      <c r="B31" t="str">
        <f t="shared" si="0"/>
        <v>1008</v>
      </c>
      <c r="C31" s="278" t="str">
        <f>IF(Invoice_Colombo!D34&lt;&gt;"",Invoice_Colombo!D34,"")</f>
        <v>THINAI - 500G</v>
      </c>
      <c r="D31" s="279" t="str">
        <f>IF(Invoice_Colombo!F34&lt;&gt;"",Invoice_Colombo!F34,"")</f>
        <v/>
      </c>
      <c r="E31" s="102" t="s">
        <v>310</v>
      </c>
      <c r="F31" s="280" t="str">
        <f>IF(Invoice_Colombo!I34&lt;&gt;"",Invoice_Colombo!I34,"")</f>
        <v/>
      </c>
      <c r="G31" s="276" t="s">
        <v>304</v>
      </c>
      <c r="H31" s="276" t="s">
        <v>304</v>
      </c>
      <c r="I31">
        <v>39</v>
      </c>
      <c r="J31" t="s">
        <v>299</v>
      </c>
      <c r="K31" s="277" t="s">
        <v>302</v>
      </c>
      <c r="Y31" s="276"/>
      <c r="Z31" s="276" t="s">
        <v>332</v>
      </c>
      <c r="AA31" s="276"/>
      <c r="AB31" s="276"/>
      <c r="AC31" s="276"/>
      <c r="AD31" s="276"/>
      <c r="AE31" s="276"/>
      <c r="AF31" s="276"/>
      <c r="AG31" s="276"/>
      <c r="AH31" s="276"/>
      <c r="AI31" s="276"/>
      <c r="AJ31" s="276"/>
      <c r="AK31" s="276"/>
      <c r="AL31" s="276"/>
      <c r="AM31" s="276"/>
      <c r="AN31" s="276"/>
      <c r="AO31" s="276"/>
      <c r="AP31" s="276"/>
    </row>
    <row r="32" spans="1:42" x14ac:dyDescent="0.25">
      <c r="A32" s="102" t="str">
        <f>IF(Invoice_Colombo!E35&lt;&gt;"",Invoice_Colombo!E35,"")</f>
        <v>21039090</v>
      </c>
      <c r="B32" t="str">
        <f t="shared" si="0"/>
        <v>2103</v>
      </c>
      <c r="C32" s="278" t="str">
        <f>IF(Invoice_Colombo!D35&lt;&gt;"",Invoice_Colombo!D35,"")</f>
        <v>SCHZWAN CHUNTEY 250G</v>
      </c>
      <c r="D32" s="279" t="str">
        <f>IF(Invoice_Colombo!F35&lt;&gt;"",Invoice_Colombo!F35,"")</f>
        <v/>
      </c>
      <c r="E32" s="102" t="s">
        <v>310</v>
      </c>
      <c r="F32" s="280" t="str">
        <f>IF(Invoice_Colombo!I35&lt;&gt;"",Invoice_Colombo!I35,"")</f>
        <v/>
      </c>
      <c r="G32" s="276" t="s">
        <v>304</v>
      </c>
      <c r="H32" s="276" t="s">
        <v>304</v>
      </c>
      <c r="I32">
        <v>356</v>
      </c>
      <c r="J32" t="s">
        <v>299</v>
      </c>
      <c r="K32" s="277" t="s">
        <v>302</v>
      </c>
      <c r="Y32" s="276"/>
      <c r="Z32" s="276"/>
      <c r="AA32" s="276"/>
      <c r="AB32" s="276"/>
      <c r="AC32" s="276"/>
      <c r="AD32" s="276"/>
      <c r="AE32" s="276"/>
      <c r="AF32" s="276"/>
      <c r="AG32" s="276"/>
      <c r="AH32" s="276"/>
      <c r="AI32" s="276"/>
      <c r="AJ32" s="276"/>
      <c r="AK32" s="276"/>
      <c r="AL32" s="276"/>
      <c r="AM32" s="276"/>
      <c r="AN32" s="276"/>
      <c r="AO32" s="276"/>
      <c r="AP32" s="276"/>
    </row>
    <row r="33" spans="1:42" x14ac:dyDescent="0.25">
      <c r="A33" s="102" t="str">
        <f>IF(Invoice_Colombo!E36&lt;&gt;"",Invoice_Colombo!E36,"")</f>
        <v>21069099</v>
      </c>
      <c r="B33" t="str">
        <f t="shared" si="0"/>
        <v>2106</v>
      </c>
      <c r="C33" s="278" t="str">
        <f>IF(Invoice_Colombo!D36&lt;&gt;"",Invoice_Colombo!D36,"")</f>
        <v>KRISHNA HEALTH MIX 200G</v>
      </c>
      <c r="D33" s="279" t="str">
        <f>IF(Invoice_Colombo!F36&lt;&gt;"",Invoice_Colombo!F36,"")</f>
        <v/>
      </c>
      <c r="E33" s="102" t="s">
        <v>310</v>
      </c>
      <c r="F33" s="280" t="str">
        <f>IF(Invoice_Colombo!I36&lt;&gt;"",Invoice_Colombo!I36,"")</f>
        <v/>
      </c>
      <c r="G33" s="276" t="s">
        <v>304</v>
      </c>
      <c r="H33" s="276" t="s">
        <v>304</v>
      </c>
      <c r="I33">
        <v>91.4</v>
      </c>
      <c r="J33" t="s">
        <v>299</v>
      </c>
      <c r="K33" s="277" t="s">
        <v>302</v>
      </c>
      <c r="Y33" s="276"/>
      <c r="Z33" s="276"/>
      <c r="AA33" s="276"/>
      <c r="AB33" s="276"/>
      <c r="AC33" s="276"/>
      <c r="AD33" s="276"/>
      <c r="AE33" s="276"/>
      <c r="AF33" s="276"/>
      <c r="AG33" s="276"/>
      <c r="AH33" s="276"/>
      <c r="AI33" s="276"/>
      <c r="AJ33" s="276"/>
      <c r="AK33" s="276"/>
      <c r="AL33" s="276"/>
      <c r="AM33" s="276"/>
      <c r="AN33" s="276"/>
      <c r="AO33" s="276"/>
      <c r="AP33" s="276"/>
    </row>
    <row r="34" spans="1:42" x14ac:dyDescent="0.25">
      <c r="A34" s="102" t="str">
        <f>IF(Invoice_Colombo!E37&lt;&gt;"",Invoice_Colombo!E37,"")</f>
        <v>04059000</v>
      </c>
      <c r="B34" t="str">
        <f t="shared" si="0"/>
        <v>0405</v>
      </c>
      <c r="C34" s="278" t="str">
        <f>IF(Invoice_Colombo!D37&lt;&gt;"",Invoice_Colombo!D37,"")</f>
        <v>GHEE 1 LTR</v>
      </c>
      <c r="D34" s="279" t="str">
        <f>IF(Invoice_Colombo!F37&lt;&gt;"",Invoice_Colombo!F37,"")</f>
        <v/>
      </c>
      <c r="E34" s="102" t="s">
        <v>310</v>
      </c>
      <c r="F34" s="280" t="str">
        <f>IF(Invoice_Colombo!I37&lt;&gt;"",Invoice_Colombo!I37,"")</f>
        <v/>
      </c>
      <c r="G34" s="276" t="s">
        <v>304</v>
      </c>
      <c r="H34" s="276" t="s">
        <v>304</v>
      </c>
      <c r="I34">
        <v>82.4</v>
      </c>
      <c r="J34" t="s">
        <v>299</v>
      </c>
      <c r="K34" s="277" t="s">
        <v>302</v>
      </c>
      <c r="Y34" s="276"/>
      <c r="Z34" s="276"/>
      <c r="AA34" s="276"/>
      <c r="AB34" s="276"/>
      <c r="AC34" s="276"/>
      <c r="AD34" s="276"/>
      <c r="AE34" s="276"/>
      <c r="AF34" s="276"/>
      <c r="AG34" s="276"/>
      <c r="AH34" s="276"/>
      <c r="AI34" s="276"/>
      <c r="AJ34" s="276"/>
      <c r="AK34" s="276"/>
      <c r="AL34" s="276"/>
      <c r="AM34" s="276"/>
      <c r="AN34" s="276"/>
      <c r="AO34" s="276"/>
      <c r="AP34" s="276"/>
    </row>
    <row r="35" spans="1:42" x14ac:dyDescent="0.25">
      <c r="A35" s="102" t="str">
        <f>IF(Invoice_Colombo!E38&lt;&gt;"",Invoice_Colombo!E38,"")</f>
        <v>04059000</v>
      </c>
      <c r="B35" t="str">
        <f t="shared" si="0"/>
        <v>0405</v>
      </c>
      <c r="C35" s="278" t="str">
        <f>IF(Invoice_Colombo!D38&lt;&gt;"",Invoice_Colombo!D38,"")</f>
        <v xml:space="preserve">GHEE 1 LTR </v>
      </c>
      <c r="D35" s="279" t="str">
        <f>IF(Invoice_Colombo!F38&lt;&gt;"",Invoice_Colombo!F38,"")</f>
        <v/>
      </c>
      <c r="E35" s="102" t="s">
        <v>310</v>
      </c>
      <c r="F35" s="280" t="str">
        <f>IF(Invoice_Colombo!I38&lt;&gt;"",Invoice_Colombo!I38,"")</f>
        <v/>
      </c>
      <c r="G35" s="276" t="s">
        <v>304</v>
      </c>
      <c r="H35" s="276" t="s">
        <v>304</v>
      </c>
      <c r="I35">
        <v>95.2</v>
      </c>
      <c r="J35" t="s">
        <v>299</v>
      </c>
      <c r="K35" s="277" t="s">
        <v>302</v>
      </c>
      <c r="Y35" s="276"/>
      <c r="Z35" s="276"/>
      <c r="AA35" s="276"/>
      <c r="AB35" s="276"/>
      <c r="AC35" s="276"/>
      <c r="AD35" s="276"/>
      <c r="AE35" s="276"/>
      <c r="AF35" s="276"/>
      <c r="AG35" s="276"/>
      <c r="AH35" s="276"/>
      <c r="AI35" s="276"/>
      <c r="AJ35" s="276"/>
      <c r="AK35" s="276"/>
      <c r="AL35" s="276"/>
      <c r="AM35" s="276"/>
      <c r="AN35" s="276"/>
      <c r="AO35" s="276"/>
      <c r="AP35" s="276"/>
    </row>
    <row r="36" spans="1:42" x14ac:dyDescent="0.25">
      <c r="A36" s="102" t="str">
        <f>IF(Invoice_Colombo!E39&lt;&gt;"",Invoice_Colombo!E39,"")</f>
        <v>04059000</v>
      </c>
      <c r="B36" t="str">
        <f t="shared" si="0"/>
        <v>0405</v>
      </c>
      <c r="C36" s="278" t="str">
        <f>IF(Invoice_Colombo!D39&lt;&gt;"",Invoice_Colombo!D39,"")</f>
        <v>GHEE 500ML</v>
      </c>
      <c r="D36" s="279" t="str">
        <f>IF(Invoice_Colombo!F39&lt;&gt;"",Invoice_Colombo!F39,"")</f>
        <v/>
      </c>
      <c r="E36" s="102" t="s">
        <v>310</v>
      </c>
      <c r="F36" s="280" t="str">
        <f>IF(Invoice_Colombo!I39&lt;&gt;"",Invoice_Colombo!I39,"")</f>
        <v/>
      </c>
      <c r="G36" s="276" t="s">
        <v>304</v>
      </c>
      <c r="H36" s="276" t="s">
        <v>304</v>
      </c>
      <c r="I36">
        <v>158.5</v>
      </c>
      <c r="J36" t="s">
        <v>299</v>
      </c>
      <c r="K36" s="277" t="s">
        <v>302</v>
      </c>
      <c r="Y36" s="276"/>
      <c r="Z36" s="276"/>
      <c r="AA36" s="276"/>
      <c r="AB36" s="276"/>
      <c r="AC36" s="276"/>
      <c r="AD36" s="276"/>
      <c r="AE36" s="276"/>
      <c r="AF36" s="276"/>
      <c r="AG36" s="276"/>
      <c r="AH36" s="276"/>
      <c r="AI36" s="276"/>
      <c r="AJ36" s="276"/>
      <c r="AK36" s="276"/>
      <c r="AL36" s="276"/>
      <c r="AM36" s="276"/>
      <c r="AN36" s="276"/>
      <c r="AO36" s="276"/>
      <c r="AP36" s="276"/>
    </row>
    <row r="37" spans="1:42" x14ac:dyDescent="0.25">
      <c r="A37" s="102" t="str">
        <f>IF(Invoice_Colombo!E40&lt;&gt;"",Invoice_Colombo!E40,"")</f>
        <v>04059000</v>
      </c>
      <c r="B37" t="str">
        <f t="shared" si="0"/>
        <v>0405</v>
      </c>
      <c r="C37" s="278" t="str">
        <f>IF(Invoice_Colombo!D40&lt;&gt;"",Invoice_Colombo!D40,"")</f>
        <v>GHEE 100ML</v>
      </c>
      <c r="D37" s="279" t="str">
        <f>IF(Invoice_Colombo!F40&lt;&gt;"",Invoice_Colombo!F40,"")</f>
        <v/>
      </c>
      <c r="E37" s="102" t="s">
        <v>310</v>
      </c>
      <c r="F37" s="280" t="str">
        <f>IF(Invoice_Colombo!I40&lt;&gt;"",Invoice_Colombo!I40,"")</f>
        <v/>
      </c>
      <c r="G37" s="276" t="s">
        <v>304</v>
      </c>
      <c r="H37" s="276" t="s">
        <v>304</v>
      </c>
      <c r="I37">
        <v>158.5</v>
      </c>
      <c r="J37" t="s">
        <v>299</v>
      </c>
      <c r="K37" s="277" t="s">
        <v>302</v>
      </c>
      <c r="Y37" s="276"/>
      <c r="Z37" s="276"/>
      <c r="AA37" s="276"/>
      <c r="AB37" s="276"/>
      <c r="AC37" s="276"/>
      <c r="AD37" s="276"/>
      <c r="AE37" s="276"/>
      <c r="AF37" s="276"/>
      <c r="AG37" s="276"/>
      <c r="AH37" s="276"/>
      <c r="AI37" s="276"/>
      <c r="AJ37" s="276"/>
      <c r="AK37" s="276"/>
      <c r="AL37" s="276"/>
      <c r="AM37" s="276"/>
      <c r="AN37" s="276"/>
      <c r="AO37" s="276"/>
      <c r="AP37" s="276"/>
    </row>
    <row r="38" spans="1:42" x14ac:dyDescent="0.25">
      <c r="A38" s="102" t="str">
        <f>IF(Invoice_Colombo!E41&lt;&gt;"",Invoice_Colombo!E41,"")</f>
        <v>04059000</v>
      </c>
      <c r="B38" t="str">
        <f t="shared" si="0"/>
        <v>0405</v>
      </c>
      <c r="C38" s="278" t="str">
        <f>IF(Invoice_Colombo!D41&lt;&gt;"",Invoice_Colombo!D41,"")</f>
        <v>GHEE 200ML</v>
      </c>
      <c r="D38" s="279" t="str">
        <f>IF(Invoice_Colombo!F41&lt;&gt;"",Invoice_Colombo!F41,"")</f>
        <v/>
      </c>
      <c r="E38" s="102" t="s">
        <v>298</v>
      </c>
      <c r="F38" s="280" t="str">
        <f>IF(Invoice_Colombo!I41&lt;&gt;"",Invoice_Colombo!I41,"")</f>
        <v/>
      </c>
      <c r="G38" s="276" t="s">
        <v>304</v>
      </c>
      <c r="H38" s="276" t="s">
        <v>304</v>
      </c>
      <c r="I38">
        <v>29</v>
      </c>
      <c r="J38" t="s">
        <v>299</v>
      </c>
      <c r="K38" s="277" t="s">
        <v>302</v>
      </c>
      <c r="Y38" s="276"/>
      <c r="Z38" s="276"/>
      <c r="AA38" s="276"/>
      <c r="AB38" s="276"/>
      <c r="AC38" s="276"/>
      <c r="AD38" s="276"/>
      <c r="AE38" s="276"/>
      <c r="AF38" s="276"/>
      <c r="AG38" s="276"/>
      <c r="AH38" s="276"/>
      <c r="AI38" s="276"/>
      <c r="AJ38" s="276"/>
      <c r="AK38" s="276"/>
      <c r="AL38" s="276"/>
      <c r="AM38" s="276"/>
      <c r="AN38" s="276"/>
      <c r="AO38" s="276"/>
      <c r="AP38" s="276"/>
    </row>
    <row r="39" spans="1:42" x14ac:dyDescent="0.25">
      <c r="A39" s="102" t="str">
        <f>IF(Invoice_Colombo!E42&lt;&gt;"",Invoice_Colombo!E42,"")</f>
        <v>15149900</v>
      </c>
      <c r="B39" t="str">
        <f t="shared" si="0"/>
        <v>1514</v>
      </c>
      <c r="C39" s="278" t="str">
        <f>IF(Invoice_Colombo!D42&lt;&gt;"",Invoice_Colombo!D42,"")</f>
        <v xml:space="preserve">FORTUNE MUSTARD OIL 1 LTR </v>
      </c>
      <c r="D39" s="279" t="str">
        <f>IF(Invoice_Colombo!F42&lt;&gt;"",Invoice_Colombo!F42,"")</f>
        <v/>
      </c>
      <c r="E39" s="102" t="s">
        <v>298</v>
      </c>
      <c r="F39" s="280" t="str">
        <f>IF(Invoice_Colombo!I42&lt;&gt;"",Invoice_Colombo!I42,"")</f>
        <v/>
      </c>
      <c r="G39" s="276" t="s">
        <v>304</v>
      </c>
      <c r="H39" s="276" t="s">
        <v>304</v>
      </c>
      <c r="I39">
        <v>65</v>
      </c>
      <c r="J39" t="s">
        <v>299</v>
      </c>
      <c r="K39" s="277" t="s">
        <v>302</v>
      </c>
      <c r="Y39" s="276"/>
      <c r="Z39" s="276"/>
      <c r="AA39" s="276"/>
      <c r="AB39" s="276"/>
      <c r="AC39" s="276"/>
      <c r="AD39" s="276"/>
      <c r="AE39" s="276"/>
      <c r="AF39" s="276"/>
      <c r="AG39" s="276"/>
      <c r="AH39" s="276"/>
      <c r="AI39" s="276"/>
      <c r="AJ39" s="276"/>
      <c r="AK39" s="276"/>
      <c r="AL39" s="276"/>
      <c r="AM39" s="276"/>
      <c r="AN39" s="276"/>
      <c r="AO39" s="276"/>
      <c r="AP39" s="276"/>
    </row>
    <row r="40" spans="1:42" x14ac:dyDescent="0.25">
      <c r="A40" s="102" t="str">
        <f>IF(Invoice_Colombo!E43&lt;&gt;"",Invoice_Colombo!E43,"")</f>
        <v>15149900</v>
      </c>
      <c r="B40" t="str">
        <f t="shared" si="0"/>
        <v>1514</v>
      </c>
      <c r="C40" s="278" t="str">
        <f>IF(Invoice_Colombo!D43&lt;&gt;"",Invoice_Colombo!D43,"")</f>
        <v>FORTUNE MUSTARD OIL 500 ML</v>
      </c>
      <c r="D40" s="279" t="str">
        <f>IF(Invoice_Colombo!F43&lt;&gt;"",Invoice_Colombo!F43,"")</f>
        <v/>
      </c>
      <c r="E40" s="102" t="s">
        <v>298</v>
      </c>
      <c r="F40" s="280" t="str">
        <f>IF(Invoice_Colombo!I43&lt;&gt;"",Invoice_Colombo!I43,"")</f>
        <v/>
      </c>
      <c r="G40" s="276" t="s">
        <v>304</v>
      </c>
      <c r="H40" s="276" t="s">
        <v>304</v>
      </c>
      <c r="I40">
        <v>10</v>
      </c>
      <c r="J40" t="s">
        <v>299</v>
      </c>
      <c r="K40" s="277" t="s">
        <v>302</v>
      </c>
      <c r="Y40" s="276"/>
      <c r="Z40" s="276"/>
      <c r="AA40" s="276"/>
      <c r="AB40" s="276"/>
      <c r="AC40" s="276"/>
      <c r="AD40" s="276"/>
      <c r="AE40" s="276"/>
      <c r="AF40" s="276"/>
      <c r="AG40" s="276"/>
      <c r="AH40" s="276"/>
      <c r="AI40" s="276"/>
      <c r="AJ40" s="276"/>
      <c r="AK40" s="276"/>
      <c r="AL40" s="276"/>
      <c r="AM40" s="276"/>
      <c r="AN40" s="276"/>
      <c r="AO40" s="276"/>
      <c r="AP40" s="276"/>
    </row>
    <row r="41" spans="1:42" x14ac:dyDescent="0.25">
      <c r="A41" s="102" t="str">
        <f>IF(Invoice_Colombo!E44&lt;&gt;"",Invoice_Colombo!E44,"")</f>
        <v>19059090</v>
      </c>
      <c r="B41" t="str">
        <f t="shared" si="0"/>
        <v>1905</v>
      </c>
      <c r="C41" s="278" t="str">
        <f>IF(Invoice_Colombo!D44&lt;&gt;"",Invoice_Colombo!D44,"")</f>
        <v xml:space="preserve">PORI </v>
      </c>
      <c r="D41" s="279" t="str">
        <f>IF(Invoice_Colombo!F44&lt;&gt;"",Invoice_Colombo!F44,"")</f>
        <v/>
      </c>
      <c r="E41" s="102" t="s">
        <v>298</v>
      </c>
      <c r="F41" s="280" t="str">
        <f>IF(Invoice_Colombo!I44&lt;&gt;"",Invoice_Colombo!I44,"")</f>
        <v/>
      </c>
      <c r="G41" s="276" t="s">
        <v>304</v>
      </c>
      <c r="H41" s="276" t="s">
        <v>304</v>
      </c>
      <c r="I41">
        <v>11.6</v>
      </c>
      <c r="J41" t="s">
        <v>299</v>
      </c>
      <c r="K41" s="277" t="s">
        <v>302</v>
      </c>
      <c r="Y41" s="276"/>
      <c r="Z41" s="276"/>
      <c r="AA41" s="276"/>
      <c r="AB41" s="276"/>
      <c r="AC41" s="276"/>
      <c r="AD41" s="276"/>
      <c r="AE41" s="276"/>
      <c r="AF41" s="276"/>
      <c r="AG41" s="276"/>
      <c r="AH41" s="276"/>
      <c r="AI41" s="276"/>
      <c r="AJ41" s="276"/>
      <c r="AK41" s="276"/>
      <c r="AL41" s="276"/>
      <c r="AM41" s="276"/>
      <c r="AN41" s="276"/>
      <c r="AO41" s="276"/>
      <c r="AP41" s="276"/>
    </row>
    <row r="42" spans="1:42" x14ac:dyDescent="0.25">
      <c r="A42" s="102" t="str">
        <f>IF(Invoice_Colombo!E45&lt;&gt;"",Invoice_Colombo!E45,"")</f>
        <v>08134010</v>
      </c>
      <c r="B42" t="str">
        <f t="shared" si="0"/>
        <v>0813</v>
      </c>
      <c r="C42" s="278" t="str">
        <f>IF(Invoice_Colombo!D45&lt;&gt;"",Invoice_Colombo!D45,"")</f>
        <v>DRY FRUIT 500GM</v>
      </c>
      <c r="D42" s="279" t="str">
        <f>IF(Invoice_Colombo!F45&lt;&gt;"",Invoice_Colombo!F45,"")</f>
        <v/>
      </c>
      <c r="E42" s="102" t="s">
        <v>298</v>
      </c>
      <c r="F42" s="280" t="str">
        <f>IF(Invoice_Colombo!I45&lt;&gt;"",Invoice_Colombo!I45,"")</f>
        <v/>
      </c>
      <c r="G42" s="276" t="s">
        <v>304</v>
      </c>
      <c r="H42" s="276" t="s">
        <v>304</v>
      </c>
      <c r="I42">
        <v>11.6</v>
      </c>
      <c r="J42" t="s">
        <v>299</v>
      </c>
      <c r="K42" s="277" t="s">
        <v>302</v>
      </c>
      <c r="Y42" s="276"/>
      <c r="Z42" s="276"/>
      <c r="AA42" s="276"/>
      <c r="AB42" s="276"/>
      <c r="AC42" s="276"/>
      <c r="AD42" s="276"/>
      <c r="AE42" s="276"/>
      <c r="AF42" s="276"/>
      <c r="AG42" s="276"/>
      <c r="AH42" s="276"/>
      <c r="AI42" s="276"/>
      <c r="AJ42" s="276"/>
      <c r="AK42" s="276"/>
      <c r="AL42" s="276"/>
      <c r="AM42" s="276"/>
      <c r="AN42" s="276"/>
      <c r="AO42" s="276"/>
      <c r="AP42" s="276"/>
    </row>
    <row r="43" spans="1:42" x14ac:dyDescent="0.25">
      <c r="A43" s="102" t="str">
        <f>IF(Invoice_Colombo!E46&lt;&gt;"",Invoice_Colombo!E46,"")</f>
        <v>19021900</v>
      </c>
      <c r="B43" t="str">
        <f t="shared" si="0"/>
        <v>1902</v>
      </c>
      <c r="C43" s="278" t="str">
        <f>IF(Invoice_Colombo!D46&lt;&gt;"",Invoice_Colombo!D46,"")</f>
        <v>MTR VELMICELLI 850G</v>
      </c>
      <c r="D43" s="279" t="str">
        <f>IF(Invoice_Colombo!F46&lt;&gt;"",Invoice_Colombo!F46,"")</f>
        <v/>
      </c>
      <c r="E43" s="102" t="s">
        <v>298</v>
      </c>
      <c r="F43" s="280" t="str">
        <f>IF(Invoice_Colombo!I46&lt;&gt;"",Invoice_Colombo!I46,"")</f>
        <v/>
      </c>
      <c r="G43" s="276" t="s">
        <v>304</v>
      </c>
      <c r="H43" s="276" t="s">
        <v>304</v>
      </c>
      <c r="I43">
        <v>11.6</v>
      </c>
      <c r="J43" t="s">
        <v>299</v>
      </c>
      <c r="K43" s="277" t="s">
        <v>302</v>
      </c>
      <c r="Y43" s="276"/>
      <c r="Z43" s="276"/>
      <c r="AA43" s="276"/>
      <c r="AB43" s="276"/>
      <c r="AC43" s="276"/>
      <c r="AD43" s="276"/>
      <c r="AE43" s="276"/>
      <c r="AF43" s="276"/>
      <c r="AG43" s="276"/>
      <c r="AH43" s="276"/>
      <c r="AI43" s="276"/>
      <c r="AJ43" s="276"/>
      <c r="AK43" s="276"/>
      <c r="AL43" s="276"/>
      <c r="AM43" s="276"/>
      <c r="AN43" s="276"/>
      <c r="AO43" s="276"/>
      <c r="AP43" s="276"/>
    </row>
    <row r="44" spans="1:42" x14ac:dyDescent="0.25">
      <c r="A44" s="102" t="str">
        <f>IF(Invoice_Colombo!E47&lt;&gt;"",Invoice_Colombo!E47,"")</f>
        <v>21039090</v>
      </c>
      <c r="B44" t="str">
        <f t="shared" si="0"/>
        <v>2103</v>
      </c>
      <c r="C44" s="278" t="str">
        <f>IF(Invoice_Colombo!D47&lt;&gt;"",Invoice_Colombo!D47,"")</f>
        <v>CHAAT MASALA -100G</v>
      </c>
      <c r="D44" s="279" t="str">
        <f>IF(Invoice_Colombo!F47&lt;&gt;"",Invoice_Colombo!F47,"")</f>
        <v/>
      </c>
      <c r="E44" s="102" t="s">
        <v>298</v>
      </c>
      <c r="F44" s="280" t="str">
        <f>IF(Invoice_Colombo!I47&lt;&gt;"",Invoice_Colombo!I47,"")</f>
        <v/>
      </c>
      <c r="G44" s="276" t="s">
        <v>304</v>
      </c>
      <c r="H44" s="276" t="s">
        <v>304</v>
      </c>
      <c r="I44">
        <v>11.6</v>
      </c>
      <c r="J44" t="s">
        <v>299</v>
      </c>
      <c r="K44" s="277" t="s">
        <v>302</v>
      </c>
      <c r="Y44" s="276"/>
      <c r="Z44" s="276"/>
      <c r="AA44" s="276"/>
      <c r="AB44" s="276"/>
      <c r="AC44" s="276"/>
      <c r="AD44" s="276"/>
      <c r="AE44" s="276"/>
      <c r="AF44" s="276"/>
      <c r="AG44" s="276"/>
      <c r="AH44" s="276"/>
      <c r="AI44" s="276"/>
      <c r="AJ44" s="276"/>
      <c r="AK44" s="276"/>
      <c r="AL44" s="276"/>
      <c r="AM44" s="276"/>
      <c r="AN44" s="276"/>
      <c r="AO44" s="276"/>
      <c r="AP44" s="276"/>
    </row>
    <row r="45" spans="1:42" x14ac:dyDescent="0.25">
      <c r="A45" s="102" t="str">
        <f>IF(Invoice_Colombo!E48&lt;&gt;"",Invoice_Colombo!E48,"")</f>
        <v>21039090</v>
      </c>
      <c r="B45" t="str">
        <f t="shared" si="0"/>
        <v>2103</v>
      </c>
      <c r="C45" s="278" t="str">
        <f>IF(Invoice_Colombo!D48&lt;&gt;"",Invoice_Colombo!D48,"")</f>
        <v>PAV BHAJI MASALA ZIPPER -100G</v>
      </c>
      <c r="D45" s="279" t="str">
        <f>IF(Invoice_Colombo!F48&lt;&gt;"",Invoice_Colombo!F48,"")</f>
        <v/>
      </c>
      <c r="E45" s="102" t="s">
        <v>298</v>
      </c>
      <c r="F45" s="280" t="str">
        <f>IF(Invoice_Colombo!I48&lt;&gt;"",Invoice_Colombo!I48,"")</f>
        <v/>
      </c>
      <c r="G45" s="276" t="s">
        <v>304</v>
      </c>
      <c r="H45" s="276" t="s">
        <v>304</v>
      </c>
      <c r="I45">
        <v>26</v>
      </c>
      <c r="J45" t="s">
        <v>299</v>
      </c>
      <c r="K45" s="277" t="s">
        <v>302</v>
      </c>
      <c r="Y45" s="276"/>
      <c r="Z45" s="276"/>
      <c r="AA45" s="276"/>
      <c r="AB45" s="276"/>
      <c r="AC45" s="276"/>
      <c r="AD45" s="276"/>
      <c r="AE45" s="276"/>
      <c r="AF45" s="276"/>
      <c r="AG45" s="276"/>
      <c r="AH45" s="276"/>
      <c r="AI45" s="276"/>
      <c r="AJ45" s="276"/>
      <c r="AK45" s="276"/>
      <c r="AL45" s="276"/>
      <c r="AM45" s="276"/>
      <c r="AN45" s="276"/>
      <c r="AO45" s="276"/>
      <c r="AP45" s="276"/>
    </row>
    <row r="46" spans="1:42" x14ac:dyDescent="0.25">
      <c r="A46" s="102" t="str">
        <f>IF(Invoice_Colombo!E49&lt;&gt;"",Invoice_Colombo!E49,"")</f>
        <v>21039090</v>
      </c>
      <c r="B46" t="str">
        <f t="shared" si="0"/>
        <v>2103</v>
      </c>
      <c r="C46" s="278" t="str">
        <f>IF(Invoice_Colombo!D49&lt;&gt;"",Invoice_Colombo!D49,"")</f>
        <v>PANI PURI -100G</v>
      </c>
      <c r="D46" s="279" t="str">
        <f>IF(Invoice_Colombo!F49&lt;&gt;"",Invoice_Colombo!F49,"")</f>
        <v/>
      </c>
      <c r="E46" s="102" t="s">
        <v>298</v>
      </c>
      <c r="F46" s="280" t="str">
        <f>IF(Invoice_Colombo!I49&lt;&gt;"",Invoice_Colombo!I49,"")</f>
        <v/>
      </c>
      <c r="G46" s="276" t="s">
        <v>304</v>
      </c>
      <c r="H46" s="276" t="s">
        <v>304</v>
      </c>
      <c r="I46">
        <v>39</v>
      </c>
      <c r="J46" t="s">
        <v>299</v>
      </c>
      <c r="K46" s="277" t="s">
        <v>302</v>
      </c>
      <c r="Y46" s="276"/>
      <c r="Z46" s="276"/>
      <c r="AA46" s="276"/>
      <c r="AB46" s="276"/>
      <c r="AC46" s="276"/>
      <c r="AD46" s="276"/>
      <c r="AE46" s="276"/>
      <c r="AF46" s="276"/>
      <c r="AG46" s="276"/>
      <c r="AH46" s="276"/>
      <c r="AI46" s="276"/>
      <c r="AJ46" s="276"/>
      <c r="AK46" s="276"/>
      <c r="AL46" s="276"/>
      <c r="AM46" s="276"/>
      <c r="AN46" s="276"/>
      <c r="AO46" s="276"/>
      <c r="AP46" s="276"/>
    </row>
    <row r="47" spans="1:42" x14ac:dyDescent="0.25">
      <c r="A47" s="102" t="str">
        <f>IF(Invoice_Colombo!E50&lt;&gt;"",Invoice_Colombo!E50,"")</f>
        <v>21039090</v>
      </c>
      <c r="B47" t="str">
        <f t="shared" si="0"/>
        <v>2103</v>
      </c>
      <c r="C47" s="278" t="str">
        <f>IF(Invoice_Colombo!D50&lt;&gt;"",Invoice_Colombo!D50,"")</f>
        <v>TANDOORI CHICKEN MASALA ZIPPER 100G</v>
      </c>
      <c r="D47" s="279" t="str">
        <f>IF(Invoice_Colombo!F50&lt;&gt;"",Invoice_Colombo!F50,"")</f>
        <v/>
      </c>
      <c r="E47" s="102" t="s">
        <v>298</v>
      </c>
      <c r="F47" s="280" t="str">
        <f>IF(Invoice_Colombo!I50&lt;&gt;"",Invoice_Colombo!I50,"")</f>
        <v/>
      </c>
      <c r="G47" s="276" t="s">
        <v>304</v>
      </c>
      <c r="H47" s="276" t="s">
        <v>304</v>
      </c>
      <c r="I47">
        <v>11.6</v>
      </c>
      <c r="J47" t="s">
        <v>299</v>
      </c>
      <c r="K47" s="277" t="s">
        <v>302</v>
      </c>
      <c r="Y47" s="276"/>
      <c r="Z47" s="276"/>
      <c r="AA47" s="276"/>
      <c r="AB47" s="276"/>
      <c r="AC47" s="276"/>
      <c r="AD47" s="276"/>
      <c r="AE47" s="276"/>
      <c r="AF47" s="276"/>
      <c r="AG47" s="276"/>
      <c r="AH47" s="276"/>
      <c r="AI47" s="276"/>
      <c r="AJ47" s="276"/>
      <c r="AK47" s="276"/>
      <c r="AL47" s="276"/>
      <c r="AM47" s="276"/>
      <c r="AN47" s="276"/>
      <c r="AO47" s="276"/>
      <c r="AP47" s="276"/>
    </row>
    <row r="48" spans="1:42" x14ac:dyDescent="0.25">
      <c r="A48" s="102" t="str">
        <f>IF(Invoice_Colombo!E51&lt;&gt;"",Invoice_Colombo!E51,"")</f>
        <v>21039090</v>
      </c>
      <c r="B48" t="str">
        <f t="shared" si="0"/>
        <v>2103</v>
      </c>
      <c r="C48" s="278" t="str">
        <f>IF(Invoice_Colombo!D51&lt;&gt;"",Invoice_Colombo!D51,"")</f>
        <v>KITCHEN KING MASALA ZIPPER -100G</v>
      </c>
      <c r="D48" s="279" t="str">
        <f>IF(Invoice_Colombo!F51&lt;&gt;"",Invoice_Colombo!F51,"")</f>
        <v/>
      </c>
      <c r="E48" s="102" t="s">
        <v>298</v>
      </c>
      <c r="F48" s="280" t="str">
        <f>IF(Invoice_Colombo!I51&lt;&gt;"",Invoice_Colombo!I51,"")</f>
        <v/>
      </c>
      <c r="G48" s="276" t="s">
        <v>304</v>
      </c>
      <c r="H48" s="276" t="s">
        <v>304</v>
      </c>
      <c r="I48">
        <v>69.8</v>
      </c>
      <c r="J48" t="s">
        <v>299</v>
      </c>
      <c r="K48" s="277" t="s">
        <v>302</v>
      </c>
      <c r="Y48" s="276"/>
      <c r="Z48" s="276"/>
      <c r="AA48" s="276"/>
      <c r="AB48" s="276"/>
      <c r="AC48" s="276"/>
      <c r="AD48" s="276"/>
      <c r="AE48" s="276"/>
      <c r="AF48" s="276"/>
      <c r="AG48" s="276"/>
      <c r="AH48" s="276"/>
      <c r="AI48" s="276"/>
      <c r="AJ48" s="276"/>
      <c r="AK48" s="276"/>
      <c r="AL48" s="276"/>
      <c r="AM48" s="276"/>
      <c r="AN48" s="276"/>
      <c r="AO48" s="276"/>
      <c r="AP48" s="276"/>
    </row>
    <row r="49" spans="1:42" x14ac:dyDescent="0.25">
      <c r="A49" s="102" t="str">
        <f>IF(Invoice_Colombo!E52&lt;&gt;"",Invoice_Colombo!E52,"")</f>
        <v>21039090</v>
      </c>
      <c r="B49" t="str">
        <f t="shared" si="0"/>
        <v>2103</v>
      </c>
      <c r="C49" s="278" t="str">
        <f>IF(Invoice_Colombo!D52&lt;&gt;"",Invoice_Colombo!D52,"")</f>
        <v>GARAM MASALA ZIPPER -100G</v>
      </c>
      <c r="D49" s="279" t="str">
        <f>IF(Invoice_Colombo!F52&lt;&gt;"",Invoice_Colombo!F52,"")</f>
        <v/>
      </c>
      <c r="E49" s="102" t="s">
        <v>298</v>
      </c>
      <c r="F49" s="280" t="str">
        <f>IF(Invoice_Colombo!I52&lt;&gt;"",Invoice_Colombo!I52,"")</f>
        <v/>
      </c>
      <c r="G49" s="276" t="s">
        <v>304</v>
      </c>
      <c r="H49" s="276" t="s">
        <v>304</v>
      </c>
      <c r="I49">
        <v>65</v>
      </c>
      <c r="J49" t="s">
        <v>299</v>
      </c>
      <c r="K49" s="277" t="s">
        <v>302</v>
      </c>
      <c r="Y49" s="276"/>
      <c r="Z49" s="276"/>
      <c r="AA49" s="276"/>
      <c r="AB49" s="276"/>
      <c r="AC49" s="276"/>
      <c r="AD49" s="276"/>
      <c r="AE49" s="276"/>
      <c r="AF49" s="276"/>
      <c r="AG49" s="276"/>
      <c r="AH49" s="276"/>
      <c r="AI49" s="276"/>
      <c r="AJ49" s="276"/>
      <c r="AK49" s="276"/>
      <c r="AL49" s="276"/>
      <c r="AM49" s="276"/>
      <c r="AN49" s="276"/>
      <c r="AO49" s="276"/>
      <c r="AP49" s="276"/>
    </row>
    <row r="50" spans="1:42" x14ac:dyDescent="0.25">
      <c r="A50" s="102" t="str">
        <f>IF(Invoice_Colombo!E53&lt;&gt;"",Invoice_Colombo!E53,"")</f>
        <v>21039090</v>
      </c>
      <c r="B50" t="str">
        <f t="shared" si="0"/>
        <v>2103</v>
      </c>
      <c r="C50" s="278" t="str">
        <f>IF(Invoice_Colombo!D53&lt;&gt;"",Invoice_Colombo!D53,"")</f>
        <v>PANEER MASALA ZIPPER 100G</v>
      </c>
      <c r="D50" s="279" t="str">
        <f>IF(Invoice_Colombo!F53&lt;&gt;"",Invoice_Colombo!F53,"")</f>
        <v/>
      </c>
      <c r="E50" s="102" t="s">
        <v>298</v>
      </c>
      <c r="F50" s="280" t="str">
        <f>IF(Invoice_Colombo!I53&lt;&gt;"",Invoice_Colombo!I53,"")</f>
        <v/>
      </c>
      <c r="G50" s="276" t="s">
        <v>304</v>
      </c>
      <c r="H50" s="276" t="s">
        <v>304</v>
      </c>
      <c r="I50">
        <v>110</v>
      </c>
      <c r="J50" t="s">
        <v>299</v>
      </c>
      <c r="K50" s="277" t="s">
        <v>302</v>
      </c>
      <c r="Y50" s="276"/>
      <c r="Z50" s="276"/>
      <c r="AA50" s="276"/>
      <c r="AB50" s="276"/>
      <c r="AC50" s="276"/>
      <c r="AD50" s="276"/>
      <c r="AE50" s="276"/>
      <c r="AF50" s="276"/>
      <c r="AG50" s="276"/>
      <c r="AH50" s="276"/>
      <c r="AI50" s="276"/>
      <c r="AJ50" s="276"/>
      <c r="AK50" s="276"/>
      <c r="AL50" s="276"/>
      <c r="AM50" s="276"/>
      <c r="AN50" s="276"/>
      <c r="AO50" s="276"/>
      <c r="AP50" s="276"/>
    </row>
    <row r="51" spans="1:42" x14ac:dyDescent="0.25">
      <c r="A51" s="102" t="str">
        <f>IF(Invoice_Colombo!E54&lt;&gt;"",Invoice_Colombo!E54,"")</f>
        <v>21039090</v>
      </c>
      <c r="B51" t="str">
        <f t="shared" si="0"/>
        <v>2103</v>
      </c>
      <c r="C51" s="278" t="str">
        <f>IF(Invoice_Colombo!D54&lt;&gt;"",Invoice_Colombo!D54,"")</f>
        <v>JALJIRA -100G</v>
      </c>
      <c r="D51" s="279" t="str">
        <f>IF(Invoice_Colombo!F54&lt;&gt;"",Invoice_Colombo!F54,"")</f>
        <v/>
      </c>
      <c r="E51" s="102" t="s">
        <v>298</v>
      </c>
      <c r="F51" s="280" t="str">
        <f>IF(Invoice_Colombo!I54&lt;&gt;"",Invoice_Colombo!I54,"")</f>
        <v/>
      </c>
      <c r="G51" s="276" t="s">
        <v>304</v>
      </c>
      <c r="H51" s="276" t="s">
        <v>304</v>
      </c>
      <c r="I51">
        <v>55</v>
      </c>
      <c r="J51" t="s">
        <v>299</v>
      </c>
      <c r="K51" s="277" t="s">
        <v>302</v>
      </c>
      <c r="Y51" s="276"/>
      <c r="Z51" s="276"/>
      <c r="AA51" s="276"/>
      <c r="AB51" s="276"/>
      <c r="AC51" s="276"/>
      <c r="AD51" s="276"/>
      <c r="AE51" s="276"/>
      <c r="AF51" s="276"/>
      <c r="AG51" s="276"/>
      <c r="AH51" s="276"/>
      <c r="AI51" s="276"/>
      <c r="AJ51" s="276"/>
      <c r="AK51" s="276"/>
      <c r="AL51" s="276"/>
      <c r="AM51" s="276"/>
      <c r="AN51" s="276"/>
      <c r="AO51" s="276"/>
      <c r="AP51" s="276"/>
    </row>
    <row r="52" spans="1:42" x14ac:dyDescent="0.25">
      <c r="A52" s="102" t="str">
        <f>IF(Invoice_Colombo!E55&lt;&gt;"",Invoice_Colombo!E55,"")</f>
        <v>21039090</v>
      </c>
      <c r="B52" t="str">
        <f t="shared" si="0"/>
        <v>2103</v>
      </c>
      <c r="C52" s="278" t="str">
        <f>IF(Invoice_Colombo!D55&lt;&gt;"",Invoice_Colombo!D55,"")</f>
        <v>SUPER SAMBHAR 100G</v>
      </c>
      <c r="D52" s="279" t="str">
        <f>IF(Invoice_Colombo!F55&lt;&gt;"",Invoice_Colombo!F55,"")</f>
        <v/>
      </c>
      <c r="E52" s="102" t="s">
        <v>298</v>
      </c>
      <c r="F52" s="280" t="str">
        <f>IF(Invoice_Colombo!I55&lt;&gt;"",Invoice_Colombo!I55,"")</f>
        <v/>
      </c>
      <c r="G52" s="276" t="s">
        <v>304</v>
      </c>
      <c r="H52" s="276" t="s">
        <v>304</v>
      </c>
      <c r="I52">
        <v>65</v>
      </c>
      <c r="J52" t="s">
        <v>299</v>
      </c>
      <c r="K52" s="277" t="s">
        <v>302</v>
      </c>
      <c r="Y52" s="276"/>
      <c r="Z52" s="276"/>
      <c r="AA52" s="276"/>
      <c r="AB52" s="276"/>
      <c r="AC52" s="276"/>
      <c r="AD52" s="276"/>
      <c r="AE52" s="276"/>
      <c r="AF52" s="276"/>
      <c r="AG52" s="276"/>
      <c r="AH52" s="276"/>
      <c r="AI52" s="276"/>
      <c r="AJ52" s="276"/>
      <c r="AK52" s="276"/>
      <c r="AL52" s="276"/>
      <c r="AM52" s="276"/>
      <c r="AN52" s="276"/>
      <c r="AO52" s="276"/>
      <c r="AP52" s="276"/>
    </row>
    <row r="53" spans="1:42" x14ac:dyDescent="0.25">
      <c r="A53" s="102" t="str">
        <f>IF(Invoice_Colombo!E56&lt;&gt;"",Invoice_Colombo!E56,"")</f>
        <v>21039090</v>
      </c>
      <c r="B53" t="str">
        <f t="shared" si="0"/>
        <v>2103</v>
      </c>
      <c r="C53" s="278" t="str">
        <f>IF(Invoice_Colombo!D56&lt;&gt;"",Invoice_Colombo!D56,"")</f>
        <v>KASURI METHI -25G</v>
      </c>
      <c r="D53" s="279" t="str">
        <f>IF(Invoice_Colombo!F56&lt;&gt;"",Invoice_Colombo!F56,"")</f>
        <v/>
      </c>
      <c r="E53" s="102" t="s">
        <v>298</v>
      </c>
      <c r="F53" s="280" t="str">
        <f>IF(Invoice_Colombo!I56&lt;&gt;"",Invoice_Colombo!I56,"")</f>
        <v/>
      </c>
      <c r="G53" s="276" t="s">
        <v>304</v>
      </c>
      <c r="H53" s="276" t="s">
        <v>304</v>
      </c>
      <c r="I53">
        <v>11.6</v>
      </c>
      <c r="J53" t="s">
        <v>299</v>
      </c>
      <c r="K53" s="277" t="s">
        <v>302</v>
      </c>
      <c r="Y53" s="276"/>
      <c r="Z53" s="276"/>
      <c r="AA53" s="276"/>
      <c r="AB53" s="276"/>
      <c r="AC53" s="276"/>
      <c r="AD53" s="276"/>
      <c r="AE53" s="276"/>
      <c r="AF53" s="276"/>
      <c r="AG53" s="276"/>
      <c r="AH53" s="276"/>
      <c r="AI53" s="276"/>
      <c r="AJ53" s="276"/>
      <c r="AK53" s="276"/>
      <c r="AL53" s="276"/>
      <c r="AM53" s="276"/>
      <c r="AN53" s="276"/>
      <c r="AO53" s="276"/>
      <c r="AP53" s="276"/>
    </row>
    <row r="54" spans="1:42" x14ac:dyDescent="0.25">
      <c r="A54" s="102" t="str">
        <f>IF(Invoice_Colombo!E57&lt;&gt;"",Invoice_Colombo!E57,"")</f>
        <v>21039090</v>
      </c>
      <c r="B54" t="str">
        <f t="shared" si="0"/>
        <v>2103</v>
      </c>
      <c r="C54" s="278" t="str">
        <f>IF(Invoice_Colombo!D57&lt;&gt;"",Invoice_Colombo!D57,"")</f>
        <v>BIRYANI MASALA -50G</v>
      </c>
      <c r="D54" s="279" t="str">
        <f>IF(Invoice_Colombo!F57&lt;&gt;"",Invoice_Colombo!F57,"")</f>
        <v/>
      </c>
      <c r="E54" s="102" t="s">
        <v>298</v>
      </c>
      <c r="F54" s="280" t="str">
        <f>IF(Invoice_Colombo!I57&lt;&gt;"",Invoice_Colombo!I57,"")</f>
        <v/>
      </c>
      <c r="G54" s="276" t="s">
        <v>304</v>
      </c>
      <c r="H54" s="276" t="s">
        <v>304</v>
      </c>
      <c r="I54">
        <v>17.399999999999999</v>
      </c>
      <c r="J54" t="s">
        <v>299</v>
      </c>
      <c r="K54" s="277" t="s">
        <v>302</v>
      </c>
      <c r="Y54" s="276"/>
      <c r="Z54" s="276"/>
      <c r="AA54" s="276"/>
      <c r="AB54" s="276"/>
      <c r="AC54" s="276"/>
      <c r="AD54" s="276"/>
      <c r="AE54" s="276"/>
      <c r="AF54" s="276"/>
      <c r="AG54" s="276"/>
      <c r="AH54" s="276"/>
      <c r="AI54" s="276"/>
      <c r="AJ54" s="276"/>
      <c r="AK54" s="276"/>
      <c r="AL54" s="276"/>
      <c r="AM54" s="276"/>
      <c r="AN54" s="276"/>
      <c r="AO54" s="276"/>
      <c r="AP54" s="276"/>
    </row>
    <row r="55" spans="1:42" x14ac:dyDescent="0.25">
      <c r="A55" s="102" t="str">
        <f>IF(Invoice_Colombo!E58&lt;&gt;"",Invoice_Colombo!E58,"")</f>
        <v>21039090</v>
      </c>
      <c r="B55" t="str">
        <f t="shared" si="0"/>
        <v>2103</v>
      </c>
      <c r="C55" s="278" t="str">
        <f>IF(Invoice_Colombo!D58&lt;&gt;"",Invoice_Colombo!D58,"")</f>
        <v>CHICKEN 65 KABAB - 50G</v>
      </c>
      <c r="D55" s="279" t="str">
        <f>IF(Invoice_Colombo!F58&lt;&gt;"",Invoice_Colombo!F58,"")</f>
        <v/>
      </c>
      <c r="E55" s="102" t="s">
        <v>298</v>
      </c>
      <c r="F55" s="280" t="str">
        <f>IF(Invoice_Colombo!I58&lt;&gt;"",Invoice_Colombo!I58,"")</f>
        <v/>
      </c>
      <c r="G55" s="276" t="s">
        <v>304</v>
      </c>
      <c r="H55" s="276" t="s">
        <v>304</v>
      </c>
      <c r="I55">
        <v>29</v>
      </c>
      <c r="J55" t="s">
        <v>299</v>
      </c>
      <c r="K55" s="277" t="s">
        <v>302</v>
      </c>
      <c r="Y55" s="276"/>
      <c r="Z55" s="276"/>
      <c r="AA55" s="276"/>
      <c r="AB55" s="276"/>
      <c r="AC55" s="276"/>
      <c r="AD55" s="276"/>
      <c r="AE55" s="276"/>
      <c r="AF55" s="276"/>
      <c r="AG55" s="276"/>
      <c r="AH55" s="276"/>
      <c r="AI55" s="276"/>
      <c r="AJ55" s="276"/>
      <c r="AK55" s="276"/>
      <c r="AL55" s="276"/>
      <c r="AM55" s="276"/>
      <c r="AN55" s="276"/>
      <c r="AO55" s="276"/>
      <c r="AP55" s="276"/>
    </row>
    <row r="56" spans="1:42" x14ac:dyDescent="0.25">
      <c r="A56" s="102" t="str">
        <f>IF(Invoice_Colombo!E59&lt;&gt;"",Invoice_Colombo!E59,"")</f>
        <v>09042190</v>
      </c>
      <c r="B56" t="str">
        <f t="shared" si="0"/>
        <v>0904</v>
      </c>
      <c r="C56" s="278" t="str">
        <f>IF(Invoice_Colombo!D59&lt;&gt;"",Invoice_Colombo!D59,"")</f>
        <v>KASHMIRILAL CHILLY- 100G</v>
      </c>
      <c r="D56" s="279" t="str">
        <f>IF(Invoice_Colombo!F59&lt;&gt;"",Invoice_Colombo!F59,"")</f>
        <v/>
      </c>
      <c r="E56" s="102" t="s">
        <v>298</v>
      </c>
      <c r="F56" s="280" t="str">
        <f>IF(Invoice_Colombo!I59&lt;&gt;"",Invoice_Colombo!I59,"")</f>
        <v/>
      </c>
      <c r="G56" s="276" t="s">
        <v>304</v>
      </c>
      <c r="H56" s="276" t="s">
        <v>304</v>
      </c>
      <c r="I56">
        <v>11.6</v>
      </c>
      <c r="J56" t="s">
        <v>299</v>
      </c>
      <c r="K56" s="277" t="s">
        <v>302</v>
      </c>
      <c r="Y56" s="276"/>
      <c r="Z56" s="276"/>
      <c r="AA56" s="276"/>
      <c r="AB56" s="276"/>
      <c r="AC56" s="276"/>
      <c r="AD56" s="276"/>
      <c r="AE56" s="276"/>
      <c r="AF56" s="276"/>
      <c r="AG56" s="276"/>
      <c r="AH56" s="276"/>
      <c r="AI56" s="276"/>
      <c r="AJ56" s="276"/>
      <c r="AK56" s="276"/>
      <c r="AL56" s="276"/>
      <c r="AM56" s="276"/>
      <c r="AN56" s="276"/>
      <c r="AO56" s="276"/>
      <c r="AP56" s="276"/>
    </row>
    <row r="57" spans="1:42" x14ac:dyDescent="0.25">
      <c r="A57" s="102" t="str">
        <f>IF(Invoice_Colombo!E60&lt;&gt;"",Invoice_Colombo!E60,"")</f>
        <v>21039090</v>
      </c>
      <c r="B57" t="str">
        <f t="shared" si="0"/>
        <v>2103</v>
      </c>
      <c r="C57" s="278" t="str">
        <f>IF(Invoice_Colombo!D60&lt;&gt;"",Invoice_Colombo!D60,"")</f>
        <v>CHHOLE MASALA ZIPPER - 100G</v>
      </c>
      <c r="D57" s="279" t="str">
        <f>IF(Invoice_Colombo!F60&lt;&gt;"",Invoice_Colombo!F60,"")</f>
        <v/>
      </c>
      <c r="E57" s="102" t="s">
        <v>298</v>
      </c>
      <c r="F57" s="280" t="str">
        <f>IF(Invoice_Colombo!I60&lt;&gt;"",Invoice_Colombo!I60,"")</f>
        <v/>
      </c>
      <c r="G57" s="276" t="s">
        <v>304</v>
      </c>
      <c r="H57" s="276" t="s">
        <v>304</v>
      </c>
      <c r="I57">
        <v>11.6</v>
      </c>
      <c r="J57" t="s">
        <v>299</v>
      </c>
      <c r="K57" s="277" t="s">
        <v>302</v>
      </c>
      <c r="Y57" s="276"/>
      <c r="Z57" s="276"/>
      <c r="AA57" s="276"/>
      <c r="AB57" s="276"/>
      <c r="AC57" s="276"/>
      <c r="AD57" s="276"/>
      <c r="AE57" s="276"/>
      <c r="AF57" s="276"/>
      <c r="AG57" s="276"/>
      <c r="AH57" s="276"/>
      <c r="AI57" s="276"/>
      <c r="AJ57" s="276"/>
      <c r="AK57" s="276"/>
      <c r="AL57" s="276"/>
      <c r="AM57" s="276"/>
      <c r="AN57" s="276"/>
      <c r="AO57" s="276"/>
      <c r="AP57" s="276"/>
    </row>
    <row r="58" spans="1:42" x14ac:dyDescent="0.25">
      <c r="A58" s="102" t="str">
        <f>IF(Invoice_Colombo!E61&lt;&gt;"",Invoice_Colombo!E61,"")</f>
        <v>21039090</v>
      </c>
      <c r="B58" t="str">
        <f t="shared" si="0"/>
        <v>2103</v>
      </c>
      <c r="C58" s="278" t="str">
        <f>IF(Invoice_Colombo!D61&lt;&gt;"",Invoice_Colombo!D61,"")</f>
        <v>SABJI MASALA ZIPPER 100G</v>
      </c>
      <c r="D58" s="279" t="str">
        <f>IF(Invoice_Colombo!F61&lt;&gt;"",Invoice_Colombo!F61,"")</f>
        <v/>
      </c>
      <c r="E58" s="102" t="s">
        <v>298</v>
      </c>
      <c r="F58" s="280" t="str">
        <f>IF(Invoice_Colombo!I61&lt;&gt;"",Invoice_Colombo!I61,"")</f>
        <v/>
      </c>
      <c r="G58" s="276" t="s">
        <v>304</v>
      </c>
      <c r="H58" s="276" t="s">
        <v>304</v>
      </c>
      <c r="I58">
        <v>29</v>
      </c>
      <c r="J58" t="s">
        <v>299</v>
      </c>
      <c r="K58" s="277" t="s">
        <v>302</v>
      </c>
      <c r="Y58" s="276"/>
      <c r="Z58" s="276"/>
      <c r="AA58" s="276"/>
      <c r="AB58" s="276"/>
      <c r="AC58" s="276"/>
      <c r="AD58" s="276"/>
      <c r="AE58" s="276"/>
      <c r="AF58" s="276"/>
      <c r="AG58" s="276"/>
      <c r="AH58" s="276"/>
      <c r="AI58" s="276"/>
      <c r="AJ58" s="276"/>
      <c r="AK58" s="276"/>
      <c r="AL58" s="276"/>
      <c r="AM58" s="276"/>
      <c r="AN58" s="276"/>
      <c r="AO58" s="276"/>
      <c r="AP58" s="276"/>
    </row>
    <row r="59" spans="1:42" x14ac:dyDescent="0.25">
      <c r="A59" s="102" t="str">
        <f>IF(Invoice_Colombo!E62&lt;&gt;"",Invoice_Colombo!E62,"")</f>
        <v>21039090</v>
      </c>
      <c r="B59" t="str">
        <f t="shared" si="0"/>
        <v>2103</v>
      </c>
      <c r="C59" s="278" t="str">
        <f>IF(Invoice_Colombo!D62&lt;&gt;"",Invoice_Colombo!D62,"")</f>
        <v>MEAT MASALA -100G</v>
      </c>
      <c r="D59" s="279" t="str">
        <f>IF(Invoice_Colombo!F62&lt;&gt;"",Invoice_Colombo!F62,"")</f>
        <v/>
      </c>
      <c r="E59" s="102" t="s">
        <v>298</v>
      </c>
      <c r="F59" s="280" t="str">
        <f>IF(Invoice_Colombo!I62&lt;&gt;"",Invoice_Colombo!I62,"")</f>
        <v/>
      </c>
      <c r="G59" s="276" t="s">
        <v>304</v>
      </c>
      <c r="H59" s="276" t="s">
        <v>304</v>
      </c>
      <c r="I59">
        <v>11.6</v>
      </c>
      <c r="J59" t="s">
        <v>299</v>
      </c>
      <c r="K59" s="277" t="s">
        <v>302</v>
      </c>
      <c r="Y59" s="276"/>
      <c r="Z59" s="276"/>
      <c r="AA59" s="276"/>
      <c r="AB59" s="276"/>
      <c r="AC59" s="276"/>
      <c r="AD59" s="276"/>
      <c r="AE59" s="276"/>
      <c r="AF59" s="276"/>
      <c r="AG59" s="276"/>
      <c r="AH59" s="276"/>
      <c r="AI59" s="276"/>
      <c r="AJ59" s="276"/>
      <c r="AK59" s="276"/>
      <c r="AL59" s="276"/>
      <c r="AM59" s="276"/>
      <c r="AN59" s="276"/>
      <c r="AO59" s="276"/>
      <c r="AP59" s="276"/>
    </row>
    <row r="60" spans="1:42" x14ac:dyDescent="0.25">
      <c r="A60" s="102" t="str">
        <f>IF(Invoice_Colombo!E63&lt;&gt;"",Invoice_Colombo!E63,"")</f>
        <v>21039090</v>
      </c>
      <c r="B60" t="str">
        <f t="shared" si="0"/>
        <v>2103</v>
      </c>
      <c r="C60" s="278" t="str">
        <f>IF(Invoice_Colombo!D63&lt;&gt;"",Invoice_Colombo!D63,"")</f>
        <v>EGG CURRY MASALA -50G</v>
      </c>
      <c r="D60" s="279" t="str">
        <f>IF(Invoice_Colombo!F63&lt;&gt;"",Invoice_Colombo!F63,"")</f>
        <v/>
      </c>
      <c r="E60" s="102" t="s">
        <v>298</v>
      </c>
      <c r="F60" s="280" t="str">
        <f>IF(Invoice_Colombo!I63&lt;&gt;"",Invoice_Colombo!I63,"")</f>
        <v/>
      </c>
      <c r="G60" s="276" t="s">
        <v>304</v>
      </c>
      <c r="H60" s="276" t="s">
        <v>304</v>
      </c>
      <c r="I60">
        <v>11.6</v>
      </c>
      <c r="J60" t="s">
        <v>299</v>
      </c>
      <c r="K60" s="277" t="s">
        <v>302</v>
      </c>
      <c r="Y60" s="276"/>
      <c r="Z60" s="276"/>
      <c r="AA60" s="276"/>
      <c r="AB60" s="276"/>
      <c r="AC60" s="276"/>
      <c r="AD60" s="276"/>
      <c r="AE60" s="276"/>
      <c r="AF60" s="276"/>
      <c r="AG60" s="276"/>
      <c r="AH60" s="276"/>
      <c r="AI60" s="276"/>
      <c r="AJ60" s="276"/>
      <c r="AK60" s="276"/>
      <c r="AL60" s="276"/>
      <c r="AM60" s="276"/>
      <c r="AN60" s="276"/>
      <c r="AO60" s="276"/>
      <c r="AP60" s="276"/>
    </row>
    <row r="61" spans="1:42" x14ac:dyDescent="0.25">
      <c r="A61" s="102" t="str">
        <f>IF(Invoice_Colombo!E64&lt;&gt;"",Invoice_Colombo!E64,"")</f>
        <v>21039090</v>
      </c>
      <c r="B61" t="str">
        <f t="shared" si="0"/>
        <v>2103</v>
      </c>
      <c r="C61" s="278" t="str">
        <f>IF(Invoice_Colombo!D64&lt;&gt;"",Invoice_Colombo!D64,"")</f>
        <v>RAJMA MASALA 100G</v>
      </c>
      <c r="D61" s="279" t="str">
        <f>IF(Invoice_Colombo!F64&lt;&gt;"",Invoice_Colombo!F64,"")</f>
        <v/>
      </c>
      <c r="E61" s="102" t="s">
        <v>298</v>
      </c>
      <c r="F61" s="280" t="str">
        <f>IF(Invoice_Colombo!I64&lt;&gt;"",Invoice_Colombo!I64,"")</f>
        <v/>
      </c>
      <c r="G61" s="276" t="s">
        <v>304</v>
      </c>
      <c r="H61" s="276" t="s">
        <v>304</v>
      </c>
      <c r="I61">
        <v>8.1999999999999993</v>
      </c>
      <c r="J61" t="s">
        <v>299</v>
      </c>
      <c r="K61" s="277" t="s">
        <v>302</v>
      </c>
      <c r="Y61" s="276"/>
      <c r="Z61" s="276"/>
      <c r="AA61" s="276"/>
      <c r="AB61" s="276"/>
      <c r="AC61" s="276"/>
      <c r="AD61" s="276"/>
      <c r="AE61" s="276"/>
      <c r="AF61" s="276"/>
      <c r="AG61" s="276"/>
      <c r="AH61" s="276"/>
      <c r="AI61" s="276"/>
      <c r="AJ61" s="276"/>
      <c r="AK61" s="276"/>
      <c r="AL61" s="276"/>
      <c r="AM61" s="276"/>
      <c r="AN61" s="276"/>
      <c r="AO61" s="276"/>
      <c r="AP61" s="276"/>
    </row>
    <row r="62" spans="1:42" x14ac:dyDescent="0.25">
      <c r="A62" s="102" t="str">
        <f>IF(Invoice_Colombo!E65&lt;&gt;"",Invoice_Colombo!E65,"")</f>
        <v>21039090</v>
      </c>
      <c r="B62" t="str">
        <f t="shared" si="0"/>
        <v>2103</v>
      </c>
      <c r="C62" s="278" t="str">
        <f>IF(Invoice_Colombo!D65&lt;&gt;"",Invoice_Colombo!D65,"")</f>
        <v>CHICKEN MASALA</v>
      </c>
      <c r="D62" s="279" t="str">
        <f>IF(Invoice_Colombo!F65&lt;&gt;"",Invoice_Colombo!F65,"")</f>
        <v/>
      </c>
      <c r="E62" s="102" t="s">
        <v>298</v>
      </c>
      <c r="F62" s="280" t="str">
        <f>IF(Invoice_Colombo!I65&lt;&gt;"",Invoice_Colombo!I65,"")</f>
        <v/>
      </c>
      <c r="G62" s="276" t="s">
        <v>304</v>
      </c>
      <c r="H62" s="276" t="s">
        <v>304</v>
      </c>
      <c r="I62">
        <v>8.1999999999999993</v>
      </c>
      <c r="J62" t="s">
        <v>299</v>
      </c>
      <c r="K62" s="277" t="s">
        <v>302</v>
      </c>
      <c r="Y62" s="276"/>
      <c r="Z62" s="276"/>
      <c r="AA62" s="276"/>
      <c r="AB62" s="276"/>
      <c r="AC62" s="276"/>
      <c r="AD62" s="276"/>
      <c r="AE62" s="276"/>
      <c r="AF62" s="276"/>
      <c r="AG62" s="276"/>
      <c r="AH62" s="276"/>
      <c r="AI62" s="276"/>
      <c r="AJ62" s="276"/>
      <c r="AK62" s="276"/>
      <c r="AL62" s="276"/>
      <c r="AM62" s="276"/>
      <c r="AN62" s="276"/>
      <c r="AO62" s="276"/>
      <c r="AP62" s="276"/>
    </row>
    <row r="63" spans="1:42" x14ac:dyDescent="0.25">
      <c r="A63" s="102" t="str">
        <f>IF(Invoice_Colombo!E66&lt;&gt;"",Invoice_Colombo!E66,"")</f>
        <v>04090000</v>
      </c>
      <c r="B63" t="str">
        <f t="shared" si="0"/>
        <v>0409</v>
      </c>
      <c r="C63" s="278" t="str">
        <f>IF(Invoice_Colombo!D66&lt;&gt;"",Invoice_Colombo!D66,"")</f>
        <v xml:space="preserve">HONEY 1KG </v>
      </c>
      <c r="D63" s="279" t="str">
        <f>IF(Invoice_Colombo!F66&lt;&gt;"",Invoice_Colombo!F66,"")</f>
        <v/>
      </c>
      <c r="E63" s="102" t="s">
        <v>298</v>
      </c>
      <c r="F63" s="280" t="str">
        <f>IF(Invoice_Colombo!I66&lt;&gt;"",Invoice_Colombo!I66,"")</f>
        <v/>
      </c>
      <c r="G63" s="276" t="s">
        <v>304</v>
      </c>
      <c r="H63" s="276" t="s">
        <v>304</v>
      </c>
      <c r="I63">
        <v>8.1999999999999993</v>
      </c>
      <c r="J63" t="s">
        <v>299</v>
      </c>
      <c r="K63" s="277" t="s">
        <v>302</v>
      </c>
      <c r="Y63" s="276"/>
      <c r="Z63" s="276"/>
      <c r="AA63" s="276"/>
      <c r="AB63" s="276"/>
      <c r="AC63" s="276"/>
      <c r="AD63" s="276"/>
      <c r="AE63" s="276"/>
      <c r="AF63" s="276"/>
      <c r="AG63" s="276"/>
      <c r="AH63" s="276"/>
      <c r="AI63" s="276"/>
      <c r="AJ63" s="276"/>
      <c r="AK63" s="276"/>
      <c r="AL63" s="276"/>
      <c r="AM63" s="276"/>
      <c r="AN63" s="276"/>
      <c r="AO63" s="276"/>
      <c r="AP63" s="276"/>
    </row>
    <row r="64" spans="1:42" x14ac:dyDescent="0.25">
      <c r="A64" s="102" t="str">
        <f>IF(Invoice_Colombo!E67&lt;&gt;"",Invoice_Colombo!E67,"")</f>
        <v>04090000</v>
      </c>
      <c r="B64" t="str">
        <f t="shared" si="0"/>
        <v>0409</v>
      </c>
      <c r="C64" s="278" t="str">
        <f>IF(Invoice_Colombo!D67&lt;&gt;"",Invoice_Colombo!D67,"")</f>
        <v xml:space="preserve">HONEY 500G  </v>
      </c>
      <c r="D64" s="279" t="str">
        <f>IF(Invoice_Colombo!F67&lt;&gt;"",Invoice_Colombo!F67,"")</f>
        <v/>
      </c>
      <c r="E64" s="102" t="s">
        <v>298</v>
      </c>
      <c r="F64" s="280" t="str">
        <f>IF(Invoice_Colombo!I67&lt;&gt;"",Invoice_Colombo!I67,"")</f>
        <v/>
      </c>
      <c r="G64" s="276" t="s">
        <v>304</v>
      </c>
      <c r="H64" s="276" t="s">
        <v>304</v>
      </c>
      <c r="I64">
        <v>8.1999999999999993</v>
      </c>
      <c r="J64" t="s">
        <v>299</v>
      </c>
      <c r="K64" s="277" t="s">
        <v>302</v>
      </c>
      <c r="Y64" s="276"/>
      <c r="Z64" s="276"/>
      <c r="AA64" s="276"/>
      <c r="AB64" s="276"/>
      <c r="AC64" s="276"/>
      <c r="AD64" s="276"/>
      <c r="AE64" s="276"/>
      <c r="AF64" s="276"/>
      <c r="AG64" s="276"/>
      <c r="AH64" s="276"/>
      <c r="AI64" s="276"/>
      <c r="AJ64" s="276"/>
      <c r="AK64" s="276"/>
      <c r="AL64" s="276"/>
      <c r="AM64" s="276"/>
      <c r="AN64" s="276"/>
      <c r="AO64" s="276"/>
      <c r="AP64" s="276"/>
    </row>
    <row r="65" spans="1:42" x14ac:dyDescent="0.25">
      <c r="A65" s="102" t="str">
        <f>IF(Invoice_Colombo!E68&lt;&gt;"",Invoice_Colombo!E68,"")</f>
        <v>04090000</v>
      </c>
      <c r="B65" t="str">
        <f t="shared" si="0"/>
        <v>0409</v>
      </c>
      <c r="C65" s="278" t="str">
        <f>IF(Invoice_Colombo!D68&lt;&gt;"",Invoice_Colombo!D68,"")</f>
        <v xml:space="preserve">HONEY 250G </v>
      </c>
      <c r="D65" s="279" t="str">
        <f>IF(Invoice_Colombo!F68&lt;&gt;"",Invoice_Colombo!F68,"")</f>
        <v/>
      </c>
      <c r="E65" s="102" t="s">
        <v>298</v>
      </c>
      <c r="F65" s="280" t="str">
        <f>IF(Invoice_Colombo!I68&lt;&gt;"",Invoice_Colombo!I68,"")</f>
        <v/>
      </c>
      <c r="G65" s="276" t="s">
        <v>304</v>
      </c>
      <c r="H65" s="276" t="s">
        <v>304</v>
      </c>
      <c r="I65">
        <v>10.6</v>
      </c>
      <c r="J65" t="s">
        <v>299</v>
      </c>
      <c r="K65" s="277" t="s">
        <v>302</v>
      </c>
      <c r="Y65" s="276"/>
      <c r="Z65" s="276"/>
      <c r="AA65" s="276"/>
      <c r="AB65" s="276"/>
      <c r="AC65" s="276"/>
      <c r="AD65" s="276"/>
      <c r="AE65" s="276"/>
      <c r="AF65" s="276"/>
      <c r="AG65" s="276"/>
      <c r="AH65" s="276"/>
      <c r="AI65" s="276"/>
      <c r="AJ65" s="276"/>
      <c r="AK65" s="276"/>
      <c r="AL65" s="276"/>
      <c r="AM65" s="276"/>
      <c r="AN65" s="276"/>
      <c r="AO65" s="276"/>
      <c r="AP65" s="276"/>
    </row>
    <row r="66" spans="1:42" x14ac:dyDescent="0.25">
      <c r="A66" s="102" t="str">
        <f>IF(Invoice_Colombo!E69&lt;&gt;"",Invoice_Colombo!E69,"")</f>
        <v>04090000</v>
      </c>
      <c r="B66" t="str">
        <f t="shared" si="0"/>
        <v>0409</v>
      </c>
      <c r="C66" s="278" t="str">
        <f>IF(Invoice_Colombo!D69&lt;&gt;"",Invoice_Colombo!D69,"")</f>
        <v xml:space="preserve">HONEY 100G </v>
      </c>
      <c r="D66" s="279" t="str">
        <f>IF(Invoice_Colombo!F69&lt;&gt;"",Invoice_Colombo!F69,"")</f>
        <v/>
      </c>
      <c r="E66" s="102" t="s">
        <v>298</v>
      </c>
      <c r="F66" s="280" t="str">
        <f>IF(Invoice_Colombo!I69&lt;&gt;"",Invoice_Colombo!I69,"")</f>
        <v/>
      </c>
      <c r="G66" s="276" t="s">
        <v>304</v>
      </c>
      <c r="H66" s="276" t="s">
        <v>304</v>
      </c>
      <c r="I66">
        <v>13</v>
      </c>
      <c r="J66" t="s">
        <v>299</v>
      </c>
      <c r="K66" s="277" t="s">
        <v>302</v>
      </c>
      <c r="Y66" s="276"/>
      <c r="Z66" s="276"/>
      <c r="AA66" s="276"/>
      <c r="AB66" s="276"/>
      <c r="AC66" s="276"/>
      <c r="AD66" s="276"/>
      <c r="AE66" s="276"/>
      <c r="AF66" s="276"/>
      <c r="AG66" s="276"/>
      <c r="AH66" s="276"/>
      <c r="AI66" s="276"/>
      <c r="AJ66" s="276"/>
      <c r="AK66" s="276"/>
      <c r="AL66" s="276"/>
      <c r="AM66" s="276"/>
      <c r="AN66" s="276"/>
      <c r="AO66" s="276"/>
      <c r="AP66" s="276"/>
    </row>
    <row r="67" spans="1:42" x14ac:dyDescent="0.25">
      <c r="A67" s="102" t="str">
        <f>IF(Invoice_Colombo!E70&lt;&gt;"",Invoice_Colombo!E70,"")</f>
        <v>21039090</v>
      </c>
      <c r="B67" t="str">
        <f t="shared" ref="B67:B130" si="1">LEFT(A67,4)</f>
        <v>2103</v>
      </c>
      <c r="C67" s="278" t="str">
        <f>IF(Invoice_Colombo!D70&lt;&gt;"",Invoice_Colombo!D70,"")</f>
        <v>SAKTHI CHICKEN MASALA 50G</v>
      </c>
      <c r="D67" s="279" t="str">
        <f>IF(Invoice_Colombo!F70&lt;&gt;"",Invoice_Colombo!F70,"")</f>
        <v/>
      </c>
      <c r="E67" s="102" t="s">
        <v>310</v>
      </c>
      <c r="F67" s="280" t="str">
        <f>IF(Invoice_Colombo!I70&lt;&gt;"",Invoice_Colombo!I70,"")</f>
        <v/>
      </c>
      <c r="G67" s="276" t="s">
        <v>304</v>
      </c>
      <c r="H67" s="276" t="s">
        <v>304</v>
      </c>
      <c r="I67">
        <v>13</v>
      </c>
      <c r="J67" t="s">
        <v>299</v>
      </c>
      <c r="K67" s="277" t="s">
        <v>302</v>
      </c>
      <c r="Y67" s="276"/>
      <c r="Z67" s="276"/>
      <c r="AA67" s="276"/>
      <c r="AB67" s="276"/>
      <c r="AC67" s="276"/>
      <c r="AD67" s="276"/>
      <c r="AE67" s="276"/>
      <c r="AF67" s="276"/>
      <c r="AG67" s="276"/>
      <c r="AH67" s="276"/>
      <c r="AI67" s="276"/>
      <c r="AJ67" s="276"/>
      <c r="AK67" s="276"/>
      <c r="AL67" s="276"/>
      <c r="AM67" s="276"/>
      <c r="AN67" s="276"/>
      <c r="AO67" s="276"/>
      <c r="AP67" s="276"/>
    </row>
    <row r="68" spans="1:42" x14ac:dyDescent="0.25">
      <c r="A68" s="102" t="str">
        <f>IF(Invoice_Colombo!E71&lt;&gt;"",Invoice_Colombo!E71,"")</f>
        <v>21039090</v>
      </c>
      <c r="B68" t="str">
        <f t="shared" si="1"/>
        <v>2103</v>
      </c>
      <c r="C68" s="278" t="str">
        <f>IF(Invoice_Colombo!D71&lt;&gt;"",Invoice_Colombo!D71,"")</f>
        <v>SAKTHI RASAM POWDER 50G</v>
      </c>
      <c r="D68" s="279" t="str">
        <f>IF(Invoice_Colombo!F71&lt;&gt;"",Invoice_Colombo!F71,"")</f>
        <v/>
      </c>
      <c r="E68" s="102" t="s">
        <v>310</v>
      </c>
      <c r="F68" s="280" t="str">
        <f>IF(Invoice_Colombo!I71&lt;&gt;"",Invoice_Colombo!I71,"")</f>
        <v/>
      </c>
      <c r="G68" s="276" t="s">
        <v>304</v>
      </c>
      <c r="H68" s="276" t="s">
        <v>304</v>
      </c>
      <c r="I68">
        <v>13</v>
      </c>
      <c r="J68" t="s">
        <v>299</v>
      </c>
      <c r="K68" s="277" t="s">
        <v>302</v>
      </c>
      <c r="Y68" s="276"/>
      <c r="Z68" s="276"/>
      <c r="AA68" s="276"/>
      <c r="AB68" s="276"/>
      <c r="AC68" s="276"/>
      <c r="AD68" s="276"/>
      <c r="AE68" s="276"/>
      <c r="AF68" s="276"/>
      <c r="AG68" s="276"/>
      <c r="AH68" s="276"/>
      <c r="AI68" s="276"/>
      <c r="AJ68" s="276"/>
      <c r="AK68" s="276"/>
      <c r="AL68" s="276"/>
      <c r="AM68" s="276"/>
      <c r="AN68" s="276"/>
      <c r="AO68" s="276"/>
      <c r="AP68" s="276"/>
    </row>
    <row r="69" spans="1:42" x14ac:dyDescent="0.25">
      <c r="A69" s="102" t="str">
        <f>IF(Invoice_Colombo!E72&lt;&gt;"",Invoice_Colombo!E72,"")</f>
        <v>21039090</v>
      </c>
      <c r="B69" t="str">
        <f t="shared" si="1"/>
        <v>2103</v>
      </c>
      <c r="C69" s="278" t="str">
        <f>IF(Invoice_Colombo!D72&lt;&gt;"",Invoice_Colombo!D72,"")</f>
        <v>SAKTHI CURRY MASAL POWDER 50</v>
      </c>
      <c r="D69" s="279" t="str">
        <f>IF(Invoice_Colombo!F72&lt;&gt;"",Invoice_Colombo!F72,"")</f>
        <v/>
      </c>
      <c r="E69" s="102" t="s">
        <v>310</v>
      </c>
      <c r="F69" s="280" t="str">
        <f>IF(Invoice_Colombo!I72&lt;&gt;"",Invoice_Colombo!I72,"")</f>
        <v/>
      </c>
      <c r="G69" s="276" t="s">
        <v>304</v>
      </c>
      <c r="H69" s="276" t="s">
        <v>304</v>
      </c>
      <c r="I69">
        <v>190</v>
      </c>
      <c r="J69" t="s">
        <v>299</v>
      </c>
      <c r="K69" s="277" t="s">
        <v>302</v>
      </c>
      <c r="Y69" s="276"/>
      <c r="Z69" s="276"/>
      <c r="AA69" s="276"/>
      <c r="AB69" s="276"/>
      <c r="AC69" s="276"/>
      <c r="AD69" s="276"/>
      <c r="AE69" s="276"/>
      <c r="AF69" s="276"/>
      <c r="AG69" s="276"/>
      <c r="AH69" s="276"/>
      <c r="AI69" s="276"/>
      <c r="AJ69" s="276"/>
      <c r="AK69" s="276"/>
      <c r="AL69" s="276"/>
      <c r="AM69" s="276"/>
      <c r="AN69" s="276"/>
      <c r="AO69" s="276"/>
      <c r="AP69" s="276"/>
    </row>
    <row r="70" spans="1:42" x14ac:dyDescent="0.25">
      <c r="A70" s="102" t="str">
        <f>IF(Invoice_Colombo!E73&lt;&gt;"",Invoice_Colombo!E73,"")</f>
        <v>17029090</v>
      </c>
      <c r="B70" t="str">
        <f t="shared" si="1"/>
        <v>1702</v>
      </c>
      <c r="C70" s="278" t="str">
        <f>IF(Invoice_Colombo!D73&lt;&gt;"",Invoice_Colombo!D73,"")</f>
        <v>MANIMARK COCONUT LADDU 80G</v>
      </c>
      <c r="D70" s="279" t="str">
        <f>IF(Invoice_Colombo!F73&lt;&gt;"",Invoice_Colombo!F73,"")</f>
        <v/>
      </c>
      <c r="E70" s="102" t="s">
        <v>310</v>
      </c>
      <c r="F70" s="280" t="str">
        <f>IF(Invoice_Colombo!I73&lt;&gt;"",Invoice_Colombo!I73,"")</f>
        <v/>
      </c>
      <c r="G70" s="276" t="s">
        <v>304</v>
      </c>
      <c r="H70" s="276" t="s">
        <v>304</v>
      </c>
      <c r="I70">
        <v>65</v>
      </c>
      <c r="J70" t="s">
        <v>299</v>
      </c>
      <c r="K70" s="277" t="s">
        <v>302</v>
      </c>
      <c r="Y70" s="276"/>
      <c r="Z70" s="276"/>
      <c r="AA70" s="276"/>
      <c r="AB70" s="276"/>
      <c r="AC70" s="276"/>
      <c r="AD70" s="276"/>
      <c r="AE70" s="276"/>
      <c r="AF70" s="276"/>
      <c r="AG70" s="276"/>
      <c r="AH70" s="276"/>
      <c r="AI70" s="276"/>
      <c r="AJ70" s="276"/>
      <c r="AK70" s="276"/>
      <c r="AL70" s="276"/>
      <c r="AM70" s="276"/>
      <c r="AN70" s="276"/>
      <c r="AO70" s="276"/>
      <c r="AP70" s="276"/>
    </row>
    <row r="71" spans="1:42" x14ac:dyDescent="0.25">
      <c r="A71" s="102" t="str">
        <f>IF(Invoice_Colombo!E74&lt;&gt;"",Invoice_Colombo!E74,"")</f>
        <v>17029090</v>
      </c>
      <c r="B71" t="str">
        <f t="shared" si="1"/>
        <v>1702</v>
      </c>
      <c r="C71" s="278" t="str">
        <f>IF(Invoice_Colombo!D74&lt;&gt;"",Invoice_Colombo!D74,"")</f>
        <v>MANIMARK PEANUT BALLS 100G</v>
      </c>
      <c r="D71" s="279" t="str">
        <f>IF(Invoice_Colombo!F74&lt;&gt;"",Invoice_Colombo!F74,"")</f>
        <v/>
      </c>
      <c r="E71" s="102" t="s">
        <v>310</v>
      </c>
      <c r="F71" s="280" t="str">
        <f>IF(Invoice_Colombo!I74&lt;&gt;"",Invoice_Colombo!I74,"")</f>
        <v/>
      </c>
      <c r="G71" s="276" t="s">
        <v>304</v>
      </c>
      <c r="H71" s="276" t="s">
        <v>304</v>
      </c>
      <c r="I71">
        <v>55</v>
      </c>
      <c r="J71" t="s">
        <v>299</v>
      </c>
      <c r="K71" s="277" t="s">
        <v>302</v>
      </c>
      <c r="Y71" s="276"/>
      <c r="Z71" s="276"/>
      <c r="AA71" s="276"/>
      <c r="AB71" s="276"/>
      <c r="AC71" s="276"/>
      <c r="AD71" s="276"/>
      <c r="AE71" s="276"/>
      <c r="AF71" s="276"/>
      <c r="AG71" s="276"/>
      <c r="AH71" s="276"/>
      <c r="AI71" s="276"/>
      <c r="AJ71" s="276"/>
      <c r="AK71" s="276"/>
      <c r="AL71" s="276"/>
      <c r="AM71" s="276"/>
      <c r="AN71" s="276"/>
      <c r="AO71" s="276"/>
      <c r="AP71" s="276"/>
    </row>
    <row r="72" spans="1:42" x14ac:dyDescent="0.25">
      <c r="A72" s="102" t="str">
        <f>IF(Invoice_Colombo!E75&lt;&gt;"",Invoice_Colombo!E75,"")</f>
        <v>17029090</v>
      </c>
      <c r="B72" t="str">
        <f t="shared" si="1"/>
        <v>1702</v>
      </c>
      <c r="C72" s="278" t="str">
        <f>IF(Invoice_Colombo!D75&lt;&gt;"",Invoice_Colombo!D75,"")</f>
        <v>MANIMARK WHITE SESAME BALLS 60G</v>
      </c>
      <c r="D72" s="279" t="str">
        <f>IF(Invoice_Colombo!F75&lt;&gt;"",Invoice_Colombo!F75,"")</f>
        <v/>
      </c>
      <c r="E72" s="102" t="s">
        <v>310</v>
      </c>
      <c r="F72" s="280" t="str">
        <f>IF(Invoice_Colombo!I75&lt;&gt;"",Invoice_Colombo!I75,"")</f>
        <v/>
      </c>
      <c r="G72" s="276" t="s">
        <v>304</v>
      </c>
      <c r="H72" s="276" t="s">
        <v>304</v>
      </c>
      <c r="I72">
        <v>29</v>
      </c>
      <c r="J72" t="s">
        <v>299</v>
      </c>
      <c r="K72" s="277" t="s">
        <v>302</v>
      </c>
      <c r="Y72" s="276"/>
      <c r="Z72" s="276"/>
      <c r="AA72" s="276"/>
      <c r="AB72" s="276"/>
      <c r="AC72" s="276"/>
      <c r="AD72" s="276"/>
      <c r="AE72" s="276"/>
      <c r="AF72" s="276"/>
      <c r="AG72" s="276"/>
      <c r="AH72" s="276"/>
      <c r="AI72" s="276"/>
      <c r="AJ72" s="276"/>
      <c r="AK72" s="276"/>
      <c r="AL72" s="276"/>
      <c r="AM72" s="276"/>
      <c r="AN72" s="276"/>
      <c r="AO72" s="276"/>
      <c r="AP72" s="276"/>
    </row>
    <row r="73" spans="1:42" x14ac:dyDescent="0.25">
      <c r="A73" s="102" t="str">
        <f>IF(Invoice_Colombo!E76&lt;&gt;"",Invoice_Colombo!E76,"")</f>
        <v>17029090</v>
      </c>
      <c r="B73" t="str">
        <f t="shared" si="1"/>
        <v>1702</v>
      </c>
      <c r="C73" s="278" t="str">
        <f>IF(Invoice_Colombo!D76&lt;&gt;"",Invoice_Colombo!D76,"")</f>
        <v>MANIMARK COCONUT LADDU 80G</v>
      </c>
      <c r="D73" s="279" t="str">
        <f>IF(Invoice_Colombo!F76&lt;&gt;"",Invoice_Colombo!F76,"")</f>
        <v/>
      </c>
      <c r="E73" s="102" t="s">
        <v>299</v>
      </c>
      <c r="F73" s="280" t="str">
        <f>IF(Invoice_Colombo!I76&lt;&gt;"",Invoice_Colombo!I76,"")</f>
        <v/>
      </c>
      <c r="G73" s="276" t="s">
        <v>304</v>
      </c>
      <c r="H73" s="276" t="s">
        <v>304</v>
      </c>
      <c r="I73">
        <v>2250</v>
      </c>
      <c r="J73" t="s">
        <v>299</v>
      </c>
      <c r="K73" s="277" t="s">
        <v>302</v>
      </c>
      <c r="Y73" s="276"/>
      <c r="Z73" s="276"/>
      <c r="AA73" s="276"/>
      <c r="AB73" s="276"/>
      <c r="AC73" s="276"/>
      <c r="AD73" s="276"/>
      <c r="AE73" s="276"/>
      <c r="AF73" s="276"/>
      <c r="AG73" s="276"/>
      <c r="AH73" s="276"/>
      <c r="AI73" s="276"/>
      <c r="AJ73" s="276"/>
      <c r="AK73" s="276"/>
      <c r="AL73" s="276"/>
      <c r="AM73" s="276"/>
      <c r="AN73" s="276"/>
      <c r="AO73" s="276"/>
      <c r="AP73" s="276"/>
    </row>
    <row r="74" spans="1:42" x14ac:dyDescent="0.25">
      <c r="A74" s="102" t="str">
        <f>IF(Invoice_Colombo!E77&lt;&gt;"",Invoice_Colombo!E77,"")</f>
        <v>17029090</v>
      </c>
      <c r="B74" t="str">
        <f t="shared" si="1"/>
        <v>1702</v>
      </c>
      <c r="C74" s="278" t="str">
        <f>IF(Invoice_Colombo!D77&lt;&gt;"",Invoice_Colombo!D77,"")</f>
        <v>MANIMARK SLICED PEANUT BURFI 200G</v>
      </c>
      <c r="D74" s="279" t="str">
        <f>IF(Invoice_Colombo!F77&lt;&gt;"",Invoice_Colombo!F77,"")</f>
        <v/>
      </c>
      <c r="E74"/>
      <c r="G74" s="276" t="s">
        <v>304</v>
      </c>
      <c r="H74" s="276" t="s">
        <v>304</v>
      </c>
      <c r="J74"/>
      <c r="Y74" s="276"/>
      <c r="Z74" s="276"/>
      <c r="AA74" s="276"/>
      <c r="AB74" s="276"/>
      <c r="AC74" s="276"/>
      <c r="AD74" s="276"/>
      <c r="AE74" s="276"/>
      <c r="AF74" s="276"/>
      <c r="AG74" s="276"/>
      <c r="AH74" s="276"/>
      <c r="AI74" s="276"/>
      <c r="AJ74" s="276"/>
      <c r="AK74" s="276"/>
      <c r="AL74" s="276"/>
      <c r="AM74" s="276"/>
      <c r="AN74" s="276"/>
      <c r="AO74" s="276"/>
      <c r="AP74" s="276"/>
    </row>
    <row r="75" spans="1:42" x14ac:dyDescent="0.25">
      <c r="A75" s="102" t="str">
        <f>IF(Invoice_Colombo!E78&lt;&gt;"",Invoice_Colombo!E78,"")</f>
        <v>17029090</v>
      </c>
      <c r="B75" t="str">
        <f t="shared" si="1"/>
        <v>1702</v>
      </c>
      <c r="C75" s="278" t="str">
        <f>IF(Invoice_Colombo!D78&lt;&gt;"",Invoice_Colombo!D78,"")</f>
        <v>MANIMARK PEANUT BURFI 100G</v>
      </c>
      <c r="D75" s="279" t="str">
        <f>IF(Invoice_Colombo!F78&lt;&gt;"",Invoice_Colombo!F78,"")</f>
        <v/>
      </c>
      <c r="E75"/>
      <c r="G75" s="276" t="s">
        <v>304</v>
      </c>
      <c r="H75" s="276" t="s">
        <v>304</v>
      </c>
      <c r="J75"/>
      <c r="Y75" s="276"/>
      <c r="Z75" s="276"/>
      <c r="AA75" s="276"/>
      <c r="AB75" s="276"/>
      <c r="AC75" s="276"/>
      <c r="AD75" s="276"/>
      <c r="AE75" s="276"/>
      <c r="AF75" s="276"/>
      <c r="AG75" s="276"/>
      <c r="AH75" s="276"/>
      <c r="AI75" s="276"/>
      <c r="AJ75" s="276"/>
      <c r="AK75" s="276"/>
      <c r="AL75" s="276"/>
      <c r="AM75" s="276"/>
      <c r="AN75" s="276"/>
      <c r="AO75" s="276"/>
      <c r="AP75" s="276"/>
    </row>
    <row r="76" spans="1:42" x14ac:dyDescent="0.25">
      <c r="A76" s="102" t="str">
        <f>IF(Invoice_Colombo!E79&lt;&gt;"",Invoice_Colombo!E79,"")</f>
        <v>17029090</v>
      </c>
      <c r="B76" t="str">
        <f t="shared" si="1"/>
        <v>1702</v>
      </c>
      <c r="C76" s="278" t="str">
        <f>IF(Invoice_Colombo!D79&lt;&gt;"",Invoice_Colombo!D79,"")</f>
        <v>MANIMARK PEANU BURFI CUTTING 150G</v>
      </c>
      <c r="D76" s="279" t="str">
        <f>IF(Invoice_Colombo!F79&lt;&gt;"",Invoice_Colombo!F79,"")</f>
        <v/>
      </c>
      <c r="E76"/>
      <c r="G76" s="276" t="s">
        <v>304</v>
      </c>
      <c r="H76" s="276" t="s">
        <v>304</v>
      </c>
      <c r="J76"/>
      <c r="Y76" s="276"/>
      <c r="Z76" s="276"/>
      <c r="AA76" s="276"/>
      <c r="AB76" s="276"/>
      <c r="AC76" s="276"/>
      <c r="AD76" s="276"/>
      <c r="AE76" s="276"/>
      <c r="AF76" s="276"/>
      <c r="AG76" s="276"/>
      <c r="AH76" s="276"/>
      <c r="AI76" s="276"/>
      <c r="AJ76" s="276"/>
      <c r="AK76" s="276"/>
      <c r="AL76" s="276"/>
      <c r="AM76" s="276"/>
      <c r="AN76" s="276"/>
      <c r="AO76" s="276"/>
      <c r="AP76" s="276"/>
    </row>
    <row r="77" spans="1:42" x14ac:dyDescent="0.25">
      <c r="A77" s="102" t="str">
        <f>IF(Invoice_Colombo!E80&lt;&gt;"",Invoice_Colombo!E80,"")</f>
        <v>17029090</v>
      </c>
      <c r="B77" t="str">
        <f t="shared" si="1"/>
        <v>1702</v>
      </c>
      <c r="C77" s="278" t="str">
        <f>IF(Invoice_Colombo!D80&lt;&gt;"",Invoice_Colombo!D80,"")</f>
        <v>MANIMARK ENERGY LADDU 140G</v>
      </c>
      <c r="D77" s="279" t="str">
        <f>IF(Invoice_Colombo!F80&lt;&gt;"",Invoice_Colombo!F80,"")</f>
        <v/>
      </c>
      <c r="E77"/>
      <c r="G77" s="276" t="s">
        <v>304</v>
      </c>
      <c r="H77" s="276" t="s">
        <v>304</v>
      </c>
      <c r="J77"/>
      <c r="Y77" s="276"/>
      <c r="Z77" s="276"/>
      <c r="AA77" s="276"/>
      <c r="AB77" s="276"/>
      <c r="AC77" s="276"/>
      <c r="AD77" s="276"/>
      <c r="AE77" s="276"/>
      <c r="AF77" s="276"/>
      <c r="AG77" s="276"/>
      <c r="AH77" s="276"/>
      <c r="AI77" s="276"/>
      <c r="AJ77" s="276"/>
      <c r="AK77" s="276"/>
      <c r="AL77" s="276"/>
      <c r="AM77" s="276"/>
      <c r="AN77" s="276"/>
      <c r="AO77" s="276"/>
      <c r="AP77" s="276"/>
    </row>
    <row r="78" spans="1:42" x14ac:dyDescent="0.25">
      <c r="A78" s="102" t="str">
        <f>IF(Invoice_Colombo!E81&lt;&gt;"",Invoice_Colombo!E81,"")</f>
        <v>17029090</v>
      </c>
      <c r="B78" t="str">
        <f t="shared" si="1"/>
        <v>1702</v>
      </c>
      <c r="C78" s="278" t="str">
        <f>IF(Invoice_Colombo!D81&lt;&gt;"",Invoice_Colombo!D81,"")</f>
        <v>MANIMARK BIRTHDAY PEANUT BURFI BOX 220G</v>
      </c>
      <c r="D78" s="279" t="str">
        <f>IF(Invoice_Colombo!F81&lt;&gt;"",Invoice_Colombo!F81,"")</f>
        <v/>
      </c>
      <c r="E78"/>
      <c r="G78" s="276" t="s">
        <v>304</v>
      </c>
      <c r="H78" s="276" t="s">
        <v>304</v>
      </c>
      <c r="J78"/>
      <c r="Y78" s="276"/>
      <c r="Z78" s="276"/>
      <c r="AA78" s="276"/>
      <c r="AB78" s="276"/>
      <c r="AC78" s="276"/>
      <c r="AD78" s="276"/>
      <c r="AE78" s="276"/>
      <c r="AF78" s="276"/>
      <c r="AG78" s="276"/>
      <c r="AH78" s="276"/>
      <c r="AI78" s="276"/>
      <c r="AJ78" s="276"/>
      <c r="AK78" s="276"/>
      <c r="AL78" s="276"/>
      <c r="AM78" s="276"/>
      <c r="AN78" s="276"/>
      <c r="AO78" s="276"/>
      <c r="AP78" s="276"/>
    </row>
    <row r="79" spans="1:42" x14ac:dyDescent="0.25">
      <c r="A79" s="102" t="str">
        <f>IF(Invoice_Colombo!E82&lt;&gt;"",Invoice_Colombo!E82,"")</f>
        <v>17029090</v>
      </c>
      <c r="B79" t="str">
        <f t="shared" si="1"/>
        <v>1702</v>
      </c>
      <c r="C79" s="278" t="str">
        <f>IF(Invoice_Colombo!D82&lt;&gt;"",Invoice_Colombo!D82,"")</f>
        <v>MANIMARK COCONUT LADDU 80G</v>
      </c>
      <c r="D79" s="279" t="str">
        <f>IF(Invoice_Colombo!F82&lt;&gt;"",Invoice_Colombo!F82,"")</f>
        <v/>
      </c>
      <c r="E79"/>
      <c r="G79" s="276" t="s">
        <v>304</v>
      </c>
      <c r="H79" s="276" t="s">
        <v>304</v>
      </c>
      <c r="J79"/>
      <c r="Y79" s="276"/>
      <c r="Z79" s="276"/>
      <c r="AA79" s="276"/>
      <c r="AB79" s="276"/>
      <c r="AC79" s="276"/>
      <c r="AD79" s="276"/>
      <c r="AE79" s="276"/>
      <c r="AF79" s="276"/>
      <c r="AG79" s="276"/>
      <c r="AH79" s="276"/>
      <c r="AI79" s="276"/>
      <c r="AJ79" s="276"/>
      <c r="AK79" s="276"/>
      <c r="AL79" s="276"/>
      <c r="AM79" s="276"/>
      <c r="AN79" s="276"/>
      <c r="AO79" s="276"/>
      <c r="AP79" s="276"/>
    </row>
    <row r="80" spans="1:42" x14ac:dyDescent="0.25">
      <c r="A80" s="102" t="str">
        <f>IF(Invoice_Colombo!E83&lt;&gt;"",Invoice_Colombo!E83,"")</f>
        <v>17029090</v>
      </c>
      <c r="B80" t="str">
        <f t="shared" si="1"/>
        <v>1702</v>
      </c>
      <c r="C80" s="278" t="str">
        <f>IF(Invoice_Colombo!D83&lt;&gt;"",Invoice_Colombo!D83,"")</f>
        <v>MANIMARK PEANUT BALLS 100G</v>
      </c>
      <c r="D80" s="279" t="str">
        <f>IF(Invoice_Colombo!F83&lt;&gt;"",Invoice_Colombo!F83,"")</f>
        <v/>
      </c>
      <c r="E80"/>
      <c r="G80" s="276" t="s">
        <v>304</v>
      </c>
      <c r="H80" s="276" t="s">
        <v>304</v>
      </c>
      <c r="J80"/>
      <c r="Y80" s="276"/>
      <c r="Z80" s="276"/>
      <c r="AA80" s="276"/>
      <c r="AB80" s="276"/>
      <c r="AC80" s="276"/>
      <c r="AD80" s="276"/>
      <c r="AE80" s="276"/>
      <c r="AF80" s="276"/>
      <c r="AG80" s="276"/>
      <c r="AH80" s="276"/>
      <c r="AI80" s="276"/>
      <c r="AJ80" s="276"/>
      <c r="AK80" s="276"/>
      <c r="AL80" s="276"/>
      <c r="AM80" s="276"/>
      <c r="AN80" s="276"/>
      <c r="AO80" s="276"/>
      <c r="AP80" s="276"/>
    </row>
    <row r="81" spans="1:42" x14ac:dyDescent="0.25">
      <c r="A81" s="102" t="str">
        <f>IF(Invoice_Colombo!E84&lt;&gt;"",Invoice_Colombo!E84,"")</f>
        <v>17029090</v>
      </c>
      <c r="B81" t="str">
        <f t="shared" si="1"/>
        <v>1702</v>
      </c>
      <c r="C81" s="278" t="str">
        <f>IF(Invoice_Colombo!D84&lt;&gt;"",Invoice_Colombo!D84,"")</f>
        <v>MANIMARK PEANUT BURFI 135 G</v>
      </c>
      <c r="D81" s="279" t="str">
        <f>IF(Invoice_Colombo!F84&lt;&gt;"",Invoice_Colombo!F84,"")</f>
        <v/>
      </c>
      <c r="E81"/>
      <c r="G81" s="276" t="s">
        <v>304</v>
      </c>
      <c r="H81" s="276" t="s">
        <v>304</v>
      </c>
      <c r="J81"/>
      <c r="Y81" s="276"/>
      <c r="Z81" s="276"/>
      <c r="AA81" s="276"/>
      <c r="AB81" s="276"/>
      <c r="AC81" s="276"/>
      <c r="AD81" s="276"/>
      <c r="AE81" s="276"/>
      <c r="AF81" s="276"/>
      <c r="AG81" s="276"/>
      <c r="AH81" s="276"/>
      <c r="AI81" s="276"/>
      <c r="AJ81" s="276"/>
      <c r="AK81" s="276"/>
      <c r="AL81" s="276"/>
      <c r="AM81" s="276"/>
      <c r="AN81" s="276"/>
      <c r="AO81" s="276"/>
      <c r="AP81" s="276"/>
    </row>
    <row r="82" spans="1:42" x14ac:dyDescent="0.25">
      <c r="A82" s="102" t="str">
        <f>IF(Invoice_Colombo!E85&lt;&gt;"",Invoice_Colombo!E85,"")</f>
        <v>17029090</v>
      </c>
      <c r="B82" t="str">
        <f t="shared" si="1"/>
        <v>1702</v>
      </c>
      <c r="C82" s="278" t="str">
        <f>IF(Invoice_Colombo!D85&lt;&gt;"",Invoice_Colombo!D85,"")</f>
        <v>MANIMARK SLICED PEANUT BURFI 200 G</v>
      </c>
      <c r="D82" s="279" t="str">
        <f>IF(Invoice_Colombo!F85&lt;&gt;"",Invoice_Colombo!F85,"")</f>
        <v/>
      </c>
      <c r="E82"/>
      <c r="G82" s="276" t="s">
        <v>304</v>
      </c>
      <c r="H82" s="276" t="s">
        <v>304</v>
      </c>
      <c r="J82"/>
      <c r="Y82" s="276"/>
      <c r="Z82" s="276"/>
      <c r="AA82" s="276"/>
      <c r="AB82" s="276"/>
      <c r="AC82" s="276"/>
      <c r="AD82" s="276"/>
      <c r="AE82" s="276"/>
      <c r="AF82" s="276"/>
      <c r="AG82" s="276"/>
      <c r="AH82" s="276"/>
      <c r="AI82" s="276"/>
      <c r="AJ82" s="276"/>
      <c r="AK82" s="276"/>
      <c r="AL82" s="276"/>
      <c r="AM82" s="276"/>
      <c r="AN82" s="276"/>
      <c r="AO82" s="276"/>
      <c r="AP82" s="276"/>
    </row>
    <row r="83" spans="1:42" x14ac:dyDescent="0.25">
      <c r="A83" s="102" t="str">
        <f>IF(Invoice_Colombo!E86&lt;&gt;"",Invoice_Colombo!E86,"")</f>
        <v>17029090</v>
      </c>
      <c r="B83" t="str">
        <f t="shared" si="1"/>
        <v>1702</v>
      </c>
      <c r="C83" s="278" t="str">
        <f>IF(Invoice_Colombo!D86&lt;&gt;"",Invoice_Colombo!D86,"")</f>
        <v>MANIMARK ANDHRA MURUKKU 125 G</v>
      </c>
      <c r="D83" s="279" t="str">
        <f>IF(Invoice_Colombo!F86&lt;&gt;"",Invoice_Colombo!F86,"")</f>
        <v/>
      </c>
      <c r="E83"/>
      <c r="G83" s="276" t="s">
        <v>304</v>
      </c>
      <c r="H83" s="276" t="s">
        <v>304</v>
      </c>
      <c r="J83"/>
      <c r="Y83" s="276"/>
      <c r="Z83" s="276"/>
      <c r="AA83" s="276"/>
      <c r="AB83" s="276"/>
      <c r="AC83" s="276"/>
      <c r="AD83" s="276"/>
      <c r="AE83" s="276"/>
      <c r="AF83" s="276"/>
      <c r="AG83" s="276"/>
      <c r="AH83" s="276"/>
      <c r="AI83" s="276"/>
      <c r="AJ83" s="276"/>
      <c r="AK83" s="276"/>
      <c r="AL83" s="276"/>
      <c r="AM83" s="276"/>
      <c r="AN83" s="276"/>
      <c r="AO83" s="276"/>
      <c r="AP83" s="276"/>
    </row>
    <row r="84" spans="1:42" x14ac:dyDescent="0.25">
      <c r="A84" s="102" t="str">
        <f>IF(Invoice_Colombo!E87&lt;&gt;"",Invoice_Colombo!E87,"")</f>
        <v>17029090</v>
      </c>
      <c r="B84" t="str">
        <f t="shared" si="1"/>
        <v>1702</v>
      </c>
      <c r="C84" s="278" t="str">
        <f>IF(Invoice_Colombo!D87&lt;&gt;"",Invoice_Colombo!D87,"")</f>
        <v>MANIMARK FINE PEANUT BADAM BURFI 100G</v>
      </c>
      <c r="D84" s="279" t="str">
        <f>IF(Invoice_Colombo!F87&lt;&gt;"",Invoice_Colombo!F87,"")</f>
        <v/>
      </c>
      <c r="E84"/>
      <c r="G84" s="276" t="s">
        <v>304</v>
      </c>
      <c r="H84" s="276" t="s">
        <v>304</v>
      </c>
      <c r="J84"/>
      <c r="Y84" s="276"/>
      <c r="Z84" s="276"/>
      <c r="AA84" s="276"/>
      <c r="AB84" s="276"/>
      <c r="AC84" s="276"/>
      <c r="AD84" s="276"/>
      <c r="AE84" s="276"/>
      <c r="AF84" s="276"/>
      <c r="AG84" s="276"/>
      <c r="AH84" s="276"/>
      <c r="AI84" s="276"/>
      <c r="AJ84" s="276"/>
      <c r="AK84" s="276"/>
      <c r="AL84" s="276"/>
      <c r="AM84" s="276"/>
      <c r="AN84" s="276"/>
      <c r="AO84" s="276"/>
      <c r="AP84" s="276"/>
    </row>
    <row r="85" spans="1:42" x14ac:dyDescent="0.25">
      <c r="A85" s="102" t="str">
        <f>IF(Invoice_Colombo!E88&lt;&gt;"",Invoice_Colombo!E88,"")</f>
        <v>17029090</v>
      </c>
      <c r="B85" t="str">
        <f t="shared" si="1"/>
        <v>1702</v>
      </c>
      <c r="C85" s="278" t="str">
        <f>IF(Invoice_Colombo!D88&lt;&gt;"",Invoice_Colombo!D88,"")</f>
        <v>MANIMARK MIXTURE 125 G</v>
      </c>
      <c r="D85" s="279" t="str">
        <f>IF(Invoice_Colombo!F88&lt;&gt;"",Invoice_Colombo!F88,"")</f>
        <v/>
      </c>
      <c r="E85"/>
      <c r="G85" s="276" t="s">
        <v>304</v>
      </c>
      <c r="H85" s="276" t="s">
        <v>304</v>
      </c>
      <c r="J85"/>
      <c r="Y85" s="276"/>
      <c r="Z85" s="276"/>
      <c r="AA85" s="276"/>
      <c r="AB85" s="276"/>
      <c r="AC85" s="276"/>
      <c r="AD85" s="276"/>
      <c r="AE85" s="276"/>
      <c r="AF85" s="276"/>
      <c r="AG85" s="276"/>
      <c r="AH85" s="276"/>
      <c r="AI85" s="276"/>
      <c r="AJ85" s="276"/>
      <c r="AK85" s="276"/>
      <c r="AL85" s="276"/>
      <c r="AM85" s="276"/>
      <c r="AN85" s="276"/>
      <c r="AO85" s="276"/>
      <c r="AP85" s="276"/>
    </row>
    <row r="86" spans="1:42" x14ac:dyDescent="0.25">
      <c r="A86" s="102" t="str">
        <f>IF(Invoice_Colombo!E89&lt;&gt;"",Invoice_Colombo!E89,"")</f>
        <v>17029090</v>
      </c>
      <c r="B86" t="str">
        <f t="shared" si="1"/>
        <v>1702</v>
      </c>
      <c r="C86" s="278" t="str">
        <f>IF(Invoice_Colombo!D89&lt;&gt;"",Invoice_Colombo!D89,"")</f>
        <v>MANIMARK PEANUT BURFI 100G</v>
      </c>
      <c r="D86" s="279" t="str">
        <f>IF(Invoice_Colombo!F89&lt;&gt;"",Invoice_Colombo!F89,"")</f>
        <v/>
      </c>
      <c r="E86"/>
      <c r="G86" s="276" t="s">
        <v>304</v>
      </c>
      <c r="H86" s="276" t="s">
        <v>304</v>
      </c>
      <c r="J86"/>
      <c r="Y86" s="276"/>
      <c r="Z86" s="276"/>
      <c r="AA86" s="276"/>
      <c r="AB86" s="276"/>
      <c r="AC86" s="276"/>
      <c r="AD86" s="276"/>
      <c r="AE86" s="276"/>
      <c r="AF86" s="276"/>
      <c r="AG86" s="276"/>
      <c r="AH86" s="276"/>
      <c r="AI86" s="276"/>
      <c r="AJ86" s="276"/>
      <c r="AK86" s="276"/>
      <c r="AL86" s="276"/>
      <c r="AM86" s="276"/>
      <c r="AN86" s="276"/>
      <c r="AO86" s="276"/>
      <c r="AP86" s="276"/>
    </row>
    <row r="87" spans="1:42" x14ac:dyDescent="0.25">
      <c r="A87" s="102" t="str">
        <f>IF(Invoice_Colombo!E90&lt;&gt;"",Invoice_Colombo!E90,"")</f>
        <v>17029090</v>
      </c>
      <c r="B87" t="str">
        <f t="shared" si="1"/>
        <v>1702</v>
      </c>
      <c r="C87" s="278" t="str">
        <f>IF(Invoice_Colombo!D90&lt;&gt;"",Invoice_Colombo!D90,"")</f>
        <v>MANIMARK PEANUT BURFI CUTTING 150G</v>
      </c>
      <c r="D87" s="279" t="str">
        <f>IF(Invoice_Colombo!F90&lt;&gt;"",Invoice_Colombo!F90,"")</f>
        <v/>
      </c>
      <c r="E87"/>
      <c r="G87" s="276" t="s">
        <v>304</v>
      </c>
      <c r="H87" s="276" t="s">
        <v>304</v>
      </c>
      <c r="J87"/>
      <c r="Y87" s="276"/>
      <c r="Z87" s="276"/>
      <c r="AA87" s="276"/>
      <c r="AB87" s="276"/>
      <c r="AC87" s="276"/>
      <c r="AD87" s="276"/>
      <c r="AE87" s="276"/>
      <c r="AF87" s="276"/>
      <c r="AG87" s="276"/>
      <c r="AH87" s="276"/>
      <c r="AI87" s="276"/>
      <c r="AJ87" s="276"/>
      <c r="AK87" s="276"/>
      <c r="AL87" s="276"/>
      <c r="AM87" s="276"/>
      <c r="AN87" s="276"/>
      <c r="AO87" s="276"/>
      <c r="AP87" s="276"/>
    </row>
    <row r="88" spans="1:42" x14ac:dyDescent="0.25">
      <c r="A88" s="102" t="str">
        <f>IF(Invoice_Colombo!E91&lt;&gt;"",Invoice_Colombo!E91,"")</f>
        <v>17029090</v>
      </c>
      <c r="B88" t="str">
        <f t="shared" si="1"/>
        <v>1702</v>
      </c>
      <c r="C88" s="278" t="str">
        <f>IF(Invoice_Colombo!D91&lt;&gt;"",Invoice_Colombo!D91,"")</f>
        <v>MANIMARK WHITE SESAME BALLS 60G</v>
      </c>
      <c r="D88" s="279" t="str">
        <f>IF(Invoice_Colombo!F91&lt;&gt;"",Invoice_Colombo!F91,"")</f>
        <v/>
      </c>
      <c r="E88"/>
      <c r="G88" s="276" t="s">
        <v>304</v>
      </c>
      <c r="H88" s="276" t="s">
        <v>304</v>
      </c>
      <c r="J88"/>
      <c r="Y88" s="276"/>
      <c r="Z88" s="276"/>
      <c r="AA88" s="276"/>
      <c r="AB88" s="276"/>
      <c r="AC88" s="276"/>
      <c r="AD88" s="276"/>
      <c r="AE88" s="276"/>
      <c r="AF88" s="276"/>
      <c r="AG88" s="276"/>
      <c r="AH88" s="276"/>
      <c r="AI88" s="276"/>
      <c r="AJ88" s="276"/>
      <c r="AK88" s="276"/>
      <c r="AL88" s="276"/>
      <c r="AM88" s="276"/>
      <c r="AN88" s="276"/>
      <c r="AO88" s="276"/>
      <c r="AP88" s="276"/>
    </row>
    <row r="89" spans="1:42" x14ac:dyDescent="0.25">
      <c r="A89" s="102" t="str">
        <f>IF(Invoice_Colombo!E92&lt;&gt;"",Invoice_Colombo!E92,"")</f>
        <v>17029090</v>
      </c>
      <c r="B89" t="str">
        <f t="shared" si="1"/>
        <v>1702</v>
      </c>
      <c r="C89" s="278" t="str">
        <f>IF(Invoice_Colombo!D92&lt;&gt;"",Invoice_Colombo!D92,"")</f>
        <v>MANIMARK PEANUT BALLS 60G</v>
      </c>
      <c r="D89" s="279" t="str">
        <f>IF(Invoice_Colombo!F92&lt;&gt;"",Invoice_Colombo!F92,"")</f>
        <v/>
      </c>
      <c r="E89"/>
      <c r="G89" s="276" t="s">
        <v>304</v>
      </c>
      <c r="H89" s="276" t="s">
        <v>304</v>
      </c>
      <c r="J89"/>
      <c r="Y89" s="276"/>
      <c r="Z89" s="276"/>
      <c r="AA89" s="276"/>
      <c r="AB89" s="276"/>
      <c r="AC89" s="276"/>
      <c r="AD89" s="276"/>
      <c r="AE89" s="276"/>
      <c r="AF89" s="276"/>
      <c r="AG89" s="276"/>
      <c r="AH89" s="276"/>
      <c r="AI89" s="276"/>
      <c r="AJ89" s="276"/>
      <c r="AK89" s="276"/>
      <c r="AL89" s="276"/>
      <c r="AM89" s="276"/>
      <c r="AN89" s="276"/>
      <c r="AO89" s="276"/>
      <c r="AP89" s="276"/>
    </row>
    <row r="90" spans="1:42" x14ac:dyDescent="0.25">
      <c r="A90" s="102" t="str">
        <f>IF(Invoice_Colombo!E93&lt;&gt;"",Invoice_Colombo!E93,"")</f>
        <v>17029090</v>
      </c>
      <c r="B90" t="str">
        <f t="shared" si="1"/>
        <v>1702</v>
      </c>
      <c r="C90" s="278" t="str">
        <f>IF(Invoice_Colombo!D93&lt;&gt;"",Invoice_Colombo!D93,"")</f>
        <v>MANIMARK BIRTHDAY PEANUT BURFI BOX 220G</v>
      </c>
      <c r="D90" s="279" t="str">
        <f>IF(Invoice_Colombo!F93&lt;&gt;"",Invoice_Colombo!F93,"")</f>
        <v/>
      </c>
      <c r="E90"/>
      <c r="G90" s="276" t="s">
        <v>304</v>
      </c>
      <c r="H90" s="276" t="s">
        <v>304</v>
      </c>
      <c r="J90"/>
      <c r="Y90" s="276"/>
      <c r="Z90" s="276"/>
      <c r="AA90" s="276"/>
      <c r="AB90" s="276"/>
      <c r="AC90" s="276"/>
      <c r="AD90" s="276"/>
      <c r="AE90" s="276"/>
      <c r="AF90" s="276"/>
      <c r="AG90" s="276"/>
      <c r="AH90" s="276"/>
      <c r="AI90" s="276"/>
      <c r="AJ90" s="276"/>
      <c r="AK90" s="276"/>
      <c r="AL90" s="276"/>
      <c r="AM90" s="276"/>
      <c r="AN90" s="276"/>
      <c r="AO90" s="276"/>
      <c r="AP90" s="276"/>
    </row>
    <row r="91" spans="1:42" x14ac:dyDescent="0.25">
      <c r="A91" s="102" t="str">
        <f>IF(Invoice_Colombo!E94&lt;&gt;"",Invoice_Colombo!E94,"")</f>
        <v>17029090</v>
      </c>
      <c r="B91" t="str">
        <f t="shared" si="1"/>
        <v>1702</v>
      </c>
      <c r="C91" s="278" t="str">
        <f>IF(Invoice_Colombo!D94&lt;&gt;"",Invoice_Colombo!D94,"")</f>
        <v>MANIMARK ENERGY LADDU 140G</v>
      </c>
      <c r="D91" s="279" t="str">
        <f>IF(Invoice_Colombo!F94&lt;&gt;"",Invoice_Colombo!F94,"")</f>
        <v/>
      </c>
      <c r="E91"/>
      <c r="G91" s="276" t="s">
        <v>304</v>
      </c>
      <c r="H91" s="276" t="s">
        <v>304</v>
      </c>
      <c r="J91"/>
      <c r="Y91" s="276"/>
      <c r="Z91" s="276"/>
      <c r="AA91" s="276"/>
      <c r="AB91" s="276"/>
      <c r="AC91" s="276"/>
      <c r="AD91" s="276"/>
      <c r="AE91" s="276"/>
      <c r="AF91" s="276"/>
      <c r="AG91" s="276"/>
      <c r="AH91" s="276"/>
      <c r="AI91" s="276"/>
      <c r="AJ91" s="276"/>
      <c r="AK91" s="276"/>
      <c r="AL91" s="276"/>
      <c r="AM91" s="276"/>
      <c r="AN91" s="276"/>
      <c r="AO91" s="276"/>
      <c r="AP91" s="276"/>
    </row>
    <row r="92" spans="1:42" x14ac:dyDescent="0.25">
      <c r="A92" s="102" t="str">
        <f>IF(Invoice_Colombo!E95&lt;&gt;"",Invoice_Colombo!E95,"")</f>
        <v>21069099</v>
      </c>
      <c r="B92" t="str">
        <f t="shared" si="1"/>
        <v>2106</v>
      </c>
      <c r="C92" s="278" t="str">
        <f>IF(Invoice_Colombo!D95&lt;&gt;"",Invoice_Colombo!D95,"")</f>
        <v>ALL IN ONE  200G</v>
      </c>
      <c r="D92" s="279" t="str">
        <f>IF(Invoice_Colombo!F95&lt;&gt;"",Invoice_Colombo!F95,"")</f>
        <v/>
      </c>
      <c r="E92"/>
      <c r="G92" s="276" t="s">
        <v>304</v>
      </c>
      <c r="H92" s="276" t="s">
        <v>304</v>
      </c>
      <c r="J92"/>
      <c r="Y92" s="276"/>
      <c r="Z92" s="276"/>
      <c r="AA92" s="276"/>
      <c r="AB92" s="276"/>
      <c r="AC92" s="276"/>
      <c r="AD92" s="276"/>
      <c r="AE92" s="276"/>
      <c r="AF92" s="276"/>
      <c r="AG92" s="276"/>
      <c r="AH92" s="276"/>
      <c r="AI92" s="276"/>
      <c r="AJ92" s="276"/>
      <c r="AK92" s="276"/>
      <c r="AL92" s="276"/>
      <c r="AM92" s="276"/>
      <c r="AN92" s="276"/>
      <c r="AO92" s="276"/>
      <c r="AP92" s="276"/>
    </row>
    <row r="93" spans="1:42" x14ac:dyDescent="0.25">
      <c r="A93" s="102" t="str">
        <f>IF(Invoice_Colombo!E96&lt;&gt;"",Invoice_Colombo!E96,"")</f>
        <v>21069099</v>
      </c>
      <c r="B93" t="str">
        <f t="shared" si="1"/>
        <v>2106</v>
      </c>
      <c r="C93" s="278" t="str">
        <f>IF(Invoice_Colombo!D96&lt;&gt;"",Invoice_Colombo!D96,"")</f>
        <v>ALLO BHUJIA  200G</v>
      </c>
      <c r="D93" s="279" t="str">
        <f>IF(Invoice_Colombo!F96&lt;&gt;"",Invoice_Colombo!F96,"")</f>
        <v/>
      </c>
      <c r="E93"/>
      <c r="G93" s="276" t="s">
        <v>304</v>
      </c>
      <c r="H93" s="276" t="s">
        <v>304</v>
      </c>
      <c r="J93"/>
      <c r="Y93" s="276"/>
      <c r="Z93" s="276"/>
      <c r="AA93" s="276"/>
      <c r="AB93" s="276"/>
      <c r="AC93" s="276"/>
      <c r="AD93" s="276"/>
      <c r="AE93" s="276"/>
      <c r="AF93" s="276"/>
      <c r="AG93" s="276"/>
      <c r="AH93" s="276"/>
      <c r="AI93" s="276"/>
      <c r="AJ93" s="276"/>
      <c r="AK93" s="276"/>
      <c r="AL93" s="276"/>
      <c r="AM93" s="276"/>
      <c r="AN93" s="276"/>
      <c r="AO93" s="276"/>
      <c r="AP93" s="276"/>
    </row>
    <row r="94" spans="1:42" x14ac:dyDescent="0.25">
      <c r="A94" s="102" t="str">
        <f>IF(Invoice_Colombo!E97&lt;&gt;"",Invoice_Colombo!E97,"")</f>
        <v>21069099</v>
      </c>
      <c r="B94" t="str">
        <f t="shared" si="1"/>
        <v>2106</v>
      </c>
      <c r="C94" s="278" t="str">
        <f>IF(Invoice_Colombo!D97&lt;&gt;"",Invoice_Colombo!D97,"")</f>
        <v>BANANA CHIPS - BLACKPEPPER 160G</v>
      </c>
      <c r="D94" s="279" t="str">
        <f>IF(Invoice_Colombo!F97&lt;&gt;"",Invoice_Colombo!F97,"")</f>
        <v/>
      </c>
      <c r="E94"/>
      <c r="G94" s="276" t="s">
        <v>304</v>
      </c>
      <c r="H94" s="276" t="s">
        <v>304</v>
      </c>
      <c r="J94"/>
      <c r="Y94" s="276"/>
      <c r="Z94" s="276"/>
      <c r="AA94" s="276"/>
      <c r="AB94" s="276"/>
      <c r="AC94" s="276"/>
      <c r="AD94" s="276"/>
      <c r="AE94" s="276"/>
      <c r="AF94" s="276"/>
      <c r="AG94" s="276"/>
      <c r="AH94" s="276"/>
      <c r="AI94" s="276"/>
      <c r="AJ94" s="276"/>
      <c r="AK94" s="276"/>
      <c r="AL94" s="276"/>
      <c r="AM94" s="276"/>
      <c r="AN94" s="276"/>
      <c r="AO94" s="276"/>
      <c r="AP94" s="276"/>
    </row>
    <row r="95" spans="1:42" x14ac:dyDescent="0.25">
      <c r="A95" s="102" t="str">
        <f>IF(Invoice_Colombo!E98&lt;&gt;"",Invoice_Colombo!E98,"")</f>
        <v>21069099</v>
      </c>
      <c r="B95" t="str">
        <f t="shared" si="1"/>
        <v>2106</v>
      </c>
      <c r="C95" s="278" t="str">
        <f>IF(Invoice_Colombo!D98&lt;&gt;"",Invoice_Colombo!D98,"")</f>
        <v>BHELPURI 270G</v>
      </c>
      <c r="D95" s="279" t="str">
        <f>IF(Invoice_Colombo!F98&lt;&gt;"",Invoice_Colombo!F98,"")</f>
        <v/>
      </c>
      <c r="E95"/>
      <c r="G95" s="276" t="s">
        <v>304</v>
      </c>
      <c r="H95" s="276" t="s">
        <v>304</v>
      </c>
      <c r="J95"/>
      <c r="Y95" s="276"/>
      <c r="Z95" s="276"/>
      <c r="AA95" s="276"/>
      <c r="AB95" s="276"/>
      <c r="AC95" s="276"/>
      <c r="AD95" s="276"/>
      <c r="AE95" s="276"/>
      <c r="AF95" s="276"/>
      <c r="AG95" s="276"/>
      <c r="AH95" s="276"/>
      <c r="AI95" s="276"/>
      <c r="AJ95" s="276"/>
      <c r="AK95" s="276"/>
      <c r="AL95" s="276"/>
      <c r="AM95" s="276"/>
      <c r="AN95" s="276"/>
      <c r="AO95" s="276"/>
      <c r="AP95" s="276"/>
    </row>
    <row r="96" spans="1:42" x14ac:dyDescent="0.25">
      <c r="A96" s="102" t="str">
        <f>IF(Invoice_Colombo!E99&lt;&gt;"",Invoice_Colombo!E99,"")</f>
        <v>21069099</v>
      </c>
      <c r="B96" t="str">
        <f t="shared" si="1"/>
        <v>2106</v>
      </c>
      <c r="C96" s="278" t="str">
        <f>IF(Invoice_Colombo!D99&lt;&gt;"",Invoice_Colombo!D99,"")</f>
        <v>BHUJIA SEV  200G</v>
      </c>
      <c r="D96" s="279" t="str">
        <f>IF(Invoice_Colombo!F99&lt;&gt;"",Invoice_Colombo!F99,"")</f>
        <v/>
      </c>
      <c r="E96"/>
      <c r="G96" s="276" t="s">
        <v>304</v>
      </c>
      <c r="H96" s="276" t="s">
        <v>304</v>
      </c>
      <c r="J96"/>
      <c r="Y96" s="276"/>
      <c r="Z96" s="276"/>
      <c r="AA96" s="276"/>
      <c r="AB96" s="276"/>
      <c r="AC96" s="276"/>
      <c r="AD96" s="276"/>
      <c r="AE96" s="276"/>
      <c r="AF96" s="276"/>
      <c r="AG96" s="276"/>
      <c r="AH96" s="276"/>
      <c r="AI96" s="276"/>
      <c r="AJ96" s="276"/>
      <c r="AK96" s="276"/>
      <c r="AL96" s="276"/>
      <c r="AM96" s="276"/>
      <c r="AN96" s="276"/>
      <c r="AO96" s="276"/>
      <c r="AP96" s="276"/>
    </row>
    <row r="97" spans="1:42" x14ac:dyDescent="0.25">
      <c r="A97" s="102" t="str">
        <f>IF(Invoice_Colombo!E100&lt;&gt;"",Invoice_Colombo!E100,"")</f>
        <v>21069099</v>
      </c>
      <c r="B97" t="str">
        <f t="shared" si="1"/>
        <v>2106</v>
      </c>
      <c r="C97" s="278" t="str">
        <f>IF(Invoice_Colombo!D100&lt;&gt;"",Invoice_Colombo!D100,"")</f>
        <v>SOYA STICKS  200G</v>
      </c>
      <c r="D97" s="279" t="str">
        <f>IF(Invoice_Colombo!F100&lt;&gt;"",Invoice_Colombo!F100,"")</f>
        <v/>
      </c>
      <c r="E97"/>
      <c r="G97" s="276" t="s">
        <v>304</v>
      </c>
      <c r="H97" s="276" t="s">
        <v>304</v>
      </c>
      <c r="J97"/>
      <c r="Y97" s="276"/>
      <c r="Z97" s="276"/>
      <c r="AA97" s="276"/>
      <c r="AB97" s="276"/>
      <c r="AC97" s="276"/>
      <c r="AD97" s="276"/>
      <c r="AE97" s="276"/>
      <c r="AF97" s="276"/>
      <c r="AG97" s="276"/>
      <c r="AH97" s="276"/>
      <c r="AI97" s="276"/>
      <c r="AJ97" s="276"/>
      <c r="AK97" s="276"/>
      <c r="AL97" s="276"/>
      <c r="AM97" s="276"/>
      <c r="AN97" s="276"/>
      <c r="AO97" s="276"/>
      <c r="AP97" s="276"/>
    </row>
    <row r="98" spans="1:42" x14ac:dyDescent="0.25">
      <c r="A98" s="102" t="str">
        <f>IF(Invoice_Colombo!E101&lt;&gt;"",Invoice_Colombo!E101,"")</f>
        <v>21069099</v>
      </c>
      <c r="B98" t="str">
        <f t="shared" si="1"/>
        <v>2106</v>
      </c>
      <c r="C98" s="278" t="str">
        <f>IF(Invoice_Colombo!D101&lt;&gt;"",Invoice_Colombo!D101,"")</f>
        <v>TASTY NUTS  200G</v>
      </c>
      <c r="D98" s="279" t="str">
        <f>IF(Invoice_Colombo!F101&lt;&gt;"",Invoice_Colombo!F101,"")</f>
        <v/>
      </c>
      <c r="E98"/>
      <c r="G98" s="276" t="s">
        <v>304</v>
      </c>
      <c r="H98" s="276" t="s">
        <v>304</v>
      </c>
      <c r="J98"/>
      <c r="Y98" s="276"/>
      <c r="Z98" s="276"/>
      <c r="AA98" s="276"/>
      <c r="AB98" s="276"/>
      <c r="AC98" s="276"/>
      <c r="AD98" s="276"/>
      <c r="AE98" s="276"/>
      <c r="AF98" s="276"/>
      <c r="AG98" s="276"/>
      <c r="AH98" s="276"/>
      <c r="AI98" s="276"/>
      <c r="AJ98" s="276"/>
      <c r="AK98" s="276"/>
      <c r="AL98" s="276"/>
      <c r="AM98" s="276"/>
      <c r="AN98" s="276"/>
      <c r="AO98" s="276"/>
      <c r="AP98" s="276"/>
    </row>
    <row r="99" spans="1:42" x14ac:dyDescent="0.25">
      <c r="A99" s="102" t="str">
        <f>IF(Invoice_Colombo!E102&lt;&gt;"",Invoice_Colombo!E102,"")</f>
        <v>21069099</v>
      </c>
      <c r="B99" t="str">
        <f t="shared" si="1"/>
        <v>2106</v>
      </c>
      <c r="C99" s="278" t="str">
        <f>IF(Invoice_Colombo!D102&lt;&gt;"",Invoice_Colombo!D102,"")</f>
        <v>YELLOW BANANA CHIPS  ROCKSALT 160G</v>
      </c>
      <c r="D99" s="279" t="str">
        <f>IF(Invoice_Colombo!F102&lt;&gt;"",Invoice_Colombo!F102,"")</f>
        <v/>
      </c>
      <c r="E99"/>
      <c r="G99" s="276" t="s">
        <v>304</v>
      </c>
      <c r="H99" s="276" t="s">
        <v>304</v>
      </c>
      <c r="J99"/>
      <c r="Y99" s="276"/>
      <c r="Z99" s="276"/>
      <c r="AA99" s="276"/>
      <c r="AB99" s="276"/>
      <c r="AC99" s="276"/>
      <c r="AD99" s="276"/>
      <c r="AE99" s="276"/>
      <c r="AF99" s="276"/>
      <c r="AG99" s="276"/>
      <c r="AH99" s="276"/>
      <c r="AI99" s="276"/>
      <c r="AJ99" s="276"/>
      <c r="AK99" s="276"/>
      <c r="AL99" s="276"/>
      <c r="AM99" s="276"/>
      <c r="AN99" s="276"/>
      <c r="AO99" s="276"/>
      <c r="AP99" s="276"/>
    </row>
    <row r="100" spans="1:42" x14ac:dyDescent="0.25">
      <c r="A100" s="102" t="str">
        <f>IF(Invoice_Colombo!E103&lt;&gt;"",Invoice_Colombo!E103,"")</f>
        <v>21069099</v>
      </c>
      <c r="B100" t="str">
        <f t="shared" si="1"/>
        <v>2106</v>
      </c>
      <c r="C100" s="278" t="str">
        <f>IF(Invoice_Colombo!D103&lt;&gt;"",Invoice_Colombo!D103,"")</f>
        <v>BIKANERI BHUJIA 150G</v>
      </c>
      <c r="D100" s="279" t="str">
        <f>IF(Invoice_Colombo!F103&lt;&gt;"",Invoice_Colombo!F103,"")</f>
        <v/>
      </c>
      <c r="E100"/>
      <c r="G100" s="276" t="s">
        <v>304</v>
      </c>
      <c r="H100" s="276" t="s">
        <v>304</v>
      </c>
      <c r="J100"/>
      <c r="Y100" s="276"/>
      <c r="Z100" s="276"/>
      <c r="AA100" s="276"/>
      <c r="AB100" s="276"/>
      <c r="AC100" s="276"/>
      <c r="AD100" s="276"/>
      <c r="AE100" s="276"/>
      <c r="AF100" s="276"/>
      <c r="AG100" s="276"/>
      <c r="AH100" s="276"/>
      <c r="AI100" s="276"/>
      <c r="AJ100" s="276"/>
      <c r="AK100" s="276"/>
      <c r="AL100" s="276"/>
      <c r="AM100" s="276"/>
      <c r="AN100" s="276"/>
      <c r="AO100" s="276"/>
      <c r="AP100" s="276"/>
    </row>
    <row r="101" spans="1:42" x14ac:dyDescent="0.25">
      <c r="A101" s="102" t="str">
        <f>IF(Invoice_Colombo!E104&lt;&gt;"",Invoice_Colombo!E104,"")</f>
        <v>21069099</v>
      </c>
      <c r="B101" t="str">
        <f t="shared" si="1"/>
        <v>2106</v>
      </c>
      <c r="C101" s="278" t="str">
        <f>IF(Invoice_Colombo!D104&lt;&gt;"",Invoice_Colombo!D104,"")</f>
        <v>KARODPATI BHUJAI 125G</v>
      </c>
      <c r="D101" s="279" t="str">
        <f>IF(Invoice_Colombo!F104&lt;&gt;"",Invoice_Colombo!F104,"")</f>
        <v/>
      </c>
      <c r="E101"/>
      <c r="G101" s="276" t="s">
        <v>304</v>
      </c>
      <c r="H101" s="276" t="s">
        <v>304</v>
      </c>
      <c r="J101"/>
      <c r="Y101" s="276"/>
      <c r="Z101" s="276"/>
      <c r="AA101" s="276"/>
      <c r="AB101" s="276"/>
      <c r="AC101" s="276"/>
      <c r="AD101" s="276"/>
      <c r="AE101" s="276"/>
      <c r="AF101" s="276"/>
      <c r="AG101" s="276"/>
      <c r="AH101" s="276"/>
      <c r="AI101" s="276"/>
      <c r="AJ101" s="276"/>
      <c r="AK101" s="276"/>
      <c r="AL101" s="276"/>
      <c r="AM101" s="276"/>
      <c r="AN101" s="276"/>
      <c r="AO101" s="276"/>
      <c r="AP101" s="276"/>
    </row>
    <row r="102" spans="1:42" x14ac:dyDescent="0.25">
      <c r="A102" s="102" t="str">
        <f>IF(Invoice_Colombo!E105&lt;&gt;"",Invoice_Colombo!E105,"")</f>
        <v>21069099</v>
      </c>
      <c r="B102" t="str">
        <f t="shared" si="1"/>
        <v>2106</v>
      </c>
      <c r="C102" s="278" t="str">
        <f>IF(Invoice_Colombo!D105&lt;&gt;"",Invoice_Colombo!D105,"")</f>
        <v>MARWARI BHUJIA 125G</v>
      </c>
      <c r="D102" s="279" t="str">
        <f>IF(Invoice_Colombo!F105&lt;&gt;"",Invoice_Colombo!F105,"")</f>
        <v/>
      </c>
      <c r="E102"/>
      <c r="G102" s="276" t="s">
        <v>304</v>
      </c>
      <c r="H102" s="276" t="s">
        <v>304</v>
      </c>
      <c r="J102"/>
      <c r="Y102" s="276"/>
      <c r="Z102" s="276"/>
      <c r="AA102" s="276"/>
      <c r="AB102" s="276"/>
      <c r="AC102" s="276"/>
      <c r="AD102" s="276"/>
      <c r="AE102" s="276"/>
      <c r="AF102" s="276"/>
      <c r="AG102" s="276"/>
      <c r="AH102" s="276"/>
      <c r="AI102" s="276"/>
      <c r="AJ102" s="276"/>
      <c r="AK102" s="276"/>
      <c r="AL102" s="276"/>
      <c r="AM102" s="276"/>
      <c r="AN102" s="276"/>
      <c r="AO102" s="276"/>
      <c r="AP102" s="276"/>
    </row>
    <row r="103" spans="1:42" x14ac:dyDescent="0.25">
      <c r="A103" s="102" t="str">
        <f>IF(Invoice_Colombo!E106&lt;&gt;"",Invoice_Colombo!E106,"")</f>
        <v>21069099</v>
      </c>
      <c r="B103" t="str">
        <f t="shared" si="1"/>
        <v>2106</v>
      </c>
      <c r="C103" s="278" t="str">
        <f>IF(Invoice_Colombo!D106&lt;&gt;"",Invoice_Colombo!D106,"")</f>
        <v>BOONDI BHUJIA 150G</v>
      </c>
      <c r="D103" s="279" t="str">
        <f>IF(Invoice_Colombo!F106&lt;&gt;"",Invoice_Colombo!F106,"")</f>
        <v/>
      </c>
      <c r="E103"/>
      <c r="G103" s="276" t="s">
        <v>304</v>
      </c>
      <c r="H103" s="276" t="s">
        <v>304</v>
      </c>
      <c r="J103"/>
      <c r="Y103" s="276"/>
      <c r="Z103" s="276"/>
      <c r="AA103" s="276"/>
      <c r="AB103" s="276"/>
      <c r="AC103" s="276"/>
      <c r="AD103" s="276"/>
      <c r="AE103" s="276"/>
      <c r="AF103" s="276"/>
      <c r="AG103" s="276"/>
      <c r="AH103" s="276"/>
      <c r="AI103" s="276"/>
      <c r="AJ103" s="276"/>
      <c r="AK103" s="276"/>
      <c r="AL103" s="276"/>
      <c r="AM103" s="276"/>
      <c r="AN103" s="276"/>
      <c r="AO103" s="276"/>
      <c r="AP103" s="276"/>
    </row>
    <row r="104" spans="1:42" x14ac:dyDescent="0.25">
      <c r="A104" s="102" t="str">
        <f>IF(Invoice_Colombo!E107&lt;&gt;"",Invoice_Colombo!E107,"")</f>
        <v>21069099</v>
      </c>
      <c r="B104" t="str">
        <f t="shared" si="1"/>
        <v>2106</v>
      </c>
      <c r="C104" s="278" t="str">
        <f>IF(Invoice_Colombo!D107&lt;&gt;"",Invoice_Colombo!D107,"")</f>
        <v>RETORT PANEER MAKHANI 300G</v>
      </c>
      <c r="D104" s="279" t="str">
        <f>IF(Invoice_Colombo!F107&lt;&gt;"",Invoice_Colombo!F107,"")</f>
        <v/>
      </c>
      <c r="E104"/>
      <c r="G104" s="276" t="s">
        <v>304</v>
      </c>
      <c r="H104" s="276" t="s">
        <v>304</v>
      </c>
      <c r="J104"/>
      <c r="Y104" s="276"/>
      <c r="Z104" s="276"/>
      <c r="AA104" s="276"/>
      <c r="AB104" s="276"/>
      <c r="AC104" s="276"/>
      <c r="AD104" s="276"/>
      <c r="AE104" s="276"/>
      <c r="AF104" s="276"/>
      <c r="AG104" s="276"/>
      <c r="AH104" s="276"/>
      <c r="AI104" s="276"/>
      <c r="AJ104" s="276"/>
      <c r="AK104" s="276"/>
      <c r="AL104" s="276"/>
      <c r="AM104" s="276"/>
      <c r="AN104" s="276"/>
      <c r="AO104" s="276"/>
      <c r="AP104" s="276"/>
    </row>
    <row r="105" spans="1:42" x14ac:dyDescent="0.25">
      <c r="A105" s="102" t="str">
        <f>IF(Invoice_Colombo!E108&lt;&gt;"",Invoice_Colombo!E108,"")</f>
        <v>21069099</v>
      </c>
      <c r="B105" t="str">
        <f t="shared" si="1"/>
        <v>2106</v>
      </c>
      <c r="C105" s="278" t="str">
        <f>IF(Invoice_Colombo!D108&lt;&gt;"",Invoice_Colombo!D108,"")</f>
        <v>ROTORT PANEER TIKKA MASALA 300G</v>
      </c>
      <c r="D105" s="279" t="str">
        <f>IF(Invoice_Colombo!F108&lt;&gt;"",Invoice_Colombo!F108,"")</f>
        <v/>
      </c>
      <c r="E105"/>
      <c r="G105" s="276" t="s">
        <v>304</v>
      </c>
      <c r="H105" s="276" t="s">
        <v>304</v>
      </c>
      <c r="J105"/>
      <c r="Y105" s="276"/>
      <c r="Z105" s="276"/>
      <c r="AA105" s="276"/>
      <c r="AB105" s="276"/>
      <c r="AC105" s="276"/>
      <c r="AD105" s="276"/>
      <c r="AE105" s="276"/>
      <c r="AF105" s="276"/>
      <c r="AG105" s="276"/>
      <c r="AH105" s="276"/>
      <c r="AI105" s="276"/>
      <c r="AJ105" s="276"/>
      <c r="AK105" s="276"/>
      <c r="AL105" s="276"/>
      <c r="AM105" s="276"/>
      <c r="AN105" s="276"/>
      <c r="AO105" s="276"/>
      <c r="AP105" s="276"/>
    </row>
    <row r="106" spans="1:42" x14ac:dyDescent="0.25">
      <c r="A106" s="102" t="str">
        <f>IF(Invoice_Colombo!E109&lt;&gt;"",Invoice_Colombo!E109,"")</f>
        <v>21069099</v>
      </c>
      <c r="B106" t="str">
        <f t="shared" si="1"/>
        <v>2106</v>
      </c>
      <c r="C106" s="278" t="str">
        <f>IF(Invoice_Colombo!D109&lt;&gt;"",Invoice_Colombo!D109,"")</f>
        <v>CHANA JOR GARAM  200G</v>
      </c>
      <c r="D106" s="279" t="str">
        <f>IF(Invoice_Colombo!F109&lt;&gt;"",Invoice_Colombo!F109,"")</f>
        <v/>
      </c>
      <c r="G106" s="276" t="s">
        <v>304</v>
      </c>
      <c r="H106" s="276" t="s">
        <v>304</v>
      </c>
    </row>
    <row r="107" spans="1:42" x14ac:dyDescent="0.25">
      <c r="A107" s="102" t="str">
        <f>IF(Invoice_Colombo!E110&lt;&gt;"",Invoice_Colombo!E110,"")</f>
        <v>21069099</v>
      </c>
      <c r="B107" t="str">
        <f t="shared" si="1"/>
        <v>2106</v>
      </c>
      <c r="C107" s="278" t="str">
        <f>IF(Invoice_Colombo!D110&lt;&gt;"",Invoice_Colombo!D110,"")</f>
        <v>CHANA NUTS  200G</v>
      </c>
      <c r="D107" s="279" t="str">
        <f>IF(Invoice_Colombo!F110&lt;&gt;"",Invoice_Colombo!F110,"")</f>
        <v/>
      </c>
      <c r="G107" s="276" t="s">
        <v>304</v>
      </c>
      <c r="H107" s="276" t="s">
        <v>304</v>
      </c>
    </row>
    <row r="108" spans="1:42" x14ac:dyDescent="0.25">
      <c r="A108" s="102" t="str">
        <f>IF(Invoice_Colombo!E111&lt;&gt;"",Invoice_Colombo!E111,"")</f>
        <v>21069099</v>
      </c>
      <c r="B108" t="str">
        <f t="shared" si="1"/>
        <v>2106</v>
      </c>
      <c r="C108" s="278" t="str">
        <f>IF(Invoice_Colombo!D111&lt;&gt;"",Invoice_Colombo!D111,"")</f>
        <v>CORNFLAKES MIXTURE 200G</v>
      </c>
      <c r="D108" s="279" t="str">
        <f>IF(Invoice_Colombo!F111&lt;&gt;"",Invoice_Colombo!F111,"")</f>
        <v/>
      </c>
      <c r="G108" s="276" t="s">
        <v>304</v>
      </c>
      <c r="H108" s="276" t="s">
        <v>304</v>
      </c>
    </row>
    <row r="109" spans="1:42" x14ac:dyDescent="0.25">
      <c r="A109" s="102" t="str">
        <f>IF(Invoice_Colombo!E112&lt;&gt;"",Invoice_Colombo!E112,"")</f>
        <v>21069099</v>
      </c>
      <c r="B109" t="str">
        <f t="shared" si="1"/>
        <v>2106</v>
      </c>
      <c r="C109" s="278" t="str">
        <f>IF(Invoice_Colombo!D112&lt;&gt;"",Invoice_Colombo!D112,"")</f>
        <v>DAL BIJI 200G</v>
      </c>
      <c r="D109" s="279" t="str">
        <f>IF(Invoice_Colombo!F112&lt;&gt;"",Invoice_Colombo!F112,"")</f>
        <v/>
      </c>
      <c r="G109" s="276" t="s">
        <v>304</v>
      </c>
      <c r="H109" s="276" t="s">
        <v>304</v>
      </c>
    </row>
    <row r="110" spans="1:42" x14ac:dyDescent="0.25">
      <c r="A110" s="102" t="str">
        <f>IF(Invoice_Colombo!E113&lt;&gt;"",Invoice_Colombo!E113,"")</f>
        <v>21069099</v>
      </c>
      <c r="B110" t="str">
        <f t="shared" si="1"/>
        <v>2106</v>
      </c>
      <c r="C110" s="278" t="str">
        <f>IF(Invoice_Colombo!D113&lt;&gt;"",Invoice_Colombo!D113,"")</f>
        <v>DRY FRUIT MIX 200G</v>
      </c>
      <c r="D110" s="279" t="str">
        <f>IF(Invoice_Colombo!F113&lt;&gt;"",Invoice_Colombo!F113,"")</f>
        <v/>
      </c>
      <c r="G110" s="276" t="s">
        <v>304</v>
      </c>
      <c r="H110" s="276" t="s">
        <v>304</v>
      </c>
    </row>
    <row r="111" spans="1:42" x14ac:dyDescent="0.25">
      <c r="A111" s="102" t="str">
        <f>IF(Invoice_Colombo!E114&lt;&gt;"",Invoice_Colombo!E114,"")</f>
        <v>21069099</v>
      </c>
      <c r="B111" t="str">
        <f t="shared" si="1"/>
        <v>2106</v>
      </c>
      <c r="C111" s="278" t="str">
        <f>IF(Invoice_Colombo!D114&lt;&gt;"",Invoice_Colombo!D114,"")</f>
        <v>FARALI CHIWDA  200G</v>
      </c>
      <c r="D111" s="279" t="str">
        <f>IF(Invoice_Colombo!F114&lt;&gt;"",Invoice_Colombo!F114,"")</f>
        <v/>
      </c>
      <c r="G111" s="276" t="s">
        <v>304</v>
      </c>
      <c r="H111" s="276" t="s">
        <v>304</v>
      </c>
    </row>
    <row r="112" spans="1:42" x14ac:dyDescent="0.25">
      <c r="A112" s="102" t="str">
        <f>IF(Invoice_Colombo!E115&lt;&gt;"",Invoice_Colombo!E115,"")</f>
        <v>21069099</v>
      </c>
      <c r="B112" t="str">
        <f t="shared" si="1"/>
        <v>2106</v>
      </c>
      <c r="C112" s="278" t="str">
        <f>IF(Invoice_Colombo!D115&lt;&gt;"",Invoice_Colombo!D115,"")</f>
        <v>FATAFAT BHEL 100G</v>
      </c>
      <c r="D112" s="279" t="str">
        <f>IF(Invoice_Colombo!F115&lt;&gt;"",Invoice_Colombo!F115,"")</f>
        <v/>
      </c>
      <c r="G112" s="276" t="s">
        <v>304</v>
      </c>
      <c r="H112" s="276" t="s">
        <v>304</v>
      </c>
    </row>
    <row r="113" spans="1:8" x14ac:dyDescent="0.25">
      <c r="A113" s="102" t="str">
        <f>IF(Invoice_Colombo!E116&lt;&gt;"",Invoice_Colombo!E116,"")</f>
        <v>21069099</v>
      </c>
      <c r="B113" t="str">
        <f t="shared" si="1"/>
        <v>2106</v>
      </c>
      <c r="C113" s="278" t="str">
        <f>IF(Invoice_Colombo!D116&lt;&gt;"",Invoice_Colombo!D116,"")</f>
        <v>FINE SEV 150G</v>
      </c>
      <c r="D113" s="279" t="str">
        <f>IF(Invoice_Colombo!F116&lt;&gt;"",Invoice_Colombo!F116,"")</f>
        <v/>
      </c>
      <c r="G113" s="276" t="s">
        <v>304</v>
      </c>
      <c r="H113" s="276" t="s">
        <v>304</v>
      </c>
    </row>
    <row r="114" spans="1:8" x14ac:dyDescent="0.25">
      <c r="A114" s="102" t="str">
        <f>IF(Invoice_Colombo!E117&lt;&gt;"",Invoice_Colombo!E117,"")</f>
        <v>21069099</v>
      </c>
      <c r="B114" t="str">
        <f t="shared" si="1"/>
        <v>2106</v>
      </c>
      <c r="C114" s="278" t="str">
        <f>IF(Invoice_Colombo!D117&lt;&gt;"",Invoice_Colombo!D117,"")</f>
        <v>GATHIYA 200G</v>
      </c>
      <c r="D114" s="279" t="str">
        <f>IF(Invoice_Colombo!F117&lt;&gt;"",Invoice_Colombo!F117,"")</f>
        <v/>
      </c>
      <c r="G114" s="276" t="s">
        <v>304</v>
      </c>
      <c r="H114" s="276" t="s">
        <v>304</v>
      </c>
    </row>
    <row r="115" spans="1:8" x14ac:dyDescent="0.25">
      <c r="A115" s="102" t="str">
        <f>IF(Invoice_Colombo!E118&lt;&gt;"",Invoice_Colombo!E118,"")</f>
        <v>21069099</v>
      </c>
      <c r="B115" t="str">
        <f t="shared" si="1"/>
        <v>2106</v>
      </c>
      <c r="C115" s="278" t="str">
        <f>IF(Invoice_Colombo!D118&lt;&gt;"",Invoice_Colombo!D118,"")</f>
        <v>GOL KACHORI  200G</v>
      </c>
      <c r="D115" s="279" t="str">
        <f>IF(Invoice_Colombo!F118&lt;&gt;"",Invoice_Colombo!F118,"")</f>
        <v/>
      </c>
      <c r="G115" s="276" t="s">
        <v>304</v>
      </c>
      <c r="H115" s="276" t="s">
        <v>304</v>
      </c>
    </row>
    <row r="116" spans="1:8" x14ac:dyDescent="0.25">
      <c r="A116" s="102" t="str">
        <f>IF(Invoice_Colombo!E119&lt;&gt;"",Invoice_Colombo!E119,"")</f>
        <v>21069099</v>
      </c>
      <c r="B116" t="str">
        <f t="shared" si="1"/>
        <v>2106</v>
      </c>
      <c r="C116" s="278" t="str">
        <f>IF(Invoice_Colombo!D119&lt;&gt;"",Invoice_Colombo!D119,"")</f>
        <v>GOLDEN MIX  200G</v>
      </c>
      <c r="D116" s="279" t="str">
        <f>IF(Invoice_Colombo!F119&lt;&gt;"",Invoice_Colombo!F119,"")</f>
        <v/>
      </c>
      <c r="G116" s="276" t="s">
        <v>304</v>
      </c>
      <c r="H116" s="276" t="s">
        <v>304</v>
      </c>
    </row>
    <row r="117" spans="1:8" x14ac:dyDescent="0.25">
      <c r="A117" s="102" t="str">
        <f>IF(Invoice_Colombo!E120&lt;&gt;"",Invoice_Colombo!E120,"")</f>
        <v>21069099</v>
      </c>
      <c r="B117" t="str">
        <f t="shared" si="1"/>
        <v>2106</v>
      </c>
      <c r="C117" s="278" t="str">
        <f>IF(Invoice_Colombo!D120&lt;&gt;"",Invoice_Colombo!D120,"")</f>
        <v>GULAB JAMUN 100G</v>
      </c>
      <c r="D117" s="279" t="str">
        <f>IF(Invoice_Colombo!F120&lt;&gt;"",Invoice_Colombo!F120,"")</f>
        <v/>
      </c>
      <c r="G117" s="276" t="s">
        <v>304</v>
      </c>
      <c r="H117" s="276" t="s">
        <v>304</v>
      </c>
    </row>
    <row r="118" spans="1:8" x14ac:dyDescent="0.25">
      <c r="A118" s="102" t="str">
        <f>IF(Invoice_Colombo!E121&lt;&gt;"",Invoice_Colombo!E121,"")</f>
        <v>21069099</v>
      </c>
      <c r="B118" t="str">
        <f t="shared" si="1"/>
        <v>2106</v>
      </c>
      <c r="C118" s="278" t="str">
        <f>IF(Invoice_Colombo!D121&lt;&gt;"",Invoice_Colombo!D121,"")</f>
        <v>KHARI  BOONDI  200G</v>
      </c>
      <c r="D118" s="279" t="str">
        <f>IF(Invoice_Colombo!F121&lt;&gt;"",Invoice_Colombo!F121,"")</f>
        <v/>
      </c>
      <c r="G118" s="276" t="s">
        <v>304</v>
      </c>
      <c r="H118" s="276" t="s">
        <v>304</v>
      </c>
    </row>
    <row r="119" spans="1:8" x14ac:dyDescent="0.25">
      <c r="A119" s="102" t="str">
        <f>IF(Invoice_Colombo!E122&lt;&gt;"",Invoice_Colombo!E122,"")</f>
        <v>21069099</v>
      </c>
      <c r="B119" t="str">
        <f t="shared" si="1"/>
        <v>2106</v>
      </c>
      <c r="C119" s="278" t="str">
        <f>IF(Invoice_Colombo!D122&lt;&gt;"",Invoice_Colombo!D122,"")</f>
        <v>KHATTA MEETHA  200G</v>
      </c>
      <c r="D119" s="279" t="str">
        <f>IF(Invoice_Colombo!F122&lt;&gt;"",Invoice_Colombo!F122,"")</f>
        <v/>
      </c>
      <c r="G119" s="276" t="s">
        <v>304</v>
      </c>
      <c r="H119" s="276" t="s">
        <v>304</v>
      </c>
    </row>
    <row r="120" spans="1:8" x14ac:dyDescent="0.25">
      <c r="A120" s="102" t="str">
        <f>IF(Invoice_Colombo!E123&lt;&gt;"",Invoice_Colombo!E123,"")</f>
        <v>21069099</v>
      </c>
      <c r="B120" t="str">
        <f t="shared" si="1"/>
        <v>2106</v>
      </c>
      <c r="C120" s="278" t="str">
        <f>IF(Invoice_Colombo!D123&lt;&gt;"",Invoice_Colombo!D123,"")</f>
        <v>LITE CHIWDA 200G</v>
      </c>
      <c r="D120" s="279" t="str">
        <f>IF(Invoice_Colombo!F123&lt;&gt;"",Invoice_Colombo!F123,"")</f>
        <v/>
      </c>
      <c r="G120" s="276" t="s">
        <v>304</v>
      </c>
      <c r="H120" s="276" t="s">
        <v>304</v>
      </c>
    </row>
    <row r="121" spans="1:8" x14ac:dyDescent="0.25">
      <c r="A121" s="102" t="str">
        <f>IF(Invoice_Colombo!E124&lt;&gt;"",Invoice_Colombo!E124,"")</f>
        <v>21069099</v>
      </c>
      <c r="B121" t="str">
        <f t="shared" si="1"/>
        <v>2106</v>
      </c>
      <c r="C121" s="278" t="str">
        <f>IF(Invoice_Colombo!D124&lt;&gt;"",Invoice_Colombo!D124,"")</f>
        <v>MINI BHAKARWADI 200G</v>
      </c>
      <c r="D121" s="279" t="str">
        <f>IF(Invoice_Colombo!F124&lt;&gt;"",Invoice_Colombo!F124,"")</f>
        <v/>
      </c>
      <c r="G121" s="276" t="s">
        <v>304</v>
      </c>
      <c r="H121" s="276" t="s">
        <v>304</v>
      </c>
    </row>
    <row r="122" spans="1:8" x14ac:dyDescent="0.25">
      <c r="A122" s="102" t="str">
        <f>IF(Invoice_Colombo!E125&lt;&gt;"",Invoice_Colombo!E125,"")</f>
        <v>21069099</v>
      </c>
      <c r="B122" t="str">
        <f t="shared" si="1"/>
        <v>2106</v>
      </c>
      <c r="C122" s="278" t="str">
        <f>IF(Invoice_Colombo!D125&lt;&gt;"",Invoice_Colombo!D125,"")</f>
        <v>MINI SAMOSA 200G</v>
      </c>
      <c r="D122" s="279" t="str">
        <f>IF(Invoice_Colombo!F125&lt;&gt;"",Invoice_Colombo!F125,"")</f>
        <v/>
      </c>
      <c r="G122" s="276" t="s">
        <v>304</v>
      </c>
      <c r="H122" s="276" t="s">
        <v>304</v>
      </c>
    </row>
    <row r="123" spans="1:8" x14ac:dyDescent="0.25">
      <c r="A123" s="102" t="str">
        <f>IF(Invoice_Colombo!E126&lt;&gt;"",Invoice_Colombo!E126,"")</f>
        <v>21069099</v>
      </c>
      <c r="B123" t="str">
        <f t="shared" si="1"/>
        <v>2106</v>
      </c>
      <c r="C123" s="278" t="str">
        <f>IF(Invoice_Colombo!D126&lt;&gt;"",Invoice_Colombo!D126,"")</f>
        <v>MIXTURE 200G</v>
      </c>
      <c r="D123" s="279" t="str">
        <f>IF(Invoice_Colombo!F126&lt;&gt;"",Invoice_Colombo!F126,"")</f>
        <v/>
      </c>
      <c r="G123" s="276" t="s">
        <v>304</v>
      </c>
      <c r="H123" s="276" t="s">
        <v>304</v>
      </c>
    </row>
    <row r="124" spans="1:8" x14ac:dyDescent="0.25">
      <c r="A124" s="102" t="str">
        <f>IF(Invoice_Colombo!E127&lt;&gt;"",Invoice_Colombo!E127,"")</f>
        <v>21069099</v>
      </c>
      <c r="B124" t="str">
        <f t="shared" si="1"/>
        <v>2106</v>
      </c>
      <c r="C124" s="278" t="str">
        <f>IF(Invoice_Colombo!D127&lt;&gt;"",Invoice_Colombo!D127,"")</f>
        <v>NAVRATAN MIX 200G</v>
      </c>
      <c r="D124" s="279" t="str">
        <f>IF(Invoice_Colombo!F127&lt;&gt;"",Invoice_Colombo!F127,"")</f>
        <v/>
      </c>
      <c r="G124" s="276" t="s">
        <v>304</v>
      </c>
      <c r="H124" s="276" t="s">
        <v>304</v>
      </c>
    </row>
    <row r="125" spans="1:8" x14ac:dyDescent="0.25">
      <c r="A125" s="102" t="str">
        <f>IF(Invoice_Colombo!E128&lt;&gt;"",Invoice_Colombo!E128,"")</f>
        <v>21069099</v>
      </c>
      <c r="B125" t="str">
        <f t="shared" si="1"/>
        <v>2106</v>
      </c>
      <c r="C125" s="278" t="str">
        <f>IF(Invoice_Colombo!D128&lt;&gt;"",Invoice_Colombo!D128,"")</f>
        <v>PANCHRATAN MIX 200G</v>
      </c>
      <c r="D125" s="279" t="str">
        <f>IF(Invoice_Colombo!F128&lt;&gt;"",Invoice_Colombo!F128,"")</f>
        <v/>
      </c>
      <c r="G125" s="276" t="s">
        <v>304</v>
      </c>
      <c r="H125" s="276" t="s">
        <v>304</v>
      </c>
    </row>
    <row r="126" spans="1:8" x14ac:dyDescent="0.25">
      <c r="A126" s="102" t="str">
        <f>IF(Invoice_Colombo!E129&lt;&gt;"",Invoice_Colombo!E129,"")</f>
        <v>21069099</v>
      </c>
      <c r="B126" t="str">
        <f t="shared" si="1"/>
        <v>2106</v>
      </c>
      <c r="C126" s="278" t="str">
        <f>IF(Invoice_Colombo!D129&lt;&gt;"",Invoice_Colombo!D129,"")</f>
        <v>PAPAD CHAVANU 200G</v>
      </c>
      <c r="D126" s="279" t="str">
        <f>IF(Invoice_Colombo!F129&lt;&gt;"",Invoice_Colombo!F129,"")</f>
        <v/>
      </c>
      <c r="G126" s="276" t="s">
        <v>304</v>
      </c>
      <c r="H126" s="276" t="s">
        <v>304</v>
      </c>
    </row>
    <row r="127" spans="1:8" x14ac:dyDescent="0.25">
      <c r="A127" s="102" t="str">
        <f>IF(Invoice_Colombo!E130&lt;&gt;"",Invoice_Colombo!E130,"")</f>
        <v>21069099</v>
      </c>
      <c r="B127" t="str">
        <f t="shared" si="1"/>
        <v>2106</v>
      </c>
      <c r="C127" s="278" t="str">
        <f>IF(Invoice_Colombo!D130&lt;&gt;"",Invoice_Colombo!D130,"")</f>
        <v>PUNJABI TADKA 200G</v>
      </c>
      <c r="D127" s="279" t="str">
        <f>IF(Invoice_Colombo!F130&lt;&gt;"",Invoice_Colombo!F130,"")</f>
        <v/>
      </c>
      <c r="G127" s="276" t="s">
        <v>304</v>
      </c>
      <c r="H127" s="276" t="s">
        <v>304</v>
      </c>
    </row>
    <row r="128" spans="1:8" x14ac:dyDescent="0.25">
      <c r="A128" s="102" t="str">
        <f>IF(Invoice_Colombo!E131&lt;&gt;"",Invoice_Colombo!E131,"")</f>
        <v>21069099</v>
      </c>
      <c r="B128" t="str">
        <f t="shared" si="1"/>
        <v>2106</v>
      </c>
      <c r="C128" s="278" t="str">
        <f>IF(Invoice_Colombo!D131&lt;&gt;"",Invoice_Colombo!D131,"")</f>
        <v>RATLAMI SEV 200G</v>
      </c>
      <c r="D128" s="279" t="str">
        <f>IF(Invoice_Colombo!F131&lt;&gt;"",Invoice_Colombo!F131,"")</f>
        <v/>
      </c>
      <c r="G128" s="276" t="s">
        <v>304</v>
      </c>
      <c r="H128" s="276" t="s">
        <v>304</v>
      </c>
    </row>
    <row r="129" spans="1:8" x14ac:dyDescent="0.25">
      <c r="A129" s="102" t="str">
        <f>IF(Invoice_Colombo!E132&lt;&gt;"",Invoice_Colombo!E132,"")</f>
        <v>21069099</v>
      </c>
      <c r="B129" t="str">
        <f t="shared" si="1"/>
        <v>2106</v>
      </c>
      <c r="C129" s="278" t="str">
        <f>IF(Invoice_Colombo!D132&lt;&gt;"",Invoice_Colombo!D132,"")</f>
        <v>MURUKKU 200G</v>
      </c>
      <c r="D129" s="279" t="str">
        <f>IF(Invoice_Colombo!F132&lt;&gt;"",Invoice_Colombo!F132,"")</f>
        <v/>
      </c>
      <c r="G129" s="276" t="s">
        <v>304</v>
      </c>
      <c r="H129" s="276" t="s">
        <v>304</v>
      </c>
    </row>
    <row r="130" spans="1:8" x14ac:dyDescent="0.25">
      <c r="A130" s="102" t="str">
        <f>IF(Invoice_Colombo!E133&lt;&gt;"",Invoice_Colombo!E133,"")</f>
        <v>11042200</v>
      </c>
      <c r="B130" t="str">
        <f t="shared" si="1"/>
        <v>1104</v>
      </c>
      <c r="C130" s="278" t="str">
        <f>IF(Invoice_Colombo!D133&lt;&gt;"",Invoice_Colombo!D133,"")</f>
        <v>OATS 1 KG</v>
      </c>
      <c r="D130" s="279">
        <f>IF(Invoice_Colombo!F133&lt;&gt;"",Invoice_Colombo!F133,"")</f>
        <v>18600</v>
      </c>
      <c r="G130" s="276" t="s">
        <v>304</v>
      </c>
      <c r="H130" s="276" t="s">
        <v>304</v>
      </c>
    </row>
    <row r="131" spans="1:8" x14ac:dyDescent="0.25">
      <c r="A131" s="102" t="str">
        <f>IF(Invoice_Colombo!E134&lt;&gt;"",Invoice_Colombo!E134,"")</f>
        <v>19019099</v>
      </c>
      <c r="B131" t="str">
        <f t="shared" ref="B131:B194" si="2">LEFT(A131,4)</f>
        <v>1901</v>
      </c>
      <c r="C131" s="278" t="str">
        <f>IF(Invoice_Colombo!D134&lt;&gt;"",Invoice_Colombo!D134,"")</f>
        <v>JUNIOR HORLICKS 500G</v>
      </c>
      <c r="D131" s="279" t="str">
        <f>IF(Invoice_Colombo!F134&lt;&gt;"",Invoice_Colombo!F134,"")</f>
        <v/>
      </c>
      <c r="G131" s="276" t="s">
        <v>304</v>
      </c>
      <c r="H131" s="276" t="s">
        <v>304</v>
      </c>
    </row>
    <row r="132" spans="1:8" x14ac:dyDescent="0.25">
      <c r="A132" s="102" t="str">
        <f>IF(Invoice_Colombo!E135&lt;&gt;"",Invoice_Colombo!E135,"")</f>
        <v>19019099</v>
      </c>
      <c r="B132" t="str">
        <f t="shared" si="2"/>
        <v>1901</v>
      </c>
      <c r="C132" s="278" t="str">
        <f>IF(Invoice_Colombo!D135&lt;&gt;"",Invoice_Colombo!D135,"")</f>
        <v>WOMEN HORLICKS 400G</v>
      </c>
      <c r="D132" s="279" t="str">
        <f>IF(Invoice_Colombo!F135&lt;&gt;"",Invoice_Colombo!F135,"")</f>
        <v/>
      </c>
      <c r="G132" s="276" t="s">
        <v>304</v>
      </c>
      <c r="H132" s="276" t="s">
        <v>304</v>
      </c>
    </row>
    <row r="133" spans="1:8" x14ac:dyDescent="0.25">
      <c r="A133" s="102" t="str">
        <f>IF(Invoice_Colombo!E136&lt;&gt;"",Invoice_Colombo!E136,"")</f>
        <v>21039090</v>
      </c>
      <c r="B133" t="str">
        <f t="shared" si="2"/>
        <v>2103</v>
      </c>
      <c r="C133" s="278" t="str">
        <f>IF(Invoice_Colombo!D136&lt;&gt;"",Invoice_Colombo!D136,"")</f>
        <v>CHINGS SCHEZWAN CHUTNEY 590G</v>
      </c>
      <c r="D133" s="279" t="str">
        <f>IF(Invoice_Colombo!F136&lt;&gt;"",Invoice_Colombo!F136,"")</f>
        <v/>
      </c>
      <c r="G133" s="276" t="s">
        <v>304</v>
      </c>
      <c r="H133" s="276" t="s">
        <v>304</v>
      </c>
    </row>
    <row r="134" spans="1:8" x14ac:dyDescent="0.25">
      <c r="A134" s="102" t="str">
        <f>IF(Invoice_Colombo!E137&lt;&gt;"",Invoice_Colombo!E137,"")</f>
        <v/>
      </c>
      <c r="B134" t="str">
        <f t="shared" si="2"/>
        <v/>
      </c>
      <c r="C134" s="278" t="str">
        <f>IF(Invoice_Colombo!D137&lt;&gt;"",Invoice_Colombo!D137,"")</f>
        <v/>
      </c>
      <c r="D134" s="279" t="str">
        <f>IF(Invoice_Colombo!F137&lt;&gt;"",Invoice_Colombo!F137,"")</f>
        <v/>
      </c>
    </row>
    <row r="135" spans="1:8" x14ac:dyDescent="0.25">
      <c r="A135" s="102" t="str">
        <f>IF(Invoice_Colombo!E138&lt;&gt;"",Invoice_Colombo!E138,"")</f>
        <v/>
      </c>
      <c r="B135" t="str">
        <f t="shared" si="2"/>
        <v/>
      </c>
      <c r="C135" s="278" t="str">
        <f>IF(Invoice_Colombo!D138&lt;&gt;"",Invoice_Colombo!D138,"")</f>
        <v/>
      </c>
      <c r="D135" s="279" t="str">
        <f>IF(Invoice_Colombo!F138&lt;&gt;"",Invoice_Colombo!F138,"")</f>
        <v/>
      </c>
    </row>
    <row r="136" spans="1:8" x14ac:dyDescent="0.25">
      <c r="A136" s="102" t="str">
        <f>IF(Invoice_Colombo!E139&lt;&gt;"",Invoice_Colombo!E139,"")</f>
        <v/>
      </c>
      <c r="B136" t="str">
        <f t="shared" si="2"/>
        <v/>
      </c>
      <c r="C136" s="278" t="str">
        <f>IF(Invoice_Colombo!D139&lt;&gt;"",Invoice_Colombo!D139,"")</f>
        <v/>
      </c>
      <c r="D136" s="279" t="str">
        <f>IF(Invoice_Colombo!F139&lt;&gt;"",Invoice_Colombo!F139,"")</f>
        <v/>
      </c>
    </row>
    <row r="137" spans="1:8" x14ac:dyDescent="0.25">
      <c r="A137" s="102" t="str">
        <f>IF(Invoice_Colombo!E140&lt;&gt;"",Invoice_Colombo!E140,"")</f>
        <v/>
      </c>
      <c r="B137" t="str">
        <f t="shared" si="2"/>
        <v/>
      </c>
      <c r="C137" s="278" t="str">
        <f>IF(Invoice_Colombo!D140&lt;&gt;"",Invoice_Colombo!D140,"")</f>
        <v/>
      </c>
      <c r="D137" s="279" t="str">
        <f>IF(Invoice_Colombo!F140&lt;&gt;"",Invoice_Colombo!F140,"")</f>
        <v/>
      </c>
    </row>
    <row r="138" spans="1:8" x14ac:dyDescent="0.25">
      <c r="A138" s="102" t="str">
        <f>IF(Invoice_Colombo!E141&lt;&gt;"",Invoice_Colombo!E141,"")</f>
        <v/>
      </c>
      <c r="B138" t="str">
        <f t="shared" si="2"/>
        <v/>
      </c>
      <c r="C138" s="278" t="str">
        <f>IF(Invoice_Colombo!D141&lt;&gt;"",Invoice_Colombo!D141,"")</f>
        <v/>
      </c>
      <c r="D138" s="279" t="str">
        <f>IF(Invoice_Colombo!F141&lt;&gt;"",Invoice_Colombo!F141,"")</f>
        <v/>
      </c>
    </row>
    <row r="139" spans="1:8" x14ac:dyDescent="0.25">
      <c r="A139" s="102" t="str">
        <f>IF(Invoice_Colombo!E142&lt;&gt;"",Invoice_Colombo!E142,"")</f>
        <v/>
      </c>
      <c r="B139" t="str">
        <f t="shared" si="2"/>
        <v/>
      </c>
      <c r="C139" s="278" t="str">
        <f>IF(Invoice_Colombo!D142&lt;&gt;"",Invoice_Colombo!D142,"")</f>
        <v/>
      </c>
      <c r="D139" s="279" t="str">
        <f>IF(Invoice_Colombo!F142&lt;&gt;"",Invoice_Colombo!F142,"")</f>
        <v/>
      </c>
    </row>
    <row r="140" spans="1:8" x14ac:dyDescent="0.25">
      <c r="A140" s="102" t="str">
        <f>IF(Invoice_Colombo!E143&lt;&gt;"",Invoice_Colombo!E143,"")</f>
        <v/>
      </c>
      <c r="B140" t="str">
        <f t="shared" si="2"/>
        <v/>
      </c>
      <c r="C140" s="278" t="str">
        <f>IF(Invoice_Colombo!D143&lt;&gt;"",Invoice_Colombo!D143,"")</f>
        <v/>
      </c>
      <c r="D140" s="279" t="str">
        <f>IF(Invoice_Colombo!F143&lt;&gt;"",Invoice_Colombo!F143,"")</f>
        <v/>
      </c>
    </row>
    <row r="141" spans="1:8" x14ac:dyDescent="0.25">
      <c r="A141" s="102" t="str">
        <f>IF(Invoice_Colombo!E144&lt;&gt;"",Invoice_Colombo!E144,"")</f>
        <v/>
      </c>
      <c r="B141" t="str">
        <f t="shared" si="2"/>
        <v/>
      </c>
      <c r="C141" s="278" t="str">
        <f>IF(Invoice_Colombo!D144&lt;&gt;"",Invoice_Colombo!D144,"")</f>
        <v/>
      </c>
      <c r="D141" s="279" t="str">
        <f>IF(Invoice_Colombo!F144&lt;&gt;"",Invoice_Colombo!F144,"")</f>
        <v/>
      </c>
    </row>
    <row r="142" spans="1:8" x14ac:dyDescent="0.25">
      <c r="A142" s="102" t="str">
        <f>IF(Invoice_Colombo!E145&lt;&gt;"",Invoice_Colombo!E145,"")</f>
        <v/>
      </c>
      <c r="B142" t="str">
        <f t="shared" si="2"/>
        <v/>
      </c>
      <c r="C142" s="278" t="str">
        <f>IF(Invoice_Colombo!D145&lt;&gt;"",Invoice_Colombo!D145,"")</f>
        <v/>
      </c>
      <c r="D142" s="279" t="str">
        <f>IF(Invoice_Colombo!F145&lt;&gt;"",Invoice_Colombo!F145,"")</f>
        <v/>
      </c>
    </row>
    <row r="143" spans="1:8" x14ac:dyDescent="0.25">
      <c r="A143" s="102" t="str">
        <f>IF(Invoice_Colombo!E146&lt;&gt;"",Invoice_Colombo!E146,"")</f>
        <v/>
      </c>
      <c r="B143" t="str">
        <f t="shared" si="2"/>
        <v/>
      </c>
      <c r="C143" s="278" t="str">
        <f>IF(Invoice_Colombo!D146&lt;&gt;"",Invoice_Colombo!D146,"")</f>
        <v/>
      </c>
      <c r="D143" s="279" t="str">
        <f>IF(Invoice_Colombo!F146&lt;&gt;"",Invoice_Colombo!F146,"")</f>
        <v/>
      </c>
    </row>
    <row r="144" spans="1:8" x14ac:dyDescent="0.25">
      <c r="A144" s="102" t="str">
        <f>IF(Invoice_Colombo!E147&lt;&gt;"",Invoice_Colombo!E147,"")</f>
        <v/>
      </c>
      <c r="B144" t="str">
        <f t="shared" si="2"/>
        <v/>
      </c>
      <c r="C144" s="278" t="str">
        <f>IF(Invoice_Colombo!D147&lt;&gt;"",Invoice_Colombo!D147,"")</f>
        <v/>
      </c>
      <c r="D144" s="279" t="str">
        <f>IF(Invoice_Colombo!F147&lt;&gt;"",Invoice_Colombo!F147,"")</f>
        <v/>
      </c>
    </row>
    <row r="145" spans="1:4" x14ac:dyDescent="0.25">
      <c r="A145" s="102" t="str">
        <f>IF(Invoice_Colombo!E148&lt;&gt;"",Invoice_Colombo!E148,"")</f>
        <v/>
      </c>
      <c r="B145" t="str">
        <f t="shared" si="2"/>
        <v/>
      </c>
      <c r="C145" s="278" t="str">
        <f>IF(Invoice_Colombo!D148&lt;&gt;"",Invoice_Colombo!D148,"")</f>
        <v/>
      </c>
      <c r="D145" s="279" t="str">
        <f>IF(Invoice_Colombo!F148&lt;&gt;"",Invoice_Colombo!F148,"")</f>
        <v/>
      </c>
    </row>
    <row r="146" spans="1:4" x14ac:dyDescent="0.25">
      <c r="A146" s="102" t="str">
        <f>IF(Invoice_Colombo!E149&lt;&gt;"",Invoice_Colombo!E149,"")</f>
        <v/>
      </c>
      <c r="B146" t="str">
        <f t="shared" si="2"/>
        <v/>
      </c>
      <c r="C146" s="278" t="str">
        <f>IF(Invoice_Colombo!D149&lt;&gt;"",Invoice_Colombo!D149,"")</f>
        <v/>
      </c>
      <c r="D146" s="279" t="str">
        <f>IF(Invoice_Colombo!F149&lt;&gt;"",Invoice_Colombo!F149,"")</f>
        <v/>
      </c>
    </row>
    <row r="147" spans="1:4" x14ac:dyDescent="0.25">
      <c r="A147" s="102" t="str">
        <f>IF(Invoice_Colombo!E150&lt;&gt;"",Invoice_Colombo!E150,"")</f>
        <v/>
      </c>
      <c r="B147" t="str">
        <f t="shared" si="2"/>
        <v/>
      </c>
      <c r="C147" s="278" t="str">
        <f>IF(Invoice_Colombo!D150&lt;&gt;"",Invoice_Colombo!D150,"")</f>
        <v/>
      </c>
      <c r="D147" s="279" t="str">
        <f>IF(Invoice_Colombo!F150&lt;&gt;"",Invoice_Colombo!F150,"")</f>
        <v/>
      </c>
    </row>
    <row r="148" spans="1:4" x14ac:dyDescent="0.25">
      <c r="A148" s="102" t="str">
        <f>IF(Invoice_Colombo!E151&lt;&gt;"",Invoice_Colombo!E151,"")</f>
        <v/>
      </c>
      <c r="B148" t="str">
        <f t="shared" si="2"/>
        <v/>
      </c>
      <c r="C148" s="278" t="str">
        <f>IF(Invoice_Colombo!D151&lt;&gt;"",Invoice_Colombo!D151,"")</f>
        <v/>
      </c>
      <c r="D148" s="279" t="str">
        <f>IF(Invoice_Colombo!F151&lt;&gt;"",Invoice_Colombo!F151,"")</f>
        <v/>
      </c>
    </row>
    <row r="149" spans="1:4" x14ac:dyDescent="0.25">
      <c r="A149" s="102" t="str">
        <f>IF(Invoice_Colombo!E152&lt;&gt;"",Invoice_Colombo!E152,"")</f>
        <v/>
      </c>
      <c r="B149" t="str">
        <f t="shared" si="2"/>
        <v/>
      </c>
      <c r="C149" s="278" t="str">
        <f>IF(Invoice_Colombo!D152&lt;&gt;"",Invoice_Colombo!D152,"")</f>
        <v/>
      </c>
      <c r="D149" s="279" t="str">
        <f>IF(Invoice_Colombo!F152&lt;&gt;"",Invoice_Colombo!F152,"")</f>
        <v/>
      </c>
    </row>
    <row r="150" spans="1:4" x14ac:dyDescent="0.25">
      <c r="A150" s="102" t="str">
        <f>IF(Invoice_Colombo!E153&lt;&gt;"",Invoice_Colombo!E153,"")</f>
        <v/>
      </c>
      <c r="B150" t="str">
        <f t="shared" si="2"/>
        <v/>
      </c>
      <c r="C150" s="278" t="str">
        <f>IF(Invoice_Colombo!D153&lt;&gt;"",Invoice_Colombo!D153,"")</f>
        <v/>
      </c>
      <c r="D150" s="279" t="str">
        <f>IF(Invoice_Colombo!F153&lt;&gt;"",Invoice_Colombo!F153,"")</f>
        <v/>
      </c>
    </row>
    <row r="151" spans="1:4" x14ac:dyDescent="0.25">
      <c r="A151" s="102" t="str">
        <f>IF(Invoice_Colombo!E154&lt;&gt;"",Invoice_Colombo!E154,"")</f>
        <v/>
      </c>
      <c r="B151" t="str">
        <f t="shared" si="2"/>
        <v/>
      </c>
      <c r="C151" s="278" t="str">
        <f>IF(Invoice_Colombo!D154&lt;&gt;"",Invoice_Colombo!D154,"")</f>
        <v/>
      </c>
      <c r="D151" s="279" t="str">
        <f>IF(Invoice_Colombo!F154&lt;&gt;"",Invoice_Colombo!F154,"")</f>
        <v/>
      </c>
    </row>
    <row r="152" spans="1:4" x14ac:dyDescent="0.25">
      <c r="A152" s="102" t="str">
        <f>IF(Invoice_Colombo!E155&lt;&gt;"",Invoice_Colombo!E155,"")</f>
        <v/>
      </c>
      <c r="B152" t="str">
        <f t="shared" si="2"/>
        <v/>
      </c>
      <c r="C152" s="278" t="str">
        <f>IF(Invoice_Colombo!D155&lt;&gt;"",Invoice_Colombo!D155,"")</f>
        <v/>
      </c>
      <c r="D152" s="279" t="str">
        <f>IF(Invoice_Colombo!F155&lt;&gt;"",Invoice_Colombo!F155,"")</f>
        <v/>
      </c>
    </row>
    <row r="153" spans="1:4" x14ac:dyDescent="0.25">
      <c r="A153" s="102" t="str">
        <f>IF(Invoice_Colombo!E156&lt;&gt;"",Invoice_Colombo!E156,"")</f>
        <v/>
      </c>
      <c r="B153" t="str">
        <f t="shared" si="2"/>
        <v/>
      </c>
      <c r="C153" s="278" t="str">
        <f>IF(Invoice_Colombo!D156&lt;&gt;"",Invoice_Colombo!D156,"")</f>
        <v/>
      </c>
      <c r="D153" s="279" t="str">
        <f>IF(Invoice_Colombo!F156&lt;&gt;"",Invoice_Colombo!F156,"")</f>
        <v/>
      </c>
    </row>
    <row r="154" spans="1:4" x14ac:dyDescent="0.25">
      <c r="A154" s="102" t="str">
        <f>IF(Invoice_Colombo!E157&lt;&gt;"",Invoice_Colombo!E157,"")</f>
        <v/>
      </c>
      <c r="B154" t="str">
        <f t="shared" si="2"/>
        <v/>
      </c>
      <c r="C154" s="278" t="str">
        <f>IF(Invoice_Colombo!D157&lt;&gt;"",Invoice_Colombo!D157,"")</f>
        <v/>
      </c>
      <c r="D154" s="279" t="str">
        <f>IF(Invoice_Colombo!F157&lt;&gt;"",Invoice_Colombo!F157,"")</f>
        <v/>
      </c>
    </row>
    <row r="155" spans="1:4" x14ac:dyDescent="0.25">
      <c r="A155" s="102" t="str">
        <f>IF(Invoice_Colombo!E158&lt;&gt;"",Invoice_Colombo!E158,"")</f>
        <v/>
      </c>
      <c r="B155" t="str">
        <f t="shared" si="2"/>
        <v/>
      </c>
      <c r="C155" s="278" t="str">
        <f>IF(Invoice_Colombo!D158&lt;&gt;"",Invoice_Colombo!D158,"")</f>
        <v/>
      </c>
      <c r="D155" s="279" t="str">
        <f>IF(Invoice_Colombo!F158&lt;&gt;"",Invoice_Colombo!F158,"")</f>
        <v/>
      </c>
    </row>
    <row r="156" spans="1:4" x14ac:dyDescent="0.25">
      <c r="A156" s="102" t="str">
        <f>IF(Invoice_Colombo!E159&lt;&gt;"",Invoice_Colombo!E159,"")</f>
        <v/>
      </c>
      <c r="B156" t="str">
        <f t="shared" si="2"/>
        <v/>
      </c>
      <c r="C156" s="278" t="str">
        <f>IF(Invoice_Colombo!D159&lt;&gt;"",Invoice_Colombo!D159,"")</f>
        <v/>
      </c>
      <c r="D156" s="279" t="str">
        <f>IF(Invoice_Colombo!F159&lt;&gt;"",Invoice_Colombo!F159,"")</f>
        <v/>
      </c>
    </row>
    <row r="157" spans="1:4" x14ac:dyDescent="0.25">
      <c r="A157" s="102" t="str">
        <f>IF(Invoice_Colombo!E160&lt;&gt;"",Invoice_Colombo!E160,"")</f>
        <v/>
      </c>
      <c r="B157" t="str">
        <f t="shared" si="2"/>
        <v/>
      </c>
      <c r="C157" s="278" t="str">
        <f>IF(Invoice_Colombo!D160&lt;&gt;"",Invoice_Colombo!D160,"")</f>
        <v/>
      </c>
      <c r="D157" s="279" t="str">
        <f>IF(Invoice_Colombo!F160&lt;&gt;"",Invoice_Colombo!F160,"")</f>
        <v/>
      </c>
    </row>
    <row r="158" spans="1:4" x14ac:dyDescent="0.25">
      <c r="A158" s="102" t="str">
        <f>IF(Invoice_Colombo!E161&lt;&gt;"",Invoice_Colombo!E161,"")</f>
        <v/>
      </c>
      <c r="B158" t="str">
        <f t="shared" si="2"/>
        <v/>
      </c>
      <c r="C158" s="278" t="str">
        <f>IF(Invoice_Colombo!D161&lt;&gt;"",Invoice_Colombo!D161,"")</f>
        <v/>
      </c>
      <c r="D158" s="279" t="str">
        <f>IF(Invoice_Colombo!F161&lt;&gt;"",Invoice_Colombo!F161,"")</f>
        <v/>
      </c>
    </row>
    <row r="159" spans="1:4" x14ac:dyDescent="0.25">
      <c r="A159" s="102" t="str">
        <f>IF(Invoice_Colombo!E162&lt;&gt;"",Invoice_Colombo!E162,"")</f>
        <v/>
      </c>
      <c r="B159" t="str">
        <f t="shared" si="2"/>
        <v/>
      </c>
      <c r="C159" s="278" t="str">
        <f>IF(Invoice_Colombo!D162&lt;&gt;"",Invoice_Colombo!D162,"")</f>
        <v/>
      </c>
      <c r="D159" s="279" t="str">
        <f>IF(Invoice_Colombo!F162&lt;&gt;"",Invoice_Colombo!F162,"")</f>
        <v/>
      </c>
    </row>
    <row r="160" spans="1:4" x14ac:dyDescent="0.25">
      <c r="A160" s="102" t="str">
        <f>IF(Invoice_Colombo!E163&lt;&gt;"",Invoice_Colombo!E163,"")</f>
        <v/>
      </c>
      <c r="B160" t="str">
        <f t="shared" si="2"/>
        <v/>
      </c>
      <c r="C160" s="278" t="str">
        <f>IF(Invoice_Colombo!D163&lt;&gt;"",Invoice_Colombo!D163,"")</f>
        <v/>
      </c>
      <c r="D160" s="279" t="str">
        <f>IF(Invoice_Colombo!F163&lt;&gt;"",Invoice_Colombo!F163,"")</f>
        <v/>
      </c>
    </row>
    <row r="161" spans="1:4" x14ac:dyDescent="0.25">
      <c r="A161" s="102" t="str">
        <f>IF(Invoice_Colombo!E164&lt;&gt;"",Invoice_Colombo!E164,"")</f>
        <v/>
      </c>
      <c r="B161" t="str">
        <f t="shared" si="2"/>
        <v/>
      </c>
      <c r="C161" s="278" t="str">
        <f>IF(Invoice_Colombo!D164&lt;&gt;"",Invoice_Colombo!D164,"")</f>
        <v/>
      </c>
      <c r="D161" s="279" t="str">
        <f>IF(Invoice_Colombo!F164&lt;&gt;"",Invoice_Colombo!F164,"")</f>
        <v/>
      </c>
    </row>
    <row r="162" spans="1:4" x14ac:dyDescent="0.25">
      <c r="A162" s="102" t="str">
        <f>IF(Invoice_Colombo!E165&lt;&gt;"",Invoice_Colombo!E165,"")</f>
        <v/>
      </c>
      <c r="B162" t="str">
        <f t="shared" si="2"/>
        <v/>
      </c>
      <c r="C162" s="278" t="str">
        <f>IF(Invoice_Colombo!D165&lt;&gt;"",Invoice_Colombo!D165,"")</f>
        <v/>
      </c>
      <c r="D162" s="279" t="str">
        <f>IF(Invoice_Colombo!F165&lt;&gt;"",Invoice_Colombo!F165,"")</f>
        <v/>
      </c>
    </row>
    <row r="163" spans="1:4" x14ac:dyDescent="0.25">
      <c r="A163" s="102" t="str">
        <f>IF(Invoice_Colombo!E166&lt;&gt;"",Invoice_Colombo!E166,"")</f>
        <v/>
      </c>
      <c r="B163" t="str">
        <f t="shared" si="2"/>
        <v/>
      </c>
      <c r="C163" s="278" t="str">
        <f>IF(Invoice_Colombo!D166&lt;&gt;"",Invoice_Colombo!D166,"")</f>
        <v/>
      </c>
      <c r="D163" s="279" t="str">
        <f>IF(Invoice_Colombo!F166&lt;&gt;"",Invoice_Colombo!F166,"")</f>
        <v/>
      </c>
    </row>
    <row r="164" spans="1:4" x14ac:dyDescent="0.25">
      <c r="A164" s="102" t="str">
        <f>IF(Invoice_Colombo!E167&lt;&gt;"",Invoice_Colombo!E167,"")</f>
        <v/>
      </c>
      <c r="B164" t="str">
        <f t="shared" si="2"/>
        <v/>
      </c>
      <c r="C164" s="278" t="str">
        <f>IF(Invoice_Colombo!D167&lt;&gt;"",Invoice_Colombo!D167,"")</f>
        <v/>
      </c>
      <c r="D164" s="279" t="str">
        <f>IF(Invoice_Colombo!F167&lt;&gt;"",Invoice_Colombo!F167,"")</f>
        <v/>
      </c>
    </row>
    <row r="165" spans="1:4" x14ac:dyDescent="0.25">
      <c r="A165" s="102" t="str">
        <f>IF(Invoice_Colombo!E168&lt;&gt;"",Invoice_Colombo!E168,"")</f>
        <v/>
      </c>
      <c r="B165" t="str">
        <f t="shared" si="2"/>
        <v/>
      </c>
      <c r="C165" s="278" t="str">
        <f>IF(Invoice_Colombo!D168&lt;&gt;"",Invoice_Colombo!D168,"")</f>
        <v/>
      </c>
      <c r="D165" s="279" t="str">
        <f>IF(Invoice_Colombo!F168&lt;&gt;"",Invoice_Colombo!F168,"")</f>
        <v/>
      </c>
    </row>
    <row r="166" spans="1:4" x14ac:dyDescent="0.25">
      <c r="A166" s="102" t="str">
        <f>IF(Invoice_Colombo!E169&lt;&gt;"",Invoice_Colombo!E169,"")</f>
        <v/>
      </c>
      <c r="B166" t="str">
        <f t="shared" si="2"/>
        <v/>
      </c>
      <c r="C166" s="278" t="str">
        <f>IF(Invoice_Colombo!D169&lt;&gt;"",Invoice_Colombo!D169,"")</f>
        <v/>
      </c>
      <c r="D166" s="279" t="str">
        <f>IF(Invoice_Colombo!F169&lt;&gt;"",Invoice_Colombo!F169,"")</f>
        <v/>
      </c>
    </row>
    <row r="167" spans="1:4" x14ac:dyDescent="0.25">
      <c r="A167" s="102" t="str">
        <f>IF(Invoice_Colombo!E170&lt;&gt;"",Invoice_Colombo!E170,"")</f>
        <v/>
      </c>
      <c r="B167" t="str">
        <f t="shared" si="2"/>
        <v/>
      </c>
      <c r="C167" s="278" t="str">
        <f>IF(Invoice_Colombo!D170&lt;&gt;"",Invoice_Colombo!D170,"")</f>
        <v/>
      </c>
      <c r="D167" s="279" t="str">
        <f>IF(Invoice_Colombo!F170&lt;&gt;"",Invoice_Colombo!F170,"")</f>
        <v/>
      </c>
    </row>
    <row r="168" spans="1:4" x14ac:dyDescent="0.25">
      <c r="A168" s="102" t="str">
        <f>IF(Invoice_Colombo!E171&lt;&gt;"",Invoice_Colombo!E171,"")</f>
        <v/>
      </c>
      <c r="B168" t="str">
        <f t="shared" si="2"/>
        <v/>
      </c>
      <c r="C168" s="278" t="str">
        <f>IF(Invoice_Colombo!D171&lt;&gt;"",Invoice_Colombo!D171,"")</f>
        <v/>
      </c>
      <c r="D168" s="279" t="str">
        <f>IF(Invoice_Colombo!F171&lt;&gt;"",Invoice_Colombo!F171,"")</f>
        <v/>
      </c>
    </row>
    <row r="169" spans="1:4" x14ac:dyDescent="0.25">
      <c r="A169" s="102" t="str">
        <f>IF(Invoice_Colombo!E172&lt;&gt;"",Invoice_Colombo!E172,"")</f>
        <v/>
      </c>
      <c r="B169" t="str">
        <f t="shared" si="2"/>
        <v/>
      </c>
      <c r="C169" s="278" t="str">
        <f>IF(Invoice_Colombo!D172&lt;&gt;"",Invoice_Colombo!D172,"")</f>
        <v/>
      </c>
      <c r="D169" s="279" t="str">
        <f>IF(Invoice_Colombo!F172&lt;&gt;"",Invoice_Colombo!F172,"")</f>
        <v/>
      </c>
    </row>
    <row r="170" spans="1:4" x14ac:dyDescent="0.25">
      <c r="A170" s="102" t="str">
        <f>IF(Invoice_Colombo!E173&lt;&gt;"",Invoice_Colombo!E173,"")</f>
        <v/>
      </c>
      <c r="B170" t="str">
        <f t="shared" si="2"/>
        <v/>
      </c>
      <c r="C170" s="278" t="str">
        <f>IF(Invoice_Colombo!D173&lt;&gt;"",Invoice_Colombo!D173,"")</f>
        <v/>
      </c>
      <c r="D170" s="279" t="str">
        <f>IF(Invoice_Colombo!F173&lt;&gt;"",Invoice_Colombo!F173,"")</f>
        <v/>
      </c>
    </row>
    <row r="171" spans="1:4" x14ac:dyDescent="0.25">
      <c r="A171" s="102" t="str">
        <f>IF(Invoice_Colombo!E174&lt;&gt;"",Invoice_Colombo!E174,"")</f>
        <v/>
      </c>
      <c r="B171" t="str">
        <f t="shared" si="2"/>
        <v/>
      </c>
      <c r="C171" s="278" t="str">
        <f>IF(Invoice_Colombo!D174&lt;&gt;"",Invoice_Colombo!D174,"")</f>
        <v/>
      </c>
      <c r="D171" s="279" t="str">
        <f>IF(Invoice_Colombo!F174&lt;&gt;"",Invoice_Colombo!F174,"")</f>
        <v/>
      </c>
    </row>
    <row r="172" spans="1:4" x14ac:dyDescent="0.25">
      <c r="A172" s="102" t="str">
        <f>IF(Invoice_Colombo!E175&lt;&gt;"",Invoice_Colombo!E175,"")</f>
        <v/>
      </c>
      <c r="B172" t="str">
        <f t="shared" si="2"/>
        <v/>
      </c>
      <c r="C172" s="278" t="str">
        <f>IF(Invoice_Colombo!D175&lt;&gt;"",Invoice_Colombo!D175,"")</f>
        <v/>
      </c>
      <c r="D172" s="279" t="str">
        <f>IF(Invoice_Colombo!F175&lt;&gt;"",Invoice_Colombo!F175,"")</f>
        <v/>
      </c>
    </row>
    <row r="173" spans="1:4" x14ac:dyDescent="0.25">
      <c r="A173" s="102" t="str">
        <f>IF(Invoice_Colombo!E176&lt;&gt;"",Invoice_Colombo!E176,"")</f>
        <v/>
      </c>
      <c r="B173" t="str">
        <f t="shared" si="2"/>
        <v/>
      </c>
      <c r="C173" s="278" t="str">
        <f>IF(Invoice_Colombo!D176&lt;&gt;"",Invoice_Colombo!D176,"")</f>
        <v/>
      </c>
      <c r="D173" s="279" t="str">
        <f>IF(Invoice_Colombo!F176&lt;&gt;"",Invoice_Colombo!F176,"")</f>
        <v/>
      </c>
    </row>
    <row r="174" spans="1:4" x14ac:dyDescent="0.25">
      <c r="A174" s="102" t="str">
        <f>IF(Invoice_Colombo!E177&lt;&gt;"",Invoice_Colombo!E177,"")</f>
        <v/>
      </c>
      <c r="B174" t="str">
        <f t="shared" si="2"/>
        <v/>
      </c>
      <c r="C174" s="278" t="str">
        <f>IF(Invoice_Colombo!D177&lt;&gt;"",Invoice_Colombo!D177,"")</f>
        <v/>
      </c>
      <c r="D174" s="279" t="str">
        <f>IF(Invoice_Colombo!F177&lt;&gt;"",Invoice_Colombo!F177,"")</f>
        <v/>
      </c>
    </row>
    <row r="175" spans="1:4" x14ac:dyDescent="0.25">
      <c r="A175" s="102" t="str">
        <f>IF(Invoice_Colombo!E178&lt;&gt;"",Invoice_Colombo!E178,"")</f>
        <v/>
      </c>
      <c r="B175" t="str">
        <f t="shared" si="2"/>
        <v/>
      </c>
      <c r="C175" s="278" t="str">
        <f>IF(Invoice_Colombo!D178&lt;&gt;"",Invoice_Colombo!D178,"")</f>
        <v/>
      </c>
      <c r="D175" s="279" t="str">
        <f>IF(Invoice_Colombo!F178&lt;&gt;"",Invoice_Colombo!F178,"")</f>
        <v/>
      </c>
    </row>
    <row r="176" spans="1:4" x14ac:dyDescent="0.25">
      <c r="A176" s="102" t="str">
        <f>IF(Invoice_Colombo!E179&lt;&gt;"",Invoice_Colombo!E179,"")</f>
        <v/>
      </c>
      <c r="B176" t="str">
        <f t="shared" si="2"/>
        <v/>
      </c>
      <c r="C176" s="278" t="str">
        <f>IF(Invoice_Colombo!D179&lt;&gt;"",Invoice_Colombo!D179,"")</f>
        <v/>
      </c>
      <c r="D176" s="279" t="str">
        <f>IF(Invoice_Colombo!F179&lt;&gt;"",Invoice_Colombo!F179,"")</f>
        <v/>
      </c>
    </row>
    <row r="177" spans="1:4" x14ac:dyDescent="0.25">
      <c r="A177" s="102" t="str">
        <f>IF(Invoice_Colombo!E180&lt;&gt;"",Invoice_Colombo!E180,"")</f>
        <v/>
      </c>
      <c r="B177" t="str">
        <f t="shared" si="2"/>
        <v/>
      </c>
      <c r="C177" s="278" t="str">
        <f>IF(Invoice_Colombo!D180&lt;&gt;"",Invoice_Colombo!D180,"")</f>
        <v/>
      </c>
      <c r="D177" s="279" t="str">
        <f>IF(Invoice_Colombo!F180&lt;&gt;"",Invoice_Colombo!F180,"")</f>
        <v/>
      </c>
    </row>
    <row r="178" spans="1:4" x14ac:dyDescent="0.25">
      <c r="A178" s="102" t="str">
        <f>IF(Invoice_Colombo!E181&lt;&gt;"",Invoice_Colombo!E181,"")</f>
        <v/>
      </c>
      <c r="B178" t="str">
        <f t="shared" si="2"/>
        <v/>
      </c>
      <c r="C178" s="278" t="str">
        <f>IF(Invoice_Colombo!D181&lt;&gt;"",Invoice_Colombo!D181,"")</f>
        <v/>
      </c>
      <c r="D178" s="279" t="str">
        <f>IF(Invoice_Colombo!F181&lt;&gt;"",Invoice_Colombo!F181,"")</f>
        <v/>
      </c>
    </row>
    <row r="179" spans="1:4" x14ac:dyDescent="0.25">
      <c r="A179" s="102" t="str">
        <f>IF(Invoice_Colombo!E182&lt;&gt;"",Invoice_Colombo!E182,"")</f>
        <v/>
      </c>
      <c r="B179" t="str">
        <f t="shared" si="2"/>
        <v/>
      </c>
      <c r="C179" s="278" t="str">
        <f>IF(Invoice_Colombo!D182&lt;&gt;"",Invoice_Colombo!D182,"")</f>
        <v/>
      </c>
      <c r="D179" s="279" t="str">
        <f>IF(Invoice_Colombo!F182&lt;&gt;"",Invoice_Colombo!F182,"")</f>
        <v/>
      </c>
    </row>
    <row r="180" spans="1:4" x14ac:dyDescent="0.25">
      <c r="A180" s="102" t="str">
        <f>IF(Invoice_Colombo!E183&lt;&gt;"",Invoice_Colombo!E183,"")</f>
        <v/>
      </c>
      <c r="B180" t="str">
        <f t="shared" si="2"/>
        <v/>
      </c>
      <c r="C180" s="278" t="str">
        <f>IF(Invoice_Colombo!D183&lt;&gt;"",Invoice_Colombo!D183,"")</f>
        <v/>
      </c>
      <c r="D180" s="279" t="str">
        <f>IF(Invoice_Colombo!F183&lt;&gt;"",Invoice_Colombo!F183,"")</f>
        <v/>
      </c>
    </row>
    <row r="181" spans="1:4" x14ac:dyDescent="0.25">
      <c r="A181" s="102" t="str">
        <f>IF(Invoice_Colombo!E184&lt;&gt;"",Invoice_Colombo!E184,"")</f>
        <v/>
      </c>
      <c r="B181" t="str">
        <f t="shared" si="2"/>
        <v/>
      </c>
      <c r="C181" s="278" t="str">
        <f>IF(Invoice_Colombo!D184&lt;&gt;"",Invoice_Colombo!D184,"")</f>
        <v/>
      </c>
      <c r="D181" s="279" t="str">
        <f>IF(Invoice_Colombo!F184&lt;&gt;"",Invoice_Colombo!F184,"")</f>
        <v/>
      </c>
    </row>
    <row r="182" spans="1:4" x14ac:dyDescent="0.25">
      <c r="A182" s="102" t="str">
        <f>IF(Invoice_Colombo!E185&lt;&gt;"",Invoice_Colombo!E185,"")</f>
        <v/>
      </c>
      <c r="B182" t="str">
        <f t="shared" si="2"/>
        <v/>
      </c>
      <c r="C182" s="278" t="str">
        <f>IF(Invoice_Colombo!D185&lt;&gt;"",Invoice_Colombo!D185,"")</f>
        <v/>
      </c>
      <c r="D182" s="279" t="str">
        <f>IF(Invoice_Colombo!F185&lt;&gt;"",Invoice_Colombo!F185,"")</f>
        <v/>
      </c>
    </row>
    <row r="183" spans="1:4" x14ac:dyDescent="0.25">
      <c r="A183" s="102" t="str">
        <f>IF(Invoice_Colombo!E186&lt;&gt;"",Invoice_Colombo!E186,"")</f>
        <v/>
      </c>
      <c r="B183" t="str">
        <f t="shared" si="2"/>
        <v/>
      </c>
      <c r="C183" s="278" t="str">
        <f>IF(Invoice_Colombo!D186&lt;&gt;"",Invoice_Colombo!D186,"")</f>
        <v/>
      </c>
      <c r="D183" s="279" t="str">
        <f>IF(Invoice_Colombo!F186&lt;&gt;"",Invoice_Colombo!F186,"")</f>
        <v/>
      </c>
    </row>
    <row r="184" spans="1:4" x14ac:dyDescent="0.25">
      <c r="A184" s="102" t="str">
        <f>IF(Invoice_Colombo!E187&lt;&gt;"",Invoice_Colombo!E187,"")</f>
        <v/>
      </c>
      <c r="B184" t="str">
        <f t="shared" si="2"/>
        <v/>
      </c>
      <c r="C184" s="278" t="str">
        <f>IF(Invoice_Colombo!D187&lt;&gt;"",Invoice_Colombo!D187,"")</f>
        <v/>
      </c>
      <c r="D184" s="279" t="str">
        <f>IF(Invoice_Colombo!F187&lt;&gt;"",Invoice_Colombo!F187,"")</f>
        <v/>
      </c>
    </row>
    <row r="185" spans="1:4" x14ac:dyDescent="0.25">
      <c r="A185" s="102" t="str">
        <f>IF(Invoice_Colombo!E188&lt;&gt;"",Invoice_Colombo!E188,"")</f>
        <v/>
      </c>
      <c r="B185" t="str">
        <f t="shared" si="2"/>
        <v/>
      </c>
      <c r="C185" s="278" t="str">
        <f>IF(Invoice_Colombo!D188&lt;&gt;"",Invoice_Colombo!D188,"")</f>
        <v/>
      </c>
      <c r="D185" s="279" t="str">
        <f>IF(Invoice_Colombo!F188&lt;&gt;"",Invoice_Colombo!F188,"")</f>
        <v/>
      </c>
    </row>
    <row r="186" spans="1:4" x14ac:dyDescent="0.25">
      <c r="A186" s="102" t="str">
        <f>IF(Invoice_Colombo!E189&lt;&gt;"",Invoice_Colombo!E189,"")</f>
        <v/>
      </c>
      <c r="B186" t="str">
        <f t="shared" si="2"/>
        <v/>
      </c>
      <c r="C186" s="278" t="str">
        <f>IF(Invoice_Colombo!D189&lt;&gt;"",Invoice_Colombo!D189,"")</f>
        <v/>
      </c>
      <c r="D186" s="279" t="str">
        <f>IF(Invoice_Colombo!F189&lt;&gt;"",Invoice_Colombo!F189,"")</f>
        <v/>
      </c>
    </row>
    <row r="187" spans="1:4" x14ac:dyDescent="0.25">
      <c r="A187" s="102" t="str">
        <f>IF(Invoice_Colombo!E190&lt;&gt;"",Invoice_Colombo!E190,"")</f>
        <v/>
      </c>
      <c r="B187" t="str">
        <f t="shared" si="2"/>
        <v/>
      </c>
      <c r="C187" s="278" t="str">
        <f>IF(Invoice_Colombo!D190&lt;&gt;"",Invoice_Colombo!D190,"")</f>
        <v/>
      </c>
      <c r="D187" s="279" t="str">
        <f>IF(Invoice_Colombo!F190&lt;&gt;"",Invoice_Colombo!F190,"")</f>
        <v/>
      </c>
    </row>
    <row r="188" spans="1:4" x14ac:dyDescent="0.25">
      <c r="A188" s="102" t="str">
        <f>IF(Invoice_Colombo!E191&lt;&gt;"",Invoice_Colombo!E191,"")</f>
        <v/>
      </c>
      <c r="B188" t="str">
        <f t="shared" si="2"/>
        <v/>
      </c>
      <c r="C188" s="278" t="str">
        <f>IF(Invoice_Colombo!D191&lt;&gt;"",Invoice_Colombo!D191,"")</f>
        <v/>
      </c>
      <c r="D188" s="279" t="str">
        <f>IF(Invoice_Colombo!F191&lt;&gt;"",Invoice_Colombo!F191,"")</f>
        <v/>
      </c>
    </row>
    <row r="189" spans="1:4" x14ac:dyDescent="0.25">
      <c r="A189" s="102" t="str">
        <f>IF(Invoice_Colombo!E192&lt;&gt;"",Invoice_Colombo!E192,"")</f>
        <v/>
      </c>
      <c r="B189" t="str">
        <f t="shared" si="2"/>
        <v/>
      </c>
      <c r="C189" s="278" t="str">
        <f>IF(Invoice_Colombo!D192&lt;&gt;"",Invoice_Colombo!D192,"")</f>
        <v/>
      </c>
      <c r="D189" s="279" t="str">
        <f>IF(Invoice_Colombo!F192&lt;&gt;"",Invoice_Colombo!F192,"")</f>
        <v/>
      </c>
    </row>
    <row r="190" spans="1:4" x14ac:dyDescent="0.25">
      <c r="A190" s="102" t="str">
        <f>IF(Invoice_Colombo!E193&lt;&gt;"",Invoice_Colombo!E193,"")</f>
        <v/>
      </c>
      <c r="B190" t="str">
        <f t="shared" si="2"/>
        <v/>
      </c>
      <c r="C190" s="278" t="str">
        <f>IF(Invoice_Colombo!D193&lt;&gt;"",Invoice_Colombo!D193,"")</f>
        <v/>
      </c>
      <c r="D190" s="279" t="str">
        <f>IF(Invoice_Colombo!F193&lt;&gt;"",Invoice_Colombo!F193,"")</f>
        <v/>
      </c>
    </row>
    <row r="191" spans="1:4" x14ac:dyDescent="0.25">
      <c r="A191" s="102" t="str">
        <f>IF(Invoice_Colombo!E194&lt;&gt;"",Invoice_Colombo!E194,"")</f>
        <v/>
      </c>
      <c r="B191" t="str">
        <f t="shared" si="2"/>
        <v/>
      </c>
      <c r="C191" s="278" t="str">
        <f>IF(Invoice_Colombo!D194&lt;&gt;"",Invoice_Colombo!D194,"")</f>
        <v/>
      </c>
      <c r="D191" s="279" t="str">
        <f>IF(Invoice_Colombo!F194&lt;&gt;"",Invoice_Colombo!F194,"")</f>
        <v/>
      </c>
    </row>
    <row r="192" spans="1:4" x14ac:dyDescent="0.25">
      <c r="A192" s="102" t="str">
        <f>IF(Invoice_Colombo!E195&lt;&gt;"",Invoice_Colombo!E195,"")</f>
        <v/>
      </c>
      <c r="B192" t="str">
        <f t="shared" si="2"/>
        <v/>
      </c>
      <c r="C192" s="278" t="str">
        <f>IF(Invoice_Colombo!D195&lt;&gt;"",Invoice_Colombo!D195,"")</f>
        <v/>
      </c>
      <c r="D192" s="279" t="str">
        <f>IF(Invoice_Colombo!F195&lt;&gt;"",Invoice_Colombo!F195,"")</f>
        <v/>
      </c>
    </row>
    <row r="193" spans="1:4" x14ac:dyDescent="0.25">
      <c r="A193" s="102" t="str">
        <f>IF(Invoice_Colombo!E196&lt;&gt;"",Invoice_Colombo!E196,"")</f>
        <v/>
      </c>
      <c r="B193" t="str">
        <f t="shared" si="2"/>
        <v/>
      </c>
      <c r="C193" s="278" t="str">
        <f>IF(Invoice_Colombo!D196&lt;&gt;"",Invoice_Colombo!D196,"")</f>
        <v/>
      </c>
      <c r="D193" s="279" t="str">
        <f>IF(Invoice_Colombo!F196&lt;&gt;"",Invoice_Colombo!F196,"")</f>
        <v/>
      </c>
    </row>
    <row r="194" spans="1:4" x14ac:dyDescent="0.25">
      <c r="A194" s="102" t="str">
        <f>IF(Invoice_Colombo!E197&lt;&gt;"",Invoice_Colombo!E197,"")</f>
        <v/>
      </c>
      <c r="B194" t="str">
        <f t="shared" si="2"/>
        <v/>
      </c>
      <c r="C194" s="278" t="str">
        <f>IF(Invoice_Colombo!D197&lt;&gt;"",Invoice_Colombo!D197,"")</f>
        <v/>
      </c>
      <c r="D194" s="279" t="str">
        <f>IF(Invoice_Colombo!F197&lt;&gt;"",Invoice_Colombo!F197,"")</f>
        <v/>
      </c>
    </row>
    <row r="195" spans="1:4" x14ac:dyDescent="0.25">
      <c r="A195" s="102" t="str">
        <f>IF(Invoice_Colombo!E198&lt;&gt;"",Invoice_Colombo!E198,"")</f>
        <v/>
      </c>
      <c r="B195" t="str">
        <f t="shared" ref="B195:B200" si="3">LEFT(A195,4)</f>
        <v/>
      </c>
      <c r="C195" s="278" t="str">
        <f>IF(Invoice_Colombo!D198&lt;&gt;"",Invoice_Colombo!D198,"")</f>
        <v/>
      </c>
      <c r="D195" s="279" t="str">
        <f>IF(Invoice_Colombo!F198&lt;&gt;"",Invoice_Colombo!F198,"")</f>
        <v/>
      </c>
    </row>
    <row r="196" spans="1:4" x14ac:dyDescent="0.25">
      <c r="A196" s="102" t="str">
        <f>IF(Invoice_Colombo!E199&lt;&gt;"",Invoice_Colombo!E199,"")</f>
        <v/>
      </c>
      <c r="B196" t="str">
        <f t="shared" si="3"/>
        <v/>
      </c>
      <c r="C196" s="278" t="str">
        <f>IF(Invoice_Colombo!D199&lt;&gt;"",Invoice_Colombo!D199,"")</f>
        <v/>
      </c>
      <c r="D196" s="279" t="str">
        <f>IF(Invoice_Colombo!F199&lt;&gt;"",Invoice_Colombo!F199,"")</f>
        <v/>
      </c>
    </row>
    <row r="197" spans="1:4" x14ac:dyDescent="0.25">
      <c r="A197" s="102" t="str">
        <f>IF(Invoice_Colombo!E200&lt;&gt;"",Invoice_Colombo!E200,"")</f>
        <v/>
      </c>
      <c r="B197" t="str">
        <f t="shared" si="3"/>
        <v/>
      </c>
      <c r="C197" s="278" t="str">
        <f>IF(Invoice_Colombo!D200&lt;&gt;"",Invoice_Colombo!D200,"")</f>
        <v/>
      </c>
      <c r="D197" s="279" t="str">
        <f>IF(Invoice_Colombo!F200&lt;&gt;"",Invoice_Colombo!F200,"")</f>
        <v/>
      </c>
    </row>
    <row r="198" spans="1:4" x14ac:dyDescent="0.25">
      <c r="A198" s="102" t="str">
        <f>IF(Invoice_Colombo!E201&lt;&gt;"",Invoice_Colombo!E201,"")</f>
        <v/>
      </c>
      <c r="B198" t="str">
        <f t="shared" si="3"/>
        <v/>
      </c>
      <c r="C198" s="278" t="str">
        <f>IF(Invoice_Colombo!D201&lt;&gt;"",Invoice_Colombo!D201,"")</f>
        <v/>
      </c>
      <c r="D198" s="279" t="str">
        <f>IF(Invoice_Colombo!F201&lt;&gt;"",Invoice_Colombo!F201,"")</f>
        <v/>
      </c>
    </row>
    <row r="199" spans="1:4" x14ac:dyDescent="0.25">
      <c r="A199" s="102" t="str">
        <f>IF(Invoice_Colombo!E202&lt;&gt;"",Invoice_Colombo!E202,"")</f>
        <v/>
      </c>
      <c r="B199" t="str">
        <f t="shared" si="3"/>
        <v/>
      </c>
      <c r="C199" s="278" t="str">
        <f>IF(Invoice_Colombo!D202&lt;&gt;"",Invoice_Colombo!D202,"")</f>
        <v/>
      </c>
      <c r="D199" s="279" t="str">
        <f>IF(Invoice_Colombo!F202&lt;&gt;"",Invoice_Colombo!F202,"")</f>
        <v/>
      </c>
    </row>
    <row r="200" spans="1:4" x14ac:dyDescent="0.25">
      <c r="A200" s="102" t="str">
        <f>IF(Invoice_Colombo!E203&lt;&gt;"",Invoice_Colombo!E203,"")</f>
        <v/>
      </c>
      <c r="B200" t="str">
        <f t="shared" si="3"/>
        <v/>
      </c>
      <c r="C200" s="278" t="str">
        <f>IF(Invoice_Colombo!D203&lt;&gt;"",Invoice_Colombo!D203,"")</f>
        <v/>
      </c>
      <c r="D200" s="279" t="str">
        <f>IF(Invoice_Colombo!F203&lt;&gt;"",Invoice_Colombo!F203,"")</f>
        <v/>
      </c>
    </row>
  </sheetData>
  <dataValidations count="19">
    <dataValidation type="decimal" operator="greaterThan" allowBlank="1" showInputMessage="1" showErrorMessage="1" error="Please Enter Valid Item FOB Value (In INR)" prompt="Please Enter Numeric Value" sqref="M2:M105 JI2:JI105 TE2:TE105 ADA2:ADA105 AMW2:AMW105 AWS2:AWS105 BGO2:BGO105 BQK2:BQK105 CAG2:CAG105 CKC2:CKC105 CTY2:CTY105 DDU2:DDU105 DNQ2:DNQ105 DXM2:DXM105 EHI2:EHI105 ERE2:ERE105 FBA2:FBA105 FKW2:FKW105 FUS2:FUS105 GEO2:GEO105 GOK2:GOK105 GYG2:GYG105 HIC2:HIC105 HRY2:HRY105 IBU2:IBU105 ILQ2:ILQ105 IVM2:IVM105 JFI2:JFI105 JPE2:JPE105 JZA2:JZA105 KIW2:KIW105 KSS2:KSS105 LCO2:LCO105 LMK2:LMK105 LWG2:LWG105 MGC2:MGC105 MPY2:MPY105 MZU2:MZU105 NJQ2:NJQ105 NTM2:NTM105 ODI2:ODI105 ONE2:ONE105 OXA2:OXA105 PGW2:PGW105 PQS2:PQS105 QAO2:QAO105 QKK2:QKK105 QUG2:QUG105 REC2:REC105 RNY2:RNY105 RXU2:RXU105 SHQ2:SHQ105 SRM2:SRM105 TBI2:TBI105 TLE2:TLE105 TVA2:TVA105 UEW2:UEW105 UOS2:UOS105 UYO2:UYO105 VIK2:VIK105 VSG2:VSG105 WCC2:WCC105 WLY2:WLY105 WVU2:WVU105 M65538:M65641 JI65538:JI65641 TE65538:TE65641 ADA65538:ADA65641 AMW65538:AMW65641 AWS65538:AWS65641 BGO65538:BGO65641 BQK65538:BQK65641 CAG65538:CAG65641 CKC65538:CKC65641 CTY65538:CTY65641 DDU65538:DDU65641 DNQ65538:DNQ65641 DXM65538:DXM65641 EHI65538:EHI65641 ERE65538:ERE65641 FBA65538:FBA65641 FKW65538:FKW65641 FUS65538:FUS65641 GEO65538:GEO65641 GOK65538:GOK65641 GYG65538:GYG65641 HIC65538:HIC65641 HRY65538:HRY65641 IBU65538:IBU65641 ILQ65538:ILQ65641 IVM65538:IVM65641 JFI65538:JFI65641 JPE65538:JPE65641 JZA65538:JZA65641 KIW65538:KIW65641 KSS65538:KSS65641 LCO65538:LCO65641 LMK65538:LMK65641 LWG65538:LWG65641 MGC65538:MGC65641 MPY65538:MPY65641 MZU65538:MZU65641 NJQ65538:NJQ65641 NTM65538:NTM65641 ODI65538:ODI65641 ONE65538:ONE65641 OXA65538:OXA65641 PGW65538:PGW65641 PQS65538:PQS65641 QAO65538:QAO65641 QKK65538:QKK65641 QUG65538:QUG65641 REC65538:REC65641 RNY65538:RNY65641 RXU65538:RXU65641 SHQ65538:SHQ65641 SRM65538:SRM65641 TBI65538:TBI65641 TLE65538:TLE65641 TVA65538:TVA65641 UEW65538:UEW65641 UOS65538:UOS65641 UYO65538:UYO65641 VIK65538:VIK65641 VSG65538:VSG65641 WCC65538:WCC65641 WLY65538:WLY65641 WVU65538:WVU65641 M131074:M131177 JI131074:JI131177 TE131074:TE131177 ADA131074:ADA131177 AMW131074:AMW131177 AWS131074:AWS131177 BGO131074:BGO131177 BQK131074:BQK131177 CAG131074:CAG131177 CKC131074:CKC131177 CTY131074:CTY131177 DDU131074:DDU131177 DNQ131074:DNQ131177 DXM131074:DXM131177 EHI131074:EHI131177 ERE131074:ERE131177 FBA131074:FBA131177 FKW131074:FKW131177 FUS131074:FUS131177 GEO131074:GEO131177 GOK131074:GOK131177 GYG131074:GYG131177 HIC131074:HIC131177 HRY131074:HRY131177 IBU131074:IBU131177 ILQ131074:ILQ131177 IVM131074:IVM131177 JFI131074:JFI131177 JPE131074:JPE131177 JZA131074:JZA131177 KIW131074:KIW131177 KSS131074:KSS131177 LCO131074:LCO131177 LMK131074:LMK131177 LWG131074:LWG131177 MGC131074:MGC131177 MPY131074:MPY131177 MZU131074:MZU131177 NJQ131074:NJQ131177 NTM131074:NTM131177 ODI131074:ODI131177 ONE131074:ONE131177 OXA131074:OXA131177 PGW131074:PGW131177 PQS131074:PQS131177 QAO131074:QAO131177 QKK131074:QKK131177 QUG131074:QUG131177 REC131074:REC131177 RNY131074:RNY131177 RXU131074:RXU131177 SHQ131074:SHQ131177 SRM131074:SRM131177 TBI131074:TBI131177 TLE131074:TLE131177 TVA131074:TVA131177 UEW131074:UEW131177 UOS131074:UOS131177 UYO131074:UYO131177 VIK131074:VIK131177 VSG131074:VSG131177 WCC131074:WCC131177 WLY131074:WLY131177 WVU131074:WVU131177 M196610:M196713 JI196610:JI196713 TE196610:TE196713 ADA196610:ADA196713 AMW196610:AMW196713 AWS196610:AWS196713 BGO196610:BGO196713 BQK196610:BQK196713 CAG196610:CAG196713 CKC196610:CKC196713 CTY196610:CTY196713 DDU196610:DDU196713 DNQ196610:DNQ196713 DXM196610:DXM196713 EHI196610:EHI196713 ERE196610:ERE196713 FBA196610:FBA196713 FKW196610:FKW196713 FUS196610:FUS196713 GEO196610:GEO196713 GOK196610:GOK196713 GYG196610:GYG196713 HIC196610:HIC196713 HRY196610:HRY196713 IBU196610:IBU196713 ILQ196610:ILQ196713 IVM196610:IVM196713 JFI196610:JFI196713 JPE196610:JPE196713 JZA196610:JZA196713 KIW196610:KIW196713 KSS196610:KSS196713 LCO196610:LCO196713 LMK196610:LMK196713 LWG196610:LWG196713 MGC196610:MGC196713 MPY196610:MPY196713 MZU196610:MZU196713 NJQ196610:NJQ196713 NTM196610:NTM196713 ODI196610:ODI196713 ONE196610:ONE196713 OXA196610:OXA196713 PGW196610:PGW196713 PQS196610:PQS196713 QAO196610:QAO196713 QKK196610:QKK196713 QUG196610:QUG196713 REC196610:REC196713 RNY196610:RNY196713 RXU196610:RXU196713 SHQ196610:SHQ196713 SRM196610:SRM196713 TBI196610:TBI196713 TLE196610:TLE196713 TVA196610:TVA196713 UEW196610:UEW196713 UOS196610:UOS196713 UYO196610:UYO196713 VIK196610:VIK196713 VSG196610:VSG196713 WCC196610:WCC196713 WLY196610:WLY196713 WVU196610:WVU196713 M262146:M262249 JI262146:JI262249 TE262146:TE262249 ADA262146:ADA262249 AMW262146:AMW262249 AWS262146:AWS262249 BGO262146:BGO262249 BQK262146:BQK262249 CAG262146:CAG262249 CKC262146:CKC262249 CTY262146:CTY262249 DDU262146:DDU262249 DNQ262146:DNQ262249 DXM262146:DXM262249 EHI262146:EHI262249 ERE262146:ERE262249 FBA262146:FBA262249 FKW262146:FKW262249 FUS262146:FUS262249 GEO262146:GEO262249 GOK262146:GOK262249 GYG262146:GYG262249 HIC262146:HIC262249 HRY262146:HRY262249 IBU262146:IBU262249 ILQ262146:ILQ262249 IVM262146:IVM262249 JFI262146:JFI262249 JPE262146:JPE262249 JZA262146:JZA262249 KIW262146:KIW262249 KSS262146:KSS262249 LCO262146:LCO262249 LMK262146:LMK262249 LWG262146:LWG262249 MGC262146:MGC262249 MPY262146:MPY262249 MZU262146:MZU262249 NJQ262146:NJQ262249 NTM262146:NTM262249 ODI262146:ODI262249 ONE262146:ONE262249 OXA262146:OXA262249 PGW262146:PGW262249 PQS262146:PQS262249 QAO262146:QAO262249 QKK262146:QKK262249 QUG262146:QUG262249 REC262146:REC262249 RNY262146:RNY262249 RXU262146:RXU262249 SHQ262146:SHQ262249 SRM262146:SRM262249 TBI262146:TBI262249 TLE262146:TLE262249 TVA262146:TVA262249 UEW262146:UEW262249 UOS262146:UOS262249 UYO262146:UYO262249 VIK262146:VIK262249 VSG262146:VSG262249 WCC262146:WCC262249 WLY262146:WLY262249 WVU262146:WVU262249 M327682:M327785 JI327682:JI327785 TE327682:TE327785 ADA327682:ADA327785 AMW327682:AMW327785 AWS327682:AWS327785 BGO327682:BGO327785 BQK327682:BQK327785 CAG327682:CAG327785 CKC327682:CKC327785 CTY327682:CTY327785 DDU327682:DDU327785 DNQ327682:DNQ327785 DXM327682:DXM327785 EHI327682:EHI327785 ERE327682:ERE327785 FBA327682:FBA327785 FKW327682:FKW327785 FUS327682:FUS327785 GEO327682:GEO327785 GOK327682:GOK327785 GYG327682:GYG327785 HIC327682:HIC327785 HRY327682:HRY327785 IBU327682:IBU327785 ILQ327682:ILQ327785 IVM327682:IVM327785 JFI327682:JFI327785 JPE327682:JPE327785 JZA327682:JZA327785 KIW327682:KIW327785 KSS327682:KSS327785 LCO327682:LCO327785 LMK327682:LMK327785 LWG327682:LWG327785 MGC327682:MGC327785 MPY327682:MPY327785 MZU327682:MZU327785 NJQ327682:NJQ327785 NTM327682:NTM327785 ODI327682:ODI327785 ONE327682:ONE327785 OXA327682:OXA327785 PGW327682:PGW327785 PQS327682:PQS327785 QAO327682:QAO327785 QKK327682:QKK327785 QUG327682:QUG327785 REC327682:REC327785 RNY327682:RNY327785 RXU327682:RXU327785 SHQ327682:SHQ327785 SRM327682:SRM327785 TBI327682:TBI327785 TLE327682:TLE327785 TVA327682:TVA327785 UEW327682:UEW327785 UOS327682:UOS327785 UYO327682:UYO327785 VIK327682:VIK327785 VSG327682:VSG327785 WCC327682:WCC327785 WLY327682:WLY327785 WVU327682:WVU327785 M393218:M393321 JI393218:JI393321 TE393218:TE393321 ADA393218:ADA393321 AMW393218:AMW393321 AWS393218:AWS393321 BGO393218:BGO393321 BQK393218:BQK393321 CAG393218:CAG393321 CKC393218:CKC393321 CTY393218:CTY393321 DDU393218:DDU393321 DNQ393218:DNQ393321 DXM393218:DXM393321 EHI393218:EHI393321 ERE393218:ERE393321 FBA393218:FBA393321 FKW393218:FKW393321 FUS393218:FUS393321 GEO393218:GEO393321 GOK393218:GOK393321 GYG393218:GYG393321 HIC393218:HIC393321 HRY393218:HRY393321 IBU393218:IBU393321 ILQ393218:ILQ393321 IVM393218:IVM393321 JFI393218:JFI393321 JPE393218:JPE393321 JZA393218:JZA393321 KIW393218:KIW393321 KSS393218:KSS393321 LCO393218:LCO393321 LMK393218:LMK393321 LWG393218:LWG393321 MGC393218:MGC393321 MPY393218:MPY393321 MZU393218:MZU393321 NJQ393218:NJQ393321 NTM393218:NTM393321 ODI393218:ODI393321 ONE393218:ONE393321 OXA393218:OXA393321 PGW393218:PGW393321 PQS393218:PQS393321 QAO393218:QAO393321 QKK393218:QKK393321 QUG393218:QUG393321 REC393218:REC393321 RNY393218:RNY393321 RXU393218:RXU393321 SHQ393218:SHQ393321 SRM393218:SRM393321 TBI393218:TBI393321 TLE393218:TLE393321 TVA393218:TVA393321 UEW393218:UEW393321 UOS393218:UOS393321 UYO393218:UYO393321 VIK393218:VIK393321 VSG393218:VSG393321 WCC393218:WCC393321 WLY393218:WLY393321 WVU393218:WVU393321 M458754:M458857 JI458754:JI458857 TE458754:TE458857 ADA458754:ADA458857 AMW458754:AMW458857 AWS458754:AWS458857 BGO458754:BGO458857 BQK458754:BQK458857 CAG458754:CAG458857 CKC458754:CKC458857 CTY458754:CTY458857 DDU458754:DDU458857 DNQ458754:DNQ458857 DXM458754:DXM458857 EHI458754:EHI458857 ERE458754:ERE458857 FBA458754:FBA458857 FKW458754:FKW458857 FUS458754:FUS458857 GEO458754:GEO458857 GOK458754:GOK458857 GYG458754:GYG458857 HIC458754:HIC458857 HRY458754:HRY458857 IBU458754:IBU458857 ILQ458754:ILQ458857 IVM458754:IVM458857 JFI458754:JFI458857 JPE458754:JPE458857 JZA458754:JZA458857 KIW458754:KIW458857 KSS458754:KSS458857 LCO458754:LCO458857 LMK458754:LMK458857 LWG458754:LWG458857 MGC458754:MGC458857 MPY458754:MPY458857 MZU458754:MZU458857 NJQ458754:NJQ458857 NTM458754:NTM458857 ODI458754:ODI458857 ONE458754:ONE458857 OXA458754:OXA458857 PGW458754:PGW458857 PQS458754:PQS458857 QAO458754:QAO458857 QKK458754:QKK458857 QUG458754:QUG458857 REC458754:REC458857 RNY458754:RNY458857 RXU458754:RXU458857 SHQ458754:SHQ458857 SRM458754:SRM458857 TBI458754:TBI458857 TLE458754:TLE458857 TVA458754:TVA458857 UEW458754:UEW458857 UOS458754:UOS458857 UYO458754:UYO458857 VIK458754:VIK458857 VSG458754:VSG458857 WCC458754:WCC458857 WLY458754:WLY458857 WVU458754:WVU458857 M524290:M524393 JI524290:JI524393 TE524290:TE524393 ADA524290:ADA524393 AMW524290:AMW524393 AWS524290:AWS524393 BGO524290:BGO524393 BQK524290:BQK524393 CAG524290:CAG524393 CKC524290:CKC524393 CTY524290:CTY524393 DDU524290:DDU524393 DNQ524290:DNQ524393 DXM524290:DXM524393 EHI524290:EHI524393 ERE524290:ERE524393 FBA524290:FBA524393 FKW524290:FKW524393 FUS524290:FUS524393 GEO524290:GEO524393 GOK524290:GOK524393 GYG524290:GYG524393 HIC524290:HIC524393 HRY524290:HRY524393 IBU524290:IBU524393 ILQ524290:ILQ524393 IVM524290:IVM524393 JFI524290:JFI524393 JPE524290:JPE524393 JZA524290:JZA524393 KIW524290:KIW524393 KSS524290:KSS524393 LCO524290:LCO524393 LMK524290:LMK524393 LWG524290:LWG524393 MGC524290:MGC524393 MPY524290:MPY524393 MZU524290:MZU524393 NJQ524290:NJQ524393 NTM524290:NTM524393 ODI524290:ODI524393 ONE524290:ONE524393 OXA524290:OXA524393 PGW524290:PGW524393 PQS524290:PQS524393 QAO524290:QAO524393 QKK524290:QKK524393 QUG524290:QUG524393 REC524290:REC524393 RNY524290:RNY524393 RXU524290:RXU524393 SHQ524290:SHQ524393 SRM524290:SRM524393 TBI524290:TBI524393 TLE524290:TLE524393 TVA524290:TVA524393 UEW524290:UEW524393 UOS524290:UOS524393 UYO524290:UYO524393 VIK524290:VIK524393 VSG524290:VSG524393 WCC524290:WCC524393 WLY524290:WLY524393 WVU524290:WVU524393 M589826:M589929 JI589826:JI589929 TE589826:TE589929 ADA589826:ADA589929 AMW589826:AMW589929 AWS589826:AWS589929 BGO589826:BGO589929 BQK589826:BQK589929 CAG589826:CAG589929 CKC589826:CKC589929 CTY589826:CTY589929 DDU589826:DDU589929 DNQ589826:DNQ589929 DXM589826:DXM589929 EHI589826:EHI589929 ERE589826:ERE589929 FBA589826:FBA589929 FKW589826:FKW589929 FUS589826:FUS589929 GEO589826:GEO589929 GOK589826:GOK589929 GYG589826:GYG589929 HIC589826:HIC589929 HRY589826:HRY589929 IBU589826:IBU589929 ILQ589826:ILQ589929 IVM589826:IVM589929 JFI589826:JFI589929 JPE589826:JPE589929 JZA589826:JZA589929 KIW589826:KIW589929 KSS589826:KSS589929 LCO589826:LCO589929 LMK589826:LMK589929 LWG589826:LWG589929 MGC589826:MGC589929 MPY589826:MPY589929 MZU589826:MZU589929 NJQ589826:NJQ589929 NTM589826:NTM589929 ODI589826:ODI589929 ONE589826:ONE589929 OXA589826:OXA589929 PGW589826:PGW589929 PQS589826:PQS589929 QAO589826:QAO589929 QKK589826:QKK589929 QUG589826:QUG589929 REC589826:REC589929 RNY589826:RNY589929 RXU589826:RXU589929 SHQ589826:SHQ589929 SRM589826:SRM589929 TBI589826:TBI589929 TLE589826:TLE589929 TVA589826:TVA589929 UEW589826:UEW589929 UOS589826:UOS589929 UYO589826:UYO589929 VIK589826:VIK589929 VSG589826:VSG589929 WCC589826:WCC589929 WLY589826:WLY589929 WVU589826:WVU589929 M655362:M655465 JI655362:JI655465 TE655362:TE655465 ADA655362:ADA655465 AMW655362:AMW655465 AWS655362:AWS655465 BGO655362:BGO655465 BQK655362:BQK655465 CAG655362:CAG655465 CKC655362:CKC655465 CTY655362:CTY655465 DDU655362:DDU655465 DNQ655362:DNQ655465 DXM655362:DXM655465 EHI655362:EHI655465 ERE655362:ERE655465 FBA655362:FBA655465 FKW655362:FKW655465 FUS655362:FUS655465 GEO655362:GEO655465 GOK655362:GOK655465 GYG655362:GYG655465 HIC655362:HIC655465 HRY655362:HRY655465 IBU655362:IBU655465 ILQ655362:ILQ655465 IVM655362:IVM655465 JFI655362:JFI655465 JPE655362:JPE655465 JZA655362:JZA655465 KIW655362:KIW655465 KSS655362:KSS655465 LCO655362:LCO655465 LMK655362:LMK655465 LWG655362:LWG655465 MGC655362:MGC655465 MPY655362:MPY655465 MZU655362:MZU655465 NJQ655362:NJQ655465 NTM655362:NTM655465 ODI655362:ODI655465 ONE655362:ONE655465 OXA655362:OXA655465 PGW655362:PGW655465 PQS655362:PQS655465 QAO655362:QAO655465 QKK655362:QKK655465 QUG655362:QUG655465 REC655362:REC655465 RNY655362:RNY655465 RXU655362:RXU655465 SHQ655362:SHQ655465 SRM655362:SRM655465 TBI655362:TBI655465 TLE655362:TLE655465 TVA655362:TVA655465 UEW655362:UEW655465 UOS655362:UOS655465 UYO655362:UYO655465 VIK655362:VIK655465 VSG655362:VSG655465 WCC655362:WCC655465 WLY655362:WLY655465 WVU655362:WVU655465 M720898:M721001 JI720898:JI721001 TE720898:TE721001 ADA720898:ADA721001 AMW720898:AMW721001 AWS720898:AWS721001 BGO720898:BGO721001 BQK720898:BQK721001 CAG720898:CAG721001 CKC720898:CKC721001 CTY720898:CTY721001 DDU720898:DDU721001 DNQ720898:DNQ721001 DXM720898:DXM721001 EHI720898:EHI721001 ERE720898:ERE721001 FBA720898:FBA721001 FKW720898:FKW721001 FUS720898:FUS721001 GEO720898:GEO721001 GOK720898:GOK721001 GYG720898:GYG721001 HIC720898:HIC721001 HRY720898:HRY721001 IBU720898:IBU721001 ILQ720898:ILQ721001 IVM720898:IVM721001 JFI720898:JFI721001 JPE720898:JPE721001 JZA720898:JZA721001 KIW720898:KIW721001 KSS720898:KSS721001 LCO720898:LCO721001 LMK720898:LMK721001 LWG720898:LWG721001 MGC720898:MGC721001 MPY720898:MPY721001 MZU720898:MZU721001 NJQ720898:NJQ721001 NTM720898:NTM721001 ODI720898:ODI721001 ONE720898:ONE721001 OXA720898:OXA721001 PGW720898:PGW721001 PQS720898:PQS721001 QAO720898:QAO721001 QKK720898:QKK721001 QUG720898:QUG721001 REC720898:REC721001 RNY720898:RNY721001 RXU720898:RXU721001 SHQ720898:SHQ721001 SRM720898:SRM721001 TBI720898:TBI721001 TLE720898:TLE721001 TVA720898:TVA721001 UEW720898:UEW721001 UOS720898:UOS721001 UYO720898:UYO721001 VIK720898:VIK721001 VSG720898:VSG721001 WCC720898:WCC721001 WLY720898:WLY721001 WVU720898:WVU721001 M786434:M786537 JI786434:JI786537 TE786434:TE786537 ADA786434:ADA786537 AMW786434:AMW786537 AWS786434:AWS786537 BGO786434:BGO786537 BQK786434:BQK786537 CAG786434:CAG786537 CKC786434:CKC786537 CTY786434:CTY786537 DDU786434:DDU786537 DNQ786434:DNQ786537 DXM786434:DXM786537 EHI786434:EHI786537 ERE786434:ERE786537 FBA786434:FBA786537 FKW786434:FKW786537 FUS786434:FUS786537 GEO786434:GEO786537 GOK786434:GOK786537 GYG786434:GYG786537 HIC786434:HIC786537 HRY786434:HRY786537 IBU786434:IBU786537 ILQ786434:ILQ786537 IVM786434:IVM786537 JFI786434:JFI786537 JPE786434:JPE786537 JZA786434:JZA786537 KIW786434:KIW786537 KSS786434:KSS786537 LCO786434:LCO786537 LMK786434:LMK786537 LWG786434:LWG786537 MGC786434:MGC786537 MPY786434:MPY786537 MZU786434:MZU786537 NJQ786434:NJQ786537 NTM786434:NTM786537 ODI786434:ODI786537 ONE786434:ONE786537 OXA786434:OXA786537 PGW786434:PGW786537 PQS786434:PQS786537 QAO786434:QAO786537 QKK786434:QKK786537 QUG786434:QUG786537 REC786434:REC786537 RNY786434:RNY786537 RXU786434:RXU786537 SHQ786434:SHQ786537 SRM786434:SRM786537 TBI786434:TBI786537 TLE786434:TLE786537 TVA786434:TVA786537 UEW786434:UEW786537 UOS786434:UOS786537 UYO786434:UYO786537 VIK786434:VIK786537 VSG786434:VSG786537 WCC786434:WCC786537 WLY786434:WLY786537 WVU786434:WVU786537 M851970:M852073 JI851970:JI852073 TE851970:TE852073 ADA851970:ADA852073 AMW851970:AMW852073 AWS851970:AWS852073 BGO851970:BGO852073 BQK851970:BQK852073 CAG851970:CAG852073 CKC851970:CKC852073 CTY851970:CTY852073 DDU851970:DDU852073 DNQ851970:DNQ852073 DXM851970:DXM852073 EHI851970:EHI852073 ERE851970:ERE852073 FBA851970:FBA852073 FKW851970:FKW852073 FUS851970:FUS852073 GEO851970:GEO852073 GOK851970:GOK852073 GYG851970:GYG852073 HIC851970:HIC852073 HRY851970:HRY852073 IBU851970:IBU852073 ILQ851970:ILQ852073 IVM851970:IVM852073 JFI851970:JFI852073 JPE851970:JPE852073 JZA851970:JZA852073 KIW851970:KIW852073 KSS851970:KSS852073 LCO851970:LCO852073 LMK851970:LMK852073 LWG851970:LWG852073 MGC851970:MGC852073 MPY851970:MPY852073 MZU851970:MZU852073 NJQ851970:NJQ852073 NTM851970:NTM852073 ODI851970:ODI852073 ONE851970:ONE852073 OXA851970:OXA852073 PGW851970:PGW852073 PQS851970:PQS852073 QAO851970:QAO852073 QKK851970:QKK852073 QUG851970:QUG852073 REC851970:REC852073 RNY851970:RNY852073 RXU851970:RXU852073 SHQ851970:SHQ852073 SRM851970:SRM852073 TBI851970:TBI852073 TLE851970:TLE852073 TVA851970:TVA852073 UEW851970:UEW852073 UOS851970:UOS852073 UYO851970:UYO852073 VIK851970:VIK852073 VSG851970:VSG852073 WCC851970:WCC852073 WLY851970:WLY852073 WVU851970:WVU852073 M917506:M917609 JI917506:JI917609 TE917506:TE917609 ADA917506:ADA917609 AMW917506:AMW917609 AWS917506:AWS917609 BGO917506:BGO917609 BQK917506:BQK917609 CAG917506:CAG917609 CKC917506:CKC917609 CTY917506:CTY917609 DDU917506:DDU917609 DNQ917506:DNQ917609 DXM917506:DXM917609 EHI917506:EHI917609 ERE917506:ERE917609 FBA917506:FBA917609 FKW917506:FKW917609 FUS917506:FUS917609 GEO917506:GEO917609 GOK917506:GOK917609 GYG917506:GYG917609 HIC917506:HIC917609 HRY917506:HRY917609 IBU917506:IBU917609 ILQ917506:ILQ917609 IVM917506:IVM917609 JFI917506:JFI917609 JPE917506:JPE917609 JZA917506:JZA917609 KIW917506:KIW917609 KSS917506:KSS917609 LCO917506:LCO917609 LMK917506:LMK917609 LWG917506:LWG917609 MGC917506:MGC917609 MPY917506:MPY917609 MZU917506:MZU917609 NJQ917506:NJQ917609 NTM917506:NTM917609 ODI917506:ODI917609 ONE917506:ONE917609 OXA917506:OXA917609 PGW917506:PGW917609 PQS917506:PQS917609 QAO917506:QAO917609 QKK917506:QKK917609 QUG917506:QUG917609 REC917506:REC917609 RNY917506:RNY917609 RXU917506:RXU917609 SHQ917506:SHQ917609 SRM917506:SRM917609 TBI917506:TBI917609 TLE917506:TLE917609 TVA917506:TVA917609 UEW917506:UEW917609 UOS917506:UOS917609 UYO917506:UYO917609 VIK917506:VIK917609 VSG917506:VSG917609 WCC917506:WCC917609 WLY917506:WLY917609 WVU917506:WVU917609 M983042:M983145 JI983042:JI983145 TE983042:TE983145 ADA983042:ADA983145 AMW983042:AMW983145 AWS983042:AWS983145 BGO983042:BGO983145 BQK983042:BQK983145 CAG983042:CAG983145 CKC983042:CKC983145 CTY983042:CTY983145 DDU983042:DDU983145 DNQ983042:DNQ983145 DXM983042:DXM983145 EHI983042:EHI983145 ERE983042:ERE983145 FBA983042:FBA983145 FKW983042:FKW983145 FUS983042:FUS983145 GEO983042:GEO983145 GOK983042:GOK983145 GYG983042:GYG983145 HIC983042:HIC983145 HRY983042:HRY983145 IBU983042:IBU983145 ILQ983042:ILQ983145 IVM983042:IVM983145 JFI983042:JFI983145 JPE983042:JPE983145 JZA983042:JZA983145 KIW983042:KIW983145 KSS983042:KSS983145 LCO983042:LCO983145 LMK983042:LMK983145 LWG983042:LWG983145 MGC983042:MGC983145 MPY983042:MPY983145 MZU983042:MZU983145 NJQ983042:NJQ983145 NTM983042:NTM983145 ODI983042:ODI983145 ONE983042:ONE983145 OXA983042:OXA983145 PGW983042:PGW983145 PQS983042:PQS983145 QAO983042:QAO983145 QKK983042:QKK983145 QUG983042:QUG983145 REC983042:REC983145 RNY983042:RNY983145 RXU983042:RXU983145 SHQ983042:SHQ983145 SRM983042:SRM983145 TBI983042:TBI983145 TLE983042:TLE983145 TVA983042:TVA983145 UEW983042:UEW983145 UOS983042:UOS983145 UYO983042:UYO983145 VIK983042:VIK983145 VSG983042:VSG983145 WCC983042:WCC983145 WLY983042:WLY983145 WVU983042:WVU983145" xr:uid="{A0A752BC-A241-4F41-A88D-C8DCD6883465}">
      <formula1>0</formula1>
      <formula2>0</formula2>
    </dataValidation>
    <dataValidation type="decimal" operator="greaterThan" allowBlank="1" showInputMessage="1" showErrorMessage="1" error="Please Enter Valid Item FOB Value (In Invoice Currency)" prompt="Please Enter Numeric Value" sqref="L2:L105 JH2:JH105 TD2:TD105 ACZ2:ACZ105 AMV2:AMV105 AWR2:AWR105 BGN2:BGN105 BQJ2:BQJ105 CAF2:CAF105 CKB2:CKB105 CTX2:CTX105 DDT2:DDT105 DNP2:DNP105 DXL2:DXL105 EHH2:EHH105 ERD2:ERD105 FAZ2:FAZ105 FKV2:FKV105 FUR2:FUR105 GEN2:GEN105 GOJ2:GOJ105 GYF2:GYF105 HIB2:HIB105 HRX2:HRX105 IBT2:IBT105 ILP2:ILP105 IVL2:IVL105 JFH2:JFH105 JPD2:JPD105 JYZ2:JYZ105 KIV2:KIV105 KSR2:KSR105 LCN2:LCN105 LMJ2:LMJ105 LWF2:LWF105 MGB2:MGB105 MPX2:MPX105 MZT2:MZT105 NJP2:NJP105 NTL2:NTL105 ODH2:ODH105 OND2:OND105 OWZ2:OWZ105 PGV2:PGV105 PQR2:PQR105 QAN2:QAN105 QKJ2:QKJ105 QUF2:QUF105 REB2:REB105 RNX2:RNX105 RXT2:RXT105 SHP2:SHP105 SRL2:SRL105 TBH2:TBH105 TLD2:TLD105 TUZ2:TUZ105 UEV2:UEV105 UOR2:UOR105 UYN2:UYN105 VIJ2:VIJ105 VSF2:VSF105 WCB2:WCB105 WLX2:WLX105 WVT2:WVT105 L65538:L65641 JH65538:JH65641 TD65538:TD65641 ACZ65538:ACZ65641 AMV65538:AMV65641 AWR65538:AWR65641 BGN65538:BGN65641 BQJ65538:BQJ65641 CAF65538:CAF65641 CKB65538:CKB65641 CTX65538:CTX65641 DDT65538:DDT65641 DNP65538:DNP65641 DXL65538:DXL65641 EHH65538:EHH65641 ERD65538:ERD65641 FAZ65538:FAZ65641 FKV65538:FKV65641 FUR65538:FUR65641 GEN65538:GEN65641 GOJ65538:GOJ65641 GYF65538:GYF65641 HIB65538:HIB65641 HRX65538:HRX65641 IBT65538:IBT65641 ILP65538:ILP65641 IVL65538:IVL65641 JFH65538:JFH65641 JPD65538:JPD65641 JYZ65538:JYZ65641 KIV65538:KIV65641 KSR65538:KSR65641 LCN65538:LCN65641 LMJ65538:LMJ65641 LWF65538:LWF65641 MGB65538:MGB65641 MPX65538:MPX65641 MZT65538:MZT65641 NJP65538:NJP65641 NTL65538:NTL65641 ODH65538:ODH65641 OND65538:OND65641 OWZ65538:OWZ65641 PGV65538:PGV65641 PQR65538:PQR65641 QAN65538:QAN65641 QKJ65538:QKJ65641 QUF65538:QUF65641 REB65538:REB65641 RNX65538:RNX65641 RXT65538:RXT65641 SHP65538:SHP65641 SRL65538:SRL65641 TBH65538:TBH65641 TLD65538:TLD65641 TUZ65538:TUZ65641 UEV65538:UEV65641 UOR65538:UOR65641 UYN65538:UYN65641 VIJ65538:VIJ65641 VSF65538:VSF65641 WCB65538:WCB65641 WLX65538:WLX65641 WVT65538:WVT65641 L131074:L131177 JH131074:JH131177 TD131074:TD131177 ACZ131074:ACZ131177 AMV131074:AMV131177 AWR131074:AWR131177 BGN131074:BGN131177 BQJ131074:BQJ131177 CAF131074:CAF131177 CKB131074:CKB131177 CTX131074:CTX131177 DDT131074:DDT131177 DNP131074:DNP131177 DXL131074:DXL131177 EHH131074:EHH131177 ERD131074:ERD131177 FAZ131074:FAZ131177 FKV131074:FKV131177 FUR131074:FUR131177 GEN131074:GEN131177 GOJ131074:GOJ131177 GYF131074:GYF131177 HIB131074:HIB131177 HRX131074:HRX131177 IBT131074:IBT131177 ILP131074:ILP131177 IVL131074:IVL131177 JFH131074:JFH131177 JPD131074:JPD131177 JYZ131074:JYZ131177 KIV131074:KIV131177 KSR131074:KSR131177 LCN131074:LCN131177 LMJ131074:LMJ131177 LWF131074:LWF131177 MGB131074:MGB131177 MPX131074:MPX131177 MZT131074:MZT131177 NJP131074:NJP131177 NTL131074:NTL131177 ODH131074:ODH131177 OND131074:OND131177 OWZ131074:OWZ131177 PGV131074:PGV131177 PQR131074:PQR131177 QAN131074:QAN131177 QKJ131074:QKJ131177 QUF131074:QUF131177 REB131074:REB131177 RNX131074:RNX131177 RXT131074:RXT131177 SHP131074:SHP131177 SRL131074:SRL131177 TBH131074:TBH131177 TLD131074:TLD131177 TUZ131074:TUZ131177 UEV131074:UEV131177 UOR131074:UOR131177 UYN131074:UYN131177 VIJ131074:VIJ131177 VSF131074:VSF131177 WCB131074:WCB131177 WLX131074:WLX131177 WVT131074:WVT131177 L196610:L196713 JH196610:JH196713 TD196610:TD196713 ACZ196610:ACZ196713 AMV196610:AMV196713 AWR196610:AWR196713 BGN196610:BGN196713 BQJ196610:BQJ196713 CAF196610:CAF196713 CKB196610:CKB196713 CTX196610:CTX196713 DDT196610:DDT196713 DNP196610:DNP196713 DXL196610:DXL196713 EHH196610:EHH196713 ERD196610:ERD196713 FAZ196610:FAZ196713 FKV196610:FKV196713 FUR196610:FUR196713 GEN196610:GEN196713 GOJ196610:GOJ196713 GYF196610:GYF196713 HIB196610:HIB196713 HRX196610:HRX196713 IBT196610:IBT196713 ILP196610:ILP196713 IVL196610:IVL196713 JFH196610:JFH196713 JPD196610:JPD196713 JYZ196610:JYZ196713 KIV196610:KIV196713 KSR196610:KSR196713 LCN196610:LCN196713 LMJ196610:LMJ196713 LWF196610:LWF196713 MGB196610:MGB196713 MPX196610:MPX196713 MZT196610:MZT196713 NJP196610:NJP196713 NTL196610:NTL196713 ODH196610:ODH196713 OND196610:OND196713 OWZ196610:OWZ196713 PGV196610:PGV196713 PQR196610:PQR196713 QAN196610:QAN196713 QKJ196610:QKJ196713 QUF196610:QUF196713 REB196610:REB196713 RNX196610:RNX196713 RXT196610:RXT196713 SHP196610:SHP196713 SRL196610:SRL196713 TBH196610:TBH196713 TLD196610:TLD196713 TUZ196610:TUZ196713 UEV196610:UEV196713 UOR196610:UOR196713 UYN196610:UYN196713 VIJ196610:VIJ196713 VSF196610:VSF196713 WCB196610:WCB196713 WLX196610:WLX196713 WVT196610:WVT196713 L262146:L262249 JH262146:JH262249 TD262146:TD262249 ACZ262146:ACZ262249 AMV262146:AMV262249 AWR262146:AWR262249 BGN262146:BGN262249 BQJ262146:BQJ262249 CAF262146:CAF262249 CKB262146:CKB262249 CTX262146:CTX262249 DDT262146:DDT262249 DNP262146:DNP262249 DXL262146:DXL262249 EHH262146:EHH262249 ERD262146:ERD262249 FAZ262146:FAZ262249 FKV262146:FKV262249 FUR262146:FUR262249 GEN262146:GEN262249 GOJ262146:GOJ262249 GYF262146:GYF262249 HIB262146:HIB262249 HRX262146:HRX262249 IBT262146:IBT262249 ILP262146:ILP262249 IVL262146:IVL262249 JFH262146:JFH262249 JPD262146:JPD262249 JYZ262146:JYZ262249 KIV262146:KIV262249 KSR262146:KSR262249 LCN262146:LCN262249 LMJ262146:LMJ262249 LWF262146:LWF262249 MGB262146:MGB262249 MPX262146:MPX262249 MZT262146:MZT262249 NJP262146:NJP262249 NTL262146:NTL262249 ODH262146:ODH262249 OND262146:OND262249 OWZ262146:OWZ262249 PGV262146:PGV262249 PQR262146:PQR262249 QAN262146:QAN262249 QKJ262146:QKJ262249 QUF262146:QUF262249 REB262146:REB262249 RNX262146:RNX262249 RXT262146:RXT262249 SHP262146:SHP262249 SRL262146:SRL262249 TBH262146:TBH262249 TLD262146:TLD262249 TUZ262146:TUZ262249 UEV262146:UEV262249 UOR262146:UOR262249 UYN262146:UYN262249 VIJ262146:VIJ262249 VSF262146:VSF262249 WCB262146:WCB262249 WLX262146:WLX262249 WVT262146:WVT262249 L327682:L327785 JH327682:JH327785 TD327682:TD327785 ACZ327682:ACZ327785 AMV327682:AMV327785 AWR327682:AWR327785 BGN327682:BGN327785 BQJ327682:BQJ327785 CAF327682:CAF327785 CKB327682:CKB327785 CTX327682:CTX327785 DDT327682:DDT327785 DNP327682:DNP327785 DXL327682:DXL327785 EHH327682:EHH327785 ERD327682:ERD327785 FAZ327682:FAZ327785 FKV327682:FKV327785 FUR327682:FUR327785 GEN327682:GEN327785 GOJ327682:GOJ327785 GYF327682:GYF327785 HIB327682:HIB327785 HRX327682:HRX327785 IBT327682:IBT327785 ILP327682:ILP327785 IVL327682:IVL327785 JFH327682:JFH327785 JPD327682:JPD327785 JYZ327682:JYZ327785 KIV327682:KIV327785 KSR327682:KSR327785 LCN327682:LCN327785 LMJ327682:LMJ327785 LWF327682:LWF327785 MGB327682:MGB327785 MPX327682:MPX327785 MZT327682:MZT327785 NJP327682:NJP327785 NTL327682:NTL327785 ODH327682:ODH327785 OND327682:OND327785 OWZ327682:OWZ327785 PGV327682:PGV327785 PQR327682:PQR327785 QAN327682:QAN327785 QKJ327682:QKJ327785 QUF327682:QUF327785 REB327682:REB327785 RNX327682:RNX327785 RXT327682:RXT327785 SHP327682:SHP327785 SRL327682:SRL327785 TBH327682:TBH327785 TLD327682:TLD327785 TUZ327682:TUZ327785 UEV327682:UEV327785 UOR327682:UOR327785 UYN327682:UYN327785 VIJ327682:VIJ327785 VSF327682:VSF327785 WCB327682:WCB327785 WLX327682:WLX327785 WVT327682:WVT327785 L393218:L393321 JH393218:JH393321 TD393218:TD393321 ACZ393218:ACZ393321 AMV393218:AMV393321 AWR393218:AWR393321 BGN393218:BGN393321 BQJ393218:BQJ393321 CAF393218:CAF393321 CKB393218:CKB393321 CTX393218:CTX393321 DDT393218:DDT393321 DNP393218:DNP393321 DXL393218:DXL393321 EHH393218:EHH393321 ERD393218:ERD393321 FAZ393218:FAZ393321 FKV393218:FKV393321 FUR393218:FUR393321 GEN393218:GEN393321 GOJ393218:GOJ393321 GYF393218:GYF393321 HIB393218:HIB393321 HRX393218:HRX393321 IBT393218:IBT393321 ILP393218:ILP393321 IVL393218:IVL393321 JFH393218:JFH393321 JPD393218:JPD393321 JYZ393218:JYZ393321 KIV393218:KIV393321 KSR393218:KSR393321 LCN393218:LCN393321 LMJ393218:LMJ393321 LWF393218:LWF393321 MGB393218:MGB393321 MPX393218:MPX393321 MZT393218:MZT393321 NJP393218:NJP393321 NTL393218:NTL393321 ODH393218:ODH393321 OND393218:OND393321 OWZ393218:OWZ393321 PGV393218:PGV393321 PQR393218:PQR393321 QAN393218:QAN393321 QKJ393218:QKJ393321 QUF393218:QUF393321 REB393218:REB393321 RNX393218:RNX393321 RXT393218:RXT393321 SHP393218:SHP393321 SRL393218:SRL393321 TBH393218:TBH393321 TLD393218:TLD393321 TUZ393218:TUZ393321 UEV393218:UEV393321 UOR393218:UOR393321 UYN393218:UYN393321 VIJ393218:VIJ393321 VSF393218:VSF393321 WCB393218:WCB393321 WLX393218:WLX393321 WVT393218:WVT393321 L458754:L458857 JH458754:JH458857 TD458754:TD458857 ACZ458754:ACZ458857 AMV458754:AMV458857 AWR458754:AWR458857 BGN458754:BGN458857 BQJ458754:BQJ458857 CAF458754:CAF458857 CKB458754:CKB458857 CTX458754:CTX458857 DDT458754:DDT458857 DNP458754:DNP458857 DXL458754:DXL458857 EHH458754:EHH458857 ERD458754:ERD458857 FAZ458754:FAZ458857 FKV458754:FKV458857 FUR458754:FUR458857 GEN458754:GEN458857 GOJ458754:GOJ458857 GYF458754:GYF458857 HIB458754:HIB458857 HRX458754:HRX458857 IBT458754:IBT458857 ILP458754:ILP458857 IVL458754:IVL458857 JFH458754:JFH458857 JPD458754:JPD458857 JYZ458754:JYZ458857 KIV458754:KIV458857 KSR458754:KSR458857 LCN458754:LCN458857 LMJ458754:LMJ458857 LWF458754:LWF458857 MGB458754:MGB458857 MPX458754:MPX458857 MZT458754:MZT458857 NJP458754:NJP458857 NTL458754:NTL458857 ODH458754:ODH458857 OND458754:OND458857 OWZ458754:OWZ458857 PGV458754:PGV458857 PQR458754:PQR458857 QAN458754:QAN458857 QKJ458754:QKJ458857 QUF458754:QUF458857 REB458754:REB458857 RNX458754:RNX458857 RXT458754:RXT458857 SHP458754:SHP458857 SRL458754:SRL458857 TBH458754:TBH458857 TLD458754:TLD458857 TUZ458754:TUZ458857 UEV458754:UEV458857 UOR458754:UOR458857 UYN458754:UYN458857 VIJ458754:VIJ458857 VSF458754:VSF458857 WCB458754:WCB458857 WLX458754:WLX458857 WVT458754:WVT458857 L524290:L524393 JH524290:JH524393 TD524290:TD524393 ACZ524290:ACZ524393 AMV524290:AMV524393 AWR524290:AWR524393 BGN524290:BGN524393 BQJ524290:BQJ524393 CAF524290:CAF524393 CKB524290:CKB524393 CTX524290:CTX524393 DDT524290:DDT524393 DNP524290:DNP524393 DXL524290:DXL524393 EHH524290:EHH524393 ERD524290:ERD524393 FAZ524290:FAZ524393 FKV524290:FKV524393 FUR524290:FUR524393 GEN524290:GEN524393 GOJ524290:GOJ524393 GYF524290:GYF524393 HIB524290:HIB524393 HRX524290:HRX524393 IBT524290:IBT524393 ILP524290:ILP524393 IVL524290:IVL524393 JFH524290:JFH524393 JPD524290:JPD524393 JYZ524290:JYZ524393 KIV524290:KIV524393 KSR524290:KSR524393 LCN524290:LCN524393 LMJ524290:LMJ524393 LWF524290:LWF524393 MGB524290:MGB524393 MPX524290:MPX524393 MZT524290:MZT524393 NJP524290:NJP524393 NTL524290:NTL524393 ODH524290:ODH524393 OND524290:OND524393 OWZ524290:OWZ524393 PGV524290:PGV524393 PQR524290:PQR524393 QAN524290:QAN524393 QKJ524290:QKJ524393 QUF524290:QUF524393 REB524290:REB524393 RNX524290:RNX524393 RXT524290:RXT524393 SHP524290:SHP524393 SRL524290:SRL524393 TBH524290:TBH524393 TLD524290:TLD524393 TUZ524290:TUZ524393 UEV524290:UEV524393 UOR524290:UOR524393 UYN524290:UYN524393 VIJ524290:VIJ524393 VSF524290:VSF524393 WCB524290:WCB524393 WLX524290:WLX524393 WVT524290:WVT524393 L589826:L589929 JH589826:JH589929 TD589826:TD589929 ACZ589826:ACZ589929 AMV589826:AMV589929 AWR589826:AWR589929 BGN589826:BGN589929 BQJ589826:BQJ589929 CAF589826:CAF589929 CKB589826:CKB589929 CTX589826:CTX589929 DDT589826:DDT589929 DNP589826:DNP589929 DXL589826:DXL589929 EHH589826:EHH589929 ERD589826:ERD589929 FAZ589826:FAZ589929 FKV589826:FKV589929 FUR589826:FUR589929 GEN589826:GEN589929 GOJ589826:GOJ589929 GYF589826:GYF589929 HIB589826:HIB589929 HRX589826:HRX589929 IBT589826:IBT589929 ILP589826:ILP589929 IVL589826:IVL589929 JFH589826:JFH589929 JPD589826:JPD589929 JYZ589826:JYZ589929 KIV589826:KIV589929 KSR589826:KSR589929 LCN589826:LCN589929 LMJ589826:LMJ589929 LWF589826:LWF589929 MGB589826:MGB589929 MPX589826:MPX589929 MZT589826:MZT589929 NJP589826:NJP589929 NTL589826:NTL589929 ODH589826:ODH589929 OND589826:OND589929 OWZ589826:OWZ589929 PGV589826:PGV589929 PQR589826:PQR589929 QAN589826:QAN589929 QKJ589826:QKJ589929 QUF589826:QUF589929 REB589826:REB589929 RNX589826:RNX589929 RXT589826:RXT589929 SHP589826:SHP589929 SRL589826:SRL589929 TBH589826:TBH589929 TLD589826:TLD589929 TUZ589826:TUZ589929 UEV589826:UEV589929 UOR589826:UOR589929 UYN589826:UYN589929 VIJ589826:VIJ589929 VSF589826:VSF589929 WCB589826:WCB589929 WLX589826:WLX589929 WVT589826:WVT589929 L655362:L655465 JH655362:JH655465 TD655362:TD655465 ACZ655362:ACZ655465 AMV655362:AMV655465 AWR655362:AWR655465 BGN655362:BGN655465 BQJ655362:BQJ655465 CAF655362:CAF655465 CKB655362:CKB655465 CTX655362:CTX655465 DDT655362:DDT655465 DNP655362:DNP655465 DXL655362:DXL655465 EHH655362:EHH655465 ERD655362:ERD655465 FAZ655362:FAZ655465 FKV655362:FKV655465 FUR655362:FUR655465 GEN655362:GEN655465 GOJ655362:GOJ655465 GYF655362:GYF655465 HIB655362:HIB655465 HRX655362:HRX655465 IBT655362:IBT655465 ILP655362:ILP655465 IVL655362:IVL655465 JFH655362:JFH655465 JPD655362:JPD655465 JYZ655362:JYZ655465 KIV655362:KIV655465 KSR655362:KSR655465 LCN655362:LCN655465 LMJ655362:LMJ655465 LWF655362:LWF655465 MGB655362:MGB655465 MPX655362:MPX655465 MZT655362:MZT655465 NJP655362:NJP655465 NTL655362:NTL655465 ODH655362:ODH655465 OND655362:OND655465 OWZ655362:OWZ655465 PGV655362:PGV655465 PQR655362:PQR655465 QAN655362:QAN655465 QKJ655362:QKJ655465 QUF655362:QUF655465 REB655362:REB655465 RNX655362:RNX655465 RXT655362:RXT655465 SHP655362:SHP655465 SRL655362:SRL655465 TBH655362:TBH655465 TLD655362:TLD655465 TUZ655362:TUZ655465 UEV655362:UEV655465 UOR655362:UOR655465 UYN655362:UYN655465 VIJ655362:VIJ655465 VSF655362:VSF655465 WCB655362:WCB655465 WLX655362:WLX655465 WVT655362:WVT655465 L720898:L721001 JH720898:JH721001 TD720898:TD721001 ACZ720898:ACZ721001 AMV720898:AMV721001 AWR720898:AWR721001 BGN720898:BGN721001 BQJ720898:BQJ721001 CAF720898:CAF721001 CKB720898:CKB721001 CTX720898:CTX721001 DDT720898:DDT721001 DNP720898:DNP721001 DXL720898:DXL721001 EHH720898:EHH721001 ERD720898:ERD721001 FAZ720898:FAZ721001 FKV720898:FKV721001 FUR720898:FUR721001 GEN720898:GEN721001 GOJ720898:GOJ721001 GYF720898:GYF721001 HIB720898:HIB721001 HRX720898:HRX721001 IBT720898:IBT721001 ILP720898:ILP721001 IVL720898:IVL721001 JFH720898:JFH721001 JPD720898:JPD721001 JYZ720898:JYZ721001 KIV720898:KIV721001 KSR720898:KSR721001 LCN720898:LCN721001 LMJ720898:LMJ721001 LWF720898:LWF721001 MGB720898:MGB721001 MPX720898:MPX721001 MZT720898:MZT721001 NJP720898:NJP721001 NTL720898:NTL721001 ODH720898:ODH721001 OND720898:OND721001 OWZ720898:OWZ721001 PGV720898:PGV721001 PQR720898:PQR721001 QAN720898:QAN721001 QKJ720898:QKJ721001 QUF720898:QUF721001 REB720898:REB721001 RNX720898:RNX721001 RXT720898:RXT721001 SHP720898:SHP721001 SRL720898:SRL721001 TBH720898:TBH721001 TLD720898:TLD721001 TUZ720898:TUZ721001 UEV720898:UEV721001 UOR720898:UOR721001 UYN720898:UYN721001 VIJ720898:VIJ721001 VSF720898:VSF721001 WCB720898:WCB721001 WLX720898:WLX721001 WVT720898:WVT721001 L786434:L786537 JH786434:JH786537 TD786434:TD786537 ACZ786434:ACZ786537 AMV786434:AMV786537 AWR786434:AWR786537 BGN786434:BGN786537 BQJ786434:BQJ786537 CAF786434:CAF786537 CKB786434:CKB786537 CTX786434:CTX786537 DDT786434:DDT786537 DNP786434:DNP786537 DXL786434:DXL786537 EHH786434:EHH786537 ERD786434:ERD786537 FAZ786434:FAZ786537 FKV786434:FKV786537 FUR786434:FUR786537 GEN786434:GEN786537 GOJ786434:GOJ786537 GYF786434:GYF786537 HIB786434:HIB786537 HRX786434:HRX786537 IBT786434:IBT786537 ILP786434:ILP786537 IVL786434:IVL786537 JFH786434:JFH786537 JPD786434:JPD786537 JYZ786434:JYZ786537 KIV786434:KIV786537 KSR786434:KSR786537 LCN786434:LCN786537 LMJ786434:LMJ786537 LWF786434:LWF786537 MGB786434:MGB786537 MPX786434:MPX786537 MZT786434:MZT786537 NJP786434:NJP786537 NTL786434:NTL786537 ODH786434:ODH786537 OND786434:OND786537 OWZ786434:OWZ786537 PGV786434:PGV786537 PQR786434:PQR786537 QAN786434:QAN786537 QKJ786434:QKJ786537 QUF786434:QUF786537 REB786434:REB786537 RNX786434:RNX786537 RXT786434:RXT786537 SHP786434:SHP786537 SRL786434:SRL786537 TBH786434:TBH786537 TLD786434:TLD786537 TUZ786434:TUZ786537 UEV786434:UEV786537 UOR786434:UOR786537 UYN786434:UYN786537 VIJ786434:VIJ786537 VSF786434:VSF786537 WCB786434:WCB786537 WLX786434:WLX786537 WVT786434:WVT786537 L851970:L852073 JH851970:JH852073 TD851970:TD852073 ACZ851970:ACZ852073 AMV851970:AMV852073 AWR851970:AWR852073 BGN851970:BGN852073 BQJ851970:BQJ852073 CAF851970:CAF852073 CKB851970:CKB852073 CTX851970:CTX852073 DDT851970:DDT852073 DNP851970:DNP852073 DXL851970:DXL852073 EHH851970:EHH852073 ERD851970:ERD852073 FAZ851970:FAZ852073 FKV851970:FKV852073 FUR851970:FUR852073 GEN851970:GEN852073 GOJ851970:GOJ852073 GYF851970:GYF852073 HIB851970:HIB852073 HRX851970:HRX852073 IBT851970:IBT852073 ILP851970:ILP852073 IVL851970:IVL852073 JFH851970:JFH852073 JPD851970:JPD852073 JYZ851970:JYZ852073 KIV851970:KIV852073 KSR851970:KSR852073 LCN851970:LCN852073 LMJ851970:LMJ852073 LWF851970:LWF852073 MGB851970:MGB852073 MPX851970:MPX852073 MZT851970:MZT852073 NJP851970:NJP852073 NTL851970:NTL852073 ODH851970:ODH852073 OND851970:OND852073 OWZ851970:OWZ852073 PGV851970:PGV852073 PQR851970:PQR852073 QAN851970:QAN852073 QKJ851970:QKJ852073 QUF851970:QUF852073 REB851970:REB852073 RNX851970:RNX852073 RXT851970:RXT852073 SHP851970:SHP852073 SRL851970:SRL852073 TBH851970:TBH852073 TLD851970:TLD852073 TUZ851970:TUZ852073 UEV851970:UEV852073 UOR851970:UOR852073 UYN851970:UYN852073 VIJ851970:VIJ852073 VSF851970:VSF852073 WCB851970:WCB852073 WLX851970:WLX852073 WVT851970:WVT852073 L917506:L917609 JH917506:JH917609 TD917506:TD917609 ACZ917506:ACZ917609 AMV917506:AMV917609 AWR917506:AWR917609 BGN917506:BGN917609 BQJ917506:BQJ917609 CAF917506:CAF917609 CKB917506:CKB917609 CTX917506:CTX917609 DDT917506:DDT917609 DNP917506:DNP917609 DXL917506:DXL917609 EHH917506:EHH917609 ERD917506:ERD917609 FAZ917506:FAZ917609 FKV917506:FKV917609 FUR917506:FUR917609 GEN917506:GEN917609 GOJ917506:GOJ917609 GYF917506:GYF917609 HIB917506:HIB917609 HRX917506:HRX917609 IBT917506:IBT917609 ILP917506:ILP917609 IVL917506:IVL917609 JFH917506:JFH917609 JPD917506:JPD917609 JYZ917506:JYZ917609 KIV917506:KIV917609 KSR917506:KSR917609 LCN917506:LCN917609 LMJ917506:LMJ917609 LWF917506:LWF917609 MGB917506:MGB917609 MPX917506:MPX917609 MZT917506:MZT917609 NJP917506:NJP917609 NTL917506:NTL917609 ODH917506:ODH917609 OND917506:OND917609 OWZ917506:OWZ917609 PGV917506:PGV917609 PQR917506:PQR917609 QAN917506:QAN917609 QKJ917506:QKJ917609 QUF917506:QUF917609 REB917506:REB917609 RNX917506:RNX917609 RXT917506:RXT917609 SHP917506:SHP917609 SRL917506:SRL917609 TBH917506:TBH917609 TLD917506:TLD917609 TUZ917506:TUZ917609 UEV917506:UEV917609 UOR917506:UOR917609 UYN917506:UYN917609 VIJ917506:VIJ917609 VSF917506:VSF917609 WCB917506:WCB917609 WLX917506:WLX917609 WVT917506:WVT917609 L983042:L983145 JH983042:JH983145 TD983042:TD983145 ACZ983042:ACZ983145 AMV983042:AMV983145 AWR983042:AWR983145 BGN983042:BGN983145 BQJ983042:BQJ983145 CAF983042:CAF983145 CKB983042:CKB983145 CTX983042:CTX983145 DDT983042:DDT983145 DNP983042:DNP983145 DXL983042:DXL983145 EHH983042:EHH983145 ERD983042:ERD983145 FAZ983042:FAZ983145 FKV983042:FKV983145 FUR983042:FUR983145 GEN983042:GEN983145 GOJ983042:GOJ983145 GYF983042:GYF983145 HIB983042:HIB983145 HRX983042:HRX983145 IBT983042:IBT983145 ILP983042:ILP983145 IVL983042:IVL983145 JFH983042:JFH983145 JPD983042:JPD983145 JYZ983042:JYZ983145 KIV983042:KIV983145 KSR983042:KSR983145 LCN983042:LCN983145 LMJ983042:LMJ983145 LWF983042:LWF983145 MGB983042:MGB983145 MPX983042:MPX983145 MZT983042:MZT983145 NJP983042:NJP983145 NTL983042:NTL983145 ODH983042:ODH983145 OND983042:OND983145 OWZ983042:OWZ983145 PGV983042:PGV983145 PQR983042:PQR983145 QAN983042:QAN983145 QKJ983042:QKJ983145 QUF983042:QUF983145 REB983042:REB983145 RNX983042:RNX983145 RXT983042:RXT983145 SHP983042:SHP983145 SRL983042:SRL983145 TBH983042:TBH983145 TLD983042:TLD983145 TUZ983042:TUZ983145 UEV983042:UEV983145 UOR983042:UOR983145 UYN983042:UYN983145 VIJ983042:VIJ983145 VSF983042:VSF983145 WCB983042:WCB983145 WLX983042:WLX983145 WVT983042:WVT983145" xr:uid="{489073C9-DED1-4E0F-9772-1F60D128CF05}">
      <formula1>0</formula1>
      <formula2>0</formula2>
    </dataValidation>
    <dataValidation type="decimal" operator="greaterThanOrEqual" allowBlank="1" showInputMessage="1" showErrorMessage="1" error="Please Enter Valid Item FOB Value (In USD)" prompt="Please Enter  Numeric Value" sqref="N2:N105 JJ2:JJ105 TF2:TF105 ADB2:ADB105 AMX2:AMX105 AWT2:AWT105 BGP2:BGP105 BQL2:BQL105 CAH2:CAH105 CKD2:CKD105 CTZ2:CTZ105 DDV2:DDV105 DNR2:DNR105 DXN2:DXN105 EHJ2:EHJ105 ERF2:ERF105 FBB2:FBB105 FKX2:FKX105 FUT2:FUT105 GEP2:GEP105 GOL2:GOL105 GYH2:GYH105 HID2:HID105 HRZ2:HRZ105 IBV2:IBV105 ILR2:ILR105 IVN2:IVN105 JFJ2:JFJ105 JPF2:JPF105 JZB2:JZB105 KIX2:KIX105 KST2:KST105 LCP2:LCP105 LML2:LML105 LWH2:LWH105 MGD2:MGD105 MPZ2:MPZ105 MZV2:MZV105 NJR2:NJR105 NTN2:NTN105 ODJ2:ODJ105 ONF2:ONF105 OXB2:OXB105 PGX2:PGX105 PQT2:PQT105 QAP2:QAP105 QKL2:QKL105 QUH2:QUH105 RED2:RED105 RNZ2:RNZ105 RXV2:RXV105 SHR2:SHR105 SRN2:SRN105 TBJ2:TBJ105 TLF2:TLF105 TVB2:TVB105 UEX2:UEX105 UOT2:UOT105 UYP2:UYP105 VIL2:VIL105 VSH2:VSH105 WCD2:WCD105 WLZ2:WLZ105 WVV2:WVV105 N65538:N65641 JJ65538:JJ65641 TF65538:TF65641 ADB65538:ADB65641 AMX65538:AMX65641 AWT65538:AWT65641 BGP65538:BGP65641 BQL65538:BQL65641 CAH65538:CAH65641 CKD65538:CKD65641 CTZ65538:CTZ65641 DDV65538:DDV65641 DNR65538:DNR65641 DXN65538:DXN65641 EHJ65538:EHJ65641 ERF65538:ERF65641 FBB65538:FBB65641 FKX65538:FKX65641 FUT65538:FUT65641 GEP65538:GEP65641 GOL65538:GOL65641 GYH65538:GYH65641 HID65538:HID65641 HRZ65538:HRZ65641 IBV65538:IBV65641 ILR65538:ILR65641 IVN65538:IVN65641 JFJ65538:JFJ65641 JPF65538:JPF65641 JZB65538:JZB65641 KIX65538:KIX65641 KST65538:KST65641 LCP65538:LCP65641 LML65538:LML65641 LWH65538:LWH65641 MGD65538:MGD65641 MPZ65538:MPZ65641 MZV65538:MZV65641 NJR65538:NJR65641 NTN65538:NTN65641 ODJ65538:ODJ65641 ONF65538:ONF65641 OXB65538:OXB65641 PGX65538:PGX65641 PQT65538:PQT65641 QAP65538:QAP65641 QKL65538:QKL65641 QUH65538:QUH65641 RED65538:RED65641 RNZ65538:RNZ65641 RXV65538:RXV65641 SHR65538:SHR65641 SRN65538:SRN65641 TBJ65538:TBJ65641 TLF65538:TLF65641 TVB65538:TVB65641 UEX65538:UEX65641 UOT65538:UOT65641 UYP65538:UYP65641 VIL65538:VIL65641 VSH65538:VSH65641 WCD65538:WCD65641 WLZ65538:WLZ65641 WVV65538:WVV65641 N131074:N131177 JJ131074:JJ131177 TF131074:TF131177 ADB131074:ADB131177 AMX131074:AMX131177 AWT131074:AWT131177 BGP131074:BGP131177 BQL131074:BQL131177 CAH131074:CAH131177 CKD131074:CKD131177 CTZ131074:CTZ131177 DDV131074:DDV131177 DNR131074:DNR131177 DXN131074:DXN131177 EHJ131074:EHJ131177 ERF131074:ERF131177 FBB131074:FBB131177 FKX131074:FKX131177 FUT131074:FUT131177 GEP131074:GEP131177 GOL131074:GOL131177 GYH131074:GYH131177 HID131074:HID131177 HRZ131074:HRZ131177 IBV131074:IBV131177 ILR131074:ILR131177 IVN131074:IVN131177 JFJ131074:JFJ131177 JPF131074:JPF131177 JZB131074:JZB131177 KIX131074:KIX131177 KST131074:KST131177 LCP131074:LCP131177 LML131074:LML131177 LWH131074:LWH131177 MGD131074:MGD131177 MPZ131074:MPZ131177 MZV131074:MZV131177 NJR131074:NJR131177 NTN131074:NTN131177 ODJ131074:ODJ131177 ONF131074:ONF131177 OXB131074:OXB131177 PGX131074:PGX131177 PQT131074:PQT131177 QAP131074:QAP131177 QKL131074:QKL131177 QUH131074:QUH131177 RED131074:RED131177 RNZ131074:RNZ131177 RXV131074:RXV131177 SHR131074:SHR131177 SRN131074:SRN131177 TBJ131074:TBJ131177 TLF131074:TLF131177 TVB131074:TVB131177 UEX131074:UEX131177 UOT131074:UOT131177 UYP131074:UYP131177 VIL131074:VIL131177 VSH131074:VSH131177 WCD131074:WCD131177 WLZ131074:WLZ131177 WVV131074:WVV131177 N196610:N196713 JJ196610:JJ196713 TF196610:TF196713 ADB196610:ADB196713 AMX196610:AMX196713 AWT196610:AWT196713 BGP196610:BGP196713 BQL196610:BQL196713 CAH196610:CAH196713 CKD196610:CKD196713 CTZ196610:CTZ196713 DDV196610:DDV196713 DNR196610:DNR196713 DXN196610:DXN196713 EHJ196610:EHJ196713 ERF196610:ERF196713 FBB196610:FBB196713 FKX196610:FKX196713 FUT196610:FUT196713 GEP196610:GEP196713 GOL196610:GOL196713 GYH196610:GYH196713 HID196610:HID196713 HRZ196610:HRZ196713 IBV196610:IBV196713 ILR196610:ILR196713 IVN196610:IVN196713 JFJ196610:JFJ196713 JPF196610:JPF196713 JZB196610:JZB196713 KIX196610:KIX196713 KST196610:KST196713 LCP196610:LCP196713 LML196610:LML196713 LWH196610:LWH196713 MGD196610:MGD196713 MPZ196610:MPZ196713 MZV196610:MZV196713 NJR196610:NJR196713 NTN196610:NTN196713 ODJ196610:ODJ196713 ONF196610:ONF196713 OXB196610:OXB196713 PGX196610:PGX196713 PQT196610:PQT196713 QAP196610:QAP196713 QKL196610:QKL196713 QUH196610:QUH196713 RED196610:RED196713 RNZ196610:RNZ196713 RXV196610:RXV196713 SHR196610:SHR196713 SRN196610:SRN196713 TBJ196610:TBJ196713 TLF196610:TLF196713 TVB196610:TVB196713 UEX196610:UEX196713 UOT196610:UOT196713 UYP196610:UYP196713 VIL196610:VIL196713 VSH196610:VSH196713 WCD196610:WCD196713 WLZ196610:WLZ196713 WVV196610:WVV196713 N262146:N262249 JJ262146:JJ262249 TF262146:TF262249 ADB262146:ADB262249 AMX262146:AMX262249 AWT262146:AWT262249 BGP262146:BGP262249 BQL262146:BQL262249 CAH262146:CAH262249 CKD262146:CKD262249 CTZ262146:CTZ262249 DDV262146:DDV262249 DNR262146:DNR262249 DXN262146:DXN262249 EHJ262146:EHJ262249 ERF262146:ERF262249 FBB262146:FBB262249 FKX262146:FKX262249 FUT262146:FUT262249 GEP262146:GEP262249 GOL262146:GOL262249 GYH262146:GYH262249 HID262146:HID262249 HRZ262146:HRZ262249 IBV262146:IBV262249 ILR262146:ILR262249 IVN262146:IVN262249 JFJ262146:JFJ262249 JPF262146:JPF262249 JZB262146:JZB262249 KIX262146:KIX262249 KST262146:KST262249 LCP262146:LCP262249 LML262146:LML262249 LWH262146:LWH262249 MGD262146:MGD262249 MPZ262146:MPZ262249 MZV262146:MZV262249 NJR262146:NJR262249 NTN262146:NTN262249 ODJ262146:ODJ262249 ONF262146:ONF262249 OXB262146:OXB262249 PGX262146:PGX262249 PQT262146:PQT262249 QAP262146:QAP262249 QKL262146:QKL262249 QUH262146:QUH262249 RED262146:RED262249 RNZ262146:RNZ262249 RXV262146:RXV262249 SHR262146:SHR262249 SRN262146:SRN262249 TBJ262146:TBJ262249 TLF262146:TLF262249 TVB262146:TVB262249 UEX262146:UEX262249 UOT262146:UOT262249 UYP262146:UYP262249 VIL262146:VIL262249 VSH262146:VSH262249 WCD262146:WCD262249 WLZ262146:WLZ262249 WVV262146:WVV262249 N327682:N327785 JJ327682:JJ327785 TF327682:TF327785 ADB327682:ADB327785 AMX327682:AMX327785 AWT327682:AWT327785 BGP327682:BGP327785 BQL327682:BQL327785 CAH327682:CAH327785 CKD327682:CKD327785 CTZ327682:CTZ327785 DDV327682:DDV327785 DNR327682:DNR327785 DXN327682:DXN327785 EHJ327682:EHJ327785 ERF327682:ERF327785 FBB327682:FBB327785 FKX327682:FKX327785 FUT327682:FUT327785 GEP327682:GEP327785 GOL327682:GOL327785 GYH327682:GYH327785 HID327682:HID327785 HRZ327682:HRZ327785 IBV327682:IBV327785 ILR327682:ILR327785 IVN327682:IVN327785 JFJ327682:JFJ327785 JPF327682:JPF327785 JZB327682:JZB327785 KIX327682:KIX327785 KST327682:KST327785 LCP327682:LCP327785 LML327682:LML327785 LWH327682:LWH327785 MGD327682:MGD327785 MPZ327682:MPZ327785 MZV327682:MZV327785 NJR327682:NJR327785 NTN327682:NTN327785 ODJ327682:ODJ327785 ONF327682:ONF327785 OXB327682:OXB327785 PGX327682:PGX327785 PQT327682:PQT327785 QAP327682:QAP327785 QKL327682:QKL327785 QUH327682:QUH327785 RED327682:RED327785 RNZ327682:RNZ327785 RXV327682:RXV327785 SHR327682:SHR327785 SRN327682:SRN327785 TBJ327682:TBJ327785 TLF327682:TLF327785 TVB327682:TVB327785 UEX327682:UEX327785 UOT327682:UOT327785 UYP327682:UYP327785 VIL327682:VIL327785 VSH327682:VSH327785 WCD327682:WCD327785 WLZ327682:WLZ327785 WVV327682:WVV327785 N393218:N393321 JJ393218:JJ393321 TF393218:TF393321 ADB393218:ADB393321 AMX393218:AMX393321 AWT393218:AWT393321 BGP393218:BGP393321 BQL393218:BQL393321 CAH393218:CAH393321 CKD393218:CKD393321 CTZ393218:CTZ393321 DDV393218:DDV393321 DNR393218:DNR393321 DXN393218:DXN393321 EHJ393218:EHJ393321 ERF393218:ERF393321 FBB393218:FBB393321 FKX393218:FKX393321 FUT393218:FUT393321 GEP393218:GEP393321 GOL393218:GOL393321 GYH393218:GYH393321 HID393218:HID393321 HRZ393218:HRZ393321 IBV393218:IBV393321 ILR393218:ILR393321 IVN393218:IVN393321 JFJ393218:JFJ393321 JPF393218:JPF393321 JZB393218:JZB393321 KIX393218:KIX393321 KST393218:KST393321 LCP393218:LCP393321 LML393218:LML393321 LWH393218:LWH393321 MGD393218:MGD393321 MPZ393218:MPZ393321 MZV393218:MZV393321 NJR393218:NJR393321 NTN393218:NTN393321 ODJ393218:ODJ393321 ONF393218:ONF393321 OXB393218:OXB393321 PGX393218:PGX393321 PQT393218:PQT393321 QAP393218:QAP393321 QKL393218:QKL393321 QUH393218:QUH393321 RED393218:RED393321 RNZ393218:RNZ393321 RXV393218:RXV393321 SHR393218:SHR393321 SRN393218:SRN393321 TBJ393218:TBJ393321 TLF393218:TLF393321 TVB393218:TVB393321 UEX393218:UEX393321 UOT393218:UOT393321 UYP393218:UYP393321 VIL393218:VIL393321 VSH393218:VSH393321 WCD393218:WCD393321 WLZ393218:WLZ393321 WVV393218:WVV393321 N458754:N458857 JJ458754:JJ458857 TF458754:TF458857 ADB458754:ADB458857 AMX458754:AMX458857 AWT458754:AWT458857 BGP458754:BGP458857 BQL458754:BQL458857 CAH458754:CAH458857 CKD458754:CKD458857 CTZ458754:CTZ458857 DDV458754:DDV458857 DNR458754:DNR458857 DXN458754:DXN458857 EHJ458754:EHJ458857 ERF458754:ERF458857 FBB458754:FBB458857 FKX458754:FKX458857 FUT458754:FUT458857 GEP458754:GEP458857 GOL458754:GOL458857 GYH458754:GYH458857 HID458754:HID458857 HRZ458754:HRZ458857 IBV458754:IBV458857 ILR458754:ILR458857 IVN458754:IVN458857 JFJ458754:JFJ458857 JPF458754:JPF458857 JZB458754:JZB458857 KIX458754:KIX458857 KST458754:KST458857 LCP458754:LCP458857 LML458754:LML458857 LWH458754:LWH458857 MGD458754:MGD458857 MPZ458754:MPZ458857 MZV458754:MZV458857 NJR458754:NJR458857 NTN458754:NTN458857 ODJ458754:ODJ458857 ONF458754:ONF458857 OXB458754:OXB458857 PGX458754:PGX458857 PQT458754:PQT458857 QAP458754:QAP458857 QKL458754:QKL458857 QUH458754:QUH458857 RED458754:RED458857 RNZ458754:RNZ458857 RXV458754:RXV458857 SHR458754:SHR458857 SRN458754:SRN458857 TBJ458754:TBJ458857 TLF458754:TLF458857 TVB458754:TVB458857 UEX458754:UEX458857 UOT458754:UOT458857 UYP458754:UYP458857 VIL458754:VIL458857 VSH458754:VSH458857 WCD458754:WCD458857 WLZ458754:WLZ458857 WVV458754:WVV458857 N524290:N524393 JJ524290:JJ524393 TF524290:TF524393 ADB524290:ADB524393 AMX524290:AMX524393 AWT524290:AWT524393 BGP524290:BGP524393 BQL524290:BQL524393 CAH524290:CAH524393 CKD524290:CKD524393 CTZ524290:CTZ524393 DDV524290:DDV524393 DNR524290:DNR524393 DXN524290:DXN524393 EHJ524290:EHJ524393 ERF524290:ERF524393 FBB524290:FBB524393 FKX524290:FKX524393 FUT524290:FUT524393 GEP524290:GEP524393 GOL524290:GOL524393 GYH524290:GYH524393 HID524290:HID524393 HRZ524290:HRZ524393 IBV524290:IBV524393 ILR524290:ILR524393 IVN524290:IVN524393 JFJ524290:JFJ524393 JPF524290:JPF524393 JZB524290:JZB524393 KIX524290:KIX524393 KST524290:KST524393 LCP524290:LCP524393 LML524290:LML524393 LWH524290:LWH524393 MGD524290:MGD524393 MPZ524290:MPZ524393 MZV524290:MZV524393 NJR524290:NJR524393 NTN524290:NTN524393 ODJ524290:ODJ524393 ONF524290:ONF524393 OXB524290:OXB524393 PGX524290:PGX524393 PQT524290:PQT524393 QAP524290:QAP524393 QKL524290:QKL524393 QUH524290:QUH524393 RED524290:RED524393 RNZ524290:RNZ524393 RXV524290:RXV524393 SHR524290:SHR524393 SRN524290:SRN524393 TBJ524290:TBJ524393 TLF524290:TLF524393 TVB524290:TVB524393 UEX524290:UEX524393 UOT524290:UOT524393 UYP524290:UYP524393 VIL524290:VIL524393 VSH524290:VSH524393 WCD524290:WCD524393 WLZ524290:WLZ524393 WVV524290:WVV524393 N589826:N589929 JJ589826:JJ589929 TF589826:TF589929 ADB589826:ADB589929 AMX589826:AMX589929 AWT589826:AWT589929 BGP589826:BGP589929 BQL589826:BQL589929 CAH589826:CAH589929 CKD589826:CKD589929 CTZ589826:CTZ589929 DDV589826:DDV589929 DNR589826:DNR589929 DXN589826:DXN589929 EHJ589826:EHJ589929 ERF589826:ERF589929 FBB589826:FBB589929 FKX589826:FKX589929 FUT589826:FUT589929 GEP589826:GEP589929 GOL589826:GOL589929 GYH589826:GYH589929 HID589826:HID589929 HRZ589826:HRZ589929 IBV589826:IBV589929 ILR589826:ILR589929 IVN589826:IVN589929 JFJ589826:JFJ589929 JPF589826:JPF589929 JZB589826:JZB589929 KIX589826:KIX589929 KST589826:KST589929 LCP589826:LCP589929 LML589826:LML589929 LWH589826:LWH589929 MGD589826:MGD589929 MPZ589826:MPZ589929 MZV589826:MZV589929 NJR589826:NJR589929 NTN589826:NTN589929 ODJ589826:ODJ589929 ONF589826:ONF589929 OXB589826:OXB589929 PGX589826:PGX589929 PQT589826:PQT589929 QAP589826:QAP589929 QKL589826:QKL589929 QUH589826:QUH589929 RED589826:RED589929 RNZ589826:RNZ589929 RXV589826:RXV589929 SHR589826:SHR589929 SRN589826:SRN589929 TBJ589826:TBJ589929 TLF589826:TLF589929 TVB589826:TVB589929 UEX589826:UEX589929 UOT589826:UOT589929 UYP589826:UYP589929 VIL589826:VIL589929 VSH589826:VSH589929 WCD589826:WCD589929 WLZ589826:WLZ589929 WVV589826:WVV589929 N655362:N655465 JJ655362:JJ655465 TF655362:TF655465 ADB655362:ADB655465 AMX655362:AMX655465 AWT655362:AWT655465 BGP655362:BGP655465 BQL655362:BQL655465 CAH655362:CAH655465 CKD655362:CKD655465 CTZ655362:CTZ655465 DDV655362:DDV655465 DNR655362:DNR655465 DXN655362:DXN655465 EHJ655362:EHJ655465 ERF655362:ERF655465 FBB655362:FBB655465 FKX655362:FKX655465 FUT655362:FUT655465 GEP655362:GEP655465 GOL655362:GOL655465 GYH655362:GYH655465 HID655362:HID655465 HRZ655362:HRZ655465 IBV655362:IBV655465 ILR655362:ILR655465 IVN655362:IVN655465 JFJ655362:JFJ655465 JPF655362:JPF655465 JZB655362:JZB655465 KIX655362:KIX655465 KST655362:KST655465 LCP655362:LCP655465 LML655362:LML655465 LWH655362:LWH655465 MGD655362:MGD655465 MPZ655362:MPZ655465 MZV655362:MZV655465 NJR655362:NJR655465 NTN655362:NTN655465 ODJ655362:ODJ655465 ONF655362:ONF655465 OXB655362:OXB655465 PGX655362:PGX655465 PQT655362:PQT655465 QAP655362:QAP655465 QKL655362:QKL655465 QUH655362:QUH655465 RED655362:RED655465 RNZ655362:RNZ655465 RXV655362:RXV655465 SHR655362:SHR655465 SRN655362:SRN655465 TBJ655362:TBJ655465 TLF655362:TLF655465 TVB655362:TVB655465 UEX655362:UEX655465 UOT655362:UOT655465 UYP655362:UYP655465 VIL655362:VIL655465 VSH655362:VSH655465 WCD655362:WCD655465 WLZ655362:WLZ655465 WVV655362:WVV655465 N720898:N721001 JJ720898:JJ721001 TF720898:TF721001 ADB720898:ADB721001 AMX720898:AMX721001 AWT720898:AWT721001 BGP720898:BGP721001 BQL720898:BQL721001 CAH720898:CAH721001 CKD720898:CKD721001 CTZ720898:CTZ721001 DDV720898:DDV721001 DNR720898:DNR721001 DXN720898:DXN721001 EHJ720898:EHJ721001 ERF720898:ERF721001 FBB720898:FBB721001 FKX720898:FKX721001 FUT720898:FUT721001 GEP720898:GEP721001 GOL720898:GOL721001 GYH720898:GYH721001 HID720898:HID721001 HRZ720898:HRZ721001 IBV720898:IBV721001 ILR720898:ILR721001 IVN720898:IVN721001 JFJ720898:JFJ721001 JPF720898:JPF721001 JZB720898:JZB721001 KIX720898:KIX721001 KST720898:KST721001 LCP720898:LCP721001 LML720898:LML721001 LWH720898:LWH721001 MGD720898:MGD721001 MPZ720898:MPZ721001 MZV720898:MZV721001 NJR720898:NJR721001 NTN720898:NTN721001 ODJ720898:ODJ721001 ONF720898:ONF721001 OXB720898:OXB721001 PGX720898:PGX721001 PQT720898:PQT721001 QAP720898:QAP721001 QKL720898:QKL721001 QUH720898:QUH721001 RED720898:RED721001 RNZ720898:RNZ721001 RXV720898:RXV721001 SHR720898:SHR721001 SRN720898:SRN721001 TBJ720898:TBJ721001 TLF720898:TLF721001 TVB720898:TVB721001 UEX720898:UEX721001 UOT720898:UOT721001 UYP720898:UYP721001 VIL720898:VIL721001 VSH720898:VSH721001 WCD720898:WCD721001 WLZ720898:WLZ721001 WVV720898:WVV721001 N786434:N786537 JJ786434:JJ786537 TF786434:TF786537 ADB786434:ADB786537 AMX786434:AMX786537 AWT786434:AWT786537 BGP786434:BGP786537 BQL786434:BQL786537 CAH786434:CAH786537 CKD786434:CKD786537 CTZ786434:CTZ786537 DDV786434:DDV786537 DNR786434:DNR786537 DXN786434:DXN786537 EHJ786434:EHJ786537 ERF786434:ERF786537 FBB786434:FBB786537 FKX786434:FKX786537 FUT786434:FUT786537 GEP786434:GEP786537 GOL786434:GOL786537 GYH786434:GYH786537 HID786434:HID786537 HRZ786434:HRZ786537 IBV786434:IBV786537 ILR786434:ILR786537 IVN786434:IVN786537 JFJ786434:JFJ786537 JPF786434:JPF786537 JZB786434:JZB786537 KIX786434:KIX786537 KST786434:KST786537 LCP786434:LCP786537 LML786434:LML786537 LWH786434:LWH786537 MGD786434:MGD786537 MPZ786434:MPZ786537 MZV786434:MZV786537 NJR786434:NJR786537 NTN786434:NTN786537 ODJ786434:ODJ786537 ONF786434:ONF786537 OXB786434:OXB786537 PGX786434:PGX786537 PQT786434:PQT786537 QAP786434:QAP786537 QKL786434:QKL786537 QUH786434:QUH786537 RED786434:RED786537 RNZ786434:RNZ786537 RXV786434:RXV786537 SHR786434:SHR786537 SRN786434:SRN786537 TBJ786434:TBJ786537 TLF786434:TLF786537 TVB786434:TVB786537 UEX786434:UEX786537 UOT786434:UOT786537 UYP786434:UYP786537 VIL786434:VIL786537 VSH786434:VSH786537 WCD786434:WCD786537 WLZ786434:WLZ786537 WVV786434:WVV786537 N851970:N852073 JJ851970:JJ852073 TF851970:TF852073 ADB851970:ADB852073 AMX851970:AMX852073 AWT851970:AWT852073 BGP851970:BGP852073 BQL851970:BQL852073 CAH851970:CAH852073 CKD851970:CKD852073 CTZ851970:CTZ852073 DDV851970:DDV852073 DNR851970:DNR852073 DXN851970:DXN852073 EHJ851970:EHJ852073 ERF851970:ERF852073 FBB851970:FBB852073 FKX851970:FKX852073 FUT851970:FUT852073 GEP851970:GEP852073 GOL851970:GOL852073 GYH851970:GYH852073 HID851970:HID852073 HRZ851970:HRZ852073 IBV851970:IBV852073 ILR851970:ILR852073 IVN851970:IVN852073 JFJ851970:JFJ852073 JPF851970:JPF852073 JZB851970:JZB852073 KIX851970:KIX852073 KST851970:KST852073 LCP851970:LCP852073 LML851970:LML852073 LWH851970:LWH852073 MGD851970:MGD852073 MPZ851970:MPZ852073 MZV851970:MZV852073 NJR851970:NJR852073 NTN851970:NTN852073 ODJ851970:ODJ852073 ONF851970:ONF852073 OXB851970:OXB852073 PGX851970:PGX852073 PQT851970:PQT852073 QAP851970:QAP852073 QKL851970:QKL852073 QUH851970:QUH852073 RED851970:RED852073 RNZ851970:RNZ852073 RXV851970:RXV852073 SHR851970:SHR852073 SRN851970:SRN852073 TBJ851970:TBJ852073 TLF851970:TLF852073 TVB851970:TVB852073 UEX851970:UEX852073 UOT851970:UOT852073 UYP851970:UYP852073 VIL851970:VIL852073 VSH851970:VSH852073 WCD851970:WCD852073 WLZ851970:WLZ852073 WVV851970:WVV852073 N917506:N917609 JJ917506:JJ917609 TF917506:TF917609 ADB917506:ADB917609 AMX917506:AMX917609 AWT917506:AWT917609 BGP917506:BGP917609 BQL917506:BQL917609 CAH917506:CAH917609 CKD917506:CKD917609 CTZ917506:CTZ917609 DDV917506:DDV917609 DNR917506:DNR917609 DXN917506:DXN917609 EHJ917506:EHJ917609 ERF917506:ERF917609 FBB917506:FBB917609 FKX917506:FKX917609 FUT917506:FUT917609 GEP917506:GEP917609 GOL917506:GOL917609 GYH917506:GYH917609 HID917506:HID917609 HRZ917506:HRZ917609 IBV917506:IBV917609 ILR917506:ILR917609 IVN917506:IVN917609 JFJ917506:JFJ917609 JPF917506:JPF917609 JZB917506:JZB917609 KIX917506:KIX917609 KST917506:KST917609 LCP917506:LCP917609 LML917506:LML917609 LWH917506:LWH917609 MGD917506:MGD917609 MPZ917506:MPZ917609 MZV917506:MZV917609 NJR917506:NJR917609 NTN917506:NTN917609 ODJ917506:ODJ917609 ONF917506:ONF917609 OXB917506:OXB917609 PGX917506:PGX917609 PQT917506:PQT917609 QAP917506:QAP917609 QKL917506:QKL917609 QUH917506:QUH917609 RED917506:RED917609 RNZ917506:RNZ917609 RXV917506:RXV917609 SHR917506:SHR917609 SRN917506:SRN917609 TBJ917506:TBJ917609 TLF917506:TLF917609 TVB917506:TVB917609 UEX917506:UEX917609 UOT917506:UOT917609 UYP917506:UYP917609 VIL917506:VIL917609 VSH917506:VSH917609 WCD917506:WCD917609 WLZ917506:WLZ917609 WVV917506:WVV917609 N983042:N983145 JJ983042:JJ983145 TF983042:TF983145 ADB983042:ADB983145 AMX983042:AMX983145 AWT983042:AWT983145 BGP983042:BGP983145 BQL983042:BQL983145 CAH983042:CAH983145 CKD983042:CKD983145 CTZ983042:CTZ983145 DDV983042:DDV983145 DNR983042:DNR983145 DXN983042:DXN983145 EHJ983042:EHJ983145 ERF983042:ERF983145 FBB983042:FBB983145 FKX983042:FKX983145 FUT983042:FUT983145 GEP983042:GEP983145 GOL983042:GOL983145 GYH983042:GYH983145 HID983042:HID983145 HRZ983042:HRZ983145 IBV983042:IBV983145 ILR983042:ILR983145 IVN983042:IVN983145 JFJ983042:JFJ983145 JPF983042:JPF983145 JZB983042:JZB983145 KIX983042:KIX983145 KST983042:KST983145 LCP983042:LCP983145 LML983042:LML983145 LWH983042:LWH983145 MGD983042:MGD983145 MPZ983042:MPZ983145 MZV983042:MZV983145 NJR983042:NJR983145 NTN983042:NTN983145 ODJ983042:ODJ983145 ONF983042:ONF983145 OXB983042:OXB983145 PGX983042:PGX983145 PQT983042:PQT983145 QAP983042:QAP983145 QKL983042:QKL983145 QUH983042:QUH983145 RED983042:RED983145 RNZ983042:RNZ983145 RXV983042:RXV983145 SHR983042:SHR983145 SRN983042:SRN983145 TBJ983042:TBJ983145 TLF983042:TLF983145 TVB983042:TVB983145 UEX983042:UEX983145 UOT983042:UOT983145 UYP983042:UYP983145 VIL983042:VIL983145 VSH983042:VSH983145 WCD983042:WCD983145 WLZ983042:WLZ983145 WVV983042:WVV983145" xr:uid="{EA571558-F99B-407B-8475-C81E36C21A18}">
      <formula1>0</formula1>
      <formula2>0</formula2>
    </dataValidation>
    <dataValidation type="list" operator="equal" allowBlank="1" showInputMessage="1" showErrorMessage="1" error="Please Select Valid Net Quantity UOM from Dropdown" prompt="Please Select from Dropdown" sqref="E2:E105 JA2:JA105 SW2:SW105 ACS2:ACS105 AMO2:AMO105 AWK2:AWK105 BGG2:BGG105 BQC2:BQC105 BZY2:BZY105 CJU2:CJU105 CTQ2:CTQ105 DDM2:DDM105 DNI2:DNI105 DXE2:DXE105 EHA2:EHA105 EQW2:EQW105 FAS2:FAS105 FKO2:FKO105 FUK2:FUK105 GEG2:GEG105 GOC2:GOC105 GXY2:GXY105 HHU2:HHU105 HRQ2:HRQ105 IBM2:IBM105 ILI2:ILI105 IVE2:IVE105 JFA2:JFA105 JOW2:JOW105 JYS2:JYS105 KIO2:KIO105 KSK2:KSK105 LCG2:LCG105 LMC2:LMC105 LVY2:LVY105 MFU2:MFU105 MPQ2:MPQ105 MZM2:MZM105 NJI2:NJI105 NTE2:NTE105 ODA2:ODA105 OMW2:OMW105 OWS2:OWS105 PGO2:PGO105 PQK2:PQK105 QAG2:QAG105 QKC2:QKC105 QTY2:QTY105 RDU2:RDU105 RNQ2:RNQ105 RXM2:RXM105 SHI2:SHI105 SRE2:SRE105 TBA2:TBA105 TKW2:TKW105 TUS2:TUS105 UEO2:UEO105 UOK2:UOK105 UYG2:UYG105 VIC2:VIC105 VRY2:VRY105 WBU2:WBU105 WLQ2:WLQ105 WVM2:WVM105 E65538:E65641 JA65538:JA65641 SW65538:SW65641 ACS65538:ACS65641 AMO65538:AMO65641 AWK65538:AWK65641 BGG65538:BGG65641 BQC65538:BQC65641 BZY65538:BZY65641 CJU65538:CJU65641 CTQ65538:CTQ65641 DDM65538:DDM65641 DNI65538:DNI65641 DXE65538:DXE65641 EHA65538:EHA65641 EQW65538:EQW65641 FAS65538:FAS65641 FKO65538:FKO65641 FUK65538:FUK65641 GEG65538:GEG65641 GOC65538:GOC65641 GXY65538:GXY65641 HHU65538:HHU65641 HRQ65538:HRQ65641 IBM65538:IBM65641 ILI65538:ILI65641 IVE65538:IVE65641 JFA65538:JFA65641 JOW65538:JOW65641 JYS65538:JYS65641 KIO65538:KIO65641 KSK65538:KSK65641 LCG65538:LCG65641 LMC65538:LMC65641 LVY65538:LVY65641 MFU65538:MFU65641 MPQ65538:MPQ65641 MZM65538:MZM65641 NJI65538:NJI65641 NTE65538:NTE65641 ODA65538:ODA65641 OMW65538:OMW65641 OWS65538:OWS65641 PGO65538:PGO65641 PQK65538:PQK65641 QAG65538:QAG65641 QKC65538:QKC65641 QTY65538:QTY65641 RDU65538:RDU65641 RNQ65538:RNQ65641 RXM65538:RXM65641 SHI65538:SHI65641 SRE65538:SRE65641 TBA65538:TBA65641 TKW65538:TKW65641 TUS65538:TUS65641 UEO65538:UEO65641 UOK65538:UOK65641 UYG65538:UYG65641 VIC65538:VIC65641 VRY65538:VRY65641 WBU65538:WBU65641 WLQ65538:WLQ65641 WVM65538:WVM65641 E131074:E131177 JA131074:JA131177 SW131074:SW131177 ACS131074:ACS131177 AMO131074:AMO131177 AWK131074:AWK131177 BGG131074:BGG131177 BQC131074:BQC131177 BZY131074:BZY131177 CJU131074:CJU131177 CTQ131074:CTQ131177 DDM131074:DDM131177 DNI131074:DNI131177 DXE131074:DXE131177 EHA131074:EHA131177 EQW131074:EQW131177 FAS131074:FAS131177 FKO131074:FKO131177 FUK131074:FUK131177 GEG131074:GEG131177 GOC131074:GOC131177 GXY131074:GXY131177 HHU131074:HHU131177 HRQ131074:HRQ131177 IBM131074:IBM131177 ILI131074:ILI131177 IVE131074:IVE131177 JFA131074:JFA131177 JOW131074:JOW131177 JYS131074:JYS131177 KIO131074:KIO131177 KSK131074:KSK131177 LCG131074:LCG131177 LMC131074:LMC131177 LVY131074:LVY131177 MFU131074:MFU131177 MPQ131074:MPQ131177 MZM131074:MZM131177 NJI131074:NJI131177 NTE131074:NTE131177 ODA131074:ODA131177 OMW131074:OMW131177 OWS131074:OWS131177 PGO131074:PGO131177 PQK131074:PQK131177 QAG131074:QAG131177 QKC131074:QKC131177 QTY131074:QTY131177 RDU131074:RDU131177 RNQ131074:RNQ131177 RXM131074:RXM131177 SHI131074:SHI131177 SRE131074:SRE131177 TBA131074:TBA131177 TKW131074:TKW131177 TUS131074:TUS131177 UEO131074:UEO131177 UOK131074:UOK131177 UYG131074:UYG131177 VIC131074:VIC131177 VRY131074:VRY131177 WBU131074:WBU131177 WLQ131074:WLQ131177 WVM131074:WVM131177 E196610:E196713 JA196610:JA196713 SW196610:SW196713 ACS196610:ACS196713 AMO196610:AMO196713 AWK196610:AWK196713 BGG196610:BGG196713 BQC196610:BQC196713 BZY196610:BZY196713 CJU196610:CJU196713 CTQ196610:CTQ196713 DDM196610:DDM196713 DNI196610:DNI196713 DXE196610:DXE196713 EHA196610:EHA196713 EQW196610:EQW196713 FAS196610:FAS196713 FKO196610:FKO196713 FUK196610:FUK196713 GEG196610:GEG196713 GOC196610:GOC196713 GXY196610:GXY196713 HHU196610:HHU196713 HRQ196610:HRQ196713 IBM196610:IBM196713 ILI196610:ILI196713 IVE196610:IVE196713 JFA196610:JFA196713 JOW196610:JOW196713 JYS196610:JYS196713 KIO196610:KIO196713 KSK196610:KSK196713 LCG196610:LCG196713 LMC196610:LMC196713 LVY196610:LVY196713 MFU196610:MFU196713 MPQ196610:MPQ196713 MZM196610:MZM196713 NJI196610:NJI196713 NTE196610:NTE196713 ODA196610:ODA196713 OMW196610:OMW196713 OWS196610:OWS196713 PGO196610:PGO196713 PQK196610:PQK196713 QAG196610:QAG196713 QKC196610:QKC196713 QTY196610:QTY196713 RDU196610:RDU196713 RNQ196610:RNQ196713 RXM196610:RXM196713 SHI196610:SHI196713 SRE196610:SRE196713 TBA196610:TBA196713 TKW196610:TKW196713 TUS196610:TUS196713 UEO196610:UEO196713 UOK196610:UOK196713 UYG196610:UYG196713 VIC196610:VIC196713 VRY196610:VRY196713 WBU196610:WBU196713 WLQ196610:WLQ196713 WVM196610:WVM196713 E262146:E262249 JA262146:JA262249 SW262146:SW262249 ACS262146:ACS262249 AMO262146:AMO262249 AWK262146:AWK262249 BGG262146:BGG262249 BQC262146:BQC262249 BZY262146:BZY262249 CJU262146:CJU262249 CTQ262146:CTQ262249 DDM262146:DDM262249 DNI262146:DNI262249 DXE262146:DXE262249 EHA262146:EHA262249 EQW262146:EQW262249 FAS262146:FAS262249 FKO262146:FKO262249 FUK262146:FUK262249 GEG262146:GEG262249 GOC262146:GOC262249 GXY262146:GXY262249 HHU262146:HHU262249 HRQ262146:HRQ262249 IBM262146:IBM262249 ILI262146:ILI262249 IVE262146:IVE262249 JFA262146:JFA262249 JOW262146:JOW262249 JYS262146:JYS262249 KIO262146:KIO262249 KSK262146:KSK262249 LCG262146:LCG262249 LMC262146:LMC262249 LVY262146:LVY262249 MFU262146:MFU262249 MPQ262146:MPQ262249 MZM262146:MZM262249 NJI262146:NJI262249 NTE262146:NTE262249 ODA262146:ODA262249 OMW262146:OMW262249 OWS262146:OWS262249 PGO262146:PGO262249 PQK262146:PQK262249 QAG262146:QAG262249 QKC262146:QKC262249 QTY262146:QTY262249 RDU262146:RDU262249 RNQ262146:RNQ262249 RXM262146:RXM262249 SHI262146:SHI262249 SRE262146:SRE262249 TBA262146:TBA262249 TKW262146:TKW262249 TUS262146:TUS262249 UEO262146:UEO262249 UOK262146:UOK262249 UYG262146:UYG262249 VIC262146:VIC262249 VRY262146:VRY262249 WBU262146:WBU262249 WLQ262146:WLQ262249 WVM262146:WVM262249 E327682:E327785 JA327682:JA327785 SW327682:SW327785 ACS327682:ACS327785 AMO327682:AMO327785 AWK327682:AWK327785 BGG327682:BGG327785 BQC327682:BQC327785 BZY327682:BZY327785 CJU327682:CJU327785 CTQ327682:CTQ327785 DDM327682:DDM327785 DNI327682:DNI327785 DXE327682:DXE327785 EHA327682:EHA327785 EQW327682:EQW327785 FAS327682:FAS327785 FKO327682:FKO327785 FUK327682:FUK327785 GEG327682:GEG327785 GOC327682:GOC327785 GXY327682:GXY327785 HHU327682:HHU327785 HRQ327682:HRQ327785 IBM327682:IBM327785 ILI327682:ILI327785 IVE327682:IVE327785 JFA327682:JFA327785 JOW327682:JOW327785 JYS327682:JYS327785 KIO327682:KIO327785 KSK327682:KSK327785 LCG327682:LCG327785 LMC327682:LMC327785 LVY327682:LVY327785 MFU327682:MFU327785 MPQ327682:MPQ327785 MZM327682:MZM327785 NJI327682:NJI327785 NTE327682:NTE327785 ODA327682:ODA327785 OMW327682:OMW327785 OWS327682:OWS327785 PGO327682:PGO327785 PQK327682:PQK327785 QAG327682:QAG327785 QKC327682:QKC327785 QTY327682:QTY327785 RDU327682:RDU327785 RNQ327682:RNQ327785 RXM327682:RXM327785 SHI327682:SHI327785 SRE327682:SRE327785 TBA327682:TBA327785 TKW327682:TKW327785 TUS327682:TUS327785 UEO327682:UEO327785 UOK327682:UOK327785 UYG327682:UYG327785 VIC327682:VIC327785 VRY327682:VRY327785 WBU327682:WBU327785 WLQ327682:WLQ327785 WVM327682:WVM327785 E393218:E393321 JA393218:JA393321 SW393218:SW393321 ACS393218:ACS393321 AMO393218:AMO393321 AWK393218:AWK393321 BGG393218:BGG393321 BQC393218:BQC393321 BZY393218:BZY393321 CJU393218:CJU393321 CTQ393218:CTQ393321 DDM393218:DDM393321 DNI393218:DNI393321 DXE393218:DXE393321 EHA393218:EHA393321 EQW393218:EQW393321 FAS393218:FAS393321 FKO393218:FKO393321 FUK393218:FUK393321 GEG393218:GEG393321 GOC393218:GOC393321 GXY393218:GXY393321 HHU393218:HHU393321 HRQ393218:HRQ393321 IBM393218:IBM393321 ILI393218:ILI393321 IVE393218:IVE393321 JFA393218:JFA393321 JOW393218:JOW393321 JYS393218:JYS393321 KIO393218:KIO393321 KSK393218:KSK393321 LCG393218:LCG393321 LMC393218:LMC393321 LVY393218:LVY393321 MFU393218:MFU393321 MPQ393218:MPQ393321 MZM393218:MZM393321 NJI393218:NJI393321 NTE393218:NTE393321 ODA393218:ODA393321 OMW393218:OMW393321 OWS393218:OWS393321 PGO393218:PGO393321 PQK393218:PQK393321 QAG393218:QAG393321 QKC393218:QKC393321 QTY393218:QTY393321 RDU393218:RDU393321 RNQ393218:RNQ393321 RXM393218:RXM393321 SHI393218:SHI393321 SRE393218:SRE393321 TBA393218:TBA393321 TKW393218:TKW393321 TUS393218:TUS393321 UEO393218:UEO393321 UOK393218:UOK393321 UYG393218:UYG393321 VIC393218:VIC393321 VRY393218:VRY393321 WBU393218:WBU393321 WLQ393218:WLQ393321 WVM393218:WVM393321 E458754:E458857 JA458754:JA458857 SW458754:SW458857 ACS458754:ACS458857 AMO458754:AMO458857 AWK458754:AWK458857 BGG458754:BGG458857 BQC458754:BQC458857 BZY458754:BZY458857 CJU458754:CJU458857 CTQ458754:CTQ458857 DDM458754:DDM458857 DNI458754:DNI458857 DXE458754:DXE458857 EHA458754:EHA458857 EQW458754:EQW458857 FAS458754:FAS458857 FKO458754:FKO458857 FUK458754:FUK458857 GEG458754:GEG458857 GOC458754:GOC458857 GXY458754:GXY458857 HHU458754:HHU458857 HRQ458754:HRQ458857 IBM458754:IBM458857 ILI458754:ILI458857 IVE458754:IVE458857 JFA458754:JFA458857 JOW458754:JOW458857 JYS458754:JYS458857 KIO458754:KIO458857 KSK458754:KSK458857 LCG458754:LCG458857 LMC458754:LMC458857 LVY458754:LVY458857 MFU458754:MFU458857 MPQ458754:MPQ458857 MZM458754:MZM458857 NJI458754:NJI458857 NTE458754:NTE458857 ODA458754:ODA458857 OMW458754:OMW458857 OWS458754:OWS458857 PGO458754:PGO458857 PQK458754:PQK458857 QAG458754:QAG458857 QKC458754:QKC458857 QTY458754:QTY458857 RDU458754:RDU458857 RNQ458754:RNQ458857 RXM458754:RXM458857 SHI458754:SHI458857 SRE458754:SRE458857 TBA458754:TBA458857 TKW458754:TKW458857 TUS458754:TUS458857 UEO458754:UEO458857 UOK458754:UOK458857 UYG458754:UYG458857 VIC458754:VIC458857 VRY458754:VRY458857 WBU458754:WBU458857 WLQ458754:WLQ458857 WVM458754:WVM458857 E524290:E524393 JA524290:JA524393 SW524290:SW524393 ACS524290:ACS524393 AMO524290:AMO524393 AWK524290:AWK524393 BGG524290:BGG524393 BQC524290:BQC524393 BZY524290:BZY524393 CJU524290:CJU524393 CTQ524290:CTQ524393 DDM524290:DDM524393 DNI524290:DNI524393 DXE524290:DXE524393 EHA524290:EHA524393 EQW524290:EQW524393 FAS524290:FAS524393 FKO524290:FKO524393 FUK524290:FUK524393 GEG524290:GEG524393 GOC524290:GOC524393 GXY524290:GXY524393 HHU524290:HHU524393 HRQ524290:HRQ524393 IBM524290:IBM524393 ILI524290:ILI524393 IVE524290:IVE524393 JFA524290:JFA524393 JOW524290:JOW524393 JYS524290:JYS524393 KIO524290:KIO524393 KSK524290:KSK524393 LCG524290:LCG524393 LMC524290:LMC524393 LVY524290:LVY524393 MFU524290:MFU524393 MPQ524290:MPQ524393 MZM524290:MZM524393 NJI524290:NJI524393 NTE524290:NTE524393 ODA524290:ODA524393 OMW524290:OMW524393 OWS524290:OWS524393 PGO524290:PGO524393 PQK524290:PQK524393 QAG524290:QAG524393 QKC524290:QKC524393 QTY524290:QTY524393 RDU524290:RDU524393 RNQ524290:RNQ524393 RXM524290:RXM524393 SHI524290:SHI524393 SRE524290:SRE524393 TBA524290:TBA524393 TKW524290:TKW524393 TUS524290:TUS524393 UEO524290:UEO524393 UOK524290:UOK524393 UYG524290:UYG524393 VIC524290:VIC524393 VRY524290:VRY524393 WBU524290:WBU524393 WLQ524290:WLQ524393 WVM524290:WVM524393 E589826:E589929 JA589826:JA589929 SW589826:SW589929 ACS589826:ACS589929 AMO589826:AMO589929 AWK589826:AWK589929 BGG589826:BGG589929 BQC589826:BQC589929 BZY589826:BZY589929 CJU589826:CJU589929 CTQ589826:CTQ589929 DDM589826:DDM589929 DNI589826:DNI589929 DXE589826:DXE589929 EHA589826:EHA589929 EQW589826:EQW589929 FAS589826:FAS589929 FKO589826:FKO589929 FUK589826:FUK589929 GEG589826:GEG589929 GOC589826:GOC589929 GXY589826:GXY589929 HHU589826:HHU589929 HRQ589826:HRQ589929 IBM589826:IBM589929 ILI589826:ILI589929 IVE589826:IVE589929 JFA589826:JFA589929 JOW589826:JOW589929 JYS589826:JYS589929 KIO589826:KIO589929 KSK589826:KSK589929 LCG589826:LCG589929 LMC589826:LMC589929 LVY589826:LVY589929 MFU589826:MFU589929 MPQ589826:MPQ589929 MZM589826:MZM589929 NJI589826:NJI589929 NTE589826:NTE589929 ODA589826:ODA589929 OMW589826:OMW589929 OWS589826:OWS589929 PGO589826:PGO589929 PQK589826:PQK589929 QAG589826:QAG589929 QKC589826:QKC589929 QTY589826:QTY589929 RDU589826:RDU589929 RNQ589826:RNQ589929 RXM589826:RXM589929 SHI589826:SHI589929 SRE589826:SRE589929 TBA589826:TBA589929 TKW589826:TKW589929 TUS589826:TUS589929 UEO589826:UEO589929 UOK589826:UOK589929 UYG589826:UYG589929 VIC589826:VIC589929 VRY589826:VRY589929 WBU589826:WBU589929 WLQ589826:WLQ589929 WVM589826:WVM589929 E655362:E655465 JA655362:JA655465 SW655362:SW655465 ACS655362:ACS655465 AMO655362:AMO655465 AWK655362:AWK655465 BGG655362:BGG655465 BQC655362:BQC655465 BZY655362:BZY655465 CJU655362:CJU655465 CTQ655362:CTQ655465 DDM655362:DDM655465 DNI655362:DNI655465 DXE655362:DXE655465 EHA655362:EHA655465 EQW655362:EQW655465 FAS655362:FAS655465 FKO655362:FKO655465 FUK655362:FUK655465 GEG655362:GEG655465 GOC655362:GOC655465 GXY655362:GXY655465 HHU655362:HHU655465 HRQ655362:HRQ655465 IBM655362:IBM655465 ILI655362:ILI655465 IVE655362:IVE655465 JFA655362:JFA655465 JOW655362:JOW655465 JYS655362:JYS655465 KIO655362:KIO655465 KSK655362:KSK655465 LCG655362:LCG655465 LMC655362:LMC655465 LVY655362:LVY655465 MFU655362:MFU655465 MPQ655362:MPQ655465 MZM655362:MZM655465 NJI655362:NJI655465 NTE655362:NTE655465 ODA655362:ODA655465 OMW655362:OMW655465 OWS655362:OWS655465 PGO655362:PGO655465 PQK655362:PQK655465 QAG655362:QAG655465 QKC655362:QKC655465 QTY655362:QTY655465 RDU655362:RDU655465 RNQ655362:RNQ655465 RXM655362:RXM655465 SHI655362:SHI655465 SRE655362:SRE655465 TBA655362:TBA655465 TKW655362:TKW655465 TUS655362:TUS655465 UEO655362:UEO655465 UOK655362:UOK655465 UYG655362:UYG655465 VIC655362:VIC655465 VRY655362:VRY655465 WBU655362:WBU655465 WLQ655362:WLQ655465 WVM655362:WVM655465 E720898:E721001 JA720898:JA721001 SW720898:SW721001 ACS720898:ACS721001 AMO720898:AMO721001 AWK720898:AWK721001 BGG720898:BGG721001 BQC720898:BQC721001 BZY720898:BZY721001 CJU720898:CJU721001 CTQ720898:CTQ721001 DDM720898:DDM721001 DNI720898:DNI721001 DXE720898:DXE721001 EHA720898:EHA721001 EQW720898:EQW721001 FAS720898:FAS721001 FKO720898:FKO721001 FUK720898:FUK721001 GEG720898:GEG721001 GOC720898:GOC721001 GXY720898:GXY721001 HHU720898:HHU721001 HRQ720898:HRQ721001 IBM720898:IBM721001 ILI720898:ILI721001 IVE720898:IVE721001 JFA720898:JFA721001 JOW720898:JOW721001 JYS720898:JYS721001 KIO720898:KIO721001 KSK720898:KSK721001 LCG720898:LCG721001 LMC720898:LMC721001 LVY720898:LVY721001 MFU720898:MFU721001 MPQ720898:MPQ721001 MZM720898:MZM721001 NJI720898:NJI721001 NTE720898:NTE721001 ODA720898:ODA721001 OMW720898:OMW721001 OWS720898:OWS721001 PGO720898:PGO721001 PQK720898:PQK721001 QAG720898:QAG721001 QKC720898:QKC721001 QTY720898:QTY721001 RDU720898:RDU721001 RNQ720898:RNQ721001 RXM720898:RXM721001 SHI720898:SHI721001 SRE720898:SRE721001 TBA720898:TBA721001 TKW720898:TKW721001 TUS720898:TUS721001 UEO720898:UEO721001 UOK720898:UOK721001 UYG720898:UYG721001 VIC720898:VIC721001 VRY720898:VRY721001 WBU720898:WBU721001 WLQ720898:WLQ721001 WVM720898:WVM721001 E786434:E786537 JA786434:JA786537 SW786434:SW786537 ACS786434:ACS786537 AMO786434:AMO786537 AWK786434:AWK786537 BGG786434:BGG786537 BQC786434:BQC786537 BZY786434:BZY786537 CJU786434:CJU786537 CTQ786434:CTQ786537 DDM786434:DDM786537 DNI786434:DNI786537 DXE786434:DXE786537 EHA786434:EHA786537 EQW786434:EQW786537 FAS786434:FAS786537 FKO786434:FKO786537 FUK786434:FUK786537 GEG786434:GEG786537 GOC786434:GOC786537 GXY786434:GXY786537 HHU786434:HHU786537 HRQ786434:HRQ786537 IBM786434:IBM786537 ILI786434:ILI786537 IVE786434:IVE786537 JFA786434:JFA786537 JOW786434:JOW786537 JYS786434:JYS786537 KIO786434:KIO786537 KSK786434:KSK786537 LCG786434:LCG786537 LMC786434:LMC786537 LVY786434:LVY786537 MFU786434:MFU786537 MPQ786434:MPQ786537 MZM786434:MZM786537 NJI786434:NJI786537 NTE786434:NTE786537 ODA786434:ODA786537 OMW786434:OMW786537 OWS786434:OWS786537 PGO786434:PGO786537 PQK786434:PQK786537 QAG786434:QAG786537 QKC786434:QKC786537 QTY786434:QTY786537 RDU786434:RDU786537 RNQ786434:RNQ786537 RXM786434:RXM786537 SHI786434:SHI786537 SRE786434:SRE786537 TBA786434:TBA786537 TKW786434:TKW786537 TUS786434:TUS786537 UEO786434:UEO786537 UOK786434:UOK786537 UYG786434:UYG786537 VIC786434:VIC786537 VRY786434:VRY786537 WBU786434:WBU786537 WLQ786434:WLQ786537 WVM786434:WVM786537 E851970:E852073 JA851970:JA852073 SW851970:SW852073 ACS851970:ACS852073 AMO851970:AMO852073 AWK851970:AWK852073 BGG851970:BGG852073 BQC851970:BQC852073 BZY851970:BZY852073 CJU851970:CJU852073 CTQ851970:CTQ852073 DDM851970:DDM852073 DNI851970:DNI852073 DXE851970:DXE852073 EHA851970:EHA852073 EQW851970:EQW852073 FAS851970:FAS852073 FKO851970:FKO852073 FUK851970:FUK852073 GEG851970:GEG852073 GOC851970:GOC852073 GXY851970:GXY852073 HHU851970:HHU852073 HRQ851970:HRQ852073 IBM851970:IBM852073 ILI851970:ILI852073 IVE851970:IVE852073 JFA851970:JFA852073 JOW851970:JOW852073 JYS851970:JYS852073 KIO851970:KIO852073 KSK851970:KSK852073 LCG851970:LCG852073 LMC851970:LMC852073 LVY851970:LVY852073 MFU851970:MFU852073 MPQ851970:MPQ852073 MZM851970:MZM852073 NJI851970:NJI852073 NTE851970:NTE852073 ODA851970:ODA852073 OMW851970:OMW852073 OWS851970:OWS852073 PGO851970:PGO852073 PQK851970:PQK852073 QAG851970:QAG852073 QKC851970:QKC852073 QTY851970:QTY852073 RDU851970:RDU852073 RNQ851970:RNQ852073 RXM851970:RXM852073 SHI851970:SHI852073 SRE851970:SRE852073 TBA851970:TBA852073 TKW851970:TKW852073 TUS851970:TUS852073 UEO851970:UEO852073 UOK851970:UOK852073 UYG851970:UYG852073 VIC851970:VIC852073 VRY851970:VRY852073 WBU851970:WBU852073 WLQ851970:WLQ852073 WVM851970:WVM852073 E917506:E917609 JA917506:JA917609 SW917506:SW917609 ACS917506:ACS917609 AMO917506:AMO917609 AWK917506:AWK917609 BGG917506:BGG917609 BQC917506:BQC917609 BZY917506:BZY917609 CJU917506:CJU917609 CTQ917506:CTQ917609 DDM917506:DDM917609 DNI917506:DNI917609 DXE917506:DXE917609 EHA917506:EHA917609 EQW917506:EQW917609 FAS917506:FAS917609 FKO917506:FKO917609 FUK917506:FUK917609 GEG917506:GEG917609 GOC917506:GOC917609 GXY917506:GXY917609 HHU917506:HHU917609 HRQ917506:HRQ917609 IBM917506:IBM917609 ILI917506:ILI917609 IVE917506:IVE917609 JFA917506:JFA917609 JOW917506:JOW917609 JYS917506:JYS917609 KIO917506:KIO917609 KSK917506:KSK917609 LCG917506:LCG917609 LMC917506:LMC917609 LVY917506:LVY917609 MFU917506:MFU917609 MPQ917506:MPQ917609 MZM917506:MZM917609 NJI917506:NJI917609 NTE917506:NTE917609 ODA917506:ODA917609 OMW917506:OMW917609 OWS917506:OWS917609 PGO917506:PGO917609 PQK917506:PQK917609 QAG917506:QAG917609 QKC917506:QKC917609 QTY917506:QTY917609 RDU917506:RDU917609 RNQ917506:RNQ917609 RXM917506:RXM917609 SHI917506:SHI917609 SRE917506:SRE917609 TBA917506:TBA917609 TKW917506:TKW917609 TUS917506:TUS917609 UEO917506:UEO917609 UOK917506:UOK917609 UYG917506:UYG917609 VIC917506:VIC917609 VRY917506:VRY917609 WBU917506:WBU917609 WLQ917506:WLQ917609 WVM917506:WVM917609 E983042:E983145 JA983042:JA983145 SW983042:SW983145 ACS983042:ACS983145 AMO983042:AMO983145 AWK983042:AWK983145 BGG983042:BGG983145 BQC983042:BQC983145 BZY983042:BZY983145 CJU983042:CJU983145 CTQ983042:CTQ983145 DDM983042:DDM983145 DNI983042:DNI983145 DXE983042:DXE983145 EHA983042:EHA983145 EQW983042:EQW983145 FAS983042:FAS983145 FKO983042:FKO983145 FUK983042:FUK983145 GEG983042:GEG983145 GOC983042:GOC983145 GXY983042:GXY983145 HHU983042:HHU983145 HRQ983042:HRQ983145 IBM983042:IBM983145 ILI983042:ILI983145 IVE983042:IVE983145 JFA983042:JFA983145 JOW983042:JOW983145 JYS983042:JYS983145 KIO983042:KIO983145 KSK983042:KSK983145 LCG983042:LCG983145 LMC983042:LMC983145 LVY983042:LVY983145 MFU983042:MFU983145 MPQ983042:MPQ983145 MZM983042:MZM983145 NJI983042:NJI983145 NTE983042:NTE983145 ODA983042:ODA983145 OMW983042:OMW983145 OWS983042:OWS983145 PGO983042:PGO983145 PQK983042:PQK983145 QAG983042:QAG983145 QKC983042:QKC983145 QTY983042:QTY983145 RDU983042:RDU983145 RNQ983042:RNQ983145 RXM983042:RXM983145 SHI983042:SHI983145 SRE983042:SRE983145 TBA983042:TBA983145 TKW983042:TKW983145 TUS983042:TUS983145 UEO983042:UEO983145 UOK983042:UOK983145 UYG983042:UYG983145 VIC983042:VIC983145 VRY983042:VRY983145 WBU983042:WBU983145 WLQ983042:WLQ983145 WVM983042:WVM983145" xr:uid="{33B80C16-BD98-4964-B272-6D5A7F0A8EB2}">
      <formula1>$Z$1:$Z$31</formula1>
      <formula2>0</formula2>
    </dataValidation>
    <dataValidation operator="greaterThan" allowBlank="1" sqref="WVK983042:WVK983110 IY2:IY70 SU2:SU70 ACQ2:ACQ70 AMM2:AMM70 AWI2:AWI70 BGE2:BGE70 BQA2:BQA70 BZW2:BZW70 CJS2:CJS70 CTO2:CTO70 DDK2:DDK70 DNG2:DNG70 DXC2:DXC70 EGY2:EGY70 EQU2:EQU70 FAQ2:FAQ70 FKM2:FKM70 FUI2:FUI70 GEE2:GEE70 GOA2:GOA70 GXW2:GXW70 HHS2:HHS70 HRO2:HRO70 IBK2:IBK70 ILG2:ILG70 IVC2:IVC70 JEY2:JEY70 JOU2:JOU70 JYQ2:JYQ70 KIM2:KIM70 KSI2:KSI70 LCE2:LCE70 LMA2:LMA70 LVW2:LVW70 MFS2:MFS70 MPO2:MPO70 MZK2:MZK70 NJG2:NJG70 NTC2:NTC70 OCY2:OCY70 OMU2:OMU70 OWQ2:OWQ70 PGM2:PGM70 PQI2:PQI70 QAE2:QAE70 QKA2:QKA70 QTW2:QTW70 RDS2:RDS70 RNO2:RNO70 RXK2:RXK70 SHG2:SHG70 SRC2:SRC70 TAY2:TAY70 TKU2:TKU70 TUQ2:TUQ70 UEM2:UEM70 UOI2:UOI70 UYE2:UYE70 VIA2:VIA70 VRW2:VRW70 WBS2:WBS70 WLO2:WLO70 WVK2:WVK70 C65538:C65606 IY65538:IY65606 SU65538:SU65606 ACQ65538:ACQ65606 AMM65538:AMM65606 AWI65538:AWI65606 BGE65538:BGE65606 BQA65538:BQA65606 BZW65538:BZW65606 CJS65538:CJS65606 CTO65538:CTO65606 DDK65538:DDK65606 DNG65538:DNG65606 DXC65538:DXC65606 EGY65538:EGY65606 EQU65538:EQU65606 FAQ65538:FAQ65606 FKM65538:FKM65606 FUI65538:FUI65606 GEE65538:GEE65606 GOA65538:GOA65606 GXW65538:GXW65606 HHS65538:HHS65606 HRO65538:HRO65606 IBK65538:IBK65606 ILG65538:ILG65606 IVC65538:IVC65606 JEY65538:JEY65606 JOU65538:JOU65606 JYQ65538:JYQ65606 KIM65538:KIM65606 KSI65538:KSI65606 LCE65538:LCE65606 LMA65538:LMA65606 LVW65538:LVW65606 MFS65538:MFS65606 MPO65538:MPO65606 MZK65538:MZK65606 NJG65538:NJG65606 NTC65538:NTC65606 OCY65538:OCY65606 OMU65538:OMU65606 OWQ65538:OWQ65606 PGM65538:PGM65606 PQI65538:PQI65606 QAE65538:QAE65606 QKA65538:QKA65606 QTW65538:QTW65606 RDS65538:RDS65606 RNO65538:RNO65606 RXK65538:RXK65606 SHG65538:SHG65606 SRC65538:SRC65606 TAY65538:TAY65606 TKU65538:TKU65606 TUQ65538:TUQ65606 UEM65538:UEM65606 UOI65538:UOI65606 UYE65538:UYE65606 VIA65538:VIA65606 VRW65538:VRW65606 WBS65538:WBS65606 WLO65538:WLO65606 WVK65538:WVK65606 C131074:C131142 IY131074:IY131142 SU131074:SU131142 ACQ131074:ACQ131142 AMM131074:AMM131142 AWI131074:AWI131142 BGE131074:BGE131142 BQA131074:BQA131142 BZW131074:BZW131142 CJS131074:CJS131142 CTO131074:CTO131142 DDK131074:DDK131142 DNG131074:DNG131142 DXC131074:DXC131142 EGY131074:EGY131142 EQU131074:EQU131142 FAQ131074:FAQ131142 FKM131074:FKM131142 FUI131074:FUI131142 GEE131074:GEE131142 GOA131074:GOA131142 GXW131074:GXW131142 HHS131074:HHS131142 HRO131074:HRO131142 IBK131074:IBK131142 ILG131074:ILG131142 IVC131074:IVC131142 JEY131074:JEY131142 JOU131074:JOU131142 JYQ131074:JYQ131142 KIM131074:KIM131142 KSI131074:KSI131142 LCE131074:LCE131142 LMA131074:LMA131142 LVW131074:LVW131142 MFS131074:MFS131142 MPO131074:MPO131142 MZK131074:MZK131142 NJG131074:NJG131142 NTC131074:NTC131142 OCY131074:OCY131142 OMU131074:OMU131142 OWQ131074:OWQ131142 PGM131074:PGM131142 PQI131074:PQI131142 QAE131074:QAE131142 QKA131074:QKA131142 QTW131074:QTW131142 RDS131074:RDS131142 RNO131074:RNO131142 RXK131074:RXK131142 SHG131074:SHG131142 SRC131074:SRC131142 TAY131074:TAY131142 TKU131074:TKU131142 TUQ131074:TUQ131142 UEM131074:UEM131142 UOI131074:UOI131142 UYE131074:UYE131142 VIA131074:VIA131142 VRW131074:VRW131142 WBS131074:WBS131142 WLO131074:WLO131142 WVK131074:WVK131142 C196610:C196678 IY196610:IY196678 SU196610:SU196678 ACQ196610:ACQ196678 AMM196610:AMM196678 AWI196610:AWI196678 BGE196610:BGE196678 BQA196610:BQA196678 BZW196610:BZW196678 CJS196610:CJS196678 CTO196610:CTO196678 DDK196610:DDK196678 DNG196610:DNG196678 DXC196610:DXC196678 EGY196610:EGY196678 EQU196610:EQU196678 FAQ196610:FAQ196678 FKM196610:FKM196678 FUI196610:FUI196678 GEE196610:GEE196678 GOA196610:GOA196678 GXW196610:GXW196678 HHS196610:HHS196678 HRO196610:HRO196678 IBK196610:IBK196678 ILG196610:ILG196678 IVC196610:IVC196678 JEY196610:JEY196678 JOU196610:JOU196678 JYQ196610:JYQ196678 KIM196610:KIM196678 KSI196610:KSI196678 LCE196610:LCE196678 LMA196610:LMA196678 LVW196610:LVW196678 MFS196610:MFS196678 MPO196610:MPO196678 MZK196610:MZK196678 NJG196610:NJG196678 NTC196610:NTC196678 OCY196610:OCY196678 OMU196610:OMU196678 OWQ196610:OWQ196678 PGM196610:PGM196678 PQI196610:PQI196678 QAE196610:QAE196678 QKA196610:QKA196678 QTW196610:QTW196678 RDS196610:RDS196678 RNO196610:RNO196678 RXK196610:RXK196678 SHG196610:SHG196678 SRC196610:SRC196678 TAY196610:TAY196678 TKU196610:TKU196678 TUQ196610:TUQ196678 UEM196610:UEM196678 UOI196610:UOI196678 UYE196610:UYE196678 VIA196610:VIA196678 VRW196610:VRW196678 WBS196610:WBS196678 WLO196610:WLO196678 WVK196610:WVK196678 C262146:C262214 IY262146:IY262214 SU262146:SU262214 ACQ262146:ACQ262214 AMM262146:AMM262214 AWI262146:AWI262214 BGE262146:BGE262214 BQA262146:BQA262214 BZW262146:BZW262214 CJS262146:CJS262214 CTO262146:CTO262214 DDK262146:DDK262214 DNG262146:DNG262214 DXC262146:DXC262214 EGY262146:EGY262214 EQU262146:EQU262214 FAQ262146:FAQ262214 FKM262146:FKM262214 FUI262146:FUI262214 GEE262146:GEE262214 GOA262146:GOA262214 GXW262146:GXW262214 HHS262146:HHS262214 HRO262146:HRO262214 IBK262146:IBK262214 ILG262146:ILG262214 IVC262146:IVC262214 JEY262146:JEY262214 JOU262146:JOU262214 JYQ262146:JYQ262214 KIM262146:KIM262214 KSI262146:KSI262214 LCE262146:LCE262214 LMA262146:LMA262214 LVW262146:LVW262214 MFS262146:MFS262214 MPO262146:MPO262214 MZK262146:MZK262214 NJG262146:NJG262214 NTC262146:NTC262214 OCY262146:OCY262214 OMU262146:OMU262214 OWQ262146:OWQ262214 PGM262146:PGM262214 PQI262146:PQI262214 QAE262146:QAE262214 QKA262146:QKA262214 QTW262146:QTW262214 RDS262146:RDS262214 RNO262146:RNO262214 RXK262146:RXK262214 SHG262146:SHG262214 SRC262146:SRC262214 TAY262146:TAY262214 TKU262146:TKU262214 TUQ262146:TUQ262214 UEM262146:UEM262214 UOI262146:UOI262214 UYE262146:UYE262214 VIA262146:VIA262214 VRW262146:VRW262214 WBS262146:WBS262214 WLO262146:WLO262214 WVK262146:WVK262214 C327682:C327750 IY327682:IY327750 SU327682:SU327750 ACQ327682:ACQ327750 AMM327682:AMM327750 AWI327682:AWI327750 BGE327682:BGE327750 BQA327682:BQA327750 BZW327682:BZW327750 CJS327682:CJS327750 CTO327682:CTO327750 DDK327682:DDK327750 DNG327682:DNG327750 DXC327682:DXC327750 EGY327682:EGY327750 EQU327682:EQU327750 FAQ327682:FAQ327750 FKM327682:FKM327750 FUI327682:FUI327750 GEE327682:GEE327750 GOA327682:GOA327750 GXW327682:GXW327750 HHS327682:HHS327750 HRO327682:HRO327750 IBK327682:IBK327750 ILG327682:ILG327750 IVC327682:IVC327750 JEY327682:JEY327750 JOU327682:JOU327750 JYQ327682:JYQ327750 KIM327682:KIM327750 KSI327682:KSI327750 LCE327682:LCE327750 LMA327682:LMA327750 LVW327682:LVW327750 MFS327682:MFS327750 MPO327682:MPO327750 MZK327682:MZK327750 NJG327682:NJG327750 NTC327682:NTC327750 OCY327682:OCY327750 OMU327682:OMU327750 OWQ327682:OWQ327750 PGM327682:PGM327750 PQI327682:PQI327750 QAE327682:QAE327750 QKA327682:QKA327750 QTW327682:QTW327750 RDS327682:RDS327750 RNO327682:RNO327750 RXK327682:RXK327750 SHG327682:SHG327750 SRC327682:SRC327750 TAY327682:TAY327750 TKU327682:TKU327750 TUQ327682:TUQ327750 UEM327682:UEM327750 UOI327682:UOI327750 UYE327682:UYE327750 VIA327682:VIA327750 VRW327682:VRW327750 WBS327682:WBS327750 WLO327682:WLO327750 WVK327682:WVK327750 C393218:C393286 IY393218:IY393286 SU393218:SU393286 ACQ393218:ACQ393286 AMM393218:AMM393286 AWI393218:AWI393286 BGE393218:BGE393286 BQA393218:BQA393286 BZW393218:BZW393286 CJS393218:CJS393286 CTO393218:CTO393286 DDK393218:DDK393286 DNG393218:DNG393286 DXC393218:DXC393286 EGY393218:EGY393286 EQU393218:EQU393286 FAQ393218:FAQ393286 FKM393218:FKM393286 FUI393218:FUI393286 GEE393218:GEE393286 GOA393218:GOA393286 GXW393218:GXW393286 HHS393218:HHS393286 HRO393218:HRO393286 IBK393218:IBK393286 ILG393218:ILG393286 IVC393218:IVC393286 JEY393218:JEY393286 JOU393218:JOU393286 JYQ393218:JYQ393286 KIM393218:KIM393286 KSI393218:KSI393286 LCE393218:LCE393286 LMA393218:LMA393286 LVW393218:LVW393286 MFS393218:MFS393286 MPO393218:MPO393286 MZK393218:MZK393286 NJG393218:NJG393286 NTC393218:NTC393286 OCY393218:OCY393286 OMU393218:OMU393286 OWQ393218:OWQ393286 PGM393218:PGM393286 PQI393218:PQI393286 QAE393218:QAE393286 QKA393218:QKA393286 QTW393218:QTW393286 RDS393218:RDS393286 RNO393218:RNO393286 RXK393218:RXK393286 SHG393218:SHG393286 SRC393218:SRC393286 TAY393218:TAY393286 TKU393218:TKU393286 TUQ393218:TUQ393286 UEM393218:UEM393286 UOI393218:UOI393286 UYE393218:UYE393286 VIA393218:VIA393286 VRW393218:VRW393286 WBS393218:WBS393286 WLO393218:WLO393286 WVK393218:WVK393286 C458754:C458822 IY458754:IY458822 SU458754:SU458822 ACQ458754:ACQ458822 AMM458754:AMM458822 AWI458754:AWI458822 BGE458754:BGE458822 BQA458754:BQA458822 BZW458754:BZW458822 CJS458754:CJS458822 CTO458754:CTO458822 DDK458754:DDK458822 DNG458754:DNG458822 DXC458754:DXC458822 EGY458754:EGY458822 EQU458754:EQU458822 FAQ458754:FAQ458822 FKM458754:FKM458822 FUI458754:FUI458822 GEE458754:GEE458822 GOA458754:GOA458822 GXW458754:GXW458822 HHS458754:HHS458822 HRO458754:HRO458822 IBK458754:IBK458822 ILG458754:ILG458822 IVC458754:IVC458822 JEY458754:JEY458822 JOU458754:JOU458822 JYQ458754:JYQ458822 KIM458754:KIM458822 KSI458754:KSI458822 LCE458754:LCE458822 LMA458754:LMA458822 LVW458754:LVW458822 MFS458754:MFS458822 MPO458754:MPO458822 MZK458754:MZK458822 NJG458754:NJG458822 NTC458754:NTC458822 OCY458754:OCY458822 OMU458754:OMU458822 OWQ458754:OWQ458822 PGM458754:PGM458822 PQI458754:PQI458822 QAE458754:QAE458822 QKA458754:QKA458822 QTW458754:QTW458822 RDS458754:RDS458822 RNO458754:RNO458822 RXK458754:RXK458822 SHG458754:SHG458822 SRC458754:SRC458822 TAY458754:TAY458822 TKU458754:TKU458822 TUQ458754:TUQ458822 UEM458754:UEM458822 UOI458754:UOI458822 UYE458754:UYE458822 VIA458754:VIA458822 VRW458754:VRW458822 WBS458754:WBS458822 WLO458754:WLO458822 WVK458754:WVK458822 C524290:C524358 IY524290:IY524358 SU524290:SU524358 ACQ524290:ACQ524358 AMM524290:AMM524358 AWI524290:AWI524358 BGE524290:BGE524358 BQA524290:BQA524358 BZW524290:BZW524358 CJS524290:CJS524358 CTO524290:CTO524358 DDK524290:DDK524358 DNG524290:DNG524358 DXC524290:DXC524358 EGY524290:EGY524358 EQU524290:EQU524358 FAQ524290:FAQ524358 FKM524290:FKM524358 FUI524290:FUI524358 GEE524290:GEE524358 GOA524290:GOA524358 GXW524290:GXW524358 HHS524290:HHS524358 HRO524290:HRO524358 IBK524290:IBK524358 ILG524290:ILG524358 IVC524290:IVC524358 JEY524290:JEY524358 JOU524290:JOU524358 JYQ524290:JYQ524358 KIM524290:KIM524358 KSI524290:KSI524358 LCE524290:LCE524358 LMA524290:LMA524358 LVW524290:LVW524358 MFS524290:MFS524358 MPO524290:MPO524358 MZK524290:MZK524358 NJG524290:NJG524358 NTC524290:NTC524358 OCY524290:OCY524358 OMU524290:OMU524358 OWQ524290:OWQ524358 PGM524290:PGM524358 PQI524290:PQI524358 QAE524290:QAE524358 QKA524290:QKA524358 QTW524290:QTW524358 RDS524290:RDS524358 RNO524290:RNO524358 RXK524290:RXK524358 SHG524290:SHG524358 SRC524290:SRC524358 TAY524290:TAY524358 TKU524290:TKU524358 TUQ524290:TUQ524358 UEM524290:UEM524358 UOI524290:UOI524358 UYE524290:UYE524358 VIA524290:VIA524358 VRW524290:VRW524358 WBS524290:WBS524358 WLO524290:WLO524358 WVK524290:WVK524358 C589826:C589894 IY589826:IY589894 SU589826:SU589894 ACQ589826:ACQ589894 AMM589826:AMM589894 AWI589826:AWI589894 BGE589826:BGE589894 BQA589826:BQA589894 BZW589826:BZW589894 CJS589826:CJS589894 CTO589826:CTO589894 DDK589826:DDK589894 DNG589826:DNG589894 DXC589826:DXC589894 EGY589826:EGY589894 EQU589826:EQU589894 FAQ589826:FAQ589894 FKM589826:FKM589894 FUI589826:FUI589894 GEE589826:GEE589894 GOA589826:GOA589894 GXW589826:GXW589894 HHS589826:HHS589894 HRO589826:HRO589894 IBK589826:IBK589894 ILG589826:ILG589894 IVC589826:IVC589894 JEY589826:JEY589894 JOU589826:JOU589894 JYQ589826:JYQ589894 KIM589826:KIM589894 KSI589826:KSI589894 LCE589826:LCE589894 LMA589826:LMA589894 LVW589826:LVW589894 MFS589826:MFS589894 MPO589826:MPO589894 MZK589826:MZK589894 NJG589826:NJG589894 NTC589826:NTC589894 OCY589826:OCY589894 OMU589826:OMU589894 OWQ589826:OWQ589894 PGM589826:PGM589894 PQI589826:PQI589894 QAE589826:QAE589894 QKA589826:QKA589894 QTW589826:QTW589894 RDS589826:RDS589894 RNO589826:RNO589894 RXK589826:RXK589894 SHG589826:SHG589894 SRC589826:SRC589894 TAY589826:TAY589894 TKU589826:TKU589894 TUQ589826:TUQ589894 UEM589826:UEM589894 UOI589826:UOI589894 UYE589826:UYE589894 VIA589826:VIA589894 VRW589826:VRW589894 WBS589826:WBS589894 WLO589826:WLO589894 WVK589826:WVK589894 C655362:C655430 IY655362:IY655430 SU655362:SU655430 ACQ655362:ACQ655430 AMM655362:AMM655430 AWI655362:AWI655430 BGE655362:BGE655430 BQA655362:BQA655430 BZW655362:BZW655430 CJS655362:CJS655430 CTO655362:CTO655430 DDK655362:DDK655430 DNG655362:DNG655430 DXC655362:DXC655430 EGY655362:EGY655430 EQU655362:EQU655430 FAQ655362:FAQ655430 FKM655362:FKM655430 FUI655362:FUI655430 GEE655362:GEE655430 GOA655362:GOA655430 GXW655362:GXW655430 HHS655362:HHS655430 HRO655362:HRO655430 IBK655362:IBK655430 ILG655362:ILG655430 IVC655362:IVC655430 JEY655362:JEY655430 JOU655362:JOU655430 JYQ655362:JYQ655430 KIM655362:KIM655430 KSI655362:KSI655430 LCE655362:LCE655430 LMA655362:LMA655430 LVW655362:LVW655430 MFS655362:MFS655430 MPO655362:MPO655430 MZK655362:MZK655430 NJG655362:NJG655430 NTC655362:NTC655430 OCY655362:OCY655430 OMU655362:OMU655430 OWQ655362:OWQ655430 PGM655362:PGM655430 PQI655362:PQI655430 QAE655362:QAE655430 QKA655362:QKA655430 QTW655362:QTW655430 RDS655362:RDS655430 RNO655362:RNO655430 RXK655362:RXK655430 SHG655362:SHG655430 SRC655362:SRC655430 TAY655362:TAY655430 TKU655362:TKU655430 TUQ655362:TUQ655430 UEM655362:UEM655430 UOI655362:UOI655430 UYE655362:UYE655430 VIA655362:VIA655430 VRW655362:VRW655430 WBS655362:WBS655430 WLO655362:WLO655430 WVK655362:WVK655430 C720898:C720966 IY720898:IY720966 SU720898:SU720966 ACQ720898:ACQ720966 AMM720898:AMM720966 AWI720898:AWI720966 BGE720898:BGE720966 BQA720898:BQA720966 BZW720898:BZW720966 CJS720898:CJS720966 CTO720898:CTO720966 DDK720898:DDK720966 DNG720898:DNG720966 DXC720898:DXC720966 EGY720898:EGY720966 EQU720898:EQU720966 FAQ720898:FAQ720966 FKM720898:FKM720966 FUI720898:FUI720966 GEE720898:GEE720966 GOA720898:GOA720966 GXW720898:GXW720966 HHS720898:HHS720966 HRO720898:HRO720966 IBK720898:IBK720966 ILG720898:ILG720966 IVC720898:IVC720966 JEY720898:JEY720966 JOU720898:JOU720966 JYQ720898:JYQ720966 KIM720898:KIM720966 KSI720898:KSI720966 LCE720898:LCE720966 LMA720898:LMA720966 LVW720898:LVW720966 MFS720898:MFS720966 MPO720898:MPO720966 MZK720898:MZK720966 NJG720898:NJG720966 NTC720898:NTC720966 OCY720898:OCY720966 OMU720898:OMU720966 OWQ720898:OWQ720966 PGM720898:PGM720966 PQI720898:PQI720966 QAE720898:QAE720966 QKA720898:QKA720966 QTW720898:QTW720966 RDS720898:RDS720966 RNO720898:RNO720966 RXK720898:RXK720966 SHG720898:SHG720966 SRC720898:SRC720966 TAY720898:TAY720966 TKU720898:TKU720966 TUQ720898:TUQ720966 UEM720898:UEM720966 UOI720898:UOI720966 UYE720898:UYE720966 VIA720898:VIA720966 VRW720898:VRW720966 WBS720898:WBS720966 WLO720898:WLO720966 WVK720898:WVK720966 C786434:C786502 IY786434:IY786502 SU786434:SU786502 ACQ786434:ACQ786502 AMM786434:AMM786502 AWI786434:AWI786502 BGE786434:BGE786502 BQA786434:BQA786502 BZW786434:BZW786502 CJS786434:CJS786502 CTO786434:CTO786502 DDK786434:DDK786502 DNG786434:DNG786502 DXC786434:DXC786502 EGY786434:EGY786502 EQU786434:EQU786502 FAQ786434:FAQ786502 FKM786434:FKM786502 FUI786434:FUI786502 GEE786434:GEE786502 GOA786434:GOA786502 GXW786434:GXW786502 HHS786434:HHS786502 HRO786434:HRO786502 IBK786434:IBK786502 ILG786434:ILG786502 IVC786434:IVC786502 JEY786434:JEY786502 JOU786434:JOU786502 JYQ786434:JYQ786502 KIM786434:KIM786502 KSI786434:KSI786502 LCE786434:LCE786502 LMA786434:LMA786502 LVW786434:LVW786502 MFS786434:MFS786502 MPO786434:MPO786502 MZK786434:MZK786502 NJG786434:NJG786502 NTC786434:NTC786502 OCY786434:OCY786502 OMU786434:OMU786502 OWQ786434:OWQ786502 PGM786434:PGM786502 PQI786434:PQI786502 QAE786434:QAE786502 QKA786434:QKA786502 QTW786434:QTW786502 RDS786434:RDS786502 RNO786434:RNO786502 RXK786434:RXK786502 SHG786434:SHG786502 SRC786434:SRC786502 TAY786434:TAY786502 TKU786434:TKU786502 TUQ786434:TUQ786502 UEM786434:UEM786502 UOI786434:UOI786502 UYE786434:UYE786502 VIA786434:VIA786502 VRW786434:VRW786502 WBS786434:WBS786502 WLO786434:WLO786502 WVK786434:WVK786502 C851970:C852038 IY851970:IY852038 SU851970:SU852038 ACQ851970:ACQ852038 AMM851970:AMM852038 AWI851970:AWI852038 BGE851970:BGE852038 BQA851970:BQA852038 BZW851970:BZW852038 CJS851970:CJS852038 CTO851970:CTO852038 DDK851970:DDK852038 DNG851970:DNG852038 DXC851970:DXC852038 EGY851970:EGY852038 EQU851970:EQU852038 FAQ851970:FAQ852038 FKM851970:FKM852038 FUI851970:FUI852038 GEE851970:GEE852038 GOA851970:GOA852038 GXW851970:GXW852038 HHS851970:HHS852038 HRO851970:HRO852038 IBK851970:IBK852038 ILG851970:ILG852038 IVC851970:IVC852038 JEY851970:JEY852038 JOU851970:JOU852038 JYQ851970:JYQ852038 KIM851970:KIM852038 KSI851970:KSI852038 LCE851970:LCE852038 LMA851970:LMA852038 LVW851970:LVW852038 MFS851970:MFS852038 MPO851970:MPO852038 MZK851970:MZK852038 NJG851970:NJG852038 NTC851970:NTC852038 OCY851970:OCY852038 OMU851970:OMU852038 OWQ851970:OWQ852038 PGM851970:PGM852038 PQI851970:PQI852038 QAE851970:QAE852038 QKA851970:QKA852038 QTW851970:QTW852038 RDS851970:RDS852038 RNO851970:RNO852038 RXK851970:RXK852038 SHG851970:SHG852038 SRC851970:SRC852038 TAY851970:TAY852038 TKU851970:TKU852038 TUQ851970:TUQ852038 UEM851970:UEM852038 UOI851970:UOI852038 UYE851970:UYE852038 VIA851970:VIA852038 VRW851970:VRW852038 WBS851970:WBS852038 WLO851970:WLO852038 WVK851970:WVK852038 C917506:C917574 IY917506:IY917574 SU917506:SU917574 ACQ917506:ACQ917574 AMM917506:AMM917574 AWI917506:AWI917574 BGE917506:BGE917574 BQA917506:BQA917574 BZW917506:BZW917574 CJS917506:CJS917574 CTO917506:CTO917574 DDK917506:DDK917574 DNG917506:DNG917574 DXC917506:DXC917574 EGY917506:EGY917574 EQU917506:EQU917574 FAQ917506:FAQ917574 FKM917506:FKM917574 FUI917506:FUI917574 GEE917506:GEE917574 GOA917506:GOA917574 GXW917506:GXW917574 HHS917506:HHS917574 HRO917506:HRO917574 IBK917506:IBK917574 ILG917506:ILG917574 IVC917506:IVC917574 JEY917506:JEY917574 JOU917506:JOU917574 JYQ917506:JYQ917574 KIM917506:KIM917574 KSI917506:KSI917574 LCE917506:LCE917574 LMA917506:LMA917574 LVW917506:LVW917574 MFS917506:MFS917574 MPO917506:MPO917574 MZK917506:MZK917574 NJG917506:NJG917574 NTC917506:NTC917574 OCY917506:OCY917574 OMU917506:OMU917574 OWQ917506:OWQ917574 PGM917506:PGM917574 PQI917506:PQI917574 QAE917506:QAE917574 QKA917506:QKA917574 QTW917506:QTW917574 RDS917506:RDS917574 RNO917506:RNO917574 RXK917506:RXK917574 SHG917506:SHG917574 SRC917506:SRC917574 TAY917506:TAY917574 TKU917506:TKU917574 TUQ917506:TUQ917574 UEM917506:UEM917574 UOI917506:UOI917574 UYE917506:UYE917574 VIA917506:VIA917574 VRW917506:VRW917574 WBS917506:WBS917574 WLO917506:WLO917574 WVK917506:WVK917574 C983042:C983110 IY983042:IY983110 SU983042:SU983110 ACQ983042:ACQ983110 AMM983042:AMM983110 AWI983042:AWI983110 BGE983042:BGE983110 BQA983042:BQA983110 BZW983042:BZW983110 CJS983042:CJS983110 CTO983042:CTO983110 DDK983042:DDK983110 DNG983042:DNG983110 DXC983042:DXC983110 EGY983042:EGY983110 EQU983042:EQU983110 FAQ983042:FAQ983110 FKM983042:FKM983110 FUI983042:FUI983110 GEE983042:GEE983110 GOA983042:GOA983110 GXW983042:GXW983110 HHS983042:HHS983110 HRO983042:HRO983110 IBK983042:IBK983110 ILG983042:ILG983110 IVC983042:IVC983110 JEY983042:JEY983110 JOU983042:JOU983110 JYQ983042:JYQ983110 KIM983042:KIM983110 KSI983042:KSI983110 LCE983042:LCE983110 LMA983042:LMA983110 LVW983042:LVW983110 MFS983042:MFS983110 MPO983042:MPO983110 MZK983042:MZK983110 NJG983042:NJG983110 NTC983042:NTC983110 OCY983042:OCY983110 OMU983042:OMU983110 OWQ983042:OWQ983110 PGM983042:PGM983110 PQI983042:PQI983110 QAE983042:QAE983110 QKA983042:QKA983110 QTW983042:QTW983110 RDS983042:RDS983110 RNO983042:RNO983110 RXK983042:RXK983110 SHG983042:SHG983110 SRC983042:SRC983110 TAY983042:TAY983110 TKU983042:TKU983110 TUQ983042:TUQ983110 UEM983042:UEM983110 UOI983042:UOI983110 UYE983042:UYE983110 VIA983042:VIA983110 VRW983042:VRW983110 WBS983042:WBS983110 WLO983042:WLO983110 C2:C200" xr:uid="{42297654-4010-4B95-B4FE-DDF9FAA45A77}">
      <formula1>0</formula1>
      <formula2>0</formula2>
    </dataValidation>
    <dataValidation type="list" operator="equal" allowBlank="1" showInputMessage="1" showErrorMessage="1" error="Please Select Valid Gross Qty UOM from Dropdown" prompt="Please Select from Dropdown" sqref="J2:J105 JF2:JF105 TB2:TB105 ACX2:ACX105 AMT2:AMT105 AWP2:AWP105 BGL2:BGL105 BQH2:BQH105 CAD2:CAD105 CJZ2:CJZ105 CTV2:CTV105 DDR2:DDR105 DNN2:DNN105 DXJ2:DXJ105 EHF2:EHF105 ERB2:ERB105 FAX2:FAX105 FKT2:FKT105 FUP2:FUP105 GEL2:GEL105 GOH2:GOH105 GYD2:GYD105 HHZ2:HHZ105 HRV2:HRV105 IBR2:IBR105 ILN2:ILN105 IVJ2:IVJ105 JFF2:JFF105 JPB2:JPB105 JYX2:JYX105 KIT2:KIT105 KSP2:KSP105 LCL2:LCL105 LMH2:LMH105 LWD2:LWD105 MFZ2:MFZ105 MPV2:MPV105 MZR2:MZR105 NJN2:NJN105 NTJ2:NTJ105 ODF2:ODF105 ONB2:ONB105 OWX2:OWX105 PGT2:PGT105 PQP2:PQP105 QAL2:QAL105 QKH2:QKH105 QUD2:QUD105 RDZ2:RDZ105 RNV2:RNV105 RXR2:RXR105 SHN2:SHN105 SRJ2:SRJ105 TBF2:TBF105 TLB2:TLB105 TUX2:TUX105 UET2:UET105 UOP2:UOP105 UYL2:UYL105 VIH2:VIH105 VSD2:VSD105 WBZ2:WBZ105 WLV2:WLV105 WVR2:WVR105 J65538:J65641 JF65538:JF65641 TB65538:TB65641 ACX65538:ACX65641 AMT65538:AMT65641 AWP65538:AWP65641 BGL65538:BGL65641 BQH65538:BQH65641 CAD65538:CAD65641 CJZ65538:CJZ65641 CTV65538:CTV65641 DDR65538:DDR65641 DNN65538:DNN65641 DXJ65538:DXJ65641 EHF65538:EHF65641 ERB65538:ERB65641 FAX65538:FAX65641 FKT65538:FKT65641 FUP65538:FUP65641 GEL65538:GEL65641 GOH65538:GOH65641 GYD65538:GYD65641 HHZ65538:HHZ65641 HRV65538:HRV65641 IBR65538:IBR65641 ILN65538:ILN65641 IVJ65538:IVJ65641 JFF65538:JFF65641 JPB65538:JPB65641 JYX65538:JYX65641 KIT65538:KIT65641 KSP65538:KSP65641 LCL65538:LCL65641 LMH65538:LMH65641 LWD65538:LWD65641 MFZ65538:MFZ65641 MPV65538:MPV65641 MZR65538:MZR65641 NJN65538:NJN65641 NTJ65538:NTJ65641 ODF65538:ODF65641 ONB65538:ONB65641 OWX65538:OWX65641 PGT65538:PGT65641 PQP65538:PQP65641 QAL65538:QAL65641 QKH65538:QKH65641 QUD65538:QUD65641 RDZ65538:RDZ65641 RNV65538:RNV65641 RXR65538:RXR65641 SHN65538:SHN65641 SRJ65538:SRJ65641 TBF65538:TBF65641 TLB65538:TLB65641 TUX65538:TUX65641 UET65538:UET65641 UOP65538:UOP65641 UYL65538:UYL65641 VIH65538:VIH65641 VSD65538:VSD65641 WBZ65538:WBZ65641 WLV65538:WLV65641 WVR65538:WVR65641 J131074:J131177 JF131074:JF131177 TB131074:TB131177 ACX131074:ACX131177 AMT131074:AMT131177 AWP131074:AWP131177 BGL131074:BGL131177 BQH131074:BQH131177 CAD131074:CAD131177 CJZ131074:CJZ131177 CTV131074:CTV131177 DDR131074:DDR131177 DNN131074:DNN131177 DXJ131074:DXJ131177 EHF131074:EHF131177 ERB131074:ERB131177 FAX131074:FAX131177 FKT131074:FKT131177 FUP131074:FUP131177 GEL131074:GEL131177 GOH131074:GOH131177 GYD131074:GYD131177 HHZ131074:HHZ131177 HRV131074:HRV131177 IBR131074:IBR131177 ILN131074:ILN131177 IVJ131074:IVJ131177 JFF131074:JFF131177 JPB131074:JPB131177 JYX131074:JYX131177 KIT131074:KIT131177 KSP131074:KSP131177 LCL131074:LCL131177 LMH131074:LMH131177 LWD131074:LWD131177 MFZ131074:MFZ131177 MPV131074:MPV131177 MZR131074:MZR131177 NJN131074:NJN131177 NTJ131074:NTJ131177 ODF131074:ODF131177 ONB131074:ONB131177 OWX131074:OWX131177 PGT131074:PGT131177 PQP131074:PQP131177 QAL131074:QAL131177 QKH131074:QKH131177 QUD131074:QUD131177 RDZ131074:RDZ131177 RNV131074:RNV131177 RXR131074:RXR131177 SHN131074:SHN131177 SRJ131074:SRJ131177 TBF131074:TBF131177 TLB131074:TLB131177 TUX131074:TUX131177 UET131074:UET131177 UOP131074:UOP131177 UYL131074:UYL131177 VIH131074:VIH131177 VSD131074:VSD131177 WBZ131074:WBZ131177 WLV131074:WLV131177 WVR131074:WVR131177 J196610:J196713 JF196610:JF196713 TB196610:TB196713 ACX196610:ACX196713 AMT196610:AMT196713 AWP196610:AWP196713 BGL196610:BGL196713 BQH196610:BQH196713 CAD196610:CAD196713 CJZ196610:CJZ196713 CTV196610:CTV196713 DDR196610:DDR196713 DNN196610:DNN196713 DXJ196610:DXJ196713 EHF196610:EHF196713 ERB196610:ERB196713 FAX196610:FAX196713 FKT196610:FKT196713 FUP196610:FUP196713 GEL196610:GEL196713 GOH196610:GOH196713 GYD196610:GYD196713 HHZ196610:HHZ196713 HRV196610:HRV196713 IBR196610:IBR196713 ILN196610:ILN196713 IVJ196610:IVJ196713 JFF196610:JFF196713 JPB196610:JPB196713 JYX196610:JYX196713 KIT196610:KIT196713 KSP196610:KSP196713 LCL196610:LCL196713 LMH196610:LMH196713 LWD196610:LWD196713 MFZ196610:MFZ196713 MPV196610:MPV196713 MZR196610:MZR196713 NJN196610:NJN196713 NTJ196610:NTJ196713 ODF196610:ODF196713 ONB196610:ONB196713 OWX196610:OWX196713 PGT196610:PGT196713 PQP196610:PQP196713 QAL196610:QAL196713 QKH196610:QKH196713 QUD196610:QUD196713 RDZ196610:RDZ196713 RNV196610:RNV196713 RXR196610:RXR196713 SHN196610:SHN196713 SRJ196610:SRJ196713 TBF196610:TBF196713 TLB196610:TLB196713 TUX196610:TUX196713 UET196610:UET196713 UOP196610:UOP196713 UYL196610:UYL196713 VIH196610:VIH196713 VSD196610:VSD196713 WBZ196610:WBZ196713 WLV196610:WLV196713 WVR196610:WVR196713 J262146:J262249 JF262146:JF262249 TB262146:TB262249 ACX262146:ACX262249 AMT262146:AMT262249 AWP262146:AWP262249 BGL262146:BGL262249 BQH262146:BQH262249 CAD262146:CAD262249 CJZ262146:CJZ262249 CTV262146:CTV262249 DDR262146:DDR262249 DNN262146:DNN262249 DXJ262146:DXJ262249 EHF262146:EHF262249 ERB262146:ERB262249 FAX262146:FAX262249 FKT262146:FKT262249 FUP262146:FUP262249 GEL262146:GEL262249 GOH262146:GOH262249 GYD262146:GYD262249 HHZ262146:HHZ262249 HRV262146:HRV262249 IBR262146:IBR262249 ILN262146:ILN262249 IVJ262146:IVJ262249 JFF262146:JFF262249 JPB262146:JPB262249 JYX262146:JYX262249 KIT262146:KIT262249 KSP262146:KSP262249 LCL262146:LCL262249 LMH262146:LMH262249 LWD262146:LWD262249 MFZ262146:MFZ262249 MPV262146:MPV262249 MZR262146:MZR262249 NJN262146:NJN262249 NTJ262146:NTJ262249 ODF262146:ODF262249 ONB262146:ONB262249 OWX262146:OWX262249 PGT262146:PGT262249 PQP262146:PQP262249 QAL262146:QAL262249 QKH262146:QKH262249 QUD262146:QUD262249 RDZ262146:RDZ262249 RNV262146:RNV262249 RXR262146:RXR262249 SHN262146:SHN262249 SRJ262146:SRJ262249 TBF262146:TBF262249 TLB262146:TLB262249 TUX262146:TUX262249 UET262146:UET262249 UOP262146:UOP262249 UYL262146:UYL262249 VIH262146:VIH262249 VSD262146:VSD262249 WBZ262146:WBZ262249 WLV262146:WLV262249 WVR262146:WVR262249 J327682:J327785 JF327682:JF327785 TB327682:TB327785 ACX327682:ACX327785 AMT327682:AMT327785 AWP327682:AWP327785 BGL327682:BGL327785 BQH327682:BQH327785 CAD327682:CAD327785 CJZ327682:CJZ327785 CTV327682:CTV327785 DDR327682:DDR327785 DNN327682:DNN327785 DXJ327682:DXJ327785 EHF327682:EHF327785 ERB327682:ERB327785 FAX327682:FAX327785 FKT327682:FKT327785 FUP327682:FUP327785 GEL327682:GEL327785 GOH327682:GOH327785 GYD327682:GYD327785 HHZ327682:HHZ327785 HRV327682:HRV327785 IBR327682:IBR327785 ILN327682:ILN327785 IVJ327682:IVJ327785 JFF327682:JFF327785 JPB327682:JPB327785 JYX327682:JYX327785 KIT327682:KIT327785 KSP327682:KSP327785 LCL327682:LCL327785 LMH327682:LMH327785 LWD327682:LWD327785 MFZ327682:MFZ327785 MPV327682:MPV327785 MZR327682:MZR327785 NJN327682:NJN327785 NTJ327682:NTJ327785 ODF327682:ODF327785 ONB327682:ONB327785 OWX327682:OWX327785 PGT327682:PGT327785 PQP327682:PQP327785 QAL327682:QAL327785 QKH327682:QKH327785 QUD327682:QUD327785 RDZ327682:RDZ327785 RNV327682:RNV327785 RXR327682:RXR327785 SHN327682:SHN327785 SRJ327682:SRJ327785 TBF327682:TBF327785 TLB327682:TLB327785 TUX327682:TUX327785 UET327682:UET327785 UOP327682:UOP327785 UYL327682:UYL327785 VIH327682:VIH327785 VSD327682:VSD327785 WBZ327682:WBZ327785 WLV327682:WLV327785 WVR327682:WVR327785 J393218:J393321 JF393218:JF393321 TB393218:TB393321 ACX393218:ACX393321 AMT393218:AMT393321 AWP393218:AWP393321 BGL393218:BGL393321 BQH393218:BQH393321 CAD393218:CAD393321 CJZ393218:CJZ393321 CTV393218:CTV393321 DDR393218:DDR393321 DNN393218:DNN393321 DXJ393218:DXJ393321 EHF393218:EHF393321 ERB393218:ERB393321 FAX393218:FAX393321 FKT393218:FKT393321 FUP393218:FUP393321 GEL393218:GEL393321 GOH393218:GOH393321 GYD393218:GYD393321 HHZ393218:HHZ393321 HRV393218:HRV393321 IBR393218:IBR393321 ILN393218:ILN393321 IVJ393218:IVJ393321 JFF393218:JFF393321 JPB393218:JPB393321 JYX393218:JYX393321 KIT393218:KIT393321 KSP393218:KSP393321 LCL393218:LCL393321 LMH393218:LMH393321 LWD393218:LWD393321 MFZ393218:MFZ393321 MPV393218:MPV393321 MZR393218:MZR393321 NJN393218:NJN393321 NTJ393218:NTJ393321 ODF393218:ODF393321 ONB393218:ONB393321 OWX393218:OWX393321 PGT393218:PGT393321 PQP393218:PQP393321 QAL393218:QAL393321 QKH393218:QKH393321 QUD393218:QUD393321 RDZ393218:RDZ393321 RNV393218:RNV393321 RXR393218:RXR393321 SHN393218:SHN393321 SRJ393218:SRJ393321 TBF393218:TBF393321 TLB393218:TLB393321 TUX393218:TUX393321 UET393218:UET393321 UOP393218:UOP393321 UYL393218:UYL393321 VIH393218:VIH393321 VSD393218:VSD393321 WBZ393218:WBZ393321 WLV393218:WLV393321 WVR393218:WVR393321 J458754:J458857 JF458754:JF458857 TB458754:TB458857 ACX458754:ACX458857 AMT458754:AMT458857 AWP458754:AWP458857 BGL458754:BGL458857 BQH458754:BQH458857 CAD458754:CAD458857 CJZ458754:CJZ458857 CTV458754:CTV458857 DDR458754:DDR458857 DNN458754:DNN458857 DXJ458754:DXJ458857 EHF458754:EHF458857 ERB458754:ERB458857 FAX458754:FAX458857 FKT458754:FKT458857 FUP458754:FUP458857 GEL458754:GEL458857 GOH458754:GOH458857 GYD458754:GYD458857 HHZ458754:HHZ458857 HRV458754:HRV458857 IBR458754:IBR458857 ILN458754:ILN458857 IVJ458754:IVJ458857 JFF458754:JFF458857 JPB458754:JPB458857 JYX458754:JYX458857 KIT458754:KIT458857 KSP458754:KSP458857 LCL458754:LCL458857 LMH458754:LMH458857 LWD458754:LWD458857 MFZ458754:MFZ458857 MPV458754:MPV458857 MZR458754:MZR458857 NJN458754:NJN458857 NTJ458754:NTJ458857 ODF458754:ODF458857 ONB458754:ONB458857 OWX458754:OWX458857 PGT458754:PGT458857 PQP458754:PQP458857 QAL458754:QAL458857 QKH458754:QKH458857 QUD458754:QUD458857 RDZ458754:RDZ458857 RNV458754:RNV458857 RXR458754:RXR458857 SHN458754:SHN458857 SRJ458754:SRJ458857 TBF458754:TBF458857 TLB458754:TLB458857 TUX458754:TUX458857 UET458754:UET458857 UOP458754:UOP458857 UYL458754:UYL458857 VIH458754:VIH458857 VSD458754:VSD458857 WBZ458754:WBZ458857 WLV458754:WLV458857 WVR458754:WVR458857 J524290:J524393 JF524290:JF524393 TB524290:TB524393 ACX524290:ACX524393 AMT524290:AMT524393 AWP524290:AWP524393 BGL524290:BGL524393 BQH524290:BQH524393 CAD524290:CAD524393 CJZ524290:CJZ524393 CTV524290:CTV524393 DDR524290:DDR524393 DNN524290:DNN524393 DXJ524290:DXJ524393 EHF524290:EHF524393 ERB524290:ERB524393 FAX524290:FAX524393 FKT524290:FKT524393 FUP524290:FUP524393 GEL524290:GEL524393 GOH524290:GOH524393 GYD524290:GYD524393 HHZ524290:HHZ524393 HRV524290:HRV524393 IBR524290:IBR524393 ILN524290:ILN524393 IVJ524290:IVJ524393 JFF524290:JFF524393 JPB524290:JPB524393 JYX524290:JYX524393 KIT524290:KIT524393 KSP524290:KSP524393 LCL524290:LCL524393 LMH524290:LMH524393 LWD524290:LWD524393 MFZ524290:MFZ524393 MPV524290:MPV524393 MZR524290:MZR524393 NJN524290:NJN524393 NTJ524290:NTJ524393 ODF524290:ODF524393 ONB524290:ONB524393 OWX524290:OWX524393 PGT524290:PGT524393 PQP524290:PQP524393 QAL524290:QAL524393 QKH524290:QKH524393 QUD524290:QUD524393 RDZ524290:RDZ524393 RNV524290:RNV524393 RXR524290:RXR524393 SHN524290:SHN524393 SRJ524290:SRJ524393 TBF524290:TBF524393 TLB524290:TLB524393 TUX524290:TUX524393 UET524290:UET524393 UOP524290:UOP524393 UYL524290:UYL524393 VIH524290:VIH524393 VSD524290:VSD524393 WBZ524290:WBZ524393 WLV524290:WLV524393 WVR524290:WVR524393 J589826:J589929 JF589826:JF589929 TB589826:TB589929 ACX589826:ACX589929 AMT589826:AMT589929 AWP589826:AWP589929 BGL589826:BGL589929 BQH589826:BQH589929 CAD589826:CAD589929 CJZ589826:CJZ589929 CTV589826:CTV589929 DDR589826:DDR589929 DNN589826:DNN589929 DXJ589826:DXJ589929 EHF589826:EHF589929 ERB589826:ERB589929 FAX589826:FAX589929 FKT589826:FKT589929 FUP589826:FUP589929 GEL589826:GEL589929 GOH589826:GOH589929 GYD589826:GYD589929 HHZ589826:HHZ589929 HRV589826:HRV589929 IBR589826:IBR589929 ILN589826:ILN589929 IVJ589826:IVJ589929 JFF589826:JFF589929 JPB589826:JPB589929 JYX589826:JYX589929 KIT589826:KIT589929 KSP589826:KSP589929 LCL589826:LCL589929 LMH589826:LMH589929 LWD589826:LWD589929 MFZ589826:MFZ589929 MPV589826:MPV589929 MZR589826:MZR589929 NJN589826:NJN589929 NTJ589826:NTJ589929 ODF589826:ODF589929 ONB589826:ONB589929 OWX589826:OWX589929 PGT589826:PGT589929 PQP589826:PQP589929 QAL589826:QAL589929 QKH589826:QKH589929 QUD589826:QUD589929 RDZ589826:RDZ589929 RNV589826:RNV589929 RXR589826:RXR589929 SHN589826:SHN589929 SRJ589826:SRJ589929 TBF589826:TBF589929 TLB589826:TLB589929 TUX589826:TUX589929 UET589826:UET589929 UOP589826:UOP589929 UYL589826:UYL589929 VIH589826:VIH589929 VSD589826:VSD589929 WBZ589826:WBZ589929 WLV589826:WLV589929 WVR589826:WVR589929 J655362:J655465 JF655362:JF655465 TB655362:TB655465 ACX655362:ACX655465 AMT655362:AMT655465 AWP655362:AWP655465 BGL655362:BGL655465 BQH655362:BQH655465 CAD655362:CAD655465 CJZ655362:CJZ655465 CTV655362:CTV655465 DDR655362:DDR655465 DNN655362:DNN655465 DXJ655362:DXJ655465 EHF655362:EHF655465 ERB655362:ERB655465 FAX655362:FAX655465 FKT655362:FKT655465 FUP655362:FUP655465 GEL655362:GEL655465 GOH655362:GOH655465 GYD655362:GYD655465 HHZ655362:HHZ655465 HRV655362:HRV655465 IBR655362:IBR655465 ILN655362:ILN655465 IVJ655362:IVJ655465 JFF655362:JFF655465 JPB655362:JPB655465 JYX655362:JYX655465 KIT655362:KIT655465 KSP655362:KSP655465 LCL655362:LCL655465 LMH655362:LMH655465 LWD655362:LWD655465 MFZ655362:MFZ655465 MPV655362:MPV655465 MZR655362:MZR655465 NJN655362:NJN655465 NTJ655362:NTJ655465 ODF655362:ODF655465 ONB655362:ONB655465 OWX655362:OWX655465 PGT655362:PGT655465 PQP655362:PQP655465 QAL655362:QAL655465 QKH655362:QKH655465 QUD655362:QUD655465 RDZ655362:RDZ655465 RNV655362:RNV655465 RXR655362:RXR655465 SHN655362:SHN655465 SRJ655362:SRJ655465 TBF655362:TBF655465 TLB655362:TLB655465 TUX655362:TUX655465 UET655362:UET655465 UOP655362:UOP655465 UYL655362:UYL655465 VIH655362:VIH655465 VSD655362:VSD655465 WBZ655362:WBZ655465 WLV655362:WLV655465 WVR655362:WVR655465 J720898:J721001 JF720898:JF721001 TB720898:TB721001 ACX720898:ACX721001 AMT720898:AMT721001 AWP720898:AWP721001 BGL720898:BGL721001 BQH720898:BQH721001 CAD720898:CAD721001 CJZ720898:CJZ721001 CTV720898:CTV721001 DDR720898:DDR721001 DNN720898:DNN721001 DXJ720898:DXJ721001 EHF720898:EHF721001 ERB720898:ERB721001 FAX720898:FAX721001 FKT720898:FKT721001 FUP720898:FUP721001 GEL720898:GEL721001 GOH720898:GOH721001 GYD720898:GYD721001 HHZ720898:HHZ721001 HRV720898:HRV721001 IBR720898:IBR721001 ILN720898:ILN721001 IVJ720898:IVJ721001 JFF720898:JFF721001 JPB720898:JPB721001 JYX720898:JYX721001 KIT720898:KIT721001 KSP720898:KSP721001 LCL720898:LCL721001 LMH720898:LMH721001 LWD720898:LWD721001 MFZ720898:MFZ721001 MPV720898:MPV721001 MZR720898:MZR721001 NJN720898:NJN721001 NTJ720898:NTJ721001 ODF720898:ODF721001 ONB720898:ONB721001 OWX720898:OWX721001 PGT720898:PGT721001 PQP720898:PQP721001 QAL720898:QAL721001 QKH720898:QKH721001 QUD720898:QUD721001 RDZ720898:RDZ721001 RNV720898:RNV721001 RXR720898:RXR721001 SHN720898:SHN721001 SRJ720898:SRJ721001 TBF720898:TBF721001 TLB720898:TLB721001 TUX720898:TUX721001 UET720898:UET721001 UOP720898:UOP721001 UYL720898:UYL721001 VIH720898:VIH721001 VSD720898:VSD721001 WBZ720898:WBZ721001 WLV720898:WLV721001 WVR720898:WVR721001 J786434:J786537 JF786434:JF786537 TB786434:TB786537 ACX786434:ACX786537 AMT786434:AMT786537 AWP786434:AWP786537 BGL786434:BGL786537 BQH786434:BQH786537 CAD786434:CAD786537 CJZ786434:CJZ786537 CTV786434:CTV786537 DDR786434:DDR786537 DNN786434:DNN786537 DXJ786434:DXJ786537 EHF786434:EHF786537 ERB786434:ERB786537 FAX786434:FAX786537 FKT786434:FKT786537 FUP786434:FUP786537 GEL786434:GEL786537 GOH786434:GOH786537 GYD786434:GYD786537 HHZ786434:HHZ786537 HRV786434:HRV786537 IBR786434:IBR786537 ILN786434:ILN786537 IVJ786434:IVJ786537 JFF786434:JFF786537 JPB786434:JPB786537 JYX786434:JYX786537 KIT786434:KIT786537 KSP786434:KSP786537 LCL786434:LCL786537 LMH786434:LMH786537 LWD786434:LWD786537 MFZ786434:MFZ786537 MPV786434:MPV786537 MZR786434:MZR786537 NJN786434:NJN786537 NTJ786434:NTJ786537 ODF786434:ODF786537 ONB786434:ONB786537 OWX786434:OWX786537 PGT786434:PGT786537 PQP786434:PQP786537 QAL786434:QAL786537 QKH786434:QKH786537 QUD786434:QUD786537 RDZ786434:RDZ786537 RNV786434:RNV786537 RXR786434:RXR786537 SHN786434:SHN786537 SRJ786434:SRJ786537 TBF786434:TBF786537 TLB786434:TLB786537 TUX786434:TUX786537 UET786434:UET786537 UOP786434:UOP786537 UYL786434:UYL786537 VIH786434:VIH786537 VSD786434:VSD786537 WBZ786434:WBZ786537 WLV786434:WLV786537 WVR786434:WVR786537 J851970:J852073 JF851970:JF852073 TB851970:TB852073 ACX851970:ACX852073 AMT851970:AMT852073 AWP851970:AWP852073 BGL851970:BGL852073 BQH851970:BQH852073 CAD851970:CAD852073 CJZ851970:CJZ852073 CTV851970:CTV852073 DDR851970:DDR852073 DNN851970:DNN852073 DXJ851970:DXJ852073 EHF851970:EHF852073 ERB851970:ERB852073 FAX851970:FAX852073 FKT851970:FKT852073 FUP851970:FUP852073 GEL851970:GEL852073 GOH851970:GOH852073 GYD851970:GYD852073 HHZ851970:HHZ852073 HRV851970:HRV852073 IBR851970:IBR852073 ILN851970:ILN852073 IVJ851970:IVJ852073 JFF851970:JFF852073 JPB851970:JPB852073 JYX851970:JYX852073 KIT851970:KIT852073 KSP851970:KSP852073 LCL851970:LCL852073 LMH851970:LMH852073 LWD851970:LWD852073 MFZ851970:MFZ852073 MPV851970:MPV852073 MZR851970:MZR852073 NJN851970:NJN852073 NTJ851970:NTJ852073 ODF851970:ODF852073 ONB851970:ONB852073 OWX851970:OWX852073 PGT851970:PGT852073 PQP851970:PQP852073 QAL851970:QAL852073 QKH851970:QKH852073 QUD851970:QUD852073 RDZ851970:RDZ852073 RNV851970:RNV852073 RXR851970:RXR852073 SHN851970:SHN852073 SRJ851970:SRJ852073 TBF851970:TBF852073 TLB851970:TLB852073 TUX851970:TUX852073 UET851970:UET852073 UOP851970:UOP852073 UYL851970:UYL852073 VIH851970:VIH852073 VSD851970:VSD852073 WBZ851970:WBZ852073 WLV851970:WLV852073 WVR851970:WVR852073 J917506:J917609 JF917506:JF917609 TB917506:TB917609 ACX917506:ACX917609 AMT917506:AMT917609 AWP917506:AWP917609 BGL917506:BGL917609 BQH917506:BQH917609 CAD917506:CAD917609 CJZ917506:CJZ917609 CTV917506:CTV917609 DDR917506:DDR917609 DNN917506:DNN917609 DXJ917506:DXJ917609 EHF917506:EHF917609 ERB917506:ERB917609 FAX917506:FAX917609 FKT917506:FKT917609 FUP917506:FUP917609 GEL917506:GEL917609 GOH917506:GOH917609 GYD917506:GYD917609 HHZ917506:HHZ917609 HRV917506:HRV917609 IBR917506:IBR917609 ILN917506:ILN917609 IVJ917506:IVJ917609 JFF917506:JFF917609 JPB917506:JPB917609 JYX917506:JYX917609 KIT917506:KIT917609 KSP917506:KSP917609 LCL917506:LCL917609 LMH917506:LMH917609 LWD917506:LWD917609 MFZ917506:MFZ917609 MPV917506:MPV917609 MZR917506:MZR917609 NJN917506:NJN917609 NTJ917506:NTJ917609 ODF917506:ODF917609 ONB917506:ONB917609 OWX917506:OWX917609 PGT917506:PGT917609 PQP917506:PQP917609 QAL917506:QAL917609 QKH917506:QKH917609 QUD917506:QUD917609 RDZ917506:RDZ917609 RNV917506:RNV917609 RXR917506:RXR917609 SHN917506:SHN917609 SRJ917506:SRJ917609 TBF917506:TBF917609 TLB917506:TLB917609 TUX917506:TUX917609 UET917506:UET917609 UOP917506:UOP917609 UYL917506:UYL917609 VIH917506:VIH917609 VSD917506:VSD917609 WBZ917506:WBZ917609 WLV917506:WLV917609 WVR917506:WVR917609 J983042:J983145 JF983042:JF983145 TB983042:TB983145 ACX983042:ACX983145 AMT983042:AMT983145 AWP983042:AWP983145 BGL983042:BGL983145 BQH983042:BQH983145 CAD983042:CAD983145 CJZ983042:CJZ983145 CTV983042:CTV983145 DDR983042:DDR983145 DNN983042:DNN983145 DXJ983042:DXJ983145 EHF983042:EHF983145 ERB983042:ERB983145 FAX983042:FAX983145 FKT983042:FKT983145 FUP983042:FUP983145 GEL983042:GEL983145 GOH983042:GOH983145 GYD983042:GYD983145 HHZ983042:HHZ983145 HRV983042:HRV983145 IBR983042:IBR983145 ILN983042:ILN983145 IVJ983042:IVJ983145 JFF983042:JFF983145 JPB983042:JPB983145 JYX983042:JYX983145 KIT983042:KIT983145 KSP983042:KSP983145 LCL983042:LCL983145 LMH983042:LMH983145 LWD983042:LWD983145 MFZ983042:MFZ983145 MPV983042:MPV983145 MZR983042:MZR983145 NJN983042:NJN983145 NTJ983042:NTJ983145 ODF983042:ODF983145 ONB983042:ONB983145 OWX983042:OWX983145 PGT983042:PGT983145 PQP983042:PQP983145 QAL983042:QAL983145 QKH983042:QKH983145 QUD983042:QUD983145 RDZ983042:RDZ983145 RNV983042:RNV983145 RXR983042:RXR983145 SHN983042:SHN983145 SRJ983042:SRJ983145 TBF983042:TBF983145 TLB983042:TLB983145 TUX983042:TUX983145 UET983042:UET983145 UOP983042:UOP983145 UYL983042:UYL983145 VIH983042:VIH983145 VSD983042:VSD983145 WBZ983042:WBZ983145 WLV983042:WLV983145 WVR983042:WVR983145" xr:uid="{339830F6-E2DF-49E8-AA94-FA3DA5E76CBE}">
      <formula1>$Z$1:$Z$31</formula1>
      <formula2>0</formula2>
    </dataValidation>
    <dataValidation type="list" operator="equal" allowBlank="1" showInputMessage="1" showErrorMessage="1" error="Please Select Quantity to be printed in Coo from Dropdown._x000a_" prompt="Please Select from Dropdown" sqref="K2:K105 JG2:JG105 TC2:TC105 ACY2:ACY105 AMU2:AMU105 AWQ2:AWQ105 BGM2:BGM105 BQI2:BQI105 CAE2:CAE105 CKA2:CKA105 CTW2:CTW105 DDS2:DDS105 DNO2:DNO105 DXK2:DXK105 EHG2:EHG105 ERC2:ERC105 FAY2:FAY105 FKU2:FKU105 FUQ2:FUQ105 GEM2:GEM105 GOI2:GOI105 GYE2:GYE105 HIA2:HIA105 HRW2:HRW105 IBS2:IBS105 ILO2:ILO105 IVK2:IVK105 JFG2:JFG105 JPC2:JPC105 JYY2:JYY105 KIU2:KIU105 KSQ2:KSQ105 LCM2:LCM105 LMI2:LMI105 LWE2:LWE105 MGA2:MGA105 MPW2:MPW105 MZS2:MZS105 NJO2:NJO105 NTK2:NTK105 ODG2:ODG105 ONC2:ONC105 OWY2:OWY105 PGU2:PGU105 PQQ2:PQQ105 QAM2:QAM105 QKI2:QKI105 QUE2:QUE105 REA2:REA105 RNW2:RNW105 RXS2:RXS105 SHO2:SHO105 SRK2:SRK105 TBG2:TBG105 TLC2:TLC105 TUY2:TUY105 UEU2:UEU105 UOQ2:UOQ105 UYM2:UYM105 VII2:VII105 VSE2:VSE105 WCA2:WCA105 WLW2:WLW105 WVS2:WVS105 K65538:K65641 JG65538:JG65641 TC65538:TC65641 ACY65538:ACY65641 AMU65538:AMU65641 AWQ65538:AWQ65641 BGM65538:BGM65641 BQI65538:BQI65641 CAE65538:CAE65641 CKA65538:CKA65641 CTW65538:CTW65641 DDS65538:DDS65641 DNO65538:DNO65641 DXK65538:DXK65641 EHG65538:EHG65641 ERC65538:ERC65641 FAY65538:FAY65641 FKU65538:FKU65641 FUQ65538:FUQ65641 GEM65538:GEM65641 GOI65538:GOI65641 GYE65538:GYE65641 HIA65538:HIA65641 HRW65538:HRW65641 IBS65538:IBS65641 ILO65538:ILO65641 IVK65538:IVK65641 JFG65538:JFG65641 JPC65538:JPC65641 JYY65538:JYY65641 KIU65538:KIU65641 KSQ65538:KSQ65641 LCM65538:LCM65641 LMI65538:LMI65641 LWE65538:LWE65641 MGA65538:MGA65641 MPW65538:MPW65641 MZS65538:MZS65641 NJO65538:NJO65641 NTK65538:NTK65641 ODG65538:ODG65641 ONC65538:ONC65641 OWY65538:OWY65641 PGU65538:PGU65641 PQQ65538:PQQ65641 QAM65538:QAM65641 QKI65538:QKI65641 QUE65538:QUE65641 REA65538:REA65641 RNW65538:RNW65641 RXS65538:RXS65641 SHO65538:SHO65641 SRK65538:SRK65641 TBG65538:TBG65641 TLC65538:TLC65641 TUY65538:TUY65641 UEU65538:UEU65641 UOQ65538:UOQ65641 UYM65538:UYM65641 VII65538:VII65641 VSE65538:VSE65641 WCA65538:WCA65641 WLW65538:WLW65641 WVS65538:WVS65641 K131074:K131177 JG131074:JG131177 TC131074:TC131177 ACY131074:ACY131177 AMU131074:AMU131177 AWQ131074:AWQ131177 BGM131074:BGM131177 BQI131074:BQI131177 CAE131074:CAE131177 CKA131074:CKA131177 CTW131074:CTW131177 DDS131074:DDS131177 DNO131074:DNO131177 DXK131074:DXK131177 EHG131074:EHG131177 ERC131074:ERC131177 FAY131074:FAY131177 FKU131074:FKU131177 FUQ131074:FUQ131177 GEM131074:GEM131177 GOI131074:GOI131177 GYE131074:GYE131177 HIA131074:HIA131177 HRW131074:HRW131177 IBS131074:IBS131177 ILO131074:ILO131177 IVK131074:IVK131177 JFG131074:JFG131177 JPC131074:JPC131177 JYY131074:JYY131177 KIU131074:KIU131177 KSQ131074:KSQ131177 LCM131074:LCM131177 LMI131074:LMI131177 LWE131074:LWE131177 MGA131074:MGA131177 MPW131074:MPW131177 MZS131074:MZS131177 NJO131074:NJO131177 NTK131074:NTK131177 ODG131074:ODG131177 ONC131074:ONC131177 OWY131074:OWY131177 PGU131074:PGU131177 PQQ131074:PQQ131177 QAM131074:QAM131177 QKI131074:QKI131177 QUE131074:QUE131177 REA131074:REA131177 RNW131074:RNW131177 RXS131074:RXS131177 SHO131074:SHO131177 SRK131074:SRK131177 TBG131074:TBG131177 TLC131074:TLC131177 TUY131074:TUY131177 UEU131074:UEU131177 UOQ131074:UOQ131177 UYM131074:UYM131177 VII131074:VII131177 VSE131074:VSE131177 WCA131074:WCA131177 WLW131074:WLW131177 WVS131074:WVS131177 K196610:K196713 JG196610:JG196713 TC196610:TC196713 ACY196610:ACY196713 AMU196610:AMU196713 AWQ196610:AWQ196713 BGM196610:BGM196713 BQI196610:BQI196713 CAE196610:CAE196713 CKA196610:CKA196713 CTW196610:CTW196713 DDS196610:DDS196713 DNO196610:DNO196713 DXK196610:DXK196713 EHG196610:EHG196713 ERC196610:ERC196713 FAY196610:FAY196713 FKU196610:FKU196713 FUQ196610:FUQ196713 GEM196610:GEM196713 GOI196610:GOI196713 GYE196610:GYE196713 HIA196610:HIA196713 HRW196610:HRW196713 IBS196610:IBS196713 ILO196610:ILO196713 IVK196610:IVK196713 JFG196610:JFG196713 JPC196610:JPC196713 JYY196610:JYY196713 KIU196610:KIU196713 KSQ196610:KSQ196713 LCM196610:LCM196713 LMI196610:LMI196713 LWE196610:LWE196713 MGA196610:MGA196713 MPW196610:MPW196713 MZS196610:MZS196713 NJO196610:NJO196713 NTK196610:NTK196713 ODG196610:ODG196713 ONC196610:ONC196713 OWY196610:OWY196713 PGU196610:PGU196713 PQQ196610:PQQ196713 QAM196610:QAM196713 QKI196610:QKI196713 QUE196610:QUE196713 REA196610:REA196713 RNW196610:RNW196713 RXS196610:RXS196713 SHO196610:SHO196713 SRK196610:SRK196713 TBG196610:TBG196713 TLC196610:TLC196713 TUY196610:TUY196713 UEU196610:UEU196713 UOQ196610:UOQ196713 UYM196610:UYM196713 VII196610:VII196713 VSE196610:VSE196713 WCA196610:WCA196713 WLW196610:WLW196713 WVS196610:WVS196713 K262146:K262249 JG262146:JG262249 TC262146:TC262249 ACY262146:ACY262249 AMU262146:AMU262249 AWQ262146:AWQ262249 BGM262146:BGM262249 BQI262146:BQI262249 CAE262146:CAE262249 CKA262146:CKA262249 CTW262146:CTW262249 DDS262146:DDS262249 DNO262146:DNO262249 DXK262146:DXK262249 EHG262146:EHG262249 ERC262146:ERC262249 FAY262146:FAY262249 FKU262146:FKU262249 FUQ262146:FUQ262249 GEM262146:GEM262249 GOI262146:GOI262249 GYE262146:GYE262249 HIA262146:HIA262249 HRW262146:HRW262249 IBS262146:IBS262249 ILO262146:ILO262249 IVK262146:IVK262249 JFG262146:JFG262249 JPC262146:JPC262249 JYY262146:JYY262249 KIU262146:KIU262249 KSQ262146:KSQ262249 LCM262146:LCM262249 LMI262146:LMI262249 LWE262146:LWE262249 MGA262146:MGA262249 MPW262146:MPW262249 MZS262146:MZS262249 NJO262146:NJO262249 NTK262146:NTK262249 ODG262146:ODG262249 ONC262146:ONC262249 OWY262146:OWY262249 PGU262146:PGU262249 PQQ262146:PQQ262249 QAM262146:QAM262249 QKI262146:QKI262249 QUE262146:QUE262249 REA262146:REA262249 RNW262146:RNW262249 RXS262146:RXS262249 SHO262146:SHO262249 SRK262146:SRK262249 TBG262146:TBG262249 TLC262146:TLC262249 TUY262146:TUY262249 UEU262146:UEU262249 UOQ262146:UOQ262249 UYM262146:UYM262249 VII262146:VII262249 VSE262146:VSE262249 WCA262146:WCA262249 WLW262146:WLW262249 WVS262146:WVS262249 K327682:K327785 JG327682:JG327785 TC327682:TC327785 ACY327682:ACY327785 AMU327682:AMU327785 AWQ327682:AWQ327785 BGM327682:BGM327785 BQI327682:BQI327785 CAE327682:CAE327785 CKA327682:CKA327785 CTW327682:CTW327785 DDS327682:DDS327785 DNO327682:DNO327785 DXK327682:DXK327785 EHG327682:EHG327785 ERC327682:ERC327785 FAY327682:FAY327785 FKU327682:FKU327785 FUQ327682:FUQ327785 GEM327682:GEM327785 GOI327682:GOI327785 GYE327682:GYE327785 HIA327682:HIA327785 HRW327682:HRW327785 IBS327682:IBS327785 ILO327682:ILO327785 IVK327682:IVK327785 JFG327682:JFG327785 JPC327682:JPC327785 JYY327682:JYY327785 KIU327682:KIU327785 KSQ327682:KSQ327785 LCM327682:LCM327785 LMI327682:LMI327785 LWE327682:LWE327785 MGA327682:MGA327785 MPW327682:MPW327785 MZS327682:MZS327785 NJO327682:NJO327785 NTK327682:NTK327785 ODG327682:ODG327785 ONC327682:ONC327785 OWY327682:OWY327785 PGU327682:PGU327785 PQQ327682:PQQ327785 QAM327682:QAM327785 QKI327682:QKI327785 QUE327682:QUE327785 REA327682:REA327785 RNW327682:RNW327785 RXS327682:RXS327785 SHO327682:SHO327785 SRK327682:SRK327785 TBG327682:TBG327785 TLC327682:TLC327785 TUY327682:TUY327785 UEU327682:UEU327785 UOQ327682:UOQ327785 UYM327682:UYM327785 VII327682:VII327785 VSE327682:VSE327785 WCA327682:WCA327785 WLW327682:WLW327785 WVS327682:WVS327785 K393218:K393321 JG393218:JG393321 TC393218:TC393321 ACY393218:ACY393321 AMU393218:AMU393321 AWQ393218:AWQ393321 BGM393218:BGM393321 BQI393218:BQI393321 CAE393218:CAE393321 CKA393218:CKA393321 CTW393218:CTW393321 DDS393218:DDS393321 DNO393218:DNO393321 DXK393218:DXK393321 EHG393218:EHG393321 ERC393218:ERC393321 FAY393218:FAY393321 FKU393218:FKU393321 FUQ393218:FUQ393321 GEM393218:GEM393321 GOI393218:GOI393321 GYE393218:GYE393321 HIA393218:HIA393321 HRW393218:HRW393321 IBS393218:IBS393321 ILO393218:ILO393321 IVK393218:IVK393321 JFG393218:JFG393321 JPC393218:JPC393321 JYY393218:JYY393321 KIU393218:KIU393321 KSQ393218:KSQ393321 LCM393218:LCM393321 LMI393218:LMI393321 LWE393218:LWE393321 MGA393218:MGA393321 MPW393218:MPW393321 MZS393218:MZS393321 NJO393218:NJO393321 NTK393218:NTK393321 ODG393218:ODG393321 ONC393218:ONC393321 OWY393218:OWY393321 PGU393218:PGU393321 PQQ393218:PQQ393321 QAM393218:QAM393321 QKI393218:QKI393321 QUE393218:QUE393321 REA393218:REA393321 RNW393218:RNW393321 RXS393218:RXS393321 SHO393218:SHO393321 SRK393218:SRK393321 TBG393218:TBG393321 TLC393218:TLC393321 TUY393218:TUY393321 UEU393218:UEU393321 UOQ393218:UOQ393321 UYM393218:UYM393321 VII393218:VII393321 VSE393218:VSE393321 WCA393218:WCA393321 WLW393218:WLW393321 WVS393218:WVS393321 K458754:K458857 JG458754:JG458857 TC458754:TC458857 ACY458754:ACY458857 AMU458754:AMU458857 AWQ458754:AWQ458857 BGM458754:BGM458857 BQI458754:BQI458857 CAE458754:CAE458857 CKA458754:CKA458857 CTW458754:CTW458857 DDS458754:DDS458857 DNO458754:DNO458857 DXK458754:DXK458857 EHG458754:EHG458857 ERC458754:ERC458857 FAY458754:FAY458857 FKU458754:FKU458857 FUQ458754:FUQ458857 GEM458754:GEM458857 GOI458754:GOI458857 GYE458754:GYE458857 HIA458754:HIA458857 HRW458754:HRW458857 IBS458754:IBS458857 ILO458754:ILO458857 IVK458754:IVK458857 JFG458754:JFG458857 JPC458754:JPC458857 JYY458754:JYY458857 KIU458754:KIU458857 KSQ458754:KSQ458857 LCM458754:LCM458857 LMI458754:LMI458857 LWE458754:LWE458857 MGA458754:MGA458857 MPW458754:MPW458857 MZS458754:MZS458857 NJO458754:NJO458857 NTK458754:NTK458857 ODG458754:ODG458857 ONC458754:ONC458857 OWY458754:OWY458857 PGU458754:PGU458857 PQQ458754:PQQ458857 QAM458754:QAM458857 QKI458754:QKI458857 QUE458754:QUE458857 REA458754:REA458857 RNW458754:RNW458857 RXS458754:RXS458857 SHO458754:SHO458857 SRK458754:SRK458857 TBG458754:TBG458857 TLC458754:TLC458857 TUY458754:TUY458857 UEU458754:UEU458857 UOQ458754:UOQ458857 UYM458754:UYM458857 VII458754:VII458857 VSE458754:VSE458857 WCA458754:WCA458857 WLW458754:WLW458857 WVS458754:WVS458857 K524290:K524393 JG524290:JG524393 TC524290:TC524393 ACY524290:ACY524393 AMU524290:AMU524393 AWQ524290:AWQ524393 BGM524290:BGM524393 BQI524290:BQI524393 CAE524290:CAE524393 CKA524290:CKA524393 CTW524290:CTW524393 DDS524290:DDS524393 DNO524290:DNO524393 DXK524290:DXK524393 EHG524290:EHG524393 ERC524290:ERC524393 FAY524290:FAY524393 FKU524290:FKU524393 FUQ524290:FUQ524393 GEM524290:GEM524393 GOI524290:GOI524393 GYE524290:GYE524393 HIA524290:HIA524393 HRW524290:HRW524393 IBS524290:IBS524393 ILO524290:ILO524393 IVK524290:IVK524393 JFG524290:JFG524393 JPC524290:JPC524393 JYY524290:JYY524393 KIU524290:KIU524393 KSQ524290:KSQ524393 LCM524290:LCM524393 LMI524290:LMI524393 LWE524290:LWE524393 MGA524290:MGA524393 MPW524290:MPW524393 MZS524290:MZS524393 NJO524290:NJO524393 NTK524290:NTK524393 ODG524290:ODG524393 ONC524290:ONC524393 OWY524290:OWY524393 PGU524290:PGU524393 PQQ524290:PQQ524393 QAM524290:QAM524393 QKI524290:QKI524393 QUE524290:QUE524393 REA524290:REA524393 RNW524290:RNW524393 RXS524290:RXS524393 SHO524290:SHO524393 SRK524290:SRK524393 TBG524290:TBG524393 TLC524290:TLC524393 TUY524290:TUY524393 UEU524290:UEU524393 UOQ524290:UOQ524393 UYM524290:UYM524393 VII524290:VII524393 VSE524290:VSE524393 WCA524290:WCA524393 WLW524290:WLW524393 WVS524290:WVS524393 K589826:K589929 JG589826:JG589929 TC589826:TC589929 ACY589826:ACY589929 AMU589826:AMU589929 AWQ589826:AWQ589929 BGM589826:BGM589929 BQI589826:BQI589929 CAE589826:CAE589929 CKA589826:CKA589929 CTW589826:CTW589929 DDS589826:DDS589929 DNO589826:DNO589929 DXK589826:DXK589929 EHG589826:EHG589929 ERC589826:ERC589929 FAY589826:FAY589929 FKU589826:FKU589929 FUQ589826:FUQ589929 GEM589826:GEM589929 GOI589826:GOI589929 GYE589826:GYE589929 HIA589826:HIA589929 HRW589826:HRW589929 IBS589826:IBS589929 ILO589826:ILO589929 IVK589826:IVK589929 JFG589826:JFG589929 JPC589826:JPC589929 JYY589826:JYY589929 KIU589826:KIU589929 KSQ589826:KSQ589929 LCM589826:LCM589929 LMI589826:LMI589929 LWE589826:LWE589929 MGA589826:MGA589929 MPW589826:MPW589929 MZS589826:MZS589929 NJO589826:NJO589929 NTK589826:NTK589929 ODG589826:ODG589929 ONC589826:ONC589929 OWY589826:OWY589929 PGU589826:PGU589929 PQQ589826:PQQ589929 QAM589826:QAM589929 QKI589826:QKI589929 QUE589826:QUE589929 REA589826:REA589929 RNW589826:RNW589929 RXS589826:RXS589929 SHO589826:SHO589929 SRK589826:SRK589929 TBG589826:TBG589929 TLC589826:TLC589929 TUY589826:TUY589929 UEU589826:UEU589929 UOQ589826:UOQ589929 UYM589826:UYM589929 VII589826:VII589929 VSE589826:VSE589929 WCA589826:WCA589929 WLW589826:WLW589929 WVS589826:WVS589929 K655362:K655465 JG655362:JG655465 TC655362:TC655465 ACY655362:ACY655465 AMU655362:AMU655465 AWQ655362:AWQ655465 BGM655362:BGM655465 BQI655362:BQI655465 CAE655362:CAE655465 CKA655362:CKA655465 CTW655362:CTW655465 DDS655362:DDS655465 DNO655362:DNO655465 DXK655362:DXK655465 EHG655362:EHG655465 ERC655362:ERC655465 FAY655362:FAY655465 FKU655362:FKU655465 FUQ655362:FUQ655465 GEM655362:GEM655465 GOI655362:GOI655465 GYE655362:GYE655465 HIA655362:HIA655465 HRW655362:HRW655465 IBS655362:IBS655465 ILO655362:ILO655465 IVK655362:IVK655465 JFG655362:JFG655465 JPC655362:JPC655465 JYY655362:JYY655465 KIU655362:KIU655465 KSQ655362:KSQ655465 LCM655362:LCM655465 LMI655362:LMI655465 LWE655362:LWE655465 MGA655362:MGA655465 MPW655362:MPW655465 MZS655362:MZS655465 NJO655362:NJO655465 NTK655362:NTK655465 ODG655362:ODG655465 ONC655362:ONC655465 OWY655362:OWY655465 PGU655362:PGU655465 PQQ655362:PQQ655465 QAM655362:QAM655465 QKI655362:QKI655465 QUE655362:QUE655465 REA655362:REA655465 RNW655362:RNW655465 RXS655362:RXS655465 SHO655362:SHO655465 SRK655362:SRK655465 TBG655362:TBG655465 TLC655362:TLC655465 TUY655362:TUY655465 UEU655362:UEU655465 UOQ655362:UOQ655465 UYM655362:UYM655465 VII655362:VII655465 VSE655362:VSE655465 WCA655362:WCA655465 WLW655362:WLW655465 WVS655362:WVS655465 K720898:K721001 JG720898:JG721001 TC720898:TC721001 ACY720898:ACY721001 AMU720898:AMU721001 AWQ720898:AWQ721001 BGM720898:BGM721001 BQI720898:BQI721001 CAE720898:CAE721001 CKA720898:CKA721001 CTW720898:CTW721001 DDS720898:DDS721001 DNO720898:DNO721001 DXK720898:DXK721001 EHG720898:EHG721001 ERC720898:ERC721001 FAY720898:FAY721001 FKU720898:FKU721001 FUQ720898:FUQ721001 GEM720898:GEM721001 GOI720898:GOI721001 GYE720898:GYE721001 HIA720898:HIA721001 HRW720898:HRW721001 IBS720898:IBS721001 ILO720898:ILO721001 IVK720898:IVK721001 JFG720898:JFG721001 JPC720898:JPC721001 JYY720898:JYY721001 KIU720898:KIU721001 KSQ720898:KSQ721001 LCM720898:LCM721001 LMI720898:LMI721001 LWE720898:LWE721001 MGA720898:MGA721001 MPW720898:MPW721001 MZS720898:MZS721001 NJO720898:NJO721001 NTK720898:NTK721001 ODG720898:ODG721001 ONC720898:ONC721001 OWY720898:OWY721001 PGU720898:PGU721001 PQQ720898:PQQ721001 QAM720898:QAM721001 QKI720898:QKI721001 QUE720898:QUE721001 REA720898:REA721001 RNW720898:RNW721001 RXS720898:RXS721001 SHO720898:SHO721001 SRK720898:SRK721001 TBG720898:TBG721001 TLC720898:TLC721001 TUY720898:TUY721001 UEU720898:UEU721001 UOQ720898:UOQ721001 UYM720898:UYM721001 VII720898:VII721001 VSE720898:VSE721001 WCA720898:WCA721001 WLW720898:WLW721001 WVS720898:WVS721001 K786434:K786537 JG786434:JG786537 TC786434:TC786537 ACY786434:ACY786537 AMU786434:AMU786537 AWQ786434:AWQ786537 BGM786434:BGM786537 BQI786434:BQI786537 CAE786434:CAE786537 CKA786434:CKA786537 CTW786434:CTW786537 DDS786434:DDS786537 DNO786434:DNO786537 DXK786434:DXK786537 EHG786434:EHG786537 ERC786434:ERC786537 FAY786434:FAY786537 FKU786434:FKU786537 FUQ786434:FUQ786537 GEM786434:GEM786537 GOI786434:GOI786537 GYE786434:GYE786537 HIA786434:HIA786537 HRW786434:HRW786537 IBS786434:IBS786537 ILO786434:ILO786537 IVK786434:IVK786537 JFG786434:JFG786537 JPC786434:JPC786537 JYY786434:JYY786537 KIU786434:KIU786537 KSQ786434:KSQ786537 LCM786434:LCM786537 LMI786434:LMI786537 LWE786434:LWE786537 MGA786434:MGA786537 MPW786434:MPW786537 MZS786434:MZS786537 NJO786434:NJO786537 NTK786434:NTK786537 ODG786434:ODG786537 ONC786434:ONC786537 OWY786434:OWY786537 PGU786434:PGU786537 PQQ786434:PQQ786537 QAM786434:QAM786537 QKI786434:QKI786537 QUE786434:QUE786537 REA786434:REA786537 RNW786434:RNW786537 RXS786434:RXS786537 SHO786434:SHO786537 SRK786434:SRK786537 TBG786434:TBG786537 TLC786434:TLC786537 TUY786434:TUY786537 UEU786434:UEU786537 UOQ786434:UOQ786537 UYM786434:UYM786537 VII786434:VII786537 VSE786434:VSE786537 WCA786434:WCA786537 WLW786434:WLW786537 WVS786434:WVS786537 K851970:K852073 JG851970:JG852073 TC851970:TC852073 ACY851970:ACY852073 AMU851970:AMU852073 AWQ851970:AWQ852073 BGM851970:BGM852073 BQI851970:BQI852073 CAE851970:CAE852073 CKA851970:CKA852073 CTW851970:CTW852073 DDS851970:DDS852073 DNO851970:DNO852073 DXK851970:DXK852073 EHG851970:EHG852073 ERC851970:ERC852073 FAY851970:FAY852073 FKU851970:FKU852073 FUQ851970:FUQ852073 GEM851970:GEM852073 GOI851970:GOI852073 GYE851970:GYE852073 HIA851970:HIA852073 HRW851970:HRW852073 IBS851970:IBS852073 ILO851970:ILO852073 IVK851970:IVK852073 JFG851970:JFG852073 JPC851970:JPC852073 JYY851970:JYY852073 KIU851970:KIU852073 KSQ851970:KSQ852073 LCM851970:LCM852073 LMI851970:LMI852073 LWE851970:LWE852073 MGA851970:MGA852073 MPW851970:MPW852073 MZS851970:MZS852073 NJO851970:NJO852073 NTK851970:NTK852073 ODG851970:ODG852073 ONC851970:ONC852073 OWY851970:OWY852073 PGU851970:PGU852073 PQQ851970:PQQ852073 QAM851970:QAM852073 QKI851970:QKI852073 QUE851970:QUE852073 REA851970:REA852073 RNW851970:RNW852073 RXS851970:RXS852073 SHO851970:SHO852073 SRK851970:SRK852073 TBG851970:TBG852073 TLC851970:TLC852073 TUY851970:TUY852073 UEU851970:UEU852073 UOQ851970:UOQ852073 UYM851970:UYM852073 VII851970:VII852073 VSE851970:VSE852073 WCA851970:WCA852073 WLW851970:WLW852073 WVS851970:WVS852073 K917506:K917609 JG917506:JG917609 TC917506:TC917609 ACY917506:ACY917609 AMU917506:AMU917609 AWQ917506:AWQ917609 BGM917506:BGM917609 BQI917506:BQI917609 CAE917506:CAE917609 CKA917506:CKA917609 CTW917506:CTW917609 DDS917506:DDS917609 DNO917506:DNO917609 DXK917506:DXK917609 EHG917506:EHG917609 ERC917506:ERC917609 FAY917506:FAY917609 FKU917506:FKU917609 FUQ917506:FUQ917609 GEM917506:GEM917609 GOI917506:GOI917609 GYE917506:GYE917609 HIA917506:HIA917609 HRW917506:HRW917609 IBS917506:IBS917609 ILO917506:ILO917609 IVK917506:IVK917609 JFG917506:JFG917609 JPC917506:JPC917609 JYY917506:JYY917609 KIU917506:KIU917609 KSQ917506:KSQ917609 LCM917506:LCM917609 LMI917506:LMI917609 LWE917506:LWE917609 MGA917506:MGA917609 MPW917506:MPW917609 MZS917506:MZS917609 NJO917506:NJO917609 NTK917506:NTK917609 ODG917506:ODG917609 ONC917506:ONC917609 OWY917506:OWY917609 PGU917506:PGU917609 PQQ917506:PQQ917609 QAM917506:QAM917609 QKI917506:QKI917609 QUE917506:QUE917609 REA917506:REA917609 RNW917506:RNW917609 RXS917506:RXS917609 SHO917506:SHO917609 SRK917506:SRK917609 TBG917506:TBG917609 TLC917506:TLC917609 TUY917506:TUY917609 UEU917506:UEU917609 UOQ917506:UOQ917609 UYM917506:UYM917609 VII917506:VII917609 VSE917506:VSE917609 WCA917506:WCA917609 WLW917506:WLW917609 WVS917506:WVS917609 K983042:K983145 JG983042:JG983145 TC983042:TC983145 ACY983042:ACY983145 AMU983042:AMU983145 AWQ983042:AWQ983145 BGM983042:BGM983145 BQI983042:BQI983145 CAE983042:CAE983145 CKA983042:CKA983145 CTW983042:CTW983145 DDS983042:DDS983145 DNO983042:DNO983145 DXK983042:DXK983145 EHG983042:EHG983145 ERC983042:ERC983145 FAY983042:FAY983145 FKU983042:FKU983145 FUQ983042:FUQ983145 GEM983042:GEM983145 GOI983042:GOI983145 GYE983042:GYE983145 HIA983042:HIA983145 HRW983042:HRW983145 IBS983042:IBS983145 ILO983042:ILO983145 IVK983042:IVK983145 JFG983042:JFG983145 JPC983042:JPC983145 JYY983042:JYY983145 KIU983042:KIU983145 KSQ983042:KSQ983145 LCM983042:LCM983145 LMI983042:LMI983145 LWE983042:LWE983145 MGA983042:MGA983145 MPW983042:MPW983145 MZS983042:MZS983145 NJO983042:NJO983145 NTK983042:NTK983145 ODG983042:ODG983145 ONC983042:ONC983145 OWY983042:OWY983145 PGU983042:PGU983145 PQQ983042:PQQ983145 QAM983042:QAM983145 QKI983042:QKI983145 QUE983042:QUE983145 REA983042:REA983145 RNW983042:RNW983145 RXS983042:RXS983145 SHO983042:SHO983145 SRK983042:SRK983145 TBG983042:TBG983145 TLC983042:TLC983145 TUY983042:TUY983145 UEU983042:UEU983145 UOQ983042:UOQ983145 UYM983042:UYM983145 VII983042:VII983145 VSE983042:VSE983145 WCA983042:WCA983145 WLW983042:WLW983145 WVS983042:WVS983145" xr:uid="{61039D51-D47B-49C3-966E-919A012B82D4}">
      <formula1>"Gross Quantity,Net Quantity,Both,"</formula1>
      <formula2>0</formula2>
    </dataValidation>
    <dataValidation type="decimal" operator="greaterThanOrEqual" allowBlank="1" showInputMessage="1" showErrorMessage="1" error="Please Enter Valid Quantity" prompt="Please Enter Numeric Value" sqref="AQ2:IU70 KM2:SQ70 UI2:ACM70 AEE2:AMI70 AOA2:AWE70 AXW2:BGA70 BHS2:BPW70 BRO2:BZS70 CBK2:CJO70 CLG2:CTK70 CVC2:DDG70 DEY2:DNC70 DOU2:DWY70 DYQ2:EGU70 EIM2:EQQ70 ESI2:FAM70 FCE2:FKI70 FMA2:FUE70 FVW2:GEA70 GFS2:GNW70 GPO2:GXS70 GZK2:HHO70 HJG2:HRK70 HTC2:IBG70 ICY2:ILC70 IMU2:IUY70 IWQ2:JEU70 JGM2:JOQ70 JQI2:JYM70 KAE2:KII70 KKA2:KSE70 KTW2:LCA70 LDS2:LLW70 LNO2:LVS70 LXK2:MFO70 MHG2:MPK70 MRC2:MZG70 NAY2:NJC70 NKU2:NSY70 NUQ2:OCU70 OEM2:OMQ70 OOI2:OWM70 OYE2:PGI70 PIA2:PQE70 PRW2:QAA70 QBS2:QJW70 QLO2:QTS70 QVK2:RDO70 RFG2:RNK70 RPC2:RXG70 RYY2:SHC70 SIU2:SQY70 SSQ2:TAU70 TCM2:TKQ70 TMI2:TUM70 TWE2:UEI70 UGA2:UOE70 UPW2:UYA70 UZS2:VHW70 VJO2:VRS70 VTK2:WBO70 WDG2:WLK70 WNC2:WVG70 WWY2:XFC70 AQ65538:IU65606 KM65538:SQ65606 UI65538:ACM65606 AEE65538:AMI65606 AOA65538:AWE65606 AXW65538:BGA65606 BHS65538:BPW65606 BRO65538:BZS65606 CBK65538:CJO65606 CLG65538:CTK65606 CVC65538:DDG65606 DEY65538:DNC65606 DOU65538:DWY65606 DYQ65538:EGU65606 EIM65538:EQQ65606 ESI65538:FAM65606 FCE65538:FKI65606 FMA65538:FUE65606 FVW65538:GEA65606 GFS65538:GNW65606 GPO65538:GXS65606 GZK65538:HHO65606 HJG65538:HRK65606 HTC65538:IBG65606 ICY65538:ILC65606 IMU65538:IUY65606 IWQ65538:JEU65606 JGM65538:JOQ65606 JQI65538:JYM65606 KAE65538:KII65606 KKA65538:KSE65606 KTW65538:LCA65606 LDS65538:LLW65606 LNO65538:LVS65606 LXK65538:MFO65606 MHG65538:MPK65606 MRC65538:MZG65606 NAY65538:NJC65606 NKU65538:NSY65606 NUQ65538:OCU65606 OEM65538:OMQ65606 OOI65538:OWM65606 OYE65538:PGI65606 PIA65538:PQE65606 PRW65538:QAA65606 QBS65538:QJW65606 QLO65538:QTS65606 QVK65538:RDO65606 RFG65538:RNK65606 RPC65538:RXG65606 RYY65538:SHC65606 SIU65538:SQY65606 SSQ65538:TAU65606 TCM65538:TKQ65606 TMI65538:TUM65606 TWE65538:UEI65606 UGA65538:UOE65606 UPW65538:UYA65606 UZS65538:VHW65606 VJO65538:VRS65606 VTK65538:WBO65606 WDG65538:WLK65606 WNC65538:WVG65606 WWY65538:XFC65606 AQ131074:IU131142 KM131074:SQ131142 UI131074:ACM131142 AEE131074:AMI131142 AOA131074:AWE131142 AXW131074:BGA131142 BHS131074:BPW131142 BRO131074:BZS131142 CBK131074:CJO131142 CLG131074:CTK131142 CVC131074:DDG131142 DEY131074:DNC131142 DOU131074:DWY131142 DYQ131074:EGU131142 EIM131074:EQQ131142 ESI131074:FAM131142 FCE131074:FKI131142 FMA131074:FUE131142 FVW131074:GEA131142 GFS131074:GNW131142 GPO131074:GXS131142 GZK131074:HHO131142 HJG131074:HRK131142 HTC131074:IBG131142 ICY131074:ILC131142 IMU131074:IUY131142 IWQ131074:JEU131142 JGM131074:JOQ131142 JQI131074:JYM131142 KAE131074:KII131142 KKA131074:KSE131142 KTW131074:LCA131142 LDS131074:LLW131142 LNO131074:LVS131142 LXK131074:MFO131142 MHG131074:MPK131142 MRC131074:MZG131142 NAY131074:NJC131142 NKU131074:NSY131142 NUQ131074:OCU131142 OEM131074:OMQ131142 OOI131074:OWM131142 OYE131074:PGI131142 PIA131074:PQE131142 PRW131074:QAA131142 QBS131074:QJW131142 QLO131074:QTS131142 QVK131074:RDO131142 RFG131074:RNK131142 RPC131074:RXG131142 RYY131074:SHC131142 SIU131074:SQY131142 SSQ131074:TAU131142 TCM131074:TKQ131142 TMI131074:TUM131142 TWE131074:UEI131142 UGA131074:UOE131142 UPW131074:UYA131142 UZS131074:VHW131142 VJO131074:VRS131142 VTK131074:WBO131142 WDG131074:WLK131142 WNC131074:WVG131142 WWY131074:XFC131142 AQ196610:IU196678 KM196610:SQ196678 UI196610:ACM196678 AEE196610:AMI196678 AOA196610:AWE196678 AXW196610:BGA196678 BHS196610:BPW196678 BRO196610:BZS196678 CBK196610:CJO196678 CLG196610:CTK196678 CVC196610:DDG196678 DEY196610:DNC196678 DOU196610:DWY196678 DYQ196610:EGU196678 EIM196610:EQQ196678 ESI196610:FAM196678 FCE196610:FKI196678 FMA196610:FUE196678 FVW196610:GEA196678 GFS196610:GNW196678 GPO196610:GXS196678 GZK196610:HHO196678 HJG196610:HRK196678 HTC196610:IBG196678 ICY196610:ILC196678 IMU196610:IUY196678 IWQ196610:JEU196678 JGM196610:JOQ196678 JQI196610:JYM196678 KAE196610:KII196678 KKA196610:KSE196678 KTW196610:LCA196678 LDS196610:LLW196678 LNO196610:LVS196678 LXK196610:MFO196678 MHG196610:MPK196678 MRC196610:MZG196678 NAY196610:NJC196678 NKU196610:NSY196678 NUQ196610:OCU196678 OEM196610:OMQ196678 OOI196610:OWM196678 OYE196610:PGI196678 PIA196610:PQE196678 PRW196610:QAA196678 QBS196610:QJW196678 QLO196610:QTS196678 QVK196610:RDO196678 RFG196610:RNK196678 RPC196610:RXG196678 RYY196610:SHC196678 SIU196610:SQY196678 SSQ196610:TAU196678 TCM196610:TKQ196678 TMI196610:TUM196678 TWE196610:UEI196678 UGA196610:UOE196678 UPW196610:UYA196678 UZS196610:VHW196678 VJO196610:VRS196678 VTK196610:WBO196678 WDG196610:WLK196678 WNC196610:WVG196678 WWY196610:XFC196678 AQ262146:IU262214 KM262146:SQ262214 UI262146:ACM262214 AEE262146:AMI262214 AOA262146:AWE262214 AXW262146:BGA262214 BHS262146:BPW262214 BRO262146:BZS262214 CBK262146:CJO262214 CLG262146:CTK262214 CVC262146:DDG262214 DEY262146:DNC262214 DOU262146:DWY262214 DYQ262146:EGU262214 EIM262146:EQQ262214 ESI262146:FAM262214 FCE262146:FKI262214 FMA262146:FUE262214 FVW262146:GEA262214 GFS262146:GNW262214 GPO262146:GXS262214 GZK262146:HHO262214 HJG262146:HRK262214 HTC262146:IBG262214 ICY262146:ILC262214 IMU262146:IUY262214 IWQ262146:JEU262214 JGM262146:JOQ262214 JQI262146:JYM262214 KAE262146:KII262214 KKA262146:KSE262214 KTW262146:LCA262214 LDS262146:LLW262214 LNO262146:LVS262214 LXK262146:MFO262214 MHG262146:MPK262214 MRC262146:MZG262214 NAY262146:NJC262214 NKU262146:NSY262214 NUQ262146:OCU262214 OEM262146:OMQ262214 OOI262146:OWM262214 OYE262146:PGI262214 PIA262146:PQE262214 PRW262146:QAA262214 QBS262146:QJW262214 QLO262146:QTS262214 QVK262146:RDO262214 RFG262146:RNK262214 RPC262146:RXG262214 RYY262146:SHC262214 SIU262146:SQY262214 SSQ262146:TAU262214 TCM262146:TKQ262214 TMI262146:TUM262214 TWE262146:UEI262214 UGA262146:UOE262214 UPW262146:UYA262214 UZS262146:VHW262214 VJO262146:VRS262214 VTK262146:WBO262214 WDG262146:WLK262214 WNC262146:WVG262214 WWY262146:XFC262214 AQ327682:IU327750 KM327682:SQ327750 UI327682:ACM327750 AEE327682:AMI327750 AOA327682:AWE327750 AXW327682:BGA327750 BHS327682:BPW327750 BRO327682:BZS327750 CBK327682:CJO327750 CLG327682:CTK327750 CVC327682:DDG327750 DEY327682:DNC327750 DOU327682:DWY327750 DYQ327682:EGU327750 EIM327682:EQQ327750 ESI327682:FAM327750 FCE327682:FKI327750 FMA327682:FUE327750 FVW327682:GEA327750 GFS327682:GNW327750 GPO327682:GXS327750 GZK327682:HHO327750 HJG327682:HRK327750 HTC327682:IBG327750 ICY327682:ILC327750 IMU327682:IUY327750 IWQ327682:JEU327750 JGM327682:JOQ327750 JQI327682:JYM327750 KAE327682:KII327750 KKA327682:KSE327750 KTW327682:LCA327750 LDS327682:LLW327750 LNO327682:LVS327750 LXK327682:MFO327750 MHG327682:MPK327750 MRC327682:MZG327750 NAY327682:NJC327750 NKU327682:NSY327750 NUQ327682:OCU327750 OEM327682:OMQ327750 OOI327682:OWM327750 OYE327682:PGI327750 PIA327682:PQE327750 PRW327682:QAA327750 QBS327682:QJW327750 QLO327682:QTS327750 QVK327682:RDO327750 RFG327682:RNK327750 RPC327682:RXG327750 RYY327682:SHC327750 SIU327682:SQY327750 SSQ327682:TAU327750 TCM327682:TKQ327750 TMI327682:TUM327750 TWE327682:UEI327750 UGA327682:UOE327750 UPW327682:UYA327750 UZS327682:VHW327750 VJO327682:VRS327750 VTK327682:WBO327750 WDG327682:WLK327750 WNC327682:WVG327750 WWY327682:XFC327750 AQ393218:IU393286 KM393218:SQ393286 UI393218:ACM393286 AEE393218:AMI393286 AOA393218:AWE393286 AXW393218:BGA393286 BHS393218:BPW393286 BRO393218:BZS393286 CBK393218:CJO393286 CLG393218:CTK393286 CVC393218:DDG393286 DEY393218:DNC393286 DOU393218:DWY393286 DYQ393218:EGU393286 EIM393218:EQQ393286 ESI393218:FAM393286 FCE393218:FKI393286 FMA393218:FUE393286 FVW393218:GEA393286 GFS393218:GNW393286 GPO393218:GXS393286 GZK393218:HHO393286 HJG393218:HRK393286 HTC393218:IBG393286 ICY393218:ILC393286 IMU393218:IUY393286 IWQ393218:JEU393286 JGM393218:JOQ393286 JQI393218:JYM393286 KAE393218:KII393286 KKA393218:KSE393286 KTW393218:LCA393286 LDS393218:LLW393286 LNO393218:LVS393286 LXK393218:MFO393286 MHG393218:MPK393286 MRC393218:MZG393286 NAY393218:NJC393286 NKU393218:NSY393286 NUQ393218:OCU393286 OEM393218:OMQ393286 OOI393218:OWM393286 OYE393218:PGI393286 PIA393218:PQE393286 PRW393218:QAA393286 QBS393218:QJW393286 QLO393218:QTS393286 QVK393218:RDO393286 RFG393218:RNK393286 RPC393218:RXG393286 RYY393218:SHC393286 SIU393218:SQY393286 SSQ393218:TAU393286 TCM393218:TKQ393286 TMI393218:TUM393286 TWE393218:UEI393286 UGA393218:UOE393286 UPW393218:UYA393286 UZS393218:VHW393286 VJO393218:VRS393286 VTK393218:WBO393286 WDG393218:WLK393286 WNC393218:WVG393286 WWY393218:XFC393286 AQ458754:IU458822 KM458754:SQ458822 UI458754:ACM458822 AEE458754:AMI458822 AOA458754:AWE458822 AXW458754:BGA458822 BHS458754:BPW458822 BRO458754:BZS458822 CBK458754:CJO458822 CLG458754:CTK458822 CVC458754:DDG458822 DEY458754:DNC458822 DOU458754:DWY458822 DYQ458754:EGU458822 EIM458754:EQQ458822 ESI458754:FAM458822 FCE458754:FKI458822 FMA458754:FUE458822 FVW458754:GEA458822 GFS458754:GNW458822 GPO458754:GXS458822 GZK458754:HHO458822 HJG458754:HRK458822 HTC458754:IBG458822 ICY458754:ILC458822 IMU458754:IUY458822 IWQ458754:JEU458822 JGM458754:JOQ458822 JQI458754:JYM458822 KAE458754:KII458822 KKA458754:KSE458822 KTW458754:LCA458822 LDS458754:LLW458822 LNO458754:LVS458822 LXK458754:MFO458822 MHG458754:MPK458822 MRC458754:MZG458822 NAY458754:NJC458822 NKU458754:NSY458822 NUQ458754:OCU458822 OEM458754:OMQ458822 OOI458754:OWM458822 OYE458754:PGI458822 PIA458754:PQE458822 PRW458754:QAA458822 QBS458754:QJW458822 QLO458754:QTS458822 QVK458754:RDO458822 RFG458754:RNK458822 RPC458754:RXG458822 RYY458754:SHC458822 SIU458754:SQY458822 SSQ458754:TAU458822 TCM458754:TKQ458822 TMI458754:TUM458822 TWE458754:UEI458822 UGA458754:UOE458822 UPW458754:UYA458822 UZS458754:VHW458822 VJO458754:VRS458822 VTK458754:WBO458822 WDG458754:WLK458822 WNC458754:WVG458822 WWY458754:XFC458822 AQ524290:IU524358 KM524290:SQ524358 UI524290:ACM524358 AEE524290:AMI524358 AOA524290:AWE524358 AXW524290:BGA524358 BHS524290:BPW524358 BRO524290:BZS524358 CBK524290:CJO524358 CLG524290:CTK524358 CVC524290:DDG524358 DEY524290:DNC524358 DOU524290:DWY524358 DYQ524290:EGU524358 EIM524290:EQQ524358 ESI524290:FAM524358 FCE524290:FKI524358 FMA524290:FUE524358 FVW524290:GEA524358 GFS524290:GNW524358 GPO524290:GXS524358 GZK524290:HHO524358 HJG524290:HRK524358 HTC524290:IBG524358 ICY524290:ILC524358 IMU524290:IUY524358 IWQ524290:JEU524358 JGM524290:JOQ524358 JQI524290:JYM524358 KAE524290:KII524358 KKA524290:KSE524358 KTW524290:LCA524358 LDS524290:LLW524358 LNO524290:LVS524358 LXK524290:MFO524358 MHG524290:MPK524358 MRC524290:MZG524358 NAY524290:NJC524358 NKU524290:NSY524358 NUQ524290:OCU524358 OEM524290:OMQ524358 OOI524290:OWM524358 OYE524290:PGI524358 PIA524290:PQE524358 PRW524290:QAA524358 QBS524290:QJW524358 QLO524290:QTS524358 QVK524290:RDO524358 RFG524290:RNK524358 RPC524290:RXG524358 RYY524290:SHC524358 SIU524290:SQY524358 SSQ524290:TAU524358 TCM524290:TKQ524358 TMI524290:TUM524358 TWE524290:UEI524358 UGA524290:UOE524358 UPW524290:UYA524358 UZS524290:VHW524358 VJO524290:VRS524358 VTK524290:WBO524358 WDG524290:WLK524358 WNC524290:WVG524358 WWY524290:XFC524358 AQ589826:IU589894 KM589826:SQ589894 UI589826:ACM589894 AEE589826:AMI589894 AOA589826:AWE589894 AXW589826:BGA589894 BHS589826:BPW589894 BRO589826:BZS589894 CBK589826:CJO589894 CLG589826:CTK589894 CVC589826:DDG589894 DEY589826:DNC589894 DOU589826:DWY589894 DYQ589826:EGU589894 EIM589826:EQQ589894 ESI589826:FAM589894 FCE589826:FKI589894 FMA589826:FUE589894 FVW589826:GEA589894 GFS589826:GNW589894 GPO589826:GXS589894 GZK589826:HHO589894 HJG589826:HRK589894 HTC589826:IBG589894 ICY589826:ILC589894 IMU589826:IUY589894 IWQ589826:JEU589894 JGM589826:JOQ589894 JQI589826:JYM589894 KAE589826:KII589894 KKA589826:KSE589894 KTW589826:LCA589894 LDS589826:LLW589894 LNO589826:LVS589894 LXK589826:MFO589894 MHG589826:MPK589894 MRC589826:MZG589894 NAY589826:NJC589894 NKU589826:NSY589894 NUQ589826:OCU589894 OEM589826:OMQ589894 OOI589826:OWM589894 OYE589826:PGI589894 PIA589826:PQE589894 PRW589826:QAA589894 QBS589826:QJW589894 QLO589826:QTS589894 QVK589826:RDO589894 RFG589826:RNK589894 RPC589826:RXG589894 RYY589826:SHC589894 SIU589826:SQY589894 SSQ589826:TAU589894 TCM589826:TKQ589894 TMI589826:TUM589894 TWE589826:UEI589894 UGA589826:UOE589894 UPW589826:UYA589894 UZS589826:VHW589894 VJO589826:VRS589894 VTK589826:WBO589894 WDG589826:WLK589894 WNC589826:WVG589894 WWY589826:XFC589894 AQ655362:IU655430 KM655362:SQ655430 UI655362:ACM655430 AEE655362:AMI655430 AOA655362:AWE655430 AXW655362:BGA655430 BHS655362:BPW655430 BRO655362:BZS655430 CBK655362:CJO655430 CLG655362:CTK655430 CVC655362:DDG655430 DEY655362:DNC655430 DOU655362:DWY655430 DYQ655362:EGU655430 EIM655362:EQQ655430 ESI655362:FAM655430 FCE655362:FKI655430 FMA655362:FUE655430 FVW655362:GEA655430 GFS655362:GNW655430 GPO655362:GXS655430 GZK655362:HHO655430 HJG655362:HRK655430 HTC655362:IBG655430 ICY655362:ILC655430 IMU655362:IUY655430 IWQ655362:JEU655430 JGM655362:JOQ655430 JQI655362:JYM655430 KAE655362:KII655430 KKA655362:KSE655430 KTW655362:LCA655430 LDS655362:LLW655430 LNO655362:LVS655430 LXK655362:MFO655430 MHG655362:MPK655430 MRC655362:MZG655430 NAY655362:NJC655430 NKU655362:NSY655430 NUQ655362:OCU655430 OEM655362:OMQ655430 OOI655362:OWM655430 OYE655362:PGI655430 PIA655362:PQE655430 PRW655362:QAA655430 QBS655362:QJW655430 QLO655362:QTS655430 QVK655362:RDO655430 RFG655362:RNK655430 RPC655362:RXG655430 RYY655362:SHC655430 SIU655362:SQY655430 SSQ655362:TAU655430 TCM655362:TKQ655430 TMI655362:TUM655430 TWE655362:UEI655430 UGA655362:UOE655430 UPW655362:UYA655430 UZS655362:VHW655430 VJO655362:VRS655430 VTK655362:WBO655430 WDG655362:WLK655430 WNC655362:WVG655430 WWY655362:XFC655430 AQ720898:IU720966 KM720898:SQ720966 UI720898:ACM720966 AEE720898:AMI720966 AOA720898:AWE720966 AXW720898:BGA720966 BHS720898:BPW720966 BRO720898:BZS720966 CBK720898:CJO720966 CLG720898:CTK720966 CVC720898:DDG720966 DEY720898:DNC720966 DOU720898:DWY720966 DYQ720898:EGU720966 EIM720898:EQQ720966 ESI720898:FAM720966 FCE720898:FKI720966 FMA720898:FUE720966 FVW720898:GEA720966 GFS720898:GNW720966 GPO720898:GXS720966 GZK720898:HHO720966 HJG720898:HRK720966 HTC720898:IBG720966 ICY720898:ILC720966 IMU720898:IUY720966 IWQ720898:JEU720966 JGM720898:JOQ720966 JQI720898:JYM720966 KAE720898:KII720966 KKA720898:KSE720966 KTW720898:LCA720966 LDS720898:LLW720966 LNO720898:LVS720966 LXK720898:MFO720966 MHG720898:MPK720966 MRC720898:MZG720966 NAY720898:NJC720966 NKU720898:NSY720966 NUQ720898:OCU720966 OEM720898:OMQ720966 OOI720898:OWM720966 OYE720898:PGI720966 PIA720898:PQE720966 PRW720898:QAA720966 QBS720898:QJW720966 QLO720898:QTS720966 QVK720898:RDO720966 RFG720898:RNK720966 RPC720898:RXG720966 RYY720898:SHC720966 SIU720898:SQY720966 SSQ720898:TAU720966 TCM720898:TKQ720966 TMI720898:TUM720966 TWE720898:UEI720966 UGA720898:UOE720966 UPW720898:UYA720966 UZS720898:VHW720966 VJO720898:VRS720966 VTK720898:WBO720966 WDG720898:WLK720966 WNC720898:WVG720966 WWY720898:XFC720966 AQ786434:IU786502 KM786434:SQ786502 UI786434:ACM786502 AEE786434:AMI786502 AOA786434:AWE786502 AXW786434:BGA786502 BHS786434:BPW786502 BRO786434:BZS786502 CBK786434:CJO786502 CLG786434:CTK786502 CVC786434:DDG786502 DEY786434:DNC786502 DOU786434:DWY786502 DYQ786434:EGU786502 EIM786434:EQQ786502 ESI786434:FAM786502 FCE786434:FKI786502 FMA786434:FUE786502 FVW786434:GEA786502 GFS786434:GNW786502 GPO786434:GXS786502 GZK786434:HHO786502 HJG786434:HRK786502 HTC786434:IBG786502 ICY786434:ILC786502 IMU786434:IUY786502 IWQ786434:JEU786502 JGM786434:JOQ786502 JQI786434:JYM786502 KAE786434:KII786502 KKA786434:KSE786502 KTW786434:LCA786502 LDS786434:LLW786502 LNO786434:LVS786502 LXK786434:MFO786502 MHG786434:MPK786502 MRC786434:MZG786502 NAY786434:NJC786502 NKU786434:NSY786502 NUQ786434:OCU786502 OEM786434:OMQ786502 OOI786434:OWM786502 OYE786434:PGI786502 PIA786434:PQE786502 PRW786434:QAA786502 QBS786434:QJW786502 QLO786434:QTS786502 QVK786434:RDO786502 RFG786434:RNK786502 RPC786434:RXG786502 RYY786434:SHC786502 SIU786434:SQY786502 SSQ786434:TAU786502 TCM786434:TKQ786502 TMI786434:TUM786502 TWE786434:UEI786502 UGA786434:UOE786502 UPW786434:UYA786502 UZS786434:VHW786502 VJO786434:VRS786502 VTK786434:WBO786502 WDG786434:WLK786502 WNC786434:WVG786502 WWY786434:XFC786502 AQ851970:IU852038 KM851970:SQ852038 UI851970:ACM852038 AEE851970:AMI852038 AOA851970:AWE852038 AXW851970:BGA852038 BHS851970:BPW852038 BRO851970:BZS852038 CBK851970:CJO852038 CLG851970:CTK852038 CVC851970:DDG852038 DEY851970:DNC852038 DOU851970:DWY852038 DYQ851970:EGU852038 EIM851970:EQQ852038 ESI851970:FAM852038 FCE851970:FKI852038 FMA851970:FUE852038 FVW851970:GEA852038 GFS851970:GNW852038 GPO851970:GXS852038 GZK851970:HHO852038 HJG851970:HRK852038 HTC851970:IBG852038 ICY851970:ILC852038 IMU851970:IUY852038 IWQ851970:JEU852038 JGM851970:JOQ852038 JQI851970:JYM852038 KAE851970:KII852038 KKA851970:KSE852038 KTW851970:LCA852038 LDS851970:LLW852038 LNO851970:LVS852038 LXK851970:MFO852038 MHG851970:MPK852038 MRC851970:MZG852038 NAY851970:NJC852038 NKU851970:NSY852038 NUQ851970:OCU852038 OEM851970:OMQ852038 OOI851970:OWM852038 OYE851970:PGI852038 PIA851970:PQE852038 PRW851970:QAA852038 QBS851970:QJW852038 QLO851970:QTS852038 QVK851970:RDO852038 RFG851970:RNK852038 RPC851970:RXG852038 RYY851970:SHC852038 SIU851970:SQY852038 SSQ851970:TAU852038 TCM851970:TKQ852038 TMI851970:TUM852038 TWE851970:UEI852038 UGA851970:UOE852038 UPW851970:UYA852038 UZS851970:VHW852038 VJO851970:VRS852038 VTK851970:WBO852038 WDG851970:WLK852038 WNC851970:WVG852038 WWY851970:XFC852038 AQ917506:IU917574 KM917506:SQ917574 UI917506:ACM917574 AEE917506:AMI917574 AOA917506:AWE917574 AXW917506:BGA917574 BHS917506:BPW917574 BRO917506:BZS917574 CBK917506:CJO917574 CLG917506:CTK917574 CVC917506:DDG917574 DEY917506:DNC917574 DOU917506:DWY917574 DYQ917506:EGU917574 EIM917506:EQQ917574 ESI917506:FAM917574 FCE917506:FKI917574 FMA917506:FUE917574 FVW917506:GEA917574 GFS917506:GNW917574 GPO917506:GXS917574 GZK917506:HHO917574 HJG917506:HRK917574 HTC917506:IBG917574 ICY917506:ILC917574 IMU917506:IUY917574 IWQ917506:JEU917574 JGM917506:JOQ917574 JQI917506:JYM917574 KAE917506:KII917574 KKA917506:KSE917574 KTW917506:LCA917574 LDS917506:LLW917574 LNO917506:LVS917574 LXK917506:MFO917574 MHG917506:MPK917574 MRC917506:MZG917574 NAY917506:NJC917574 NKU917506:NSY917574 NUQ917506:OCU917574 OEM917506:OMQ917574 OOI917506:OWM917574 OYE917506:PGI917574 PIA917506:PQE917574 PRW917506:QAA917574 QBS917506:QJW917574 QLO917506:QTS917574 QVK917506:RDO917574 RFG917506:RNK917574 RPC917506:RXG917574 RYY917506:SHC917574 SIU917506:SQY917574 SSQ917506:TAU917574 TCM917506:TKQ917574 TMI917506:TUM917574 TWE917506:UEI917574 UGA917506:UOE917574 UPW917506:UYA917574 UZS917506:VHW917574 VJO917506:VRS917574 VTK917506:WBO917574 WDG917506:WLK917574 WNC917506:WVG917574 WWY917506:XFC917574 AQ983042:IU983110 KM983042:SQ983110 UI983042:ACM983110 AEE983042:AMI983110 AOA983042:AWE983110 AXW983042:BGA983110 BHS983042:BPW983110 BRO983042:BZS983110 CBK983042:CJO983110 CLG983042:CTK983110 CVC983042:DDG983110 DEY983042:DNC983110 DOU983042:DWY983110 DYQ983042:EGU983110 EIM983042:EQQ983110 ESI983042:FAM983110 FCE983042:FKI983110 FMA983042:FUE983110 FVW983042:GEA983110 GFS983042:GNW983110 GPO983042:GXS983110 GZK983042:HHO983110 HJG983042:HRK983110 HTC983042:IBG983110 ICY983042:ILC983110 IMU983042:IUY983110 IWQ983042:JEU983110 JGM983042:JOQ983110 JQI983042:JYM983110 KAE983042:KII983110 KKA983042:KSE983110 KTW983042:LCA983110 LDS983042:LLW983110 LNO983042:LVS983110 LXK983042:MFO983110 MHG983042:MPK983110 MRC983042:MZG983110 NAY983042:NJC983110 NKU983042:NSY983110 NUQ983042:OCU983110 OEM983042:OMQ983110 OOI983042:OWM983110 OYE983042:PGI983110 PIA983042:PQE983110 PRW983042:QAA983110 QBS983042:QJW983110 QLO983042:QTS983110 QVK983042:RDO983110 RFG983042:RNK983110 RPC983042:RXG983110 RYY983042:SHC983110 SIU983042:SQY983110 SSQ983042:TAU983110 TCM983042:TKQ983110 TMI983042:TUM983110 TWE983042:UEI983110 UGA983042:UOE983110 UPW983042:UYA983110 UZS983042:VHW983110 VJO983042:VRS983110 VTK983042:WBO983110 WDG983042:WLK983110 WNC983042:WVG983110 WWY983042:XFC983110" xr:uid="{690C40EE-F3D8-4BE6-8745-49629BA9E7F0}">
      <formula1>0</formula1>
      <formula2>0</formula2>
    </dataValidation>
    <dataValidation operator="greaterThan" allowBlank="1" showInputMessage="1" prompt="Please Enter Numeric Value" sqref="WVI983042:WVI983145 IW2:IW105 SS2:SS105 ACO2:ACO105 AMK2:AMK105 AWG2:AWG105 BGC2:BGC105 BPY2:BPY105 BZU2:BZU105 CJQ2:CJQ105 CTM2:CTM105 DDI2:DDI105 DNE2:DNE105 DXA2:DXA105 EGW2:EGW105 EQS2:EQS105 FAO2:FAO105 FKK2:FKK105 FUG2:FUG105 GEC2:GEC105 GNY2:GNY105 GXU2:GXU105 HHQ2:HHQ105 HRM2:HRM105 IBI2:IBI105 ILE2:ILE105 IVA2:IVA105 JEW2:JEW105 JOS2:JOS105 JYO2:JYO105 KIK2:KIK105 KSG2:KSG105 LCC2:LCC105 LLY2:LLY105 LVU2:LVU105 MFQ2:MFQ105 MPM2:MPM105 MZI2:MZI105 NJE2:NJE105 NTA2:NTA105 OCW2:OCW105 OMS2:OMS105 OWO2:OWO105 PGK2:PGK105 PQG2:PQG105 QAC2:QAC105 QJY2:QJY105 QTU2:QTU105 RDQ2:RDQ105 RNM2:RNM105 RXI2:RXI105 SHE2:SHE105 SRA2:SRA105 TAW2:TAW105 TKS2:TKS105 TUO2:TUO105 UEK2:UEK105 UOG2:UOG105 UYC2:UYC105 VHY2:VHY105 VRU2:VRU105 WBQ2:WBQ105 WLM2:WLM105 WVI2:WVI105 A65538:A65641 IW65538:IW65641 SS65538:SS65641 ACO65538:ACO65641 AMK65538:AMK65641 AWG65538:AWG65641 BGC65538:BGC65641 BPY65538:BPY65641 BZU65538:BZU65641 CJQ65538:CJQ65641 CTM65538:CTM65641 DDI65538:DDI65641 DNE65538:DNE65641 DXA65538:DXA65641 EGW65538:EGW65641 EQS65538:EQS65641 FAO65538:FAO65641 FKK65538:FKK65641 FUG65538:FUG65641 GEC65538:GEC65641 GNY65538:GNY65641 GXU65538:GXU65641 HHQ65538:HHQ65641 HRM65538:HRM65641 IBI65538:IBI65641 ILE65538:ILE65641 IVA65538:IVA65641 JEW65538:JEW65641 JOS65538:JOS65641 JYO65538:JYO65641 KIK65538:KIK65641 KSG65538:KSG65641 LCC65538:LCC65641 LLY65538:LLY65641 LVU65538:LVU65641 MFQ65538:MFQ65641 MPM65538:MPM65641 MZI65538:MZI65641 NJE65538:NJE65641 NTA65538:NTA65641 OCW65538:OCW65641 OMS65538:OMS65641 OWO65538:OWO65641 PGK65538:PGK65641 PQG65538:PQG65641 QAC65538:QAC65641 QJY65538:QJY65641 QTU65538:QTU65641 RDQ65538:RDQ65641 RNM65538:RNM65641 RXI65538:RXI65641 SHE65538:SHE65641 SRA65538:SRA65641 TAW65538:TAW65641 TKS65538:TKS65641 TUO65538:TUO65641 UEK65538:UEK65641 UOG65538:UOG65641 UYC65538:UYC65641 VHY65538:VHY65641 VRU65538:VRU65641 WBQ65538:WBQ65641 WLM65538:WLM65641 WVI65538:WVI65641 A131074:A131177 IW131074:IW131177 SS131074:SS131177 ACO131074:ACO131177 AMK131074:AMK131177 AWG131074:AWG131177 BGC131074:BGC131177 BPY131074:BPY131177 BZU131074:BZU131177 CJQ131074:CJQ131177 CTM131074:CTM131177 DDI131074:DDI131177 DNE131074:DNE131177 DXA131074:DXA131177 EGW131074:EGW131177 EQS131074:EQS131177 FAO131074:FAO131177 FKK131074:FKK131177 FUG131074:FUG131177 GEC131074:GEC131177 GNY131074:GNY131177 GXU131074:GXU131177 HHQ131074:HHQ131177 HRM131074:HRM131177 IBI131074:IBI131177 ILE131074:ILE131177 IVA131074:IVA131177 JEW131074:JEW131177 JOS131074:JOS131177 JYO131074:JYO131177 KIK131074:KIK131177 KSG131074:KSG131177 LCC131074:LCC131177 LLY131074:LLY131177 LVU131074:LVU131177 MFQ131074:MFQ131177 MPM131074:MPM131177 MZI131074:MZI131177 NJE131074:NJE131177 NTA131074:NTA131177 OCW131074:OCW131177 OMS131074:OMS131177 OWO131074:OWO131177 PGK131074:PGK131177 PQG131074:PQG131177 QAC131074:QAC131177 QJY131074:QJY131177 QTU131074:QTU131177 RDQ131074:RDQ131177 RNM131074:RNM131177 RXI131074:RXI131177 SHE131074:SHE131177 SRA131074:SRA131177 TAW131074:TAW131177 TKS131074:TKS131177 TUO131074:TUO131177 UEK131074:UEK131177 UOG131074:UOG131177 UYC131074:UYC131177 VHY131074:VHY131177 VRU131074:VRU131177 WBQ131074:WBQ131177 WLM131074:WLM131177 WVI131074:WVI131177 A196610:A196713 IW196610:IW196713 SS196610:SS196713 ACO196610:ACO196713 AMK196610:AMK196713 AWG196610:AWG196713 BGC196610:BGC196713 BPY196610:BPY196713 BZU196610:BZU196713 CJQ196610:CJQ196713 CTM196610:CTM196713 DDI196610:DDI196713 DNE196610:DNE196713 DXA196610:DXA196713 EGW196610:EGW196713 EQS196610:EQS196713 FAO196610:FAO196713 FKK196610:FKK196713 FUG196610:FUG196713 GEC196610:GEC196713 GNY196610:GNY196713 GXU196610:GXU196713 HHQ196610:HHQ196713 HRM196610:HRM196713 IBI196610:IBI196713 ILE196610:ILE196713 IVA196610:IVA196713 JEW196610:JEW196713 JOS196610:JOS196713 JYO196610:JYO196713 KIK196610:KIK196713 KSG196610:KSG196713 LCC196610:LCC196713 LLY196610:LLY196713 LVU196610:LVU196713 MFQ196610:MFQ196713 MPM196610:MPM196713 MZI196610:MZI196713 NJE196610:NJE196713 NTA196610:NTA196713 OCW196610:OCW196713 OMS196610:OMS196713 OWO196610:OWO196713 PGK196610:PGK196713 PQG196610:PQG196713 QAC196610:QAC196713 QJY196610:QJY196713 QTU196610:QTU196713 RDQ196610:RDQ196713 RNM196610:RNM196713 RXI196610:RXI196713 SHE196610:SHE196713 SRA196610:SRA196713 TAW196610:TAW196713 TKS196610:TKS196713 TUO196610:TUO196713 UEK196610:UEK196713 UOG196610:UOG196713 UYC196610:UYC196713 VHY196610:VHY196713 VRU196610:VRU196713 WBQ196610:WBQ196713 WLM196610:WLM196713 WVI196610:WVI196713 A262146:A262249 IW262146:IW262249 SS262146:SS262249 ACO262146:ACO262249 AMK262146:AMK262249 AWG262146:AWG262249 BGC262146:BGC262249 BPY262146:BPY262249 BZU262146:BZU262249 CJQ262146:CJQ262249 CTM262146:CTM262249 DDI262146:DDI262249 DNE262146:DNE262249 DXA262146:DXA262249 EGW262146:EGW262249 EQS262146:EQS262249 FAO262146:FAO262249 FKK262146:FKK262249 FUG262146:FUG262249 GEC262146:GEC262249 GNY262146:GNY262249 GXU262146:GXU262249 HHQ262146:HHQ262249 HRM262146:HRM262249 IBI262146:IBI262249 ILE262146:ILE262249 IVA262146:IVA262249 JEW262146:JEW262249 JOS262146:JOS262249 JYO262146:JYO262249 KIK262146:KIK262249 KSG262146:KSG262249 LCC262146:LCC262249 LLY262146:LLY262249 LVU262146:LVU262249 MFQ262146:MFQ262249 MPM262146:MPM262249 MZI262146:MZI262249 NJE262146:NJE262249 NTA262146:NTA262249 OCW262146:OCW262249 OMS262146:OMS262249 OWO262146:OWO262249 PGK262146:PGK262249 PQG262146:PQG262249 QAC262146:QAC262249 QJY262146:QJY262249 QTU262146:QTU262249 RDQ262146:RDQ262249 RNM262146:RNM262249 RXI262146:RXI262249 SHE262146:SHE262249 SRA262146:SRA262249 TAW262146:TAW262249 TKS262146:TKS262249 TUO262146:TUO262249 UEK262146:UEK262249 UOG262146:UOG262249 UYC262146:UYC262249 VHY262146:VHY262249 VRU262146:VRU262249 WBQ262146:WBQ262249 WLM262146:WLM262249 WVI262146:WVI262249 A327682:A327785 IW327682:IW327785 SS327682:SS327785 ACO327682:ACO327785 AMK327682:AMK327785 AWG327682:AWG327785 BGC327682:BGC327785 BPY327682:BPY327785 BZU327682:BZU327785 CJQ327682:CJQ327785 CTM327682:CTM327785 DDI327682:DDI327785 DNE327682:DNE327785 DXA327682:DXA327785 EGW327682:EGW327785 EQS327682:EQS327785 FAO327682:FAO327785 FKK327682:FKK327785 FUG327682:FUG327785 GEC327682:GEC327785 GNY327682:GNY327785 GXU327682:GXU327785 HHQ327682:HHQ327785 HRM327682:HRM327785 IBI327682:IBI327785 ILE327682:ILE327785 IVA327682:IVA327785 JEW327682:JEW327785 JOS327682:JOS327785 JYO327682:JYO327785 KIK327682:KIK327785 KSG327682:KSG327785 LCC327682:LCC327785 LLY327682:LLY327785 LVU327682:LVU327785 MFQ327682:MFQ327785 MPM327682:MPM327785 MZI327682:MZI327785 NJE327682:NJE327785 NTA327682:NTA327785 OCW327682:OCW327785 OMS327682:OMS327785 OWO327682:OWO327785 PGK327682:PGK327785 PQG327682:PQG327785 QAC327682:QAC327785 QJY327682:QJY327785 QTU327682:QTU327785 RDQ327682:RDQ327785 RNM327682:RNM327785 RXI327682:RXI327785 SHE327682:SHE327785 SRA327682:SRA327785 TAW327682:TAW327785 TKS327682:TKS327785 TUO327682:TUO327785 UEK327682:UEK327785 UOG327682:UOG327785 UYC327682:UYC327785 VHY327682:VHY327785 VRU327682:VRU327785 WBQ327682:WBQ327785 WLM327682:WLM327785 WVI327682:WVI327785 A393218:A393321 IW393218:IW393321 SS393218:SS393321 ACO393218:ACO393321 AMK393218:AMK393321 AWG393218:AWG393321 BGC393218:BGC393321 BPY393218:BPY393321 BZU393218:BZU393321 CJQ393218:CJQ393321 CTM393218:CTM393321 DDI393218:DDI393321 DNE393218:DNE393321 DXA393218:DXA393321 EGW393218:EGW393321 EQS393218:EQS393321 FAO393218:FAO393321 FKK393218:FKK393321 FUG393218:FUG393321 GEC393218:GEC393321 GNY393218:GNY393321 GXU393218:GXU393321 HHQ393218:HHQ393321 HRM393218:HRM393321 IBI393218:IBI393321 ILE393218:ILE393321 IVA393218:IVA393321 JEW393218:JEW393321 JOS393218:JOS393321 JYO393218:JYO393321 KIK393218:KIK393321 KSG393218:KSG393321 LCC393218:LCC393321 LLY393218:LLY393321 LVU393218:LVU393321 MFQ393218:MFQ393321 MPM393218:MPM393321 MZI393218:MZI393321 NJE393218:NJE393321 NTA393218:NTA393321 OCW393218:OCW393321 OMS393218:OMS393321 OWO393218:OWO393321 PGK393218:PGK393321 PQG393218:PQG393321 QAC393218:QAC393321 QJY393218:QJY393321 QTU393218:QTU393321 RDQ393218:RDQ393321 RNM393218:RNM393321 RXI393218:RXI393321 SHE393218:SHE393321 SRA393218:SRA393321 TAW393218:TAW393321 TKS393218:TKS393321 TUO393218:TUO393321 UEK393218:UEK393321 UOG393218:UOG393321 UYC393218:UYC393321 VHY393218:VHY393321 VRU393218:VRU393321 WBQ393218:WBQ393321 WLM393218:WLM393321 WVI393218:WVI393321 A458754:A458857 IW458754:IW458857 SS458754:SS458857 ACO458754:ACO458857 AMK458754:AMK458857 AWG458754:AWG458857 BGC458754:BGC458857 BPY458754:BPY458857 BZU458754:BZU458857 CJQ458754:CJQ458857 CTM458754:CTM458857 DDI458754:DDI458857 DNE458754:DNE458857 DXA458754:DXA458857 EGW458754:EGW458857 EQS458754:EQS458857 FAO458754:FAO458857 FKK458754:FKK458857 FUG458754:FUG458857 GEC458754:GEC458857 GNY458754:GNY458857 GXU458754:GXU458857 HHQ458754:HHQ458857 HRM458754:HRM458857 IBI458754:IBI458857 ILE458754:ILE458857 IVA458754:IVA458857 JEW458754:JEW458857 JOS458754:JOS458857 JYO458754:JYO458857 KIK458754:KIK458857 KSG458754:KSG458857 LCC458754:LCC458857 LLY458754:LLY458857 LVU458754:LVU458857 MFQ458754:MFQ458857 MPM458754:MPM458857 MZI458754:MZI458857 NJE458754:NJE458857 NTA458754:NTA458857 OCW458754:OCW458857 OMS458754:OMS458857 OWO458754:OWO458857 PGK458754:PGK458857 PQG458754:PQG458857 QAC458754:QAC458857 QJY458754:QJY458857 QTU458754:QTU458857 RDQ458754:RDQ458857 RNM458754:RNM458857 RXI458754:RXI458857 SHE458754:SHE458857 SRA458754:SRA458857 TAW458754:TAW458857 TKS458754:TKS458857 TUO458754:TUO458857 UEK458754:UEK458857 UOG458754:UOG458857 UYC458754:UYC458857 VHY458754:VHY458857 VRU458754:VRU458857 WBQ458754:WBQ458857 WLM458754:WLM458857 WVI458754:WVI458857 A524290:A524393 IW524290:IW524393 SS524290:SS524393 ACO524290:ACO524393 AMK524290:AMK524393 AWG524290:AWG524393 BGC524290:BGC524393 BPY524290:BPY524393 BZU524290:BZU524393 CJQ524290:CJQ524393 CTM524290:CTM524393 DDI524290:DDI524393 DNE524290:DNE524393 DXA524290:DXA524393 EGW524290:EGW524393 EQS524290:EQS524393 FAO524290:FAO524393 FKK524290:FKK524393 FUG524290:FUG524393 GEC524290:GEC524393 GNY524290:GNY524393 GXU524290:GXU524393 HHQ524290:HHQ524393 HRM524290:HRM524393 IBI524290:IBI524393 ILE524290:ILE524393 IVA524290:IVA524393 JEW524290:JEW524393 JOS524290:JOS524393 JYO524290:JYO524393 KIK524290:KIK524393 KSG524290:KSG524393 LCC524290:LCC524393 LLY524290:LLY524393 LVU524290:LVU524393 MFQ524290:MFQ524393 MPM524290:MPM524393 MZI524290:MZI524393 NJE524290:NJE524393 NTA524290:NTA524393 OCW524290:OCW524393 OMS524290:OMS524393 OWO524290:OWO524393 PGK524290:PGK524393 PQG524290:PQG524393 QAC524290:QAC524393 QJY524290:QJY524393 QTU524290:QTU524393 RDQ524290:RDQ524393 RNM524290:RNM524393 RXI524290:RXI524393 SHE524290:SHE524393 SRA524290:SRA524393 TAW524290:TAW524393 TKS524290:TKS524393 TUO524290:TUO524393 UEK524290:UEK524393 UOG524290:UOG524393 UYC524290:UYC524393 VHY524290:VHY524393 VRU524290:VRU524393 WBQ524290:WBQ524393 WLM524290:WLM524393 WVI524290:WVI524393 A589826:A589929 IW589826:IW589929 SS589826:SS589929 ACO589826:ACO589929 AMK589826:AMK589929 AWG589826:AWG589929 BGC589826:BGC589929 BPY589826:BPY589929 BZU589826:BZU589929 CJQ589826:CJQ589929 CTM589826:CTM589929 DDI589826:DDI589929 DNE589826:DNE589929 DXA589826:DXA589929 EGW589826:EGW589929 EQS589826:EQS589929 FAO589826:FAO589929 FKK589826:FKK589929 FUG589826:FUG589929 GEC589826:GEC589929 GNY589826:GNY589929 GXU589826:GXU589929 HHQ589826:HHQ589929 HRM589826:HRM589929 IBI589826:IBI589929 ILE589826:ILE589929 IVA589826:IVA589929 JEW589826:JEW589929 JOS589826:JOS589929 JYO589826:JYO589929 KIK589826:KIK589929 KSG589826:KSG589929 LCC589826:LCC589929 LLY589826:LLY589929 LVU589826:LVU589929 MFQ589826:MFQ589929 MPM589826:MPM589929 MZI589826:MZI589929 NJE589826:NJE589929 NTA589826:NTA589929 OCW589826:OCW589929 OMS589826:OMS589929 OWO589826:OWO589929 PGK589826:PGK589929 PQG589826:PQG589929 QAC589826:QAC589929 QJY589826:QJY589929 QTU589826:QTU589929 RDQ589826:RDQ589929 RNM589826:RNM589929 RXI589826:RXI589929 SHE589826:SHE589929 SRA589826:SRA589929 TAW589826:TAW589929 TKS589826:TKS589929 TUO589826:TUO589929 UEK589826:UEK589929 UOG589826:UOG589929 UYC589826:UYC589929 VHY589826:VHY589929 VRU589826:VRU589929 WBQ589826:WBQ589929 WLM589826:WLM589929 WVI589826:WVI589929 A655362:A655465 IW655362:IW655465 SS655362:SS655465 ACO655362:ACO655465 AMK655362:AMK655465 AWG655362:AWG655465 BGC655362:BGC655465 BPY655362:BPY655465 BZU655362:BZU655465 CJQ655362:CJQ655465 CTM655362:CTM655465 DDI655362:DDI655465 DNE655362:DNE655465 DXA655362:DXA655465 EGW655362:EGW655465 EQS655362:EQS655465 FAO655362:FAO655465 FKK655362:FKK655465 FUG655362:FUG655465 GEC655362:GEC655465 GNY655362:GNY655465 GXU655362:GXU655465 HHQ655362:HHQ655465 HRM655362:HRM655465 IBI655362:IBI655465 ILE655362:ILE655465 IVA655362:IVA655465 JEW655362:JEW655465 JOS655362:JOS655465 JYO655362:JYO655465 KIK655362:KIK655465 KSG655362:KSG655465 LCC655362:LCC655465 LLY655362:LLY655465 LVU655362:LVU655465 MFQ655362:MFQ655465 MPM655362:MPM655465 MZI655362:MZI655465 NJE655362:NJE655465 NTA655362:NTA655465 OCW655362:OCW655465 OMS655362:OMS655465 OWO655362:OWO655465 PGK655362:PGK655465 PQG655362:PQG655465 QAC655362:QAC655465 QJY655362:QJY655465 QTU655362:QTU655465 RDQ655362:RDQ655465 RNM655362:RNM655465 RXI655362:RXI655465 SHE655362:SHE655465 SRA655362:SRA655465 TAW655362:TAW655465 TKS655362:TKS655465 TUO655362:TUO655465 UEK655362:UEK655465 UOG655362:UOG655465 UYC655362:UYC655465 VHY655362:VHY655465 VRU655362:VRU655465 WBQ655362:WBQ655465 WLM655362:WLM655465 WVI655362:WVI655465 A720898:A721001 IW720898:IW721001 SS720898:SS721001 ACO720898:ACO721001 AMK720898:AMK721001 AWG720898:AWG721001 BGC720898:BGC721001 BPY720898:BPY721001 BZU720898:BZU721001 CJQ720898:CJQ721001 CTM720898:CTM721001 DDI720898:DDI721001 DNE720898:DNE721001 DXA720898:DXA721001 EGW720898:EGW721001 EQS720898:EQS721001 FAO720898:FAO721001 FKK720898:FKK721001 FUG720898:FUG721001 GEC720898:GEC721001 GNY720898:GNY721001 GXU720898:GXU721001 HHQ720898:HHQ721001 HRM720898:HRM721001 IBI720898:IBI721001 ILE720898:ILE721001 IVA720898:IVA721001 JEW720898:JEW721001 JOS720898:JOS721001 JYO720898:JYO721001 KIK720898:KIK721001 KSG720898:KSG721001 LCC720898:LCC721001 LLY720898:LLY721001 LVU720898:LVU721001 MFQ720898:MFQ721001 MPM720898:MPM721001 MZI720898:MZI721001 NJE720898:NJE721001 NTA720898:NTA721001 OCW720898:OCW721001 OMS720898:OMS721001 OWO720898:OWO721001 PGK720898:PGK721001 PQG720898:PQG721001 QAC720898:QAC721001 QJY720898:QJY721001 QTU720898:QTU721001 RDQ720898:RDQ721001 RNM720898:RNM721001 RXI720898:RXI721001 SHE720898:SHE721001 SRA720898:SRA721001 TAW720898:TAW721001 TKS720898:TKS721001 TUO720898:TUO721001 UEK720898:UEK721001 UOG720898:UOG721001 UYC720898:UYC721001 VHY720898:VHY721001 VRU720898:VRU721001 WBQ720898:WBQ721001 WLM720898:WLM721001 WVI720898:WVI721001 A786434:A786537 IW786434:IW786537 SS786434:SS786537 ACO786434:ACO786537 AMK786434:AMK786537 AWG786434:AWG786537 BGC786434:BGC786537 BPY786434:BPY786537 BZU786434:BZU786537 CJQ786434:CJQ786537 CTM786434:CTM786537 DDI786434:DDI786537 DNE786434:DNE786537 DXA786434:DXA786537 EGW786434:EGW786537 EQS786434:EQS786537 FAO786434:FAO786537 FKK786434:FKK786537 FUG786434:FUG786537 GEC786434:GEC786537 GNY786434:GNY786537 GXU786434:GXU786537 HHQ786434:HHQ786537 HRM786434:HRM786537 IBI786434:IBI786537 ILE786434:ILE786537 IVA786434:IVA786537 JEW786434:JEW786537 JOS786434:JOS786537 JYO786434:JYO786537 KIK786434:KIK786537 KSG786434:KSG786537 LCC786434:LCC786537 LLY786434:LLY786537 LVU786434:LVU786537 MFQ786434:MFQ786537 MPM786434:MPM786537 MZI786434:MZI786537 NJE786434:NJE786537 NTA786434:NTA786537 OCW786434:OCW786537 OMS786434:OMS786537 OWO786434:OWO786537 PGK786434:PGK786537 PQG786434:PQG786537 QAC786434:QAC786537 QJY786434:QJY786537 QTU786434:QTU786537 RDQ786434:RDQ786537 RNM786434:RNM786537 RXI786434:RXI786537 SHE786434:SHE786537 SRA786434:SRA786537 TAW786434:TAW786537 TKS786434:TKS786537 TUO786434:TUO786537 UEK786434:UEK786537 UOG786434:UOG786537 UYC786434:UYC786537 VHY786434:VHY786537 VRU786434:VRU786537 WBQ786434:WBQ786537 WLM786434:WLM786537 WVI786434:WVI786537 A851970:A852073 IW851970:IW852073 SS851970:SS852073 ACO851970:ACO852073 AMK851970:AMK852073 AWG851970:AWG852073 BGC851970:BGC852073 BPY851970:BPY852073 BZU851970:BZU852073 CJQ851970:CJQ852073 CTM851970:CTM852073 DDI851970:DDI852073 DNE851970:DNE852073 DXA851970:DXA852073 EGW851970:EGW852073 EQS851970:EQS852073 FAO851970:FAO852073 FKK851970:FKK852073 FUG851970:FUG852073 GEC851970:GEC852073 GNY851970:GNY852073 GXU851970:GXU852073 HHQ851970:HHQ852073 HRM851970:HRM852073 IBI851970:IBI852073 ILE851970:ILE852073 IVA851970:IVA852073 JEW851970:JEW852073 JOS851970:JOS852073 JYO851970:JYO852073 KIK851970:KIK852073 KSG851970:KSG852073 LCC851970:LCC852073 LLY851970:LLY852073 LVU851970:LVU852073 MFQ851970:MFQ852073 MPM851970:MPM852073 MZI851970:MZI852073 NJE851970:NJE852073 NTA851970:NTA852073 OCW851970:OCW852073 OMS851970:OMS852073 OWO851970:OWO852073 PGK851970:PGK852073 PQG851970:PQG852073 QAC851970:QAC852073 QJY851970:QJY852073 QTU851970:QTU852073 RDQ851970:RDQ852073 RNM851970:RNM852073 RXI851970:RXI852073 SHE851970:SHE852073 SRA851970:SRA852073 TAW851970:TAW852073 TKS851970:TKS852073 TUO851970:TUO852073 UEK851970:UEK852073 UOG851970:UOG852073 UYC851970:UYC852073 VHY851970:VHY852073 VRU851970:VRU852073 WBQ851970:WBQ852073 WLM851970:WLM852073 WVI851970:WVI852073 A917506:A917609 IW917506:IW917609 SS917506:SS917609 ACO917506:ACO917609 AMK917506:AMK917609 AWG917506:AWG917609 BGC917506:BGC917609 BPY917506:BPY917609 BZU917506:BZU917609 CJQ917506:CJQ917609 CTM917506:CTM917609 DDI917506:DDI917609 DNE917506:DNE917609 DXA917506:DXA917609 EGW917506:EGW917609 EQS917506:EQS917609 FAO917506:FAO917609 FKK917506:FKK917609 FUG917506:FUG917609 GEC917506:GEC917609 GNY917506:GNY917609 GXU917506:GXU917609 HHQ917506:HHQ917609 HRM917506:HRM917609 IBI917506:IBI917609 ILE917506:ILE917609 IVA917506:IVA917609 JEW917506:JEW917609 JOS917506:JOS917609 JYO917506:JYO917609 KIK917506:KIK917609 KSG917506:KSG917609 LCC917506:LCC917609 LLY917506:LLY917609 LVU917506:LVU917609 MFQ917506:MFQ917609 MPM917506:MPM917609 MZI917506:MZI917609 NJE917506:NJE917609 NTA917506:NTA917609 OCW917506:OCW917609 OMS917506:OMS917609 OWO917506:OWO917609 PGK917506:PGK917609 PQG917506:PQG917609 QAC917506:QAC917609 QJY917506:QJY917609 QTU917506:QTU917609 RDQ917506:RDQ917609 RNM917506:RNM917609 RXI917506:RXI917609 SHE917506:SHE917609 SRA917506:SRA917609 TAW917506:TAW917609 TKS917506:TKS917609 TUO917506:TUO917609 UEK917506:UEK917609 UOG917506:UOG917609 UYC917506:UYC917609 VHY917506:VHY917609 VRU917506:VRU917609 WBQ917506:WBQ917609 WLM917506:WLM917609 WVI917506:WVI917609 A983042:A983145 IW983042:IW983145 SS983042:SS983145 ACO983042:ACO983145 AMK983042:AMK983145 AWG983042:AWG983145 BGC983042:BGC983145 BPY983042:BPY983145 BZU983042:BZU983145 CJQ983042:CJQ983145 CTM983042:CTM983145 DDI983042:DDI983145 DNE983042:DNE983145 DXA983042:DXA983145 EGW983042:EGW983145 EQS983042:EQS983145 FAO983042:FAO983145 FKK983042:FKK983145 FUG983042:FUG983145 GEC983042:GEC983145 GNY983042:GNY983145 GXU983042:GXU983145 HHQ983042:HHQ983145 HRM983042:HRM983145 IBI983042:IBI983145 ILE983042:ILE983145 IVA983042:IVA983145 JEW983042:JEW983145 JOS983042:JOS983145 JYO983042:JYO983145 KIK983042:KIK983145 KSG983042:KSG983145 LCC983042:LCC983145 LLY983042:LLY983145 LVU983042:LVU983145 MFQ983042:MFQ983145 MPM983042:MPM983145 MZI983042:MZI983145 NJE983042:NJE983145 NTA983042:NTA983145 OCW983042:OCW983145 OMS983042:OMS983145 OWO983042:OWO983145 PGK983042:PGK983145 PQG983042:PQG983145 QAC983042:QAC983145 QJY983042:QJY983145 QTU983042:QTU983145 RDQ983042:RDQ983145 RNM983042:RNM983145 RXI983042:RXI983145 SHE983042:SHE983145 SRA983042:SRA983145 TAW983042:TAW983145 TKS983042:TKS983145 TUO983042:TUO983145 UEK983042:UEK983145 UOG983042:UOG983145 UYC983042:UYC983145 VHY983042:VHY983145 VRU983042:VRU983145 WBQ983042:WBQ983145 WLM983042:WLM983145 A2:A200" xr:uid="{9444E3E8-64AD-4436-A2CD-FF596C0CC1BB}">
      <formula1>0</formula1>
      <formula2>0</formula2>
    </dataValidation>
    <dataValidation errorStyle="warning" operator="lessThanOrEqual" allowBlank="1" sqref="WVJ983042:WVJ983145 IX2:IX105 ST2:ST105 ACP2:ACP105 AML2:AML105 AWH2:AWH105 BGD2:BGD105 BPZ2:BPZ105 BZV2:BZV105 CJR2:CJR105 CTN2:CTN105 DDJ2:DDJ105 DNF2:DNF105 DXB2:DXB105 EGX2:EGX105 EQT2:EQT105 FAP2:FAP105 FKL2:FKL105 FUH2:FUH105 GED2:GED105 GNZ2:GNZ105 GXV2:GXV105 HHR2:HHR105 HRN2:HRN105 IBJ2:IBJ105 ILF2:ILF105 IVB2:IVB105 JEX2:JEX105 JOT2:JOT105 JYP2:JYP105 KIL2:KIL105 KSH2:KSH105 LCD2:LCD105 LLZ2:LLZ105 LVV2:LVV105 MFR2:MFR105 MPN2:MPN105 MZJ2:MZJ105 NJF2:NJF105 NTB2:NTB105 OCX2:OCX105 OMT2:OMT105 OWP2:OWP105 PGL2:PGL105 PQH2:PQH105 QAD2:QAD105 QJZ2:QJZ105 QTV2:QTV105 RDR2:RDR105 RNN2:RNN105 RXJ2:RXJ105 SHF2:SHF105 SRB2:SRB105 TAX2:TAX105 TKT2:TKT105 TUP2:TUP105 UEL2:UEL105 UOH2:UOH105 UYD2:UYD105 VHZ2:VHZ105 VRV2:VRV105 WBR2:WBR105 WLN2:WLN105 WVJ2:WVJ105 B65538:B65641 IX65538:IX65641 ST65538:ST65641 ACP65538:ACP65641 AML65538:AML65641 AWH65538:AWH65641 BGD65538:BGD65641 BPZ65538:BPZ65641 BZV65538:BZV65641 CJR65538:CJR65641 CTN65538:CTN65641 DDJ65538:DDJ65641 DNF65538:DNF65641 DXB65538:DXB65641 EGX65538:EGX65641 EQT65538:EQT65641 FAP65538:FAP65641 FKL65538:FKL65641 FUH65538:FUH65641 GED65538:GED65641 GNZ65538:GNZ65641 GXV65538:GXV65641 HHR65538:HHR65641 HRN65538:HRN65641 IBJ65538:IBJ65641 ILF65538:ILF65641 IVB65538:IVB65641 JEX65538:JEX65641 JOT65538:JOT65641 JYP65538:JYP65641 KIL65538:KIL65641 KSH65538:KSH65641 LCD65538:LCD65641 LLZ65538:LLZ65641 LVV65538:LVV65641 MFR65538:MFR65641 MPN65538:MPN65641 MZJ65538:MZJ65641 NJF65538:NJF65641 NTB65538:NTB65641 OCX65538:OCX65641 OMT65538:OMT65641 OWP65538:OWP65641 PGL65538:PGL65641 PQH65538:PQH65641 QAD65538:QAD65641 QJZ65538:QJZ65641 QTV65538:QTV65641 RDR65538:RDR65641 RNN65538:RNN65641 RXJ65538:RXJ65641 SHF65538:SHF65641 SRB65538:SRB65641 TAX65538:TAX65641 TKT65538:TKT65641 TUP65538:TUP65641 UEL65538:UEL65641 UOH65538:UOH65641 UYD65538:UYD65641 VHZ65538:VHZ65641 VRV65538:VRV65641 WBR65538:WBR65641 WLN65538:WLN65641 WVJ65538:WVJ65641 B131074:B131177 IX131074:IX131177 ST131074:ST131177 ACP131074:ACP131177 AML131074:AML131177 AWH131074:AWH131177 BGD131074:BGD131177 BPZ131074:BPZ131177 BZV131074:BZV131177 CJR131074:CJR131177 CTN131074:CTN131177 DDJ131074:DDJ131177 DNF131074:DNF131177 DXB131074:DXB131177 EGX131074:EGX131177 EQT131074:EQT131177 FAP131074:FAP131177 FKL131074:FKL131177 FUH131074:FUH131177 GED131074:GED131177 GNZ131074:GNZ131177 GXV131074:GXV131177 HHR131074:HHR131177 HRN131074:HRN131177 IBJ131074:IBJ131177 ILF131074:ILF131177 IVB131074:IVB131177 JEX131074:JEX131177 JOT131074:JOT131177 JYP131074:JYP131177 KIL131074:KIL131177 KSH131074:KSH131177 LCD131074:LCD131177 LLZ131074:LLZ131177 LVV131074:LVV131177 MFR131074:MFR131177 MPN131074:MPN131177 MZJ131074:MZJ131177 NJF131074:NJF131177 NTB131074:NTB131177 OCX131074:OCX131177 OMT131074:OMT131177 OWP131074:OWP131177 PGL131074:PGL131177 PQH131074:PQH131177 QAD131074:QAD131177 QJZ131074:QJZ131177 QTV131074:QTV131177 RDR131074:RDR131177 RNN131074:RNN131177 RXJ131074:RXJ131177 SHF131074:SHF131177 SRB131074:SRB131177 TAX131074:TAX131177 TKT131074:TKT131177 TUP131074:TUP131177 UEL131074:UEL131177 UOH131074:UOH131177 UYD131074:UYD131177 VHZ131074:VHZ131177 VRV131074:VRV131177 WBR131074:WBR131177 WLN131074:WLN131177 WVJ131074:WVJ131177 B196610:B196713 IX196610:IX196713 ST196610:ST196713 ACP196610:ACP196713 AML196610:AML196713 AWH196610:AWH196713 BGD196610:BGD196713 BPZ196610:BPZ196713 BZV196610:BZV196713 CJR196610:CJR196713 CTN196610:CTN196713 DDJ196610:DDJ196713 DNF196610:DNF196713 DXB196610:DXB196713 EGX196610:EGX196713 EQT196610:EQT196713 FAP196610:FAP196713 FKL196610:FKL196713 FUH196610:FUH196713 GED196610:GED196713 GNZ196610:GNZ196713 GXV196610:GXV196713 HHR196610:HHR196713 HRN196610:HRN196713 IBJ196610:IBJ196713 ILF196610:ILF196713 IVB196610:IVB196713 JEX196610:JEX196713 JOT196610:JOT196713 JYP196610:JYP196713 KIL196610:KIL196713 KSH196610:KSH196713 LCD196610:LCD196713 LLZ196610:LLZ196713 LVV196610:LVV196713 MFR196610:MFR196713 MPN196610:MPN196713 MZJ196610:MZJ196713 NJF196610:NJF196713 NTB196610:NTB196713 OCX196610:OCX196713 OMT196610:OMT196713 OWP196610:OWP196713 PGL196610:PGL196713 PQH196610:PQH196713 QAD196610:QAD196713 QJZ196610:QJZ196713 QTV196610:QTV196713 RDR196610:RDR196713 RNN196610:RNN196713 RXJ196610:RXJ196713 SHF196610:SHF196713 SRB196610:SRB196713 TAX196610:TAX196713 TKT196610:TKT196713 TUP196610:TUP196713 UEL196610:UEL196713 UOH196610:UOH196713 UYD196610:UYD196713 VHZ196610:VHZ196713 VRV196610:VRV196713 WBR196610:WBR196713 WLN196610:WLN196713 WVJ196610:WVJ196713 B262146:B262249 IX262146:IX262249 ST262146:ST262249 ACP262146:ACP262249 AML262146:AML262249 AWH262146:AWH262249 BGD262146:BGD262249 BPZ262146:BPZ262249 BZV262146:BZV262249 CJR262146:CJR262249 CTN262146:CTN262249 DDJ262146:DDJ262249 DNF262146:DNF262249 DXB262146:DXB262249 EGX262146:EGX262249 EQT262146:EQT262249 FAP262146:FAP262249 FKL262146:FKL262249 FUH262146:FUH262249 GED262146:GED262249 GNZ262146:GNZ262249 GXV262146:GXV262249 HHR262146:HHR262249 HRN262146:HRN262249 IBJ262146:IBJ262249 ILF262146:ILF262249 IVB262146:IVB262249 JEX262146:JEX262249 JOT262146:JOT262249 JYP262146:JYP262249 KIL262146:KIL262249 KSH262146:KSH262249 LCD262146:LCD262249 LLZ262146:LLZ262249 LVV262146:LVV262249 MFR262146:MFR262249 MPN262146:MPN262249 MZJ262146:MZJ262249 NJF262146:NJF262249 NTB262146:NTB262249 OCX262146:OCX262249 OMT262146:OMT262249 OWP262146:OWP262249 PGL262146:PGL262249 PQH262146:PQH262249 QAD262146:QAD262249 QJZ262146:QJZ262249 QTV262146:QTV262249 RDR262146:RDR262249 RNN262146:RNN262249 RXJ262146:RXJ262249 SHF262146:SHF262249 SRB262146:SRB262249 TAX262146:TAX262249 TKT262146:TKT262249 TUP262146:TUP262249 UEL262146:UEL262249 UOH262146:UOH262249 UYD262146:UYD262249 VHZ262146:VHZ262249 VRV262146:VRV262249 WBR262146:WBR262249 WLN262146:WLN262249 WVJ262146:WVJ262249 B327682:B327785 IX327682:IX327785 ST327682:ST327785 ACP327682:ACP327785 AML327682:AML327785 AWH327682:AWH327785 BGD327682:BGD327785 BPZ327682:BPZ327785 BZV327682:BZV327785 CJR327682:CJR327785 CTN327682:CTN327785 DDJ327682:DDJ327785 DNF327682:DNF327785 DXB327682:DXB327785 EGX327682:EGX327785 EQT327682:EQT327785 FAP327682:FAP327785 FKL327682:FKL327785 FUH327682:FUH327785 GED327682:GED327785 GNZ327682:GNZ327785 GXV327682:GXV327785 HHR327682:HHR327785 HRN327682:HRN327785 IBJ327682:IBJ327785 ILF327682:ILF327785 IVB327682:IVB327785 JEX327682:JEX327785 JOT327682:JOT327785 JYP327682:JYP327785 KIL327682:KIL327785 KSH327682:KSH327785 LCD327682:LCD327785 LLZ327682:LLZ327785 LVV327682:LVV327785 MFR327682:MFR327785 MPN327682:MPN327785 MZJ327682:MZJ327785 NJF327682:NJF327785 NTB327682:NTB327785 OCX327682:OCX327785 OMT327682:OMT327785 OWP327682:OWP327785 PGL327682:PGL327785 PQH327682:PQH327785 QAD327682:QAD327785 QJZ327682:QJZ327785 QTV327682:QTV327785 RDR327682:RDR327785 RNN327682:RNN327785 RXJ327682:RXJ327785 SHF327682:SHF327785 SRB327682:SRB327785 TAX327682:TAX327785 TKT327682:TKT327785 TUP327682:TUP327785 UEL327682:UEL327785 UOH327682:UOH327785 UYD327682:UYD327785 VHZ327682:VHZ327785 VRV327682:VRV327785 WBR327682:WBR327785 WLN327682:WLN327785 WVJ327682:WVJ327785 B393218:B393321 IX393218:IX393321 ST393218:ST393321 ACP393218:ACP393321 AML393218:AML393321 AWH393218:AWH393321 BGD393218:BGD393321 BPZ393218:BPZ393321 BZV393218:BZV393321 CJR393218:CJR393321 CTN393218:CTN393321 DDJ393218:DDJ393321 DNF393218:DNF393321 DXB393218:DXB393321 EGX393218:EGX393321 EQT393218:EQT393321 FAP393218:FAP393321 FKL393218:FKL393321 FUH393218:FUH393321 GED393218:GED393321 GNZ393218:GNZ393321 GXV393218:GXV393321 HHR393218:HHR393321 HRN393218:HRN393321 IBJ393218:IBJ393321 ILF393218:ILF393321 IVB393218:IVB393321 JEX393218:JEX393321 JOT393218:JOT393321 JYP393218:JYP393321 KIL393218:KIL393321 KSH393218:KSH393321 LCD393218:LCD393321 LLZ393218:LLZ393321 LVV393218:LVV393321 MFR393218:MFR393321 MPN393218:MPN393321 MZJ393218:MZJ393321 NJF393218:NJF393321 NTB393218:NTB393321 OCX393218:OCX393321 OMT393218:OMT393321 OWP393218:OWP393321 PGL393218:PGL393321 PQH393218:PQH393321 QAD393218:QAD393321 QJZ393218:QJZ393321 QTV393218:QTV393321 RDR393218:RDR393321 RNN393218:RNN393321 RXJ393218:RXJ393321 SHF393218:SHF393321 SRB393218:SRB393321 TAX393218:TAX393321 TKT393218:TKT393321 TUP393218:TUP393321 UEL393218:UEL393321 UOH393218:UOH393321 UYD393218:UYD393321 VHZ393218:VHZ393321 VRV393218:VRV393321 WBR393218:WBR393321 WLN393218:WLN393321 WVJ393218:WVJ393321 B458754:B458857 IX458754:IX458857 ST458754:ST458857 ACP458754:ACP458857 AML458754:AML458857 AWH458754:AWH458857 BGD458754:BGD458857 BPZ458754:BPZ458857 BZV458754:BZV458857 CJR458754:CJR458857 CTN458754:CTN458857 DDJ458754:DDJ458857 DNF458754:DNF458857 DXB458754:DXB458857 EGX458754:EGX458857 EQT458754:EQT458857 FAP458754:FAP458857 FKL458754:FKL458857 FUH458754:FUH458857 GED458754:GED458857 GNZ458754:GNZ458857 GXV458754:GXV458857 HHR458754:HHR458857 HRN458754:HRN458857 IBJ458754:IBJ458857 ILF458754:ILF458857 IVB458754:IVB458857 JEX458754:JEX458857 JOT458754:JOT458857 JYP458754:JYP458857 KIL458754:KIL458857 KSH458754:KSH458857 LCD458754:LCD458857 LLZ458754:LLZ458857 LVV458754:LVV458857 MFR458754:MFR458857 MPN458754:MPN458857 MZJ458754:MZJ458857 NJF458754:NJF458857 NTB458754:NTB458857 OCX458754:OCX458857 OMT458754:OMT458857 OWP458754:OWP458857 PGL458754:PGL458857 PQH458754:PQH458857 QAD458754:QAD458857 QJZ458754:QJZ458857 QTV458754:QTV458857 RDR458754:RDR458857 RNN458754:RNN458857 RXJ458754:RXJ458857 SHF458754:SHF458857 SRB458754:SRB458857 TAX458754:TAX458857 TKT458754:TKT458857 TUP458754:TUP458857 UEL458754:UEL458857 UOH458754:UOH458857 UYD458754:UYD458857 VHZ458754:VHZ458857 VRV458754:VRV458857 WBR458754:WBR458857 WLN458754:WLN458857 WVJ458754:WVJ458857 B524290:B524393 IX524290:IX524393 ST524290:ST524393 ACP524290:ACP524393 AML524290:AML524393 AWH524290:AWH524393 BGD524290:BGD524393 BPZ524290:BPZ524393 BZV524290:BZV524393 CJR524290:CJR524393 CTN524290:CTN524393 DDJ524290:DDJ524393 DNF524290:DNF524393 DXB524290:DXB524393 EGX524290:EGX524393 EQT524290:EQT524393 FAP524290:FAP524393 FKL524290:FKL524393 FUH524290:FUH524393 GED524290:GED524393 GNZ524290:GNZ524393 GXV524290:GXV524393 HHR524290:HHR524393 HRN524290:HRN524393 IBJ524290:IBJ524393 ILF524290:ILF524393 IVB524290:IVB524393 JEX524290:JEX524393 JOT524290:JOT524393 JYP524290:JYP524393 KIL524290:KIL524393 KSH524290:KSH524393 LCD524290:LCD524393 LLZ524290:LLZ524393 LVV524290:LVV524393 MFR524290:MFR524393 MPN524290:MPN524393 MZJ524290:MZJ524393 NJF524290:NJF524393 NTB524290:NTB524393 OCX524290:OCX524393 OMT524290:OMT524393 OWP524290:OWP524393 PGL524290:PGL524393 PQH524290:PQH524393 QAD524290:QAD524393 QJZ524290:QJZ524393 QTV524290:QTV524393 RDR524290:RDR524393 RNN524290:RNN524393 RXJ524290:RXJ524393 SHF524290:SHF524393 SRB524290:SRB524393 TAX524290:TAX524393 TKT524290:TKT524393 TUP524290:TUP524393 UEL524290:UEL524393 UOH524290:UOH524393 UYD524290:UYD524393 VHZ524290:VHZ524393 VRV524290:VRV524393 WBR524290:WBR524393 WLN524290:WLN524393 WVJ524290:WVJ524393 B589826:B589929 IX589826:IX589929 ST589826:ST589929 ACP589826:ACP589929 AML589826:AML589929 AWH589826:AWH589929 BGD589826:BGD589929 BPZ589826:BPZ589929 BZV589826:BZV589929 CJR589826:CJR589929 CTN589826:CTN589929 DDJ589826:DDJ589929 DNF589826:DNF589929 DXB589826:DXB589929 EGX589826:EGX589929 EQT589826:EQT589929 FAP589826:FAP589929 FKL589826:FKL589929 FUH589826:FUH589929 GED589826:GED589929 GNZ589826:GNZ589929 GXV589826:GXV589929 HHR589826:HHR589929 HRN589826:HRN589929 IBJ589826:IBJ589929 ILF589826:ILF589929 IVB589826:IVB589929 JEX589826:JEX589929 JOT589826:JOT589929 JYP589826:JYP589929 KIL589826:KIL589929 KSH589826:KSH589929 LCD589826:LCD589929 LLZ589826:LLZ589929 LVV589826:LVV589929 MFR589826:MFR589929 MPN589826:MPN589929 MZJ589826:MZJ589929 NJF589826:NJF589929 NTB589826:NTB589929 OCX589826:OCX589929 OMT589826:OMT589929 OWP589826:OWP589929 PGL589826:PGL589929 PQH589826:PQH589929 QAD589826:QAD589929 QJZ589826:QJZ589929 QTV589826:QTV589929 RDR589826:RDR589929 RNN589826:RNN589929 RXJ589826:RXJ589929 SHF589826:SHF589929 SRB589826:SRB589929 TAX589826:TAX589929 TKT589826:TKT589929 TUP589826:TUP589929 UEL589826:UEL589929 UOH589826:UOH589929 UYD589826:UYD589929 VHZ589826:VHZ589929 VRV589826:VRV589929 WBR589826:WBR589929 WLN589826:WLN589929 WVJ589826:WVJ589929 B655362:B655465 IX655362:IX655465 ST655362:ST655465 ACP655362:ACP655465 AML655362:AML655465 AWH655362:AWH655465 BGD655362:BGD655465 BPZ655362:BPZ655465 BZV655362:BZV655465 CJR655362:CJR655465 CTN655362:CTN655465 DDJ655362:DDJ655465 DNF655362:DNF655465 DXB655362:DXB655465 EGX655362:EGX655465 EQT655362:EQT655465 FAP655362:FAP655465 FKL655362:FKL655465 FUH655362:FUH655465 GED655362:GED655465 GNZ655362:GNZ655465 GXV655362:GXV655465 HHR655362:HHR655465 HRN655362:HRN655465 IBJ655362:IBJ655465 ILF655362:ILF655465 IVB655362:IVB655465 JEX655362:JEX655465 JOT655362:JOT655465 JYP655362:JYP655465 KIL655362:KIL655465 KSH655362:KSH655465 LCD655362:LCD655465 LLZ655362:LLZ655465 LVV655362:LVV655465 MFR655362:MFR655465 MPN655362:MPN655465 MZJ655362:MZJ655465 NJF655362:NJF655465 NTB655362:NTB655465 OCX655362:OCX655465 OMT655362:OMT655465 OWP655362:OWP655465 PGL655362:PGL655465 PQH655362:PQH655465 QAD655362:QAD655465 QJZ655362:QJZ655465 QTV655362:QTV655465 RDR655362:RDR655465 RNN655362:RNN655465 RXJ655362:RXJ655465 SHF655362:SHF655465 SRB655362:SRB655465 TAX655362:TAX655465 TKT655362:TKT655465 TUP655362:TUP655465 UEL655362:UEL655465 UOH655362:UOH655465 UYD655362:UYD655465 VHZ655362:VHZ655465 VRV655362:VRV655465 WBR655362:WBR655465 WLN655362:WLN655465 WVJ655362:WVJ655465 B720898:B721001 IX720898:IX721001 ST720898:ST721001 ACP720898:ACP721001 AML720898:AML721001 AWH720898:AWH721001 BGD720898:BGD721001 BPZ720898:BPZ721001 BZV720898:BZV721001 CJR720898:CJR721001 CTN720898:CTN721001 DDJ720898:DDJ721001 DNF720898:DNF721001 DXB720898:DXB721001 EGX720898:EGX721001 EQT720898:EQT721001 FAP720898:FAP721001 FKL720898:FKL721001 FUH720898:FUH721001 GED720898:GED721001 GNZ720898:GNZ721001 GXV720898:GXV721001 HHR720898:HHR721001 HRN720898:HRN721001 IBJ720898:IBJ721001 ILF720898:ILF721001 IVB720898:IVB721001 JEX720898:JEX721001 JOT720898:JOT721001 JYP720898:JYP721001 KIL720898:KIL721001 KSH720898:KSH721001 LCD720898:LCD721001 LLZ720898:LLZ721001 LVV720898:LVV721001 MFR720898:MFR721001 MPN720898:MPN721001 MZJ720898:MZJ721001 NJF720898:NJF721001 NTB720898:NTB721001 OCX720898:OCX721001 OMT720898:OMT721001 OWP720898:OWP721001 PGL720898:PGL721001 PQH720898:PQH721001 QAD720898:QAD721001 QJZ720898:QJZ721001 QTV720898:QTV721001 RDR720898:RDR721001 RNN720898:RNN721001 RXJ720898:RXJ721001 SHF720898:SHF721001 SRB720898:SRB721001 TAX720898:TAX721001 TKT720898:TKT721001 TUP720898:TUP721001 UEL720898:UEL721001 UOH720898:UOH721001 UYD720898:UYD721001 VHZ720898:VHZ721001 VRV720898:VRV721001 WBR720898:WBR721001 WLN720898:WLN721001 WVJ720898:WVJ721001 B786434:B786537 IX786434:IX786537 ST786434:ST786537 ACP786434:ACP786537 AML786434:AML786537 AWH786434:AWH786537 BGD786434:BGD786537 BPZ786434:BPZ786537 BZV786434:BZV786537 CJR786434:CJR786537 CTN786434:CTN786537 DDJ786434:DDJ786537 DNF786434:DNF786537 DXB786434:DXB786537 EGX786434:EGX786537 EQT786434:EQT786537 FAP786434:FAP786537 FKL786434:FKL786537 FUH786434:FUH786537 GED786434:GED786537 GNZ786434:GNZ786537 GXV786434:GXV786537 HHR786434:HHR786537 HRN786434:HRN786537 IBJ786434:IBJ786537 ILF786434:ILF786537 IVB786434:IVB786537 JEX786434:JEX786537 JOT786434:JOT786537 JYP786434:JYP786537 KIL786434:KIL786537 KSH786434:KSH786537 LCD786434:LCD786537 LLZ786434:LLZ786537 LVV786434:LVV786537 MFR786434:MFR786537 MPN786434:MPN786537 MZJ786434:MZJ786537 NJF786434:NJF786537 NTB786434:NTB786537 OCX786434:OCX786537 OMT786434:OMT786537 OWP786434:OWP786537 PGL786434:PGL786537 PQH786434:PQH786537 QAD786434:QAD786537 QJZ786434:QJZ786537 QTV786434:QTV786537 RDR786434:RDR786537 RNN786434:RNN786537 RXJ786434:RXJ786537 SHF786434:SHF786537 SRB786434:SRB786537 TAX786434:TAX786537 TKT786434:TKT786537 TUP786434:TUP786537 UEL786434:UEL786537 UOH786434:UOH786537 UYD786434:UYD786537 VHZ786434:VHZ786537 VRV786434:VRV786537 WBR786434:WBR786537 WLN786434:WLN786537 WVJ786434:WVJ786537 B851970:B852073 IX851970:IX852073 ST851970:ST852073 ACP851970:ACP852073 AML851970:AML852073 AWH851970:AWH852073 BGD851970:BGD852073 BPZ851970:BPZ852073 BZV851970:BZV852073 CJR851970:CJR852073 CTN851970:CTN852073 DDJ851970:DDJ852073 DNF851970:DNF852073 DXB851970:DXB852073 EGX851970:EGX852073 EQT851970:EQT852073 FAP851970:FAP852073 FKL851970:FKL852073 FUH851970:FUH852073 GED851970:GED852073 GNZ851970:GNZ852073 GXV851970:GXV852073 HHR851970:HHR852073 HRN851970:HRN852073 IBJ851970:IBJ852073 ILF851970:ILF852073 IVB851970:IVB852073 JEX851970:JEX852073 JOT851970:JOT852073 JYP851970:JYP852073 KIL851970:KIL852073 KSH851970:KSH852073 LCD851970:LCD852073 LLZ851970:LLZ852073 LVV851970:LVV852073 MFR851970:MFR852073 MPN851970:MPN852073 MZJ851970:MZJ852073 NJF851970:NJF852073 NTB851970:NTB852073 OCX851970:OCX852073 OMT851970:OMT852073 OWP851970:OWP852073 PGL851970:PGL852073 PQH851970:PQH852073 QAD851970:QAD852073 QJZ851970:QJZ852073 QTV851970:QTV852073 RDR851970:RDR852073 RNN851970:RNN852073 RXJ851970:RXJ852073 SHF851970:SHF852073 SRB851970:SRB852073 TAX851970:TAX852073 TKT851970:TKT852073 TUP851970:TUP852073 UEL851970:UEL852073 UOH851970:UOH852073 UYD851970:UYD852073 VHZ851970:VHZ852073 VRV851970:VRV852073 WBR851970:WBR852073 WLN851970:WLN852073 WVJ851970:WVJ852073 B917506:B917609 IX917506:IX917609 ST917506:ST917609 ACP917506:ACP917609 AML917506:AML917609 AWH917506:AWH917609 BGD917506:BGD917609 BPZ917506:BPZ917609 BZV917506:BZV917609 CJR917506:CJR917609 CTN917506:CTN917609 DDJ917506:DDJ917609 DNF917506:DNF917609 DXB917506:DXB917609 EGX917506:EGX917609 EQT917506:EQT917609 FAP917506:FAP917609 FKL917506:FKL917609 FUH917506:FUH917609 GED917506:GED917609 GNZ917506:GNZ917609 GXV917506:GXV917609 HHR917506:HHR917609 HRN917506:HRN917609 IBJ917506:IBJ917609 ILF917506:ILF917609 IVB917506:IVB917609 JEX917506:JEX917609 JOT917506:JOT917609 JYP917506:JYP917609 KIL917506:KIL917609 KSH917506:KSH917609 LCD917506:LCD917609 LLZ917506:LLZ917609 LVV917506:LVV917609 MFR917506:MFR917609 MPN917506:MPN917609 MZJ917506:MZJ917609 NJF917506:NJF917609 NTB917506:NTB917609 OCX917506:OCX917609 OMT917506:OMT917609 OWP917506:OWP917609 PGL917506:PGL917609 PQH917506:PQH917609 QAD917506:QAD917609 QJZ917506:QJZ917609 QTV917506:QTV917609 RDR917506:RDR917609 RNN917506:RNN917609 RXJ917506:RXJ917609 SHF917506:SHF917609 SRB917506:SRB917609 TAX917506:TAX917609 TKT917506:TKT917609 TUP917506:TUP917609 UEL917506:UEL917609 UOH917506:UOH917609 UYD917506:UYD917609 VHZ917506:VHZ917609 VRV917506:VRV917609 WBR917506:WBR917609 WLN917506:WLN917609 WVJ917506:WVJ917609 B983042:B983145 IX983042:IX983145 ST983042:ST983145 ACP983042:ACP983145 AML983042:AML983145 AWH983042:AWH983145 BGD983042:BGD983145 BPZ983042:BPZ983145 BZV983042:BZV983145 CJR983042:CJR983145 CTN983042:CTN983145 DDJ983042:DDJ983145 DNF983042:DNF983145 DXB983042:DXB983145 EGX983042:EGX983145 EQT983042:EQT983145 FAP983042:FAP983145 FKL983042:FKL983145 FUH983042:FUH983145 GED983042:GED983145 GNZ983042:GNZ983145 GXV983042:GXV983145 HHR983042:HHR983145 HRN983042:HRN983145 IBJ983042:IBJ983145 ILF983042:ILF983145 IVB983042:IVB983145 JEX983042:JEX983145 JOT983042:JOT983145 JYP983042:JYP983145 KIL983042:KIL983145 KSH983042:KSH983145 LCD983042:LCD983145 LLZ983042:LLZ983145 LVV983042:LVV983145 MFR983042:MFR983145 MPN983042:MPN983145 MZJ983042:MZJ983145 NJF983042:NJF983145 NTB983042:NTB983145 OCX983042:OCX983145 OMT983042:OMT983145 OWP983042:OWP983145 PGL983042:PGL983145 PQH983042:PQH983145 QAD983042:QAD983145 QJZ983042:QJZ983145 QTV983042:QTV983145 RDR983042:RDR983145 RNN983042:RNN983145 RXJ983042:RXJ983145 SHF983042:SHF983145 SRB983042:SRB983145 TAX983042:TAX983145 TKT983042:TKT983145 TUP983042:TUP983145 UEL983042:UEL983145 UOH983042:UOH983145 UYD983042:UYD983145 VHZ983042:VHZ983145 VRV983042:VRV983145 WBR983042:WBR983145 WLN983042:WLN983145 B2:B200" xr:uid="{E88CCB03-C3AF-4C0A-9BEB-7E87FD6C90E6}">
      <formula1>8</formula1>
      <formula2>0</formula2>
    </dataValidation>
    <dataValidation type="decimal" operator="greaterThanOrEqual" allowBlank="1" showInputMessage="1" showErrorMessage="1" error="Please Enter Valid Item Value" prompt="Please Enter Numeric Value" sqref="WVN983043:WVN983145 JB3:JB105 SX3:SX105 ACT3:ACT105 AMP3:AMP105 AWL3:AWL105 BGH3:BGH105 BQD3:BQD105 BZZ3:BZZ105 CJV3:CJV105 CTR3:CTR105 DDN3:DDN105 DNJ3:DNJ105 DXF3:DXF105 EHB3:EHB105 EQX3:EQX105 FAT3:FAT105 FKP3:FKP105 FUL3:FUL105 GEH3:GEH105 GOD3:GOD105 GXZ3:GXZ105 HHV3:HHV105 HRR3:HRR105 IBN3:IBN105 ILJ3:ILJ105 IVF3:IVF105 JFB3:JFB105 JOX3:JOX105 JYT3:JYT105 KIP3:KIP105 KSL3:KSL105 LCH3:LCH105 LMD3:LMD105 LVZ3:LVZ105 MFV3:MFV105 MPR3:MPR105 MZN3:MZN105 NJJ3:NJJ105 NTF3:NTF105 ODB3:ODB105 OMX3:OMX105 OWT3:OWT105 PGP3:PGP105 PQL3:PQL105 QAH3:QAH105 QKD3:QKD105 QTZ3:QTZ105 RDV3:RDV105 RNR3:RNR105 RXN3:RXN105 SHJ3:SHJ105 SRF3:SRF105 TBB3:TBB105 TKX3:TKX105 TUT3:TUT105 UEP3:UEP105 UOL3:UOL105 UYH3:UYH105 VID3:VID105 VRZ3:VRZ105 WBV3:WBV105 WLR3:WLR105 WVN3:WVN105 F65539:F65641 JB65539:JB65641 SX65539:SX65641 ACT65539:ACT65641 AMP65539:AMP65641 AWL65539:AWL65641 BGH65539:BGH65641 BQD65539:BQD65641 BZZ65539:BZZ65641 CJV65539:CJV65641 CTR65539:CTR65641 DDN65539:DDN65641 DNJ65539:DNJ65641 DXF65539:DXF65641 EHB65539:EHB65641 EQX65539:EQX65641 FAT65539:FAT65641 FKP65539:FKP65641 FUL65539:FUL65641 GEH65539:GEH65641 GOD65539:GOD65641 GXZ65539:GXZ65641 HHV65539:HHV65641 HRR65539:HRR65641 IBN65539:IBN65641 ILJ65539:ILJ65641 IVF65539:IVF65641 JFB65539:JFB65641 JOX65539:JOX65641 JYT65539:JYT65641 KIP65539:KIP65641 KSL65539:KSL65641 LCH65539:LCH65641 LMD65539:LMD65641 LVZ65539:LVZ65641 MFV65539:MFV65641 MPR65539:MPR65641 MZN65539:MZN65641 NJJ65539:NJJ65641 NTF65539:NTF65641 ODB65539:ODB65641 OMX65539:OMX65641 OWT65539:OWT65641 PGP65539:PGP65641 PQL65539:PQL65641 QAH65539:QAH65641 QKD65539:QKD65641 QTZ65539:QTZ65641 RDV65539:RDV65641 RNR65539:RNR65641 RXN65539:RXN65641 SHJ65539:SHJ65641 SRF65539:SRF65641 TBB65539:TBB65641 TKX65539:TKX65641 TUT65539:TUT65641 UEP65539:UEP65641 UOL65539:UOL65641 UYH65539:UYH65641 VID65539:VID65641 VRZ65539:VRZ65641 WBV65539:WBV65641 WLR65539:WLR65641 WVN65539:WVN65641 F131075:F131177 JB131075:JB131177 SX131075:SX131177 ACT131075:ACT131177 AMP131075:AMP131177 AWL131075:AWL131177 BGH131075:BGH131177 BQD131075:BQD131177 BZZ131075:BZZ131177 CJV131075:CJV131177 CTR131075:CTR131177 DDN131075:DDN131177 DNJ131075:DNJ131177 DXF131075:DXF131177 EHB131075:EHB131177 EQX131075:EQX131177 FAT131075:FAT131177 FKP131075:FKP131177 FUL131075:FUL131177 GEH131075:GEH131177 GOD131075:GOD131177 GXZ131075:GXZ131177 HHV131075:HHV131177 HRR131075:HRR131177 IBN131075:IBN131177 ILJ131075:ILJ131177 IVF131075:IVF131177 JFB131075:JFB131177 JOX131075:JOX131177 JYT131075:JYT131177 KIP131075:KIP131177 KSL131075:KSL131177 LCH131075:LCH131177 LMD131075:LMD131177 LVZ131075:LVZ131177 MFV131075:MFV131177 MPR131075:MPR131177 MZN131075:MZN131177 NJJ131075:NJJ131177 NTF131075:NTF131177 ODB131075:ODB131177 OMX131075:OMX131177 OWT131075:OWT131177 PGP131075:PGP131177 PQL131075:PQL131177 QAH131075:QAH131177 QKD131075:QKD131177 QTZ131075:QTZ131177 RDV131075:RDV131177 RNR131075:RNR131177 RXN131075:RXN131177 SHJ131075:SHJ131177 SRF131075:SRF131177 TBB131075:TBB131177 TKX131075:TKX131177 TUT131075:TUT131177 UEP131075:UEP131177 UOL131075:UOL131177 UYH131075:UYH131177 VID131075:VID131177 VRZ131075:VRZ131177 WBV131075:WBV131177 WLR131075:WLR131177 WVN131075:WVN131177 F196611:F196713 JB196611:JB196713 SX196611:SX196713 ACT196611:ACT196713 AMP196611:AMP196713 AWL196611:AWL196713 BGH196611:BGH196713 BQD196611:BQD196713 BZZ196611:BZZ196713 CJV196611:CJV196713 CTR196611:CTR196713 DDN196611:DDN196713 DNJ196611:DNJ196713 DXF196611:DXF196713 EHB196611:EHB196713 EQX196611:EQX196713 FAT196611:FAT196713 FKP196611:FKP196713 FUL196611:FUL196713 GEH196611:GEH196713 GOD196611:GOD196713 GXZ196611:GXZ196713 HHV196611:HHV196713 HRR196611:HRR196713 IBN196611:IBN196713 ILJ196611:ILJ196713 IVF196611:IVF196713 JFB196611:JFB196713 JOX196611:JOX196713 JYT196611:JYT196713 KIP196611:KIP196713 KSL196611:KSL196713 LCH196611:LCH196713 LMD196611:LMD196713 LVZ196611:LVZ196713 MFV196611:MFV196713 MPR196611:MPR196713 MZN196611:MZN196713 NJJ196611:NJJ196713 NTF196611:NTF196713 ODB196611:ODB196713 OMX196611:OMX196713 OWT196611:OWT196713 PGP196611:PGP196713 PQL196611:PQL196713 QAH196611:QAH196713 QKD196611:QKD196713 QTZ196611:QTZ196713 RDV196611:RDV196713 RNR196611:RNR196713 RXN196611:RXN196713 SHJ196611:SHJ196713 SRF196611:SRF196713 TBB196611:TBB196713 TKX196611:TKX196713 TUT196611:TUT196713 UEP196611:UEP196713 UOL196611:UOL196713 UYH196611:UYH196713 VID196611:VID196713 VRZ196611:VRZ196713 WBV196611:WBV196713 WLR196611:WLR196713 WVN196611:WVN196713 F262147:F262249 JB262147:JB262249 SX262147:SX262249 ACT262147:ACT262249 AMP262147:AMP262249 AWL262147:AWL262249 BGH262147:BGH262249 BQD262147:BQD262249 BZZ262147:BZZ262249 CJV262147:CJV262249 CTR262147:CTR262249 DDN262147:DDN262249 DNJ262147:DNJ262249 DXF262147:DXF262249 EHB262147:EHB262249 EQX262147:EQX262249 FAT262147:FAT262249 FKP262147:FKP262249 FUL262147:FUL262249 GEH262147:GEH262249 GOD262147:GOD262249 GXZ262147:GXZ262249 HHV262147:HHV262249 HRR262147:HRR262249 IBN262147:IBN262249 ILJ262147:ILJ262249 IVF262147:IVF262249 JFB262147:JFB262249 JOX262147:JOX262249 JYT262147:JYT262249 KIP262147:KIP262249 KSL262147:KSL262249 LCH262147:LCH262249 LMD262147:LMD262249 LVZ262147:LVZ262249 MFV262147:MFV262249 MPR262147:MPR262249 MZN262147:MZN262249 NJJ262147:NJJ262249 NTF262147:NTF262249 ODB262147:ODB262249 OMX262147:OMX262249 OWT262147:OWT262249 PGP262147:PGP262249 PQL262147:PQL262249 QAH262147:QAH262249 QKD262147:QKD262249 QTZ262147:QTZ262249 RDV262147:RDV262249 RNR262147:RNR262249 RXN262147:RXN262249 SHJ262147:SHJ262249 SRF262147:SRF262249 TBB262147:TBB262249 TKX262147:TKX262249 TUT262147:TUT262249 UEP262147:UEP262249 UOL262147:UOL262249 UYH262147:UYH262249 VID262147:VID262249 VRZ262147:VRZ262249 WBV262147:WBV262249 WLR262147:WLR262249 WVN262147:WVN262249 F327683:F327785 JB327683:JB327785 SX327683:SX327785 ACT327683:ACT327785 AMP327683:AMP327785 AWL327683:AWL327785 BGH327683:BGH327785 BQD327683:BQD327785 BZZ327683:BZZ327785 CJV327683:CJV327785 CTR327683:CTR327785 DDN327683:DDN327785 DNJ327683:DNJ327785 DXF327683:DXF327785 EHB327683:EHB327785 EQX327683:EQX327785 FAT327683:FAT327785 FKP327683:FKP327785 FUL327683:FUL327785 GEH327683:GEH327785 GOD327683:GOD327785 GXZ327683:GXZ327785 HHV327683:HHV327785 HRR327683:HRR327785 IBN327683:IBN327785 ILJ327683:ILJ327785 IVF327683:IVF327785 JFB327683:JFB327785 JOX327683:JOX327785 JYT327683:JYT327785 KIP327683:KIP327785 KSL327683:KSL327785 LCH327683:LCH327785 LMD327683:LMD327785 LVZ327683:LVZ327785 MFV327683:MFV327785 MPR327683:MPR327785 MZN327683:MZN327785 NJJ327683:NJJ327785 NTF327683:NTF327785 ODB327683:ODB327785 OMX327683:OMX327785 OWT327683:OWT327785 PGP327683:PGP327785 PQL327683:PQL327785 QAH327683:QAH327785 QKD327683:QKD327785 QTZ327683:QTZ327785 RDV327683:RDV327785 RNR327683:RNR327785 RXN327683:RXN327785 SHJ327683:SHJ327785 SRF327683:SRF327785 TBB327683:TBB327785 TKX327683:TKX327785 TUT327683:TUT327785 UEP327683:UEP327785 UOL327683:UOL327785 UYH327683:UYH327785 VID327683:VID327785 VRZ327683:VRZ327785 WBV327683:WBV327785 WLR327683:WLR327785 WVN327683:WVN327785 F393219:F393321 JB393219:JB393321 SX393219:SX393321 ACT393219:ACT393321 AMP393219:AMP393321 AWL393219:AWL393321 BGH393219:BGH393321 BQD393219:BQD393321 BZZ393219:BZZ393321 CJV393219:CJV393321 CTR393219:CTR393321 DDN393219:DDN393321 DNJ393219:DNJ393321 DXF393219:DXF393321 EHB393219:EHB393321 EQX393219:EQX393321 FAT393219:FAT393321 FKP393219:FKP393321 FUL393219:FUL393321 GEH393219:GEH393321 GOD393219:GOD393321 GXZ393219:GXZ393321 HHV393219:HHV393321 HRR393219:HRR393321 IBN393219:IBN393321 ILJ393219:ILJ393321 IVF393219:IVF393321 JFB393219:JFB393321 JOX393219:JOX393321 JYT393219:JYT393321 KIP393219:KIP393321 KSL393219:KSL393321 LCH393219:LCH393321 LMD393219:LMD393321 LVZ393219:LVZ393321 MFV393219:MFV393321 MPR393219:MPR393321 MZN393219:MZN393321 NJJ393219:NJJ393321 NTF393219:NTF393321 ODB393219:ODB393321 OMX393219:OMX393321 OWT393219:OWT393321 PGP393219:PGP393321 PQL393219:PQL393321 QAH393219:QAH393321 QKD393219:QKD393321 QTZ393219:QTZ393321 RDV393219:RDV393321 RNR393219:RNR393321 RXN393219:RXN393321 SHJ393219:SHJ393321 SRF393219:SRF393321 TBB393219:TBB393321 TKX393219:TKX393321 TUT393219:TUT393321 UEP393219:UEP393321 UOL393219:UOL393321 UYH393219:UYH393321 VID393219:VID393321 VRZ393219:VRZ393321 WBV393219:WBV393321 WLR393219:WLR393321 WVN393219:WVN393321 F458755:F458857 JB458755:JB458857 SX458755:SX458857 ACT458755:ACT458857 AMP458755:AMP458857 AWL458755:AWL458857 BGH458755:BGH458857 BQD458755:BQD458857 BZZ458755:BZZ458857 CJV458755:CJV458857 CTR458755:CTR458857 DDN458755:DDN458857 DNJ458755:DNJ458857 DXF458755:DXF458857 EHB458755:EHB458857 EQX458755:EQX458857 FAT458755:FAT458857 FKP458755:FKP458857 FUL458755:FUL458857 GEH458755:GEH458857 GOD458755:GOD458857 GXZ458755:GXZ458857 HHV458755:HHV458857 HRR458755:HRR458857 IBN458755:IBN458857 ILJ458755:ILJ458857 IVF458755:IVF458857 JFB458755:JFB458857 JOX458755:JOX458857 JYT458755:JYT458857 KIP458755:KIP458857 KSL458755:KSL458857 LCH458755:LCH458857 LMD458755:LMD458857 LVZ458755:LVZ458857 MFV458755:MFV458857 MPR458755:MPR458857 MZN458755:MZN458857 NJJ458755:NJJ458857 NTF458755:NTF458857 ODB458755:ODB458857 OMX458755:OMX458857 OWT458755:OWT458857 PGP458755:PGP458857 PQL458755:PQL458857 QAH458755:QAH458857 QKD458755:QKD458857 QTZ458755:QTZ458857 RDV458755:RDV458857 RNR458755:RNR458857 RXN458755:RXN458857 SHJ458755:SHJ458857 SRF458755:SRF458857 TBB458755:TBB458857 TKX458755:TKX458857 TUT458755:TUT458857 UEP458755:UEP458857 UOL458755:UOL458857 UYH458755:UYH458857 VID458755:VID458857 VRZ458755:VRZ458857 WBV458755:WBV458857 WLR458755:WLR458857 WVN458755:WVN458857 F524291:F524393 JB524291:JB524393 SX524291:SX524393 ACT524291:ACT524393 AMP524291:AMP524393 AWL524291:AWL524393 BGH524291:BGH524393 BQD524291:BQD524393 BZZ524291:BZZ524393 CJV524291:CJV524393 CTR524291:CTR524393 DDN524291:DDN524393 DNJ524291:DNJ524393 DXF524291:DXF524393 EHB524291:EHB524393 EQX524291:EQX524393 FAT524291:FAT524393 FKP524291:FKP524393 FUL524291:FUL524393 GEH524291:GEH524393 GOD524291:GOD524393 GXZ524291:GXZ524393 HHV524291:HHV524393 HRR524291:HRR524393 IBN524291:IBN524393 ILJ524291:ILJ524393 IVF524291:IVF524393 JFB524291:JFB524393 JOX524291:JOX524393 JYT524291:JYT524393 KIP524291:KIP524393 KSL524291:KSL524393 LCH524291:LCH524393 LMD524291:LMD524393 LVZ524291:LVZ524393 MFV524291:MFV524393 MPR524291:MPR524393 MZN524291:MZN524393 NJJ524291:NJJ524393 NTF524291:NTF524393 ODB524291:ODB524393 OMX524291:OMX524393 OWT524291:OWT524393 PGP524291:PGP524393 PQL524291:PQL524393 QAH524291:QAH524393 QKD524291:QKD524393 QTZ524291:QTZ524393 RDV524291:RDV524393 RNR524291:RNR524393 RXN524291:RXN524393 SHJ524291:SHJ524393 SRF524291:SRF524393 TBB524291:TBB524393 TKX524291:TKX524393 TUT524291:TUT524393 UEP524291:UEP524393 UOL524291:UOL524393 UYH524291:UYH524393 VID524291:VID524393 VRZ524291:VRZ524393 WBV524291:WBV524393 WLR524291:WLR524393 WVN524291:WVN524393 F589827:F589929 JB589827:JB589929 SX589827:SX589929 ACT589827:ACT589929 AMP589827:AMP589929 AWL589827:AWL589929 BGH589827:BGH589929 BQD589827:BQD589929 BZZ589827:BZZ589929 CJV589827:CJV589929 CTR589827:CTR589929 DDN589827:DDN589929 DNJ589827:DNJ589929 DXF589827:DXF589929 EHB589827:EHB589929 EQX589827:EQX589929 FAT589827:FAT589929 FKP589827:FKP589929 FUL589827:FUL589929 GEH589827:GEH589929 GOD589827:GOD589929 GXZ589827:GXZ589929 HHV589827:HHV589929 HRR589827:HRR589929 IBN589827:IBN589929 ILJ589827:ILJ589929 IVF589827:IVF589929 JFB589827:JFB589929 JOX589827:JOX589929 JYT589827:JYT589929 KIP589827:KIP589929 KSL589827:KSL589929 LCH589827:LCH589929 LMD589827:LMD589929 LVZ589827:LVZ589929 MFV589827:MFV589929 MPR589827:MPR589929 MZN589827:MZN589929 NJJ589827:NJJ589929 NTF589827:NTF589929 ODB589827:ODB589929 OMX589827:OMX589929 OWT589827:OWT589929 PGP589827:PGP589929 PQL589827:PQL589929 QAH589827:QAH589929 QKD589827:QKD589929 QTZ589827:QTZ589929 RDV589827:RDV589929 RNR589827:RNR589929 RXN589827:RXN589929 SHJ589827:SHJ589929 SRF589827:SRF589929 TBB589827:TBB589929 TKX589827:TKX589929 TUT589827:TUT589929 UEP589827:UEP589929 UOL589827:UOL589929 UYH589827:UYH589929 VID589827:VID589929 VRZ589827:VRZ589929 WBV589827:WBV589929 WLR589827:WLR589929 WVN589827:WVN589929 F655363:F655465 JB655363:JB655465 SX655363:SX655465 ACT655363:ACT655465 AMP655363:AMP655465 AWL655363:AWL655465 BGH655363:BGH655465 BQD655363:BQD655465 BZZ655363:BZZ655465 CJV655363:CJV655465 CTR655363:CTR655465 DDN655363:DDN655465 DNJ655363:DNJ655465 DXF655363:DXF655465 EHB655363:EHB655465 EQX655363:EQX655465 FAT655363:FAT655465 FKP655363:FKP655465 FUL655363:FUL655465 GEH655363:GEH655465 GOD655363:GOD655465 GXZ655363:GXZ655465 HHV655363:HHV655465 HRR655363:HRR655465 IBN655363:IBN655465 ILJ655363:ILJ655465 IVF655363:IVF655465 JFB655363:JFB655465 JOX655363:JOX655465 JYT655363:JYT655465 KIP655363:KIP655465 KSL655363:KSL655465 LCH655363:LCH655465 LMD655363:LMD655465 LVZ655363:LVZ655465 MFV655363:MFV655465 MPR655363:MPR655465 MZN655363:MZN655465 NJJ655363:NJJ655465 NTF655363:NTF655465 ODB655363:ODB655465 OMX655363:OMX655465 OWT655363:OWT655465 PGP655363:PGP655465 PQL655363:PQL655465 QAH655363:QAH655465 QKD655363:QKD655465 QTZ655363:QTZ655465 RDV655363:RDV655465 RNR655363:RNR655465 RXN655363:RXN655465 SHJ655363:SHJ655465 SRF655363:SRF655465 TBB655363:TBB655465 TKX655363:TKX655465 TUT655363:TUT655465 UEP655363:UEP655465 UOL655363:UOL655465 UYH655363:UYH655465 VID655363:VID655465 VRZ655363:VRZ655465 WBV655363:WBV655465 WLR655363:WLR655465 WVN655363:WVN655465 F720899:F721001 JB720899:JB721001 SX720899:SX721001 ACT720899:ACT721001 AMP720899:AMP721001 AWL720899:AWL721001 BGH720899:BGH721001 BQD720899:BQD721001 BZZ720899:BZZ721001 CJV720899:CJV721001 CTR720899:CTR721001 DDN720899:DDN721001 DNJ720899:DNJ721001 DXF720899:DXF721001 EHB720899:EHB721001 EQX720899:EQX721001 FAT720899:FAT721001 FKP720899:FKP721001 FUL720899:FUL721001 GEH720899:GEH721001 GOD720899:GOD721001 GXZ720899:GXZ721001 HHV720899:HHV721001 HRR720899:HRR721001 IBN720899:IBN721001 ILJ720899:ILJ721001 IVF720899:IVF721001 JFB720899:JFB721001 JOX720899:JOX721001 JYT720899:JYT721001 KIP720899:KIP721001 KSL720899:KSL721001 LCH720899:LCH721001 LMD720899:LMD721001 LVZ720899:LVZ721001 MFV720899:MFV721001 MPR720899:MPR721001 MZN720899:MZN721001 NJJ720899:NJJ721001 NTF720899:NTF721001 ODB720899:ODB721001 OMX720899:OMX721001 OWT720899:OWT721001 PGP720899:PGP721001 PQL720899:PQL721001 QAH720899:QAH721001 QKD720899:QKD721001 QTZ720899:QTZ721001 RDV720899:RDV721001 RNR720899:RNR721001 RXN720899:RXN721001 SHJ720899:SHJ721001 SRF720899:SRF721001 TBB720899:TBB721001 TKX720899:TKX721001 TUT720899:TUT721001 UEP720899:UEP721001 UOL720899:UOL721001 UYH720899:UYH721001 VID720899:VID721001 VRZ720899:VRZ721001 WBV720899:WBV721001 WLR720899:WLR721001 WVN720899:WVN721001 F786435:F786537 JB786435:JB786537 SX786435:SX786537 ACT786435:ACT786537 AMP786435:AMP786537 AWL786435:AWL786537 BGH786435:BGH786537 BQD786435:BQD786537 BZZ786435:BZZ786537 CJV786435:CJV786537 CTR786435:CTR786537 DDN786435:DDN786537 DNJ786435:DNJ786537 DXF786435:DXF786537 EHB786435:EHB786537 EQX786435:EQX786537 FAT786435:FAT786537 FKP786435:FKP786537 FUL786435:FUL786537 GEH786435:GEH786537 GOD786435:GOD786537 GXZ786435:GXZ786537 HHV786435:HHV786537 HRR786435:HRR786537 IBN786435:IBN786537 ILJ786435:ILJ786537 IVF786435:IVF786537 JFB786435:JFB786537 JOX786435:JOX786537 JYT786435:JYT786537 KIP786435:KIP786537 KSL786435:KSL786537 LCH786435:LCH786537 LMD786435:LMD786537 LVZ786435:LVZ786537 MFV786435:MFV786537 MPR786435:MPR786537 MZN786435:MZN786537 NJJ786435:NJJ786537 NTF786435:NTF786537 ODB786435:ODB786537 OMX786435:OMX786537 OWT786435:OWT786537 PGP786435:PGP786537 PQL786435:PQL786537 QAH786435:QAH786537 QKD786435:QKD786537 QTZ786435:QTZ786537 RDV786435:RDV786537 RNR786435:RNR786537 RXN786435:RXN786537 SHJ786435:SHJ786537 SRF786435:SRF786537 TBB786435:TBB786537 TKX786435:TKX786537 TUT786435:TUT786537 UEP786435:UEP786537 UOL786435:UOL786537 UYH786435:UYH786537 VID786435:VID786537 VRZ786435:VRZ786537 WBV786435:WBV786537 WLR786435:WLR786537 WVN786435:WVN786537 F851971:F852073 JB851971:JB852073 SX851971:SX852073 ACT851971:ACT852073 AMP851971:AMP852073 AWL851971:AWL852073 BGH851971:BGH852073 BQD851971:BQD852073 BZZ851971:BZZ852073 CJV851971:CJV852073 CTR851971:CTR852073 DDN851971:DDN852073 DNJ851971:DNJ852073 DXF851971:DXF852073 EHB851971:EHB852073 EQX851971:EQX852073 FAT851971:FAT852073 FKP851971:FKP852073 FUL851971:FUL852073 GEH851971:GEH852073 GOD851971:GOD852073 GXZ851971:GXZ852073 HHV851971:HHV852073 HRR851971:HRR852073 IBN851971:IBN852073 ILJ851971:ILJ852073 IVF851971:IVF852073 JFB851971:JFB852073 JOX851971:JOX852073 JYT851971:JYT852073 KIP851971:KIP852073 KSL851971:KSL852073 LCH851971:LCH852073 LMD851971:LMD852073 LVZ851971:LVZ852073 MFV851971:MFV852073 MPR851971:MPR852073 MZN851971:MZN852073 NJJ851971:NJJ852073 NTF851971:NTF852073 ODB851971:ODB852073 OMX851971:OMX852073 OWT851971:OWT852073 PGP851971:PGP852073 PQL851971:PQL852073 QAH851971:QAH852073 QKD851971:QKD852073 QTZ851971:QTZ852073 RDV851971:RDV852073 RNR851971:RNR852073 RXN851971:RXN852073 SHJ851971:SHJ852073 SRF851971:SRF852073 TBB851971:TBB852073 TKX851971:TKX852073 TUT851971:TUT852073 UEP851971:UEP852073 UOL851971:UOL852073 UYH851971:UYH852073 VID851971:VID852073 VRZ851971:VRZ852073 WBV851971:WBV852073 WLR851971:WLR852073 WVN851971:WVN852073 F917507:F917609 JB917507:JB917609 SX917507:SX917609 ACT917507:ACT917609 AMP917507:AMP917609 AWL917507:AWL917609 BGH917507:BGH917609 BQD917507:BQD917609 BZZ917507:BZZ917609 CJV917507:CJV917609 CTR917507:CTR917609 DDN917507:DDN917609 DNJ917507:DNJ917609 DXF917507:DXF917609 EHB917507:EHB917609 EQX917507:EQX917609 FAT917507:FAT917609 FKP917507:FKP917609 FUL917507:FUL917609 GEH917507:GEH917609 GOD917507:GOD917609 GXZ917507:GXZ917609 HHV917507:HHV917609 HRR917507:HRR917609 IBN917507:IBN917609 ILJ917507:ILJ917609 IVF917507:IVF917609 JFB917507:JFB917609 JOX917507:JOX917609 JYT917507:JYT917609 KIP917507:KIP917609 KSL917507:KSL917609 LCH917507:LCH917609 LMD917507:LMD917609 LVZ917507:LVZ917609 MFV917507:MFV917609 MPR917507:MPR917609 MZN917507:MZN917609 NJJ917507:NJJ917609 NTF917507:NTF917609 ODB917507:ODB917609 OMX917507:OMX917609 OWT917507:OWT917609 PGP917507:PGP917609 PQL917507:PQL917609 QAH917507:QAH917609 QKD917507:QKD917609 QTZ917507:QTZ917609 RDV917507:RDV917609 RNR917507:RNR917609 RXN917507:RXN917609 SHJ917507:SHJ917609 SRF917507:SRF917609 TBB917507:TBB917609 TKX917507:TKX917609 TUT917507:TUT917609 UEP917507:UEP917609 UOL917507:UOL917609 UYH917507:UYH917609 VID917507:VID917609 VRZ917507:VRZ917609 WBV917507:WBV917609 WLR917507:WLR917609 WVN917507:WVN917609 F983043:F983145 JB983043:JB983145 SX983043:SX983145 ACT983043:ACT983145 AMP983043:AMP983145 AWL983043:AWL983145 BGH983043:BGH983145 BQD983043:BQD983145 BZZ983043:BZZ983145 CJV983043:CJV983145 CTR983043:CTR983145 DDN983043:DDN983145 DNJ983043:DNJ983145 DXF983043:DXF983145 EHB983043:EHB983145 EQX983043:EQX983145 FAT983043:FAT983145 FKP983043:FKP983145 FUL983043:FUL983145 GEH983043:GEH983145 GOD983043:GOD983145 GXZ983043:GXZ983145 HHV983043:HHV983145 HRR983043:HRR983145 IBN983043:IBN983145 ILJ983043:ILJ983145 IVF983043:IVF983145 JFB983043:JFB983145 JOX983043:JOX983145 JYT983043:JYT983145 KIP983043:KIP983145 KSL983043:KSL983145 LCH983043:LCH983145 LMD983043:LMD983145 LVZ983043:LVZ983145 MFV983043:MFV983145 MPR983043:MPR983145 MZN983043:MZN983145 NJJ983043:NJJ983145 NTF983043:NTF983145 ODB983043:ODB983145 OMX983043:OMX983145 OWT983043:OWT983145 PGP983043:PGP983145 PQL983043:PQL983145 QAH983043:QAH983145 QKD983043:QKD983145 QTZ983043:QTZ983145 RDV983043:RDV983145 RNR983043:RNR983145 RXN983043:RXN983145 SHJ983043:SHJ983145 SRF983043:SRF983145 TBB983043:TBB983145 TKX983043:TKX983145 TUT983043:TUT983145 UEP983043:UEP983145 UOL983043:UOL983145 UYH983043:UYH983145 VID983043:VID983145 VRZ983043:VRZ983145 WBV983043:WBV983145 WLR983043:WLR983145 F74:F105" xr:uid="{997362D3-25DE-46EC-8C5E-2E4C1496D55A}">
      <formula1>0</formula1>
      <formula2>0</formula2>
    </dataValidation>
    <dataValidation type="decimal" operator="greaterThanOrEqual" allowBlank="1" showInputMessage="1" showErrorMessage="1" error="Please Enter Valid Gross Qty" prompt="Please Enter Numeric Value" sqref="I2:I105 JE2:JE105 TA2:TA105 ACW2:ACW105 AMS2:AMS105 AWO2:AWO105 BGK2:BGK105 BQG2:BQG105 CAC2:CAC105 CJY2:CJY105 CTU2:CTU105 DDQ2:DDQ105 DNM2:DNM105 DXI2:DXI105 EHE2:EHE105 ERA2:ERA105 FAW2:FAW105 FKS2:FKS105 FUO2:FUO105 GEK2:GEK105 GOG2:GOG105 GYC2:GYC105 HHY2:HHY105 HRU2:HRU105 IBQ2:IBQ105 ILM2:ILM105 IVI2:IVI105 JFE2:JFE105 JPA2:JPA105 JYW2:JYW105 KIS2:KIS105 KSO2:KSO105 LCK2:LCK105 LMG2:LMG105 LWC2:LWC105 MFY2:MFY105 MPU2:MPU105 MZQ2:MZQ105 NJM2:NJM105 NTI2:NTI105 ODE2:ODE105 ONA2:ONA105 OWW2:OWW105 PGS2:PGS105 PQO2:PQO105 QAK2:QAK105 QKG2:QKG105 QUC2:QUC105 RDY2:RDY105 RNU2:RNU105 RXQ2:RXQ105 SHM2:SHM105 SRI2:SRI105 TBE2:TBE105 TLA2:TLA105 TUW2:TUW105 UES2:UES105 UOO2:UOO105 UYK2:UYK105 VIG2:VIG105 VSC2:VSC105 WBY2:WBY105 WLU2:WLU105 WVQ2:WVQ105 I65538:I65641 JE65538:JE65641 TA65538:TA65641 ACW65538:ACW65641 AMS65538:AMS65641 AWO65538:AWO65641 BGK65538:BGK65641 BQG65538:BQG65641 CAC65538:CAC65641 CJY65538:CJY65641 CTU65538:CTU65641 DDQ65538:DDQ65641 DNM65538:DNM65641 DXI65538:DXI65641 EHE65538:EHE65641 ERA65538:ERA65641 FAW65538:FAW65641 FKS65538:FKS65641 FUO65538:FUO65641 GEK65538:GEK65641 GOG65538:GOG65641 GYC65538:GYC65641 HHY65538:HHY65641 HRU65538:HRU65641 IBQ65538:IBQ65641 ILM65538:ILM65641 IVI65538:IVI65641 JFE65538:JFE65641 JPA65538:JPA65641 JYW65538:JYW65641 KIS65538:KIS65641 KSO65538:KSO65641 LCK65538:LCK65641 LMG65538:LMG65641 LWC65538:LWC65641 MFY65538:MFY65641 MPU65538:MPU65641 MZQ65538:MZQ65641 NJM65538:NJM65641 NTI65538:NTI65641 ODE65538:ODE65641 ONA65538:ONA65641 OWW65538:OWW65641 PGS65538:PGS65641 PQO65538:PQO65641 QAK65538:QAK65641 QKG65538:QKG65641 QUC65538:QUC65641 RDY65538:RDY65641 RNU65538:RNU65641 RXQ65538:RXQ65641 SHM65538:SHM65641 SRI65538:SRI65641 TBE65538:TBE65641 TLA65538:TLA65641 TUW65538:TUW65641 UES65538:UES65641 UOO65538:UOO65641 UYK65538:UYK65641 VIG65538:VIG65641 VSC65538:VSC65641 WBY65538:WBY65641 WLU65538:WLU65641 WVQ65538:WVQ65641 I131074:I131177 JE131074:JE131177 TA131074:TA131177 ACW131074:ACW131177 AMS131074:AMS131177 AWO131074:AWO131177 BGK131074:BGK131177 BQG131074:BQG131177 CAC131074:CAC131177 CJY131074:CJY131177 CTU131074:CTU131177 DDQ131074:DDQ131177 DNM131074:DNM131177 DXI131074:DXI131177 EHE131074:EHE131177 ERA131074:ERA131177 FAW131074:FAW131177 FKS131074:FKS131177 FUO131074:FUO131177 GEK131074:GEK131177 GOG131074:GOG131177 GYC131074:GYC131177 HHY131074:HHY131177 HRU131074:HRU131177 IBQ131074:IBQ131177 ILM131074:ILM131177 IVI131074:IVI131177 JFE131074:JFE131177 JPA131074:JPA131177 JYW131074:JYW131177 KIS131074:KIS131177 KSO131074:KSO131177 LCK131074:LCK131177 LMG131074:LMG131177 LWC131074:LWC131177 MFY131074:MFY131177 MPU131074:MPU131177 MZQ131074:MZQ131177 NJM131074:NJM131177 NTI131074:NTI131177 ODE131074:ODE131177 ONA131074:ONA131177 OWW131074:OWW131177 PGS131074:PGS131177 PQO131074:PQO131177 QAK131074:QAK131177 QKG131074:QKG131177 QUC131074:QUC131177 RDY131074:RDY131177 RNU131074:RNU131177 RXQ131074:RXQ131177 SHM131074:SHM131177 SRI131074:SRI131177 TBE131074:TBE131177 TLA131074:TLA131177 TUW131074:TUW131177 UES131074:UES131177 UOO131074:UOO131177 UYK131074:UYK131177 VIG131074:VIG131177 VSC131074:VSC131177 WBY131074:WBY131177 WLU131074:WLU131177 WVQ131074:WVQ131177 I196610:I196713 JE196610:JE196713 TA196610:TA196713 ACW196610:ACW196713 AMS196610:AMS196713 AWO196610:AWO196713 BGK196610:BGK196713 BQG196610:BQG196713 CAC196610:CAC196713 CJY196610:CJY196713 CTU196610:CTU196713 DDQ196610:DDQ196713 DNM196610:DNM196713 DXI196610:DXI196713 EHE196610:EHE196713 ERA196610:ERA196713 FAW196610:FAW196713 FKS196610:FKS196713 FUO196610:FUO196713 GEK196610:GEK196713 GOG196610:GOG196713 GYC196610:GYC196713 HHY196610:HHY196713 HRU196610:HRU196713 IBQ196610:IBQ196713 ILM196610:ILM196713 IVI196610:IVI196713 JFE196610:JFE196713 JPA196610:JPA196713 JYW196610:JYW196713 KIS196610:KIS196713 KSO196610:KSO196713 LCK196610:LCK196713 LMG196610:LMG196713 LWC196610:LWC196713 MFY196610:MFY196713 MPU196610:MPU196713 MZQ196610:MZQ196713 NJM196610:NJM196713 NTI196610:NTI196713 ODE196610:ODE196713 ONA196610:ONA196713 OWW196610:OWW196713 PGS196610:PGS196713 PQO196610:PQO196713 QAK196610:QAK196713 QKG196610:QKG196713 QUC196610:QUC196713 RDY196610:RDY196713 RNU196610:RNU196713 RXQ196610:RXQ196713 SHM196610:SHM196713 SRI196610:SRI196713 TBE196610:TBE196713 TLA196610:TLA196713 TUW196610:TUW196713 UES196610:UES196713 UOO196610:UOO196713 UYK196610:UYK196713 VIG196610:VIG196713 VSC196610:VSC196713 WBY196610:WBY196713 WLU196610:WLU196713 WVQ196610:WVQ196713 I262146:I262249 JE262146:JE262249 TA262146:TA262249 ACW262146:ACW262249 AMS262146:AMS262249 AWO262146:AWO262249 BGK262146:BGK262249 BQG262146:BQG262249 CAC262146:CAC262249 CJY262146:CJY262249 CTU262146:CTU262249 DDQ262146:DDQ262249 DNM262146:DNM262249 DXI262146:DXI262249 EHE262146:EHE262249 ERA262146:ERA262249 FAW262146:FAW262249 FKS262146:FKS262249 FUO262146:FUO262249 GEK262146:GEK262249 GOG262146:GOG262249 GYC262146:GYC262249 HHY262146:HHY262249 HRU262146:HRU262249 IBQ262146:IBQ262249 ILM262146:ILM262249 IVI262146:IVI262249 JFE262146:JFE262249 JPA262146:JPA262249 JYW262146:JYW262249 KIS262146:KIS262249 KSO262146:KSO262249 LCK262146:LCK262249 LMG262146:LMG262249 LWC262146:LWC262249 MFY262146:MFY262249 MPU262146:MPU262249 MZQ262146:MZQ262249 NJM262146:NJM262249 NTI262146:NTI262249 ODE262146:ODE262249 ONA262146:ONA262249 OWW262146:OWW262249 PGS262146:PGS262249 PQO262146:PQO262249 QAK262146:QAK262249 QKG262146:QKG262249 QUC262146:QUC262249 RDY262146:RDY262249 RNU262146:RNU262249 RXQ262146:RXQ262249 SHM262146:SHM262249 SRI262146:SRI262249 TBE262146:TBE262249 TLA262146:TLA262249 TUW262146:TUW262249 UES262146:UES262249 UOO262146:UOO262249 UYK262146:UYK262249 VIG262146:VIG262249 VSC262146:VSC262249 WBY262146:WBY262249 WLU262146:WLU262249 WVQ262146:WVQ262249 I327682:I327785 JE327682:JE327785 TA327682:TA327785 ACW327682:ACW327785 AMS327682:AMS327785 AWO327682:AWO327785 BGK327682:BGK327785 BQG327682:BQG327785 CAC327682:CAC327785 CJY327682:CJY327785 CTU327682:CTU327785 DDQ327682:DDQ327785 DNM327682:DNM327785 DXI327682:DXI327785 EHE327682:EHE327785 ERA327682:ERA327785 FAW327682:FAW327785 FKS327682:FKS327785 FUO327682:FUO327785 GEK327682:GEK327785 GOG327682:GOG327785 GYC327682:GYC327785 HHY327682:HHY327785 HRU327682:HRU327785 IBQ327682:IBQ327785 ILM327682:ILM327785 IVI327682:IVI327785 JFE327682:JFE327785 JPA327682:JPA327785 JYW327682:JYW327785 KIS327682:KIS327785 KSO327682:KSO327785 LCK327682:LCK327785 LMG327682:LMG327785 LWC327682:LWC327785 MFY327682:MFY327785 MPU327682:MPU327785 MZQ327682:MZQ327785 NJM327682:NJM327785 NTI327682:NTI327785 ODE327682:ODE327785 ONA327682:ONA327785 OWW327682:OWW327785 PGS327682:PGS327785 PQO327682:PQO327785 QAK327682:QAK327785 QKG327682:QKG327785 QUC327682:QUC327785 RDY327682:RDY327785 RNU327682:RNU327785 RXQ327682:RXQ327785 SHM327682:SHM327785 SRI327682:SRI327785 TBE327682:TBE327785 TLA327682:TLA327785 TUW327682:TUW327785 UES327682:UES327785 UOO327682:UOO327785 UYK327682:UYK327785 VIG327682:VIG327785 VSC327682:VSC327785 WBY327682:WBY327785 WLU327682:WLU327785 WVQ327682:WVQ327785 I393218:I393321 JE393218:JE393321 TA393218:TA393321 ACW393218:ACW393321 AMS393218:AMS393321 AWO393218:AWO393321 BGK393218:BGK393321 BQG393218:BQG393321 CAC393218:CAC393321 CJY393218:CJY393321 CTU393218:CTU393321 DDQ393218:DDQ393321 DNM393218:DNM393321 DXI393218:DXI393321 EHE393218:EHE393321 ERA393218:ERA393321 FAW393218:FAW393321 FKS393218:FKS393321 FUO393218:FUO393321 GEK393218:GEK393321 GOG393218:GOG393321 GYC393218:GYC393321 HHY393218:HHY393321 HRU393218:HRU393321 IBQ393218:IBQ393321 ILM393218:ILM393321 IVI393218:IVI393321 JFE393218:JFE393321 JPA393218:JPA393321 JYW393218:JYW393321 KIS393218:KIS393321 KSO393218:KSO393321 LCK393218:LCK393321 LMG393218:LMG393321 LWC393218:LWC393321 MFY393218:MFY393321 MPU393218:MPU393321 MZQ393218:MZQ393321 NJM393218:NJM393321 NTI393218:NTI393321 ODE393218:ODE393321 ONA393218:ONA393321 OWW393218:OWW393321 PGS393218:PGS393321 PQO393218:PQO393321 QAK393218:QAK393321 QKG393218:QKG393321 QUC393218:QUC393321 RDY393218:RDY393321 RNU393218:RNU393321 RXQ393218:RXQ393321 SHM393218:SHM393321 SRI393218:SRI393321 TBE393218:TBE393321 TLA393218:TLA393321 TUW393218:TUW393321 UES393218:UES393321 UOO393218:UOO393321 UYK393218:UYK393321 VIG393218:VIG393321 VSC393218:VSC393321 WBY393218:WBY393321 WLU393218:WLU393321 WVQ393218:WVQ393321 I458754:I458857 JE458754:JE458857 TA458754:TA458857 ACW458754:ACW458857 AMS458754:AMS458857 AWO458754:AWO458857 BGK458754:BGK458857 BQG458754:BQG458857 CAC458754:CAC458857 CJY458754:CJY458857 CTU458754:CTU458857 DDQ458754:DDQ458857 DNM458754:DNM458857 DXI458754:DXI458857 EHE458754:EHE458857 ERA458754:ERA458857 FAW458754:FAW458857 FKS458754:FKS458857 FUO458754:FUO458857 GEK458754:GEK458857 GOG458754:GOG458857 GYC458754:GYC458857 HHY458754:HHY458857 HRU458754:HRU458857 IBQ458754:IBQ458857 ILM458754:ILM458857 IVI458754:IVI458857 JFE458754:JFE458857 JPA458754:JPA458857 JYW458754:JYW458857 KIS458754:KIS458857 KSO458754:KSO458857 LCK458754:LCK458857 LMG458754:LMG458857 LWC458754:LWC458857 MFY458754:MFY458857 MPU458754:MPU458857 MZQ458754:MZQ458857 NJM458754:NJM458857 NTI458754:NTI458857 ODE458754:ODE458857 ONA458754:ONA458857 OWW458754:OWW458857 PGS458754:PGS458857 PQO458754:PQO458857 QAK458754:QAK458857 QKG458754:QKG458857 QUC458754:QUC458857 RDY458754:RDY458857 RNU458754:RNU458857 RXQ458754:RXQ458857 SHM458754:SHM458857 SRI458754:SRI458857 TBE458754:TBE458857 TLA458754:TLA458857 TUW458754:TUW458857 UES458754:UES458857 UOO458754:UOO458857 UYK458754:UYK458857 VIG458754:VIG458857 VSC458754:VSC458857 WBY458754:WBY458857 WLU458754:WLU458857 WVQ458754:WVQ458857 I524290:I524393 JE524290:JE524393 TA524290:TA524393 ACW524290:ACW524393 AMS524290:AMS524393 AWO524290:AWO524393 BGK524290:BGK524393 BQG524290:BQG524393 CAC524290:CAC524393 CJY524290:CJY524393 CTU524290:CTU524393 DDQ524290:DDQ524393 DNM524290:DNM524393 DXI524290:DXI524393 EHE524290:EHE524393 ERA524290:ERA524393 FAW524290:FAW524393 FKS524290:FKS524393 FUO524290:FUO524393 GEK524290:GEK524393 GOG524290:GOG524393 GYC524290:GYC524393 HHY524290:HHY524393 HRU524290:HRU524393 IBQ524290:IBQ524393 ILM524290:ILM524393 IVI524290:IVI524393 JFE524290:JFE524393 JPA524290:JPA524393 JYW524290:JYW524393 KIS524290:KIS524393 KSO524290:KSO524393 LCK524290:LCK524393 LMG524290:LMG524393 LWC524290:LWC524393 MFY524290:MFY524393 MPU524290:MPU524393 MZQ524290:MZQ524393 NJM524290:NJM524393 NTI524290:NTI524393 ODE524290:ODE524393 ONA524290:ONA524393 OWW524290:OWW524393 PGS524290:PGS524393 PQO524290:PQO524393 QAK524290:QAK524393 QKG524290:QKG524393 QUC524290:QUC524393 RDY524290:RDY524393 RNU524290:RNU524393 RXQ524290:RXQ524393 SHM524290:SHM524393 SRI524290:SRI524393 TBE524290:TBE524393 TLA524290:TLA524393 TUW524290:TUW524393 UES524290:UES524393 UOO524290:UOO524393 UYK524290:UYK524393 VIG524290:VIG524393 VSC524290:VSC524393 WBY524290:WBY524393 WLU524290:WLU524393 WVQ524290:WVQ524393 I589826:I589929 JE589826:JE589929 TA589826:TA589929 ACW589826:ACW589929 AMS589826:AMS589929 AWO589826:AWO589929 BGK589826:BGK589929 BQG589826:BQG589929 CAC589826:CAC589929 CJY589826:CJY589929 CTU589826:CTU589929 DDQ589826:DDQ589929 DNM589826:DNM589929 DXI589826:DXI589929 EHE589826:EHE589929 ERA589826:ERA589929 FAW589826:FAW589929 FKS589826:FKS589929 FUO589826:FUO589929 GEK589826:GEK589929 GOG589826:GOG589929 GYC589826:GYC589929 HHY589826:HHY589929 HRU589826:HRU589929 IBQ589826:IBQ589929 ILM589826:ILM589929 IVI589826:IVI589929 JFE589826:JFE589929 JPA589826:JPA589929 JYW589826:JYW589929 KIS589826:KIS589929 KSO589826:KSO589929 LCK589826:LCK589929 LMG589826:LMG589929 LWC589826:LWC589929 MFY589826:MFY589929 MPU589826:MPU589929 MZQ589826:MZQ589929 NJM589826:NJM589929 NTI589826:NTI589929 ODE589826:ODE589929 ONA589826:ONA589929 OWW589826:OWW589929 PGS589826:PGS589929 PQO589826:PQO589929 QAK589826:QAK589929 QKG589826:QKG589929 QUC589826:QUC589929 RDY589826:RDY589929 RNU589826:RNU589929 RXQ589826:RXQ589929 SHM589826:SHM589929 SRI589826:SRI589929 TBE589826:TBE589929 TLA589826:TLA589929 TUW589826:TUW589929 UES589826:UES589929 UOO589826:UOO589929 UYK589826:UYK589929 VIG589826:VIG589929 VSC589826:VSC589929 WBY589826:WBY589929 WLU589826:WLU589929 WVQ589826:WVQ589929 I655362:I655465 JE655362:JE655465 TA655362:TA655465 ACW655362:ACW655465 AMS655362:AMS655465 AWO655362:AWO655465 BGK655362:BGK655465 BQG655362:BQG655465 CAC655362:CAC655465 CJY655362:CJY655465 CTU655362:CTU655465 DDQ655362:DDQ655465 DNM655362:DNM655465 DXI655362:DXI655465 EHE655362:EHE655465 ERA655362:ERA655465 FAW655362:FAW655465 FKS655362:FKS655465 FUO655362:FUO655465 GEK655362:GEK655465 GOG655362:GOG655465 GYC655362:GYC655465 HHY655362:HHY655465 HRU655362:HRU655465 IBQ655362:IBQ655465 ILM655362:ILM655465 IVI655362:IVI655465 JFE655362:JFE655465 JPA655362:JPA655465 JYW655362:JYW655465 KIS655362:KIS655465 KSO655362:KSO655465 LCK655362:LCK655465 LMG655362:LMG655465 LWC655362:LWC655465 MFY655362:MFY655465 MPU655362:MPU655465 MZQ655362:MZQ655465 NJM655362:NJM655465 NTI655362:NTI655465 ODE655362:ODE655465 ONA655362:ONA655465 OWW655362:OWW655465 PGS655362:PGS655465 PQO655362:PQO655465 QAK655362:QAK655465 QKG655362:QKG655465 QUC655362:QUC655465 RDY655362:RDY655465 RNU655362:RNU655465 RXQ655362:RXQ655465 SHM655362:SHM655465 SRI655362:SRI655465 TBE655362:TBE655465 TLA655362:TLA655465 TUW655362:TUW655465 UES655362:UES655465 UOO655362:UOO655465 UYK655362:UYK655465 VIG655362:VIG655465 VSC655362:VSC655465 WBY655362:WBY655465 WLU655362:WLU655465 WVQ655362:WVQ655465 I720898:I721001 JE720898:JE721001 TA720898:TA721001 ACW720898:ACW721001 AMS720898:AMS721001 AWO720898:AWO721001 BGK720898:BGK721001 BQG720898:BQG721001 CAC720898:CAC721001 CJY720898:CJY721001 CTU720898:CTU721001 DDQ720898:DDQ721001 DNM720898:DNM721001 DXI720898:DXI721001 EHE720898:EHE721001 ERA720898:ERA721001 FAW720898:FAW721001 FKS720898:FKS721001 FUO720898:FUO721001 GEK720898:GEK721001 GOG720898:GOG721001 GYC720898:GYC721001 HHY720898:HHY721001 HRU720898:HRU721001 IBQ720898:IBQ721001 ILM720898:ILM721001 IVI720898:IVI721001 JFE720898:JFE721001 JPA720898:JPA721001 JYW720898:JYW721001 KIS720898:KIS721001 KSO720898:KSO721001 LCK720898:LCK721001 LMG720898:LMG721001 LWC720898:LWC721001 MFY720898:MFY721001 MPU720898:MPU721001 MZQ720898:MZQ721001 NJM720898:NJM721001 NTI720898:NTI721001 ODE720898:ODE721001 ONA720898:ONA721001 OWW720898:OWW721001 PGS720898:PGS721001 PQO720898:PQO721001 QAK720898:QAK721001 QKG720898:QKG721001 QUC720898:QUC721001 RDY720898:RDY721001 RNU720898:RNU721001 RXQ720898:RXQ721001 SHM720898:SHM721001 SRI720898:SRI721001 TBE720898:TBE721001 TLA720898:TLA721001 TUW720898:TUW721001 UES720898:UES721001 UOO720898:UOO721001 UYK720898:UYK721001 VIG720898:VIG721001 VSC720898:VSC721001 WBY720898:WBY721001 WLU720898:WLU721001 WVQ720898:WVQ721001 I786434:I786537 JE786434:JE786537 TA786434:TA786537 ACW786434:ACW786537 AMS786434:AMS786537 AWO786434:AWO786537 BGK786434:BGK786537 BQG786434:BQG786537 CAC786434:CAC786537 CJY786434:CJY786537 CTU786434:CTU786537 DDQ786434:DDQ786537 DNM786434:DNM786537 DXI786434:DXI786537 EHE786434:EHE786537 ERA786434:ERA786537 FAW786434:FAW786537 FKS786434:FKS786537 FUO786434:FUO786537 GEK786434:GEK786537 GOG786434:GOG786537 GYC786434:GYC786537 HHY786434:HHY786537 HRU786434:HRU786537 IBQ786434:IBQ786537 ILM786434:ILM786537 IVI786434:IVI786537 JFE786434:JFE786537 JPA786434:JPA786537 JYW786434:JYW786537 KIS786434:KIS786537 KSO786434:KSO786537 LCK786434:LCK786537 LMG786434:LMG786537 LWC786434:LWC786537 MFY786434:MFY786537 MPU786434:MPU786537 MZQ786434:MZQ786537 NJM786434:NJM786537 NTI786434:NTI786537 ODE786434:ODE786537 ONA786434:ONA786537 OWW786434:OWW786537 PGS786434:PGS786537 PQO786434:PQO786537 QAK786434:QAK786537 QKG786434:QKG786537 QUC786434:QUC786537 RDY786434:RDY786537 RNU786434:RNU786537 RXQ786434:RXQ786537 SHM786434:SHM786537 SRI786434:SRI786537 TBE786434:TBE786537 TLA786434:TLA786537 TUW786434:TUW786537 UES786434:UES786537 UOO786434:UOO786537 UYK786434:UYK786537 VIG786434:VIG786537 VSC786434:VSC786537 WBY786434:WBY786537 WLU786434:WLU786537 WVQ786434:WVQ786537 I851970:I852073 JE851970:JE852073 TA851970:TA852073 ACW851970:ACW852073 AMS851970:AMS852073 AWO851970:AWO852073 BGK851970:BGK852073 BQG851970:BQG852073 CAC851970:CAC852073 CJY851970:CJY852073 CTU851970:CTU852073 DDQ851970:DDQ852073 DNM851970:DNM852073 DXI851970:DXI852073 EHE851970:EHE852073 ERA851970:ERA852073 FAW851970:FAW852073 FKS851970:FKS852073 FUO851970:FUO852073 GEK851970:GEK852073 GOG851970:GOG852073 GYC851970:GYC852073 HHY851970:HHY852073 HRU851970:HRU852073 IBQ851970:IBQ852073 ILM851970:ILM852073 IVI851970:IVI852073 JFE851970:JFE852073 JPA851970:JPA852073 JYW851970:JYW852073 KIS851970:KIS852073 KSO851970:KSO852073 LCK851970:LCK852073 LMG851970:LMG852073 LWC851970:LWC852073 MFY851970:MFY852073 MPU851970:MPU852073 MZQ851970:MZQ852073 NJM851970:NJM852073 NTI851970:NTI852073 ODE851970:ODE852073 ONA851970:ONA852073 OWW851970:OWW852073 PGS851970:PGS852073 PQO851970:PQO852073 QAK851970:QAK852073 QKG851970:QKG852073 QUC851970:QUC852073 RDY851970:RDY852073 RNU851970:RNU852073 RXQ851970:RXQ852073 SHM851970:SHM852073 SRI851970:SRI852073 TBE851970:TBE852073 TLA851970:TLA852073 TUW851970:TUW852073 UES851970:UES852073 UOO851970:UOO852073 UYK851970:UYK852073 VIG851970:VIG852073 VSC851970:VSC852073 WBY851970:WBY852073 WLU851970:WLU852073 WVQ851970:WVQ852073 I917506:I917609 JE917506:JE917609 TA917506:TA917609 ACW917506:ACW917609 AMS917506:AMS917609 AWO917506:AWO917609 BGK917506:BGK917609 BQG917506:BQG917609 CAC917506:CAC917609 CJY917506:CJY917609 CTU917506:CTU917609 DDQ917506:DDQ917609 DNM917506:DNM917609 DXI917506:DXI917609 EHE917506:EHE917609 ERA917506:ERA917609 FAW917506:FAW917609 FKS917506:FKS917609 FUO917506:FUO917609 GEK917506:GEK917609 GOG917506:GOG917609 GYC917506:GYC917609 HHY917506:HHY917609 HRU917506:HRU917609 IBQ917506:IBQ917609 ILM917506:ILM917609 IVI917506:IVI917609 JFE917506:JFE917609 JPA917506:JPA917609 JYW917506:JYW917609 KIS917506:KIS917609 KSO917506:KSO917609 LCK917506:LCK917609 LMG917506:LMG917609 LWC917506:LWC917609 MFY917506:MFY917609 MPU917506:MPU917609 MZQ917506:MZQ917609 NJM917506:NJM917609 NTI917506:NTI917609 ODE917506:ODE917609 ONA917506:ONA917609 OWW917506:OWW917609 PGS917506:PGS917609 PQO917506:PQO917609 QAK917506:QAK917609 QKG917506:QKG917609 QUC917506:QUC917609 RDY917506:RDY917609 RNU917506:RNU917609 RXQ917506:RXQ917609 SHM917506:SHM917609 SRI917506:SRI917609 TBE917506:TBE917609 TLA917506:TLA917609 TUW917506:TUW917609 UES917506:UES917609 UOO917506:UOO917609 UYK917506:UYK917609 VIG917506:VIG917609 VSC917506:VSC917609 WBY917506:WBY917609 WLU917506:WLU917609 WVQ917506:WVQ917609 I983042:I983145 JE983042:JE983145 TA983042:TA983145 ACW983042:ACW983145 AMS983042:AMS983145 AWO983042:AWO983145 BGK983042:BGK983145 BQG983042:BQG983145 CAC983042:CAC983145 CJY983042:CJY983145 CTU983042:CTU983145 DDQ983042:DDQ983145 DNM983042:DNM983145 DXI983042:DXI983145 EHE983042:EHE983145 ERA983042:ERA983145 FAW983042:FAW983145 FKS983042:FKS983145 FUO983042:FUO983145 GEK983042:GEK983145 GOG983042:GOG983145 GYC983042:GYC983145 HHY983042:HHY983145 HRU983042:HRU983145 IBQ983042:IBQ983145 ILM983042:ILM983145 IVI983042:IVI983145 JFE983042:JFE983145 JPA983042:JPA983145 JYW983042:JYW983145 KIS983042:KIS983145 KSO983042:KSO983145 LCK983042:LCK983145 LMG983042:LMG983145 LWC983042:LWC983145 MFY983042:MFY983145 MPU983042:MPU983145 MZQ983042:MZQ983145 NJM983042:NJM983145 NTI983042:NTI983145 ODE983042:ODE983145 ONA983042:ONA983145 OWW983042:OWW983145 PGS983042:PGS983145 PQO983042:PQO983145 QAK983042:QAK983145 QKG983042:QKG983145 QUC983042:QUC983145 RDY983042:RDY983145 RNU983042:RNU983145 RXQ983042:RXQ983145 SHM983042:SHM983145 SRI983042:SRI983145 TBE983042:TBE983145 TLA983042:TLA983145 TUW983042:TUW983145 UES983042:UES983145 UOO983042:UOO983145 UYK983042:UYK983145 VIG983042:VIG983145 VSC983042:VSC983145 WBY983042:WBY983145 WLU983042:WLU983145 WVQ983042:WVQ983145" xr:uid="{5E3F4E13-4420-4F56-B911-EF32E0E031A1}">
      <formula1>0</formula1>
      <formula2>0</formula2>
    </dataValidation>
    <dataValidation operator="equal" allowBlank="1" sqref="J1 JF1 TB1 ACX1 AMT1 AWP1 BGL1 BQH1 CAD1 CJZ1 CTV1 DDR1 DNN1 DXJ1 EHF1 ERB1 FAX1 FKT1 FUP1 GEL1 GOH1 GYD1 HHZ1 HRV1 IBR1 ILN1 IVJ1 JFF1 JPB1 JYX1 KIT1 KSP1 LCL1 LMH1 LWD1 MFZ1 MPV1 MZR1 NJN1 NTJ1 ODF1 ONB1 OWX1 PGT1 PQP1 QAL1 QKH1 QUD1 RDZ1 RNV1 RXR1 SHN1 SRJ1 TBF1 TLB1 TUX1 UET1 UOP1 UYL1 VIH1 VSD1 WBZ1 WLV1 WVR1 J65537 JF65537 TB65537 ACX65537 AMT65537 AWP65537 BGL65537 BQH65537 CAD65537 CJZ65537 CTV65537 DDR65537 DNN65537 DXJ65537 EHF65537 ERB65537 FAX65537 FKT65537 FUP65537 GEL65537 GOH65537 GYD65537 HHZ65537 HRV65537 IBR65537 ILN65537 IVJ65537 JFF65537 JPB65537 JYX65537 KIT65537 KSP65537 LCL65537 LMH65537 LWD65537 MFZ65537 MPV65537 MZR65537 NJN65537 NTJ65537 ODF65537 ONB65537 OWX65537 PGT65537 PQP65537 QAL65537 QKH65537 QUD65537 RDZ65537 RNV65537 RXR65537 SHN65537 SRJ65537 TBF65537 TLB65537 TUX65537 UET65537 UOP65537 UYL65537 VIH65537 VSD65537 WBZ65537 WLV65537 WVR65537 J131073 JF131073 TB131073 ACX131073 AMT131073 AWP131073 BGL131073 BQH131073 CAD131073 CJZ131073 CTV131073 DDR131073 DNN131073 DXJ131073 EHF131073 ERB131073 FAX131073 FKT131073 FUP131073 GEL131073 GOH131073 GYD131073 HHZ131073 HRV131073 IBR131073 ILN131073 IVJ131073 JFF131073 JPB131073 JYX131073 KIT131073 KSP131073 LCL131073 LMH131073 LWD131073 MFZ131073 MPV131073 MZR131073 NJN131073 NTJ131073 ODF131073 ONB131073 OWX131073 PGT131073 PQP131073 QAL131073 QKH131073 QUD131073 RDZ131073 RNV131073 RXR131073 SHN131073 SRJ131073 TBF131073 TLB131073 TUX131073 UET131073 UOP131073 UYL131073 VIH131073 VSD131073 WBZ131073 WLV131073 WVR131073 J196609 JF196609 TB196609 ACX196609 AMT196609 AWP196609 BGL196609 BQH196609 CAD196609 CJZ196609 CTV196609 DDR196609 DNN196609 DXJ196609 EHF196609 ERB196609 FAX196609 FKT196609 FUP196609 GEL196609 GOH196609 GYD196609 HHZ196609 HRV196609 IBR196609 ILN196609 IVJ196609 JFF196609 JPB196609 JYX196609 KIT196609 KSP196609 LCL196609 LMH196609 LWD196609 MFZ196609 MPV196609 MZR196609 NJN196609 NTJ196609 ODF196609 ONB196609 OWX196609 PGT196609 PQP196609 QAL196609 QKH196609 QUD196609 RDZ196609 RNV196609 RXR196609 SHN196609 SRJ196609 TBF196609 TLB196609 TUX196609 UET196609 UOP196609 UYL196609 VIH196609 VSD196609 WBZ196609 WLV196609 WVR196609 J262145 JF262145 TB262145 ACX262145 AMT262145 AWP262145 BGL262145 BQH262145 CAD262145 CJZ262145 CTV262145 DDR262145 DNN262145 DXJ262145 EHF262145 ERB262145 FAX262145 FKT262145 FUP262145 GEL262145 GOH262145 GYD262145 HHZ262145 HRV262145 IBR262145 ILN262145 IVJ262145 JFF262145 JPB262145 JYX262145 KIT262145 KSP262145 LCL262145 LMH262145 LWD262145 MFZ262145 MPV262145 MZR262145 NJN262145 NTJ262145 ODF262145 ONB262145 OWX262145 PGT262145 PQP262145 QAL262145 QKH262145 QUD262145 RDZ262145 RNV262145 RXR262145 SHN262145 SRJ262145 TBF262145 TLB262145 TUX262145 UET262145 UOP262145 UYL262145 VIH262145 VSD262145 WBZ262145 WLV262145 WVR262145 J327681 JF327681 TB327681 ACX327681 AMT327681 AWP327681 BGL327681 BQH327681 CAD327681 CJZ327681 CTV327681 DDR327681 DNN327681 DXJ327681 EHF327681 ERB327681 FAX327681 FKT327681 FUP327681 GEL327681 GOH327681 GYD327681 HHZ327681 HRV327681 IBR327681 ILN327681 IVJ327681 JFF327681 JPB327681 JYX327681 KIT327681 KSP327681 LCL327681 LMH327681 LWD327681 MFZ327681 MPV327681 MZR327681 NJN327681 NTJ327681 ODF327681 ONB327681 OWX327681 PGT327681 PQP327681 QAL327681 QKH327681 QUD327681 RDZ327681 RNV327681 RXR327681 SHN327681 SRJ327681 TBF327681 TLB327681 TUX327681 UET327681 UOP327681 UYL327681 VIH327681 VSD327681 WBZ327681 WLV327681 WVR327681 J393217 JF393217 TB393217 ACX393217 AMT393217 AWP393217 BGL393217 BQH393217 CAD393217 CJZ393217 CTV393217 DDR393217 DNN393217 DXJ393217 EHF393217 ERB393217 FAX393217 FKT393217 FUP393217 GEL393217 GOH393217 GYD393217 HHZ393217 HRV393217 IBR393217 ILN393217 IVJ393217 JFF393217 JPB393217 JYX393217 KIT393217 KSP393217 LCL393217 LMH393217 LWD393217 MFZ393217 MPV393217 MZR393217 NJN393217 NTJ393217 ODF393217 ONB393217 OWX393217 PGT393217 PQP393217 QAL393217 QKH393217 QUD393217 RDZ393217 RNV393217 RXR393217 SHN393217 SRJ393217 TBF393217 TLB393217 TUX393217 UET393217 UOP393217 UYL393217 VIH393217 VSD393217 WBZ393217 WLV393217 WVR393217 J458753 JF458753 TB458753 ACX458753 AMT458753 AWP458753 BGL458753 BQH458753 CAD458753 CJZ458753 CTV458753 DDR458753 DNN458753 DXJ458753 EHF458753 ERB458753 FAX458753 FKT458753 FUP458753 GEL458753 GOH458753 GYD458753 HHZ458753 HRV458753 IBR458753 ILN458753 IVJ458753 JFF458753 JPB458753 JYX458753 KIT458753 KSP458753 LCL458753 LMH458753 LWD458753 MFZ458753 MPV458753 MZR458753 NJN458753 NTJ458753 ODF458753 ONB458753 OWX458753 PGT458753 PQP458753 QAL458753 QKH458753 QUD458753 RDZ458753 RNV458753 RXR458753 SHN458753 SRJ458753 TBF458753 TLB458753 TUX458753 UET458753 UOP458753 UYL458753 VIH458753 VSD458753 WBZ458753 WLV458753 WVR458753 J524289 JF524289 TB524289 ACX524289 AMT524289 AWP524289 BGL524289 BQH524289 CAD524289 CJZ524289 CTV524289 DDR524289 DNN524289 DXJ524289 EHF524289 ERB524289 FAX524289 FKT524289 FUP524289 GEL524289 GOH524289 GYD524289 HHZ524289 HRV524289 IBR524289 ILN524289 IVJ524289 JFF524289 JPB524289 JYX524289 KIT524289 KSP524289 LCL524289 LMH524289 LWD524289 MFZ524289 MPV524289 MZR524289 NJN524289 NTJ524289 ODF524289 ONB524289 OWX524289 PGT524289 PQP524289 QAL524289 QKH524289 QUD524289 RDZ524289 RNV524289 RXR524289 SHN524289 SRJ524289 TBF524289 TLB524289 TUX524289 UET524289 UOP524289 UYL524289 VIH524289 VSD524289 WBZ524289 WLV524289 WVR524289 J589825 JF589825 TB589825 ACX589825 AMT589825 AWP589825 BGL589825 BQH589825 CAD589825 CJZ589825 CTV589825 DDR589825 DNN589825 DXJ589825 EHF589825 ERB589825 FAX589825 FKT589825 FUP589825 GEL589825 GOH589825 GYD589825 HHZ589825 HRV589825 IBR589825 ILN589825 IVJ589825 JFF589825 JPB589825 JYX589825 KIT589825 KSP589825 LCL589825 LMH589825 LWD589825 MFZ589825 MPV589825 MZR589825 NJN589825 NTJ589825 ODF589825 ONB589825 OWX589825 PGT589825 PQP589825 QAL589825 QKH589825 QUD589825 RDZ589825 RNV589825 RXR589825 SHN589825 SRJ589825 TBF589825 TLB589825 TUX589825 UET589825 UOP589825 UYL589825 VIH589825 VSD589825 WBZ589825 WLV589825 WVR589825 J655361 JF655361 TB655361 ACX655361 AMT655361 AWP655361 BGL655361 BQH655361 CAD655361 CJZ655361 CTV655361 DDR655361 DNN655361 DXJ655361 EHF655361 ERB655361 FAX655361 FKT655361 FUP655361 GEL655361 GOH655361 GYD655361 HHZ655361 HRV655361 IBR655361 ILN655361 IVJ655361 JFF655361 JPB655361 JYX655361 KIT655361 KSP655361 LCL655361 LMH655361 LWD655361 MFZ655361 MPV655361 MZR655361 NJN655361 NTJ655361 ODF655361 ONB655361 OWX655361 PGT655361 PQP655361 QAL655361 QKH655361 QUD655361 RDZ655361 RNV655361 RXR655361 SHN655361 SRJ655361 TBF655361 TLB655361 TUX655361 UET655361 UOP655361 UYL655361 VIH655361 VSD655361 WBZ655361 WLV655361 WVR655361 J720897 JF720897 TB720897 ACX720897 AMT720897 AWP720897 BGL720897 BQH720897 CAD720897 CJZ720897 CTV720897 DDR720897 DNN720897 DXJ720897 EHF720897 ERB720897 FAX720897 FKT720897 FUP720897 GEL720897 GOH720897 GYD720897 HHZ720897 HRV720897 IBR720897 ILN720897 IVJ720897 JFF720897 JPB720897 JYX720897 KIT720897 KSP720897 LCL720897 LMH720897 LWD720897 MFZ720897 MPV720897 MZR720897 NJN720897 NTJ720897 ODF720897 ONB720897 OWX720897 PGT720897 PQP720897 QAL720897 QKH720897 QUD720897 RDZ720897 RNV720897 RXR720897 SHN720897 SRJ720897 TBF720897 TLB720897 TUX720897 UET720897 UOP720897 UYL720897 VIH720897 VSD720897 WBZ720897 WLV720897 WVR720897 J786433 JF786433 TB786433 ACX786433 AMT786433 AWP786433 BGL786433 BQH786433 CAD786433 CJZ786433 CTV786433 DDR786433 DNN786433 DXJ786433 EHF786433 ERB786433 FAX786433 FKT786433 FUP786433 GEL786433 GOH786433 GYD786433 HHZ786433 HRV786433 IBR786433 ILN786433 IVJ786433 JFF786433 JPB786433 JYX786433 KIT786433 KSP786433 LCL786433 LMH786433 LWD786433 MFZ786433 MPV786433 MZR786433 NJN786433 NTJ786433 ODF786433 ONB786433 OWX786433 PGT786433 PQP786433 QAL786433 QKH786433 QUD786433 RDZ786433 RNV786433 RXR786433 SHN786433 SRJ786433 TBF786433 TLB786433 TUX786433 UET786433 UOP786433 UYL786433 VIH786433 VSD786433 WBZ786433 WLV786433 WVR786433 J851969 JF851969 TB851969 ACX851969 AMT851969 AWP851969 BGL851969 BQH851969 CAD851969 CJZ851969 CTV851969 DDR851969 DNN851969 DXJ851969 EHF851969 ERB851969 FAX851969 FKT851969 FUP851969 GEL851969 GOH851969 GYD851969 HHZ851969 HRV851969 IBR851969 ILN851969 IVJ851969 JFF851969 JPB851969 JYX851969 KIT851969 KSP851969 LCL851969 LMH851969 LWD851969 MFZ851969 MPV851969 MZR851969 NJN851969 NTJ851969 ODF851969 ONB851969 OWX851969 PGT851969 PQP851969 QAL851969 QKH851969 QUD851969 RDZ851969 RNV851969 RXR851969 SHN851969 SRJ851969 TBF851969 TLB851969 TUX851969 UET851969 UOP851969 UYL851969 VIH851969 VSD851969 WBZ851969 WLV851969 WVR851969 J917505 JF917505 TB917505 ACX917505 AMT917505 AWP917505 BGL917505 BQH917505 CAD917505 CJZ917505 CTV917505 DDR917505 DNN917505 DXJ917505 EHF917505 ERB917505 FAX917505 FKT917505 FUP917505 GEL917505 GOH917505 GYD917505 HHZ917505 HRV917505 IBR917505 ILN917505 IVJ917505 JFF917505 JPB917505 JYX917505 KIT917505 KSP917505 LCL917505 LMH917505 LWD917505 MFZ917505 MPV917505 MZR917505 NJN917505 NTJ917505 ODF917505 ONB917505 OWX917505 PGT917505 PQP917505 QAL917505 QKH917505 QUD917505 RDZ917505 RNV917505 RXR917505 SHN917505 SRJ917505 TBF917505 TLB917505 TUX917505 UET917505 UOP917505 UYL917505 VIH917505 VSD917505 WBZ917505 WLV917505 WVR917505 J983041 JF983041 TB983041 ACX983041 AMT983041 AWP983041 BGL983041 BQH983041 CAD983041 CJZ983041 CTV983041 DDR983041 DNN983041 DXJ983041 EHF983041 ERB983041 FAX983041 FKT983041 FUP983041 GEL983041 GOH983041 GYD983041 HHZ983041 HRV983041 IBR983041 ILN983041 IVJ983041 JFF983041 JPB983041 JYX983041 KIT983041 KSP983041 LCL983041 LMH983041 LWD983041 MFZ983041 MPV983041 MZR983041 NJN983041 NTJ983041 ODF983041 ONB983041 OWX983041 PGT983041 PQP983041 QAL983041 QKH983041 QUD983041 RDZ983041 RNV983041 RXR983041 SHN983041 SRJ983041 TBF983041 TLB983041 TUX983041 UET983041 UOP983041 UYL983041 VIH983041 VSD983041 WBZ983041 WLV983041 WVR983041" xr:uid="{FE0D411E-8261-44CE-8EA6-3DDE787B5C61}">
      <formula1>$Z$1:$Z$31</formula1>
      <formula2>0</formula2>
    </dataValidation>
    <dataValidation operator="equal" allowBlank="1" error="Please Select Valid Net Quantity UOM from Dropdown" prompt="Please Select from Dropdown" sqref="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xr:uid="{45B7D8F4-6A7A-47AE-90A1-DDCE74B3FBEE}">
      <formula1>$Z$1:$Z$31</formula1>
      <formula2>0</formula2>
    </dataValidation>
    <dataValidation operator="greaterThanOrEqual" error="Please Enter Valid Item FOB Value (In USD)" prompt="Please Enter  Numeric Value" sqref="L1:N1 JH1:JJ1 TD1:TF1 ACZ1:ADB1 AMV1:AMX1 AWR1:AWT1 BGN1:BGP1 BQJ1:BQL1 CAF1:CAH1 CKB1:CKD1 CTX1:CTZ1 DDT1:DDV1 DNP1:DNR1 DXL1:DXN1 EHH1:EHJ1 ERD1:ERF1 FAZ1:FBB1 FKV1:FKX1 FUR1:FUT1 GEN1:GEP1 GOJ1:GOL1 GYF1:GYH1 HIB1:HID1 HRX1:HRZ1 IBT1:IBV1 ILP1:ILR1 IVL1:IVN1 JFH1:JFJ1 JPD1:JPF1 JYZ1:JZB1 KIV1:KIX1 KSR1:KST1 LCN1:LCP1 LMJ1:LML1 LWF1:LWH1 MGB1:MGD1 MPX1:MPZ1 MZT1:MZV1 NJP1:NJR1 NTL1:NTN1 ODH1:ODJ1 OND1:ONF1 OWZ1:OXB1 PGV1:PGX1 PQR1:PQT1 QAN1:QAP1 QKJ1:QKL1 QUF1:QUH1 REB1:RED1 RNX1:RNZ1 RXT1:RXV1 SHP1:SHR1 SRL1:SRN1 TBH1:TBJ1 TLD1:TLF1 TUZ1:TVB1 UEV1:UEX1 UOR1:UOT1 UYN1:UYP1 VIJ1:VIL1 VSF1:VSH1 WCB1:WCD1 WLX1:WLZ1 WVT1:WVV1 L65537:N65537 JH65537:JJ65537 TD65537:TF65537 ACZ65537:ADB65537 AMV65537:AMX65537 AWR65537:AWT65537 BGN65537:BGP65537 BQJ65537:BQL65537 CAF65537:CAH65537 CKB65537:CKD65537 CTX65537:CTZ65537 DDT65537:DDV65537 DNP65537:DNR65537 DXL65537:DXN65537 EHH65537:EHJ65537 ERD65537:ERF65537 FAZ65537:FBB65537 FKV65537:FKX65537 FUR65537:FUT65537 GEN65537:GEP65537 GOJ65537:GOL65537 GYF65537:GYH65537 HIB65537:HID65537 HRX65537:HRZ65537 IBT65537:IBV65537 ILP65537:ILR65537 IVL65537:IVN65537 JFH65537:JFJ65537 JPD65537:JPF65537 JYZ65537:JZB65537 KIV65537:KIX65537 KSR65537:KST65537 LCN65537:LCP65537 LMJ65537:LML65537 LWF65537:LWH65537 MGB65537:MGD65537 MPX65537:MPZ65537 MZT65537:MZV65537 NJP65537:NJR65537 NTL65537:NTN65537 ODH65537:ODJ65537 OND65537:ONF65537 OWZ65537:OXB65537 PGV65537:PGX65537 PQR65537:PQT65537 QAN65537:QAP65537 QKJ65537:QKL65537 QUF65537:QUH65537 REB65537:RED65537 RNX65537:RNZ65537 RXT65537:RXV65537 SHP65537:SHR65537 SRL65537:SRN65537 TBH65537:TBJ65537 TLD65537:TLF65537 TUZ65537:TVB65537 UEV65537:UEX65537 UOR65537:UOT65537 UYN65537:UYP65537 VIJ65537:VIL65537 VSF65537:VSH65537 WCB65537:WCD65537 WLX65537:WLZ65537 WVT65537:WVV65537 L131073:N131073 JH131073:JJ131073 TD131073:TF131073 ACZ131073:ADB131073 AMV131073:AMX131073 AWR131073:AWT131073 BGN131073:BGP131073 BQJ131073:BQL131073 CAF131073:CAH131073 CKB131073:CKD131073 CTX131073:CTZ131073 DDT131073:DDV131073 DNP131073:DNR131073 DXL131073:DXN131073 EHH131073:EHJ131073 ERD131073:ERF131073 FAZ131073:FBB131073 FKV131073:FKX131073 FUR131073:FUT131073 GEN131073:GEP131073 GOJ131073:GOL131073 GYF131073:GYH131073 HIB131073:HID131073 HRX131073:HRZ131073 IBT131073:IBV131073 ILP131073:ILR131073 IVL131073:IVN131073 JFH131073:JFJ131073 JPD131073:JPF131073 JYZ131073:JZB131073 KIV131073:KIX131073 KSR131073:KST131073 LCN131073:LCP131073 LMJ131073:LML131073 LWF131073:LWH131073 MGB131073:MGD131073 MPX131073:MPZ131073 MZT131073:MZV131073 NJP131073:NJR131073 NTL131073:NTN131073 ODH131073:ODJ131073 OND131073:ONF131073 OWZ131073:OXB131073 PGV131073:PGX131073 PQR131073:PQT131073 QAN131073:QAP131073 QKJ131073:QKL131073 QUF131073:QUH131073 REB131073:RED131073 RNX131073:RNZ131073 RXT131073:RXV131073 SHP131073:SHR131073 SRL131073:SRN131073 TBH131073:TBJ131073 TLD131073:TLF131073 TUZ131073:TVB131073 UEV131073:UEX131073 UOR131073:UOT131073 UYN131073:UYP131073 VIJ131073:VIL131073 VSF131073:VSH131073 WCB131073:WCD131073 WLX131073:WLZ131073 WVT131073:WVV131073 L196609:N196609 JH196609:JJ196609 TD196609:TF196609 ACZ196609:ADB196609 AMV196609:AMX196609 AWR196609:AWT196609 BGN196609:BGP196609 BQJ196609:BQL196609 CAF196609:CAH196609 CKB196609:CKD196609 CTX196609:CTZ196609 DDT196609:DDV196609 DNP196609:DNR196609 DXL196609:DXN196609 EHH196609:EHJ196609 ERD196609:ERF196609 FAZ196609:FBB196609 FKV196609:FKX196609 FUR196609:FUT196609 GEN196609:GEP196609 GOJ196609:GOL196609 GYF196609:GYH196609 HIB196609:HID196609 HRX196609:HRZ196609 IBT196609:IBV196609 ILP196609:ILR196609 IVL196609:IVN196609 JFH196609:JFJ196609 JPD196609:JPF196609 JYZ196609:JZB196609 KIV196609:KIX196609 KSR196609:KST196609 LCN196609:LCP196609 LMJ196609:LML196609 LWF196609:LWH196609 MGB196609:MGD196609 MPX196609:MPZ196609 MZT196609:MZV196609 NJP196609:NJR196609 NTL196609:NTN196609 ODH196609:ODJ196609 OND196609:ONF196609 OWZ196609:OXB196609 PGV196609:PGX196609 PQR196609:PQT196609 QAN196609:QAP196609 QKJ196609:QKL196609 QUF196609:QUH196609 REB196609:RED196609 RNX196609:RNZ196609 RXT196609:RXV196609 SHP196609:SHR196609 SRL196609:SRN196609 TBH196609:TBJ196609 TLD196609:TLF196609 TUZ196609:TVB196609 UEV196609:UEX196609 UOR196609:UOT196609 UYN196609:UYP196609 VIJ196609:VIL196609 VSF196609:VSH196609 WCB196609:WCD196609 WLX196609:WLZ196609 WVT196609:WVV196609 L262145:N262145 JH262145:JJ262145 TD262145:TF262145 ACZ262145:ADB262145 AMV262145:AMX262145 AWR262145:AWT262145 BGN262145:BGP262145 BQJ262145:BQL262145 CAF262145:CAH262145 CKB262145:CKD262145 CTX262145:CTZ262145 DDT262145:DDV262145 DNP262145:DNR262145 DXL262145:DXN262145 EHH262145:EHJ262145 ERD262145:ERF262145 FAZ262145:FBB262145 FKV262145:FKX262145 FUR262145:FUT262145 GEN262145:GEP262145 GOJ262145:GOL262145 GYF262145:GYH262145 HIB262145:HID262145 HRX262145:HRZ262145 IBT262145:IBV262145 ILP262145:ILR262145 IVL262145:IVN262145 JFH262145:JFJ262145 JPD262145:JPF262145 JYZ262145:JZB262145 KIV262145:KIX262145 KSR262145:KST262145 LCN262145:LCP262145 LMJ262145:LML262145 LWF262145:LWH262145 MGB262145:MGD262145 MPX262145:MPZ262145 MZT262145:MZV262145 NJP262145:NJR262145 NTL262145:NTN262145 ODH262145:ODJ262145 OND262145:ONF262145 OWZ262145:OXB262145 PGV262145:PGX262145 PQR262145:PQT262145 QAN262145:QAP262145 QKJ262145:QKL262145 QUF262145:QUH262145 REB262145:RED262145 RNX262145:RNZ262145 RXT262145:RXV262145 SHP262145:SHR262145 SRL262145:SRN262145 TBH262145:TBJ262145 TLD262145:TLF262145 TUZ262145:TVB262145 UEV262145:UEX262145 UOR262145:UOT262145 UYN262145:UYP262145 VIJ262145:VIL262145 VSF262145:VSH262145 WCB262145:WCD262145 WLX262145:WLZ262145 WVT262145:WVV262145 L327681:N327681 JH327681:JJ327681 TD327681:TF327681 ACZ327681:ADB327681 AMV327681:AMX327681 AWR327681:AWT327681 BGN327681:BGP327681 BQJ327681:BQL327681 CAF327681:CAH327681 CKB327681:CKD327681 CTX327681:CTZ327681 DDT327681:DDV327681 DNP327681:DNR327681 DXL327681:DXN327681 EHH327681:EHJ327681 ERD327681:ERF327681 FAZ327681:FBB327681 FKV327681:FKX327681 FUR327681:FUT327681 GEN327681:GEP327681 GOJ327681:GOL327681 GYF327681:GYH327681 HIB327681:HID327681 HRX327681:HRZ327681 IBT327681:IBV327681 ILP327681:ILR327681 IVL327681:IVN327681 JFH327681:JFJ327681 JPD327681:JPF327681 JYZ327681:JZB327681 KIV327681:KIX327681 KSR327681:KST327681 LCN327681:LCP327681 LMJ327681:LML327681 LWF327681:LWH327681 MGB327681:MGD327681 MPX327681:MPZ327681 MZT327681:MZV327681 NJP327681:NJR327681 NTL327681:NTN327681 ODH327681:ODJ327681 OND327681:ONF327681 OWZ327681:OXB327681 PGV327681:PGX327681 PQR327681:PQT327681 QAN327681:QAP327681 QKJ327681:QKL327681 QUF327681:QUH327681 REB327681:RED327681 RNX327681:RNZ327681 RXT327681:RXV327681 SHP327681:SHR327681 SRL327681:SRN327681 TBH327681:TBJ327681 TLD327681:TLF327681 TUZ327681:TVB327681 UEV327681:UEX327681 UOR327681:UOT327681 UYN327681:UYP327681 VIJ327681:VIL327681 VSF327681:VSH327681 WCB327681:WCD327681 WLX327681:WLZ327681 WVT327681:WVV327681 L393217:N393217 JH393217:JJ393217 TD393217:TF393217 ACZ393217:ADB393217 AMV393217:AMX393217 AWR393217:AWT393217 BGN393217:BGP393217 BQJ393217:BQL393217 CAF393217:CAH393217 CKB393217:CKD393217 CTX393217:CTZ393217 DDT393217:DDV393217 DNP393217:DNR393217 DXL393217:DXN393217 EHH393217:EHJ393217 ERD393217:ERF393217 FAZ393217:FBB393217 FKV393217:FKX393217 FUR393217:FUT393217 GEN393217:GEP393217 GOJ393217:GOL393217 GYF393217:GYH393217 HIB393217:HID393217 HRX393217:HRZ393217 IBT393217:IBV393217 ILP393217:ILR393217 IVL393217:IVN393217 JFH393217:JFJ393217 JPD393217:JPF393217 JYZ393217:JZB393217 KIV393217:KIX393217 KSR393217:KST393217 LCN393217:LCP393217 LMJ393217:LML393217 LWF393217:LWH393217 MGB393217:MGD393217 MPX393217:MPZ393217 MZT393217:MZV393217 NJP393217:NJR393217 NTL393217:NTN393217 ODH393217:ODJ393217 OND393217:ONF393217 OWZ393217:OXB393217 PGV393217:PGX393217 PQR393217:PQT393217 QAN393217:QAP393217 QKJ393217:QKL393217 QUF393217:QUH393217 REB393217:RED393217 RNX393217:RNZ393217 RXT393217:RXV393217 SHP393217:SHR393217 SRL393217:SRN393217 TBH393217:TBJ393217 TLD393217:TLF393217 TUZ393217:TVB393217 UEV393217:UEX393217 UOR393217:UOT393217 UYN393217:UYP393217 VIJ393217:VIL393217 VSF393217:VSH393217 WCB393217:WCD393217 WLX393217:WLZ393217 WVT393217:WVV393217 L458753:N458753 JH458753:JJ458753 TD458753:TF458753 ACZ458753:ADB458753 AMV458753:AMX458753 AWR458753:AWT458753 BGN458753:BGP458753 BQJ458753:BQL458753 CAF458753:CAH458753 CKB458753:CKD458753 CTX458753:CTZ458753 DDT458753:DDV458753 DNP458753:DNR458753 DXL458753:DXN458753 EHH458753:EHJ458753 ERD458753:ERF458753 FAZ458753:FBB458753 FKV458753:FKX458753 FUR458753:FUT458753 GEN458753:GEP458753 GOJ458753:GOL458753 GYF458753:GYH458753 HIB458753:HID458753 HRX458753:HRZ458753 IBT458753:IBV458753 ILP458753:ILR458753 IVL458753:IVN458753 JFH458753:JFJ458753 JPD458753:JPF458753 JYZ458753:JZB458753 KIV458753:KIX458753 KSR458753:KST458753 LCN458753:LCP458753 LMJ458753:LML458753 LWF458753:LWH458753 MGB458753:MGD458753 MPX458753:MPZ458753 MZT458753:MZV458753 NJP458753:NJR458753 NTL458753:NTN458753 ODH458753:ODJ458753 OND458753:ONF458753 OWZ458753:OXB458753 PGV458753:PGX458753 PQR458753:PQT458753 QAN458753:QAP458753 QKJ458753:QKL458753 QUF458753:QUH458753 REB458753:RED458753 RNX458753:RNZ458753 RXT458753:RXV458753 SHP458753:SHR458753 SRL458753:SRN458753 TBH458753:TBJ458753 TLD458753:TLF458753 TUZ458753:TVB458753 UEV458753:UEX458753 UOR458753:UOT458753 UYN458753:UYP458753 VIJ458753:VIL458753 VSF458753:VSH458753 WCB458753:WCD458753 WLX458753:WLZ458753 WVT458753:WVV458753 L524289:N524289 JH524289:JJ524289 TD524289:TF524289 ACZ524289:ADB524289 AMV524289:AMX524289 AWR524289:AWT524289 BGN524289:BGP524289 BQJ524289:BQL524289 CAF524289:CAH524289 CKB524289:CKD524289 CTX524289:CTZ524289 DDT524289:DDV524289 DNP524289:DNR524289 DXL524289:DXN524289 EHH524289:EHJ524289 ERD524289:ERF524289 FAZ524289:FBB524289 FKV524289:FKX524289 FUR524289:FUT524289 GEN524289:GEP524289 GOJ524289:GOL524289 GYF524289:GYH524289 HIB524289:HID524289 HRX524289:HRZ524289 IBT524289:IBV524289 ILP524289:ILR524289 IVL524289:IVN524289 JFH524289:JFJ524289 JPD524289:JPF524289 JYZ524289:JZB524289 KIV524289:KIX524289 KSR524289:KST524289 LCN524289:LCP524289 LMJ524289:LML524289 LWF524289:LWH524289 MGB524289:MGD524289 MPX524289:MPZ524289 MZT524289:MZV524289 NJP524289:NJR524289 NTL524289:NTN524289 ODH524289:ODJ524289 OND524289:ONF524289 OWZ524289:OXB524289 PGV524289:PGX524289 PQR524289:PQT524289 QAN524289:QAP524289 QKJ524289:QKL524289 QUF524289:QUH524289 REB524289:RED524289 RNX524289:RNZ524289 RXT524289:RXV524289 SHP524289:SHR524289 SRL524289:SRN524289 TBH524289:TBJ524289 TLD524289:TLF524289 TUZ524289:TVB524289 UEV524289:UEX524289 UOR524289:UOT524289 UYN524289:UYP524289 VIJ524289:VIL524289 VSF524289:VSH524289 WCB524289:WCD524289 WLX524289:WLZ524289 WVT524289:WVV524289 L589825:N589825 JH589825:JJ589825 TD589825:TF589825 ACZ589825:ADB589825 AMV589825:AMX589825 AWR589825:AWT589825 BGN589825:BGP589825 BQJ589825:BQL589825 CAF589825:CAH589825 CKB589825:CKD589825 CTX589825:CTZ589825 DDT589825:DDV589825 DNP589825:DNR589825 DXL589825:DXN589825 EHH589825:EHJ589825 ERD589825:ERF589825 FAZ589825:FBB589825 FKV589825:FKX589825 FUR589825:FUT589825 GEN589825:GEP589825 GOJ589825:GOL589825 GYF589825:GYH589825 HIB589825:HID589825 HRX589825:HRZ589825 IBT589825:IBV589825 ILP589825:ILR589825 IVL589825:IVN589825 JFH589825:JFJ589825 JPD589825:JPF589825 JYZ589825:JZB589825 KIV589825:KIX589825 KSR589825:KST589825 LCN589825:LCP589825 LMJ589825:LML589825 LWF589825:LWH589825 MGB589825:MGD589825 MPX589825:MPZ589825 MZT589825:MZV589825 NJP589825:NJR589825 NTL589825:NTN589825 ODH589825:ODJ589825 OND589825:ONF589825 OWZ589825:OXB589825 PGV589825:PGX589825 PQR589825:PQT589825 QAN589825:QAP589825 QKJ589825:QKL589825 QUF589825:QUH589825 REB589825:RED589825 RNX589825:RNZ589825 RXT589825:RXV589825 SHP589825:SHR589825 SRL589825:SRN589825 TBH589825:TBJ589825 TLD589825:TLF589825 TUZ589825:TVB589825 UEV589825:UEX589825 UOR589825:UOT589825 UYN589825:UYP589825 VIJ589825:VIL589825 VSF589825:VSH589825 WCB589825:WCD589825 WLX589825:WLZ589825 WVT589825:WVV589825 L655361:N655361 JH655361:JJ655361 TD655361:TF655361 ACZ655361:ADB655361 AMV655361:AMX655361 AWR655361:AWT655361 BGN655361:BGP655361 BQJ655361:BQL655361 CAF655361:CAH655361 CKB655361:CKD655361 CTX655361:CTZ655361 DDT655361:DDV655361 DNP655361:DNR655361 DXL655361:DXN655361 EHH655361:EHJ655361 ERD655361:ERF655361 FAZ655361:FBB655361 FKV655361:FKX655361 FUR655361:FUT655361 GEN655361:GEP655361 GOJ655361:GOL655361 GYF655361:GYH655361 HIB655361:HID655361 HRX655361:HRZ655361 IBT655361:IBV655361 ILP655361:ILR655361 IVL655361:IVN655361 JFH655361:JFJ655361 JPD655361:JPF655361 JYZ655361:JZB655361 KIV655361:KIX655361 KSR655361:KST655361 LCN655361:LCP655361 LMJ655361:LML655361 LWF655361:LWH655361 MGB655361:MGD655361 MPX655361:MPZ655361 MZT655361:MZV655361 NJP655361:NJR655361 NTL655361:NTN655361 ODH655361:ODJ655361 OND655361:ONF655361 OWZ655361:OXB655361 PGV655361:PGX655361 PQR655361:PQT655361 QAN655361:QAP655361 QKJ655361:QKL655361 QUF655361:QUH655361 REB655361:RED655361 RNX655361:RNZ655361 RXT655361:RXV655361 SHP655361:SHR655361 SRL655361:SRN655361 TBH655361:TBJ655361 TLD655361:TLF655361 TUZ655361:TVB655361 UEV655361:UEX655361 UOR655361:UOT655361 UYN655361:UYP655361 VIJ655361:VIL655361 VSF655361:VSH655361 WCB655361:WCD655361 WLX655361:WLZ655361 WVT655361:WVV655361 L720897:N720897 JH720897:JJ720897 TD720897:TF720897 ACZ720897:ADB720897 AMV720897:AMX720897 AWR720897:AWT720897 BGN720897:BGP720897 BQJ720897:BQL720897 CAF720897:CAH720897 CKB720897:CKD720897 CTX720897:CTZ720897 DDT720897:DDV720897 DNP720897:DNR720897 DXL720897:DXN720897 EHH720897:EHJ720897 ERD720897:ERF720897 FAZ720897:FBB720897 FKV720897:FKX720897 FUR720897:FUT720897 GEN720897:GEP720897 GOJ720897:GOL720897 GYF720897:GYH720897 HIB720897:HID720897 HRX720897:HRZ720897 IBT720897:IBV720897 ILP720897:ILR720897 IVL720897:IVN720897 JFH720897:JFJ720897 JPD720897:JPF720897 JYZ720897:JZB720897 KIV720897:KIX720897 KSR720897:KST720897 LCN720897:LCP720897 LMJ720897:LML720897 LWF720897:LWH720897 MGB720897:MGD720897 MPX720897:MPZ720897 MZT720897:MZV720897 NJP720897:NJR720897 NTL720897:NTN720897 ODH720897:ODJ720897 OND720897:ONF720897 OWZ720897:OXB720897 PGV720897:PGX720897 PQR720897:PQT720897 QAN720897:QAP720897 QKJ720897:QKL720897 QUF720897:QUH720897 REB720897:RED720897 RNX720897:RNZ720897 RXT720897:RXV720897 SHP720897:SHR720897 SRL720897:SRN720897 TBH720897:TBJ720897 TLD720897:TLF720897 TUZ720897:TVB720897 UEV720897:UEX720897 UOR720897:UOT720897 UYN720897:UYP720897 VIJ720897:VIL720897 VSF720897:VSH720897 WCB720897:WCD720897 WLX720897:WLZ720897 WVT720897:WVV720897 L786433:N786433 JH786433:JJ786433 TD786433:TF786433 ACZ786433:ADB786433 AMV786433:AMX786433 AWR786433:AWT786433 BGN786433:BGP786433 BQJ786433:BQL786433 CAF786433:CAH786433 CKB786433:CKD786433 CTX786433:CTZ786433 DDT786433:DDV786433 DNP786433:DNR786433 DXL786433:DXN786433 EHH786433:EHJ786433 ERD786433:ERF786433 FAZ786433:FBB786433 FKV786433:FKX786433 FUR786433:FUT786433 GEN786433:GEP786433 GOJ786433:GOL786433 GYF786433:GYH786433 HIB786433:HID786433 HRX786433:HRZ786433 IBT786433:IBV786433 ILP786433:ILR786433 IVL786433:IVN786433 JFH786433:JFJ786433 JPD786433:JPF786433 JYZ786433:JZB786433 KIV786433:KIX786433 KSR786433:KST786433 LCN786433:LCP786433 LMJ786433:LML786433 LWF786433:LWH786433 MGB786433:MGD786433 MPX786433:MPZ786433 MZT786433:MZV786433 NJP786433:NJR786433 NTL786433:NTN786433 ODH786433:ODJ786433 OND786433:ONF786433 OWZ786433:OXB786433 PGV786433:PGX786433 PQR786433:PQT786433 QAN786433:QAP786433 QKJ786433:QKL786433 QUF786433:QUH786433 REB786433:RED786433 RNX786433:RNZ786433 RXT786433:RXV786433 SHP786433:SHR786433 SRL786433:SRN786433 TBH786433:TBJ786433 TLD786433:TLF786433 TUZ786433:TVB786433 UEV786433:UEX786433 UOR786433:UOT786433 UYN786433:UYP786433 VIJ786433:VIL786433 VSF786433:VSH786433 WCB786433:WCD786433 WLX786433:WLZ786433 WVT786433:WVV786433 L851969:N851969 JH851969:JJ851969 TD851969:TF851969 ACZ851969:ADB851969 AMV851969:AMX851969 AWR851969:AWT851969 BGN851969:BGP851969 BQJ851969:BQL851969 CAF851969:CAH851969 CKB851969:CKD851969 CTX851969:CTZ851969 DDT851969:DDV851969 DNP851969:DNR851969 DXL851969:DXN851969 EHH851969:EHJ851969 ERD851969:ERF851969 FAZ851969:FBB851969 FKV851969:FKX851969 FUR851969:FUT851969 GEN851969:GEP851969 GOJ851969:GOL851969 GYF851969:GYH851969 HIB851969:HID851969 HRX851969:HRZ851969 IBT851969:IBV851969 ILP851969:ILR851969 IVL851969:IVN851969 JFH851969:JFJ851969 JPD851969:JPF851969 JYZ851969:JZB851969 KIV851969:KIX851969 KSR851969:KST851969 LCN851969:LCP851969 LMJ851969:LML851969 LWF851969:LWH851969 MGB851969:MGD851969 MPX851969:MPZ851969 MZT851969:MZV851969 NJP851969:NJR851969 NTL851969:NTN851969 ODH851969:ODJ851969 OND851969:ONF851969 OWZ851969:OXB851969 PGV851969:PGX851969 PQR851969:PQT851969 QAN851969:QAP851969 QKJ851969:QKL851969 QUF851969:QUH851969 REB851969:RED851969 RNX851969:RNZ851969 RXT851969:RXV851969 SHP851969:SHR851969 SRL851969:SRN851969 TBH851969:TBJ851969 TLD851969:TLF851969 TUZ851969:TVB851969 UEV851969:UEX851969 UOR851969:UOT851969 UYN851969:UYP851969 VIJ851969:VIL851969 VSF851969:VSH851969 WCB851969:WCD851969 WLX851969:WLZ851969 WVT851969:WVV851969 L917505:N917505 JH917505:JJ917505 TD917505:TF917505 ACZ917505:ADB917505 AMV917505:AMX917505 AWR917505:AWT917505 BGN917505:BGP917505 BQJ917505:BQL917505 CAF917505:CAH917505 CKB917505:CKD917505 CTX917505:CTZ917505 DDT917505:DDV917505 DNP917505:DNR917505 DXL917505:DXN917505 EHH917505:EHJ917505 ERD917505:ERF917505 FAZ917505:FBB917505 FKV917505:FKX917505 FUR917505:FUT917505 GEN917505:GEP917505 GOJ917505:GOL917505 GYF917505:GYH917505 HIB917505:HID917505 HRX917505:HRZ917505 IBT917505:IBV917505 ILP917505:ILR917505 IVL917505:IVN917505 JFH917505:JFJ917505 JPD917505:JPF917505 JYZ917505:JZB917505 KIV917505:KIX917505 KSR917505:KST917505 LCN917505:LCP917505 LMJ917505:LML917505 LWF917505:LWH917505 MGB917505:MGD917505 MPX917505:MPZ917505 MZT917505:MZV917505 NJP917505:NJR917505 NTL917505:NTN917505 ODH917505:ODJ917505 OND917505:ONF917505 OWZ917505:OXB917505 PGV917505:PGX917505 PQR917505:PQT917505 QAN917505:QAP917505 QKJ917505:QKL917505 QUF917505:QUH917505 REB917505:RED917505 RNX917505:RNZ917505 RXT917505:RXV917505 SHP917505:SHR917505 SRL917505:SRN917505 TBH917505:TBJ917505 TLD917505:TLF917505 TUZ917505:TVB917505 UEV917505:UEX917505 UOR917505:UOT917505 UYN917505:UYP917505 VIJ917505:VIL917505 VSF917505:VSH917505 WCB917505:WCD917505 WLX917505:WLZ917505 WVT917505:WVV917505 L983041:N983041 JH983041:JJ983041 TD983041:TF983041 ACZ983041:ADB983041 AMV983041:AMX983041 AWR983041:AWT983041 BGN983041:BGP983041 BQJ983041:BQL983041 CAF983041:CAH983041 CKB983041:CKD983041 CTX983041:CTZ983041 DDT983041:DDV983041 DNP983041:DNR983041 DXL983041:DXN983041 EHH983041:EHJ983041 ERD983041:ERF983041 FAZ983041:FBB983041 FKV983041:FKX983041 FUR983041:FUT983041 GEN983041:GEP983041 GOJ983041:GOL983041 GYF983041:GYH983041 HIB983041:HID983041 HRX983041:HRZ983041 IBT983041:IBV983041 ILP983041:ILR983041 IVL983041:IVN983041 JFH983041:JFJ983041 JPD983041:JPF983041 JYZ983041:JZB983041 KIV983041:KIX983041 KSR983041:KST983041 LCN983041:LCP983041 LMJ983041:LML983041 LWF983041:LWH983041 MGB983041:MGD983041 MPX983041:MPZ983041 MZT983041:MZV983041 NJP983041:NJR983041 NTL983041:NTN983041 ODH983041:ODJ983041 OND983041:ONF983041 OWZ983041:OXB983041 PGV983041:PGX983041 PQR983041:PQT983041 QAN983041:QAP983041 QKJ983041:QKL983041 QUF983041:QUH983041 REB983041:RED983041 RNX983041:RNZ983041 RXT983041:RXV983041 SHP983041:SHR983041 SRL983041:SRN983041 TBH983041:TBJ983041 TLD983041:TLF983041 TUZ983041:TVB983041 UEV983041:UEX983041 UOR983041:UOT983041 UYN983041:UYP983041 VIJ983041:VIL983041 VSF983041:VSH983041 WCB983041:WCD983041 WLX983041:WLZ983041 WVT983041:WVV983041" xr:uid="{C95FC269-E044-4EAF-A4E0-437983C23960}">
      <formula1>0</formula1>
      <formula2>0</formula2>
    </dataValidation>
    <dataValidation type="decimal" operator="greaterThanOrEqual" allowBlank="1" showInputMessage="1" showErrorMessage="1" error="Please Enter Valid Invoice Value" prompt="Please Enter Numeric Value" sqref="F2:F73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WVN2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xr:uid="{FD77791F-8253-4405-BD4D-E2BF5802074E}">
      <formula1>0</formula1>
      <formula2>0</formula2>
    </dataValidation>
    <dataValidation type="list" operator="equal" allowBlank="1" showInputMessage="1" showErrorMessage="1" error="Please Select UOM from Dropdown" prompt="Please Select UOM" sqref="BC1:IU1 KY1:SQ1 UU1:ACM1 AEQ1:AMI1 AOM1:AWE1 AYI1:BGA1 BIE1:BPW1 BSA1:BZS1 CBW1:CJO1 CLS1:CTK1 CVO1:DDG1 DFK1:DNC1 DPG1:DWY1 DZC1:EGU1 EIY1:EQQ1 ESU1:FAM1 FCQ1:FKI1 FMM1:FUE1 FWI1:GEA1 GGE1:GNW1 GQA1:GXS1 GZW1:HHO1 HJS1:HRK1 HTO1:IBG1 IDK1:ILC1 ING1:IUY1 IXC1:JEU1 JGY1:JOQ1 JQU1:JYM1 KAQ1:KII1 KKM1:KSE1 KUI1:LCA1 LEE1:LLW1 LOA1:LVS1 LXW1:MFO1 MHS1:MPK1 MRO1:MZG1 NBK1:NJC1 NLG1:NSY1 NVC1:OCU1 OEY1:OMQ1 OOU1:OWM1 OYQ1:PGI1 PIM1:PQE1 PSI1:QAA1 QCE1:QJW1 QMA1:QTS1 QVW1:RDO1 RFS1:RNK1 RPO1:RXG1 RZK1:SHC1 SJG1:SQY1 STC1:TAU1 TCY1:TKQ1 TMU1:TUM1 TWQ1:UEI1 UGM1:UOE1 UQI1:UYA1 VAE1:VHW1 VKA1:VRS1 VTW1:WBO1 WDS1:WLK1 WNO1:WVG1 WXK1:XFC1 BC65537:IU65537 KY65537:SQ65537 UU65537:ACM65537 AEQ65537:AMI65537 AOM65537:AWE65537 AYI65537:BGA65537 BIE65537:BPW65537 BSA65537:BZS65537 CBW65537:CJO65537 CLS65537:CTK65537 CVO65537:DDG65537 DFK65537:DNC65537 DPG65537:DWY65537 DZC65537:EGU65537 EIY65537:EQQ65537 ESU65537:FAM65537 FCQ65537:FKI65537 FMM65537:FUE65537 FWI65537:GEA65537 GGE65537:GNW65537 GQA65537:GXS65537 GZW65537:HHO65537 HJS65537:HRK65537 HTO65537:IBG65537 IDK65537:ILC65537 ING65537:IUY65537 IXC65537:JEU65537 JGY65537:JOQ65537 JQU65537:JYM65537 KAQ65537:KII65537 KKM65537:KSE65537 KUI65537:LCA65537 LEE65537:LLW65537 LOA65537:LVS65537 LXW65537:MFO65537 MHS65537:MPK65537 MRO65537:MZG65537 NBK65537:NJC65537 NLG65537:NSY65537 NVC65537:OCU65537 OEY65537:OMQ65537 OOU65537:OWM65537 OYQ65537:PGI65537 PIM65537:PQE65537 PSI65537:QAA65537 QCE65537:QJW65537 QMA65537:QTS65537 QVW65537:RDO65537 RFS65537:RNK65537 RPO65537:RXG65537 RZK65537:SHC65537 SJG65537:SQY65537 STC65537:TAU65537 TCY65537:TKQ65537 TMU65537:TUM65537 TWQ65537:UEI65537 UGM65537:UOE65537 UQI65537:UYA65537 VAE65537:VHW65537 VKA65537:VRS65537 VTW65537:WBO65537 WDS65537:WLK65537 WNO65537:WVG65537 WXK65537:XFC65537 BC131073:IU131073 KY131073:SQ131073 UU131073:ACM131073 AEQ131073:AMI131073 AOM131073:AWE131073 AYI131073:BGA131073 BIE131073:BPW131073 BSA131073:BZS131073 CBW131073:CJO131073 CLS131073:CTK131073 CVO131073:DDG131073 DFK131073:DNC131073 DPG131073:DWY131073 DZC131073:EGU131073 EIY131073:EQQ131073 ESU131073:FAM131073 FCQ131073:FKI131073 FMM131073:FUE131073 FWI131073:GEA131073 GGE131073:GNW131073 GQA131073:GXS131073 GZW131073:HHO131073 HJS131073:HRK131073 HTO131073:IBG131073 IDK131073:ILC131073 ING131073:IUY131073 IXC131073:JEU131073 JGY131073:JOQ131073 JQU131073:JYM131073 KAQ131073:KII131073 KKM131073:KSE131073 KUI131073:LCA131073 LEE131073:LLW131073 LOA131073:LVS131073 LXW131073:MFO131073 MHS131073:MPK131073 MRO131073:MZG131073 NBK131073:NJC131073 NLG131073:NSY131073 NVC131073:OCU131073 OEY131073:OMQ131073 OOU131073:OWM131073 OYQ131073:PGI131073 PIM131073:PQE131073 PSI131073:QAA131073 QCE131073:QJW131073 QMA131073:QTS131073 QVW131073:RDO131073 RFS131073:RNK131073 RPO131073:RXG131073 RZK131073:SHC131073 SJG131073:SQY131073 STC131073:TAU131073 TCY131073:TKQ131073 TMU131073:TUM131073 TWQ131073:UEI131073 UGM131073:UOE131073 UQI131073:UYA131073 VAE131073:VHW131073 VKA131073:VRS131073 VTW131073:WBO131073 WDS131073:WLK131073 WNO131073:WVG131073 WXK131073:XFC131073 BC196609:IU196609 KY196609:SQ196609 UU196609:ACM196609 AEQ196609:AMI196609 AOM196609:AWE196609 AYI196609:BGA196609 BIE196609:BPW196609 BSA196609:BZS196609 CBW196609:CJO196609 CLS196609:CTK196609 CVO196609:DDG196609 DFK196609:DNC196609 DPG196609:DWY196609 DZC196609:EGU196609 EIY196609:EQQ196609 ESU196609:FAM196609 FCQ196609:FKI196609 FMM196609:FUE196609 FWI196609:GEA196609 GGE196609:GNW196609 GQA196609:GXS196609 GZW196609:HHO196609 HJS196609:HRK196609 HTO196609:IBG196609 IDK196609:ILC196609 ING196609:IUY196609 IXC196609:JEU196609 JGY196609:JOQ196609 JQU196609:JYM196609 KAQ196609:KII196609 KKM196609:KSE196609 KUI196609:LCA196609 LEE196609:LLW196609 LOA196609:LVS196609 LXW196609:MFO196609 MHS196609:MPK196609 MRO196609:MZG196609 NBK196609:NJC196609 NLG196609:NSY196609 NVC196609:OCU196609 OEY196609:OMQ196609 OOU196609:OWM196609 OYQ196609:PGI196609 PIM196609:PQE196609 PSI196609:QAA196609 QCE196609:QJW196609 QMA196609:QTS196609 QVW196609:RDO196609 RFS196609:RNK196609 RPO196609:RXG196609 RZK196609:SHC196609 SJG196609:SQY196609 STC196609:TAU196609 TCY196609:TKQ196609 TMU196609:TUM196609 TWQ196609:UEI196609 UGM196609:UOE196609 UQI196609:UYA196609 VAE196609:VHW196609 VKA196609:VRS196609 VTW196609:WBO196609 WDS196609:WLK196609 WNO196609:WVG196609 WXK196609:XFC196609 BC262145:IU262145 KY262145:SQ262145 UU262145:ACM262145 AEQ262145:AMI262145 AOM262145:AWE262145 AYI262145:BGA262145 BIE262145:BPW262145 BSA262145:BZS262145 CBW262145:CJO262145 CLS262145:CTK262145 CVO262145:DDG262145 DFK262145:DNC262145 DPG262145:DWY262145 DZC262145:EGU262145 EIY262145:EQQ262145 ESU262145:FAM262145 FCQ262145:FKI262145 FMM262145:FUE262145 FWI262145:GEA262145 GGE262145:GNW262145 GQA262145:GXS262145 GZW262145:HHO262145 HJS262145:HRK262145 HTO262145:IBG262145 IDK262145:ILC262145 ING262145:IUY262145 IXC262145:JEU262145 JGY262145:JOQ262145 JQU262145:JYM262145 KAQ262145:KII262145 KKM262145:KSE262145 KUI262145:LCA262145 LEE262145:LLW262145 LOA262145:LVS262145 LXW262145:MFO262145 MHS262145:MPK262145 MRO262145:MZG262145 NBK262145:NJC262145 NLG262145:NSY262145 NVC262145:OCU262145 OEY262145:OMQ262145 OOU262145:OWM262145 OYQ262145:PGI262145 PIM262145:PQE262145 PSI262145:QAA262145 QCE262145:QJW262145 QMA262145:QTS262145 QVW262145:RDO262145 RFS262145:RNK262145 RPO262145:RXG262145 RZK262145:SHC262145 SJG262145:SQY262145 STC262145:TAU262145 TCY262145:TKQ262145 TMU262145:TUM262145 TWQ262145:UEI262145 UGM262145:UOE262145 UQI262145:UYA262145 VAE262145:VHW262145 VKA262145:VRS262145 VTW262145:WBO262145 WDS262145:WLK262145 WNO262145:WVG262145 WXK262145:XFC262145 BC327681:IU327681 KY327681:SQ327681 UU327681:ACM327681 AEQ327681:AMI327681 AOM327681:AWE327681 AYI327681:BGA327681 BIE327681:BPW327681 BSA327681:BZS327681 CBW327681:CJO327681 CLS327681:CTK327681 CVO327681:DDG327681 DFK327681:DNC327681 DPG327681:DWY327681 DZC327681:EGU327681 EIY327681:EQQ327681 ESU327681:FAM327681 FCQ327681:FKI327681 FMM327681:FUE327681 FWI327681:GEA327681 GGE327681:GNW327681 GQA327681:GXS327681 GZW327681:HHO327681 HJS327681:HRK327681 HTO327681:IBG327681 IDK327681:ILC327681 ING327681:IUY327681 IXC327681:JEU327681 JGY327681:JOQ327681 JQU327681:JYM327681 KAQ327681:KII327681 KKM327681:KSE327681 KUI327681:LCA327681 LEE327681:LLW327681 LOA327681:LVS327681 LXW327681:MFO327681 MHS327681:MPK327681 MRO327681:MZG327681 NBK327681:NJC327681 NLG327681:NSY327681 NVC327681:OCU327681 OEY327681:OMQ327681 OOU327681:OWM327681 OYQ327681:PGI327681 PIM327681:PQE327681 PSI327681:QAA327681 QCE327681:QJW327681 QMA327681:QTS327681 QVW327681:RDO327681 RFS327681:RNK327681 RPO327681:RXG327681 RZK327681:SHC327681 SJG327681:SQY327681 STC327681:TAU327681 TCY327681:TKQ327681 TMU327681:TUM327681 TWQ327681:UEI327681 UGM327681:UOE327681 UQI327681:UYA327681 VAE327681:VHW327681 VKA327681:VRS327681 VTW327681:WBO327681 WDS327681:WLK327681 WNO327681:WVG327681 WXK327681:XFC327681 BC393217:IU393217 KY393217:SQ393217 UU393217:ACM393217 AEQ393217:AMI393217 AOM393217:AWE393217 AYI393217:BGA393217 BIE393217:BPW393217 BSA393217:BZS393217 CBW393217:CJO393217 CLS393217:CTK393217 CVO393217:DDG393217 DFK393217:DNC393217 DPG393217:DWY393217 DZC393217:EGU393217 EIY393217:EQQ393217 ESU393217:FAM393217 FCQ393217:FKI393217 FMM393217:FUE393217 FWI393217:GEA393217 GGE393217:GNW393217 GQA393217:GXS393217 GZW393217:HHO393217 HJS393217:HRK393217 HTO393217:IBG393217 IDK393217:ILC393217 ING393217:IUY393217 IXC393217:JEU393217 JGY393217:JOQ393217 JQU393217:JYM393217 KAQ393217:KII393217 KKM393217:KSE393217 KUI393217:LCA393217 LEE393217:LLW393217 LOA393217:LVS393217 LXW393217:MFO393217 MHS393217:MPK393217 MRO393217:MZG393217 NBK393217:NJC393217 NLG393217:NSY393217 NVC393217:OCU393217 OEY393217:OMQ393217 OOU393217:OWM393217 OYQ393217:PGI393217 PIM393217:PQE393217 PSI393217:QAA393217 QCE393217:QJW393217 QMA393217:QTS393217 QVW393217:RDO393217 RFS393217:RNK393217 RPO393217:RXG393217 RZK393217:SHC393217 SJG393217:SQY393217 STC393217:TAU393217 TCY393217:TKQ393217 TMU393217:TUM393217 TWQ393217:UEI393217 UGM393217:UOE393217 UQI393217:UYA393217 VAE393217:VHW393217 VKA393217:VRS393217 VTW393217:WBO393217 WDS393217:WLK393217 WNO393217:WVG393217 WXK393217:XFC393217 BC458753:IU458753 KY458753:SQ458753 UU458753:ACM458753 AEQ458753:AMI458753 AOM458753:AWE458753 AYI458753:BGA458753 BIE458753:BPW458753 BSA458753:BZS458753 CBW458753:CJO458753 CLS458753:CTK458753 CVO458753:DDG458753 DFK458753:DNC458753 DPG458753:DWY458753 DZC458753:EGU458753 EIY458753:EQQ458753 ESU458753:FAM458753 FCQ458753:FKI458753 FMM458753:FUE458753 FWI458753:GEA458753 GGE458753:GNW458753 GQA458753:GXS458753 GZW458753:HHO458753 HJS458753:HRK458753 HTO458753:IBG458753 IDK458753:ILC458753 ING458753:IUY458753 IXC458753:JEU458753 JGY458753:JOQ458753 JQU458753:JYM458753 KAQ458753:KII458753 KKM458753:KSE458753 KUI458753:LCA458753 LEE458753:LLW458753 LOA458753:LVS458753 LXW458753:MFO458753 MHS458753:MPK458753 MRO458753:MZG458753 NBK458753:NJC458753 NLG458753:NSY458753 NVC458753:OCU458753 OEY458753:OMQ458753 OOU458753:OWM458753 OYQ458753:PGI458753 PIM458753:PQE458753 PSI458753:QAA458753 QCE458753:QJW458753 QMA458753:QTS458753 QVW458753:RDO458753 RFS458753:RNK458753 RPO458753:RXG458753 RZK458753:SHC458753 SJG458753:SQY458753 STC458753:TAU458753 TCY458753:TKQ458753 TMU458753:TUM458753 TWQ458753:UEI458753 UGM458753:UOE458753 UQI458753:UYA458753 VAE458753:VHW458753 VKA458753:VRS458753 VTW458753:WBO458753 WDS458753:WLK458753 WNO458753:WVG458753 WXK458753:XFC458753 BC524289:IU524289 KY524289:SQ524289 UU524289:ACM524289 AEQ524289:AMI524289 AOM524289:AWE524289 AYI524289:BGA524289 BIE524289:BPW524289 BSA524289:BZS524289 CBW524289:CJO524289 CLS524289:CTK524289 CVO524289:DDG524289 DFK524289:DNC524289 DPG524289:DWY524289 DZC524289:EGU524289 EIY524289:EQQ524289 ESU524289:FAM524289 FCQ524289:FKI524289 FMM524289:FUE524289 FWI524289:GEA524289 GGE524289:GNW524289 GQA524289:GXS524289 GZW524289:HHO524289 HJS524289:HRK524289 HTO524289:IBG524289 IDK524289:ILC524289 ING524289:IUY524289 IXC524289:JEU524289 JGY524289:JOQ524289 JQU524289:JYM524289 KAQ524289:KII524289 KKM524289:KSE524289 KUI524289:LCA524289 LEE524289:LLW524289 LOA524289:LVS524289 LXW524289:MFO524289 MHS524289:MPK524289 MRO524289:MZG524289 NBK524289:NJC524289 NLG524289:NSY524289 NVC524289:OCU524289 OEY524289:OMQ524289 OOU524289:OWM524289 OYQ524289:PGI524289 PIM524289:PQE524289 PSI524289:QAA524289 QCE524289:QJW524289 QMA524289:QTS524289 QVW524289:RDO524289 RFS524289:RNK524289 RPO524289:RXG524289 RZK524289:SHC524289 SJG524289:SQY524289 STC524289:TAU524289 TCY524289:TKQ524289 TMU524289:TUM524289 TWQ524289:UEI524289 UGM524289:UOE524289 UQI524289:UYA524289 VAE524289:VHW524289 VKA524289:VRS524289 VTW524289:WBO524289 WDS524289:WLK524289 WNO524289:WVG524289 WXK524289:XFC524289 BC589825:IU589825 KY589825:SQ589825 UU589825:ACM589825 AEQ589825:AMI589825 AOM589825:AWE589825 AYI589825:BGA589825 BIE589825:BPW589825 BSA589825:BZS589825 CBW589825:CJO589825 CLS589825:CTK589825 CVO589825:DDG589825 DFK589825:DNC589825 DPG589825:DWY589825 DZC589825:EGU589825 EIY589825:EQQ589825 ESU589825:FAM589825 FCQ589825:FKI589825 FMM589825:FUE589825 FWI589825:GEA589825 GGE589825:GNW589825 GQA589825:GXS589825 GZW589825:HHO589825 HJS589825:HRK589825 HTO589825:IBG589825 IDK589825:ILC589825 ING589825:IUY589825 IXC589825:JEU589825 JGY589825:JOQ589825 JQU589825:JYM589825 KAQ589825:KII589825 KKM589825:KSE589825 KUI589825:LCA589825 LEE589825:LLW589825 LOA589825:LVS589825 LXW589825:MFO589825 MHS589825:MPK589825 MRO589825:MZG589825 NBK589825:NJC589825 NLG589825:NSY589825 NVC589825:OCU589825 OEY589825:OMQ589825 OOU589825:OWM589825 OYQ589825:PGI589825 PIM589825:PQE589825 PSI589825:QAA589825 QCE589825:QJW589825 QMA589825:QTS589825 QVW589825:RDO589825 RFS589825:RNK589825 RPO589825:RXG589825 RZK589825:SHC589825 SJG589825:SQY589825 STC589825:TAU589825 TCY589825:TKQ589825 TMU589825:TUM589825 TWQ589825:UEI589825 UGM589825:UOE589825 UQI589825:UYA589825 VAE589825:VHW589825 VKA589825:VRS589825 VTW589825:WBO589825 WDS589825:WLK589825 WNO589825:WVG589825 WXK589825:XFC589825 BC655361:IU655361 KY655361:SQ655361 UU655361:ACM655361 AEQ655361:AMI655361 AOM655361:AWE655361 AYI655361:BGA655361 BIE655361:BPW655361 BSA655361:BZS655361 CBW655361:CJO655361 CLS655361:CTK655361 CVO655361:DDG655361 DFK655361:DNC655361 DPG655361:DWY655361 DZC655361:EGU655361 EIY655361:EQQ655361 ESU655361:FAM655361 FCQ655361:FKI655361 FMM655361:FUE655361 FWI655361:GEA655361 GGE655361:GNW655361 GQA655361:GXS655361 GZW655361:HHO655361 HJS655361:HRK655361 HTO655361:IBG655361 IDK655361:ILC655361 ING655361:IUY655361 IXC655361:JEU655361 JGY655361:JOQ655361 JQU655361:JYM655361 KAQ655361:KII655361 KKM655361:KSE655361 KUI655361:LCA655361 LEE655361:LLW655361 LOA655361:LVS655361 LXW655361:MFO655361 MHS655361:MPK655361 MRO655361:MZG655361 NBK655361:NJC655361 NLG655361:NSY655361 NVC655361:OCU655361 OEY655361:OMQ655361 OOU655361:OWM655361 OYQ655361:PGI655361 PIM655361:PQE655361 PSI655361:QAA655361 QCE655361:QJW655361 QMA655361:QTS655361 QVW655361:RDO655361 RFS655361:RNK655361 RPO655361:RXG655361 RZK655361:SHC655361 SJG655361:SQY655361 STC655361:TAU655361 TCY655361:TKQ655361 TMU655361:TUM655361 TWQ655361:UEI655361 UGM655361:UOE655361 UQI655361:UYA655361 VAE655361:VHW655361 VKA655361:VRS655361 VTW655361:WBO655361 WDS655361:WLK655361 WNO655361:WVG655361 WXK655361:XFC655361 BC720897:IU720897 KY720897:SQ720897 UU720897:ACM720897 AEQ720897:AMI720897 AOM720897:AWE720897 AYI720897:BGA720897 BIE720897:BPW720897 BSA720897:BZS720897 CBW720897:CJO720897 CLS720897:CTK720897 CVO720897:DDG720897 DFK720897:DNC720897 DPG720897:DWY720897 DZC720897:EGU720897 EIY720897:EQQ720897 ESU720897:FAM720897 FCQ720897:FKI720897 FMM720897:FUE720897 FWI720897:GEA720897 GGE720897:GNW720897 GQA720897:GXS720897 GZW720897:HHO720897 HJS720897:HRK720897 HTO720897:IBG720897 IDK720897:ILC720897 ING720897:IUY720897 IXC720897:JEU720897 JGY720897:JOQ720897 JQU720897:JYM720897 KAQ720897:KII720897 KKM720897:KSE720897 KUI720897:LCA720897 LEE720897:LLW720897 LOA720897:LVS720897 LXW720897:MFO720897 MHS720897:MPK720897 MRO720897:MZG720897 NBK720897:NJC720897 NLG720897:NSY720897 NVC720897:OCU720897 OEY720897:OMQ720897 OOU720897:OWM720897 OYQ720897:PGI720897 PIM720897:PQE720897 PSI720897:QAA720897 QCE720897:QJW720897 QMA720897:QTS720897 QVW720897:RDO720897 RFS720897:RNK720897 RPO720897:RXG720897 RZK720897:SHC720897 SJG720897:SQY720897 STC720897:TAU720897 TCY720897:TKQ720897 TMU720897:TUM720897 TWQ720897:UEI720897 UGM720897:UOE720897 UQI720897:UYA720897 VAE720897:VHW720897 VKA720897:VRS720897 VTW720897:WBO720897 WDS720897:WLK720897 WNO720897:WVG720897 WXK720897:XFC720897 BC786433:IU786433 KY786433:SQ786433 UU786433:ACM786433 AEQ786433:AMI786433 AOM786433:AWE786433 AYI786433:BGA786433 BIE786433:BPW786433 BSA786433:BZS786433 CBW786433:CJO786433 CLS786433:CTK786433 CVO786433:DDG786433 DFK786433:DNC786433 DPG786433:DWY786433 DZC786433:EGU786433 EIY786433:EQQ786433 ESU786433:FAM786433 FCQ786433:FKI786433 FMM786433:FUE786433 FWI786433:GEA786433 GGE786433:GNW786433 GQA786433:GXS786433 GZW786433:HHO786433 HJS786433:HRK786433 HTO786433:IBG786433 IDK786433:ILC786433 ING786433:IUY786433 IXC786433:JEU786433 JGY786433:JOQ786433 JQU786433:JYM786433 KAQ786433:KII786433 KKM786433:KSE786433 KUI786433:LCA786433 LEE786433:LLW786433 LOA786433:LVS786433 LXW786433:MFO786433 MHS786433:MPK786433 MRO786433:MZG786433 NBK786433:NJC786433 NLG786433:NSY786433 NVC786433:OCU786433 OEY786433:OMQ786433 OOU786433:OWM786433 OYQ786433:PGI786433 PIM786433:PQE786433 PSI786433:QAA786433 QCE786433:QJW786433 QMA786433:QTS786433 QVW786433:RDO786433 RFS786433:RNK786433 RPO786433:RXG786433 RZK786433:SHC786433 SJG786433:SQY786433 STC786433:TAU786433 TCY786433:TKQ786433 TMU786433:TUM786433 TWQ786433:UEI786433 UGM786433:UOE786433 UQI786433:UYA786433 VAE786433:VHW786433 VKA786433:VRS786433 VTW786433:WBO786433 WDS786433:WLK786433 WNO786433:WVG786433 WXK786433:XFC786433 BC851969:IU851969 KY851969:SQ851969 UU851969:ACM851969 AEQ851969:AMI851969 AOM851969:AWE851969 AYI851969:BGA851969 BIE851969:BPW851969 BSA851969:BZS851969 CBW851969:CJO851969 CLS851969:CTK851969 CVO851969:DDG851969 DFK851969:DNC851969 DPG851969:DWY851969 DZC851969:EGU851969 EIY851969:EQQ851969 ESU851969:FAM851969 FCQ851969:FKI851969 FMM851969:FUE851969 FWI851969:GEA851969 GGE851969:GNW851969 GQA851969:GXS851969 GZW851969:HHO851969 HJS851969:HRK851969 HTO851969:IBG851969 IDK851969:ILC851969 ING851969:IUY851969 IXC851969:JEU851969 JGY851969:JOQ851969 JQU851969:JYM851969 KAQ851969:KII851969 KKM851969:KSE851969 KUI851969:LCA851969 LEE851969:LLW851969 LOA851969:LVS851969 LXW851969:MFO851969 MHS851969:MPK851969 MRO851969:MZG851969 NBK851969:NJC851969 NLG851969:NSY851969 NVC851969:OCU851969 OEY851969:OMQ851969 OOU851969:OWM851969 OYQ851969:PGI851969 PIM851969:PQE851969 PSI851969:QAA851969 QCE851969:QJW851969 QMA851969:QTS851969 QVW851969:RDO851969 RFS851969:RNK851969 RPO851969:RXG851969 RZK851969:SHC851969 SJG851969:SQY851969 STC851969:TAU851969 TCY851969:TKQ851969 TMU851969:TUM851969 TWQ851969:UEI851969 UGM851969:UOE851969 UQI851969:UYA851969 VAE851969:VHW851969 VKA851969:VRS851969 VTW851969:WBO851969 WDS851969:WLK851969 WNO851969:WVG851969 WXK851969:XFC851969 BC917505:IU917505 KY917505:SQ917505 UU917505:ACM917505 AEQ917505:AMI917505 AOM917505:AWE917505 AYI917505:BGA917505 BIE917505:BPW917505 BSA917505:BZS917505 CBW917505:CJO917505 CLS917505:CTK917505 CVO917505:DDG917505 DFK917505:DNC917505 DPG917505:DWY917505 DZC917505:EGU917505 EIY917505:EQQ917505 ESU917505:FAM917505 FCQ917505:FKI917505 FMM917505:FUE917505 FWI917505:GEA917505 GGE917505:GNW917505 GQA917505:GXS917505 GZW917505:HHO917505 HJS917505:HRK917505 HTO917505:IBG917505 IDK917505:ILC917505 ING917505:IUY917505 IXC917505:JEU917505 JGY917505:JOQ917505 JQU917505:JYM917505 KAQ917505:KII917505 KKM917505:KSE917505 KUI917505:LCA917505 LEE917505:LLW917505 LOA917505:LVS917505 LXW917505:MFO917505 MHS917505:MPK917505 MRO917505:MZG917505 NBK917505:NJC917505 NLG917505:NSY917505 NVC917505:OCU917505 OEY917505:OMQ917505 OOU917505:OWM917505 OYQ917505:PGI917505 PIM917505:PQE917505 PSI917505:QAA917505 QCE917505:QJW917505 QMA917505:QTS917505 QVW917505:RDO917505 RFS917505:RNK917505 RPO917505:RXG917505 RZK917505:SHC917505 SJG917505:SQY917505 STC917505:TAU917505 TCY917505:TKQ917505 TMU917505:TUM917505 TWQ917505:UEI917505 UGM917505:UOE917505 UQI917505:UYA917505 VAE917505:VHW917505 VKA917505:VRS917505 VTW917505:WBO917505 WDS917505:WLK917505 WNO917505:WVG917505 WXK917505:XFC917505 BC983041:IU983041 KY983041:SQ983041 UU983041:ACM983041 AEQ983041:AMI983041 AOM983041:AWE983041 AYI983041:BGA983041 BIE983041:BPW983041 BSA983041:BZS983041 CBW983041:CJO983041 CLS983041:CTK983041 CVO983041:DDG983041 DFK983041:DNC983041 DPG983041:DWY983041 DZC983041:EGU983041 EIY983041:EQQ983041 ESU983041:FAM983041 FCQ983041:FKI983041 FMM983041:FUE983041 FWI983041:GEA983041 GGE983041:GNW983041 GQA983041:GXS983041 GZW983041:HHO983041 HJS983041:HRK983041 HTO983041:IBG983041 IDK983041:ILC983041 ING983041:IUY983041 IXC983041:JEU983041 JGY983041:JOQ983041 JQU983041:JYM983041 KAQ983041:KII983041 KKM983041:KSE983041 KUI983041:LCA983041 LEE983041:LLW983041 LOA983041:LVS983041 LXW983041:MFO983041 MHS983041:MPK983041 MRO983041:MZG983041 NBK983041:NJC983041 NLG983041:NSY983041 NVC983041:OCU983041 OEY983041:OMQ983041 OOU983041:OWM983041 OYQ983041:PGI983041 PIM983041:PQE983041 PSI983041:QAA983041 QCE983041:QJW983041 QMA983041:QTS983041 QVW983041:RDO983041 RFS983041:RNK983041 RPO983041:RXG983041 RZK983041:SHC983041 SJG983041:SQY983041 STC983041:TAU983041 TCY983041:TKQ983041 TMU983041:TUM983041 TWQ983041:UEI983041 UGM983041:UOE983041 UQI983041:UYA983041 VAE983041:VHW983041 VKA983041:VRS983041 VTW983041:WBO983041 WDS983041:WLK983041 WNO983041:WVG983041 WXK983041:XFC983041" xr:uid="{15E9A6F1-CE23-4180-8417-A33E208525AF}">
      <formula1>"NUMBERS (NOS)               ,PAIRS (PRS)                 ,DOZEN (DOZ)                 ,GROSS (GRS)                 ,KILOGRAM ACTIVITY (KGA)     ,THOUSANDS (THD)             ,GRAMS (GMS)                 ,KILOGRAMS (KGS)             ,METRIC TON (MTS)       "</formula1>
      <formula2>0</formula2>
    </dataValidation>
    <dataValidation type="decimal" operator="greaterThanOrEqual" allowBlank="1" showInputMessage="1" showErrorMessage="1" error="Please Enter Valid Net  Quantity" prompt="Please Enter Numeric Value" sqref="AQ1:BB1 KM1:KX1 UI1:UT1 AEE1:AEP1 AOA1:AOL1 AXW1:AYH1 BHS1:BID1 BRO1:BRZ1 CBK1:CBV1 CLG1:CLR1 CVC1:CVN1 DEY1:DFJ1 DOU1:DPF1 DYQ1:DZB1 EIM1:EIX1 ESI1:EST1 FCE1:FCP1 FMA1:FML1 FVW1:FWH1 GFS1:GGD1 GPO1:GPZ1 GZK1:GZV1 HJG1:HJR1 HTC1:HTN1 ICY1:IDJ1 IMU1:INF1 IWQ1:IXB1 JGM1:JGX1 JQI1:JQT1 KAE1:KAP1 KKA1:KKL1 KTW1:KUH1 LDS1:LED1 LNO1:LNZ1 LXK1:LXV1 MHG1:MHR1 MRC1:MRN1 NAY1:NBJ1 NKU1:NLF1 NUQ1:NVB1 OEM1:OEX1 OOI1:OOT1 OYE1:OYP1 PIA1:PIL1 PRW1:PSH1 QBS1:QCD1 QLO1:QLZ1 QVK1:QVV1 RFG1:RFR1 RPC1:RPN1 RYY1:RZJ1 SIU1:SJF1 SSQ1:STB1 TCM1:TCX1 TMI1:TMT1 TWE1:TWP1 UGA1:UGL1 UPW1:UQH1 UZS1:VAD1 VJO1:VJZ1 VTK1:VTV1 WDG1:WDR1 WNC1:WNN1 WWY1:WXJ1 AQ65537:BB65537 KM65537:KX65537 UI65537:UT65537 AEE65537:AEP65537 AOA65537:AOL65537 AXW65537:AYH65537 BHS65537:BID65537 BRO65537:BRZ65537 CBK65537:CBV65537 CLG65537:CLR65537 CVC65537:CVN65537 DEY65537:DFJ65537 DOU65537:DPF65537 DYQ65537:DZB65537 EIM65537:EIX65537 ESI65537:EST65537 FCE65537:FCP65537 FMA65537:FML65537 FVW65537:FWH65537 GFS65537:GGD65537 GPO65537:GPZ65537 GZK65537:GZV65537 HJG65537:HJR65537 HTC65537:HTN65537 ICY65537:IDJ65537 IMU65537:INF65537 IWQ65537:IXB65537 JGM65537:JGX65537 JQI65537:JQT65537 KAE65537:KAP65537 KKA65537:KKL65537 KTW65537:KUH65537 LDS65537:LED65537 LNO65537:LNZ65537 LXK65537:LXV65537 MHG65537:MHR65537 MRC65537:MRN65537 NAY65537:NBJ65537 NKU65537:NLF65537 NUQ65537:NVB65537 OEM65537:OEX65537 OOI65537:OOT65537 OYE65537:OYP65537 PIA65537:PIL65537 PRW65537:PSH65537 QBS65537:QCD65537 QLO65537:QLZ65537 QVK65537:QVV65537 RFG65537:RFR65537 RPC65537:RPN65537 RYY65537:RZJ65537 SIU65537:SJF65537 SSQ65537:STB65537 TCM65537:TCX65537 TMI65537:TMT65537 TWE65537:TWP65537 UGA65537:UGL65537 UPW65537:UQH65537 UZS65537:VAD65537 VJO65537:VJZ65537 VTK65537:VTV65537 WDG65537:WDR65537 WNC65537:WNN65537 WWY65537:WXJ65537 AQ131073:BB131073 KM131073:KX131073 UI131073:UT131073 AEE131073:AEP131073 AOA131073:AOL131073 AXW131073:AYH131073 BHS131073:BID131073 BRO131073:BRZ131073 CBK131073:CBV131073 CLG131073:CLR131073 CVC131073:CVN131073 DEY131073:DFJ131073 DOU131073:DPF131073 DYQ131073:DZB131073 EIM131073:EIX131073 ESI131073:EST131073 FCE131073:FCP131073 FMA131073:FML131073 FVW131073:FWH131073 GFS131073:GGD131073 GPO131073:GPZ131073 GZK131073:GZV131073 HJG131073:HJR131073 HTC131073:HTN131073 ICY131073:IDJ131073 IMU131073:INF131073 IWQ131073:IXB131073 JGM131073:JGX131073 JQI131073:JQT131073 KAE131073:KAP131073 KKA131073:KKL131073 KTW131073:KUH131073 LDS131073:LED131073 LNO131073:LNZ131073 LXK131073:LXV131073 MHG131073:MHR131073 MRC131073:MRN131073 NAY131073:NBJ131073 NKU131073:NLF131073 NUQ131073:NVB131073 OEM131073:OEX131073 OOI131073:OOT131073 OYE131073:OYP131073 PIA131073:PIL131073 PRW131073:PSH131073 QBS131073:QCD131073 QLO131073:QLZ131073 QVK131073:QVV131073 RFG131073:RFR131073 RPC131073:RPN131073 RYY131073:RZJ131073 SIU131073:SJF131073 SSQ131073:STB131073 TCM131073:TCX131073 TMI131073:TMT131073 TWE131073:TWP131073 UGA131073:UGL131073 UPW131073:UQH131073 UZS131073:VAD131073 VJO131073:VJZ131073 VTK131073:VTV131073 WDG131073:WDR131073 WNC131073:WNN131073 WWY131073:WXJ131073 AQ196609:BB196609 KM196609:KX196609 UI196609:UT196609 AEE196609:AEP196609 AOA196609:AOL196609 AXW196609:AYH196609 BHS196609:BID196609 BRO196609:BRZ196609 CBK196609:CBV196609 CLG196609:CLR196609 CVC196609:CVN196609 DEY196609:DFJ196609 DOU196609:DPF196609 DYQ196609:DZB196609 EIM196609:EIX196609 ESI196609:EST196609 FCE196609:FCP196609 FMA196609:FML196609 FVW196609:FWH196609 GFS196609:GGD196609 GPO196609:GPZ196609 GZK196609:GZV196609 HJG196609:HJR196609 HTC196609:HTN196609 ICY196609:IDJ196609 IMU196609:INF196609 IWQ196609:IXB196609 JGM196609:JGX196609 JQI196609:JQT196609 KAE196609:KAP196609 KKA196609:KKL196609 KTW196609:KUH196609 LDS196609:LED196609 LNO196609:LNZ196609 LXK196609:LXV196609 MHG196609:MHR196609 MRC196609:MRN196609 NAY196609:NBJ196609 NKU196609:NLF196609 NUQ196609:NVB196609 OEM196609:OEX196609 OOI196609:OOT196609 OYE196609:OYP196609 PIA196609:PIL196609 PRW196609:PSH196609 QBS196609:QCD196609 QLO196609:QLZ196609 QVK196609:QVV196609 RFG196609:RFR196609 RPC196609:RPN196609 RYY196609:RZJ196609 SIU196609:SJF196609 SSQ196609:STB196609 TCM196609:TCX196609 TMI196609:TMT196609 TWE196609:TWP196609 UGA196609:UGL196609 UPW196609:UQH196609 UZS196609:VAD196609 VJO196609:VJZ196609 VTK196609:VTV196609 WDG196609:WDR196609 WNC196609:WNN196609 WWY196609:WXJ196609 AQ262145:BB262145 KM262145:KX262145 UI262145:UT262145 AEE262145:AEP262145 AOA262145:AOL262145 AXW262145:AYH262145 BHS262145:BID262145 BRO262145:BRZ262145 CBK262145:CBV262145 CLG262145:CLR262145 CVC262145:CVN262145 DEY262145:DFJ262145 DOU262145:DPF262145 DYQ262145:DZB262145 EIM262145:EIX262145 ESI262145:EST262145 FCE262145:FCP262145 FMA262145:FML262145 FVW262145:FWH262145 GFS262145:GGD262145 GPO262145:GPZ262145 GZK262145:GZV262145 HJG262145:HJR262145 HTC262145:HTN262145 ICY262145:IDJ262145 IMU262145:INF262145 IWQ262145:IXB262145 JGM262145:JGX262145 JQI262145:JQT262145 KAE262145:KAP262145 KKA262145:KKL262145 KTW262145:KUH262145 LDS262145:LED262145 LNO262145:LNZ262145 LXK262145:LXV262145 MHG262145:MHR262145 MRC262145:MRN262145 NAY262145:NBJ262145 NKU262145:NLF262145 NUQ262145:NVB262145 OEM262145:OEX262145 OOI262145:OOT262145 OYE262145:OYP262145 PIA262145:PIL262145 PRW262145:PSH262145 QBS262145:QCD262145 QLO262145:QLZ262145 QVK262145:QVV262145 RFG262145:RFR262145 RPC262145:RPN262145 RYY262145:RZJ262145 SIU262145:SJF262145 SSQ262145:STB262145 TCM262145:TCX262145 TMI262145:TMT262145 TWE262145:TWP262145 UGA262145:UGL262145 UPW262145:UQH262145 UZS262145:VAD262145 VJO262145:VJZ262145 VTK262145:VTV262145 WDG262145:WDR262145 WNC262145:WNN262145 WWY262145:WXJ262145 AQ327681:BB327681 KM327681:KX327681 UI327681:UT327681 AEE327681:AEP327681 AOA327681:AOL327681 AXW327681:AYH327681 BHS327681:BID327681 BRO327681:BRZ327681 CBK327681:CBV327681 CLG327681:CLR327681 CVC327681:CVN327681 DEY327681:DFJ327681 DOU327681:DPF327681 DYQ327681:DZB327681 EIM327681:EIX327681 ESI327681:EST327681 FCE327681:FCP327681 FMA327681:FML327681 FVW327681:FWH327681 GFS327681:GGD327681 GPO327681:GPZ327681 GZK327681:GZV327681 HJG327681:HJR327681 HTC327681:HTN327681 ICY327681:IDJ327681 IMU327681:INF327681 IWQ327681:IXB327681 JGM327681:JGX327681 JQI327681:JQT327681 KAE327681:KAP327681 KKA327681:KKL327681 KTW327681:KUH327681 LDS327681:LED327681 LNO327681:LNZ327681 LXK327681:LXV327681 MHG327681:MHR327681 MRC327681:MRN327681 NAY327681:NBJ327681 NKU327681:NLF327681 NUQ327681:NVB327681 OEM327681:OEX327681 OOI327681:OOT327681 OYE327681:OYP327681 PIA327681:PIL327681 PRW327681:PSH327681 QBS327681:QCD327681 QLO327681:QLZ327681 QVK327681:QVV327681 RFG327681:RFR327681 RPC327681:RPN327681 RYY327681:RZJ327681 SIU327681:SJF327681 SSQ327681:STB327681 TCM327681:TCX327681 TMI327681:TMT327681 TWE327681:TWP327681 UGA327681:UGL327681 UPW327681:UQH327681 UZS327681:VAD327681 VJO327681:VJZ327681 VTK327681:VTV327681 WDG327681:WDR327681 WNC327681:WNN327681 WWY327681:WXJ327681 AQ393217:BB393217 KM393217:KX393217 UI393217:UT393217 AEE393217:AEP393217 AOA393217:AOL393217 AXW393217:AYH393217 BHS393217:BID393217 BRO393217:BRZ393217 CBK393217:CBV393217 CLG393217:CLR393217 CVC393217:CVN393217 DEY393217:DFJ393217 DOU393217:DPF393217 DYQ393217:DZB393217 EIM393217:EIX393217 ESI393217:EST393217 FCE393217:FCP393217 FMA393217:FML393217 FVW393217:FWH393217 GFS393217:GGD393217 GPO393217:GPZ393217 GZK393217:GZV393217 HJG393217:HJR393217 HTC393217:HTN393217 ICY393217:IDJ393217 IMU393217:INF393217 IWQ393217:IXB393217 JGM393217:JGX393217 JQI393217:JQT393217 KAE393217:KAP393217 KKA393217:KKL393217 KTW393217:KUH393217 LDS393217:LED393217 LNO393217:LNZ393217 LXK393217:LXV393217 MHG393217:MHR393217 MRC393217:MRN393217 NAY393217:NBJ393217 NKU393217:NLF393217 NUQ393217:NVB393217 OEM393217:OEX393217 OOI393217:OOT393217 OYE393217:OYP393217 PIA393217:PIL393217 PRW393217:PSH393217 QBS393217:QCD393217 QLO393217:QLZ393217 QVK393217:QVV393217 RFG393217:RFR393217 RPC393217:RPN393217 RYY393217:RZJ393217 SIU393217:SJF393217 SSQ393217:STB393217 TCM393217:TCX393217 TMI393217:TMT393217 TWE393217:TWP393217 UGA393217:UGL393217 UPW393217:UQH393217 UZS393217:VAD393217 VJO393217:VJZ393217 VTK393217:VTV393217 WDG393217:WDR393217 WNC393217:WNN393217 WWY393217:WXJ393217 AQ458753:BB458753 KM458753:KX458753 UI458753:UT458753 AEE458753:AEP458753 AOA458753:AOL458753 AXW458753:AYH458753 BHS458753:BID458753 BRO458753:BRZ458753 CBK458753:CBV458753 CLG458753:CLR458753 CVC458753:CVN458753 DEY458753:DFJ458753 DOU458753:DPF458753 DYQ458753:DZB458753 EIM458753:EIX458753 ESI458753:EST458753 FCE458753:FCP458753 FMA458753:FML458753 FVW458753:FWH458753 GFS458753:GGD458753 GPO458753:GPZ458753 GZK458753:GZV458753 HJG458753:HJR458753 HTC458753:HTN458753 ICY458753:IDJ458753 IMU458753:INF458753 IWQ458753:IXB458753 JGM458753:JGX458753 JQI458753:JQT458753 KAE458753:KAP458753 KKA458753:KKL458753 KTW458753:KUH458753 LDS458753:LED458753 LNO458753:LNZ458753 LXK458753:LXV458753 MHG458753:MHR458753 MRC458753:MRN458753 NAY458753:NBJ458753 NKU458753:NLF458753 NUQ458753:NVB458753 OEM458753:OEX458753 OOI458753:OOT458753 OYE458753:OYP458753 PIA458753:PIL458753 PRW458753:PSH458753 QBS458753:QCD458753 QLO458753:QLZ458753 QVK458753:QVV458753 RFG458753:RFR458753 RPC458753:RPN458753 RYY458753:RZJ458753 SIU458753:SJF458753 SSQ458753:STB458753 TCM458753:TCX458753 TMI458753:TMT458753 TWE458753:TWP458753 UGA458753:UGL458753 UPW458753:UQH458753 UZS458753:VAD458753 VJO458753:VJZ458753 VTK458753:VTV458753 WDG458753:WDR458753 WNC458753:WNN458753 WWY458753:WXJ458753 AQ524289:BB524289 KM524289:KX524289 UI524289:UT524289 AEE524289:AEP524289 AOA524289:AOL524289 AXW524289:AYH524289 BHS524289:BID524289 BRO524289:BRZ524289 CBK524289:CBV524289 CLG524289:CLR524289 CVC524289:CVN524289 DEY524289:DFJ524289 DOU524289:DPF524289 DYQ524289:DZB524289 EIM524289:EIX524289 ESI524289:EST524289 FCE524289:FCP524289 FMA524289:FML524289 FVW524289:FWH524289 GFS524289:GGD524289 GPO524289:GPZ524289 GZK524289:GZV524289 HJG524289:HJR524289 HTC524289:HTN524289 ICY524289:IDJ524289 IMU524289:INF524289 IWQ524289:IXB524289 JGM524289:JGX524289 JQI524289:JQT524289 KAE524289:KAP524289 KKA524289:KKL524289 KTW524289:KUH524289 LDS524289:LED524289 LNO524289:LNZ524289 LXK524289:LXV524289 MHG524289:MHR524289 MRC524289:MRN524289 NAY524289:NBJ524289 NKU524289:NLF524289 NUQ524289:NVB524289 OEM524289:OEX524289 OOI524289:OOT524289 OYE524289:OYP524289 PIA524289:PIL524289 PRW524289:PSH524289 QBS524289:QCD524289 QLO524289:QLZ524289 QVK524289:QVV524289 RFG524289:RFR524289 RPC524289:RPN524289 RYY524289:RZJ524289 SIU524289:SJF524289 SSQ524289:STB524289 TCM524289:TCX524289 TMI524289:TMT524289 TWE524289:TWP524289 UGA524289:UGL524289 UPW524289:UQH524289 UZS524289:VAD524289 VJO524289:VJZ524289 VTK524289:VTV524289 WDG524289:WDR524289 WNC524289:WNN524289 WWY524289:WXJ524289 AQ589825:BB589825 KM589825:KX589825 UI589825:UT589825 AEE589825:AEP589825 AOA589825:AOL589825 AXW589825:AYH589825 BHS589825:BID589825 BRO589825:BRZ589825 CBK589825:CBV589825 CLG589825:CLR589825 CVC589825:CVN589825 DEY589825:DFJ589825 DOU589825:DPF589825 DYQ589825:DZB589825 EIM589825:EIX589825 ESI589825:EST589825 FCE589825:FCP589825 FMA589825:FML589825 FVW589825:FWH589825 GFS589825:GGD589825 GPO589825:GPZ589825 GZK589825:GZV589825 HJG589825:HJR589825 HTC589825:HTN589825 ICY589825:IDJ589825 IMU589825:INF589825 IWQ589825:IXB589825 JGM589825:JGX589825 JQI589825:JQT589825 KAE589825:KAP589825 KKA589825:KKL589825 KTW589825:KUH589825 LDS589825:LED589825 LNO589825:LNZ589825 LXK589825:LXV589825 MHG589825:MHR589825 MRC589825:MRN589825 NAY589825:NBJ589825 NKU589825:NLF589825 NUQ589825:NVB589825 OEM589825:OEX589825 OOI589825:OOT589825 OYE589825:OYP589825 PIA589825:PIL589825 PRW589825:PSH589825 QBS589825:QCD589825 QLO589825:QLZ589825 QVK589825:QVV589825 RFG589825:RFR589825 RPC589825:RPN589825 RYY589825:RZJ589825 SIU589825:SJF589825 SSQ589825:STB589825 TCM589825:TCX589825 TMI589825:TMT589825 TWE589825:TWP589825 UGA589825:UGL589825 UPW589825:UQH589825 UZS589825:VAD589825 VJO589825:VJZ589825 VTK589825:VTV589825 WDG589825:WDR589825 WNC589825:WNN589825 WWY589825:WXJ589825 AQ655361:BB655361 KM655361:KX655361 UI655361:UT655361 AEE655361:AEP655361 AOA655361:AOL655361 AXW655361:AYH655361 BHS655361:BID655361 BRO655361:BRZ655361 CBK655361:CBV655361 CLG655361:CLR655361 CVC655361:CVN655361 DEY655361:DFJ655361 DOU655361:DPF655361 DYQ655361:DZB655361 EIM655361:EIX655361 ESI655361:EST655361 FCE655361:FCP655361 FMA655361:FML655361 FVW655361:FWH655361 GFS655361:GGD655361 GPO655361:GPZ655361 GZK655361:GZV655361 HJG655361:HJR655361 HTC655361:HTN655361 ICY655361:IDJ655361 IMU655361:INF655361 IWQ655361:IXB655361 JGM655361:JGX655361 JQI655361:JQT655361 KAE655361:KAP655361 KKA655361:KKL655361 KTW655361:KUH655361 LDS655361:LED655361 LNO655361:LNZ655361 LXK655361:LXV655361 MHG655361:MHR655361 MRC655361:MRN655361 NAY655361:NBJ655361 NKU655361:NLF655361 NUQ655361:NVB655361 OEM655361:OEX655361 OOI655361:OOT655361 OYE655361:OYP655361 PIA655361:PIL655361 PRW655361:PSH655361 QBS655361:QCD655361 QLO655361:QLZ655361 QVK655361:QVV655361 RFG655361:RFR655361 RPC655361:RPN655361 RYY655361:RZJ655361 SIU655361:SJF655361 SSQ655361:STB655361 TCM655361:TCX655361 TMI655361:TMT655361 TWE655361:TWP655361 UGA655361:UGL655361 UPW655361:UQH655361 UZS655361:VAD655361 VJO655361:VJZ655361 VTK655361:VTV655361 WDG655361:WDR655361 WNC655361:WNN655361 WWY655361:WXJ655361 AQ720897:BB720897 KM720897:KX720897 UI720897:UT720897 AEE720897:AEP720897 AOA720897:AOL720897 AXW720897:AYH720897 BHS720897:BID720897 BRO720897:BRZ720897 CBK720897:CBV720897 CLG720897:CLR720897 CVC720897:CVN720897 DEY720897:DFJ720897 DOU720897:DPF720897 DYQ720897:DZB720897 EIM720897:EIX720897 ESI720897:EST720897 FCE720897:FCP720897 FMA720897:FML720897 FVW720897:FWH720897 GFS720897:GGD720897 GPO720897:GPZ720897 GZK720897:GZV720897 HJG720897:HJR720897 HTC720897:HTN720897 ICY720897:IDJ720897 IMU720897:INF720897 IWQ720897:IXB720897 JGM720897:JGX720897 JQI720897:JQT720897 KAE720897:KAP720897 KKA720897:KKL720897 KTW720897:KUH720897 LDS720897:LED720897 LNO720897:LNZ720897 LXK720897:LXV720897 MHG720897:MHR720897 MRC720897:MRN720897 NAY720897:NBJ720897 NKU720897:NLF720897 NUQ720897:NVB720897 OEM720897:OEX720897 OOI720897:OOT720897 OYE720897:OYP720897 PIA720897:PIL720897 PRW720897:PSH720897 QBS720897:QCD720897 QLO720897:QLZ720897 QVK720897:QVV720897 RFG720897:RFR720897 RPC720897:RPN720897 RYY720897:RZJ720897 SIU720897:SJF720897 SSQ720897:STB720897 TCM720897:TCX720897 TMI720897:TMT720897 TWE720897:TWP720897 UGA720897:UGL720897 UPW720897:UQH720897 UZS720897:VAD720897 VJO720897:VJZ720897 VTK720897:VTV720897 WDG720897:WDR720897 WNC720897:WNN720897 WWY720897:WXJ720897 AQ786433:BB786433 KM786433:KX786433 UI786433:UT786433 AEE786433:AEP786433 AOA786433:AOL786433 AXW786433:AYH786433 BHS786433:BID786433 BRO786433:BRZ786433 CBK786433:CBV786433 CLG786433:CLR786433 CVC786433:CVN786433 DEY786433:DFJ786433 DOU786433:DPF786433 DYQ786433:DZB786433 EIM786433:EIX786433 ESI786433:EST786433 FCE786433:FCP786433 FMA786433:FML786433 FVW786433:FWH786433 GFS786433:GGD786433 GPO786433:GPZ786433 GZK786433:GZV786433 HJG786433:HJR786433 HTC786433:HTN786433 ICY786433:IDJ786433 IMU786433:INF786433 IWQ786433:IXB786433 JGM786433:JGX786433 JQI786433:JQT786433 KAE786433:KAP786433 KKA786433:KKL786433 KTW786433:KUH786433 LDS786433:LED786433 LNO786433:LNZ786433 LXK786433:LXV786433 MHG786433:MHR786433 MRC786433:MRN786433 NAY786433:NBJ786433 NKU786433:NLF786433 NUQ786433:NVB786433 OEM786433:OEX786433 OOI786433:OOT786433 OYE786433:OYP786433 PIA786433:PIL786433 PRW786433:PSH786433 QBS786433:QCD786433 QLO786433:QLZ786433 QVK786433:QVV786433 RFG786433:RFR786433 RPC786433:RPN786433 RYY786433:RZJ786433 SIU786433:SJF786433 SSQ786433:STB786433 TCM786433:TCX786433 TMI786433:TMT786433 TWE786433:TWP786433 UGA786433:UGL786433 UPW786433:UQH786433 UZS786433:VAD786433 VJO786433:VJZ786433 VTK786433:VTV786433 WDG786433:WDR786433 WNC786433:WNN786433 WWY786433:WXJ786433 AQ851969:BB851969 KM851969:KX851969 UI851969:UT851969 AEE851969:AEP851969 AOA851969:AOL851969 AXW851969:AYH851969 BHS851969:BID851969 BRO851969:BRZ851969 CBK851969:CBV851969 CLG851969:CLR851969 CVC851969:CVN851969 DEY851969:DFJ851969 DOU851969:DPF851969 DYQ851969:DZB851969 EIM851969:EIX851969 ESI851969:EST851969 FCE851969:FCP851969 FMA851969:FML851969 FVW851969:FWH851969 GFS851969:GGD851969 GPO851969:GPZ851969 GZK851969:GZV851969 HJG851969:HJR851969 HTC851969:HTN851969 ICY851969:IDJ851969 IMU851969:INF851969 IWQ851969:IXB851969 JGM851969:JGX851969 JQI851969:JQT851969 KAE851969:KAP851969 KKA851969:KKL851969 KTW851969:KUH851969 LDS851969:LED851969 LNO851969:LNZ851969 LXK851969:LXV851969 MHG851969:MHR851969 MRC851969:MRN851969 NAY851969:NBJ851969 NKU851969:NLF851969 NUQ851969:NVB851969 OEM851969:OEX851969 OOI851969:OOT851969 OYE851969:OYP851969 PIA851969:PIL851969 PRW851969:PSH851969 QBS851969:QCD851969 QLO851969:QLZ851969 QVK851969:QVV851969 RFG851969:RFR851969 RPC851969:RPN851969 RYY851969:RZJ851969 SIU851969:SJF851969 SSQ851969:STB851969 TCM851969:TCX851969 TMI851969:TMT851969 TWE851969:TWP851969 UGA851969:UGL851969 UPW851969:UQH851969 UZS851969:VAD851969 VJO851969:VJZ851969 VTK851969:VTV851969 WDG851969:WDR851969 WNC851969:WNN851969 WWY851969:WXJ851969 AQ917505:BB917505 KM917505:KX917505 UI917505:UT917505 AEE917505:AEP917505 AOA917505:AOL917505 AXW917505:AYH917505 BHS917505:BID917505 BRO917505:BRZ917505 CBK917505:CBV917505 CLG917505:CLR917505 CVC917505:CVN917505 DEY917505:DFJ917505 DOU917505:DPF917505 DYQ917505:DZB917505 EIM917505:EIX917505 ESI917505:EST917505 FCE917505:FCP917505 FMA917505:FML917505 FVW917505:FWH917505 GFS917505:GGD917505 GPO917505:GPZ917505 GZK917505:GZV917505 HJG917505:HJR917505 HTC917505:HTN917505 ICY917505:IDJ917505 IMU917505:INF917505 IWQ917505:IXB917505 JGM917505:JGX917505 JQI917505:JQT917505 KAE917505:KAP917505 KKA917505:KKL917505 KTW917505:KUH917505 LDS917505:LED917505 LNO917505:LNZ917505 LXK917505:LXV917505 MHG917505:MHR917505 MRC917505:MRN917505 NAY917505:NBJ917505 NKU917505:NLF917505 NUQ917505:NVB917505 OEM917505:OEX917505 OOI917505:OOT917505 OYE917505:OYP917505 PIA917505:PIL917505 PRW917505:PSH917505 QBS917505:QCD917505 QLO917505:QLZ917505 QVK917505:QVV917505 RFG917505:RFR917505 RPC917505:RPN917505 RYY917505:RZJ917505 SIU917505:SJF917505 SSQ917505:STB917505 TCM917505:TCX917505 TMI917505:TMT917505 TWE917505:TWP917505 UGA917505:UGL917505 UPW917505:UQH917505 UZS917505:VAD917505 VJO917505:VJZ917505 VTK917505:VTV917505 WDG917505:WDR917505 WNC917505:WNN917505 WWY917505:WXJ917505 AQ983041:BB983041 KM983041:KX983041 UI983041:UT983041 AEE983041:AEP983041 AOA983041:AOL983041 AXW983041:AYH983041 BHS983041:BID983041 BRO983041:BRZ983041 CBK983041:CBV983041 CLG983041:CLR983041 CVC983041:CVN983041 DEY983041:DFJ983041 DOU983041:DPF983041 DYQ983041:DZB983041 EIM983041:EIX983041 ESI983041:EST983041 FCE983041:FCP983041 FMA983041:FML983041 FVW983041:FWH983041 GFS983041:GGD983041 GPO983041:GPZ983041 GZK983041:GZV983041 HJG983041:HJR983041 HTC983041:HTN983041 ICY983041:IDJ983041 IMU983041:INF983041 IWQ983041:IXB983041 JGM983041:JGX983041 JQI983041:JQT983041 KAE983041:KAP983041 KKA983041:KKL983041 KTW983041:KUH983041 LDS983041:LED983041 LNO983041:LNZ983041 LXK983041:LXV983041 MHG983041:MHR983041 MRC983041:MRN983041 NAY983041:NBJ983041 NKU983041:NLF983041 NUQ983041:NVB983041 OEM983041:OEX983041 OOI983041:OOT983041 OYE983041:OYP983041 PIA983041:PIL983041 PRW983041:PSH983041 QBS983041:QCD983041 QLO983041:QLZ983041 QVK983041:QVV983041 RFG983041:RFR983041 RPC983041:RPN983041 RYY983041:RZJ983041 SIU983041:SJF983041 SSQ983041:STB983041 TCM983041:TCX983041 TMI983041:TMT983041 TWE983041:TWP983041 UGA983041:UGL983041 UPW983041:UQH983041 UZS983041:VAD983041 VJO983041:VJZ983041 VTK983041:VTV983041 WDG983041:WDR983041 WNC983041:WNN983041 WWY983041:WXJ983041 AQ71:IV105 KM71:SR105 UI71:ACN105 AEE71:AMJ105 AOA71:AWF105 AXW71:BGB105 BHS71:BPX105 BRO71:BZT105 CBK71:CJP105 CLG71:CTL105 CVC71:DDH105 DEY71:DND105 DOU71:DWZ105 DYQ71:EGV105 EIM71:EQR105 ESI71:FAN105 FCE71:FKJ105 FMA71:FUF105 FVW71:GEB105 GFS71:GNX105 GPO71:GXT105 GZK71:HHP105 HJG71:HRL105 HTC71:IBH105 ICY71:ILD105 IMU71:IUZ105 IWQ71:JEV105 JGM71:JOR105 JQI71:JYN105 KAE71:KIJ105 KKA71:KSF105 KTW71:LCB105 LDS71:LLX105 LNO71:LVT105 LXK71:MFP105 MHG71:MPL105 MRC71:MZH105 NAY71:NJD105 NKU71:NSZ105 NUQ71:OCV105 OEM71:OMR105 OOI71:OWN105 OYE71:PGJ105 PIA71:PQF105 PRW71:QAB105 QBS71:QJX105 QLO71:QTT105 QVK71:RDP105 RFG71:RNL105 RPC71:RXH105 RYY71:SHD105 SIU71:SQZ105 SSQ71:TAV105 TCM71:TKR105 TMI71:TUN105 TWE71:UEJ105 UGA71:UOF105 UPW71:UYB105 UZS71:VHX105 VJO71:VRT105 VTK71:WBP105 WDG71:WLL105 WNC71:WVH105 WWY71:XFD105 AQ65607:IV65641 KM65607:SR65641 UI65607:ACN65641 AEE65607:AMJ65641 AOA65607:AWF65641 AXW65607:BGB65641 BHS65607:BPX65641 BRO65607:BZT65641 CBK65607:CJP65641 CLG65607:CTL65641 CVC65607:DDH65641 DEY65607:DND65641 DOU65607:DWZ65641 DYQ65607:EGV65641 EIM65607:EQR65641 ESI65607:FAN65641 FCE65607:FKJ65641 FMA65607:FUF65641 FVW65607:GEB65641 GFS65607:GNX65641 GPO65607:GXT65641 GZK65607:HHP65641 HJG65607:HRL65641 HTC65607:IBH65641 ICY65607:ILD65641 IMU65607:IUZ65641 IWQ65607:JEV65641 JGM65607:JOR65641 JQI65607:JYN65641 KAE65607:KIJ65641 KKA65607:KSF65641 KTW65607:LCB65641 LDS65607:LLX65641 LNO65607:LVT65641 LXK65607:MFP65641 MHG65607:MPL65641 MRC65607:MZH65641 NAY65607:NJD65641 NKU65607:NSZ65641 NUQ65607:OCV65641 OEM65607:OMR65641 OOI65607:OWN65641 OYE65607:PGJ65641 PIA65607:PQF65641 PRW65607:QAB65641 QBS65607:QJX65641 QLO65607:QTT65641 QVK65607:RDP65641 RFG65607:RNL65641 RPC65607:RXH65641 RYY65607:SHD65641 SIU65607:SQZ65641 SSQ65607:TAV65641 TCM65607:TKR65641 TMI65607:TUN65641 TWE65607:UEJ65641 UGA65607:UOF65641 UPW65607:UYB65641 UZS65607:VHX65641 VJO65607:VRT65641 VTK65607:WBP65641 WDG65607:WLL65641 WNC65607:WVH65641 WWY65607:XFD65641 AQ131143:IV131177 KM131143:SR131177 UI131143:ACN131177 AEE131143:AMJ131177 AOA131143:AWF131177 AXW131143:BGB131177 BHS131143:BPX131177 BRO131143:BZT131177 CBK131143:CJP131177 CLG131143:CTL131177 CVC131143:DDH131177 DEY131143:DND131177 DOU131143:DWZ131177 DYQ131143:EGV131177 EIM131143:EQR131177 ESI131143:FAN131177 FCE131143:FKJ131177 FMA131143:FUF131177 FVW131143:GEB131177 GFS131143:GNX131177 GPO131143:GXT131177 GZK131143:HHP131177 HJG131143:HRL131177 HTC131143:IBH131177 ICY131143:ILD131177 IMU131143:IUZ131177 IWQ131143:JEV131177 JGM131143:JOR131177 JQI131143:JYN131177 KAE131143:KIJ131177 KKA131143:KSF131177 KTW131143:LCB131177 LDS131143:LLX131177 LNO131143:LVT131177 LXK131143:MFP131177 MHG131143:MPL131177 MRC131143:MZH131177 NAY131143:NJD131177 NKU131143:NSZ131177 NUQ131143:OCV131177 OEM131143:OMR131177 OOI131143:OWN131177 OYE131143:PGJ131177 PIA131143:PQF131177 PRW131143:QAB131177 QBS131143:QJX131177 QLO131143:QTT131177 QVK131143:RDP131177 RFG131143:RNL131177 RPC131143:RXH131177 RYY131143:SHD131177 SIU131143:SQZ131177 SSQ131143:TAV131177 TCM131143:TKR131177 TMI131143:TUN131177 TWE131143:UEJ131177 UGA131143:UOF131177 UPW131143:UYB131177 UZS131143:VHX131177 VJO131143:VRT131177 VTK131143:WBP131177 WDG131143:WLL131177 WNC131143:WVH131177 WWY131143:XFD131177 AQ196679:IV196713 KM196679:SR196713 UI196679:ACN196713 AEE196679:AMJ196713 AOA196679:AWF196713 AXW196679:BGB196713 BHS196679:BPX196713 BRO196679:BZT196713 CBK196679:CJP196713 CLG196679:CTL196713 CVC196679:DDH196713 DEY196679:DND196713 DOU196679:DWZ196713 DYQ196679:EGV196713 EIM196679:EQR196713 ESI196679:FAN196713 FCE196679:FKJ196713 FMA196679:FUF196713 FVW196679:GEB196713 GFS196679:GNX196713 GPO196679:GXT196713 GZK196679:HHP196713 HJG196679:HRL196713 HTC196679:IBH196713 ICY196679:ILD196713 IMU196679:IUZ196713 IWQ196679:JEV196713 JGM196679:JOR196713 JQI196679:JYN196713 KAE196679:KIJ196713 KKA196679:KSF196713 KTW196679:LCB196713 LDS196679:LLX196713 LNO196679:LVT196713 LXK196679:MFP196713 MHG196679:MPL196713 MRC196679:MZH196713 NAY196679:NJD196713 NKU196679:NSZ196713 NUQ196679:OCV196713 OEM196679:OMR196713 OOI196679:OWN196713 OYE196679:PGJ196713 PIA196679:PQF196713 PRW196679:QAB196713 QBS196679:QJX196713 QLO196679:QTT196713 QVK196679:RDP196713 RFG196679:RNL196713 RPC196679:RXH196713 RYY196679:SHD196713 SIU196679:SQZ196713 SSQ196679:TAV196713 TCM196679:TKR196713 TMI196679:TUN196713 TWE196679:UEJ196713 UGA196679:UOF196713 UPW196679:UYB196713 UZS196679:VHX196713 VJO196679:VRT196713 VTK196679:WBP196713 WDG196679:WLL196713 WNC196679:WVH196713 WWY196679:XFD196713 AQ262215:IV262249 KM262215:SR262249 UI262215:ACN262249 AEE262215:AMJ262249 AOA262215:AWF262249 AXW262215:BGB262249 BHS262215:BPX262249 BRO262215:BZT262249 CBK262215:CJP262249 CLG262215:CTL262249 CVC262215:DDH262249 DEY262215:DND262249 DOU262215:DWZ262249 DYQ262215:EGV262249 EIM262215:EQR262249 ESI262215:FAN262249 FCE262215:FKJ262249 FMA262215:FUF262249 FVW262215:GEB262249 GFS262215:GNX262249 GPO262215:GXT262249 GZK262215:HHP262249 HJG262215:HRL262249 HTC262215:IBH262249 ICY262215:ILD262249 IMU262215:IUZ262249 IWQ262215:JEV262249 JGM262215:JOR262249 JQI262215:JYN262249 KAE262215:KIJ262249 KKA262215:KSF262249 KTW262215:LCB262249 LDS262215:LLX262249 LNO262215:LVT262249 LXK262215:MFP262249 MHG262215:MPL262249 MRC262215:MZH262249 NAY262215:NJD262249 NKU262215:NSZ262249 NUQ262215:OCV262249 OEM262215:OMR262249 OOI262215:OWN262249 OYE262215:PGJ262249 PIA262215:PQF262249 PRW262215:QAB262249 QBS262215:QJX262249 QLO262215:QTT262249 QVK262215:RDP262249 RFG262215:RNL262249 RPC262215:RXH262249 RYY262215:SHD262249 SIU262215:SQZ262249 SSQ262215:TAV262249 TCM262215:TKR262249 TMI262215:TUN262249 TWE262215:UEJ262249 UGA262215:UOF262249 UPW262215:UYB262249 UZS262215:VHX262249 VJO262215:VRT262249 VTK262215:WBP262249 WDG262215:WLL262249 WNC262215:WVH262249 WWY262215:XFD262249 AQ327751:IV327785 KM327751:SR327785 UI327751:ACN327785 AEE327751:AMJ327785 AOA327751:AWF327785 AXW327751:BGB327785 BHS327751:BPX327785 BRO327751:BZT327785 CBK327751:CJP327785 CLG327751:CTL327785 CVC327751:DDH327785 DEY327751:DND327785 DOU327751:DWZ327785 DYQ327751:EGV327785 EIM327751:EQR327785 ESI327751:FAN327785 FCE327751:FKJ327785 FMA327751:FUF327785 FVW327751:GEB327785 GFS327751:GNX327785 GPO327751:GXT327785 GZK327751:HHP327785 HJG327751:HRL327785 HTC327751:IBH327785 ICY327751:ILD327785 IMU327751:IUZ327785 IWQ327751:JEV327785 JGM327751:JOR327785 JQI327751:JYN327785 KAE327751:KIJ327785 KKA327751:KSF327785 KTW327751:LCB327785 LDS327751:LLX327785 LNO327751:LVT327785 LXK327751:MFP327785 MHG327751:MPL327785 MRC327751:MZH327785 NAY327751:NJD327785 NKU327751:NSZ327785 NUQ327751:OCV327785 OEM327751:OMR327785 OOI327751:OWN327785 OYE327751:PGJ327785 PIA327751:PQF327785 PRW327751:QAB327785 QBS327751:QJX327785 QLO327751:QTT327785 QVK327751:RDP327785 RFG327751:RNL327785 RPC327751:RXH327785 RYY327751:SHD327785 SIU327751:SQZ327785 SSQ327751:TAV327785 TCM327751:TKR327785 TMI327751:TUN327785 TWE327751:UEJ327785 UGA327751:UOF327785 UPW327751:UYB327785 UZS327751:VHX327785 VJO327751:VRT327785 VTK327751:WBP327785 WDG327751:WLL327785 WNC327751:WVH327785 WWY327751:XFD327785 AQ393287:IV393321 KM393287:SR393321 UI393287:ACN393321 AEE393287:AMJ393321 AOA393287:AWF393321 AXW393287:BGB393321 BHS393287:BPX393321 BRO393287:BZT393321 CBK393287:CJP393321 CLG393287:CTL393321 CVC393287:DDH393321 DEY393287:DND393321 DOU393287:DWZ393321 DYQ393287:EGV393321 EIM393287:EQR393321 ESI393287:FAN393321 FCE393287:FKJ393321 FMA393287:FUF393321 FVW393287:GEB393321 GFS393287:GNX393321 GPO393287:GXT393321 GZK393287:HHP393321 HJG393287:HRL393321 HTC393287:IBH393321 ICY393287:ILD393321 IMU393287:IUZ393321 IWQ393287:JEV393321 JGM393287:JOR393321 JQI393287:JYN393321 KAE393287:KIJ393321 KKA393287:KSF393321 KTW393287:LCB393321 LDS393287:LLX393321 LNO393287:LVT393321 LXK393287:MFP393321 MHG393287:MPL393321 MRC393287:MZH393321 NAY393287:NJD393321 NKU393287:NSZ393321 NUQ393287:OCV393321 OEM393287:OMR393321 OOI393287:OWN393321 OYE393287:PGJ393321 PIA393287:PQF393321 PRW393287:QAB393321 QBS393287:QJX393321 QLO393287:QTT393321 QVK393287:RDP393321 RFG393287:RNL393321 RPC393287:RXH393321 RYY393287:SHD393321 SIU393287:SQZ393321 SSQ393287:TAV393321 TCM393287:TKR393321 TMI393287:TUN393321 TWE393287:UEJ393321 UGA393287:UOF393321 UPW393287:UYB393321 UZS393287:VHX393321 VJO393287:VRT393321 VTK393287:WBP393321 WDG393287:WLL393321 WNC393287:WVH393321 WWY393287:XFD393321 AQ458823:IV458857 KM458823:SR458857 UI458823:ACN458857 AEE458823:AMJ458857 AOA458823:AWF458857 AXW458823:BGB458857 BHS458823:BPX458857 BRO458823:BZT458857 CBK458823:CJP458857 CLG458823:CTL458857 CVC458823:DDH458857 DEY458823:DND458857 DOU458823:DWZ458857 DYQ458823:EGV458857 EIM458823:EQR458857 ESI458823:FAN458857 FCE458823:FKJ458857 FMA458823:FUF458857 FVW458823:GEB458857 GFS458823:GNX458857 GPO458823:GXT458857 GZK458823:HHP458857 HJG458823:HRL458857 HTC458823:IBH458857 ICY458823:ILD458857 IMU458823:IUZ458857 IWQ458823:JEV458857 JGM458823:JOR458857 JQI458823:JYN458857 KAE458823:KIJ458857 KKA458823:KSF458857 KTW458823:LCB458857 LDS458823:LLX458857 LNO458823:LVT458857 LXK458823:MFP458857 MHG458823:MPL458857 MRC458823:MZH458857 NAY458823:NJD458857 NKU458823:NSZ458857 NUQ458823:OCV458857 OEM458823:OMR458857 OOI458823:OWN458857 OYE458823:PGJ458857 PIA458823:PQF458857 PRW458823:QAB458857 QBS458823:QJX458857 QLO458823:QTT458857 QVK458823:RDP458857 RFG458823:RNL458857 RPC458823:RXH458857 RYY458823:SHD458857 SIU458823:SQZ458857 SSQ458823:TAV458857 TCM458823:TKR458857 TMI458823:TUN458857 TWE458823:UEJ458857 UGA458823:UOF458857 UPW458823:UYB458857 UZS458823:VHX458857 VJO458823:VRT458857 VTK458823:WBP458857 WDG458823:WLL458857 WNC458823:WVH458857 WWY458823:XFD458857 AQ524359:IV524393 KM524359:SR524393 UI524359:ACN524393 AEE524359:AMJ524393 AOA524359:AWF524393 AXW524359:BGB524393 BHS524359:BPX524393 BRO524359:BZT524393 CBK524359:CJP524393 CLG524359:CTL524393 CVC524359:DDH524393 DEY524359:DND524393 DOU524359:DWZ524393 DYQ524359:EGV524393 EIM524359:EQR524393 ESI524359:FAN524393 FCE524359:FKJ524393 FMA524359:FUF524393 FVW524359:GEB524393 GFS524359:GNX524393 GPO524359:GXT524393 GZK524359:HHP524393 HJG524359:HRL524393 HTC524359:IBH524393 ICY524359:ILD524393 IMU524359:IUZ524393 IWQ524359:JEV524393 JGM524359:JOR524393 JQI524359:JYN524393 KAE524359:KIJ524393 KKA524359:KSF524393 KTW524359:LCB524393 LDS524359:LLX524393 LNO524359:LVT524393 LXK524359:MFP524393 MHG524359:MPL524393 MRC524359:MZH524393 NAY524359:NJD524393 NKU524359:NSZ524393 NUQ524359:OCV524393 OEM524359:OMR524393 OOI524359:OWN524393 OYE524359:PGJ524393 PIA524359:PQF524393 PRW524359:QAB524393 QBS524359:QJX524393 QLO524359:QTT524393 QVK524359:RDP524393 RFG524359:RNL524393 RPC524359:RXH524393 RYY524359:SHD524393 SIU524359:SQZ524393 SSQ524359:TAV524393 TCM524359:TKR524393 TMI524359:TUN524393 TWE524359:UEJ524393 UGA524359:UOF524393 UPW524359:UYB524393 UZS524359:VHX524393 VJO524359:VRT524393 VTK524359:WBP524393 WDG524359:WLL524393 WNC524359:WVH524393 WWY524359:XFD524393 AQ589895:IV589929 KM589895:SR589929 UI589895:ACN589929 AEE589895:AMJ589929 AOA589895:AWF589929 AXW589895:BGB589929 BHS589895:BPX589929 BRO589895:BZT589929 CBK589895:CJP589929 CLG589895:CTL589929 CVC589895:DDH589929 DEY589895:DND589929 DOU589895:DWZ589929 DYQ589895:EGV589929 EIM589895:EQR589929 ESI589895:FAN589929 FCE589895:FKJ589929 FMA589895:FUF589929 FVW589895:GEB589929 GFS589895:GNX589929 GPO589895:GXT589929 GZK589895:HHP589929 HJG589895:HRL589929 HTC589895:IBH589929 ICY589895:ILD589929 IMU589895:IUZ589929 IWQ589895:JEV589929 JGM589895:JOR589929 JQI589895:JYN589929 KAE589895:KIJ589929 KKA589895:KSF589929 KTW589895:LCB589929 LDS589895:LLX589929 LNO589895:LVT589929 LXK589895:MFP589929 MHG589895:MPL589929 MRC589895:MZH589929 NAY589895:NJD589929 NKU589895:NSZ589929 NUQ589895:OCV589929 OEM589895:OMR589929 OOI589895:OWN589929 OYE589895:PGJ589929 PIA589895:PQF589929 PRW589895:QAB589929 QBS589895:QJX589929 QLO589895:QTT589929 QVK589895:RDP589929 RFG589895:RNL589929 RPC589895:RXH589929 RYY589895:SHD589929 SIU589895:SQZ589929 SSQ589895:TAV589929 TCM589895:TKR589929 TMI589895:TUN589929 TWE589895:UEJ589929 UGA589895:UOF589929 UPW589895:UYB589929 UZS589895:VHX589929 VJO589895:VRT589929 VTK589895:WBP589929 WDG589895:WLL589929 WNC589895:WVH589929 WWY589895:XFD589929 AQ655431:IV655465 KM655431:SR655465 UI655431:ACN655465 AEE655431:AMJ655465 AOA655431:AWF655465 AXW655431:BGB655465 BHS655431:BPX655465 BRO655431:BZT655465 CBK655431:CJP655465 CLG655431:CTL655465 CVC655431:DDH655465 DEY655431:DND655465 DOU655431:DWZ655465 DYQ655431:EGV655465 EIM655431:EQR655465 ESI655431:FAN655465 FCE655431:FKJ655465 FMA655431:FUF655465 FVW655431:GEB655465 GFS655431:GNX655465 GPO655431:GXT655465 GZK655431:HHP655465 HJG655431:HRL655465 HTC655431:IBH655465 ICY655431:ILD655465 IMU655431:IUZ655465 IWQ655431:JEV655465 JGM655431:JOR655465 JQI655431:JYN655465 KAE655431:KIJ655465 KKA655431:KSF655465 KTW655431:LCB655465 LDS655431:LLX655465 LNO655431:LVT655465 LXK655431:MFP655465 MHG655431:MPL655465 MRC655431:MZH655465 NAY655431:NJD655465 NKU655431:NSZ655465 NUQ655431:OCV655465 OEM655431:OMR655465 OOI655431:OWN655465 OYE655431:PGJ655465 PIA655431:PQF655465 PRW655431:QAB655465 QBS655431:QJX655465 QLO655431:QTT655465 QVK655431:RDP655465 RFG655431:RNL655465 RPC655431:RXH655465 RYY655431:SHD655465 SIU655431:SQZ655465 SSQ655431:TAV655465 TCM655431:TKR655465 TMI655431:TUN655465 TWE655431:UEJ655465 UGA655431:UOF655465 UPW655431:UYB655465 UZS655431:VHX655465 VJO655431:VRT655465 VTK655431:WBP655465 WDG655431:WLL655465 WNC655431:WVH655465 WWY655431:XFD655465 AQ720967:IV721001 KM720967:SR721001 UI720967:ACN721001 AEE720967:AMJ721001 AOA720967:AWF721001 AXW720967:BGB721001 BHS720967:BPX721001 BRO720967:BZT721001 CBK720967:CJP721001 CLG720967:CTL721001 CVC720967:DDH721001 DEY720967:DND721001 DOU720967:DWZ721001 DYQ720967:EGV721001 EIM720967:EQR721001 ESI720967:FAN721001 FCE720967:FKJ721001 FMA720967:FUF721001 FVW720967:GEB721001 GFS720967:GNX721001 GPO720967:GXT721001 GZK720967:HHP721001 HJG720967:HRL721001 HTC720967:IBH721001 ICY720967:ILD721001 IMU720967:IUZ721001 IWQ720967:JEV721001 JGM720967:JOR721001 JQI720967:JYN721001 KAE720967:KIJ721001 KKA720967:KSF721001 KTW720967:LCB721001 LDS720967:LLX721001 LNO720967:LVT721001 LXK720967:MFP721001 MHG720967:MPL721001 MRC720967:MZH721001 NAY720967:NJD721001 NKU720967:NSZ721001 NUQ720967:OCV721001 OEM720967:OMR721001 OOI720967:OWN721001 OYE720967:PGJ721001 PIA720967:PQF721001 PRW720967:QAB721001 QBS720967:QJX721001 QLO720967:QTT721001 QVK720967:RDP721001 RFG720967:RNL721001 RPC720967:RXH721001 RYY720967:SHD721001 SIU720967:SQZ721001 SSQ720967:TAV721001 TCM720967:TKR721001 TMI720967:TUN721001 TWE720967:UEJ721001 UGA720967:UOF721001 UPW720967:UYB721001 UZS720967:VHX721001 VJO720967:VRT721001 VTK720967:WBP721001 WDG720967:WLL721001 WNC720967:WVH721001 WWY720967:XFD721001 AQ786503:IV786537 KM786503:SR786537 UI786503:ACN786537 AEE786503:AMJ786537 AOA786503:AWF786537 AXW786503:BGB786537 BHS786503:BPX786537 BRO786503:BZT786537 CBK786503:CJP786537 CLG786503:CTL786537 CVC786503:DDH786537 DEY786503:DND786537 DOU786503:DWZ786537 DYQ786503:EGV786537 EIM786503:EQR786537 ESI786503:FAN786537 FCE786503:FKJ786537 FMA786503:FUF786537 FVW786503:GEB786537 GFS786503:GNX786537 GPO786503:GXT786537 GZK786503:HHP786537 HJG786503:HRL786537 HTC786503:IBH786537 ICY786503:ILD786537 IMU786503:IUZ786537 IWQ786503:JEV786537 JGM786503:JOR786537 JQI786503:JYN786537 KAE786503:KIJ786537 KKA786503:KSF786537 KTW786503:LCB786537 LDS786503:LLX786537 LNO786503:LVT786537 LXK786503:MFP786537 MHG786503:MPL786537 MRC786503:MZH786537 NAY786503:NJD786537 NKU786503:NSZ786537 NUQ786503:OCV786537 OEM786503:OMR786537 OOI786503:OWN786537 OYE786503:PGJ786537 PIA786503:PQF786537 PRW786503:QAB786537 QBS786503:QJX786537 QLO786503:QTT786537 QVK786503:RDP786537 RFG786503:RNL786537 RPC786503:RXH786537 RYY786503:SHD786537 SIU786503:SQZ786537 SSQ786503:TAV786537 TCM786503:TKR786537 TMI786503:TUN786537 TWE786503:UEJ786537 UGA786503:UOF786537 UPW786503:UYB786537 UZS786503:VHX786537 VJO786503:VRT786537 VTK786503:WBP786537 WDG786503:WLL786537 WNC786503:WVH786537 WWY786503:XFD786537 AQ852039:IV852073 KM852039:SR852073 UI852039:ACN852073 AEE852039:AMJ852073 AOA852039:AWF852073 AXW852039:BGB852073 BHS852039:BPX852073 BRO852039:BZT852073 CBK852039:CJP852073 CLG852039:CTL852073 CVC852039:DDH852073 DEY852039:DND852073 DOU852039:DWZ852073 DYQ852039:EGV852073 EIM852039:EQR852073 ESI852039:FAN852073 FCE852039:FKJ852073 FMA852039:FUF852073 FVW852039:GEB852073 GFS852039:GNX852073 GPO852039:GXT852073 GZK852039:HHP852073 HJG852039:HRL852073 HTC852039:IBH852073 ICY852039:ILD852073 IMU852039:IUZ852073 IWQ852039:JEV852073 JGM852039:JOR852073 JQI852039:JYN852073 KAE852039:KIJ852073 KKA852039:KSF852073 KTW852039:LCB852073 LDS852039:LLX852073 LNO852039:LVT852073 LXK852039:MFP852073 MHG852039:MPL852073 MRC852039:MZH852073 NAY852039:NJD852073 NKU852039:NSZ852073 NUQ852039:OCV852073 OEM852039:OMR852073 OOI852039:OWN852073 OYE852039:PGJ852073 PIA852039:PQF852073 PRW852039:QAB852073 QBS852039:QJX852073 QLO852039:QTT852073 QVK852039:RDP852073 RFG852039:RNL852073 RPC852039:RXH852073 RYY852039:SHD852073 SIU852039:SQZ852073 SSQ852039:TAV852073 TCM852039:TKR852073 TMI852039:TUN852073 TWE852039:UEJ852073 UGA852039:UOF852073 UPW852039:UYB852073 UZS852039:VHX852073 VJO852039:VRT852073 VTK852039:WBP852073 WDG852039:WLL852073 WNC852039:WVH852073 WWY852039:XFD852073 AQ917575:IV917609 KM917575:SR917609 UI917575:ACN917609 AEE917575:AMJ917609 AOA917575:AWF917609 AXW917575:BGB917609 BHS917575:BPX917609 BRO917575:BZT917609 CBK917575:CJP917609 CLG917575:CTL917609 CVC917575:DDH917609 DEY917575:DND917609 DOU917575:DWZ917609 DYQ917575:EGV917609 EIM917575:EQR917609 ESI917575:FAN917609 FCE917575:FKJ917609 FMA917575:FUF917609 FVW917575:GEB917609 GFS917575:GNX917609 GPO917575:GXT917609 GZK917575:HHP917609 HJG917575:HRL917609 HTC917575:IBH917609 ICY917575:ILD917609 IMU917575:IUZ917609 IWQ917575:JEV917609 JGM917575:JOR917609 JQI917575:JYN917609 KAE917575:KIJ917609 KKA917575:KSF917609 KTW917575:LCB917609 LDS917575:LLX917609 LNO917575:LVT917609 LXK917575:MFP917609 MHG917575:MPL917609 MRC917575:MZH917609 NAY917575:NJD917609 NKU917575:NSZ917609 NUQ917575:OCV917609 OEM917575:OMR917609 OOI917575:OWN917609 OYE917575:PGJ917609 PIA917575:PQF917609 PRW917575:QAB917609 QBS917575:QJX917609 QLO917575:QTT917609 QVK917575:RDP917609 RFG917575:RNL917609 RPC917575:RXH917609 RYY917575:SHD917609 SIU917575:SQZ917609 SSQ917575:TAV917609 TCM917575:TKR917609 TMI917575:TUN917609 TWE917575:UEJ917609 UGA917575:UOF917609 UPW917575:UYB917609 UZS917575:VHX917609 VJO917575:VRT917609 VTK917575:WBP917609 WDG917575:WLL917609 WNC917575:WVH917609 WWY917575:XFD917609 AQ983111:IV983145 KM983111:SR983145 UI983111:ACN983145 AEE983111:AMJ983145 AOA983111:AWF983145 AXW983111:BGB983145 BHS983111:BPX983145 BRO983111:BZT983145 CBK983111:CJP983145 CLG983111:CTL983145 CVC983111:DDH983145 DEY983111:DND983145 DOU983111:DWZ983145 DYQ983111:EGV983145 EIM983111:EQR983145 ESI983111:FAN983145 FCE983111:FKJ983145 FMA983111:FUF983145 FVW983111:GEB983145 GFS983111:GNX983145 GPO983111:GXT983145 GZK983111:HHP983145 HJG983111:HRL983145 HTC983111:IBH983145 ICY983111:ILD983145 IMU983111:IUZ983145 IWQ983111:JEV983145 JGM983111:JOR983145 JQI983111:JYN983145 KAE983111:KIJ983145 KKA983111:KSF983145 KTW983111:LCB983145 LDS983111:LLX983145 LNO983111:LVT983145 LXK983111:MFP983145 MHG983111:MPL983145 MRC983111:MZH983145 NAY983111:NJD983145 NKU983111:NSZ983145 NUQ983111:OCV983145 OEM983111:OMR983145 OOI983111:OWN983145 OYE983111:PGJ983145 PIA983111:PQF983145 PRW983111:QAB983145 QBS983111:QJX983145 QLO983111:QTT983145 QVK983111:RDP983145 RFG983111:RNL983145 RPC983111:RXH983145 RYY983111:SHD983145 SIU983111:SQZ983145 SSQ983111:TAV983145 TCM983111:TKR983145 TMI983111:TUN983145 TWE983111:UEJ983145 UGA983111:UOF983145 UPW983111:UYB983145 UZS983111:VHX983145 VJO983111:VRT983145 VTK983111:WBP983145 WDG983111:WLL983145 WNC983111:WVH983145 WWY983111:XFD983145 IV2:IV70 SR2:SR70 ACN2:ACN70 AMJ2:AMJ70 AWF2:AWF70 BGB2:BGB70 BPX2:BPX70 BZT2:BZT70 CJP2:CJP70 CTL2:CTL70 DDH2:DDH70 DND2:DND70 DWZ2:DWZ70 EGV2:EGV70 EQR2:EQR70 FAN2:FAN70 FKJ2:FKJ70 FUF2:FUF70 GEB2:GEB70 GNX2:GNX70 GXT2:GXT70 HHP2:HHP70 HRL2:HRL70 IBH2:IBH70 ILD2:ILD70 IUZ2:IUZ70 JEV2:JEV70 JOR2:JOR70 JYN2:JYN70 KIJ2:KIJ70 KSF2:KSF70 LCB2:LCB70 LLX2:LLX70 LVT2:LVT70 MFP2:MFP70 MPL2:MPL70 MZH2:MZH70 NJD2:NJD70 NSZ2:NSZ70 OCV2:OCV70 OMR2:OMR70 OWN2:OWN70 PGJ2:PGJ70 PQF2:PQF70 QAB2:QAB70 QJX2:QJX70 QTT2:QTT70 RDP2:RDP70 RNL2:RNL70 RXH2:RXH70 SHD2:SHD70 SQZ2:SQZ70 TAV2:TAV70 TKR2:TKR70 TUN2:TUN70 UEJ2:UEJ70 UOF2:UOF70 UYB2:UYB70 VHX2:VHX70 VRT2:VRT70 WBP2:WBP70 WLL2:WLL70 WVH2:WVH70 XFD2:XFD70 IV65538:IV65606 SR65538:SR65606 ACN65538:ACN65606 AMJ65538:AMJ65606 AWF65538:AWF65606 BGB65538:BGB65606 BPX65538:BPX65606 BZT65538:BZT65606 CJP65538:CJP65606 CTL65538:CTL65606 DDH65538:DDH65606 DND65538:DND65606 DWZ65538:DWZ65606 EGV65538:EGV65606 EQR65538:EQR65606 FAN65538:FAN65606 FKJ65538:FKJ65606 FUF65538:FUF65606 GEB65538:GEB65606 GNX65538:GNX65606 GXT65538:GXT65606 HHP65538:HHP65606 HRL65538:HRL65606 IBH65538:IBH65606 ILD65538:ILD65606 IUZ65538:IUZ65606 JEV65538:JEV65606 JOR65538:JOR65606 JYN65538:JYN65606 KIJ65538:KIJ65606 KSF65538:KSF65606 LCB65538:LCB65606 LLX65538:LLX65606 LVT65538:LVT65606 MFP65538:MFP65606 MPL65538:MPL65606 MZH65538:MZH65606 NJD65538:NJD65606 NSZ65538:NSZ65606 OCV65538:OCV65606 OMR65538:OMR65606 OWN65538:OWN65606 PGJ65538:PGJ65606 PQF65538:PQF65606 QAB65538:QAB65606 QJX65538:QJX65606 QTT65538:QTT65606 RDP65538:RDP65606 RNL65538:RNL65606 RXH65538:RXH65606 SHD65538:SHD65606 SQZ65538:SQZ65606 TAV65538:TAV65606 TKR65538:TKR65606 TUN65538:TUN65606 UEJ65538:UEJ65606 UOF65538:UOF65606 UYB65538:UYB65606 VHX65538:VHX65606 VRT65538:VRT65606 WBP65538:WBP65606 WLL65538:WLL65606 WVH65538:WVH65606 XFD65538:XFD65606 IV131074:IV131142 SR131074:SR131142 ACN131074:ACN131142 AMJ131074:AMJ131142 AWF131074:AWF131142 BGB131074:BGB131142 BPX131074:BPX131142 BZT131074:BZT131142 CJP131074:CJP131142 CTL131074:CTL131142 DDH131074:DDH131142 DND131074:DND131142 DWZ131074:DWZ131142 EGV131074:EGV131142 EQR131074:EQR131142 FAN131074:FAN131142 FKJ131074:FKJ131142 FUF131074:FUF131142 GEB131074:GEB131142 GNX131074:GNX131142 GXT131074:GXT131142 HHP131074:HHP131142 HRL131074:HRL131142 IBH131074:IBH131142 ILD131074:ILD131142 IUZ131074:IUZ131142 JEV131074:JEV131142 JOR131074:JOR131142 JYN131074:JYN131142 KIJ131074:KIJ131142 KSF131074:KSF131142 LCB131074:LCB131142 LLX131074:LLX131142 LVT131074:LVT131142 MFP131074:MFP131142 MPL131074:MPL131142 MZH131074:MZH131142 NJD131074:NJD131142 NSZ131074:NSZ131142 OCV131074:OCV131142 OMR131074:OMR131142 OWN131074:OWN131142 PGJ131074:PGJ131142 PQF131074:PQF131142 QAB131074:QAB131142 QJX131074:QJX131142 QTT131074:QTT131142 RDP131074:RDP131142 RNL131074:RNL131142 RXH131074:RXH131142 SHD131074:SHD131142 SQZ131074:SQZ131142 TAV131074:TAV131142 TKR131074:TKR131142 TUN131074:TUN131142 UEJ131074:UEJ131142 UOF131074:UOF131142 UYB131074:UYB131142 VHX131074:VHX131142 VRT131074:VRT131142 WBP131074:WBP131142 WLL131074:WLL131142 WVH131074:WVH131142 XFD131074:XFD131142 IV196610:IV196678 SR196610:SR196678 ACN196610:ACN196678 AMJ196610:AMJ196678 AWF196610:AWF196678 BGB196610:BGB196678 BPX196610:BPX196678 BZT196610:BZT196678 CJP196610:CJP196678 CTL196610:CTL196678 DDH196610:DDH196678 DND196610:DND196678 DWZ196610:DWZ196678 EGV196610:EGV196678 EQR196610:EQR196678 FAN196610:FAN196678 FKJ196610:FKJ196678 FUF196610:FUF196678 GEB196610:GEB196678 GNX196610:GNX196678 GXT196610:GXT196678 HHP196610:HHP196678 HRL196610:HRL196678 IBH196610:IBH196678 ILD196610:ILD196678 IUZ196610:IUZ196678 JEV196610:JEV196678 JOR196610:JOR196678 JYN196610:JYN196678 KIJ196610:KIJ196678 KSF196610:KSF196678 LCB196610:LCB196678 LLX196610:LLX196678 LVT196610:LVT196678 MFP196610:MFP196678 MPL196610:MPL196678 MZH196610:MZH196678 NJD196610:NJD196678 NSZ196610:NSZ196678 OCV196610:OCV196678 OMR196610:OMR196678 OWN196610:OWN196678 PGJ196610:PGJ196678 PQF196610:PQF196678 QAB196610:QAB196678 QJX196610:QJX196678 QTT196610:QTT196678 RDP196610:RDP196678 RNL196610:RNL196678 RXH196610:RXH196678 SHD196610:SHD196678 SQZ196610:SQZ196678 TAV196610:TAV196678 TKR196610:TKR196678 TUN196610:TUN196678 UEJ196610:UEJ196678 UOF196610:UOF196678 UYB196610:UYB196678 VHX196610:VHX196678 VRT196610:VRT196678 WBP196610:WBP196678 WLL196610:WLL196678 WVH196610:WVH196678 XFD196610:XFD196678 IV262146:IV262214 SR262146:SR262214 ACN262146:ACN262214 AMJ262146:AMJ262214 AWF262146:AWF262214 BGB262146:BGB262214 BPX262146:BPX262214 BZT262146:BZT262214 CJP262146:CJP262214 CTL262146:CTL262214 DDH262146:DDH262214 DND262146:DND262214 DWZ262146:DWZ262214 EGV262146:EGV262214 EQR262146:EQR262214 FAN262146:FAN262214 FKJ262146:FKJ262214 FUF262146:FUF262214 GEB262146:GEB262214 GNX262146:GNX262214 GXT262146:GXT262214 HHP262146:HHP262214 HRL262146:HRL262214 IBH262146:IBH262214 ILD262146:ILD262214 IUZ262146:IUZ262214 JEV262146:JEV262214 JOR262146:JOR262214 JYN262146:JYN262214 KIJ262146:KIJ262214 KSF262146:KSF262214 LCB262146:LCB262214 LLX262146:LLX262214 LVT262146:LVT262214 MFP262146:MFP262214 MPL262146:MPL262214 MZH262146:MZH262214 NJD262146:NJD262214 NSZ262146:NSZ262214 OCV262146:OCV262214 OMR262146:OMR262214 OWN262146:OWN262214 PGJ262146:PGJ262214 PQF262146:PQF262214 QAB262146:QAB262214 QJX262146:QJX262214 QTT262146:QTT262214 RDP262146:RDP262214 RNL262146:RNL262214 RXH262146:RXH262214 SHD262146:SHD262214 SQZ262146:SQZ262214 TAV262146:TAV262214 TKR262146:TKR262214 TUN262146:TUN262214 UEJ262146:UEJ262214 UOF262146:UOF262214 UYB262146:UYB262214 VHX262146:VHX262214 VRT262146:VRT262214 WBP262146:WBP262214 WLL262146:WLL262214 WVH262146:WVH262214 XFD262146:XFD262214 IV327682:IV327750 SR327682:SR327750 ACN327682:ACN327750 AMJ327682:AMJ327750 AWF327682:AWF327750 BGB327682:BGB327750 BPX327682:BPX327750 BZT327682:BZT327750 CJP327682:CJP327750 CTL327682:CTL327750 DDH327682:DDH327750 DND327682:DND327750 DWZ327682:DWZ327750 EGV327682:EGV327750 EQR327682:EQR327750 FAN327682:FAN327750 FKJ327682:FKJ327750 FUF327682:FUF327750 GEB327682:GEB327750 GNX327682:GNX327750 GXT327682:GXT327750 HHP327682:HHP327750 HRL327682:HRL327750 IBH327682:IBH327750 ILD327682:ILD327750 IUZ327682:IUZ327750 JEV327682:JEV327750 JOR327682:JOR327750 JYN327682:JYN327750 KIJ327682:KIJ327750 KSF327682:KSF327750 LCB327682:LCB327750 LLX327682:LLX327750 LVT327682:LVT327750 MFP327682:MFP327750 MPL327682:MPL327750 MZH327682:MZH327750 NJD327682:NJD327750 NSZ327682:NSZ327750 OCV327682:OCV327750 OMR327682:OMR327750 OWN327682:OWN327750 PGJ327682:PGJ327750 PQF327682:PQF327750 QAB327682:QAB327750 QJX327682:QJX327750 QTT327682:QTT327750 RDP327682:RDP327750 RNL327682:RNL327750 RXH327682:RXH327750 SHD327682:SHD327750 SQZ327682:SQZ327750 TAV327682:TAV327750 TKR327682:TKR327750 TUN327682:TUN327750 UEJ327682:UEJ327750 UOF327682:UOF327750 UYB327682:UYB327750 VHX327682:VHX327750 VRT327682:VRT327750 WBP327682:WBP327750 WLL327682:WLL327750 WVH327682:WVH327750 XFD327682:XFD327750 IV393218:IV393286 SR393218:SR393286 ACN393218:ACN393286 AMJ393218:AMJ393286 AWF393218:AWF393286 BGB393218:BGB393286 BPX393218:BPX393286 BZT393218:BZT393286 CJP393218:CJP393286 CTL393218:CTL393286 DDH393218:DDH393286 DND393218:DND393286 DWZ393218:DWZ393286 EGV393218:EGV393286 EQR393218:EQR393286 FAN393218:FAN393286 FKJ393218:FKJ393286 FUF393218:FUF393286 GEB393218:GEB393286 GNX393218:GNX393286 GXT393218:GXT393286 HHP393218:HHP393286 HRL393218:HRL393286 IBH393218:IBH393286 ILD393218:ILD393286 IUZ393218:IUZ393286 JEV393218:JEV393286 JOR393218:JOR393286 JYN393218:JYN393286 KIJ393218:KIJ393286 KSF393218:KSF393286 LCB393218:LCB393286 LLX393218:LLX393286 LVT393218:LVT393286 MFP393218:MFP393286 MPL393218:MPL393286 MZH393218:MZH393286 NJD393218:NJD393286 NSZ393218:NSZ393286 OCV393218:OCV393286 OMR393218:OMR393286 OWN393218:OWN393286 PGJ393218:PGJ393286 PQF393218:PQF393286 QAB393218:QAB393286 QJX393218:QJX393286 QTT393218:QTT393286 RDP393218:RDP393286 RNL393218:RNL393286 RXH393218:RXH393286 SHD393218:SHD393286 SQZ393218:SQZ393286 TAV393218:TAV393286 TKR393218:TKR393286 TUN393218:TUN393286 UEJ393218:UEJ393286 UOF393218:UOF393286 UYB393218:UYB393286 VHX393218:VHX393286 VRT393218:VRT393286 WBP393218:WBP393286 WLL393218:WLL393286 WVH393218:WVH393286 XFD393218:XFD393286 IV458754:IV458822 SR458754:SR458822 ACN458754:ACN458822 AMJ458754:AMJ458822 AWF458754:AWF458822 BGB458754:BGB458822 BPX458754:BPX458822 BZT458754:BZT458822 CJP458754:CJP458822 CTL458754:CTL458822 DDH458754:DDH458822 DND458754:DND458822 DWZ458754:DWZ458822 EGV458754:EGV458822 EQR458754:EQR458822 FAN458754:FAN458822 FKJ458754:FKJ458822 FUF458754:FUF458822 GEB458754:GEB458822 GNX458754:GNX458822 GXT458754:GXT458822 HHP458754:HHP458822 HRL458754:HRL458822 IBH458754:IBH458822 ILD458754:ILD458822 IUZ458754:IUZ458822 JEV458754:JEV458822 JOR458754:JOR458822 JYN458754:JYN458822 KIJ458754:KIJ458822 KSF458754:KSF458822 LCB458754:LCB458822 LLX458754:LLX458822 LVT458754:LVT458822 MFP458754:MFP458822 MPL458754:MPL458822 MZH458754:MZH458822 NJD458754:NJD458822 NSZ458754:NSZ458822 OCV458754:OCV458822 OMR458754:OMR458822 OWN458754:OWN458822 PGJ458754:PGJ458822 PQF458754:PQF458822 QAB458754:QAB458822 QJX458754:QJX458822 QTT458754:QTT458822 RDP458754:RDP458822 RNL458754:RNL458822 RXH458754:RXH458822 SHD458754:SHD458822 SQZ458754:SQZ458822 TAV458754:TAV458822 TKR458754:TKR458822 TUN458754:TUN458822 UEJ458754:UEJ458822 UOF458754:UOF458822 UYB458754:UYB458822 VHX458754:VHX458822 VRT458754:VRT458822 WBP458754:WBP458822 WLL458754:WLL458822 WVH458754:WVH458822 XFD458754:XFD458822 IV524290:IV524358 SR524290:SR524358 ACN524290:ACN524358 AMJ524290:AMJ524358 AWF524290:AWF524358 BGB524290:BGB524358 BPX524290:BPX524358 BZT524290:BZT524358 CJP524290:CJP524358 CTL524290:CTL524358 DDH524290:DDH524358 DND524290:DND524358 DWZ524290:DWZ524358 EGV524290:EGV524358 EQR524290:EQR524358 FAN524290:FAN524358 FKJ524290:FKJ524358 FUF524290:FUF524358 GEB524290:GEB524358 GNX524290:GNX524358 GXT524290:GXT524358 HHP524290:HHP524358 HRL524290:HRL524358 IBH524290:IBH524358 ILD524290:ILD524358 IUZ524290:IUZ524358 JEV524290:JEV524358 JOR524290:JOR524358 JYN524290:JYN524358 KIJ524290:KIJ524358 KSF524290:KSF524358 LCB524290:LCB524358 LLX524290:LLX524358 LVT524290:LVT524358 MFP524290:MFP524358 MPL524290:MPL524358 MZH524290:MZH524358 NJD524290:NJD524358 NSZ524290:NSZ524358 OCV524290:OCV524358 OMR524290:OMR524358 OWN524290:OWN524358 PGJ524290:PGJ524358 PQF524290:PQF524358 QAB524290:QAB524358 QJX524290:QJX524358 QTT524290:QTT524358 RDP524290:RDP524358 RNL524290:RNL524358 RXH524290:RXH524358 SHD524290:SHD524358 SQZ524290:SQZ524358 TAV524290:TAV524358 TKR524290:TKR524358 TUN524290:TUN524358 UEJ524290:UEJ524358 UOF524290:UOF524358 UYB524290:UYB524358 VHX524290:VHX524358 VRT524290:VRT524358 WBP524290:WBP524358 WLL524290:WLL524358 WVH524290:WVH524358 XFD524290:XFD524358 IV589826:IV589894 SR589826:SR589894 ACN589826:ACN589894 AMJ589826:AMJ589894 AWF589826:AWF589894 BGB589826:BGB589894 BPX589826:BPX589894 BZT589826:BZT589894 CJP589826:CJP589894 CTL589826:CTL589894 DDH589826:DDH589894 DND589826:DND589894 DWZ589826:DWZ589894 EGV589826:EGV589894 EQR589826:EQR589894 FAN589826:FAN589894 FKJ589826:FKJ589894 FUF589826:FUF589894 GEB589826:GEB589894 GNX589826:GNX589894 GXT589826:GXT589894 HHP589826:HHP589894 HRL589826:HRL589894 IBH589826:IBH589894 ILD589826:ILD589894 IUZ589826:IUZ589894 JEV589826:JEV589894 JOR589826:JOR589894 JYN589826:JYN589894 KIJ589826:KIJ589894 KSF589826:KSF589894 LCB589826:LCB589894 LLX589826:LLX589894 LVT589826:LVT589894 MFP589826:MFP589894 MPL589826:MPL589894 MZH589826:MZH589894 NJD589826:NJD589894 NSZ589826:NSZ589894 OCV589826:OCV589894 OMR589826:OMR589894 OWN589826:OWN589894 PGJ589826:PGJ589894 PQF589826:PQF589894 QAB589826:QAB589894 QJX589826:QJX589894 QTT589826:QTT589894 RDP589826:RDP589894 RNL589826:RNL589894 RXH589826:RXH589894 SHD589826:SHD589894 SQZ589826:SQZ589894 TAV589826:TAV589894 TKR589826:TKR589894 TUN589826:TUN589894 UEJ589826:UEJ589894 UOF589826:UOF589894 UYB589826:UYB589894 VHX589826:VHX589894 VRT589826:VRT589894 WBP589826:WBP589894 WLL589826:WLL589894 WVH589826:WVH589894 XFD589826:XFD589894 IV655362:IV655430 SR655362:SR655430 ACN655362:ACN655430 AMJ655362:AMJ655430 AWF655362:AWF655430 BGB655362:BGB655430 BPX655362:BPX655430 BZT655362:BZT655430 CJP655362:CJP655430 CTL655362:CTL655430 DDH655362:DDH655430 DND655362:DND655430 DWZ655362:DWZ655430 EGV655362:EGV655430 EQR655362:EQR655430 FAN655362:FAN655430 FKJ655362:FKJ655430 FUF655362:FUF655430 GEB655362:GEB655430 GNX655362:GNX655430 GXT655362:GXT655430 HHP655362:HHP655430 HRL655362:HRL655430 IBH655362:IBH655430 ILD655362:ILD655430 IUZ655362:IUZ655430 JEV655362:JEV655430 JOR655362:JOR655430 JYN655362:JYN655430 KIJ655362:KIJ655430 KSF655362:KSF655430 LCB655362:LCB655430 LLX655362:LLX655430 LVT655362:LVT655430 MFP655362:MFP655430 MPL655362:MPL655430 MZH655362:MZH655430 NJD655362:NJD655430 NSZ655362:NSZ655430 OCV655362:OCV655430 OMR655362:OMR655430 OWN655362:OWN655430 PGJ655362:PGJ655430 PQF655362:PQF655430 QAB655362:QAB655430 QJX655362:QJX655430 QTT655362:QTT655430 RDP655362:RDP655430 RNL655362:RNL655430 RXH655362:RXH655430 SHD655362:SHD655430 SQZ655362:SQZ655430 TAV655362:TAV655430 TKR655362:TKR655430 TUN655362:TUN655430 UEJ655362:UEJ655430 UOF655362:UOF655430 UYB655362:UYB655430 VHX655362:VHX655430 VRT655362:VRT655430 WBP655362:WBP655430 WLL655362:WLL655430 WVH655362:WVH655430 XFD655362:XFD655430 IV720898:IV720966 SR720898:SR720966 ACN720898:ACN720966 AMJ720898:AMJ720966 AWF720898:AWF720966 BGB720898:BGB720966 BPX720898:BPX720966 BZT720898:BZT720966 CJP720898:CJP720966 CTL720898:CTL720966 DDH720898:DDH720966 DND720898:DND720966 DWZ720898:DWZ720966 EGV720898:EGV720966 EQR720898:EQR720966 FAN720898:FAN720966 FKJ720898:FKJ720966 FUF720898:FUF720966 GEB720898:GEB720966 GNX720898:GNX720966 GXT720898:GXT720966 HHP720898:HHP720966 HRL720898:HRL720966 IBH720898:IBH720966 ILD720898:ILD720966 IUZ720898:IUZ720966 JEV720898:JEV720966 JOR720898:JOR720966 JYN720898:JYN720966 KIJ720898:KIJ720966 KSF720898:KSF720966 LCB720898:LCB720966 LLX720898:LLX720966 LVT720898:LVT720966 MFP720898:MFP720966 MPL720898:MPL720966 MZH720898:MZH720966 NJD720898:NJD720966 NSZ720898:NSZ720966 OCV720898:OCV720966 OMR720898:OMR720966 OWN720898:OWN720966 PGJ720898:PGJ720966 PQF720898:PQF720966 QAB720898:QAB720966 QJX720898:QJX720966 QTT720898:QTT720966 RDP720898:RDP720966 RNL720898:RNL720966 RXH720898:RXH720966 SHD720898:SHD720966 SQZ720898:SQZ720966 TAV720898:TAV720966 TKR720898:TKR720966 TUN720898:TUN720966 UEJ720898:UEJ720966 UOF720898:UOF720966 UYB720898:UYB720966 VHX720898:VHX720966 VRT720898:VRT720966 WBP720898:WBP720966 WLL720898:WLL720966 WVH720898:WVH720966 XFD720898:XFD720966 IV786434:IV786502 SR786434:SR786502 ACN786434:ACN786502 AMJ786434:AMJ786502 AWF786434:AWF786502 BGB786434:BGB786502 BPX786434:BPX786502 BZT786434:BZT786502 CJP786434:CJP786502 CTL786434:CTL786502 DDH786434:DDH786502 DND786434:DND786502 DWZ786434:DWZ786502 EGV786434:EGV786502 EQR786434:EQR786502 FAN786434:FAN786502 FKJ786434:FKJ786502 FUF786434:FUF786502 GEB786434:GEB786502 GNX786434:GNX786502 GXT786434:GXT786502 HHP786434:HHP786502 HRL786434:HRL786502 IBH786434:IBH786502 ILD786434:ILD786502 IUZ786434:IUZ786502 JEV786434:JEV786502 JOR786434:JOR786502 JYN786434:JYN786502 KIJ786434:KIJ786502 KSF786434:KSF786502 LCB786434:LCB786502 LLX786434:LLX786502 LVT786434:LVT786502 MFP786434:MFP786502 MPL786434:MPL786502 MZH786434:MZH786502 NJD786434:NJD786502 NSZ786434:NSZ786502 OCV786434:OCV786502 OMR786434:OMR786502 OWN786434:OWN786502 PGJ786434:PGJ786502 PQF786434:PQF786502 QAB786434:QAB786502 QJX786434:QJX786502 QTT786434:QTT786502 RDP786434:RDP786502 RNL786434:RNL786502 RXH786434:RXH786502 SHD786434:SHD786502 SQZ786434:SQZ786502 TAV786434:TAV786502 TKR786434:TKR786502 TUN786434:TUN786502 UEJ786434:UEJ786502 UOF786434:UOF786502 UYB786434:UYB786502 VHX786434:VHX786502 VRT786434:VRT786502 WBP786434:WBP786502 WLL786434:WLL786502 WVH786434:WVH786502 XFD786434:XFD786502 IV851970:IV852038 SR851970:SR852038 ACN851970:ACN852038 AMJ851970:AMJ852038 AWF851970:AWF852038 BGB851970:BGB852038 BPX851970:BPX852038 BZT851970:BZT852038 CJP851970:CJP852038 CTL851970:CTL852038 DDH851970:DDH852038 DND851970:DND852038 DWZ851970:DWZ852038 EGV851970:EGV852038 EQR851970:EQR852038 FAN851970:FAN852038 FKJ851970:FKJ852038 FUF851970:FUF852038 GEB851970:GEB852038 GNX851970:GNX852038 GXT851970:GXT852038 HHP851970:HHP852038 HRL851970:HRL852038 IBH851970:IBH852038 ILD851970:ILD852038 IUZ851970:IUZ852038 JEV851970:JEV852038 JOR851970:JOR852038 JYN851970:JYN852038 KIJ851970:KIJ852038 KSF851970:KSF852038 LCB851970:LCB852038 LLX851970:LLX852038 LVT851970:LVT852038 MFP851970:MFP852038 MPL851970:MPL852038 MZH851970:MZH852038 NJD851970:NJD852038 NSZ851970:NSZ852038 OCV851970:OCV852038 OMR851970:OMR852038 OWN851970:OWN852038 PGJ851970:PGJ852038 PQF851970:PQF852038 QAB851970:QAB852038 QJX851970:QJX852038 QTT851970:QTT852038 RDP851970:RDP852038 RNL851970:RNL852038 RXH851970:RXH852038 SHD851970:SHD852038 SQZ851970:SQZ852038 TAV851970:TAV852038 TKR851970:TKR852038 TUN851970:TUN852038 UEJ851970:UEJ852038 UOF851970:UOF852038 UYB851970:UYB852038 VHX851970:VHX852038 VRT851970:VRT852038 WBP851970:WBP852038 WLL851970:WLL852038 WVH851970:WVH852038 XFD851970:XFD852038 IV917506:IV917574 SR917506:SR917574 ACN917506:ACN917574 AMJ917506:AMJ917574 AWF917506:AWF917574 BGB917506:BGB917574 BPX917506:BPX917574 BZT917506:BZT917574 CJP917506:CJP917574 CTL917506:CTL917574 DDH917506:DDH917574 DND917506:DND917574 DWZ917506:DWZ917574 EGV917506:EGV917574 EQR917506:EQR917574 FAN917506:FAN917574 FKJ917506:FKJ917574 FUF917506:FUF917574 GEB917506:GEB917574 GNX917506:GNX917574 GXT917506:GXT917574 HHP917506:HHP917574 HRL917506:HRL917574 IBH917506:IBH917574 ILD917506:ILD917574 IUZ917506:IUZ917574 JEV917506:JEV917574 JOR917506:JOR917574 JYN917506:JYN917574 KIJ917506:KIJ917574 KSF917506:KSF917574 LCB917506:LCB917574 LLX917506:LLX917574 LVT917506:LVT917574 MFP917506:MFP917574 MPL917506:MPL917574 MZH917506:MZH917574 NJD917506:NJD917574 NSZ917506:NSZ917574 OCV917506:OCV917574 OMR917506:OMR917574 OWN917506:OWN917574 PGJ917506:PGJ917574 PQF917506:PQF917574 QAB917506:QAB917574 QJX917506:QJX917574 QTT917506:QTT917574 RDP917506:RDP917574 RNL917506:RNL917574 RXH917506:RXH917574 SHD917506:SHD917574 SQZ917506:SQZ917574 TAV917506:TAV917574 TKR917506:TKR917574 TUN917506:TUN917574 UEJ917506:UEJ917574 UOF917506:UOF917574 UYB917506:UYB917574 VHX917506:VHX917574 VRT917506:VRT917574 WBP917506:WBP917574 WLL917506:WLL917574 WVH917506:WVH917574 XFD917506:XFD917574 IV983042:IV983110 SR983042:SR983110 ACN983042:ACN983110 AMJ983042:AMJ983110 AWF983042:AWF983110 BGB983042:BGB983110 BPX983042:BPX983110 BZT983042:BZT983110 CJP983042:CJP983110 CTL983042:CTL983110 DDH983042:DDH983110 DND983042:DND983110 DWZ983042:DWZ983110 EGV983042:EGV983110 EQR983042:EQR983110 FAN983042:FAN983110 FKJ983042:FKJ983110 FUF983042:FUF983110 GEB983042:GEB983110 GNX983042:GNX983110 GXT983042:GXT983110 HHP983042:HHP983110 HRL983042:HRL983110 IBH983042:IBH983110 ILD983042:ILD983110 IUZ983042:IUZ983110 JEV983042:JEV983110 JOR983042:JOR983110 JYN983042:JYN983110 KIJ983042:KIJ983110 KSF983042:KSF983110 LCB983042:LCB983110 LLX983042:LLX983110 LVT983042:LVT983110 MFP983042:MFP983110 MPL983042:MPL983110 MZH983042:MZH983110 NJD983042:NJD983110 NSZ983042:NSZ983110 OCV983042:OCV983110 OMR983042:OMR983110 OWN983042:OWN983110 PGJ983042:PGJ983110 PQF983042:PQF983110 QAB983042:QAB983110 QJX983042:QJX983110 QTT983042:QTT983110 RDP983042:RDP983110 RNL983042:RNL983110 RXH983042:RXH983110 SHD983042:SHD983110 SQZ983042:SQZ983110 TAV983042:TAV983110 TKR983042:TKR983110 TUN983042:TUN983110 UEJ983042:UEJ983110 UOF983042:UOF983110 UYB983042:UYB983110 VHX983042:VHX983110 VRT983042:VRT983110 WBP983042:WBP983110 WLL983042:WLL983110 WVH983042:WVH983110 XFD983042:XFD983110 WVL983042:WVL983145 IZ2:IZ105 SV2:SV105 ACR2:ACR105 AMN2:AMN105 AWJ2:AWJ105 BGF2:BGF105 BQB2:BQB105 BZX2:BZX105 CJT2:CJT105 CTP2:CTP105 DDL2:DDL105 DNH2:DNH105 DXD2:DXD105 EGZ2:EGZ105 EQV2:EQV105 FAR2:FAR105 FKN2:FKN105 FUJ2:FUJ105 GEF2:GEF105 GOB2:GOB105 GXX2:GXX105 HHT2:HHT105 HRP2:HRP105 IBL2:IBL105 ILH2:ILH105 IVD2:IVD105 JEZ2:JEZ105 JOV2:JOV105 JYR2:JYR105 KIN2:KIN105 KSJ2:KSJ105 LCF2:LCF105 LMB2:LMB105 LVX2:LVX105 MFT2:MFT105 MPP2:MPP105 MZL2:MZL105 NJH2:NJH105 NTD2:NTD105 OCZ2:OCZ105 OMV2:OMV105 OWR2:OWR105 PGN2:PGN105 PQJ2:PQJ105 QAF2:QAF105 QKB2:QKB105 QTX2:QTX105 RDT2:RDT105 RNP2:RNP105 RXL2:RXL105 SHH2:SHH105 SRD2:SRD105 TAZ2:TAZ105 TKV2:TKV105 TUR2:TUR105 UEN2:UEN105 UOJ2:UOJ105 UYF2:UYF105 VIB2:VIB105 VRX2:VRX105 WBT2:WBT105 WLP2:WLP105 WVL2:WVL105 D65538:D65641 IZ65538:IZ65641 SV65538:SV65641 ACR65538:ACR65641 AMN65538:AMN65641 AWJ65538:AWJ65641 BGF65538:BGF65641 BQB65538:BQB65641 BZX65538:BZX65641 CJT65538:CJT65641 CTP65538:CTP65641 DDL65538:DDL65641 DNH65538:DNH65641 DXD65538:DXD65641 EGZ65538:EGZ65641 EQV65538:EQV65641 FAR65538:FAR65641 FKN65538:FKN65641 FUJ65538:FUJ65641 GEF65538:GEF65641 GOB65538:GOB65641 GXX65538:GXX65641 HHT65538:HHT65641 HRP65538:HRP65641 IBL65538:IBL65641 ILH65538:ILH65641 IVD65538:IVD65641 JEZ65538:JEZ65641 JOV65538:JOV65641 JYR65538:JYR65641 KIN65538:KIN65641 KSJ65538:KSJ65641 LCF65538:LCF65641 LMB65538:LMB65641 LVX65538:LVX65641 MFT65538:MFT65641 MPP65538:MPP65641 MZL65538:MZL65641 NJH65538:NJH65641 NTD65538:NTD65641 OCZ65538:OCZ65641 OMV65538:OMV65641 OWR65538:OWR65641 PGN65538:PGN65641 PQJ65538:PQJ65641 QAF65538:QAF65641 QKB65538:QKB65641 QTX65538:QTX65641 RDT65538:RDT65641 RNP65538:RNP65641 RXL65538:RXL65641 SHH65538:SHH65641 SRD65538:SRD65641 TAZ65538:TAZ65641 TKV65538:TKV65641 TUR65538:TUR65641 UEN65538:UEN65641 UOJ65538:UOJ65641 UYF65538:UYF65641 VIB65538:VIB65641 VRX65538:VRX65641 WBT65538:WBT65641 WLP65538:WLP65641 WVL65538:WVL65641 D131074:D131177 IZ131074:IZ131177 SV131074:SV131177 ACR131074:ACR131177 AMN131074:AMN131177 AWJ131074:AWJ131177 BGF131074:BGF131177 BQB131074:BQB131177 BZX131074:BZX131177 CJT131074:CJT131177 CTP131074:CTP131177 DDL131074:DDL131177 DNH131074:DNH131177 DXD131074:DXD131177 EGZ131074:EGZ131177 EQV131074:EQV131177 FAR131074:FAR131177 FKN131074:FKN131177 FUJ131074:FUJ131177 GEF131074:GEF131177 GOB131074:GOB131177 GXX131074:GXX131177 HHT131074:HHT131177 HRP131074:HRP131177 IBL131074:IBL131177 ILH131074:ILH131177 IVD131074:IVD131177 JEZ131074:JEZ131177 JOV131074:JOV131177 JYR131074:JYR131177 KIN131074:KIN131177 KSJ131074:KSJ131177 LCF131074:LCF131177 LMB131074:LMB131177 LVX131074:LVX131177 MFT131074:MFT131177 MPP131074:MPP131177 MZL131074:MZL131177 NJH131074:NJH131177 NTD131074:NTD131177 OCZ131074:OCZ131177 OMV131074:OMV131177 OWR131074:OWR131177 PGN131074:PGN131177 PQJ131074:PQJ131177 QAF131074:QAF131177 QKB131074:QKB131177 QTX131074:QTX131177 RDT131074:RDT131177 RNP131074:RNP131177 RXL131074:RXL131177 SHH131074:SHH131177 SRD131074:SRD131177 TAZ131074:TAZ131177 TKV131074:TKV131177 TUR131074:TUR131177 UEN131074:UEN131177 UOJ131074:UOJ131177 UYF131074:UYF131177 VIB131074:VIB131177 VRX131074:VRX131177 WBT131074:WBT131177 WLP131074:WLP131177 WVL131074:WVL131177 D196610:D196713 IZ196610:IZ196713 SV196610:SV196713 ACR196610:ACR196713 AMN196610:AMN196713 AWJ196610:AWJ196713 BGF196610:BGF196713 BQB196610:BQB196713 BZX196610:BZX196713 CJT196610:CJT196713 CTP196610:CTP196713 DDL196610:DDL196713 DNH196610:DNH196713 DXD196610:DXD196713 EGZ196610:EGZ196713 EQV196610:EQV196713 FAR196610:FAR196713 FKN196610:FKN196713 FUJ196610:FUJ196713 GEF196610:GEF196713 GOB196610:GOB196713 GXX196610:GXX196713 HHT196610:HHT196713 HRP196610:HRP196713 IBL196610:IBL196713 ILH196610:ILH196713 IVD196610:IVD196713 JEZ196610:JEZ196713 JOV196610:JOV196713 JYR196610:JYR196713 KIN196610:KIN196713 KSJ196610:KSJ196713 LCF196610:LCF196713 LMB196610:LMB196713 LVX196610:LVX196713 MFT196610:MFT196713 MPP196610:MPP196713 MZL196610:MZL196713 NJH196610:NJH196713 NTD196610:NTD196713 OCZ196610:OCZ196713 OMV196610:OMV196713 OWR196610:OWR196713 PGN196610:PGN196713 PQJ196610:PQJ196713 QAF196610:QAF196713 QKB196610:QKB196713 QTX196610:QTX196713 RDT196610:RDT196713 RNP196610:RNP196713 RXL196610:RXL196713 SHH196610:SHH196713 SRD196610:SRD196713 TAZ196610:TAZ196713 TKV196610:TKV196713 TUR196610:TUR196713 UEN196610:UEN196713 UOJ196610:UOJ196713 UYF196610:UYF196713 VIB196610:VIB196713 VRX196610:VRX196713 WBT196610:WBT196713 WLP196610:WLP196713 WVL196610:WVL196713 D262146:D262249 IZ262146:IZ262249 SV262146:SV262249 ACR262146:ACR262249 AMN262146:AMN262249 AWJ262146:AWJ262249 BGF262146:BGF262249 BQB262146:BQB262249 BZX262146:BZX262249 CJT262146:CJT262249 CTP262146:CTP262249 DDL262146:DDL262249 DNH262146:DNH262249 DXD262146:DXD262249 EGZ262146:EGZ262249 EQV262146:EQV262249 FAR262146:FAR262249 FKN262146:FKN262249 FUJ262146:FUJ262249 GEF262146:GEF262249 GOB262146:GOB262249 GXX262146:GXX262249 HHT262146:HHT262249 HRP262146:HRP262249 IBL262146:IBL262249 ILH262146:ILH262249 IVD262146:IVD262249 JEZ262146:JEZ262249 JOV262146:JOV262249 JYR262146:JYR262249 KIN262146:KIN262249 KSJ262146:KSJ262249 LCF262146:LCF262249 LMB262146:LMB262249 LVX262146:LVX262249 MFT262146:MFT262249 MPP262146:MPP262249 MZL262146:MZL262249 NJH262146:NJH262249 NTD262146:NTD262249 OCZ262146:OCZ262249 OMV262146:OMV262249 OWR262146:OWR262249 PGN262146:PGN262249 PQJ262146:PQJ262249 QAF262146:QAF262249 QKB262146:QKB262249 QTX262146:QTX262249 RDT262146:RDT262249 RNP262146:RNP262249 RXL262146:RXL262249 SHH262146:SHH262249 SRD262146:SRD262249 TAZ262146:TAZ262249 TKV262146:TKV262249 TUR262146:TUR262249 UEN262146:UEN262249 UOJ262146:UOJ262249 UYF262146:UYF262249 VIB262146:VIB262249 VRX262146:VRX262249 WBT262146:WBT262249 WLP262146:WLP262249 WVL262146:WVL262249 D327682:D327785 IZ327682:IZ327785 SV327682:SV327785 ACR327682:ACR327785 AMN327682:AMN327785 AWJ327682:AWJ327785 BGF327682:BGF327785 BQB327682:BQB327785 BZX327682:BZX327785 CJT327682:CJT327785 CTP327682:CTP327785 DDL327682:DDL327785 DNH327682:DNH327785 DXD327682:DXD327785 EGZ327682:EGZ327785 EQV327682:EQV327785 FAR327682:FAR327785 FKN327682:FKN327785 FUJ327682:FUJ327785 GEF327682:GEF327785 GOB327682:GOB327785 GXX327682:GXX327785 HHT327682:HHT327785 HRP327682:HRP327785 IBL327682:IBL327785 ILH327682:ILH327785 IVD327682:IVD327785 JEZ327682:JEZ327785 JOV327682:JOV327785 JYR327682:JYR327785 KIN327682:KIN327785 KSJ327682:KSJ327785 LCF327682:LCF327785 LMB327682:LMB327785 LVX327682:LVX327785 MFT327682:MFT327785 MPP327682:MPP327785 MZL327682:MZL327785 NJH327682:NJH327785 NTD327682:NTD327785 OCZ327682:OCZ327785 OMV327682:OMV327785 OWR327682:OWR327785 PGN327682:PGN327785 PQJ327682:PQJ327785 QAF327682:QAF327785 QKB327682:QKB327785 QTX327682:QTX327785 RDT327682:RDT327785 RNP327682:RNP327785 RXL327682:RXL327785 SHH327682:SHH327785 SRD327682:SRD327785 TAZ327682:TAZ327785 TKV327682:TKV327785 TUR327682:TUR327785 UEN327682:UEN327785 UOJ327682:UOJ327785 UYF327682:UYF327785 VIB327682:VIB327785 VRX327682:VRX327785 WBT327682:WBT327785 WLP327682:WLP327785 WVL327682:WVL327785 D393218:D393321 IZ393218:IZ393321 SV393218:SV393321 ACR393218:ACR393321 AMN393218:AMN393321 AWJ393218:AWJ393321 BGF393218:BGF393321 BQB393218:BQB393321 BZX393218:BZX393321 CJT393218:CJT393321 CTP393218:CTP393321 DDL393218:DDL393321 DNH393218:DNH393321 DXD393218:DXD393321 EGZ393218:EGZ393321 EQV393218:EQV393321 FAR393218:FAR393321 FKN393218:FKN393321 FUJ393218:FUJ393321 GEF393218:GEF393321 GOB393218:GOB393321 GXX393218:GXX393321 HHT393218:HHT393321 HRP393218:HRP393321 IBL393218:IBL393321 ILH393218:ILH393321 IVD393218:IVD393321 JEZ393218:JEZ393321 JOV393218:JOV393321 JYR393218:JYR393321 KIN393218:KIN393321 KSJ393218:KSJ393321 LCF393218:LCF393321 LMB393218:LMB393321 LVX393218:LVX393321 MFT393218:MFT393321 MPP393218:MPP393321 MZL393218:MZL393321 NJH393218:NJH393321 NTD393218:NTD393321 OCZ393218:OCZ393321 OMV393218:OMV393321 OWR393218:OWR393321 PGN393218:PGN393321 PQJ393218:PQJ393321 QAF393218:QAF393321 QKB393218:QKB393321 QTX393218:QTX393321 RDT393218:RDT393321 RNP393218:RNP393321 RXL393218:RXL393321 SHH393218:SHH393321 SRD393218:SRD393321 TAZ393218:TAZ393321 TKV393218:TKV393321 TUR393218:TUR393321 UEN393218:UEN393321 UOJ393218:UOJ393321 UYF393218:UYF393321 VIB393218:VIB393321 VRX393218:VRX393321 WBT393218:WBT393321 WLP393218:WLP393321 WVL393218:WVL393321 D458754:D458857 IZ458754:IZ458857 SV458754:SV458857 ACR458754:ACR458857 AMN458754:AMN458857 AWJ458754:AWJ458857 BGF458754:BGF458857 BQB458754:BQB458857 BZX458754:BZX458857 CJT458754:CJT458857 CTP458754:CTP458857 DDL458754:DDL458857 DNH458754:DNH458857 DXD458754:DXD458857 EGZ458754:EGZ458857 EQV458754:EQV458857 FAR458754:FAR458857 FKN458754:FKN458857 FUJ458754:FUJ458857 GEF458754:GEF458857 GOB458754:GOB458857 GXX458754:GXX458857 HHT458754:HHT458857 HRP458754:HRP458857 IBL458754:IBL458857 ILH458754:ILH458857 IVD458754:IVD458857 JEZ458754:JEZ458857 JOV458754:JOV458857 JYR458754:JYR458857 KIN458754:KIN458857 KSJ458754:KSJ458857 LCF458754:LCF458857 LMB458754:LMB458857 LVX458754:LVX458857 MFT458754:MFT458857 MPP458754:MPP458857 MZL458754:MZL458857 NJH458754:NJH458857 NTD458754:NTD458857 OCZ458754:OCZ458857 OMV458754:OMV458857 OWR458754:OWR458857 PGN458754:PGN458857 PQJ458754:PQJ458857 QAF458754:QAF458857 QKB458754:QKB458857 QTX458754:QTX458857 RDT458754:RDT458857 RNP458754:RNP458857 RXL458754:RXL458857 SHH458754:SHH458857 SRD458754:SRD458857 TAZ458754:TAZ458857 TKV458754:TKV458857 TUR458754:TUR458857 UEN458754:UEN458857 UOJ458754:UOJ458857 UYF458754:UYF458857 VIB458754:VIB458857 VRX458754:VRX458857 WBT458754:WBT458857 WLP458754:WLP458857 WVL458754:WVL458857 D524290:D524393 IZ524290:IZ524393 SV524290:SV524393 ACR524290:ACR524393 AMN524290:AMN524393 AWJ524290:AWJ524393 BGF524290:BGF524393 BQB524290:BQB524393 BZX524290:BZX524393 CJT524290:CJT524393 CTP524290:CTP524393 DDL524290:DDL524393 DNH524290:DNH524393 DXD524290:DXD524393 EGZ524290:EGZ524393 EQV524290:EQV524393 FAR524290:FAR524393 FKN524290:FKN524393 FUJ524290:FUJ524393 GEF524290:GEF524393 GOB524290:GOB524393 GXX524290:GXX524393 HHT524290:HHT524393 HRP524290:HRP524393 IBL524290:IBL524393 ILH524290:ILH524393 IVD524290:IVD524393 JEZ524290:JEZ524393 JOV524290:JOV524393 JYR524290:JYR524393 KIN524290:KIN524393 KSJ524290:KSJ524393 LCF524290:LCF524393 LMB524290:LMB524393 LVX524290:LVX524393 MFT524290:MFT524393 MPP524290:MPP524393 MZL524290:MZL524393 NJH524290:NJH524393 NTD524290:NTD524393 OCZ524290:OCZ524393 OMV524290:OMV524393 OWR524290:OWR524393 PGN524290:PGN524393 PQJ524290:PQJ524393 QAF524290:QAF524393 QKB524290:QKB524393 QTX524290:QTX524393 RDT524290:RDT524393 RNP524290:RNP524393 RXL524290:RXL524393 SHH524290:SHH524393 SRD524290:SRD524393 TAZ524290:TAZ524393 TKV524290:TKV524393 TUR524290:TUR524393 UEN524290:UEN524393 UOJ524290:UOJ524393 UYF524290:UYF524393 VIB524290:VIB524393 VRX524290:VRX524393 WBT524290:WBT524393 WLP524290:WLP524393 WVL524290:WVL524393 D589826:D589929 IZ589826:IZ589929 SV589826:SV589929 ACR589826:ACR589929 AMN589826:AMN589929 AWJ589826:AWJ589929 BGF589826:BGF589929 BQB589826:BQB589929 BZX589826:BZX589929 CJT589826:CJT589929 CTP589826:CTP589929 DDL589826:DDL589929 DNH589826:DNH589929 DXD589826:DXD589929 EGZ589826:EGZ589929 EQV589826:EQV589929 FAR589826:FAR589929 FKN589826:FKN589929 FUJ589826:FUJ589929 GEF589826:GEF589929 GOB589826:GOB589929 GXX589826:GXX589929 HHT589826:HHT589929 HRP589826:HRP589929 IBL589826:IBL589929 ILH589826:ILH589929 IVD589826:IVD589929 JEZ589826:JEZ589929 JOV589826:JOV589929 JYR589826:JYR589929 KIN589826:KIN589929 KSJ589826:KSJ589929 LCF589826:LCF589929 LMB589826:LMB589929 LVX589826:LVX589929 MFT589826:MFT589929 MPP589826:MPP589929 MZL589826:MZL589929 NJH589826:NJH589929 NTD589826:NTD589929 OCZ589826:OCZ589929 OMV589826:OMV589929 OWR589826:OWR589929 PGN589826:PGN589929 PQJ589826:PQJ589929 QAF589826:QAF589929 QKB589826:QKB589929 QTX589826:QTX589929 RDT589826:RDT589929 RNP589826:RNP589929 RXL589826:RXL589929 SHH589826:SHH589929 SRD589826:SRD589929 TAZ589826:TAZ589929 TKV589826:TKV589929 TUR589826:TUR589929 UEN589826:UEN589929 UOJ589826:UOJ589929 UYF589826:UYF589929 VIB589826:VIB589929 VRX589826:VRX589929 WBT589826:WBT589929 WLP589826:WLP589929 WVL589826:WVL589929 D655362:D655465 IZ655362:IZ655465 SV655362:SV655465 ACR655362:ACR655465 AMN655362:AMN655465 AWJ655362:AWJ655465 BGF655362:BGF655465 BQB655362:BQB655465 BZX655362:BZX655465 CJT655362:CJT655465 CTP655362:CTP655465 DDL655362:DDL655465 DNH655362:DNH655465 DXD655362:DXD655465 EGZ655362:EGZ655465 EQV655362:EQV655465 FAR655362:FAR655465 FKN655362:FKN655465 FUJ655362:FUJ655465 GEF655362:GEF655465 GOB655362:GOB655465 GXX655362:GXX655465 HHT655362:HHT655465 HRP655362:HRP655465 IBL655362:IBL655465 ILH655362:ILH655465 IVD655362:IVD655465 JEZ655362:JEZ655465 JOV655362:JOV655465 JYR655362:JYR655465 KIN655362:KIN655465 KSJ655362:KSJ655465 LCF655362:LCF655465 LMB655362:LMB655465 LVX655362:LVX655465 MFT655362:MFT655465 MPP655362:MPP655465 MZL655362:MZL655465 NJH655362:NJH655465 NTD655362:NTD655465 OCZ655362:OCZ655465 OMV655362:OMV655465 OWR655362:OWR655465 PGN655362:PGN655465 PQJ655362:PQJ655465 QAF655362:QAF655465 QKB655362:QKB655465 QTX655362:QTX655465 RDT655362:RDT655465 RNP655362:RNP655465 RXL655362:RXL655465 SHH655362:SHH655465 SRD655362:SRD655465 TAZ655362:TAZ655465 TKV655362:TKV655465 TUR655362:TUR655465 UEN655362:UEN655465 UOJ655362:UOJ655465 UYF655362:UYF655465 VIB655362:VIB655465 VRX655362:VRX655465 WBT655362:WBT655465 WLP655362:WLP655465 WVL655362:WVL655465 D720898:D721001 IZ720898:IZ721001 SV720898:SV721001 ACR720898:ACR721001 AMN720898:AMN721001 AWJ720898:AWJ721001 BGF720898:BGF721001 BQB720898:BQB721001 BZX720898:BZX721001 CJT720898:CJT721001 CTP720898:CTP721001 DDL720898:DDL721001 DNH720898:DNH721001 DXD720898:DXD721001 EGZ720898:EGZ721001 EQV720898:EQV721001 FAR720898:FAR721001 FKN720898:FKN721001 FUJ720898:FUJ721001 GEF720898:GEF721001 GOB720898:GOB721001 GXX720898:GXX721001 HHT720898:HHT721001 HRP720898:HRP721001 IBL720898:IBL721001 ILH720898:ILH721001 IVD720898:IVD721001 JEZ720898:JEZ721001 JOV720898:JOV721001 JYR720898:JYR721001 KIN720898:KIN721001 KSJ720898:KSJ721001 LCF720898:LCF721001 LMB720898:LMB721001 LVX720898:LVX721001 MFT720898:MFT721001 MPP720898:MPP721001 MZL720898:MZL721001 NJH720898:NJH721001 NTD720898:NTD721001 OCZ720898:OCZ721001 OMV720898:OMV721001 OWR720898:OWR721001 PGN720898:PGN721001 PQJ720898:PQJ721001 QAF720898:QAF721001 QKB720898:QKB721001 QTX720898:QTX721001 RDT720898:RDT721001 RNP720898:RNP721001 RXL720898:RXL721001 SHH720898:SHH721001 SRD720898:SRD721001 TAZ720898:TAZ721001 TKV720898:TKV721001 TUR720898:TUR721001 UEN720898:UEN721001 UOJ720898:UOJ721001 UYF720898:UYF721001 VIB720898:VIB721001 VRX720898:VRX721001 WBT720898:WBT721001 WLP720898:WLP721001 WVL720898:WVL721001 D786434:D786537 IZ786434:IZ786537 SV786434:SV786537 ACR786434:ACR786537 AMN786434:AMN786537 AWJ786434:AWJ786537 BGF786434:BGF786537 BQB786434:BQB786537 BZX786434:BZX786537 CJT786434:CJT786537 CTP786434:CTP786537 DDL786434:DDL786537 DNH786434:DNH786537 DXD786434:DXD786537 EGZ786434:EGZ786537 EQV786434:EQV786537 FAR786434:FAR786537 FKN786434:FKN786537 FUJ786434:FUJ786537 GEF786434:GEF786537 GOB786434:GOB786537 GXX786434:GXX786537 HHT786434:HHT786537 HRP786434:HRP786537 IBL786434:IBL786537 ILH786434:ILH786537 IVD786434:IVD786537 JEZ786434:JEZ786537 JOV786434:JOV786537 JYR786434:JYR786537 KIN786434:KIN786537 KSJ786434:KSJ786537 LCF786434:LCF786537 LMB786434:LMB786537 LVX786434:LVX786537 MFT786434:MFT786537 MPP786434:MPP786537 MZL786434:MZL786537 NJH786434:NJH786537 NTD786434:NTD786537 OCZ786434:OCZ786537 OMV786434:OMV786537 OWR786434:OWR786537 PGN786434:PGN786537 PQJ786434:PQJ786537 QAF786434:QAF786537 QKB786434:QKB786537 QTX786434:QTX786537 RDT786434:RDT786537 RNP786434:RNP786537 RXL786434:RXL786537 SHH786434:SHH786537 SRD786434:SRD786537 TAZ786434:TAZ786537 TKV786434:TKV786537 TUR786434:TUR786537 UEN786434:UEN786537 UOJ786434:UOJ786537 UYF786434:UYF786537 VIB786434:VIB786537 VRX786434:VRX786537 WBT786434:WBT786537 WLP786434:WLP786537 WVL786434:WVL786537 D851970:D852073 IZ851970:IZ852073 SV851970:SV852073 ACR851970:ACR852073 AMN851970:AMN852073 AWJ851970:AWJ852073 BGF851970:BGF852073 BQB851970:BQB852073 BZX851970:BZX852073 CJT851970:CJT852073 CTP851970:CTP852073 DDL851970:DDL852073 DNH851970:DNH852073 DXD851970:DXD852073 EGZ851970:EGZ852073 EQV851970:EQV852073 FAR851970:FAR852073 FKN851970:FKN852073 FUJ851970:FUJ852073 GEF851970:GEF852073 GOB851970:GOB852073 GXX851970:GXX852073 HHT851970:HHT852073 HRP851970:HRP852073 IBL851970:IBL852073 ILH851970:ILH852073 IVD851970:IVD852073 JEZ851970:JEZ852073 JOV851970:JOV852073 JYR851970:JYR852073 KIN851970:KIN852073 KSJ851970:KSJ852073 LCF851970:LCF852073 LMB851970:LMB852073 LVX851970:LVX852073 MFT851970:MFT852073 MPP851970:MPP852073 MZL851970:MZL852073 NJH851970:NJH852073 NTD851970:NTD852073 OCZ851970:OCZ852073 OMV851970:OMV852073 OWR851970:OWR852073 PGN851970:PGN852073 PQJ851970:PQJ852073 QAF851970:QAF852073 QKB851970:QKB852073 QTX851970:QTX852073 RDT851970:RDT852073 RNP851970:RNP852073 RXL851970:RXL852073 SHH851970:SHH852073 SRD851970:SRD852073 TAZ851970:TAZ852073 TKV851970:TKV852073 TUR851970:TUR852073 UEN851970:UEN852073 UOJ851970:UOJ852073 UYF851970:UYF852073 VIB851970:VIB852073 VRX851970:VRX852073 WBT851970:WBT852073 WLP851970:WLP852073 WVL851970:WVL852073 D917506:D917609 IZ917506:IZ917609 SV917506:SV917609 ACR917506:ACR917609 AMN917506:AMN917609 AWJ917506:AWJ917609 BGF917506:BGF917609 BQB917506:BQB917609 BZX917506:BZX917609 CJT917506:CJT917609 CTP917506:CTP917609 DDL917506:DDL917609 DNH917506:DNH917609 DXD917506:DXD917609 EGZ917506:EGZ917609 EQV917506:EQV917609 FAR917506:FAR917609 FKN917506:FKN917609 FUJ917506:FUJ917609 GEF917506:GEF917609 GOB917506:GOB917609 GXX917506:GXX917609 HHT917506:HHT917609 HRP917506:HRP917609 IBL917506:IBL917609 ILH917506:ILH917609 IVD917506:IVD917609 JEZ917506:JEZ917609 JOV917506:JOV917609 JYR917506:JYR917609 KIN917506:KIN917609 KSJ917506:KSJ917609 LCF917506:LCF917609 LMB917506:LMB917609 LVX917506:LVX917609 MFT917506:MFT917609 MPP917506:MPP917609 MZL917506:MZL917609 NJH917506:NJH917609 NTD917506:NTD917609 OCZ917506:OCZ917609 OMV917506:OMV917609 OWR917506:OWR917609 PGN917506:PGN917609 PQJ917506:PQJ917609 QAF917506:QAF917609 QKB917506:QKB917609 QTX917506:QTX917609 RDT917506:RDT917609 RNP917506:RNP917609 RXL917506:RXL917609 SHH917506:SHH917609 SRD917506:SRD917609 TAZ917506:TAZ917609 TKV917506:TKV917609 TUR917506:TUR917609 UEN917506:UEN917609 UOJ917506:UOJ917609 UYF917506:UYF917609 VIB917506:VIB917609 VRX917506:VRX917609 WBT917506:WBT917609 WLP917506:WLP917609 WVL917506:WVL917609 D983042:D983145 IZ983042:IZ983145 SV983042:SV983145 ACR983042:ACR983145 AMN983042:AMN983145 AWJ983042:AWJ983145 BGF983042:BGF983145 BQB983042:BQB983145 BZX983042:BZX983145 CJT983042:CJT983145 CTP983042:CTP983145 DDL983042:DDL983145 DNH983042:DNH983145 DXD983042:DXD983145 EGZ983042:EGZ983145 EQV983042:EQV983145 FAR983042:FAR983145 FKN983042:FKN983145 FUJ983042:FUJ983145 GEF983042:GEF983145 GOB983042:GOB983145 GXX983042:GXX983145 HHT983042:HHT983145 HRP983042:HRP983145 IBL983042:IBL983145 ILH983042:ILH983145 IVD983042:IVD983145 JEZ983042:JEZ983145 JOV983042:JOV983145 JYR983042:JYR983145 KIN983042:KIN983145 KSJ983042:KSJ983145 LCF983042:LCF983145 LMB983042:LMB983145 LVX983042:LVX983145 MFT983042:MFT983145 MPP983042:MPP983145 MZL983042:MZL983145 NJH983042:NJH983145 NTD983042:NTD983145 OCZ983042:OCZ983145 OMV983042:OMV983145 OWR983042:OWR983145 PGN983042:PGN983145 PQJ983042:PQJ983145 QAF983042:QAF983145 QKB983042:QKB983145 QTX983042:QTX983145 RDT983042:RDT983145 RNP983042:RNP983145 RXL983042:RXL983145 SHH983042:SHH983145 SRD983042:SRD983145 TAZ983042:TAZ983145 TKV983042:TKV983145 TUR983042:TUR983145 UEN983042:UEN983145 UOJ983042:UOJ983145 UYF983042:UYF983145 VIB983042:VIB983145 VRX983042:VRX983145 WBT983042:WBT983145 WLP983042:WLP983145 D2:D200" xr:uid="{2EBD6708-A7D9-4625-A9D5-60B8EC78DA21}">
      <formula1>0</formula1>
      <formula2>0</formula2>
    </dataValidation>
    <dataValidation operator="equal" allowBlank="1" showErrorMessage="1" sqref="A1:D1 IW1:IZ1 SS1:SV1 ACO1:ACR1 AMK1:AMN1 AWG1:AWJ1 BGC1:BGF1 BPY1:BQB1 BZU1:BZX1 CJQ1:CJT1 CTM1:CTP1 DDI1:DDL1 DNE1:DNH1 DXA1:DXD1 EGW1:EGZ1 EQS1:EQV1 FAO1:FAR1 FKK1:FKN1 FUG1:FUJ1 GEC1:GEF1 GNY1:GOB1 GXU1:GXX1 HHQ1:HHT1 HRM1:HRP1 IBI1:IBL1 ILE1:ILH1 IVA1:IVD1 JEW1:JEZ1 JOS1:JOV1 JYO1:JYR1 KIK1:KIN1 KSG1:KSJ1 LCC1:LCF1 LLY1:LMB1 LVU1:LVX1 MFQ1:MFT1 MPM1:MPP1 MZI1:MZL1 NJE1:NJH1 NTA1:NTD1 OCW1:OCZ1 OMS1:OMV1 OWO1:OWR1 PGK1:PGN1 PQG1:PQJ1 QAC1:QAF1 QJY1:QKB1 QTU1:QTX1 RDQ1:RDT1 RNM1:RNP1 RXI1:RXL1 SHE1:SHH1 SRA1:SRD1 TAW1:TAZ1 TKS1:TKV1 TUO1:TUR1 UEK1:UEN1 UOG1:UOJ1 UYC1:UYF1 VHY1:VIB1 VRU1:VRX1 WBQ1:WBT1 WLM1:WLP1 WVI1:WVL1 A65537:D65537 IW65537:IZ65537 SS65537:SV65537 ACO65537:ACR65537 AMK65537:AMN65537 AWG65537:AWJ65537 BGC65537:BGF65537 BPY65537:BQB65537 BZU65537:BZX65537 CJQ65537:CJT65537 CTM65537:CTP65537 DDI65537:DDL65537 DNE65537:DNH65537 DXA65537:DXD65537 EGW65537:EGZ65537 EQS65537:EQV65537 FAO65537:FAR65537 FKK65537:FKN65537 FUG65537:FUJ65537 GEC65537:GEF65537 GNY65537:GOB65537 GXU65537:GXX65537 HHQ65537:HHT65537 HRM65537:HRP65537 IBI65537:IBL65537 ILE65537:ILH65537 IVA65537:IVD65537 JEW65537:JEZ65537 JOS65537:JOV65537 JYO65537:JYR65537 KIK65537:KIN65537 KSG65537:KSJ65537 LCC65537:LCF65537 LLY65537:LMB65537 LVU65537:LVX65537 MFQ65537:MFT65537 MPM65537:MPP65537 MZI65537:MZL65537 NJE65537:NJH65537 NTA65537:NTD65537 OCW65537:OCZ65537 OMS65537:OMV65537 OWO65537:OWR65537 PGK65537:PGN65537 PQG65537:PQJ65537 QAC65537:QAF65537 QJY65537:QKB65537 QTU65537:QTX65537 RDQ65537:RDT65537 RNM65537:RNP65537 RXI65537:RXL65537 SHE65537:SHH65537 SRA65537:SRD65537 TAW65537:TAZ65537 TKS65537:TKV65537 TUO65537:TUR65537 UEK65537:UEN65537 UOG65537:UOJ65537 UYC65537:UYF65537 VHY65537:VIB65537 VRU65537:VRX65537 WBQ65537:WBT65537 WLM65537:WLP65537 WVI65537:WVL65537 A131073:D131073 IW131073:IZ131073 SS131073:SV131073 ACO131073:ACR131073 AMK131073:AMN131073 AWG131073:AWJ131073 BGC131073:BGF131073 BPY131073:BQB131073 BZU131073:BZX131073 CJQ131073:CJT131073 CTM131073:CTP131073 DDI131073:DDL131073 DNE131073:DNH131073 DXA131073:DXD131073 EGW131073:EGZ131073 EQS131073:EQV131073 FAO131073:FAR131073 FKK131073:FKN131073 FUG131073:FUJ131073 GEC131073:GEF131073 GNY131073:GOB131073 GXU131073:GXX131073 HHQ131073:HHT131073 HRM131073:HRP131073 IBI131073:IBL131073 ILE131073:ILH131073 IVA131073:IVD131073 JEW131073:JEZ131073 JOS131073:JOV131073 JYO131073:JYR131073 KIK131073:KIN131073 KSG131073:KSJ131073 LCC131073:LCF131073 LLY131073:LMB131073 LVU131073:LVX131073 MFQ131073:MFT131073 MPM131073:MPP131073 MZI131073:MZL131073 NJE131073:NJH131073 NTA131073:NTD131073 OCW131073:OCZ131073 OMS131073:OMV131073 OWO131073:OWR131073 PGK131073:PGN131073 PQG131073:PQJ131073 QAC131073:QAF131073 QJY131073:QKB131073 QTU131073:QTX131073 RDQ131073:RDT131073 RNM131073:RNP131073 RXI131073:RXL131073 SHE131073:SHH131073 SRA131073:SRD131073 TAW131073:TAZ131073 TKS131073:TKV131073 TUO131073:TUR131073 UEK131073:UEN131073 UOG131073:UOJ131073 UYC131073:UYF131073 VHY131073:VIB131073 VRU131073:VRX131073 WBQ131073:WBT131073 WLM131073:WLP131073 WVI131073:WVL131073 A196609:D196609 IW196609:IZ196609 SS196609:SV196609 ACO196609:ACR196609 AMK196609:AMN196609 AWG196609:AWJ196609 BGC196609:BGF196609 BPY196609:BQB196609 BZU196609:BZX196609 CJQ196609:CJT196609 CTM196609:CTP196609 DDI196609:DDL196609 DNE196609:DNH196609 DXA196609:DXD196609 EGW196609:EGZ196609 EQS196609:EQV196609 FAO196609:FAR196609 FKK196609:FKN196609 FUG196609:FUJ196609 GEC196609:GEF196609 GNY196609:GOB196609 GXU196609:GXX196609 HHQ196609:HHT196609 HRM196609:HRP196609 IBI196609:IBL196609 ILE196609:ILH196609 IVA196609:IVD196609 JEW196609:JEZ196609 JOS196609:JOV196609 JYO196609:JYR196609 KIK196609:KIN196609 KSG196609:KSJ196609 LCC196609:LCF196609 LLY196609:LMB196609 LVU196609:LVX196609 MFQ196609:MFT196609 MPM196609:MPP196609 MZI196609:MZL196609 NJE196609:NJH196609 NTA196609:NTD196609 OCW196609:OCZ196609 OMS196609:OMV196609 OWO196609:OWR196609 PGK196609:PGN196609 PQG196609:PQJ196609 QAC196609:QAF196609 QJY196609:QKB196609 QTU196609:QTX196609 RDQ196609:RDT196609 RNM196609:RNP196609 RXI196609:RXL196609 SHE196609:SHH196609 SRA196609:SRD196609 TAW196609:TAZ196609 TKS196609:TKV196609 TUO196609:TUR196609 UEK196609:UEN196609 UOG196609:UOJ196609 UYC196609:UYF196609 VHY196609:VIB196609 VRU196609:VRX196609 WBQ196609:WBT196609 WLM196609:WLP196609 WVI196609:WVL196609 A262145:D262145 IW262145:IZ262145 SS262145:SV262145 ACO262145:ACR262145 AMK262145:AMN262145 AWG262145:AWJ262145 BGC262145:BGF262145 BPY262145:BQB262145 BZU262145:BZX262145 CJQ262145:CJT262145 CTM262145:CTP262145 DDI262145:DDL262145 DNE262145:DNH262145 DXA262145:DXD262145 EGW262145:EGZ262145 EQS262145:EQV262145 FAO262145:FAR262145 FKK262145:FKN262145 FUG262145:FUJ262145 GEC262145:GEF262145 GNY262145:GOB262145 GXU262145:GXX262145 HHQ262145:HHT262145 HRM262145:HRP262145 IBI262145:IBL262145 ILE262145:ILH262145 IVA262145:IVD262145 JEW262145:JEZ262145 JOS262145:JOV262145 JYO262145:JYR262145 KIK262145:KIN262145 KSG262145:KSJ262145 LCC262145:LCF262145 LLY262145:LMB262145 LVU262145:LVX262145 MFQ262145:MFT262145 MPM262145:MPP262145 MZI262145:MZL262145 NJE262145:NJH262145 NTA262145:NTD262145 OCW262145:OCZ262145 OMS262145:OMV262145 OWO262145:OWR262145 PGK262145:PGN262145 PQG262145:PQJ262145 QAC262145:QAF262145 QJY262145:QKB262145 QTU262145:QTX262145 RDQ262145:RDT262145 RNM262145:RNP262145 RXI262145:RXL262145 SHE262145:SHH262145 SRA262145:SRD262145 TAW262145:TAZ262145 TKS262145:TKV262145 TUO262145:TUR262145 UEK262145:UEN262145 UOG262145:UOJ262145 UYC262145:UYF262145 VHY262145:VIB262145 VRU262145:VRX262145 WBQ262145:WBT262145 WLM262145:WLP262145 WVI262145:WVL262145 A327681:D327681 IW327681:IZ327681 SS327681:SV327681 ACO327681:ACR327681 AMK327681:AMN327681 AWG327681:AWJ327681 BGC327681:BGF327681 BPY327681:BQB327681 BZU327681:BZX327681 CJQ327681:CJT327681 CTM327681:CTP327681 DDI327681:DDL327681 DNE327681:DNH327681 DXA327681:DXD327681 EGW327681:EGZ327681 EQS327681:EQV327681 FAO327681:FAR327681 FKK327681:FKN327681 FUG327681:FUJ327681 GEC327681:GEF327681 GNY327681:GOB327681 GXU327681:GXX327681 HHQ327681:HHT327681 HRM327681:HRP327681 IBI327681:IBL327681 ILE327681:ILH327681 IVA327681:IVD327681 JEW327681:JEZ327681 JOS327681:JOV327681 JYO327681:JYR327681 KIK327681:KIN327681 KSG327681:KSJ327681 LCC327681:LCF327681 LLY327681:LMB327681 LVU327681:LVX327681 MFQ327681:MFT327681 MPM327681:MPP327681 MZI327681:MZL327681 NJE327681:NJH327681 NTA327681:NTD327681 OCW327681:OCZ327681 OMS327681:OMV327681 OWO327681:OWR327681 PGK327681:PGN327681 PQG327681:PQJ327681 QAC327681:QAF327681 QJY327681:QKB327681 QTU327681:QTX327681 RDQ327681:RDT327681 RNM327681:RNP327681 RXI327681:RXL327681 SHE327681:SHH327681 SRA327681:SRD327681 TAW327681:TAZ327681 TKS327681:TKV327681 TUO327681:TUR327681 UEK327681:UEN327681 UOG327681:UOJ327681 UYC327681:UYF327681 VHY327681:VIB327681 VRU327681:VRX327681 WBQ327681:WBT327681 WLM327681:WLP327681 WVI327681:WVL327681 A393217:D393217 IW393217:IZ393217 SS393217:SV393217 ACO393217:ACR393217 AMK393217:AMN393217 AWG393217:AWJ393217 BGC393217:BGF393217 BPY393217:BQB393217 BZU393217:BZX393217 CJQ393217:CJT393217 CTM393217:CTP393217 DDI393217:DDL393217 DNE393217:DNH393217 DXA393217:DXD393217 EGW393217:EGZ393217 EQS393217:EQV393217 FAO393217:FAR393217 FKK393217:FKN393217 FUG393217:FUJ393217 GEC393217:GEF393217 GNY393217:GOB393217 GXU393217:GXX393217 HHQ393217:HHT393217 HRM393217:HRP393217 IBI393217:IBL393217 ILE393217:ILH393217 IVA393217:IVD393217 JEW393217:JEZ393217 JOS393217:JOV393217 JYO393217:JYR393217 KIK393217:KIN393217 KSG393217:KSJ393217 LCC393217:LCF393217 LLY393217:LMB393217 LVU393217:LVX393217 MFQ393217:MFT393217 MPM393217:MPP393217 MZI393217:MZL393217 NJE393217:NJH393217 NTA393217:NTD393217 OCW393217:OCZ393217 OMS393217:OMV393217 OWO393217:OWR393217 PGK393217:PGN393217 PQG393217:PQJ393217 QAC393217:QAF393217 QJY393217:QKB393217 QTU393217:QTX393217 RDQ393217:RDT393217 RNM393217:RNP393217 RXI393217:RXL393217 SHE393217:SHH393217 SRA393217:SRD393217 TAW393217:TAZ393217 TKS393217:TKV393217 TUO393217:TUR393217 UEK393217:UEN393217 UOG393217:UOJ393217 UYC393217:UYF393217 VHY393217:VIB393217 VRU393217:VRX393217 WBQ393217:WBT393217 WLM393217:WLP393217 WVI393217:WVL393217 A458753:D458753 IW458753:IZ458753 SS458753:SV458753 ACO458753:ACR458753 AMK458753:AMN458753 AWG458753:AWJ458753 BGC458753:BGF458753 BPY458753:BQB458753 BZU458753:BZX458753 CJQ458753:CJT458753 CTM458753:CTP458753 DDI458753:DDL458753 DNE458753:DNH458753 DXA458753:DXD458753 EGW458753:EGZ458753 EQS458753:EQV458753 FAO458753:FAR458753 FKK458753:FKN458753 FUG458753:FUJ458753 GEC458753:GEF458753 GNY458753:GOB458753 GXU458753:GXX458753 HHQ458753:HHT458753 HRM458753:HRP458753 IBI458753:IBL458753 ILE458753:ILH458753 IVA458753:IVD458753 JEW458753:JEZ458753 JOS458753:JOV458753 JYO458753:JYR458753 KIK458753:KIN458753 KSG458753:KSJ458753 LCC458753:LCF458753 LLY458753:LMB458753 LVU458753:LVX458753 MFQ458753:MFT458753 MPM458753:MPP458753 MZI458753:MZL458753 NJE458753:NJH458753 NTA458753:NTD458753 OCW458753:OCZ458753 OMS458753:OMV458753 OWO458753:OWR458753 PGK458753:PGN458753 PQG458753:PQJ458753 QAC458753:QAF458753 QJY458753:QKB458753 QTU458753:QTX458753 RDQ458753:RDT458753 RNM458753:RNP458753 RXI458753:RXL458753 SHE458753:SHH458753 SRA458753:SRD458753 TAW458753:TAZ458753 TKS458753:TKV458753 TUO458753:TUR458753 UEK458753:UEN458753 UOG458753:UOJ458753 UYC458753:UYF458753 VHY458753:VIB458753 VRU458753:VRX458753 WBQ458753:WBT458753 WLM458753:WLP458753 WVI458753:WVL458753 A524289:D524289 IW524289:IZ524289 SS524289:SV524289 ACO524289:ACR524289 AMK524289:AMN524289 AWG524289:AWJ524289 BGC524289:BGF524289 BPY524289:BQB524289 BZU524289:BZX524289 CJQ524289:CJT524289 CTM524289:CTP524289 DDI524289:DDL524289 DNE524289:DNH524289 DXA524289:DXD524289 EGW524289:EGZ524289 EQS524289:EQV524289 FAO524289:FAR524289 FKK524289:FKN524289 FUG524289:FUJ524289 GEC524289:GEF524289 GNY524289:GOB524289 GXU524289:GXX524289 HHQ524289:HHT524289 HRM524289:HRP524289 IBI524289:IBL524289 ILE524289:ILH524289 IVA524289:IVD524289 JEW524289:JEZ524289 JOS524289:JOV524289 JYO524289:JYR524289 KIK524289:KIN524289 KSG524289:KSJ524289 LCC524289:LCF524289 LLY524289:LMB524289 LVU524289:LVX524289 MFQ524289:MFT524289 MPM524289:MPP524289 MZI524289:MZL524289 NJE524289:NJH524289 NTA524289:NTD524289 OCW524289:OCZ524289 OMS524289:OMV524289 OWO524289:OWR524289 PGK524289:PGN524289 PQG524289:PQJ524289 QAC524289:QAF524289 QJY524289:QKB524289 QTU524289:QTX524289 RDQ524289:RDT524289 RNM524289:RNP524289 RXI524289:RXL524289 SHE524289:SHH524289 SRA524289:SRD524289 TAW524289:TAZ524289 TKS524289:TKV524289 TUO524289:TUR524289 UEK524289:UEN524289 UOG524289:UOJ524289 UYC524289:UYF524289 VHY524289:VIB524289 VRU524289:VRX524289 WBQ524289:WBT524289 WLM524289:WLP524289 WVI524289:WVL524289 A589825:D589825 IW589825:IZ589825 SS589825:SV589825 ACO589825:ACR589825 AMK589825:AMN589825 AWG589825:AWJ589825 BGC589825:BGF589825 BPY589825:BQB589825 BZU589825:BZX589825 CJQ589825:CJT589825 CTM589825:CTP589825 DDI589825:DDL589825 DNE589825:DNH589825 DXA589825:DXD589825 EGW589825:EGZ589825 EQS589825:EQV589825 FAO589825:FAR589825 FKK589825:FKN589825 FUG589825:FUJ589825 GEC589825:GEF589825 GNY589825:GOB589825 GXU589825:GXX589825 HHQ589825:HHT589825 HRM589825:HRP589825 IBI589825:IBL589825 ILE589825:ILH589825 IVA589825:IVD589825 JEW589825:JEZ589825 JOS589825:JOV589825 JYO589825:JYR589825 KIK589825:KIN589825 KSG589825:KSJ589825 LCC589825:LCF589825 LLY589825:LMB589825 LVU589825:LVX589825 MFQ589825:MFT589825 MPM589825:MPP589825 MZI589825:MZL589825 NJE589825:NJH589825 NTA589825:NTD589825 OCW589825:OCZ589825 OMS589825:OMV589825 OWO589825:OWR589825 PGK589825:PGN589825 PQG589825:PQJ589825 QAC589825:QAF589825 QJY589825:QKB589825 QTU589825:QTX589825 RDQ589825:RDT589825 RNM589825:RNP589825 RXI589825:RXL589825 SHE589825:SHH589825 SRA589825:SRD589825 TAW589825:TAZ589825 TKS589825:TKV589825 TUO589825:TUR589825 UEK589825:UEN589825 UOG589825:UOJ589825 UYC589825:UYF589825 VHY589825:VIB589825 VRU589825:VRX589825 WBQ589825:WBT589825 WLM589825:WLP589825 WVI589825:WVL589825 A655361:D655361 IW655361:IZ655361 SS655361:SV655361 ACO655361:ACR655361 AMK655361:AMN655361 AWG655361:AWJ655361 BGC655361:BGF655361 BPY655361:BQB655361 BZU655361:BZX655361 CJQ655361:CJT655361 CTM655361:CTP655361 DDI655361:DDL655361 DNE655361:DNH655361 DXA655361:DXD655361 EGW655361:EGZ655361 EQS655361:EQV655361 FAO655361:FAR655361 FKK655361:FKN655361 FUG655361:FUJ655361 GEC655361:GEF655361 GNY655361:GOB655361 GXU655361:GXX655361 HHQ655361:HHT655361 HRM655361:HRP655361 IBI655361:IBL655361 ILE655361:ILH655361 IVA655361:IVD655361 JEW655361:JEZ655361 JOS655361:JOV655361 JYO655361:JYR655361 KIK655361:KIN655361 KSG655361:KSJ655361 LCC655361:LCF655361 LLY655361:LMB655361 LVU655361:LVX655361 MFQ655361:MFT655361 MPM655361:MPP655361 MZI655361:MZL655361 NJE655361:NJH655361 NTA655361:NTD655361 OCW655361:OCZ655361 OMS655361:OMV655361 OWO655361:OWR655361 PGK655361:PGN655361 PQG655361:PQJ655361 QAC655361:QAF655361 QJY655361:QKB655361 QTU655361:QTX655361 RDQ655361:RDT655361 RNM655361:RNP655361 RXI655361:RXL655361 SHE655361:SHH655361 SRA655361:SRD655361 TAW655361:TAZ655361 TKS655361:TKV655361 TUO655361:TUR655361 UEK655361:UEN655361 UOG655361:UOJ655361 UYC655361:UYF655361 VHY655361:VIB655361 VRU655361:VRX655361 WBQ655361:WBT655361 WLM655361:WLP655361 WVI655361:WVL655361 A720897:D720897 IW720897:IZ720897 SS720897:SV720897 ACO720897:ACR720897 AMK720897:AMN720897 AWG720897:AWJ720897 BGC720897:BGF720897 BPY720897:BQB720897 BZU720897:BZX720897 CJQ720897:CJT720897 CTM720897:CTP720897 DDI720897:DDL720897 DNE720897:DNH720897 DXA720897:DXD720897 EGW720897:EGZ720897 EQS720897:EQV720897 FAO720897:FAR720897 FKK720897:FKN720897 FUG720897:FUJ720897 GEC720897:GEF720897 GNY720897:GOB720897 GXU720897:GXX720897 HHQ720897:HHT720897 HRM720897:HRP720897 IBI720897:IBL720897 ILE720897:ILH720897 IVA720897:IVD720897 JEW720897:JEZ720897 JOS720897:JOV720897 JYO720897:JYR720897 KIK720897:KIN720897 KSG720897:KSJ720897 LCC720897:LCF720897 LLY720897:LMB720897 LVU720897:LVX720897 MFQ720897:MFT720897 MPM720897:MPP720897 MZI720897:MZL720897 NJE720897:NJH720897 NTA720897:NTD720897 OCW720897:OCZ720897 OMS720897:OMV720897 OWO720897:OWR720897 PGK720897:PGN720897 PQG720897:PQJ720897 QAC720897:QAF720897 QJY720897:QKB720897 QTU720897:QTX720897 RDQ720897:RDT720897 RNM720897:RNP720897 RXI720897:RXL720897 SHE720897:SHH720897 SRA720897:SRD720897 TAW720897:TAZ720897 TKS720897:TKV720897 TUO720897:TUR720897 UEK720897:UEN720897 UOG720897:UOJ720897 UYC720897:UYF720897 VHY720897:VIB720897 VRU720897:VRX720897 WBQ720897:WBT720897 WLM720897:WLP720897 WVI720897:WVL720897 A786433:D786433 IW786433:IZ786433 SS786433:SV786433 ACO786433:ACR786433 AMK786433:AMN786433 AWG786433:AWJ786433 BGC786433:BGF786433 BPY786433:BQB786433 BZU786433:BZX786433 CJQ786433:CJT786433 CTM786433:CTP786433 DDI786433:DDL786433 DNE786433:DNH786433 DXA786433:DXD786433 EGW786433:EGZ786433 EQS786433:EQV786433 FAO786433:FAR786433 FKK786433:FKN786433 FUG786433:FUJ786433 GEC786433:GEF786433 GNY786433:GOB786433 GXU786433:GXX786433 HHQ786433:HHT786433 HRM786433:HRP786433 IBI786433:IBL786433 ILE786433:ILH786433 IVA786433:IVD786433 JEW786433:JEZ786433 JOS786433:JOV786433 JYO786433:JYR786433 KIK786433:KIN786433 KSG786433:KSJ786433 LCC786433:LCF786433 LLY786433:LMB786433 LVU786433:LVX786433 MFQ786433:MFT786433 MPM786433:MPP786433 MZI786433:MZL786433 NJE786433:NJH786433 NTA786433:NTD786433 OCW786433:OCZ786433 OMS786433:OMV786433 OWO786433:OWR786433 PGK786433:PGN786433 PQG786433:PQJ786433 QAC786433:QAF786433 QJY786433:QKB786433 QTU786433:QTX786433 RDQ786433:RDT786433 RNM786433:RNP786433 RXI786433:RXL786433 SHE786433:SHH786433 SRA786433:SRD786433 TAW786433:TAZ786433 TKS786433:TKV786433 TUO786433:TUR786433 UEK786433:UEN786433 UOG786433:UOJ786433 UYC786433:UYF786433 VHY786433:VIB786433 VRU786433:VRX786433 WBQ786433:WBT786433 WLM786433:WLP786433 WVI786433:WVL786433 A851969:D851969 IW851969:IZ851969 SS851969:SV851969 ACO851969:ACR851969 AMK851969:AMN851969 AWG851969:AWJ851969 BGC851969:BGF851969 BPY851969:BQB851969 BZU851969:BZX851969 CJQ851969:CJT851969 CTM851969:CTP851969 DDI851969:DDL851969 DNE851969:DNH851969 DXA851969:DXD851969 EGW851969:EGZ851969 EQS851969:EQV851969 FAO851969:FAR851969 FKK851969:FKN851969 FUG851969:FUJ851969 GEC851969:GEF851969 GNY851969:GOB851969 GXU851969:GXX851969 HHQ851969:HHT851969 HRM851969:HRP851969 IBI851969:IBL851969 ILE851969:ILH851969 IVA851969:IVD851969 JEW851969:JEZ851969 JOS851969:JOV851969 JYO851969:JYR851969 KIK851969:KIN851969 KSG851969:KSJ851969 LCC851969:LCF851969 LLY851969:LMB851969 LVU851969:LVX851969 MFQ851969:MFT851969 MPM851969:MPP851969 MZI851969:MZL851969 NJE851969:NJH851969 NTA851969:NTD851969 OCW851969:OCZ851969 OMS851969:OMV851969 OWO851969:OWR851969 PGK851969:PGN851969 PQG851969:PQJ851969 QAC851969:QAF851969 QJY851969:QKB851969 QTU851969:QTX851969 RDQ851969:RDT851969 RNM851969:RNP851969 RXI851969:RXL851969 SHE851969:SHH851969 SRA851969:SRD851969 TAW851969:TAZ851969 TKS851969:TKV851969 TUO851969:TUR851969 UEK851969:UEN851969 UOG851969:UOJ851969 UYC851969:UYF851969 VHY851969:VIB851969 VRU851969:VRX851969 WBQ851969:WBT851969 WLM851969:WLP851969 WVI851969:WVL851969 A917505:D917505 IW917505:IZ917505 SS917505:SV917505 ACO917505:ACR917505 AMK917505:AMN917505 AWG917505:AWJ917505 BGC917505:BGF917505 BPY917505:BQB917505 BZU917505:BZX917505 CJQ917505:CJT917505 CTM917505:CTP917505 DDI917505:DDL917505 DNE917505:DNH917505 DXA917505:DXD917505 EGW917505:EGZ917505 EQS917505:EQV917505 FAO917505:FAR917505 FKK917505:FKN917505 FUG917505:FUJ917505 GEC917505:GEF917505 GNY917505:GOB917505 GXU917505:GXX917505 HHQ917505:HHT917505 HRM917505:HRP917505 IBI917505:IBL917505 ILE917505:ILH917505 IVA917505:IVD917505 JEW917505:JEZ917505 JOS917505:JOV917505 JYO917505:JYR917505 KIK917505:KIN917505 KSG917505:KSJ917505 LCC917505:LCF917505 LLY917505:LMB917505 LVU917505:LVX917505 MFQ917505:MFT917505 MPM917505:MPP917505 MZI917505:MZL917505 NJE917505:NJH917505 NTA917505:NTD917505 OCW917505:OCZ917505 OMS917505:OMV917505 OWO917505:OWR917505 PGK917505:PGN917505 PQG917505:PQJ917505 QAC917505:QAF917505 QJY917505:QKB917505 QTU917505:QTX917505 RDQ917505:RDT917505 RNM917505:RNP917505 RXI917505:RXL917505 SHE917505:SHH917505 SRA917505:SRD917505 TAW917505:TAZ917505 TKS917505:TKV917505 TUO917505:TUR917505 UEK917505:UEN917505 UOG917505:UOJ917505 UYC917505:UYF917505 VHY917505:VIB917505 VRU917505:VRX917505 WBQ917505:WBT917505 WLM917505:WLP917505 WVI917505:WVL917505 A983041:D983041 IW983041:IZ983041 SS983041:SV983041 ACO983041:ACR983041 AMK983041:AMN983041 AWG983041:AWJ983041 BGC983041:BGF983041 BPY983041:BQB983041 BZU983041:BZX983041 CJQ983041:CJT983041 CTM983041:CTP983041 DDI983041:DDL983041 DNE983041:DNH983041 DXA983041:DXD983041 EGW983041:EGZ983041 EQS983041:EQV983041 FAO983041:FAR983041 FKK983041:FKN983041 FUG983041:FUJ983041 GEC983041:GEF983041 GNY983041:GOB983041 GXU983041:GXX983041 HHQ983041:HHT983041 HRM983041:HRP983041 IBI983041:IBL983041 ILE983041:ILH983041 IVA983041:IVD983041 JEW983041:JEZ983041 JOS983041:JOV983041 JYO983041:JYR983041 KIK983041:KIN983041 KSG983041:KSJ983041 LCC983041:LCF983041 LLY983041:LMB983041 LVU983041:LVX983041 MFQ983041:MFT983041 MPM983041:MPP983041 MZI983041:MZL983041 NJE983041:NJH983041 NTA983041:NTD983041 OCW983041:OCZ983041 OMS983041:OMV983041 OWO983041:OWR983041 PGK983041:PGN983041 PQG983041:PQJ983041 QAC983041:QAF983041 QJY983041:QKB983041 QTU983041:QTX983041 RDQ983041:RDT983041 RNM983041:RNP983041 RXI983041:RXL983041 SHE983041:SHH983041 SRA983041:SRD983041 TAW983041:TAZ983041 TKS983041:TKV983041 TUO983041:TUR983041 UEK983041:UEN983041 UOG983041:UOJ983041 UYC983041:UYF983041 VHY983041:VIB983041 VRU983041:VRX983041 WBQ983041:WBT983041 WLM983041:WLP983041 WVI983041:WVL983041 G1:H1 JC1:JD1 SY1:SZ1 ACU1:ACV1 AMQ1:AMR1 AWM1:AWN1 BGI1:BGJ1 BQE1:BQF1 CAA1:CAB1 CJW1:CJX1 CTS1:CTT1 DDO1:DDP1 DNK1:DNL1 DXG1:DXH1 EHC1:EHD1 EQY1:EQZ1 FAU1:FAV1 FKQ1:FKR1 FUM1:FUN1 GEI1:GEJ1 GOE1:GOF1 GYA1:GYB1 HHW1:HHX1 HRS1:HRT1 IBO1:IBP1 ILK1:ILL1 IVG1:IVH1 JFC1:JFD1 JOY1:JOZ1 JYU1:JYV1 KIQ1:KIR1 KSM1:KSN1 LCI1:LCJ1 LME1:LMF1 LWA1:LWB1 MFW1:MFX1 MPS1:MPT1 MZO1:MZP1 NJK1:NJL1 NTG1:NTH1 ODC1:ODD1 OMY1:OMZ1 OWU1:OWV1 PGQ1:PGR1 PQM1:PQN1 QAI1:QAJ1 QKE1:QKF1 QUA1:QUB1 RDW1:RDX1 RNS1:RNT1 RXO1:RXP1 SHK1:SHL1 SRG1:SRH1 TBC1:TBD1 TKY1:TKZ1 TUU1:TUV1 UEQ1:UER1 UOM1:UON1 UYI1:UYJ1 VIE1:VIF1 VSA1:VSB1 WBW1:WBX1 WLS1:WLT1 WVO1:WVP1 G65537:H65537 JC65537:JD65537 SY65537:SZ65537 ACU65537:ACV65537 AMQ65537:AMR65537 AWM65537:AWN65537 BGI65537:BGJ65537 BQE65537:BQF65537 CAA65537:CAB65537 CJW65537:CJX65537 CTS65537:CTT65537 DDO65537:DDP65537 DNK65537:DNL65537 DXG65537:DXH65537 EHC65537:EHD65537 EQY65537:EQZ65537 FAU65537:FAV65537 FKQ65537:FKR65537 FUM65537:FUN65537 GEI65537:GEJ65537 GOE65537:GOF65537 GYA65537:GYB65537 HHW65537:HHX65537 HRS65537:HRT65537 IBO65537:IBP65537 ILK65537:ILL65537 IVG65537:IVH65537 JFC65537:JFD65537 JOY65537:JOZ65537 JYU65537:JYV65537 KIQ65537:KIR65537 KSM65537:KSN65537 LCI65537:LCJ65537 LME65537:LMF65537 LWA65537:LWB65537 MFW65537:MFX65537 MPS65537:MPT65537 MZO65537:MZP65537 NJK65537:NJL65537 NTG65537:NTH65537 ODC65537:ODD65537 OMY65537:OMZ65537 OWU65537:OWV65537 PGQ65537:PGR65537 PQM65537:PQN65537 QAI65537:QAJ65537 QKE65537:QKF65537 QUA65537:QUB65537 RDW65537:RDX65537 RNS65537:RNT65537 RXO65537:RXP65537 SHK65537:SHL65537 SRG65537:SRH65537 TBC65537:TBD65537 TKY65537:TKZ65537 TUU65537:TUV65537 UEQ65537:UER65537 UOM65537:UON65537 UYI65537:UYJ65537 VIE65537:VIF65537 VSA65537:VSB65537 WBW65537:WBX65537 WLS65537:WLT65537 WVO65537:WVP65537 G131073:H131073 JC131073:JD131073 SY131073:SZ131073 ACU131073:ACV131073 AMQ131073:AMR131073 AWM131073:AWN131073 BGI131073:BGJ131073 BQE131073:BQF131073 CAA131073:CAB131073 CJW131073:CJX131073 CTS131073:CTT131073 DDO131073:DDP131073 DNK131073:DNL131073 DXG131073:DXH131073 EHC131073:EHD131073 EQY131073:EQZ131073 FAU131073:FAV131073 FKQ131073:FKR131073 FUM131073:FUN131073 GEI131073:GEJ131073 GOE131073:GOF131073 GYA131073:GYB131073 HHW131073:HHX131073 HRS131073:HRT131073 IBO131073:IBP131073 ILK131073:ILL131073 IVG131073:IVH131073 JFC131073:JFD131073 JOY131073:JOZ131073 JYU131073:JYV131073 KIQ131073:KIR131073 KSM131073:KSN131073 LCI131073:LCJ131073 LME131073:LMF131073 LWA131073:LWB131073 MFW131073:MFX131073 MPS131073:MPT131073 MZO131073:MZP131073 NJK131073:NJL131073 NTG131073:NTH131073 ODC131073:ODD131073 OMY131073:OMZ131073 OWU131073:OWV131073 PGQ131073:PGR131073 PQM131073:PQN131073 QAI131073:QAJ131073 QKE131073:QKF131073 QUA131073:QUB131073 RDW131073:RDX131073 RNS131073:RNT131073 RXO131073:RXP131073 SHK131073:SHL131073 SRG131073:SRH131073 TBC131073:TBD131073 TKY131073:TKZ131073 TUU131073:TUV131073 UEQ131073:UER131073 UOM131073:UON131073 UYI131073:UYJ131073 VIE131073:VIF131073 VSA131073:VSB131073 WBW131073:WBX131073 WLS131073:WLT131073 WVO131073:WVP131073 G196609:H196609 JC196609:JD196609 SY196609:SZ196609 ACU196609:ACV196609 AMQ196609:AMR196609 AWM196609:AWN196609 BGI196609:BGJ196609 BQE196609:BQF196609 CAA196609:CAB196609 CJW196609:CJX196609 CTS196609:CTT196609 DDO196609:DDP196609 DNK196609:DNL196609 DXG196609:DXH196609 EHC196609:EHD196609 EQY196609:EQZ196609 FAU196609:FAV196609 FKQ196609:FKR196609 FUM196609:FUN196609 GEI196609:GEJ196609 GOE196609:GOF196609 GYA196609:GYB196609 HHW196609:HHX196609 HRS196609:HRT196609 IBO196609:IBP196609 ILK196609:ILL196609 IVG196609:IVH196609 JFC196609:JFD196609 JOY196609:JOZ196609 JYU196609:JYV196609 KIQ196609:KIR196609 KSM196609:KSN196609 LCI196609:LCJ196609 LME196609:LMF196609 LWA196609:LWB196609 MFW196609:MFX196609 MPS196609:MPT196609 MZO196609:MZP196609 NJK196609:NJL196609 NTG196609:NTH196609 ODC196609:ODD196609 OMY196609:OMZ196609 OWU196609:OWV196609 PGQ196609:PGR196609 PQM196609:PQN196609 QAI196609:QAJ196609 QKE196609:QKF196609 QUA196609:QUB196609 RDW196609:RDX196609 RNS196609:RNT196609 RXO196609:RXP196609 SHK196609:SHL196609 SRG196609:SRH196609 TBC196609:TBD196609 TKY196609:TKZ196609 TUU196609:TUV196609 UEQ196609:UER196609 UOM196609:UON196609 UYI196609:UYJ196609 VIE196609:VIF196609 VSA196609:VSB196609 WBW196609:WBX196609 WLS196609:WLT196609 WVO196609:WVP196609 G262145:H262145 JC262145:JD262145 SY262145:SZ262145 ACU262145:ACV262145 AMQ262145:AMR262145 AWM262145:AWN262145 BGI262145:BGJ262145 BQE262145:BQF262145 CAA262145:CAB262145 CJW262145:CJX262145 CTS262145:CTT262145 DDO262145:DDP262145 DNK262145:DNL262145 DXG262145:DXH262145 EHC262145:EHD262145 EQY262145:EQZ262145 FAU262145:FAV262145 FKQ262145:FKR262145 FUM262145:FUN262145 GEI262145:GEJ262145 GOE262145:GOF262145 GYA262145:GYB262145 HHW262145:HHX262145 HRS262145:HRT262145 IBO262145:IBP262145 ILK262145:ILL262145 IVG262145:IVH262145 JFC262145:JFD262145 JOY262145:JOZ262145 JYU262145:JYV262145 KIQ262145:KIR262145 KSM262145:KSN262145 LCI262145:LCJ262145 LME262145:LMF262145 LWA262145:LWB262145 MFW262145:MFX262145 MPS262145:MPT262145 MZO262145:MZP262145 NJK262145:NJL262145 NTG262145:NTH262145 ODC262145:ODD262145 OMY262145:OMZ262145 OWU262145:OWV262145 PGQ262145:PGR262145 PQM262145:PQN262145 QAI262145:QAJ262145 QKE262145:QKF262145 QUA262145:QUB262145 RDW262145:RDX262145 RNS262145:RNT262145 RXO262145:RXP262145 SHK262145:SHL262145 SRG262145:SRH262145 TBC262145:TBD262145 TKY262145:TKZ262145 TUU262145:TUV262145 UEQ262145:UER262145 UOM262145:UON262145 UYI262145:UYJ262145 VIE262145:VIF262145 VSA262145:VSB262145 WBW262145:WBX262145 WLS262145:WLT262145 WVO262145:WVP262145 G327681:H327681 JC327681:JD327681 SY327681:SZ327681 ACU327681:ACV327681 AMQ327681:AMR327681 AWM327681:AWN327681 BGI327681:BGJ327681 BQE327681:BQF327681 CAA327681:CAB327681 CJW327681:CJX327681 CTS327681:CTT327681 DDO327681:DDP327681 DNK327681:DNL327681 DXG327681:DXH327681 EHC327681:EHD327681 EQY327681:EQZ327681 FAU327681:FAV327681 FKQ327681:FKR327681 FUM327681:FUN327681 GEI327681:GEJ327681 GOE327681:GOF327681 GYA327681:GYB327681 HHW327681:HHX327681 HRS327681:HRT327681 IBO327681:IBP327681 ILK327681:ILL327681 IVG327681:IVH327681 JFC327681:JFD327681 JOY327681:JOZ327681 JYU327681:JYV327681 KIQ327681:KIR327681 KSM327681:KSN327681 LCI327681:LCJ327681 LME327681:LMF327681 LWA327681:LWB327681 MFW327681:MFX327681 MPS327681:MPT327681 MZO327681:MZP327681 NJK327681:NJL327681 NTG327681:NTH327681 ODC327681:ODD327681 OMY327681:OMZ327681 OWU327681:OWV327681 PGQ327681:PGR327681 PQM327681:PQN327681 QAI327681:QAJ327681 QKE327681:QKF327681 QUA327681:QUB327681 RDW327681:RDX327681 RNS327681:RNT327681 RXO327681:RXP327681 SHK327681:SHL327681 SRG327681:SRH327681 TBC327681:TBD327681 TKY327681:TKZ327681 TUU327681:TUV327681 UEQ327681:UER327681 UOM327681:UON327681 UYI327681:UYJ327681 VIE327681:VIF327681 VSA327681:VSB327681 WBW327681:WBX327681 WLS327681:WLT327681 WVO327681:WVP327681 G393217:H393217 JC393217:JD393217 SY393217:SZ393217 ACU393217:ACV393217 AMQ393217:AMR393217 AWM393217:AWN393217 BGI393217:BGJ393217 BQE393217:BQF393217 CAA393217:CAB393217 CJW393217:CJX393217 CTS393217:CTT393217 DDO393217:DDP393217 DNK393217:DNL393217 DXG393217:DXH393217 EHC393217:EHD393217 EQY393217:EQZ393217 FAU393217:FAV393217 FKQ393217:FKR393217 FUM393217:FUN393217 GEI393217:GEJ393217 GOE393217:GOF393217 GYA393217:GYB393217 HHW393217:HHX393217 HRS393217:HRT393217 IBO393217:IBP393217 ILK393217:ILL393217 IVG393217:IVH393217 JFC393217:JFD393217 JOY393217:JOZ393217 JYU393217:JYV393217 KIQ393217:KIR393217 KSM393217:KSN393217 LCI393217:LCJ393217 LME393217:LMF393217 LWA393217:LWB393217 MFW393217:MFX393217 MPS393217:MPT393217 MZO393217:MZP393217 NJK393217:NJL393217 NTG393217:NTH393217 ODC393217:ODD393217 OMY393217:OMZ393217 OWU393217:OWV393217 PGQ393217:PGR393217 PQM393217:PQN393217 QAI393217:QAJ393217 QKE393217:QKF393217 QUA393217:QUB393217 RDW393217:RDX393217 RNS393217:RNT393217 RXO393217:RXP393217 SHK393217:SHL393217 SRG393217:SRH393217 TBC393217:TBD393217 TKY393217:TKZ393217 TUU393217:TUV393217 UEQ393217:UER393217 UOM393217:UON393217 UYI393217:UYJ393217 VIE393217:VIF393217 VSA393217:VSB393217 WBW393217:WBX393217 WLS393217:WLT393217 WVO393217:WVP393217 G458753:H458753 JC458753:JD458753 SY458753:SZ458753 ACU458753:ACV458753 AMQ458753:AMR458753 AWM458753:AWN458753 BGI458753:BGJ458753 BQE458753:BQF458753 CAA458753:CAB458753 CJW458753:CJX458753 CTS458753:CTT458753 DDO458753:DDP458753 DNK458753:DNL458753 DXG458753:DXH458753 EHC458753:EHD458753 EQY458753:EQZ458753 FAU458753:FAV458753 FKQ458753:FKR458753 FUM458753:FUN458753 GEI458753:GEJ458753 GOE458753:GOF458753 GYA458753:GYB458753 HHW458753:HHX458753 HRS458753:HRT458753 IBO458753:IBP458753 ILK458753:ILL458753 IVG458753:IVH458753 JFC458753:JFD458753 JOY458753:JOZ458753 JYU458753:JYV458753 KIQ458753:KIR458753 KSM458753:KSN458753 LCI458753:LCJ458753 LME458753:LMF458753 LWA458753:LWB458753 MFW458753:MFX458753 MPS458753:MPT458753 MZO458753:MZP458753 NJK458753:NJL458753 NTG458753:NTH458753 ODC458753:ODD458753 OMY458753:OMZ458753 OWU458753:OWV458753 PGQ458753:PGR458753 PQM458753:PQN458753 QAI458753:QAJ458753 QKE458753:QKF458753 QUA458753:QUB458753 RDW458753:RDX458753 RNS458753:RNT458753 RXO458753:RXP458753 SHK458753:SHL458753 SRG458753:SRH458753 TBC458753:TBD458753 TKY458753:TKZ458753 TUU458753:TUV458753 UEQ458753:UER458753 UOM458753:UON458753 UYI458753:UYJ458753 VIE458753:VIF458753 VSA458753:VSB458753 WBW458753:WBX458753 WLS458753:WLT458753 WVO458753:WVP458753 G524289:H524289 JC524289:JD524289 SY524289:SZ524289 ACU524289:ACV524289 AMQ524289:AMR524289 AWM524289:AWN524289 BGI524289:BGJ524289 BQE524289:BQF524289 CAA524289:CAB524289 CJW524289:CJX524289 CTS524289:CTT524289 DDO524289:DDP524289 DNK524289:DNL524289 DXG524289:DXH524289 EHC524289:EHD524289 EQY524289:EQZ524289 FAU524289:FAV524289 FKQ524289:FKR524289 FUM524289:FUN524289 GEI524289:GEJ524289 GOE524289:GOF524289 GYA524289:GYB524289 HHW524289:HHX524289 HRS524289:HRT524289 IBO524289:IBP524289 ILK524289:ILL524289 IVG524289:IVH524289 JFC524289:JFD524289 JOY524289:JOZ524289 JYU524289:JYV524289 KIQ524289:KIR524289 KSM524289:KSN524289 LCI524289:LCJ524289 LME524289:LMF524289 LWA524289:LWB524289 MFW524289:MFX524289 MPS524289:MPT524289 MZO524289:MZP524289 NJK524289:NJL524289 NTG524289:NTH524289 ODC524289:ODD524289 OMY524289:OMZ524289 OWU524289:OWV524289 PGQ524289:PGR524289 PQM524289:PQN524289 QAI524289:QAJ524289 QKE524289:QKF524289 QUA524289:QUB524289 RDW524289:RDX524289 RNS524289:RNT524289 RXO524289:RXP524289 SHK524289:SHL524289 SRG524289:SRH524289 TBC524289:TBD524289 TKY524289:TKZ524289 TUU524289:TUV524289 UEQ524289:UER524289 UOM524289:UON524289 UYI524289:UYJ524289 VIE524289:VIF524289 VSA524289:VSB524289 WBW524289:WBX524289 WLS524289:WLT524289 WVO524289:WVP524289 G589825:H589825 JC589825:JD589825 SY589825:SZ589825 ACU589825:ACV589825 AMQ589825:AMR589825 AWM589825:AWN589825 BGI589825:BGJ589825 BQE589825:BQF589825 CAA589825:CAB589825 CJW589825:CJX589825 CTS589825:CTT589825 DDO589825:DDP589825 DNK589825:DNL589825 DXG589825:DXH589825 EHC589825:EHD589825 EQY589825:EQZ589825 FAU589825:FAV589825 FKQ589825:FKR589825 FUM589825:FUN589825 GEI589825:GEJ589825 GOE589825:GOF589825 GYA589825:GYB589825 HHW589825:HHX589825 HRS589825:HRT589825 IBO589825:IBP589825 ILK589825:ILL589825 IVG589825:IVH589825 JFC589825:JFD589825 JOY589825:JOZ589825 JYU589825:JYV589825 KIQ589825:KIR589825 KSM589825:KSN589825 LCI589825:LCJ589825 LME589825:LMF589825 LWA589825:LWB589825 MFW589825:MFX589825 MPS589825:MPT589825 MZO589825:MZP589825 NJK589825:NJL589825 NTG589825:NTH589825 ODC589825:ODD589825 OMY589825:OMZ589825 OWU589825:OWV589825 PGQ589825:PGR589825 PQM589825:PQN589825 QAI589825:QAJ589825 QKE589825:QKF589825 QUA589825:QUB589825 RDW589825:RDX589825 RNS589825:RNT589825 RXO589825:RXP589825 SHK589825:SHL589825 SRG589825:SRH589825 TBC589825:TBD589825 TKY589825:TKZ589825 TUU589825:TUV589825 UEQ589825:UER589825 UOM589825:UON589825 UYI589825:UYJ589825 VIE589825:VIF589825 VSA589825:VSB589825 WBW589825:WBX589825 WLS589825:WLT589825 WVO589825:WVP589825 G655361:H655361 JC655361:JD655361 SY655361:SZ655361 ACU655361:ACV655361 AMQ655361:AMR655361 AWM655361:AWN655361 BGI655361:BGJ655361 BQE655361:BQF655361 CAA655361:CAB655361 CJW655361:CJX655361 CTS655361:CTT655361 DDO655361:DDP655361 DNK655361:DNL655361 DXG655361:DXH655361 EHC655361:EHD655361 EQY655361:EQZ655361 FAU655361:FAV655361 FKQ655361:FKR655361 FUM655361:FUN655361 GEI655361:GEJ655361 GOE655361:GOF655361 GYA655361:GYB655361 HHW655361:HHX655361 HRS655361:HRT655361 IBO655361:IBP655361 ILK655361:ILL655361 IVG655361:IVH655361 JFC655361:JFD655361 JOY655361:JOZ655361 JYU655361:JYV655361 KIQ655361:KIR655361 KSM655361:KSN655361 LCI655361:LCJ655361 LME655361:LMF655361 LWA655361:LWB655361 MFW655361:MFX655361 MPS655361:MPT655361 MZO655361:MZP655361 NJK655361:NJL655361 NTG655361:NTH655361 ODC655361:ODD655361 OMY655361:OMZ655361 OWU655361:OWV655361 PGQ655361:PGR655361 PQM655361:PQN655361 QAI655361:QAJ655361 QKE655361:QKF655361 QUA655361:QUB655361 RDW655361:RDX655361 RNS655361:RNT655361 RXO655361:RXP655361 SHK655361:SHL655361 SRG655361:SRH655361 TBC655361:TBD655361 TKY655361:TKZ655361 TUU655361:TUV655361 UEQ655361:UER655361 UOM655361:UON655361 UYI655361:UYJ655361 VIE655361:VIF655361 VSA655361:VSB655361 WBW655361:WBX655361 WLS655361:WLT655361 WVO655361:WVP655361 G720897:H720897 JC720897:JD720897 SY720897:SZ720897 ACU720897:ACV720897 AMQ720897:AMR720897 AWM720897:AWN720897 BGI720897:BGJ720897 BQE720897:BQF720897 CAA720897:CAB720897 CJW720897:CJX720897 CTS720897:CTT720897 DDO720897:DDP720897 DNK720897:DNL720897 DXG720897:DXH720897 EHC720897:EHD720897 EQY720897:EQZ720897 FAU720897:FAV720897 FKQ720897:FKR720897 FUM720897:FUN720897 GEI720897:GEJ720897 GOE720897:GOF720897 GYA720897:GYB720897 HHW720897:HHX720897 HRS720897:HRT720897 IBO720897:IBP720897 ILK720897:ILL720897 IVG720897:IVH720897 JFC720897:JFD720897 JOY720897:JOZ720897 JYU720897:JYV720897 KIQ720897:KIR720897 KSM720897:KSN720897 LCI720897:LCJ720897 LME720897:LMF720897 LWA720897:LWB720897 MFW720897:MFX720897 MPS720897:MPT720897 MZO720897:MZP720897 NJK720897:NJL720897 NTG720897:NTH720897 ODC720897:ODD720897 OMY720897:OMZ720897 OWU720897:OWV720897 PGQ720897:PGR720897 PQM720897:PQN720897 QAI720897:QAJ720897 QKE720897:QKF720897 QUA720897:QUB720897 RDW720897:RDX720897 RNS720897:RNT720897 RXO720897:RXP720897 SHK720897:SHL720897 SRG720897:SRH720897 TBC720897:TBD720897 TKY720897:TKZ720897 TUU720897:TUV720897 UEQ720897:UER720897 UOM720897:UON720897 UYI720897:UYJ720897 VIE720897:VIF720897 VSA720897:VSB720897 WBW720897:WBX720897 WLS720897:WLT720897 WVO720897:WVP720897 G786433:H786433 JC786433:JD786433 SY786433:SZ786433 ACU786433:ACV786433 AMQ786433:AMR786433 AWM786433:AWN786433 BGI786433:BGJ786433 BQE786433:BQF786433 CAA786433:CAB786433 CJW786433:CJX786433 CTS786433:CTT786433 DDO786433:DDP786433 DNK786433:DNL786433 DXG786433:DXH786433 EHC786433:EHD786433 EQY786433:EQZ786433 FAU786433:FAV786433 FKQ786433:FKR786433 FUM786433:FUN786433 GEI786433:GEJ786433 GOE786433:GOF786433 GYA786433:GYB786433 HHW786433:HHX786433 HRS786433:HRT786433 IBO786433:IBP786433 ILK786433:ILL786433 IVG786433:IVH786433 JFC786433:JFD786433 JOY786433:JOZ786433 JYU786433:JYV786433 KIQ786433:KIR786433 KSM786433:KSN786433 LCI786433:LCJ786433 LME786433:LMF786433 LWA786433:LWB786433 MFW786433:MFX786433 MPS786433:MPT786433 MZO786433:MZP786433 NJK786433:NJL786433 NTG786433:NTH786433 ODC786433:ODD786433 OMY786433:OMZ786433 OWU786433:OWV786433 PGQ786433:PGR786433 PQM786433:PQN786433 QAI786433:QAJ786433 QKE786433:QKF786433 QUA786433:QUB786433 RDW786433:RDX786433 RNS786433:RNT786433 RXO786433:RXP786433 SHK786433:SHL786433 SRG786433:SRH786433 TBC786433:TBD786433 TKY786433:TKZ786433 TUU786433:TUV786433 UEQ786433:UER786433 UOM786433:UON786433 UYI786433:UYJ786433 VIE786433:VIF786433 VSA786433:VSB786433 WBW786433:WBX786433 WLS786433:WLT786433 WVO786433:WVP786433 G851969:H851969 JC851969:JD851969 SY851969:SZ851969 ACU851969:ACV851969 AMQ851969:AMR851969 AWM851969:AWN851969 BGI851969:BGJ851969 BQE851969:BQF851969 CAA851969:CAB851969 CJW851969:CJX851969 CTS851969:CTT851969 DDO851969:DDP851969 DNK851969:DNL851969 DXG851969:DXH851969 EHC851969:EHD851969 EQY851969:EQZ851969 FAU851969:FAV851969 FKQ851969:FKR851969 FUM851969:FUN851969 GEI851969:GEJ851969 GOE851969:GOF851969 GYA851969:GYB851969 HHW851969:HHX851969 HRS851969:HRT851969 IBO851969:IBP851969 ILK851969:ILL851969 IVG851969:IVH851969 JFC851969:JFD851969 JOY851969:JOZ851969 JYU851969:JYV851969 KIQ851969:KIR851969 KSM851969:KSN851969 LCI851969:LCJ851969 LME851969:LMF851969 LWA851969:LWB851969 MFW851969:MFX851969 MPS851969:MPT851969 MZO851969:MZP851969 NJK851969:NJL851969 NTG851969:NTH851969 ODC851969:ODD851969 OMY851969:OMZ851969 OWU851969:OWV851969 PGQ851969:PGR851969 PQM851969:PQN851969 QAI851969:QAJ851969 QKE851969:QKF851969 QUA851969:QUB851969 RDW851969:RDX851969 RNS851969:RNT851969 RXO851969:RXP851969 SHK851969:SHL851969 SRG851969:SRH851969 TBC851969:TBD851969 TKY851969:TKZ851969 TUU851969:TUV851969 UEQ851969:UER851969 UOM851969:UON851969 UYI851969:UYJ851969 VIE851969:VIF851969 VSA851969:VSB851969 WBW851969:WBX851969 WLS851969:WLT851969 WVO851969:WVP851969 G917505:H917505 JC917505:JD917505 SY917505:SZ917505 ACU917505:ACV917505 AMQ917505:AMR917505 AWM917505:AWN917505 BGI917505:BGJ917505 BQE917505:BQF917505 CAA917505:CAB917505 CJW917505:CJX917505 CTS917505:CTT917505 DDO917505:DDP917505 DNK917505:DNL917505 DXG917505:DXH917505 EHC917505:EHD917505 EQY917505:EQZ917505 FAU917505:FAV917505 FKQ917505:FKR917505 FUM917505:FUN917505 GEI917505:GEJ917505 GOE917505:GOF917505 GYA917505:GYB917505 HHW917505:HHX917505 HRS917505:HRT917505 IBO917505:IBP917505 ILK917505:ILL917505 IVG917505:IVH917505 JFC917505:JFD917505 JOY917505:JOZ917505 JYU917505:JYV917505 KIQ917505:KIR917505 KSM917505:KSN917505 LCI917505:LCJ917505 LME917505:LMF917505 LWA917505:LWB917505 MFW917505:MFX917505 MPS917505:MPT917505 MZO917505:MZP917505 NJK917505:NJL917505 NTG917505:NTH917505 ODC917505:ODD917505 OMY917505:OMZ917505 OWU917505:OWV917505 PGQ917505:PGR917505 PQM917505:PQN917505 QAI917505:QAJ917505 QKE917505:QKF917505 QUA917505:QUB917505 RDW917505:RDX917505 RNS917505:RNT917505 RXO917505:RXP917505 SHK917505:SHL917505 SRG917505:SRH917505 TBC917505:TBD917505 TKY917505:TKZ917505 TUU917505:TUV917505 UEQ917505:UER917505 UOM917505:UON917505 UYI917505:UYJ917505 VIE917505:VIF917505 VSA917505:VSB917505 WBW917505:WBX917505 WLS917505:WLT917505 WVO917505:WVP917505 G983041:H983041 JC983041:JD983041 SY983041:SZ983041 ACU983041:ACV983041 AMQ983041:AMR983041 AWM983041:AWN983041 BGI983041:BGJ983041 BQE983041:BQF983041 CAA983041:CAB983041 CJW983041:CJX983041 CTS983041:CTT983041 DDO983041:DDP983041 DNK983041:DNL983041 DXG983041:DXH983041 EHC983041:EHD983041 EQY983041:EQZ983041 FAU983041:FAV983041 FKQ983041:FKR983041 FUM983041:FUN983041 GEI983041:GEJ983041 GOE983041:GOF983041 GYA983041:GYB983041 HHW983041:HHX983041 HRS983041:HRT983041 IBO983041:IBP983041 ILK983041:ILL983041 IVG983041:IVH983041 JFC983041:JFD983041 JOY983041:JOZ983041 JYU983041:JYV983041 KIQ983041:KIR983041 KSM983041:KSN983041 LCI983041:LCJ983041 LME983041:LMF983041 LWA983041:LWB983041 MFW983041:MFX983041 MPS983041:MPT983041 MZO983041:MZP983041 NJK983041:NJL983041 NTG983041:NTH983041 ODC983041:ODD983041 OMY983041:OMZ983041 OWU983041:OWV983041 PGQ983041:PGR983041 PQM983041:PQN983041 QAI983041:QAJ983041 QKE983041:QKF983041 QUA983041:QUB983041 RDW983041:RDX983041 RNS983041:RNT983041 RXO983041:RXP983041 SHK983041:SHL983041 SRG983041:SRH983041 TBC983041:TBD983041 TKY983041:TKZ983041 TUU983041:TUV983041 UEQ983041:UER983041 UOM983041:UON983041 UYI983041:UYJ983041 VIE983041:VIF983041 VSA983041:VSB983041 WBW983041:WBX983041 WLS983041:WLT983041 WVO983041:WVP983041 K1 JG1 TC1 ACY1 AMU1 AWQ1 BGM1 BQI1 CAE1 CKA1 CTW1 DDS1 DNO1 DXK1 EHG1 ERC1 FAY1 FKU1 FUQ1 GEM1 GOI1 GYE1 HIA1 HRW1 IBS1 ILO1 IVK1 JFG1 JPC1 JYY1 KIU1 KSQ1 LCM1 LMI1 LWE1 MGA1 MPW1 MZS1 NJO1 NTK1 ODG1 ONC1 OWY1 PGU1 PQQ1 QAM1 QKI1 QUE1 REA1 RNW1 RXS1 SHO1 SRK1 TBG1 TLC1 TUY1 UEU1 UOQ1 UYM1 VII1 VSE1 WCA1 WLW1 WVS1 K65537 JG65537 TC65537 ACY65537 AMU65537 AWQ65537 BGM65537 BQI65537 CAE65537 CKA65537 CTW65537 DDS65537 DNO65537 DXK65537 EHG65537 ERC65537 FAY65537 FKU65537 FUQ65537 GEM65537 GOI65537 GYE65537 HIA65537 HRW65537 IBS65537 ILO65537 IVK65537 JFG65537 JPC65537 JYY65537 KIU65537 KSQ65537 LCM65537 LMI65537 LWE65537 MGA65537 MPW65537 MZS65537 NJO65537 NTK65537 ODG65537 ONC65537 OWY65537 PGU65537 PQQ65537 QAM65537 QKI65537 QUE65537 REA65537 RNW65537 RXS65537 SHO65537 SRK65537 TBG65537 TLC65537 TUY65537 UEU65537 UOQ65537 UYM65537 VII65537 VSE65537 WCA65537 WLW65537 WVS65537 K131073 JG131073 TC131073 ACY131073 AMU131073 AWQ131073 BGM131073 BQI131073 CAE131073 CKA131073 CTW131073 DDS131073 DNO131073 DXK131073 EHG131073 ERC131073 FAY131073 FKU131073 FUQ131073 GEM131073 GOI131073 GYE131073 HIA131073 HRW131073 IBS131073 ILO131073 IVK131073 JFG131073 JPC131073 JYY131073 KIU131073 KSQ131073 LCM131073 LMI131073 LWE131073 MGA131073 MPW131073 MZS131073 NJO131073 NTK131073 ODG131073 ONC131073 OWY131073 PGU131073 PQQ131073 QAM131073 QKI131073 QUE131073 REA131073 RNW131073 RXS131073 SHO131073 SRK131073 TBG131073 TLC131073 TUY131073 UEU131073 UOQ131073 UYM131073 VII131073 VSE131073 WCA131073 WLW131073 WVS131073 K196609 JG196609 TC196609 ACY196609 AMU196609 AWQ196609 BGM196609 BQI196609 CAE196609 CKA196609 CTW196609 DDS196609 DNO196609 DXK196609 EHG196609 ERC196609 FAY196609 FKU196609 FUQ196609 GEM196609 GOI196609 GYE196609 HIA196609 HRW196609 IBS196609 ILO196609 IVK196609 JFG196609 JPC196609 JYY196609 KIU196609 KSQ196609 LCM196609 LMI196609 LWE196609 MGA196609 MPW196609 MZS196609 NJO196609 NTK196609 ODG196609 ONC196609 OWY196609 PGU196609 PQQ196609 QAM196609 QKI196609 QUE196609 REA196609 RNW196609 RXS196609 SHO196609 SRK196609 TBG196609 TLC196609 TUY196609 UEU196609 UOQ196609 UYM196609 VII196609 VSE196609 WCA196609 WLW196609 WVS196609 K262145 JG262145 TC262145 ACY262145 AMU262145 AWQ262145 BGM262145 BQI262145 CAE262145 CKA262145 CTW262145 DDS262145 DNO262145 DXK262145 EHG262145 ERC262145 FAY262145 FKU262145 FUQ262145 GEM262145 GOI262145 GYE262145 HIA262145 HRW262145 IBS262145 ILO262145 IVK262145 JFG262145 JPC262145 JYY262145 KIU262145 KSQ262145 LCM262145 LMI262145 LWE262145 MGA262145 MPW262145 MZS262145 NJO262145 NTK262145 ODG262145 ONC262145 OWY262145 PGU262145 PQQ262145 QAM262145 QKI262145 QUE262145 REA262145 RNW262145 RXS262145 SHO262145 SRK262145 TBG262145 TLC262145 TUY262145 UEU262145 UOQ262145 UYM262145 VII262145 VSE262145 WCA262145 WLW262145 WVS262145 K327681 JG327681 TC327681 ACY327681 AMU327681 AWQ327681 BGM327681 BQI327681 CAE327681 CKA327681 CTW327681 DDS327681 DNO327681 DXK327681 EHG327681 ERC327681 FAY327681 FKU327681 FUQ327681 GEM327681 GOI327681 GYE327681 HIA327681 HRW327681 IBS327681 ILO327681 IVK327681 JFG327681 JPC327681 JYY327681 KIU327681 KSQ327681 LCM327681 LMI327681 LWE327681 MGA327681 MPW327681 MZS327681 NJO327681 NTK327681 ODG327681 ONC327681 OWY327681 PGU327681 PQQ327681 QAM327681 QKI327681 QUE327681 REA327681 RNW327681 RXS327681 SHO327681 SRK327681 TBG327681 TLC327681 TUY327681 UEU327681 UOQ327681 UYM327681 VII327681 VSE327681 WCA327681 WLW327681 WVS327681 K393217 JG393217 TC393217 ACY393217 AMU393217 AWQ393217 BGM393217 BQI393217 CAE393217 CKA393217 CTW393217 DDS393217 DNO393217 DXK393217 EHG393217 ERC393217 FAY393217 FKU393217 FUQ393217 GEM393217 GOI393217 GYE393217 HIA393217 HRW393217 IBS393217 ILO393217 IVK393217 JFG393217 JPC393217 JYY393217 KIU393217 KSQ393217 LCM393217 LMI393217 LWE393217 MGA393217 MPW393217 MZS393217 NJO393217 NTK393217 ODG393217 ONC393217 OWY393217 PGU393217 PQQ393217 QAM393217 QKI393217 QUE393217 REA393217 RNW393217 RXS393217 SHO393217 SRK393217 TBG393217 TLC393217 TUY393217 UEU393217 UOQ393217 UYM393217 VII393217 VSE393217 WCA393217 WLW393217 WVS393217 K458753 JG458753 TC458753 ACY458753 AMU458753 AWQ458753 BGM458753 BQI458753 CAE458753 CKA458753 CTW458753 DDS458753 DNO458753 DXK458753 EHG458753 ERC458753 FAY458753 FKU458753 FUQ458753 GEM458753 GOI458753 GYE458753 HIA458753 HRW458753 IBS458753 ILO458753 IVK458753 JFG458753 JPC458753 JYY458753 KIU458753 KSQ458753 LCM458753 LMI458753 LWE458753 MGA458753 MPW458753 MZS458753 NJO458753 NTK458753 ODG458753 ONC458753 OWY458753 PGU458753 PQQ458753 QAM458753 QKI458753 QUE458753 REA458753 RNW458753 RXS458753 SHO458753 SRK458753 TBG458753 TLC458753 TUY458753 UEU458753 UOQ458753 UYM458753 VII458753 VSE458753 WCA458753 WLW458753 WVS458753 K524289 JG524289 TC524289 ACY524289 AMU524289 AWQ524289 BGM524289 BQI524289 CAE524289 CKA524289 CTW524289 DDS524289 DNO524289 DXK524289 EHG524289 ERC524289 FAY524289 FKU524289 FUQ524289 GEM524289 GOI524289 GYE524289 HIA524289 HRW524289 IBS524289 ILO524289 IVK524289 JFG524289 JPC524289 JYY524289 KIU524289 KSQ524289 LCM524289 LMI524289 LWE524289 MGA524289 MPW524289 MZS524289 NJO524289 NTK524289 ODG524289 ONC524289 OWY524289 PGU524289 PQQ524289 QAM524289 QKI524289 QUE524289 REA524289 RNW524289 RXS524289 SHO524289 SRK524289 TBG524289 TLC524289 TUY524289 UEU524289 UOQ524289 UYM524289 VII524289 VSE524289 WCA524289 WLW524289 WVS524289 K589825 JG589825 TC589825 ACY589825 AMU589825 AWQ589825 BGM589825 BQI589825 CAE589825 CKA589825 CTW589825 DDS589825 DNO589825 DXK589825 EHG589825 ERC589825 FAY589825 FKU589825 FUQ589825 GEM589825 GOI589825 GYE589825 HIA589825 HRW589825 IBS589825 ILO589825 IVK589825 JFG589825 JPC589825 JYY589825 KIU589825 KSQ589825 LCM589825 LMI589825 LWE589825 MGA589825 MPW589825 MZS589825 NJO589825 NTK589825 ODG589825 ONC589825 OWY589825 PGU589825 PQQ589825 QAM589825 QKI589825 QUE589825 REA589825 RNW589825 RXS589825 SHO589825 SRK589825 TBG589825 TLC589825 TUY589825 UEU589825 UOQ589825 UYM589825 VII589825 VSE589825 WCA589825 WLW589825 WVS589825 K655361 JG655361 TC655361 ACY655361 AMU655361 AWQ655361 BGM655361 BQI655361 CAE655361 CKA655361 CTW655361 DDS655361 DNO655361 DXK655361 EHG655361 ERC655361 FAY655361 FKU655361 FUQ655361 GEM655361 GOI655361 GYE655361 HIA655361 HRW655361 IBS655361 ILO655361 IVK655361 JFG655361 JPC655361 JYY655361 KIU655361 KSQ655361 LCM655361 LMI655361 LWE655361 MGA655361 MPW655361 MZS655361 NJO655361 NTK655361 ODG655361 ONC655361 OWY655361 PGU655361 PQQ655361 QAM655361 QKI655361 QUE655361 REA655361 RNW655361 RXS655361 SHO655361 SRK655361 TBG655361 TLC655361 TUY655361 UEU655361 UOQ655361 UYM655361 VII655361 VSE655361 WCA655361 WLW655361 WVS655361 K720897 JG720897 TC720897 ACY720897 AMU720897 AWQ720897 BGM720897 BQI720897 CAE720897 CKA720897 CTW720897 DDS720897 DNO720897 DXK720897 EHG720897 ERC720897 FAY720897 FKU720897 FUQ720897 GEM720897 GOI720897 GYE720897 HIA720897 HRW720897 IBS720897 ILO720897 IVK720897 JFG720897 JPC720897 JYY720897 KIU720897 KSQ720897 LCM720897 LMI720897 LWE720897 MGA720897 MPW720897 MZS720897 NJO720897 NTK720897 ODG720897 ONC720897 OWY720897 PGU720897 PQQ720897 QAM720897 QKI720897 QUE720897 REA720897 RNW720897 RXS720897 SHO720897 SRK720897 TBG720897 TLC720897 TUY720897 UEU720897 UOQ720897 UYM720897 VII720897 VSE720897 WCA720897 WLW720897 WVS720897 K786433 JG786433 TC786433 ACY786433 AMU786433 AWQ786433 BGM786433 BQI786433 CAE786433 CKA786433 CTW786433 DDS786433 DNO786433 DXK786433 EHG786433 ERC786433 FAY786433 FKU786433 FUQ786433 GEM786433 GOI786433 GYE786433 HIA786433 HRW786433 IBS786433 ILO786433 IVK786433 JFG786433 JPC786433 JYY786433 KIU786433 KSQ786433 LCM786433 LMI786433 LWE786433 MGA786433 MPW786433 MZS786433 NJO786433 NTK786433 ODG786433 ONC786433 OWY786433 PGU786433 PQQ786433 QAM786433 QKI786433 QUE786433 REA786433 RNW786433 RXS786433 SHO786433 SRK786433 TBG786433 TLC786433 TUY786433 UEU786433 UOQ786433 UYM786433 VII786433 VSE786433 WCA786433 WLW786433 WVS786433 K851969 JG851969 TC851969 ACY851969 AMU851969 AWQ851969 BGM851969 BQI851969 CAE851969 CKA851969 CTW851969 DDS851969 DNO851969 DXK851969 EHG851969 ERC851969 FAY851969 FKU851969 FUQ851969 GEM851969 GOI851969 GYE851969 HIA851969 HRW851969 IBS851969 ILO851969 IVK851969 JFG851969 JPC851969 JYY851969 KIU851969 KSQ851969 LCM851969 LMI851969 LWE851969 MGA851969 MPW851969 MZS851969 NJO851969 NTK851969 ODG851969 ONC851969 OWY851969 PGU851969 PQQ851969 QAM851969 QKI851969 QUE851969 REA851969 RNW851969 RXS851969 SHO851969 SRK851969 TBG851969 TLC851969 TUY851969 UEU851969 UOQ851969 UYM851969 VII851969 VSE851969 WCA851969 WLW851969 WVS851969 K917505 JG917505 TC917505 ACY917505 AMU917505 AWQ917505 BGM917505 BQI917505 CAE917505 CKA917505 CTW917505 DDS917505 DNO917505 DXK917505 EHG917505 ERC917505 FAY917505 FKU917505 FUQ917505 GEM917505 GOI917505 GYE917505 HIA917505 HRW917505 IBS917505 ILO917505 IVK917505 JFG917505 JPC917505 JYY917505 KIU917505 KSQ917505 LCM917505 LMI917505 LWE917505 MGA917505 MPW917505 MZS917505 NJO917505 NTK917505 ODG917505 ONC917505 OWY917505 PGU917505 PQQ917505 QAM917505 QKI917505 QUE917505 REA917505 RNW917505 RXS917505 SHO917505 SRK917505 TBG917505 TLC917505 TUY917505 UEU917505 UOQ917505 UYM917505 VII917505 VSE917505 WCA917505 WLW917505 WVS917505 K983041 JG983041 TC983041 ACY983041 AMU983041 AWQ983041 BGM983041 BQI983041 CAE983041 CKA983041 CTW983041 DDS983041 DNO983041 DXK983041 EHG983041 ERC983041 FAY983041 FKU983041 FUQ983041 GEM983041 GOI983041 GYE983041 HIA983041 HRW983041 IBS983041 ILO983041 IVK983041 JFG983041 JPC983041 JYY983041 KIU983041 KSQ983041 LCM983041 LMI983041 LWE983041 MGA983041 MPW983041 MZS983041 NJO983041 NTK983041 ODG983041 ONC983041 OWY983041 PGU983041 PQQ983041 QAM983041 QKI983041 QUE983041 REA983041 RNW983041 RXS983041 SHO983041 SRK983041 TBG983041 TLC983041 TUY983041 UEU983041 UOQ983041 UYM983041 VII983041 VSE983041 WCA983041 WLW983041 WVS983041 G2:G133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65538:G65609 JC65538:JC65609 SY65538:SY65609 ACU65538:ACU65609 AMQ65538:AMQ65609 AWM65538:AWM65609 BGI65538:BGI65609 BQE65538:BQE65609 CAA65538:CAA65609 CJW65538:CJW65609 CTS65538:CTS65609 DDO65538:DDO65609 DNK65538:DNK65609 DXG65538:DXG65609 EHC65538:EHC65609 EQY65538:EQY65609 FAU65538:FAU65609 FKQ65538:FKQ65609 FUM65538:FUM65609 GEI65538:GEI65609 GOE65538:GOE65609 GYA65538:GYA65609 HHW65538:HHW65609 HRS65538:HRS65609 IBO65538:IBO65609 ILK65538:ILK65609 IVG65538:IVG65609 JFC65538:JFC65609 JOY65538:JOY65609 JYU65538:JYU65609 KIQ65538:KIQ65609 KSM65538:KSM65609 LCI65538:LCI65609 LME65538:LME65609 LWA65538:LWA65609 MFW65538:MFW65609 MPS65538:MPS65609 MZO65538:MZO65609 NJK65538:NJK65609 NTG65538:NTG65609 ODC65538:ODC65609 OMY65538:OMY65609 OWU65538:OWU65609 PGQ65538:PGQ65609 PQM65538:PQM65609 QAI65538:QAI65609 QKE65538:QKE65609 QUA65538:QUA65609 RDW65538:RDW65609 RNS65538:RNS65609 RXO65538:RXO65609 SHK65538:SHK65609 SRG65538:SRG65609 TBC65538:TBC65609 TKY65538:TKY65609 TUU65538:TUU65609 UEQ65538:UEQ65609 UOM65538:UOM65609 UYI65538:UYI65609 VIE65538:VIE65609 VSA65538:VSA65609 WBW65538:WBW65609 WLS65538:WLS65609 WVO65538:WVO65609 G131074:G131145 JC131074:JC131145 SY131074:SY131145 ACU131074:ACU131145 AMQ131074:AMQ131145 AWM131074:AWM131145 BGI131074:BGI131145 BQE131074:BQE131145 CAA131074:CAA131145 CJW131074:CJW131145 CTS131074:CTS131145 DDO131074:DDO131145 DNK131074:DNK131145 DXG131074:DXG131145 EHC131074:EHC131145 EQY131074:EQY131145 FAU131074:FAU131145 FKQ131074:FKQ131145 FUM131074:FUM131145 GEI131074:GEI131145 GOE131074:GOE131145 GYA131074:GYA131145 HHW131074:HHW131145 HRS131074:HRS131145 IBO131074:IBO131145 ILK131074:ILK131145 IVG131074:IVG131145 JFC131074:JFC131145 JOY131074:JOY131145 JYU131074:JYU131145 KIQ131074:KIQ131145 KSM131074:KSM131145 LCI131074:LCI131145 LME131074:LME131145 LWA131074:LWA131145 MFW131074:MFW131145 MPS131074:MPS131145 MZO131074:MZO131145 NJK131074:NJK131145 NTG131074:NTG131145 ODC131074:ODC131145 OMY131074:OMY131145 OWU131074:OWU131145 PGQ131074:PGQ131145 PQM131074:PQM131145 QAI131074:QAI131145 QKE131074:QKE131145 QUA131074:QUA131145 RDW131074:RDW131145 RNS131074:RNS131145 RXO131074:RXO131145 SHK131074:SHK131145 SRG131074:SRG131145 TBC131074:TBC131145 TKY131074:TKY131145 TUU131074:TUU131145 UEQ131074:UEQ131145 UOM131074:UOM131145 UYI131074:UYI131145 VIE131074:VIE131145 VSA131074:VSA131145 WBW131074:WBW131145 WLS131074:WLS131145 WVO131074:WVO131145 G196610:G196681 JC196610:JC196681 SY196610:SY196681 ACU196610:ACU196681 AMQ196610:AMQ196681 AWM196610:AWM196681 BGI196610:BGI196681 BQE196610:BQE196681 CAA196610:CAA196681 CJW196610:CJW196681 CTS196610:CTS196681 DDO196610:DDO196681 DNK196610:DNK196681 DXG196610:DXG196681 EHC196610:EHC196681 EQY196610:EQY196681 FAU196610:FAU196681 FKQ196610:FKQ196681 FUM196610:FUM196681 GEI196610:GEI196681 GOE196610:GOE196681 GYA196610:GYA196681 HHW196610:HHW196681 HRS196610:HRS196681 IBO196610:IBO196681 ILK196610:ILK196681 IVG196610:IVG196681 JFC196610:JFC196681 JOY196610:JOY196681 JYU196610:JYU196681 KIQ196610:KIQ196681 KSM196610:KSM196681 LCI196610:LCI196681 LME196610:LME196681 LWA196610:LWA196681 MFW196610:MFW196681 MPS196610:MPS196681 MZO196610:MZO196681 NJK196610:NJK196681 NTG196610:NTG196681 ODC196610:ODC196681 OMY196610:OMY196681 OWU196610:OWU196681 PGQ196610:PGQ196681 PQM196610:PQM196681 QAI196610:QAI196681 QKE196610:QKE196681 QUA196610:QUA196681 RDW196610:RDW196681 RNS196610:RNS196681 RXO196610:RXO196681 SHK196610:SHK196681 SRG196610:SRG196681 TBC196610:TBC196681 TKY196610:TKY196681 TUU196610:TUU196681 UEQ196610:UEQ196681 UOM196610:UOM196681 UYI196610:UYI196681 VIE196610:VIE196681 VSA196610:VSA196681 WBW196610:WBW196681 WLS196610:WLS196681 WVO196610:WVO196681 G262146:G262217 JC262146:JC262217 SY262146:SY262217 ACU262146:ACU262217 AMQ262146:AMQ262217 AWM262146:AWM262217 BGI262146:BGI262217 BQE262146:BQE262217 CAA262146:CAA262217 CJW262146:CJW262217 CTS262146:CTS262217 DDO262146:DDO262217 DNK262146:DNK262217 DXG262146:DXG262217 EHC262146:EHC262217 EQY262146:EQY262217 FAU262146:FAU262217 FKQ262146:FKQ262217 FUM262146:FUM262217 GEI262146:GEI262217 GOE262146:GOE262217 GYA262146:GYA262217 HHW262146:HHW262217 HRS262146:HRS262217 IBO262146:IBO262217 ILK262146:ILK262217 IVG262146:IVG262217 JFC262146:JFC262217 JOY262146:JOY262217 JYU262146:JYU262217 KIQ262146:KIQ262217 KSM262146:KSM262217 LCI262146:LCI262217 LME262146:LME262217 LWA262146:LWA262217 MFW262146:MFW262217 MPS262146:MPS262217 MZO262146:MZO262217 NJK262146:NJK262217 NTG262146:NTG262217 ODC262146:ODC262217 OMY262146:OMY262217 OWU262146:OWU262217 PGQ262146:PGQ262217 PQM262146:PQM262217 QAI262146:QAI262217 QKE262146:QKE262217 QUA262146:QUA262217 RDW262146:RDW262217 RNS262146:RNS262217 RXO262146:RXO262217 SHK262146:SHK262217 SRG262146:SRG262217 TBC262146:TBC262217 TKY262146:TKY262217 TUU262146:TUU262217 UEQ262146:UEQ262217 UOM262146:UOM262217 UYI262146:UYI262217 VIE262146:VIE262217 VSA262146:VSA262217 WBW262146:WBW262217 WLS262146:WLS262217 WVO262146:WVO262217 G327682:G327753 JC327682:JC327753 SY327682:SY327753 ACU327682:ACU327753 AMQ327682:AMQ327753 AWM327682:AWM327753 BGI327682:BGI327753 BQE327682:BQE327753 CAA327682:CAA327753 CJW327682:CJW327753 CTS327682:CTS327753 DDO327682:DDO327753 DNK327682:DNK327753 DXG327682:DXG327753 EHC327682:EHC327753 EQY327682:EQY327753 FAU327682:FAU327753 FKQ327682:FKQ327753 FUM327682:FUM327753 GEI327682:GEI327753 GOE327682:GOE327753 GYA327682:GYA327753 HHW327682:HHW327753 HRS327682:HRS327753 IBO327682:IBO327753 ILK327682:ILK327753 IVG327682:IVG327753 JFC327682:JFC327753 JOY327682:JOY327753 JYU327682:JYU327753 KIQ327682:KIQ327753 KSM327682:KSM327753 LCI327682:LCI327753 LME327682:LME327753 LWA327682:LWA327753 MFW327682:MFW327753 MPS327682:MPS327753 MZO327682:MZO327753 NJK327682:NJK327753 NTG327682:NTG327753 ODC327682:ODC327753 OMY327682:OMY327753 OWU327682:OWU327753 PGQ327682:PGQ327753 PQM327682:PQM327753 QAI327682:QAI327753 QKE327682:QKE327753 QUA327682:QUA327753 RDW327682:RDW327753 RNS327682:RNS327753 RXO327682:RXO327753 SHK327682:SHK327753 SRG327682:SRG327753 TBC327682:TBC327753 TKY327682:TKY327753 TUU327682:TUU327753 UEQ327682:UEQ327753 UOM327682:UOM327753 UYI327682:UYI327753 VIE327682:VIE327753 VSA327682:VSA327753 WBW327682:WBW327753 WLS327682:WLS327753 WVO327682:WVO327753 G393218:G393289 JC393218:JC393289 SY393218:SY393289 ACU393218:ACU393289 AMQ393218:AMQ393289 AWM393218:AWM393289 BGI393218:BGI393289 BQE393218:BQE393289 CAA393218:CAA393289 CJW393218:CJW393289 CTS393218:CTS393289 DDO393218:DDO393289 DNK393218:DNK393289 DXG393218:DXG393289 EHC393218:EHC393289 EQY393218:EQY393289 FAU393218:FAU393289 FKQ393218:FKQ393289 FUM393218:FUM393289 GEI393218:GEI393289 GOE393218:GOE393289 GYA393218:GYA393289 HHW393218:HHW393289 HRS393218:HRS393289 IBO393218:IBO393289 ILK393218:ILK393289 IVG393218:IVG393289 JFC393218:JFC393289 JOY393218:JOY393289 JYU393218:JYU393289 KIQ393218:KIQ393289 KSM393218:KSM393289 LCI393218:LCI393289 LME393218:LME393289 LWA393218:LWA393289 MFW393218:MFW393289 MPS393218:MPS393289 MZO393218:MZO393289 NJK393218:NJK393289 NTG393218:NTG393289 ODC393218:ODC393289 OMY393218:OMY393289 OWU393218:OWU393289 PGQ393218:PGQ393289 PQM393218:PQM393289 QAI393218:QAI393289 QKE393218:QKE393289 QUA393218:QUA393289 RDW393218:RDW393289 RNS393218:RNS393289 RXO393218:RXO393289 SHK393218:SHK393289 SRG393218:SRG393289 TBC393218:TBC393289 TKY393218:TKY393289 TUU393218:TUU393289 UEQ393218:UEQ393289 UOM393218:UOM393289 UYI393218:UYI393289 VIE393218:VIE393289 VSA393218:VSA393289 WBW393218:WBW393289 WLS393218:WLS393289 WVO393218:WVO393289 G458754:G458825 JC458754:JC458825 SY458754:SY458825 ACU458754:ACU458825 AMQ458754:AMQ458825 AWM458754:AWM458825 BGI458754:BGI458825 BQE458754:BQE458825 CAA458754:CAA458825 CJW458754:CJW458825 CTS458754:CTS458825 DDO458754:DDO458825 DNK458754:DNK458825 DXG458754:DXG458825 EHC458754:EHC458825 EQY458754:EQY458825 FAU458754:FAU458825 FKQ458754:FKQ458825 FUM458754:FUM458825 GEI458754:GEI458825 GOE458754:GOE458825 GYA458754:GYA458825 HHW458754:HHW458825 HRS458754:HRS458825 IBO458754:IBO458825 ILK458754:ILK458825 IVG458754:IVG458825 JFC458754:JFC458825 JOY458754:JOY458825 JYU458754:JYU458825 KIQ458754:KIQ458825 KSM458754:KSM458825 LCI458754:LCI458825 LME458754:LME458825 LWA458754:LWA458825 MFW458754:MFW458825 MPS458754:MPS458825 MZO458754:MZO458825 NJK458754:NJK458825 NTG458754:NTG458825 ODC458754:ODC458825 OMY458754:OMY458825 OWU458754:OWU458825 PGQ458754:PGQ458825 PQM458754:PQM458825 QAI458754:QAI458825 QKE458754:QKE458825 QUA458754:QUA458825 RDW458754:RDW458825 RNS458754:RNS458825 RXO458754:RXO458825 SHK458754:SHK458825 SRG458754:SRG458825 TBC458754:TBC458825 TKY458754:TKY458825 TUU458754:TUU458825 UEQ458754:UEQ458825 UOM458754:UOM458825 UYI458754:UYI458825 VIE458754:VIE458825 VSA458754:VSA458825 WBW458754:WBW458825 WLS458754:WLS458825 WVO458754:WVO458825 G524290:G524361 JC524290:JC524361 SY524290:SY524361 ACU524290:ACU524361 AMQ524290:AMQ524361 AWM524290:AWM524361 BGI524290:BGI524361 BQE524290:BQE524361 CAA524290:CAA524361 CJW524290:CJW524361 CTS524290:CTS524361 DDO524290:DDO524361 DNK524290:DNK524361 DXG524290:DXG524361 EHC524290:EHC524361 EQY524290:EQY524361 FAU524290:FAU524361 FKQ524290:FKQ524361 FUM524290:FUM524361 GEI524290:GEI524361 GOE524290:GOE524361 GYA524290:GYA524361 HHW524290:HHW524361 HRS524290:HRS524361 IBO524290:IBO524361 ILK524290:ILK524361 IVG524290:IVG524361 JFC524290:JFC524361 JOY524290:JOY524361 JYU524290:JYU524361 KIQ524290:KIQ524361 KSM524290:KSM524361 LCI524290:LCI524361 LME524290:LME524361 LWA524290:LWA524361 MFW524290:MFW524361 MPS524290:MPS524361 MZO524290:MZO524361 NJK524290:NJK524361 NTG524290:NTG524361 ODC524290:ODC524361 OMY524290:OMY524361 OWU524290:OWU524361 PGQ524290:PGQ524361 PQM524290:PQM524361 QAI524290:QAI524361 QKE524290:QKE524361 QUA524290:QUA524361 RDW524290:RDW524361 RNS524290:RNS524361 RXO524290:RXO524361 SHK524290:SHK524361 SRG524290:SRG524361 TBC524290:TBC524361 TKY524290:TKY524361 TUU524290:TUU524361 UEQ524290:UEQ524361 UOM524290:UOM524361 UYI524290:UYI524361 VIE524290:VIE524361 VSA524290:VSA524361 WBW524290:WBW524361 WLS524290:WLS524361 WVO524290:WVO524361 G589826:G589897 JC589826:JC589897 SY589826:SY589897 ACU589826:ACU589897 AMQ589826:AMQ589897 AWM589826:AWM589897 BGI589826:BGI589897 BQE589826:BQE589897 CAA589826:CAA589897 CJW589826:CJW589897 CTS589826:CTS589897 DDO589826:DDO589897 DNK589826:DNK589897 DXG589826:DXG589897 EHC589826:EHC589897 EQY589826:EQY589897 FAU589826:FAU589897 FKQ589826:FKQ589897 FUM589826:FUM589897 GEI589826:GEI589897 GOE589826:GOE589897 GYA589826:GYA589897 HHW589826:HHW589897 HRS589826:HRS589897 IBO589826:IBO589897 ILK589826:ILK589897 IVG589826:IVG589897 JFC589826:JFC589897 JOY589826:JOY589897 JYU589826:JYU589897 KIQ589826:KIQ589897 KSM589826:KSM589897 LCI589826:LCI589897 LME589826:LME589897 LWA589826:LWA589897 MFW589826:MFW589897 MPS589826:MPS589897 MZO589826:MZO589897 NJK589826:NJK589897 NTG589826:NTG589897 ODC589826:ODC589897 OMY589826:OMY589897 OWU589826:OWU589897 PGQ589826:PGQ589897 PQM589826:PQM589897 QAI589826:QAI589897 QKE589826:QKE589897 QUA589826:QUA589897 RDW589826:RDW589897 RNS589826:RNS589897 RXO589826:RXO589897 SHK589826:SHK589897 SRG589826:SRG589897 TBC589826:TBC589897 TKY589826:TKY589897 TUU589826:TUU589897 UEQ589826:UEQ589897 UOM589826:UOM589897 UYI589826:UYI589897 VIE589826:VIE589897 VSA589826:VSA589897 WBW589826:WBW589897 WLS589826:WLS589897 WVO589826:WVO589897 G655362:G655433 JC655362:JC655433 SY655362:SY655433 ACU655362:ACU655433 AMQ655362:AMQ655433 AWM655362:AWM655433 BGI655362:BGI655433 BQE655362:BQE655433 CAA655362:CAA655433 CJW655362:CJW655433 CTS655362:CTS655433 DDO655362:DDO655433 DNK655362:DNK655433 DXG655362:DXG655433 EHC655362:EHC655433 EQY655362:EQY655433 FAU655362:FAU655433 FKQ655362:FKQ655433 FUM655362:FUM655433 GEI655362:GEI655433 GOE655362:GOE655433 GYA655362:GYA655433 HHW655362:HHW655433 HRS655362:HRS655433 IBO655362:IBO655433 ILK655362:ILK655433 IVG655362:IVG655433 JFC655362:JFC655433 JOY655362:JOY655433 JYU655362:JYU655433 KIQ655362:KIQ655433 KSM655362:KSM655433 LCI655362:LCI655433 LME655362:LME655433 LWA655362:LWA655433 MFW655362:MFW655433 MPS655362:MPS655433 MZO655362:MZO655433 NJK655362:NJK655433 NTG655362:NTG655433 ODC655362:ODC655433 OMY655362:OMY655433 OWU655362:OWU655433 PGQ655362:PGQ655433 PQM655362:PQM655433 QAI655362:QAI655433 QKE655362:QKE655433 QUA655362:QUA655433 RDW655362:RDW655433 RNS655362:RNS655433 RXO655362:RXO655433 SHK655362:SHK655433 SRG655362:SRG655433 TBC655362:TBC655433 TKY655362:TKY655433 TUU655362:TUU655433 UEQ655362:UEQ655433 UOM655362:UOM655433 UYI655362:UYI655433 VIE655362:VIE655433 VSA655362:VSA655433 WBW655362:WBW655433 WLS655362:WLS655433 WVO655362:WVO655433 G720898:G720969 JC720898:JC720969 SY720898:SY720969 ACU720898:ACU720969 AMQ720898:AMQ720969 AWM720898:AWM720969 BGI720898:BGI720969 BQE720898:BQE720969 CAA720898:CAA720969 CJW720898:CJW720969 CTS720898:CTS720969 DDO720898:DDO720969 DNK720898:DNK720969 DXG720898:DXG720969 EHC720898:EHC720969 EQY720898:EQY720969 FAU720898:FAU720969 FKQ720898:FKQ720969 FUM720898:FUM720969 GEI720898:GEI720969 GOE720898:GOE720969 GYA720898:GYA720969 HHW720898:HHW720969 HRS720898:HRS720969 IBO720898:IBO720969 ILK720898:ILK720969 IVG720898:IVG720969 JFC720898:JFC720969 JOY720898:JOY720969 JYU720898:JYU720969 KIQ720898:KIQ720969 KSM720898:KSM720969 LCI720898:LCI720969 LME720898:LME720969 LWA720898:LWA720969 MFW720898:MFW720969 MPS720898:MPS720969 MZO720898:MZO720969 NJK720898:NJK720969 NTG720898:NTG720969 ODC720898:ODC720969 OMY720898:OMY720969 OWU720898:OWU720969 PGQ720898:PGQ720969 PQM720898:PQM720969 QAI720898:QAI720969 QKE720898:QKE720969 QUA720898:QUA720969 RDW720898:RDW720969 RNS720898:RNS720969 RXO720898:RXO720969 SHK720898:SHK720969 SRG720898:SRG720969 TBC720898:TBC720969 TKY720898:TKY720969 TUU720898:TUU720969 UEQ720898:UEQ720969 UOM720898:UOM720969 UYI720898:UYI720969 VIE720898:VIE720969 VSA720898:VSA720969 WBW720898:WBW720969 WLS720898:WLS720969 WVO720898:WVO720969 G786434:G786505 JC786434:JC786505 SY786434:SY786505 ACU786434:ACU786505 AMQ786434:AMQ786505 AWM786434:AWM786505 BGI786434:BGI786505 BQE786434:BQE786505 CAA786434:CAA786505 CJW786434:CJW786505 CTS786434:CTS786505 DDO786434:DDO786505 DNK786434:DNK786505 DXG786434:DXG786505 EHC786434:EHC786505 EQY786434:EQY786505 FAU786434:FAU786505 FKQ786434:FKQ786505 FUM786434:FUM786505 GEI786434:GEI786505 GOE786434:GOE786505 GYA786434:GYA786505 HHW786434:HHW786505 HRS786434:HRS786505 IBO786434:IBO786505 ILK786434:ILK786505 IVG786434:IVG786505 JFC786434:JFC786505 JOY786434:JOY786505 JYU786434:JYU786505 KIQ786434:KIQ786505 KSM786434:KSM786505 LCI786434:LCI786505 LME786434:LME786505 LWA786434:LWA786505 MFW786434:MFW786505 MPS786434:MPS786505 MZO786434:MZO786505 NJK786434:NJK786505 NTG786434:NTG786505 ODC786434:ODC786505 OMY786434:OMY786505 OWU786434:OWU786505 PGQ786434:PGQ786505 PQM786434:PQM786505 QAI786434:QAI786505 QKE786434:QKE786505 QUA786434:QUA786505 RDW786434:RDW786505 RNS786434:RNS786505 RXO786434:RXO786505 SHK786434:SHK786505 SRG786434:SRG786505 TBC786434:TBC786505 TKY786434:TKY786505 TUU786434:TUU786505 UEQ786434:UEQ786505 UOM786434:UOM786505 UYI786434:UYI786505 VIE786434:VIE786505 VSA786434:VSA786505 WBW786434:WBW786505 WLS786434:WLS786505 WVO786434:WVO786505 G851970:G852041 JC851970:JC852041 SY851970:SY852041 ACU851970:ACU852041 AMQ851970:AMQ852041 AWM851970:AWM852041 BGI851970:BGI852041 BQE851970:BQE852041 CAA851970:CAA852041 CJW851970:CJW852041 CTS851970:CTS852041 DDO851970:DDO852041 DNK851970:DNK852041 DXG851970:DXG852041 EHC851970:EHC852041 EQY851970:EQY852041 FAU851970:FAU852041 FKQ851970:FKQ852041 FUM851970:FUM852041 GEI851970:GEI852041 GOE851970:GOE852041 GYA851970:GYA852041 HHW851970:HHW852041 HRS851970:HRS852041 IBO851970:IBO852041 ILK851970:ILK852041 IVG851970:IVG852041 JFC851970:JFC852041 JOY851970:JOY852041 JYU851970:JYU852041 KIQ851970:KIQ852041 KSM851970:KSM852041 LCI851970:LCI852041 LME851970:LME852041 LWA851970:LWA852041 MFW851970:MFW852041 MPS851970:MPS852041 MZO851970:MZO852041 NJK851970:NJK852041 NTG851970:NTG852041 ODC851970:ODC852041 OMY851970:OMY852041 OWU851970:OWU852041 PGQ851970:PGQ852041 PQM851970:PQM852041 QAI851970:QAI852041 QKE851970:QKE852041 QUA851970:QUA852041 RDW851970:RDW852041 RNS851970:RNS852041 RXO851970:RXO852041 SHK851970:SHK852041 SRG851970:SRG852041 TBC851970:TBC852041 TKY851970:TKY852041 TUU851970:TUU852041 UEQ851970:UEQ852041 UOM851970:UOM852041 UYI851970:UYI852041 VIE851970:VIE852041 VSA851970:VSA852041 WBW851970:WBW852041 WLS851970:WLS852041 WVO851970:WVO852041 G917506:G917577 JC917506:JC917577 SY917506:SY917577 ACU917506:ACU917577 AMQ917506:AMQ917577 AWM917506:AWM917577 BGI917506:BGI917577 BQE917506:BQE917577 CAA917506:CAA917577 CJW917506:CJW917577 CTS917506:CTS917577 DDO917506:DDO917577 DNK917506:DNK917577 DXG917506:DXG917577 EHC917506:EHC917577 EQY917506:EQY917577 FAU917506:FAU917577 FKQ917506:FKQ917577 FUM917506:FUM917577 GEI917506:GEI917577 GOE917506:GOE917577 GYA917506:GYA917577 HHW917506:HHW917577 HRS917506:HRS917577 IBO917506:IBO917577 ILK917506:ILK917577 IVG917506:IVG917577 JFC917506:JFC917577 JOY917506:JOY917577 JYU917506:JYU917577 KIQ917506:KIQ917577 KSM917506:KSM917577 LCI917506:LCI917577 LME917506:LME917577 LWA917506:LWA917577 MFW917506:MFW917577 MPS917506:MPS917577 MZO917506:MZO917577 NJK917506:NJK917577 NTG917506:NTG917577 ODC917506:ODC917577 OMY917506:OMY917577 OWU917506:OWU917577 PGQ917506:PGQ917577 PQM917506:PQM917577 QAI917506:QAI917577 QKE917506:QKE917577 QUA917506:QUA917577 RDW917506:RDW917577 RNS917506:RNS917577 RXO917506:RXO917577 SHK917506:SHK917577 SRG917506:SRG917577 TBC917506:TBC917577 TKY917506:TKY917577 TUU917506:TUU917577 UEQ917506:UEQ917577 UOM917506:UOM917577 UYI917506:UYI917577 VIE917506:VIE917577 VSA917506:VSA917577 WBW917506:WBW917577 WLS917506:WLS917577 WVO917506:WVO917577 G983042:G983113 JC983042:JC983113 SY983042:SY983113 ACU983042:ACU983113 AMQ983042:AMQ983113 AWM983042:AWM983113 BGI983042:BGI983113 BQE983042:BQE983113 CAA983042:CAA983113 CJW983042:CJW983113 CTS983042:CTS983113 DDO983042:DDO983113 DNK983042:DNK983113 DXG983042:DXG983113 EHC983042:EHC983113 EQY983042:EQY983113 FAU983042:FAU983113 FKQ983042:FKQ983113 FUM983042:FUM983113 GEI983042:GEI983113 GOE983042:GOE983113 GYA983042:GYA983113 HHW983042:HHW983113 HRS983042:HRS983113 IBO983042:IBO983113 ILK983042:ILK983113 IVG983042:IVG983113 JFC983042:JFC983113 JOY983042:JOY983113 JYU983042:JYU983113 KIQ983042:KIQ983113 KSM983042:KSM983113 LCI983042:LCI983113 LME983042:LME983113 LWA983042:LWA983113 MFW983042:MFW983113 MPS983042:MPS983113 MZO983042:MZO983113 NJK983042:NJK983113 NTG983042:NTG983113 ODC983042:ODC983113 OMY983042:OMY983113 OWU983042:OWU983113 PGQ983042:PGQ983113 PQM983042:PQM983113 QAI983042:QAI983113 QKE983042:QKE983113 QUA983042:QUA983113 RDW983042:RDW983113 RNS983042:RNS983113 RXO983042:RXO983113 SHK983042:SHK983113 SRG983042:SRG983113 TBC983042:TBC983113 TKY983042:TKY983113 TUU983042:TUU983113 UEQ983042:UEQ983113 UOM983042:UOM983113 UYI983042:UYI983113 VIE983042:VIE983113 VSA983042:VSA983113 WBW983042:WBW983113 WLS983042:WLS983113 WVO983042:WVO983113 WVO983114:WVP983145 JC74:JD105 SY74:SZ105 ACU74:ACV105 AMQ74:AMR105 AWM74:AWN105 BGI74:BGJ105 BQE74:BQF105 CAA74:CAB105 CJW74:CJX105 CTS74:CTT105 DDO74:DDP105 DNK74:DNL105 DXG74:DXH105 EHC74:EHD105 EQY74:EQZ105 FAU74:FAV105 FKQ74:FKR105 FUM74:FUN105 GEI74:GEJ105 GOE74:GOF105 GYA74:GYB105 HHW74:HHX105 HRS74:HRT105 IBO74:IBP105 ILK74:ILL105 IVG74:IVH105 JFC74:JFD105 JOY74:JOZ105 JYU74:JYV105 KIQ74:KIR105 KSM74:KSN105 LCI74:LCJ105 LME74:LMF105 LWA74:LWB105 MFW74:MFX105 MPS74:MPT105 MZO74:MZP105 NJK74:NJL105 NTG74:NTH105 ODC74:ODD105 OMY74:OMZ105 OWU74:OWV105 PGQ74:PGR105 PQM74:PQN105 QAI74:QAJ105 QKE74:QKF105 QUA74:QUB105 RDW74:RDX105 RNS74:RNT105 RXO74:RXP105 SHK74:SHL105 SRG74:SRH105 TBC74:TBD105 TKY74:TKZ105 TUU74:TUV105 UEQ74:UER105 UOM74:UON105 UYI74:UYJ105 VIE74:VIF105 VSA74:VSB105 WBW74:WBX105 WLS74:WLT105 WVO74:WVP105 G65610:H65641 JC65610:JD65641 SY65610:SZ65641 ACU65610:ACV65641 AMQ65610:AMR65641 AWM65610:AWN65641 BGI65610:BGJ65641 BQE65610:BQF65641 CAA65610:CAB65641 CJW65610:CJX65641 CTS65610:CTT65641 DDO65610:DDP65641 DNK65610:DNL65641 DXG65610:DXH65641 EHC65610:EHD65641 EQY65610:EQZ65641 FAU65610:FAV65641 FKQ65610:FKR65641 FUM65610:FUN65641 GEI65610:GEJ65641 GOE65610:GOF65641 GYA65610:GYB65641 HHW65610:HHX65641 HRS65610:HRT65641 IBO65610:IBP65641 ILK65610:ILL65641 IVG65610:IVH65641 JFC65610:JFD65641 JOY65610:JOZ65641 JYU65610:JYV65641 KIQ65610:KIR65641 KSM65610:KSN65641 LCI65610:LCJ65641 LME65610:LMF65641 LWA65610:LWB65641 MFW65610:MFX65641 MPS65610:MPT65641 MZO65610:MZP65641 NJK65610:NJL65641 NTG65610:NTH65641 ODC65610:ODD65641 OMY65610:OMZ65641 OWU65610:OWV65641 PGQ65610:PGR65641 PQM65610:PQN65641 QAI65610:QAJ65641 QKE65610:QKF65641 QUA65610:QUB65641 RDW65610:RDX65641 RNS65610:RNT65641 RXO65610:RXP65641 SHK65610:SHL65641 SRG65610:SRH65641 TBC65610:TBD65641 TKY65610:TKZ65641 TUU65610:TUV65641 UEQ65610:UER65641 UOM65610:UON65641 UYI65610:UYJ65641 VIE65610:VIF65641 VSA65610:VSB65641 WBW65610:WBX65641 WLS65610:WLT65641 WVO65610:WVP65641 G131146:H131177 JC131146:JD131177 SY131146:SZ131177 ACU131146:ACV131177 AMQ131146:AMR131177 AWM131146:AWN131177 BGI131146:BGJ131177 BQE131146:BQF131177 CAA131146:CAB131177 CJW131146:CJX131177 CTS131146:CTT131177 DDO131146:DDP131177 DNK131146:DNL131177 DXG131146:DXH131177 EHC131146:EHD131177 EQY131146:EQZ131177 FAU131146:FAV131177 FKQ131146:FKR131177 FUM131146:FUN131177 GEI131146:GEJ131177 GOE131146:GOF131177 GYA131146:GYB131177 HHW131146:HHX131177 HRS131146:HRT131177 IBO131146:IBP131177 ILK131146:ILL131177 IVG131146:IVH131177 JFC131146:JFD131177 JOY131146:JOZ131177 JYU131146:JYV131177 KIQ131146:KIR131177 KSM131146:KSN131177 LCI131146:LCJ131177 LME131146:LMF131177 LWA131146:LWB131177 MFW131146:MFX131177 MPS131146:MPT131177 MZO131146:MZP131177 NJK131146:NJL131177 NTG131146:NTH131177 ODC131146:ODD131177 OMY131146:OMZ131177 OWU131146:OWV131177 PGQ131146:PGR131177 PQM131146:PQN131177 QAI131146:QAJ131177 QKE131146:QKF131177 QUA131146:QUB131177 RDW131146:RDX131177 RNS131146:RNT131177 RXO131146:RXP131177 SHK131146:SHL131177 SRG131146:SRH131177 TBC131146:TBD131177 TKY131146:TKZ131177 TUU131146:TUV131177 UEQ131146:UER131177 UOM131146:UON131177 UYI131146:UYJ131177 VIE131146:VIF131177 VSA131146:VSB131177 WBW131146:WBX131177 WLS131146:WLT131177 WVO131146:WVP131177 G196682:H196713 JC196682:JD196713 SY196682:SZ196713 ACU196682:ACV196713 AMQ196682:AMR196713 AWM196682:AWN196713 BGI196682:BGJ196713 BQE196682:BQF196713 CAA196682:CAB196713 CJW196682:CJX196713 CTS196682:CTT196713 DDO196682:DDP196713 DNK196682:DNL196713 DXG196682:DXH196713 EHC196682:EHD196713 EQY196682:EQZ196713 FAU196682:FAV196713 FKQ196682:FKR196713 FUM196682:FUN196713 GEI196682:GEJ196713 GOE196682:GOF196713 GYA196682:GYB196713 HHW196682:HHX196713 HRS196682:HRT196713 IBO196682:IBP196713 ILK196682:ILL196713 IVG196682:IVH196713 JFC196682:JFD196713 JOY196682:JOZ196713 JYU196682:JYV196713 KIQ196682:KIR196713 KSM196682:KSN196713 LCI196682:LCJ196713 LME196682:LMF196713 LWA196682:LWB196713 MFW196682:MFX196713 MPS196682:MPT196713 MZO196682:MZP196713 NJK196682:NJL196713 NTG196682:NTH196713 ODC196682:ODD196713 OMY196682:OMZ196713 OWU196682:OWV196713 PGQ196682:PGR196713 PQM196682:PQN196713 QAI196682:QAJ196713 QKE196682:QKF196713 QUA196682:QUB196713 RDW196682:RDX196713 RNS196682:RNT196713 RXO196682:RXP196713 SHK196682:SHL196713 SRG196682:SRH196713 TBC196682:TBD196713 TKY196682:TKZ196713 TUU196682:TUV196713 UEQ196682:UER196713 UOM196682:UON196713 UYI196682:UYJ196713 VIE196682:VIF196713 VSA196682:VSB196713 WBW196682:WBX196713 WLS196682:WLT196713 WVO196682:WVP196713 G262218:H262249 JC262218:JD262249 SY262218:SZ262249 ACU262218:ACV262249 AMQ262218:AMR262249 AWM262218:AWN262249 BGI262218:BGJ262249 BQE262218:BQF262249 CAA262218:CAB262249 CJW262218:CJX262249 CTS262218:CTT262249 DDO262218:DDP262249 DNK262218:DNL262249 DXG262218:DXH262249 EHC262218:EHD262249 EQY262218:EQZ262249 FAU262218:FAV262249 FKQ262218:FKR262249 FUM262218:FUN262249 GEI262218:GEJ262249 GOE262218:GOF262249 GYA262218:GYB262249 HHW262218:HHX262249 HRS262218:HRT262249 IBO262218:IBP262249 ILK262218:ILL262249 IVG262218:IVH262249 JFC262218:JFD262249 JOY262218:JOZ262249 JYU262218:JYV262249 KIQ262218:KIR262249 KSM262218:KSN262249 LCI262218:LCJ262249 LME262218:LMF262249 LWA262218:LWB262249 MFW262218:MFX262249 MPS262218:MPT262249 MZO262218:MZP262249 NJK262218:NJL262249 NTG262218:NTH262249 ODC262218:ODD262249 OMY262218:OMZ262249 OWU262218:OWV262249 PGQ262218:PGR262249 PQM262218:PQN262249 QAI262218:QAJ262249 QKE262218:QKF262249 QUA262218:QUB262249 RDW262218:RDX262249 RNS262218:RNT262249 RXO262218:RXP262249 SHK262218:SHL262249 SRG262218:SRH262249 TBC262218:TBD262249 TKY262218:TKZ262249 TUU262218:TUV262249 UEQ262218:UER262249 UOM262218:UON262249 UYI262218:UYJ262249 VIE262218:VIF262249 VSA262218:VSB262249 WBW262218:WBX262249 WLS262218:WLT262249 WVO262218:WVP262249 G327754:H327785 JC327754:JD327785 SY327754:SZ327785 ACU327754:ACV327785 AMQ327754:AMR327785 AWM327754:AWN327785 BGI327754:BGJ327785 BQE327754:BQF327785 CAA327754:CAB327785 CJW327754:CJX327785 CTS327754:CTT327785 DDO327754:DDP327785 DNK327754:DNL327785 DXG327754:DXH327785 EHC327754:EHD327785 EQY327754:EQZ327785 FAU327754:FAV327785 FKQ327754:FKR327785 FUM327754:FUN327785 GEI327754:GEJ327785 GOE327754:GOF327785 GYA327754:GYB327785 HHW327754:HHX327785 HRS327754:HRT327785 IBO327754:IBP327785 ILK327754:ILL327785 IVG327754:IVH327785 JFC327754:JFD327785 JOY327754:JOZ327785 JYU327754:JYV327785 KIQ327754:KIR327785 KSM327754:KSN327785 LCI327754:LCJ327785 LME327754:LMF327785 LWA327754:LWB327785 MFW327754:MFX327785 MPS327754:MPT327785 MZO327754:MZP327785 NJK327754:NJL327785 NTG327754:NTH327785 ODC327754:ODD327785 OMY327754:OMZ327785 OWU327754:OWV327785 PGQ327754:PGR327785 PQM327754:PQN327785 QAI327754:QAJ327785 QKE327754:QKF327785 QUA327754:QUB327785 RDW327754:RDX327785 RNS327754:RNT327785 RXO327754:RXP327785 SHK327754:SHL327785 SRG327754:SRH327785 TBC327754:TBD327785 TKY327754:TKZ327785 TUU327754:TUV327785 UEQ327754:UER327785 UOM327754:UON327785 UYI327754:UYJ327785 VIE327754:VIF327785 VSA327754:VSB327785 WBW327754:WBX327785 WLS327754:WLT327785 WVO327754:WVP327785 G393290:H393321 JC393290:JD393321 SY393290:SZ393321 ACU393290:ACV393321 AMQ393290:AMR393321 AWM393290:AWN393321 BGI393290:BGJ393321 BQE393290:BQF393321 CAA393290:CAB393321 CJW393290:CJX393321 CTS393290:CTT393321 DDO393290:DDP393321 DNK393290:DNL393321 DXG393290:DXH393321 EHC393290:EHD393321 EQY393290:EQZ393321 FAU393290:FAV393321 FKQ393290:FKR393321 FUM393290:FUN393321 GEI393290:GEJ393321 GOE393290:GOF393321 GYA393290:GYB393321 HHW393290:HHX393321 HRS393290:HRT393321 IBO393290:IBP393321 ILK393290:ILL393321 IVG393290:IVH393321 JFC393290:JFD393321 JOY393290:JOZ393321 JYU393290:JYV393321 KIQ393290:KIR393321 KSM393290:KSN393321 LCI393290:LCJ393321 LME393290:LMF393321 LWA393290:LWB393321 MFW393290:MFX393321 MPS393290:MPT393321 MZO393290:MZP393321 NJK393290:NJL393321 NTG393290:NTH393321 ODC393290:ODD393321 OMY393290:OMZ393321 OWU393290:OWV393321 PGQ393290:PGR393321 PQM393290:PQN393321 QAI393290:QAJ393321 QKE393290:QKF393321 QUA393290:QUB393321 RDW393290:RDX393321 RNS393290:RNT393321 RXO393290:RXP393321 SHK393290:SHL393321 SRG393290:SRH393321 TBC393290:TBD393321 TKY393290:TKZ393321 TUU393290:TUV393321 UEQ393290:UER393321 UOM393290:UON393321 UYI393290:UYJ393321 VIE393290:VIF393321 VSA393290:VSB393321 WBW393290:WBX393321 WLS393290:WLT393321 WVO393290:WVP393321 G458826:H458857 JC458826:JD458857 SY458826:SZ458857 ACU458826:ACV458857 AMQ458826:AMR458857 AWM458826:AWN458857 BGI458826:BGJ458857 BQE458826:BQF458857 CAA458826:CAB458857 CJW458826:CJX458857 CTS458826:CTT458857 DDO458826:DDP458857 DNK458826:DNL458857 DXG458826:DXH458857 EHC458826:EHD458857 EQY458826:EQZ458857 FAU458826:FAV458857 FKQ458826:FKR458857 FUM458826:FUN458857 GEI458826:GEJ458857 GOE458826:GOF458857 GYA458826:GYB458857 HHW458826:HHX458857 HRS458826:HRT458857 IBO458826:IBP458857 ILK458826:ILL458857 IVG458826:IVH458857 JFC458826:JFD458857 JOY458826:JOZ458857 JYU458826:JYV458857 KIQ458826:KIR458857 KSM458826:KSN458857 LCI458826:LCJ458857 LME458826:LMF458857 LWA458826:LWB458857 MFW458826:MFX458857 MPS458826:MPT458857 MZO458826:MZP458857 NJK458826:NJL458857 NTG458826:NTH458857 ODC458826:ODD458857 OMY458826:OMZ458857 OWU458826:OWV458857 PGQ458826:PGR458857 PQM458826:PQN458857 QAI458826:QAJ458857 QKE458826:QKF458857 QUA458826:QUB458857 RDW458826:RDX458857 RNS458826:RNT458857 RXO458826:RXP458857 SHK458826:SHL458857 SRG458826:SRH458857 TBC458826:TBD458857 TKY458826:TKZ458857 TUU458826:TUV458857 UEQ458826:UER458857 UOM458826:UON458857 UYI458826:UYJ458857 VIE458826:VIF458857 VSA458826:VSB458857 WBW458826:WBX458857 WLS458826:WLT458857 WVO458826:WVP458857 G524362:H524393 JC524362:JD524393 SY524362:SZ524393 ACU524362:ACV524393 AMQ524362:AMR524393 AWM524362:AWN524393 BGI524362:BGJ524393 BQE524362:BQF524393 CAA524362:CAB524393 CJW524362:CJX524393 CTS524362:CTT524393 DDO524362:DDP524393 DNK524362:DNL524393 DXG524362:DXH524393 EHC524362:EHD524393 EQY524362:EQZ524393 FAU524362:FAV524393 FKQ524362:FKR524393 FUM524362:FUN524393 GEI524362:GEJ524393 GOE524362:GOF524393 GYA524362:GYB524393 HHW524362:HHX524393 HRS524362:HRT524393 IBO524362:IBP524393 ILK524362:ILL524393 IVG524362:IVH524393 JFC524362:JFD524393 JOY524362:JOZ524393 JYU524362:JYV524393 KIQ524362:KIR524393 KSM524362:KSN524393 LCI524362:LCJ524393 LME524362:LMF524393 LWA524362:LWB524393 MFW524362:MFX524393 MPS524362:MPT524393 MZO524362:MZP524393 NJK524362:NJL524393 NTG524362:NTH524393 ODC524362:ODD524393 OMY524362:OMZ524393 OWU524362:OWV524393 PGQ524362:PGR524393 PQM524362:PQN524393 QAI524362:QAJ524393 QKE524362:QKF524393 QUA524362:QUB524393 RDW524362:RDX524393 RNS524362:RNT524393 RXO524362:RXP524393 SHK524362:SHL524393 SRG524362:SRH524393 TBC524362:TBD524393 TKY524362:TKZ524393 TUU524362:TUV524393 UEQ524362:UER524393 UOM524362:UON524393 UYI524362:UYJ524393 VIE524362:VIF524393 VSA524362:VSB524393 WBW524362:WBX524393 WLS524362:WLT524393 WVO524362:WVP524393 G589898:H589929 JC589898:JD589929 SY589898:SZ589929 ACU589898:ACV589929 AMQ589898:AMR589929 AWM589898:AWN589929 BGI589898:BGJ589929 BQE589898:BQF589929 CAA589898:CAB589929 CJW589898:CJX589929 CTS589898:CTT589929 DDO589898:DDP589929 DNK589898:DNL589929 DXG589898:DXH589929 EHC589898:EHD589929 EQY589898:EQZ589929 FAU589898:FAV589929 FKQ589898:FKR589929 FUM589898:FUN589929 GEI589898:GEJ589929 GOE589898:GOF589929 GYA589898:GYB589929 HHW589898:HHX589929 HRS589898:HRT589929 IBO589898:IBP589929 ILK589898:ILL589929 IVG589898:IVH589929 JFC589898:JFD589929 JOY589898:JOZ589929 JYU589898:JYV589929 KIQ589898:KIR589929 KSM589898:KSN589929 LCI589898:LCJ589929 LME589898:LMF589929 LWA589898:LWB589929 MFW589898:MFX589929 MPS589898:MPT589929 MZO589898:MZP589929 NJK589898:NJL589929 NTG589898:NTH589929 ODC589898:ODD589929 OMY589898:OMZ589929 OWU589898:OWV589929 PGQ589898:PGR589929 PQM589898:PQN589929 QAI589898:QAJ589929 QKE589898:QKF589929 QUA589898:QUB589929 RDW589898:RDX589929 RNS589898:RNT589929 RXO589898:RXP589929 SHK589898:SHL589929 SRG589898:SRH589929 TBC589898:TBD589929 TKY589898:TKZ589929 TUU589898:TUV589929 UEQ589898:UER589929 UOM589898:UON589929 UYI589898:UYJ589929 VIE589898:VIF589929 VSA589898:VSB589929 WBW589898:WBX589929 WLS589898:WLT589929 WVO589898:WVP589929 G655434:H655465 JC655434:JD655465 SY655434:SZ655465 ACU655434:ACV655465 AMQ655434:AMR655465 AWM655434:AWN655465 BGI655434:BGJ655465 BQE655434:BQF655465 CAA655434:CAB655465 CJW655434:CJX655465 CTS655434:CTT655465 DDO655434:DDP655465 DNK655434:DNL655465 DXG655434:DXH655465 EHC655434:EHD655465 EQY655434:EQZ655465 FAU655434:FAV655465 FKQ655434:FKR655465 FUM655434:FUN655465 GEI655434:GEJ655465 GOE655434:GOF655465 GYA655434:GYB655465 HHW655434:HHX655465 HRS655434:HRT655465 IBO655434:IBP655465 ILK655434:ILL655465 IVG655434:IVH655465 JFC655434:JFD655465 JOY655434:JOZ655465 JYU655434:JYV655465 KIQ655434:KIR655465 KSM655434:KSN655465 LCI655434:LCJ655465 LME655434:LMF655465 LWA655434:LWB655465 MFW655434:MFX655465 MPS655434:MPT655465 MZO655434:MZP655465 NJK655434:NJL655465 NTG655434:NTH655465 ODC655434:ODD655465 OMY655434:OMZ655465 OWU655434:OWV655465 PGQ655434:PGR655465 PQM655434:PQN655465 QAI655434:QAJ655465 QKE655434:QKF655465 QUA655434:QUB655465 RDW655434:RDX655465 RNS655434:RNT655465 RXO655434:RXP655465 SHK655434:SHL655465 SRG655434:SRH655465 TBC655434:TBD655465 TKY655434:TKZ655465 TUU655434:TUV655465 UEQ655434:UER655465 UOM655434:UON655465 UYI655434:UYJ655465 VIE655434:VIF655465 VSA655434:VSB655465 WBW655434:WBX655465 WLS655434:WLT655465 WVO655434:WVP655465 G720970:H721001 JC720970:JD721001 SY720970:SZ721001 ACU720970:ACV721001 AMQ720970:AMR721001 AWM720970:AWN721001 BGI720970:BGJ721001 BQE720970:BQF721001 CAA720970:CAB721001 CJW720970:CJX721001 CTS720970:CTT721001 DDO720970:DDP721001 DNK720970:DNL721001 DXG720970:DXH721001 EHC720970:EHD721001 EQY720970:EQZ721001 FAU720970:FAV721001 FKQ720970:FKR721001 FUM720970:FUN721001 GEI720970:GEJ721001 GOE720970:GOF721001 GYA720970:GYB721001 HHW720970:HHX721001 HRS720970:HRT721001 IBO720970:IBP721001 ILK720970:ILL721001 IVG720970:IVH721001 JFC720970:JFD721001 JOY720970:JOZ721001 JYU720970:JYV721001 KIQ720970:KIR721001 KSM720970:KSN721001 LCI720970:LCJ721001 LME720970:LMF721001 LWA720970:LWB721001 MFW720970:MFX721001 MPS720970:MPT721001 MZO720970:MZP721001 NJK720970:NJL721001 NTG720970:NTH721001 ODC720970:ODD721001 OMY720970:OMZ721001 OWU720970:OWV721001 PGQ720970:PGR721001 PQM720970:PQN721001 QAI720970:QAJ721001 QKE720970:QKF721001 QUA720970:QUB721001 RDW720970:RDX721001 RNS720970:RNT721001 RXO720970:RXP721001 SHK720970:SHL721001 SRG720970:SRH721001 TBC720970:TBD721001 TKY720970:TKZ721001 TUU720970:TUV721001 UEQ720970:UER721001 UOM720970:UON721001 UYI720970:UYJ721001 VIE720970:VIF721001 VSA720970:VSB721001 WBW720970:WBX721001 WLS720970:WLT721001 WVO720970:WVP721001 G786506:H786537 JC786506:JD786537 SY786506:SZ786537 ACU786506:ACV786537 AMQ786506:AMR786537 AWM786506:AWN786537 BGI786506:BGJ786537 BQE786506:BQF786537 CAA786506:CAB786537 CJW786506:CJX786537 CTS786506:CTT786537 DDO786506:DDP786537 DNK786506:DNL786537 DXG786506:DXH786537 EHC786506:EHD786537 EQY786506:EQZ786537 FAU786506:FAV786537 FKQ786506:FKR786537 FUM786506:FUN786537 GEI786506:GEJ786537 GOE786506:GOF786537 GYA786506:GYB786537 HHW786506:HHX786537 HRS786506:HRT786537 IBO786506:IBP786537 ILK786506:ILL786537 IVG786506:IVH786537 JFC786506:JFD786537 JOY786506:JOZ786537 JYU786506:JYV786537 KIQ786506:KIR786537 KSM786506:KSN786537 LCI786506:LCJ786537 LME786506:LMF786537 LWA786506:LWB786537 MFW786506:MFX786537 MPS786506:MPT786537 MZO786506:MZP786537 NJK786506:NJL786537 NTG786506:NTH786537 ODC786506:ODD786537 OMY786506:OMZ786537 OWU786506:OWV786537 PGQ786506:PGR786537 PQM786506:PQN786537 QAI786506:QAJ786537 QKE786506:QKF786537 QUA786506:QUB786537 RDW786506:RDX786537 RNS786506:RNT786537 RXO786506:RXP786537 SHK786506:SHL786537 SRG786506:SRH786537 TBC786506:TBD786537 TKY786506:TKZ786537 TUU786506:TUV786537 UEQ786506:UER786537 UOM786506:UON786537 UYI786506:UYJ786537 VIE786506:VIF786537 VSA786506:VSB786537 WBW786506:WBX786537 WLS786506:WLT786537 WVO786506:WVP786537 G852042:H852073 JC852042:JD852073 SY852042:SZ852073 ACU852042:ACV852073 AMQ852042:AMR852073 AWM852042:AWN852073 BGI852042:BGJ852073 BQE852042:BQF852073 CAA852042:CAB852073 CJW852042:CJX852073 CTS852042:CTT852073 DDO852042:DDP852073 DNK852042:DNL852073 DXG852042:DXH852073 EHC852042:EHD852073 EQY852042:EQZ852073 FAU852042:FAV852073 FKQ852042:FKR852073 FUM852042:FUN852073 GEI852042:GEJ852073 GOE852042:GOF852073 GYA852042:GYB852073 HHW852042:HHX852073 HRS852042:HRT852073 IBO852042:IBP852073 ILK852042:ILL852073 IVG852042:IVH852073 JFC852042:JFD852073 JOY852042:JOZ852073 JYU852042:JYV852073 KIQ852042:KIR852073 KSM852042:KSN852073 LCI852042:LCJ852073 LME852042:LMF852073 LWA852042:LWB852073 MFW852042:MFX852073 MPS852042:MPT852073 MZO852042:MZP852073 NJK852042:NJL852073 NTG852042:NTH852073 ODC852042:ODD852073 OMY852042:OMZ852073 OWU852042:OWV852073 PGQ852042:PGR852073 PQM852042:PQN852073 QAI852042:QAJ852073 QKE852042:QKF852073 QUA852042:QUB852073 RDW852042:RDX852073 RNS852042:RNT852073 RXO852042:RXP852073 SHK852042:SHL852073 SRG852042:SRH852073 TBC852042:TBD852073 TKY852042:TKZ852073 TUU852042:TUV852073 UEQ852042:UER852073 UOM852042:UON852073 UYI852042:UYJ852073 VIE852042:VIF852073 VSA852042:VSB852073 WBW852042:WBX852073 WLS852042:WLT852073 WVO852042:WVP852073 G917578:H917609 JC917578:JD917609 SY917578:SZ917609 ACU917578:ACV917609 AMQ917578:AMR917609 AWM917578:AWN917609 BGI917578:BGJ917609 BQE917578:BQF917609 CAA917578:CAB917609 CJW917578:CJX917609 CTS917578:CTT917609 DDO917578:DDP917609 DNK917578:DNL917609 DXG917578:DXH917609 EHC917578:EHD917609 EQY917578:EQZ917609 FAU917578:FAV917609 FKQ917578:FKR917609 FUM917578:FUN917609 GEI917578:GEJ917609 GOE917578:GOF917609 GYA917578:GYB917609 HHW917578:HHX917609 HRS917578:HRT917609 IBO917578:IBP917609 ILK917578:ILL917609 IVG917578:IVH917609 JFC917578:JFD917609 JOY917578:JOZ917609 JYU917578:JYV917609 KIQ917578:KIR917609 KSM917578:KSN917609 LCI917578:LCJ917609 LME917578:LMF917609 LWA917578:LWB917609 MFW917578:MFX917609 MPS917578:MPT917609 MZO917578:MZP917609 NJK917578:NJL917609 NTG917578:NTH917609 ODC917578:ODD917609 OMY917578:OMZ917609 OWU917578:OWV917609 PGQ917578:PGR917609 PQM917578:PQN917609 QAI917578:QAJ917609 QKE917578:QKF917609 QUA917578:QUB917609 RDW917578:RDX917609 RNS917578:RNT917609 RXO917578:RXP917609 SHK917578:SHL917609 SRG917578:SRH917609 TBC917578:TBD917609 TKY917578:TKZ917609 TUU917578:TUV917609 UEQ917578:UER917609 UOM917578:UON917609 UYI917578:UYJ917609 VIE917578:VIF917609 VSA917578:VSB917609 WBW917578:WBX917609 WLS917578:WLT917609 WVO917578:WVP917609 G983114:H983145 JC983114:JD983145 SY983114:SZ983145 ACU983114:ACV983145 AMQ983114:AMR983145 AWM983114:AWN983145 BGI983114:BGJ983145 BQE983114:BQF983145 CAA983114:CAB983145 CJW983114:CJX983145 CTS983114:CTT983145 DDO983114:DDP983145 DNK983114:DNL983145 DXG983114:DXH983145 EHC983114:EHD983145 EQY983114:EQZ983145 FAU983114:FAV983145 FKQ983114:FKR983145 FUM983114:FUN983145 GEI983114:GEJ983145 GOE983114:GOF983145 GYA983114:GYB983145 HHW983114:HHX983145 HRS983114:HRT983145 IBO983114:IBP983145 ILK983114:ILL983145 IVG983114:IVH983145 JFC983114:JFD983145 JOY983114:JOZ983145 JYU983114:JYV983145 KIQ983114:KIR983145 KSM983114:KSN983145 LCI983114:LCJ983145 LME983114:LMF983145 LWA983114:LWB983145 MFW983114:MFX983145 MPS983114:MPT983145 MZO983114:MZP983145 NJK983114:NJL983145 NTG983114:NTH983145 ODC983114:ODD983145 OMY983114:OMZ983145 OWU983114:OWV983145 PGQ983114:PGR983145 PQM983114:PQN983145 QAI983114:QAJ983145 QKE983114:QKF983145 QUA983114:QUB983145 RDW983114:RDX983145 RNS983114:RNT983145 RXO983114:RXP983145 SHK983114:SHL983145 SRG983114:SRH983145 TBC983114:TBD983145 TKY983114:TKZ983145 TUU983114:TUV983145 UEQ983114:UER983145 UOM983114:UON983145 UYI983114:UYJ983145 VIE983114:VIF983145 VSA983114:VSB983145 WBW983114:WBX983145 WLS983114:WLT983145" xr:uid="{EFF1CA7A-7BDD-458A-A0F5-3B183555CAF0}">
      <formula1>0</formula1>
      <formula2>0</formula2>
    </dataValidation>
  </dataValidation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DUTY_2025</vt:lpstr>
      <vt:lpstr>SI</vt:lpstr>
      <vt:lpstr>InvoiceGen</vt:lpstr>
      <vt:lpstr>ProductList</vt:lpstr>
      <vt:lpstr>P_1</vt:lpstr>
      <vt:lpstr>P_2</vt:lpstr>
      <vt:lpstr>Invoice_India</vt:lpstr>
      <vt:lpstr>Sheet2</vt:lpstr>
      <vt:lpstr>Sheet1</vt:lpstr>
      <vt:lpstr>Invoice_Colombo</vt:lpstr>
      <vt:lpstr>COOTemplate</vt:lpstr>
      <vt:lpstr>P_1!Print_Area</vt:lpstr>
      <vt:lpstr>SI!Print_Area</vt:lpstr>
      <vt:lpstr>P_1!Print_Titles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Arunprasath Sekaran</dc:creator>
  <cp:lastModifiedBy>Arunprasath Sekaran</cp:lastModifiedBy>
  <cp:lastPrinted>2026-07-23T07:39:05Z</cp:lastPrinted>
  <dcterms:created xsi:type="dcterms:W3CDTF">2024-12-24T15:08:59Z</dcterms:created>
  <dcterms:modified xsi:type="dcterms:W3CDTF">2026-08-05T08:26:00Z</dcterms:modified>
</cp:coreProperties>
</file>